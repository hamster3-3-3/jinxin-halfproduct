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4490" windowHeight="1164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月超用)" sheetId="44" r:id="rId26"/>
    <sheet name="生產管理報表 8-4(月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8-3(月超用)'!$R$24:$W$28</definedName>
    <definedName name="_xlnm._FilterDatabase" localSheetId="26" hidden="1">'生產管理報表 8-4(月超用)'!$R$24:$W$29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8-3(月超用)'!$A$1:$Q$30</definedName>
    <definedName name="_xlnm.Print_Area" localSheetId="26">'生產管理報表 8-4(月超用)'!$A$1:$Q$38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K39" i="48" l="1"/>
  <c r="I39" i="48"/>
  <c r="G39" i="48"/>
  <c r="E39" i="48"/>
  <c r="C39" i="48"/>
  <c r="B39" i="48"/>
  <c r="K38" i="48"/>
  <c r="L38" i="48" s="1"/>
  <c r="I38" i="48"/>
  <c r="J38" i="48" s="1"/>
  <c r="G38" i="48"/>
  <c r="H38" i="48" s="1"/>
  <c r="E38" i="48"/>
  <c r="F38" i="48" s="1"/>
  <c r="C38" i="48"/>
  <c r="D38" i="48" s="1"/>
  <c r="B38" i="48"/>
  <c r="L37" i="48"/>
  <c r="J37" i="48"/>
  <c r="H37" i="48"/>
  <c r="F37" i="48"/>
  <c r="D37" i="48"/>
  <c r="L36" i="48"/>
  <c r="J36" i="48"/>
  <c r="H36" i="48"/>
  <c r="F36" i="48"/>
  <c r="D36" i="48"/>
  <c r="L35" i="48"/>
  <c r="J35" i="48"/>
  <c r="H35" i="48"/>
  <c r="F35" i="48"/>
  <c r="D35" i="48"/>
  <c r="L34" i="48"/>
  <c r="J34" i="48"/>
  <c r="H34" i="48"/>
  <c r="F34" i="48"/>
  <c r="D34" i="48"/>
  <c r="L33" i="48"/>
  <c r="J33" i="48"/>
  <c r="H33" i="48"/>
  <c r="F33" i="48"/>
  <c r="D33" i="48"/>
  <c r="L32" i="48"/>
  <c r="J32" i="48"/>
  <c r="H32" i="48"/>
  <c r="F32" i="48"/>
  <c r="D32" i="48"/>
  <c r="O31" i="48"/>
  <c r="N31" i="48"/>
  <c r="M31" i="48"/>
  <c r="L31" i="48"/>
  <c r="J31" i="48"/>
  <c r="H31" i="48"/>
  <c r="F31" i="48"/>
  <c r="D31" i="48"/>
  <c r="O24" i="48"/>
  <c r="N24" i="48"/>
  <c r="M24" i="48"/>
  <c r="O17" i="48"/>
  <c r="N17" i="48"/>
  <c r="M17" i="48"/>
  <c r="O10" i="48"/>
  <c r="N10" i="48"/>
  <c r="M10" i="48"/>
  <c r="A6" i="48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5" i="48"/>
  <c r="O4" i="48"/>
  <c r="N4" i="48"/>
  <c r="M4" i="48"/>
  <c r="J39" i="48" l="1"/>
  <c r="H39" i="48"/>
  <c r="F39" i="48"/>
  <c r="L39" i="48"/>
  <c r="D39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K94" i="30" l="1"/>
  <c r="J94" i="30"/>
  <c r="I94" i="30"/>
  <c r="K170" i="8"/>
  <c r="J170" i="8"/>
  <c r="I170" i="8"/>
  <c r="M15" i="41" l="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B23" i="39" l="1"/>
  <c r="B22" i="39"/>
  <c r="B21" i="39"/>
  <c r="B20" i="39"/>
  <c r="B19" i="39"/>
  <c r="B18" i="39"/>
  <c r="B17" i="39"/>
  <c r="B16" i="39"/>
  <c r="B15" i="39"/>
  <c r="H23" i="39"/>
  <c r="H22" i="39"/>
  <c r="H21" i="39"/>
  <c r="H20" i="39"/>
  <c r="H19" i="39"/>
  <c r="H18" i="39"/>
  <c r="H17" i="39"/>
  <c r="H16" i="39"/>
  <c r="H15" i="39"/>
  <c r="I37" i="32" l="1"/>
  <c r="K38" i="32"/>
  <c r="J38" i="32"/>
  <c r="I38" i="32"/>
  <c r="K37" i="32"/>
  <c r="J37" i="32"/>
  <c r="C10" i="39" l="1"/>
  <c r="J73" i="37" l="1"/>
  <c r="K73" i="37"/>
  <c r="I73" i="37"/>
  <c r="R76" i="35"/>
  <c r="Q76" i="35"/>
  <c r="P76" i="35"/>
  <c r="R75" i="35"/>
  <c r="Q75" i="35"/>
  <c r="P75" i="35"/>
  <c r="R74" i="35"/>
  <c r="Q74" i="35"/>
  <c r="P74" i="35"/>
  <c r="R73" i="35"/>
  <c r="Q73" i="35"/>
  <c r="P73" i="35"/>
  <c r="R72" i="35"/>
  <c r="Q72" i="35"/>
  <c r="P72" i="35"/>
  <c r="R71" i="35"/>
  <c r="Q71" i="35"/>
  <c r="P71" i="35"/>
  <c r="R70" i="35"/>
  <c r="Q70" i="35"/>
  <c r="P70" i="35"/>
  <c r="R69" i="35"/>
  <c r="Q69" i="35"/>
  <c r="P69" i="35"/>
  <c r="R68" i="35"/>
  <c r="Q68" i="35"/>
  <c r="P68" i="35"/>
  <c r="R67" i="35"/>
  <c r="Q67" i="35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AV135" i="33"/>
  <c r="AU135" i="33"/>
  <c r="AT135" i="33"/>
  <c r="R135" i="33"/>
  <c r="Q135" i="33"/>
  <c r="P135" i="33"/>
  <c r="R134" i="33"/>
  <c r="Q134" i="33"/>
  <c r="P134" i="33"/>
  <c r="R133" i="33"/>
  <c r="Q133" i="33"/>
  <c r="P133" i="33"/>
  <c r="R132" i="33"/>
  <c r="Q132" i="33"/>
  <c r="P132" i="33"/>
  <c r="R131" i="33"/>
  <c r="Q131" i="33"/>
  <c r="P131" i="33"/>
  <c r="R130" i="33"/>
  <c r="Q130" i="33"/>
  <c r="P130" i="33"/>
  <c r="R129" i="33"/>
  <c r="Q129" i="33"/>
  <c r="P129" i="33"/>
  <c r="R128" i="33"/>
  <c r="Q128" i="33"/>
  <c r="P128" i="33"/>
  <c r="R127" i="33"/>
  <c r="Q127" i="33"/>
  <c r="P127" i="33"/>
  <c r="R126" i="33"/>
  <c r="Q126" i="33"/>
  <c r="P126" i="33"/>
  <c r="R125" i="33"/>
  <c r="Q125" i="33"/>
  <c r="P125" i="33"/>
  <c r="R124" i="33"/>
  <c r="Q124" i="33"/>
  <c r="P124" i="33"/>
  <c r="R123" i="33"/>
  <c r="Q123" i="33"/>
  <c r="P123" i="33"/>
  <c r="R122" i="33"/>
  <c r="Q122" i="33"/>
  <c r="P122" i="33"/>
  <c r="R121" i="33"/>
  <c r="Q121" i="33"/>
  <c r="P121" i="33"/>
  <c r="R120" i="33"/>
  <c r="Q120" i="33"/>
  <c r="P120" i="33"/>
  <c r="R119" i="33"/>
  <c r="Q119" i="33"/>
  <c r="P119" i="33"/>
  <c r="R118" i="33"/>
  <c r="Q118" i="33"/>
  <c r="P118" i="33"/>
  <c r="R117" i="33"/>
  <c r="Q117" i="33"/>
  <c r="P117" i="33"/>
  <c r="R116" i="33"/>
  <c r="Q116" i="33"/>
  <c r="P116" i="33"/>
  <c r="R115" i="33"/>
  <c r="Q115" i="33"/>
  <c r="P115" i="33"/>
  <c r="R114" i="33"/>
  <c r="Q114" i="33"/>
  <c r="P114" i="33"/>
  <c r="R113" i="33"/>
  <c r="Q113" i="33"/>
  <c r="P113" i="33"/>
  <c r="R112" i="33"/>
  <c r="Q112" i="33"/>
  <c r="AV77" i="32"/>
  <c r="AU77" i="32"/>
  <c r="AT77" i="32"/>
  <c r="I74" i="30"/>
  <c r="K74" i="30"/>
  <c r="J74" i="30"/>
  <c r="I75" i="34" l="1"/>
  <c r="J53" i="37" l="1"/>
  <c r="I52" i="37"/>
  <c r="K53" i="37"/>
  <c r="I53" i="37"/>
  <c r="J52" i="37"/>
  <c r="K52" i="37"/>
  <c r="I55" i="35"/>
  <c r="K55" i="35"/>
  <c r="J54" i="35"/>
  <c r="K56" i="35"/>
  <c r="J55" i="35"/>
  <c r="I54" i="35"/>
  <c r="J56" i="35"/>
  <c r="J55" i="34"/>
  <c r="I54" i="34"/>
  <c r="I56" i="34"/>
  <c r="K54" i="34"/>
  <c r="J54" i="34"/>
  <c r="K56" i="34"/>
  <c r="J56" i="34"/>
  <c r="K55" i="34"/>
  <c r="I55" i="34"/>
  <c r="J57" i="32"/>
  <c r="I57" i="32"/>
  <c r="K57" i="32"/>
  <c r="J100" i="8"/>
  <c r="I99" i="8"/>
  <c r="K99" i="8"/>
  <c r="K54" i="35" l="1"/>
  <c r="I56" i="35"/>
  <c r="I100" i="8"/>
  <c r="J99" i="8"/>
  <c r="K100" i="8"/>
  <c r="H128" i="37" l="1"/>
  <c r="M8" i="6" l="1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R36" i="35" l="1"/>
  <c r="Q36" i="35"/>
  <c r="P36" i="35"/>
  <c r="R35" i="35"/>
  <c r="Q35" i="35"/>
  <c r="J35" i="35" s="1"/>
  <c r="P35" i="35"/>
  <c r="R34" i="35"/>
  <c r="K34" i="35" s="1"/>
  <c r="Q34" i="35"/>
  <c r="P34" i="35"/>
  <c r="R33" i="35"/>
  <c r="Q33" i="35"/>
  <c r="P33" i="35"/>
  <c r="R32" i="35"/>
  <c r="Q32" i="35"/>
  <c r="P32" i="35"/>
  <c r="R31" i="35"/>
  <c r="Q31" i="35"/>
  <c r="P31" i="35"/>
  <c r="R30" i="35"/>
  <c r="Q30" i="35"/>
  <c r="P30" i="35"/>
  <c r="R29" i="35"/>
  <c r="Q29" i="35"/>
  <c r="P29" i="35"/>
  <c r="R28" i="35"/>
  <c r="Q28" i="35"/>
  <c r="P28" i="35"/>
  <c r="R27" i="35"/>
  <c r="Q27" i="35"/>
  <c r="K36" i="35"/>
  <c r="J36" i="35"/>
  <c r="I36" i="35"/>
  <c r="K35" i="35"/>
  <c r="I35" i="35"/>
  <c r="J34" i="35"/>
  <c r="I34" i="35"/>
  <c r="K37" i="34"/>
  <c r="I37" i="34"/>
  <c r="K35" i="34"/>
  <c r="I35" i="34"/>
  <c r="J34" i="34"/>
  <c r="I36" i="34"/>
  <c r="J37" i="34"/>
  <c r="J36" i="34"/>
  <c r="K34" i="34"/>
  <c r="I66" i="33"/>
  <c r="K66" i="33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R65" i="8"/>
  <c r="Q65" i="8"/>
  <c r="J65" i="8" s="1"/>
  <c r="P65" i="8"/>
  <c r="I65" i="8" s="1"/>
  <c r="R64" i="8"/>
  <c r="K64" i="8" s="1"/>
  <c r="Q64" i="8"/>
  <c r="J64" i="8" s="1"/>
  <c r="P64" i="8"/>
  <c r="I64" i="8" s="1"/>
  <c r="R63" i="8"/>
  <c r="K63" i="8" s="1"/>
  <c r="Q63" i="8"/>
  <c r="J63" i="8" s="1"/>
  <c r="P63" i="8"/>
  <c r="I63" i="8" s="1"/>
  <c r="R62" i="8"/>
  <c r="Q62" i="8"/>
  <c r="J62" i="8" s="1"/>
  <c r="P62" i="8"/>
  <c r="I62" i="8" s="1"/>
  <c r="R61" i="8"/>
  <c r="Q61" i="8"/>
  <c r="P61" i="8"/>
  <c r="I61" i="8" s="1"/>
  <c r="R60" i="8"/>
  <c r="Q60" i="8"/>
  <c r="P60" i="8"/>
  <c r="R59" i="8"/>
  <c r="Q59" i="8"/>
  <c r="P59" i="8"/>
  <c r="R58" i="8"/>
  <c r="Q58" i="8"/>
  <c r="P58" i="8"/>
  <c r="R57" i="8"/>
  <c r="Q57" i="8"/>
  <c r="P57" i="8"/>
  <c r="R56" i="8"/>
  <c r="Q56" i="8"/>
  <c r="P56" i="8"/>
  <c r="R55" i="8"/>
  <c r="Q55" i="8"/>
  <c r="P55" i="8"/>
  <c r="R54" i="8"/>
  <c r="Q54" i="8"/>
  <c r="P54" i="8"/>
  <c r="R53" i="8"/>
  <c r="Q53" i="8"/>
  <c r="P53" i="8"/>
  <c r="R52" i="8"/>
  <c r="Q52" i="8"/>
  <c r="P52" i="8"/>
  <c r="R51" i="8"/>
  <c r="Q51" i="8"/>
  <c r="P51" i="8"/>
  <c r="R50" i="8"/>
  <c r="Q50" i="8"/>
  <c r="P50" i="8"/>
  <c r="R49" i="8"/>
  <c r="Q49" i="8"/>
  <c r="P49" i="8"/>
  <c r="R48" i="8"/>
  <c r="Q48" i="8"/>
  <c r="P48" i="8"/>
  <c r="R47" i="8"/>
  <c r="Q47" i="8"/>
  <c r="P47" i="8"/>
  <c r="R46" i="8"/>
  <c r="Q46" i="8"/>
  <c r="P46" i="8"/>
  <c r="R45" i="8"/>
  <c r="Q45" i="8"/>
  <c r="P45" i="8"/>
  <c r="R44" i="8"/>
  <c r="Q44" i="8"/>
  <c r="P44" i="8"/>
  <c r="R43" i="8"/>
  <c r="Q43" i="8"/>
  <c r="P43" i="8"/>
  <c r="R42" i="8"/>
  <c r="Q42" i="8"/>
  <c r="K62" i="8"/>
  <c r="K61" i="8"/>
  <c r="J61" i="8"/>
  <c r="I34" i="34" l="1"/>
  <c r="J35" i="34"/>
  <c r="K36" i="34"/>
  <c r="J66" i="33"/>
  <c r="AH51" i="8"/>
  <c r="K65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AA7" i="47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T6" i="3" l="1"/>
  <c r="E10" i="39" s="1"/>
  <c r="N6" i="3"/>
  <c r="E8" i="39" s="1"/>
  <c r="K6" i="3"/>
  <c r="E7" i="39" s="1"/>
  <c r="H6" i="3"/>
  <c r="E6" i="39" s="1"/>
  <c r="S33" i="3"/>
  <c r="B10" i="39" s="1"/>
  <c r="S26" i="3"/>
  <c r="S19" i="3"/>
  <c r="S12" i="3"/>
  <c r="S5" i="3"/>
  <c r="M33" i="3"/>
  <c r="B8" i="39" s="1"/>
  <c r="M26" i="3"/>
  <c r="M19" i="3"/>
  <c r="M12" i="3"/>
  <c r="M5" i="3"/>
  <c r="J33" i="3"/>
  <c r="B7" i="39" s="1"/>
  <c r="J26" i="3"/>
  <c r="J19" i="3"/>
  <c r="J12" i="3"/>
  <c r="J5" i="3"/>
  <c r="G33" i="3"/>
  <c r="B6" i="39" s="1"/>
  <c r="G26" i="3"/>
  <c r="G19" i="3"/>
  <c r="G12" i="3"/>
  <c r="G5" i="3"/>
  <c r="V33" i="5"/>
  <c r="I11" i="39" s="1"/>
  <c r="V26" i="5"/>
  <c r="V19" i="5"/>
  <c r="V12" i="5"/>
  <c r="W6" i="5"/>
  <c r="K11" i="39" s="1"/>
  <c r="V5" i="5"/>
  <c r="S33" i="5"/>
  <c r="S26" i="5"/>
  <c r="S19" i="5"/>
  <c r="S12" i="5"/>
  <c r="T6" i="5"/>
  <c r="S5" i="5"/>
  <c r="P33" i="5"/>
  <c r="I9" i="39" s="1"/>
  <c r="P26" i="5"/>
  <c r="P19" i="5"/>
  <c r="P12" i="5"/>
  <c r="Q6" i="5"/>
  <c r="K9" i="39" s="1"/>
  <c r="P5" i="5"/>
  <c r="N6" i="5"/>
  <c r="K8" i="39" s="1"/>
  <c r="M33" i="5"/>
  <c r="I8" i="39" s="1"/>
  <c r="M26" i="5"/>
  <c r="M19" i="5"/>
  <c r="M12" i="5"/>
  <c r="M5" i="5"/>
  <c r="H6" i="5"/>
  <c r="K6" i="39" s="1"/>
  <c r="G33" i="5"/>
  <c r="I6" i="39" s="1"/>
  <c r="G26" i="5"/>
  <c r="G19" i="5"/>
  <c r="G12" i="5"/>
  <c r="G5" i="5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AC13" i="6"/>
  <c r="AB13" i="6"/>
  <c r="S13" i="6"/>
  <c r="R13" i="6"/>
  <c r="AC12" i="6"/>
  <c r="AB12" i="6"/>
  <c r="S12" i="6"/>
  <c r="R12" i="6"/>
  <c r="AC11" i="6"/>
  <c r="AB11" i="6"/>
  <c r="S11" i="6"/>
  <c r="R11" i="6"/>
  <c r="AC10" i="6"/>
  <c r="AB10" i="6"/>
  <c r="S10" i="6"/>
  <c r="R10" i="6"/>
  <c r="AC9" i="6"/>
  <c r="AB9" i="6"/>
  <c r="S9" i="6"/>
  <c r="R9" i="6"/>
  <c r="AC8" i="6"/>
  <c r="AB8" i="6"/>
  <c r="S8" i="6"/>
  <c r="R8" i="6"/>
  <c r="AC7" i="6"/>
  <c r="AB7" i="6"/>
  <c r="S7" i="6"/>
  <c r="R7" i="6"/>
  <c r="M7" i="6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K18" i="32"/>
  <c r="J18" i="32"/>
  <c r="I18" i="32"/>
  <c r="K17" i="32"/>
  <c r="J17" i="32"/>
  <c r="I17" i="32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X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2"/>
  <c r="S7" i="31"/>
  <c r="S7" i="34"/>
  <c r="S7" i="35"/>
  <c r="S7" i="36"/>
  <c r="S7" i="37"/>
  <c r="S7" i="30"/>
  <c r="K13" i="37"/>
  <c r="J13" i="37"/>
  <c r="I13" i="37"/>
  <c r="K12" i="37"/>
  <c r="J12" i="37"/>
  <c r="I12" i="37"/>
  <c r="K11" i="37"/>
  <c r="J11" i="37"/>
  <c r="I11" i="37"/>
  <c r="K10" i="37"/>
  <c r="M10" i="37" s="1"/>
  <c r="J10" i="37"/>
  <c r="I10" i="37"/>
  <c r="K9" i="37"/>
  <c r="J9" i="37"/>
  <c r="I9" i="37"/>
  <c r="K8" i="37"/>
  <c r="M8" i="37" s="1"/>
  <c r="J8" i="37"/>
  <c r="I8" i="37"/>
  <c r="AX7" i="37"/>
  <c r="AS7" i="37"/>
  <c r="AN7" i="37"/>
  <c r="AI7" i="37"/>
  <c r="AD7" i="37"/>
  <c r="Y7" i="37"/>
  <c r="T7" i="37"/>
  <c r="K7" i="37"/>
  <c r="M20" i="37" s="1"/>
  <c r="J7" i="37"/>
  <c r="I7" i="37"/>
  <c r="H7" i="37"/>
  <c r="M17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L7" i="36"/>
  <c r="K7" i="36"/>
  <c r="M11" i="36" s="1"/>
  <c r="J7" i="36"/>
  <c r="I7" i="36"/>
  <c r="H7" i="36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M11" i="35" s="1"/>
  <c r="J11" i="35"/>
  <c r="I11" i="35"/>
  <c r="K10" i="35"/>
  <c r="J10" i="35"/>
  <c r="I10" i="35"/>
  <c r="K9" i="35"/>
  <c r="J9" i="35"/>
  <c r="I9" i="35"/>
  <c r="K8" i="35"/>
  <c r="L7" i="35" s="1"/>
  <c r="J8" i="35"/>
  <c r="I8" i="35"/>
  <c r="AX7" i="35"/>
  <c r="AS7" i="35"/>
  <c r="AN7" i="35"/>
  <c r="AI7" i="35"/>
  <c r="AD7" i="35"/>
  <c r="Y7" i="35"/>
  <c r="T7" i="35"/>
  <c r="K7" i="35"/>
  <c r="M17" i="35" s="1"/>
  <c r="J7" i="35"/>
  <c r="I7" i="35"/>
  <c r="H7" i="35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M10" i="34" s="1"/>
  <c r="J7" i="34"/>
  <c r="I7" i="34"/>
  <c r="H7" i="34"/>
  <c r="AX7" i="31"/>
  <c r="AS7" i="31"/>
  <c r="AN7" i="31"/>
  <c r="AI7" i="31"/>
  <c r="AD7" i="31"/>
  <c r="Y7" i="31"/>
  <c r="T7" i="31"/>
  <c r="AX7" i="32"/>
  <c r="AS7" i="32"/>
  <c r="AN7" i="32"/>
  <c r="AI7" i="32"/>
  <c r="AD7" i="32"/>
  <c r="Y7" i="32"/>
  <c r="T7" i="32"/>
  <c r="AX7" i="30"/>
  <c r="AS7" i="30"/>
  <c r="AN7" i="30"/>
  <c r="AI7" i="30"/>
  <c r="AD7" i="30"/>
  <c r="Y7" i="30"/>
  <c r="T7" i="30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S7" i="33"/>
  <c r="AN7" i="33"/>
  <c r="AI7" i="33"/>
  <c r="AD7" i="33"/>
  <c r="Y7" i="33"/>
  <c r="T7" i="33"/>
  <c r="M11" i="37" l="1"/>
  <c r="M14" i="34"/>
  <c r="P26" i="3"/>
  <c r="M9" i="35"/>
  <c r="M13" i="35"/>
  <c r="M12" i="37"/>
  <c r="M11" i="34"/>
  <c r="M15" i="34"/>
  <c r="M8" i="36"/>
  <c r="P33" i="3"/>
  <c r="B9" i="39" s="1"/>
  <c r="M10" i="35"/>
  <c r="M14" i="35"/>
  <c r="L7" i="37"/>
  <c r="M9" i="37"/>
  <c r="M13" i="37"/>
  <c r="V26" i="3"/>
  <c r="M16" i="34"/>
  <c r="M8" i="34"/>
  <c r="M12" i="34"/>
  <c r="M9" i="36"/>
  <c r="V33" i="3"/>
  <c r="B11" i="39" s="1"/>
  <c r="M15" i="35"/>
  <c r="M14" i="37"/>
  <c r="M9" i="34"/>
  <c r="M13" i="34"/>
  <c r="M10" i="36"/>
  <c r="M12" i="35"/>
  <c r="M16" i="35"/>
  <c r="M21" i="34"/>
  <c r="M16" i="36"/>
  <c r="M7" i="37"/>
  <c r="AZ12" i="37" s="1"/>
  <c r="M19" i="37"/>
  <c r="M18" i="35"/>
  <c r="M18" i="36"/>
  <c r="M21" i="37"/>
  <c r="M7" i="35"/>
  <c r="AZ15" i="35" s="1"/>
  <c r="M19" i="35"/>
  <c r="M7" i="36"/>
  <c r="AZ7" i="36" s="1"/>
  <c r="M19" i="36"/>
  <c r="M8" i="35"/>
  <c r="M20" i="35"/>
  <c r="M20" i="36"/>
  <c r="M21" i="35"/>
  <c r="M21" i="36"/>
  <c r="M17" i="34"/>
  <c r="M12" i="36"/>
  <c r="M15" i="37"/>
  <c r="AZ9" i="37"/>
  <c r="AZ21" i="37"/>
  <c r="M18" i="34"/>
  <c r="M13" i="36"/>
  <c r="M16" i="37"/>
  <c r="M7" i="34"/>
  <c r="AZ18" i="34" s="1"/>
  <c r="M19" i="34"/>
  <c r="M14" i="36"/>
  <c r="M17" i="37"/>
  <c r="AZ11" i="37"/>
  <c r="L7" i="34"/>
  <c r="AZ9" i="34" s="1"/>
  <c r="M20" i="34"/>
  <c r="M15" i="36"/>
  <c r="M18" i="37"/>
  <c r="AZ9" i="36"/>
  <c r="P12" i="3"/>
  <c r="P19" i="3"/>
  <c r="V19" i="3"/>
  <c r="P5" i="3"/>
  <c r="V5" i="3"/>
  <c r="V12" i="3"/>
  <c r="Q6" i="3"/>
  <c r="E9" i="39" s="1"/>
  <c r="W6" i="3"/>
  <c r="E11" i="39" s="1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AX7" i="8"/>
  <c r="AS7" i="8"/>
  <c r="AN7" i="8"/>
  <c r="AI7" i="8"/>
  <c r="AD7" i="8"/>
  <c r="Y7" i="8"/>
  <c r="T7" i="8"/>
  <c r="U2" i="8"/>
  <c r="Z2" i="8" s="1"/>
  <c r="AE2" i="8" s="1"/>
  <c r="AJ2" i="8" s="1"/>
  <c r="AO2" i="8" s="1"/>
  <c r="AT2" i="8" s="1"/>
  <c r="AZ9" i="35" l="1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39" i="5" l="1"/>
  <c r="I38" i="5"/>
  <c r="I37" i="5"/>
  <c r="I36" i="5"/>
  <c r="I35" i="5"/>
  <c r="I34" i="5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M204" i="33"/>
  <c r="K204" i="33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3" i="5"/>
  <c r="J33" i="5" s="1"/>
  <c r="I7" i="39" s="1"/>
  <c r="I32" i="5"/>
  <c r="I31" i="5"/>
  <c r="I30" i="5"/>
  <c r="I29" i="5"/>
  <c r="I28" i="5"/>
  <c r="I27" i="5"/>
  <c r="I135" i="33" l="1"/>
  <c r="J135" i="33"/>
  <c r="K135" i="33"/>
  <c r="K77" i="32" l="1"/>
  <c r="J77" i="32"/>
  <c r="I77" i="32"/>
  <c r="J96" i="35" l="1"/>
  <c r="I95" i="35"/>
  <c r="K95" i="35"/>
  <c r="J94" i="35"/>
  <c r="K96" i="35"/>
  <c r="J95" i="35"/>
  <c r="I94" i="35"/>
  <c r="J169" i="8"/>
  <c r="K168" i="8"/>
  <c r="I168" i="8"/>
  <c r="K169" i="8"/>
  <c r="I169" i="8"/>
  <c r="J168" i="8"/>
  <c r="K167" i="8"/>
  <c r="J167" i="8"/>
  <c r="I167" i="8"/>
  <c r="K94" i="35" l="1"/>
  <c r="I96" i="3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J132" i="37" s="1"/>
  <c r="I31" i="37"/>
  <c r="I132" i="37" s="1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J129" i="37" s="1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J128" i="37" s="1"/>
  <c r="I27" i="37"/>
  <c r="I128" i="37" s="1"/>
  <c r="H27" i="37"/>
  <c r="U2" i="37"/>
  <c r="Z2" i="37" s="1"/>
  <c r="AE2" i="37" s="1"/>
  <c r="AJ2" i="37" s="1"/>
  <c r="AO2" i="37" s="1"/>
  <c r="AT2" i="37" s="1"/>
  <c r="P22" i="37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M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K132" i="36"/>
  <c r="J132" i="36"/>
  <c r="I132" i="36"/>
  <c r="AW29" i="36"/>
  <c r="AR29" i="36"/>
  <c r="AM29" i="36"/>
  <c r="AH29" i="36"/>
  <c r="AC29" i="36"/>
  <c r="X29" i="36"/>
  <c r="S29" i="36"/>
  <c r="K29" i="36"/>
  <c r="K131" i="36" s="1"/>
  <c r="J29" i="36"/>
  <c r="J131" i="36" s="1"/>
  <c r="I29" i="36"/>
  <c r="I131" i="36" s="1"/>
  <c r="AW28" i="36"/>
  <c r="AR28" i="36"/>
  <c r="AM28" i="36"/>
  <c r="AH28" i="36"/>
  <c r="AC28" i="36"/>
  <c r="X28" i="36"/>
  <c r="S28" i="36"/>
  <c r="K28" i="36"/>
  <c r="J28" i="36"/>
  <c r="J129" i="36" s="1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J128" i="36" s="1"/>
  <c r="I27" i="36"/>
  <c r="I128" i="36" s="1"/>
  <c r="H27" i="36"/>
  <c r="U2" i="36"/>
  <c r="Z2" i="36" s="1"/>
  <c r="AE2" i="36" s="1"/>
  <c r="AJ2" i="36" s="1"/>
  <c r="AO2" i="36" s="1"/>
  <c r="AT2" i="36" s="1"/>
  <c r="P22" i="36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K76" i="35"/>
  <c r="J76" i="35"/>
  <c r="I76" i="35"/>
  <c r="AW75" i="35"/>
  <c r="AR75" i="35"/>
  <c r="AM75" i="35"/>
  <c r="AH75" i="35"/>
  <c r="AC75" i="35"/>
  <c r="X75" i="35"/>
  <c r="S75" i="35"/>
  <c r="K75" i="35"/>
  <c r="J75" i="35"/>
  <c r="I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K135" i="35" s="1"/>
  <c r="J33" i="35"/>
  <c r="J135" i="35" s="1"/>
  <c r="I33" i="35"/>
  <c r="I135" i="35" s="1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J133" i="35" s="1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K130" i="35" s="1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U2" i="35"/>
  <c r="Z2" i="35" s="1"/>
  <c r="AE2" i="35" s="1"/>
  <c r="AJ2" i="35" s="1"/>
  <c r="AO2" i="35" s="1"/>
  <c r="AT2" i="35" s="1"/>
  <c r="P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K74" i="34"/>
  <c r="J74" i="34"/>
  <c r="I74" i="34"/>
  <c r="AW73" i="34"/>
  <c r="AR73" i="34"/>
  <c r="AM73" i="34"/>
  <c r="AH73" i="34"/>
  <c r="AC73" i="34"/>
  <c r="X73" i="34"/>
  <c r="K73" i="34"/>
  <c r="J73" i="34"/>
  <c r="I73" i="34"/>
  <c r="AW72" i="34"/>
  <c r="AR72" i="34"/>
  <c r="AM72" i="34"/>
  <c r="AH72" i="34"/>
  <c r="AC72" i="34"/>
  <c r="X72" i="34"/>
  <c r="K72" i="34"/>
  <c r="J72" i="34"/>
  <c r="I72" i="34"/>
  <c r="AW71" i="34"/>
  <c r="AR71" i="34"/>
  <c r="AM71" i="34"/>
  <c r="AH71" i="34"/>
  <c r="AC71" i="34"/>
  <c r="X71" i="34"/>
  <c r="K71" i="34"/>
  <c r="J71" i="34"/>
  <c r="I71" i="34"/>
  <c r="AW70" i="34"/>
  <c r="AR70" i="34"/>
  <c r="AM70" i="34"/>
  <c r="AH70" i="34"/>
  <c r="AC70" i="34"/>
  <c r="X70" i="34"/>
  <c r="K70" i="34"/>
  <c r="J70" i="34"/>
  <c r="I70" i="34"/>
  <c r="AW69" i="34"/>
  <c r="AR69" i="34"/>
  <c r="AM69" i="34"/>
  <c r="AH69" i="34"/>
  <c r="AC69" i="34"/>
  <c r="X69" i="34"/>
  <c r="K69" i="34"/>
  <c r="J69" i="34"/>
  <c r="I69" i="34"/>
  <c r="AW68" i="34"/>
  <c r="AR68" i="34"/>
  <c r="AM68" i="34"/>
  <c r="AH68" i="34"/>
  <c r="AC68" i="34"/>
  <c r="X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I134" i="34" s="1"/>
  <c r="AW32" i="34"/>
  <c r="AR32" i="34"/>
  <c r="AM32" i="34"/>
  <c r="AH32" i="34"/>
  <c r="AC32" i="34"/>
  <c r="X32" i="34"/>
  <c r="S32" i="34"/>
  <c r="K32" i="34"/>
  <c r="K133" i="34" s="1"/>
  <c r="J32" i="34"/>
  <c r="J133" i="34" s="1"/>
  <c r="I32" i="34"/>
  <c r="I133" i="34" s="1"/>
  <c r="AW31" i="34"/>
  <c r="AR31" i="34"/>
  <c r="AM31" i="34"/>
  <c r="AH31" i="34"/>
  <c r="AC31" i="34"/>
  <c r="X31" i="34"/>
  <c r="S31" i="34"/>
  <c r="K31" i="34"/>
  <c r="J31" i="34"/>
  <c r="J132" i="34" s="1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J131" i="34" s="1"/>
  <c r="I30" i="34"/>
  <c r="I131" i="34" s="1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K129" i="34" s="1"/>
  <c r="J28" i="34"/>
  <c r="J129" i="34" s="1"/>
  <c r="I28" i="34"/>
  <c r="I129" i="34" s="1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I128" i="34" s="1"/>
  <c r="H27" i="34"/>
  <c r="U2" i="34"/>
  <c r="Z2" i="34" s="1"/>
  <c r="AE2" i="34" s="1"/>
  <c r="AJ2" i="34" s="1"/>
  <c r="AO2" i="34" s="1"/>
  <c r="AT2" i="34" s="1"/>
  <c r="P22" i="34" s="1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K30" i="33"/>
  <c r="J30" i="33"/>
  <c r="J240" i="33" s="1"/>
  <c r="I30" i="33"/>
  <c r="I240" i="33" s="1"/>
  <c r="K29" i="33"/>
  <c r="J29" i="33"/>
  <c r="I29" i="33"/>
  <c r="K28" i="33"/>
  <c r="J28" i="33"/>
  <c r="I28" i="33"/>
  <c r="K27" i="33"/>
  <c r="J27" i="33"/>
  <c r="I27" i="33"/>
  <c r="K26" i="33"/>
  <c r="K236" i="33" s="1"/>
  <c r="J26" i="33"/>
  <c r="J236" i="33" s="1"/>
  <c r="I26" i="33"/>
  <c r="I236" i="33" s="1"/>
  <c r="K25" i="33"/>
  <c r="K235" i="33" s="1"/>
  <c r="J25" i="33"/>
  <c r="I25" i="33"/>
  <c r="I235" i="33" s="1"/>
  <c r="K24" i="33"/>
  <c r="J24" i="33"/>
  <c r="J234" i="33" s="1"/>
  <c r="I24" i="33"/>
  <c r="K23" i="33"/>
  <c r="J23" i="33"/>
  <c r="I23" i="33"/>
  <c r="K22" i="33"/>
  <c r="K232" i="33" s="1"/>
  <c r="J22" i="33"/>
  <c r="I22" i="33"/>
  <c r="I232" i="33" s="1"/>
  <c r="K21" i="33"/>
  <c r="K231" i="33" s="1"/>
  <c r="J21" i="33"/>
  <c r="I21" i="33"/>
  <c r="I231" i="33" s="1"/>
  <c r="K20" i="33"/>
  <c r="J20" i="33"/>
  <c r="J230" i="33" s="1"/>
  <c r="I20" i="33"/>
  <c r="K19" i="33"/>
  <c r="J19" i="33"/>
  <c r="I19" i="33"/>
  <c r="K18" i="33"/>
  <c r="J18" i="33"/>
  <c r="J228" i="33" s="1"/>
  <c r="I18" i="33"/>
  <c r="I228" i="33" s="1"/>
  <c r="K17" i="33"/>
  <c r="J17" i="33"/>
  <c r="I17" i="33"/>
  <c r="K16" i="33"/>
  <c r="J16" i="33"/>
  <c r="I16" i="33"/>
  <c r="K15" i="33"/>
  <c r="J15" i="33"/>
  <c r="I15" i="33"/>
  <c r="K14" i="33"/>
  <c r="K224" i="33" s="1"/>
  <c r="J14" i="33"/>
  <c r="J224" i="33" s="1"/>
  <c r="I14" i="33"/>
  <c r="I224" i="33" s="1"/>
  <c r="K13" i="33"/>
  <c r="K223" i="33" s="1"/>
  <c r="J13" i="33"/>
  <c r="I13" i="33"/>
  <c r="I223" i="33" s="1"/>
  <c r="K12" i="33"/>
  <c r="J12" i="33"/>
  <c r="J222" i="33" s="1"/>
  <c r="I12" i="33"/>
  <c r="K11" i="33"/>
  <c r="J11" i="33"/>
  <c r="I11" i="33"/>
  <c r="K10" i="33"/>
  <c r="K220" i="33" s="1"/>
  <c r="J10" i="33"/>
  <c r="I10" i="33"/>
  <c r="I220" i="33" s="1"/>
  <c r="K9" i="33"/>
  <c r="K219" i="33" s="1"/>
  <c r="J9" i="33"/>
  <c r="I9" i="33"/>
  <c r="I219" i="33" s="1"/>
  <c r="K8" i="33"/>
  <c r="K218" i="33" s="1"/>
  <c r="J8" i="33"/>
  <c r="I8" i="33"/>
  <c r="AX7" i="33"/>
  <c r="K7" i="33"/>
  <c r="J7" i="33"/>
  <c r="I7" i="33"/>
  <c r="H7" i="33"/>
  <c r="U2" i="33"/>
  <c r="Z2" i="33" s="1"/>
  <c r="AE2" i="33" s="1"/>
  <c r="AJ2" i="33" s="1"/>
  <c r="AO2" i="33" s="1"/>
  <c r="AT2" i="33" s="1"/>
  <c r="P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M19" i="31"/>
  <c r="M7" i="31"/>
  <c r="K7" i="31"/>
  <c r="M18" i="31" s="1"/>
  <c r="J7" i="31"/>
  <c r="I7" i="31"/>
  <c r="H7" i="31"/>
  <c r="U2" i="31"/>
  <c r="Z2" i="31" s="1"/>
  <c r="AE2" i="31" s="1"/>
  <c r="AJ2" i="31" s="1"/>
  <c r="AO2" i="31" s="1"/>
  <c r="AT2" i="31" s="1"/>
  <c r="P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6" i="32"/>
  <c r="K137" i="32" s="1"/>
  <c r="J16" i="32"/>
  <c r="I16" i="32"/>
  <c r="K15" i="32"/>
  <c r="J15" i="32"/>
  <c r="I15" i="32"/>
  <c r="I136" i="32" s="1"/>
  <c r="K14" i="32"/>
  <c r="K135" i="32" s="1"/>
  <c r="J14" i="32"/>
  <c r="I14" i="32"/>
  <c r="I135" i="32" s="1"/>
  <c r="K13" i="32"/>
  <c r="K134" i="32" s="1"/>
  <c r="J13" i="32"/>
  <c r="J134" i="32" s="1"/>
  <c r="I13" i="32"/>
  <c r="I134" i="32" s="1"/>
  <c r="K12" i="32"/>
  <c r="J12" i="32"/>
  <c r="I12" i="32"/>
  <c r="I133" i="32" s="1"/>
  <c r="K11" i="32"/>
  <c r="J11" i="32"/>
  <c r="J132" i="32" s="1"/>
  <c r="I11" i="32"/>
  <c r="K10" i="32"/>
  <c r="K131" i="32" s="1"/>
  <c r="J10" i="32"/>
  <c r="I10" i="32"/>
  <c r="K9" i="32"/>
  <c r="K130" i="32" s="1"/>
  <c r="J9" i="32"/>
  <c r="J130" i="32" s="1"/>
  <c r="I9" i="32"/>
  <c r="I130" i="32" s="1"/>
  <c r="K8" i="32"/>
  <c r="K129" i="32" s="1"/>
  <c r="J8" i="32"/>
  <c r="I8" i="32"/>
  <c r="I129" i="32" s="1"/>
  <c r="K7" i="32"/>
  <c r="J7" i="32"/>
  <c r="I7" i="32"/>
  <c r="H7" i="32"/>
  <c r="U2" i="32"/>
  <c r="Z2" i="32" s="1"/>
  <c r="AE2" i="32" s="1"/>
  <c r="AJ2" i="32" s="1"/>
  <c r="AO2" i="32" s="1"/>
  <c r="AT2" i="32" s="1"/>
  <c r="P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" i="30"/>
  <c r="K134" i="30" s="1"/>
  <c r="J13" i="30"/>
  <c r="J134" i="30" s="1"/>
  <c r="I13" i="30"/>
  <c r="I134" i="30" s="1"/>
  <c r="K12" i="30"/>
  <c r="K133" i="30" s="1"/>
  <c r="J12" i="30"/>
  <c r="J133" i="30" s="1"/>
  <c r="I12" i="30"/>
  <c r="K11" i="30"/>
  <c r="J11" i="30"/>
  <c r="I11" i="30"/>
  <c r="K10" i="30"/>
  <c r="J10" i="30"/>
  <c r="J131" i="30" s="1"/>
  <c r="I10" i="30"/>
  <c r="K9" i="30"/>
  <c r="J9" i="30"/>
  <c r="I9" i="30"/>
  <c r="K8" i="30"/>
  <c r="K129" i="30" s="1"/>
  <c r="J8" i="30"/>
  <c r="J129" i="30" s="1"/>
  <c r="I8" i="30"/>
  <c r="I129" i="30" s="1"/>
  <c r="K7" i="30"/>
  <c r="J7" i="30"/>
  <c r="J128" i="30" s="1"/>
  <c r="I7" i="30"/>
  <c r="I128" i="30" s="1"/>
  <c r="H7" i="30"/>
  <c r="U2" i="30"/>
  <c r="Z2" i="30" s="1"/>
  <c r="AE2" i="30" s="1"/>
  <c r="AJ2" i="30" s="1"/>
  <c r="AO2" i="30" s="1"/>
  <c r="AT2" i="30" s="1"/>
  <c r="P22" i="30" s="1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K134" i="8"/>
  <c r="J134" i="8"/>
  <c r="I134" i="8"/>
  <c r="AW133" i="8"/>
  <c r="AR133" i="8"/>
  <c r="AM133" i="8"/>
  <c r="AH133" i="8"/>
  <c r="AC133" i="8"/>
  <c r="X133" i="8"/>
  <c r="S133" i="8"/>
  <c r="K133" i="8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AX42" i="8"/>
  <c r="AS42" i="8"/>
  <c r="AN42" i="8"/>
  <c r="AI42" i="8"/>
  <c r="AD42" i="8"/>
  <c r="Y42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F25" i="6" s="1"/>
  <c r="AH25" i="6" s="1"/>
  <c r="R25" i="6"/>
  <c r="AC24" i="6"/>
  <c r="AB24" i="6"/>
  <c r="S24" i="6"/>
  <c r="R24" i="6"/>
  <c r="AC23" i="6"/>
  <c r="AB23" i="6"/>
  <c r="S23" i="6"/>
  <c r="R23" i="6"/>
  <c r="AC22" i="6"/>
  <c r="AB22" i="6"/>
  <c r="S22" i="6"/>
  <c r="F22" i="6" s="1"/>
  <c r="AH22" i="6" s="1"/>
  <c r="R22" i="6"/>
  <c r="AC21" i="6"/>
  <c r="AB21" i="6"/>
  <c r="S21" i="6"/>
  <c r="R21" i="6"/>
  <c r="AC20" i="6"/>
  <c r="AB20" i="6"/>
  <c r="S20" i="6"/>
  <c r="R20" i="6"/>
  <c r="AC19" i="6"/>
  <c r="AB19" i="6"/>
  <c r="S19" i="6"/>
  <c r="F19" i="6" s="1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F10" i="6"/>
  <c r="F9" i="6"/>
  <c r="F8" i="6"/>
  <c r="F7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F22" i="7" s="1"/>
  <c r="AH22" i="7" s="1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F10" i="7"/>
  <c r="F8" i="7"/>
  <c r="I26" i="5"/>
  <c r="J26" i="5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10" i="13"/>
  <c r="K10" i="13" s="1"/>
  <c r="I5" i="5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J24" i="39"/>
  <c r="D24" i="39"/>
  <c r="I22" i="39"/>
  <c r="K22" i="39" s="1"/>
  <c r="I18" i="39"/>
  <c r="K18" i="39" s="1"/>
  <c r="D8" i="39"/>
  <c r="J24" i="13"/>
  <c r="D24" i="13"/>
  <c r="H18" i="13"/>
  <c r="B10" i="13"/>
  <c r="E10" i="13" s="1"/>
  <c r="I9" i="13"/>
  <c r="K9" i="13" s="1"/>
  <c r="I8" i="13"/>
  <c r="K8" i="13" s="1"/>
  <c r="I6" i="13"/>
  <c r="K6" i="13" s="1"/>
  <c r="B6" i="13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4" i="1" s="1"/>
  <c r="V34" i="1" s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Q9" i="1"/>
  <c r="O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M71" i="37" l="1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L7" i="31"/>
  <c r="X28" i="1"/>
  <c r="V28" i="1" s="1"/>
  <c r="D11" i="1"/>
  <c r="M76" i="30"/>
  <c r="F45" i="6"/>
  <c r="AH45" i="6" s="1"/>
  <c r="O14" i="1"/>
  <c r="B23" i="13"/>
  <c r="F30" i="7"/>
  <c r="AH30" i="7" s="1"/>
  <c r="F27" i="6"/>
  <c r="AH27" i="6" s="1"/>
  <c r="F30" i="6"/>
  <c r="AF30" i="6" s="1"/>
  <c r="U14" i="1"/>
  <c r="F34" i="6"/>
  <c r="AF34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M17" i="33"/>
  <c r="W9" i="1"/>
  <c r="Q11" i="1"/>
  <c r="J19" i="5"/>
  <c r="F44" i="6"/>
  <c r="AF44" i="6" s="1"/>
  <c r="M21" i="31"/>
  <c r="M20" i="3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M8" i="31"/>
  <c r="AZ20" i="31" s="1"/>
  <c r="M33" i="33"/>
  <c r="J221" i="33"/>
  <c r="J225" i="33"/>
  <c r="J229" i="33"/>
  <c r="J233" i="33"/>
  <c r="L67" i="34"/>
  <c r="M47" i="36"/>
  <c r="J130" i="30"/>
  <c r="M10" i="31"/>
  <c r="K221" i="33"/>
  <c r="K225" i="33"/>
  <c r="K229" i="33"/>
  <c r="K233" i="33"/>
  <c r="K237" i="33"/>
  <c r="M54" i="37"/>
  <c r="K240" i="33"/>
  <c r="F35" i="6"/>
  <c r="AF35" i="6" s="1"/>
  <c r="M136" i="8"/>
  <c r="M139" i="8"/>
  <c r="K130" i="30"/>
  <c r="M75" i="30"/>
  <c r="M78" i="30"/>
  <c r="M81" i="30"/>
  <c r="I128" i="32"/>
  <c r="I132" i="32"/>
  <c r="M11" i="31"/>
  <c r="I218" i="33"/>
  <c r="I222" i="33"/>
  <c r="I226" i="33"/>
  <c r="I230" i="33"/>
  <c r="I234" i="33"/>
  <c r="I238" i="33"/>
  <c r="J128" i="32"/>
  <c r="M12" i="31"/>
  <c r="J218" i="33"/>
  <c r="J226" i="33"/>
  <c r="J238" i="33"/>
  <c r="M58" i="37"/>
  <c r="M67" i="37"/>
  <c r="F34" i="7"/>
  <c r="AH34" i="7" s="1"/>
  <c r="F24" i="7"/>
  <c r="AD24" i="7" s="1"/>
  <c r="F28" i="7"/>
  <c r="AD28" i="7" s="1"/>
  <c r="D9" i="1"/>
  <c r="F32" i="7"/>
  <c r="AD32" i="7" s="1"/>
  <c r="K128" i="32"/>
  <c r="K132" i="32"/>
  <c r="M14" i="31"/>
  <c r="K222" i="33"/>
  <c r="K226" i="33"/>
  <c r="K230" i="33"/>
  <c r="K234" i="33"/>
  <c r="K238" i="33"/>
  <c r="I241" i="33"/>
  <c r="AD45" i="6"/>
  <c r="I137" i="32"/>
  <c r="M15" i="31"/>
  <c r="J241" i="33"/>
  <c r="F18" i="7"/>
  <c r="AB18" i="7" s="1"/>
  <c r="I131" i="32"/>
  <c r="J5" i="5"/>
  <c r="F44" i="7"/>
  <c r="AH44" i="7" s="1"/>
  <c r="F17" i="6"/>
  <c r="L17" i="6" s="1"/>
  <c r="F23" i="6"/>
  <c r="V23" i="6" s="1"/>
  <c r="F26" i="6"/>
  <c r="AD26" i="6" s="1"/>
  <c r="F40" i="6"/>
  <c r="AJ40" i="6" s="1"/>
  <c r="M135" i="8"/>
  <c r="M138" i="8"/>
  <c r="M141" i="8"/>
  <c r="L47" i="30"/>
  <c r="M74" i="30"/>
  <c r="M77" i="30"/>
  <c r="M80" i="30"/>
  <c r="J129" i="32"/>
  <c r="J133" i="32"/>
  <c r="J137" i="32"/>
  <c r="M16" i="31"/>
  <c r="J219" i="33"/>
  <c r="J223" i="33"/>
  <c r="J231" i="33"/>
  <c r="M53" i="37"/>
  <c r="H21" i="13"/>
  <c r="AD27" i="6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6" i="5"/>
  <c r="K7" i="39" s="1"/>
  <c r="J12" i="5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AL18" i="7"/>
  <c r="R18" i="7"/>
  <c r="F14" i="7"/>
  <c r="AH14" i="7" s="1"/>
  <c r="L18" i="7"/>
  <c r="AH8" i="7"/>
  <c r="AB8" i="7"/>
  <c r="T8" i="7"/>
  <c r="N8" i="7"/>
  <c r="AF8" i="7"/>
  <c r="Z8" i="7"/>
  <c r="AL8" i="7"/>
  <c r="AD8" i="7"/>
  <c r="X8" i="7"/>
  <c r="R8" i="7"/>
  <c r="L8" i="7"/>
  <c r="AJ8" i="7"/>
  <c r="V8" i="7"/>
  <c r="P8" i="7"/>
  <c r="J8" i="7"/>
  <c r="AH10" i="7"/>
  <c r="AB10" i="7"/>
  <c r="T10" i="7"/>
  <c r="N10" i="7"/>
  <c r="AF10" i="7"/>
  <c r="Z10" i="7"/>
  <c r="AL10" i="7"/>
  <c r="AD10" i="7"/>
  <c r="X10" i="7"/>
  <c r="R10" i="7"/>
  <c r="L10" i="7"/>
  <c r="AJ10" i="7"/>
  <c r="V10" i="7"/>
  <c r="P10" i="7"/>
  <c r="J10" i="7"/>
  <c r="AH12" i="7"/>
  <c r="AB12" i="7"/>
  <c r="T12" i="7"/>
  <c r="N12" i="7"/>
  <c r="AF12" i="7"/>
  <c r="Z12" i="7"/>
  <c r="AL12" i="7"/>
  <c r="AD12" i="7"/>
  <c r="X12" i="7"/>
  <c r="R12" i="7"/>
  <c r="L12" i="7"/>
  <c r="AJ12" i="7"/>
  <c r="V12" i="7"/>
  <c r="P12" i="7"/>
  <c r="J12" i="7"/>
  <c r="F9" i="7"/>
  <c r="F13" i="7"/>
  <c r="F7" i="7"/>
  <c r="F11" i="7"/>
  <c r="F15" i="7"/>
  <c r="AF18" i="7"/>
  <c r="Z18" i="7"/>
  <c r="AJ18" i="7"/>
  <c r="V18" i="7"/>
  <c r="N18" i="7"/>
  <c r="T18" i="7"/>
  <c r="AD18" i="7"/>
  <c r="F19" i="7"/>
  <c r="N19" i="7" s="1"/>
  <c r="T22" i="7"/>
  <c r="AD22" i="7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J18" i="7"/>
  <c r="P18" i="7"/>
  <c r="X18" i="7"/>
  <c r="AH18" i="7"/>
  <c r="N22" i="7"/>
  <c r="X22" i="7"/>
  <c r="N30" i="7"/>
  <c r="F21" i="7"/>
  <c r="T21" i="7" s="1"/>
  <c r="AF22" i="7"/>
  <c r="Z22" i="7"/>
  <c r="AJ22" i="7"/>
  <c r="V22" i="7"/>
  <c r="P22" i="7"/>
  <c r="J22" i="7"/>
  <c r="R22" i="7"/>
  <c r="AB22" i="7"/>
  <c r="AL22" i="7"/>
  <c r="F25" i="7"/>
  <c r="AD25" i="7" s="1"/>
  <c r="F29" i="7"/>
  <c r="AD29" i="7" s="1"/>
  <c r="F33" i="7"/>
  <c r="AD33" i="7" s="1"/>
  <c r="J34" i="7"/>
  <c r="R34" i="7"/>
  <c r="AC46" i="7"/>
  <c r="B19" i="13" s="1"/>
  <c r="C19" i="13" s="1"/>
  <c r="E19" i="13" s="1"/>
  <c r="F43" i="7"/>
  <c r="N43" i="7" s="1"/>
  <c r="L22" i="7"/>
  <c r="AH19" i="6"/>
  <c r="AJ19" i="6"/>
  <c r="X19" i="6"/>
  <c r="P19" i="6"/>
  <c r="J19" i="6"/>
  <c r="V19" i="6"/>
  <c r="L19" i="6"/>
  <c r="AL19" i="6"/>
  <c r="AH23" i="6"/>
  <c r="AD23" i="6"/>
  <c r="AJ23" i="6"/>
  <c r="X23" i="6"/>
  <c r="P23" i="6"/>
  <c r="J26" i="6"/>
  <c r="P27" i="6"/>
  <c r="AJ27" i="6"/>
  <c r="P45" i="6"/>
  <c r="AJ45" i="6"/>
  <c r="J27" i="6"/>
  <c r="AL27" i="6"/>
  <c r="J45" i="6"/>
  <c r="AL45" i="6"/>
  <c r="H23" i="13"/>
  <c r="N19" i="6"/>
  <c r="F21" i="6"/>
  <c r="L21" i="6" s="1"/>
  <c r="L27" i="6"/>
  <c r="F31" i="6"/>
  <c r="N31" i="6" s="1"/>
  <c r="L45" i="6"/>
  <c r="X27" i="6"/>
  <c r="X45" i="6"/>
  <c r="N27" i="6"/>
  <c r="V27" i="6"/>
  <c r="N35" i="6"/>
  <c r="N45" i="6"/>
  <c r="V45" i="6"/>
  <c r="F20" i="6"/>
  <c r="N20" i="6" s="1"/>
  <c r="N22" i="6"/>
  <c r="T22" i="6"/>
  <c r="T25" i="6"/>
  <c r="AF25" i="6"/>
  <c r="AL17" i="6"/>
  <c r="X17" i="6"/>
  <c r="P17" i="6"/>
  <c r="J17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N14" i="6" s="1"/>
  <c r="J22" i="6"/>
  <c r="AF26" i="6"/>
  <c r="Z26" i="6"/>
  <c r="AJ26" i="6"/>
  <c r="F29" i="6"/>
  <c r="F16" i="6"/>
  <c r="N16" i="6" s="1"/>
  <c r="Z17" i="6"/>
  <c r="AL25" i="6"/>
  <c r="AD25" i="6"/>
  <c r="X25" i="6"/>
  <c r="L25" i="6"/>
  <c r="AJ25" i="6"/>
  <c r="V25" i="6"/>
  <c r="P25" i="6"/>
  <c r="J25" i="6"/>
  <c r="N30" i="6"/>
  <c r="T30" i="6"/>
  <c r="AH30" i="6"/>
  <c r="N34" i="6"/>
  <c r="N44" i="6"/>
  <c r="T44" i="6"/>
  <c r="AH44" i="6"/>
  <c r="J30" i="6"/>
  <c r="P30" i="6"/>
  <c r="V30" i="6"/>
  <c r="AJ30" i="6"/>
  <c r="F33" i="6"/>
  <c r="F43" i="6"/>
  <c r="J44" i="6"/>
  <c r="P44" i="6"/>
  <c r="V44" i="6"/>
  <c r="AJ44" i="6"/>
  <c r="Z19" i="6"/>
  <c r="AF19" i="6"/>
  <c r="AF23" i="6"/>
  <c r="Z27" i="6"/>
  <c r="AF27" i="6"/>
  <c r="F28" i="6"/>
  <c r="N28" i="6" s="1"/>
  <c r="L30" i="6"/>
  <c r="X30" i="6"/>
  <c r="AD30" i="6"/>
  <c r="AL30" i="6"/>
  <c r="F32" i="6"/>
  <c r="N32" i="6" s="1"/>
  <c r="L44" i="6"/>
  <c r="X44" i="6"/>
  <c r="AD44" i="6"/>
  <c r="AL44" i="6"/>
  <c r="Z45" i="6"/>
  <c r="AF45" i="6"/>
  <c r="T19" i="6"/>
  <c r="T27" i="6"/>
  <c r="Z30" i="6"/>
  <c r="Z44" i="6"/>
  <c r="T45" i="6"/>
  <c r="AH10" i="6"/>
  <c r="AF10" i="6"/>
  <c r="Z10" i="6"/>
  <c r="AL10" i="6"/>
  <c r="X10" i="6"/>
  <c r="L10" i="6"/>
  <c r="AJ10" i="6"/>
  <c r="V10" i="6"/>
  <c r="P10" i="6"/>
  <c r="J10" i="6"/>
  <c r="T10" i="6"/>
  <c r="N10" i="6"/>
  <c r="AD10" i="6"/>
  <c r="AL7" i="6"/>
  <c r="X7" i="6"/>
  <c r="L7" i="6"/>
  <c r="AJ7" i="6"/>
  <c r="V7" i="6"/>
  <c r="P7" i="6"/>
  <c r="J7" i="6"/>
  <c r="AH7" i="6"/>
  <c r="G7" i="6"/>
  <c r="AF7" i="6"/>
  <c r="Z7" i="6"/>
  <c r="T7" i="6"/>
  <c r="N7" i="6"/>
  <c r="AD7" i="6"/>
  <c r="AL11" i="6"/>
  <c r="X11" i="6"/>
  <c r="L11" i="6"/>
  <c r="AJ11" i="6"/>
  <c r="V11" i="6"/>
  <c r="P11" i="6"/>
  <c r="J11" i="6"/>
  <c r="AH11" i="6"/>
  <c r="T11" i="6"/>
  <c r="AF11" i="6"/>
  <c r="Z11" i="6"/>
  <c r="N11" i="6"/>
  <c r="AD11" i="6"/>
  <c r="AH8" i="6"/>
  <c r="AF8" i="6"/>
  <c r="Z8" i="6"/>
  <c r="AL8" i="6"/>
  <c r="X8" i="6"/>
  <c r="L8" i="6"/>
  <c r="AJ8" i="6"/>
  <c r="V8" i="6"/>
  <c r="P8" i="6"/>
  <c r="J8" i="6"/>
  <c r="AD8" i="6"/>
  <c r="T8" i="6"/>
  <c r="N8" i="6"/>
  <c r="AH12" i="6"/>
  <c r="AF12" i="6"/>
  <c r="Z12" i="6"/>
  <c r="AL12" i="6"/>
  <c r="X12" i="6"/>
  <c r="L12" i="6"/>
  <c r="AJ12" i="6"/>
  <c r="V12" i="6"/>
  <c r="P12" i="6"/>
  <c r="J12" i="6"/>
  <c r="T12" i="6"/>
  <c r="N12" i="6"/>
  <c r="AD12" i="6"/>
  <c r="AL9" i="6"/>
  <c r="X9" i="6"/>
  <c r="L9" i="6"/>
  <c r="AJ9" i="6"/>
  <c r="V9" i="6"/>
  <c r="P9" i="6"/>
  <c r="J9" i="6"/>
  <c r="AH9" i="6"/>
  <c r="AF9" i="6"/>
  <c r="Z9" i="6"/>
  <c r="N9" i="6"/>
  <c r="AD9" i="6"/>
  <c r="T9" i="6"/>
  <c r="AL13" i="6"/>
  <c r="X13" i="6"/>
  <c r="L13" i="6"/>
  <c r="AJ13" i="6"/>
  <c r="V13" i="6"/>
  <c r="P13" i="6"/>
  <c r="J13" i="6"/>
  <c r="AH13" i="6"/>
  <c r="AF13" i="6"/>
  <c r="Z13" i="6"/>
  <c r="AD13" i="6"/>
  <c r="T13" i="6"/>
  <c r="N13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M9" i="31"/>
  <c r="M13" i="31"/>
  <c r="M17" i="31"/>
  <c r="J128" i="31"/>
  <c r="P42" i="32"/>
  <c r="U22" i="32"/>
  <c r="Z22" i="32" s="1"/>
  <c r="AE22" i="32" s="1"/>
  <c r="AJ22" i="32" s="1"/>
  <c r="AO22" i="32" s="1"/>
  <c r="AT22" i="32" s="1"/>
  <c r="M17" i="32"/>
  <c r="M21" i="32"/>
  <c r="M18" i="32"/>
  <c r="M19" i="32"/>
  <c r="L7" i="32"/>
  <c r="M7" i="32"/>
  <c r="M8" i="32"/>
  <c r="M9" i="32"/>
  <c r="M10" i="32"/>
  <c r="M11" i="32"/>
  <c r="M12" i="32"/>
  <c r="M13" i="32"/>
  <c r="M14" i="32"/>
  <c r="M15" i="32"/>
  <c r="M16" i="32"/>
  <c r="M20" i="32"/>
  <c r="U22" i="30"/>
  <c r="Z22" i="30" s="1"/>
  <c r="AE22" i="30" s="1"/>
  <c r="AJ22" i="30" s="1"/>
  <c r="AO22" i="30" s="1"/>
  <c r="AT22" i="30" s="1"/>
  <c r="P42" i="30"/>
  <c r="M14" i="30"/>
  <c r="M11" i="30"/>
  <c r="M17" i="30"/>
  <c r="M21" i="30"/>
  <c r="L7" i="30"/>
  <c r="M7" i="30"/>
  <c r="M8" i="30"/>
  <c r="M9" i="30"/>
  <c r="M10" i="30"/>
  <c r="M12" i="30"/>
  <c r="M13" i="30"/>
  <c r="M18" i="30"/>
  <c r="M15" i="30"/>
  <c r="M19" i="30"/>
  <c r="M132" i="30"/>
  <c r="M16" i="30"/>
  <c r="M20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M8" i="33"/>
  <c r="M9" i="33"/>
  <c r="M10" i="33"/>
  <c r="M11" i="33"/>
  <c r="M12" i="33"/>
  <c r="M13" i="33"/>
  <c r="M14" i="33"/>
  <c r="M15" i="33"/>
  <c r="M16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4" i="33"/>
  <c r="M31" i="33"/>
  <c r="M35" i="33"/>
  <c r="M32" i="33"/>
  <c r="M36" i="33"/>
  <c r="L7" i="33"/>
  <c r="M7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7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9" i="8"/>
  <c r="M33" i="8"/>
  <c r="M26" i="8"/>
  <c r="M30" i="8"/>
  <c r="M34" i="8"/>
  <c r="M27" i="8"/>
  <c r="M31" i="8"/>
  <c r="M35" i="8"/>
  <c r="M28" i="8"/>
  <c r="M32" i="8"/>
  <c r="M36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6" i="6"/>
  <c r="AC47" i="6" s="1"/>
  <c r="S46" i="6"/>
  <c r="S47" i="6" s="1"/>
  <c r="H16" i="13" s="1"/>
  <c r="F38" i="6"/>
  <c r="AH38" i="6" s="1"/>
  <c r="M46" i="6"/>
  <c r="M47" i="6" s="1"/>
  <c r="AL40" i="6"/>
  <c r="F37" i="6"/>
  <c r="N37" i="6" s="1"/>
  <c r="F41" i="6"/>
  <c r="F39" i="6"/>
  <c r="N39" i="6" s="1"/>
  <c r="F42" i="7"/>
  <c r="AH42" i="7" s="1"/>
  <c r="S46" i="7"/>
  <c r="S47" i="7" s="1"/>
  <c r="F38" i="7"/>
  <c r="AH38" i="7" s="1"/>
  <c r="F37" i="7"/>
  <c r="N37" i="7" s="1"/>
  <c r="F41" i="7"/>
  <c r="N41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C23" i="13"/>
  <c r="E23" i="13" s="1"/>
  <c r="E6" i="13"/>
  <c r="B11" i="13"/>
  <c r="B8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B36" i="39" s="1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B35" i="39" s="1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B34" i="39" s="1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B33" i="39" s="1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B31" i="39" s="1"/>
  <c r="M87" i="31"/>
  <c r="M95" i="31"/>
  <c r="M96" i="31"/>
  <c r="M97" i="31"/>
  <c r="M98" i="31"/>
  <c r="M99" i="31"/>
  <c r="M100" i="31"/>
  <c r="M95" i="32"/>
  <c r="L87" i="32"/>
  <c r="B30" i="39" s="1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B29" i="39" s="1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T35" i="6" l="1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X35" i="6"/>
  <c r="J35" i="6"/>
  <c r="R44" i="7"/>
  <c r="AF40" i="6"/>
  <c r="AZ14" i="30"/>
  <c r="L26" i="6"/>
  <c r="L44" i="7"/>
  <c r="Z44" i="7"/>
  <c r="Z40" i="6"/>
  <c r="AZ27" i="33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C1" i="37"/>
  <c r="B36" i="13" s="1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36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C1" i="34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H8" i="6"/>
  <c r="T18" i="6"/>
  <c r="N18" i="6"/>
  <c r="I7" i="13"/>
  <c r="K7" i="13" s="1"/>
  <c r="AD27" i="7"/>
  <c r="AD23" i="7"/>
  <c r="AD19" i="7"/>
  <c r="T27" i="7"/>
  <c r="G14" i="7"/>
  <c r="AD45" i="7"/>
  <c r="N15" i="7"/>
  <c r="T19" i="7"/>
  <c r="H8" i="7"/>
  <c r="M47" i="7"/>
  <c r="AL11" i="7"/>
  <c r="AD11" i="7"/>
  <c r="X11" i="7"/>
  <c r="R11" i="7"/>
  <c r="L11" i="7"/>
  <c r="AJ11" i="7"/>
  <c r="V11" i="7"/>
  <c r="P11" i="7"/>
  <c r="J11" i="7"/>
  <c r="AH11" i="7"/>
  <c r="AB11" i="7"/>
  <c r="T11" i="7"/>
  <c r="N11" i="7"/>
  <c r="AF11" i="7"/>
  <c r="Z11" i="7"/>
  <c r="AL13" i="7"/>
  <c r="AD13" i="7"/>
  <c r="X13" i="7"/>
  <c r="R13" i="7"/>
  <c r="L13" i="7"/>
  <c r="AJ13" i="7"/>
  <c r="V13" i="7"/>
  <c r="P13" i="7"/>
  <c r="J13" i="7"/>
  <c r="AH13" i="7"/>
  <c r="AB13" i="7"/>
  <c r="T13" i="7"/>
  <c r="N13" i="7"/>
  <c r="AF13" i="7"/>
  <c r="Z13" i="7"/>
  <c r="AL9" i="7"/>
  <c r="AD9" i="7"/>
  <c r="X9" i="7"/>
  <c r="R9" i="7"/>
  <c r="L9" i="7"/>
  <c r="AJ9" i="7"/>
  <c r="V9" i="7"/>
  <c r="P9" i="7"/>
  <c r="J9" i="7"/>
  <c r="AH9" i="7"/>
  <c r="AB9" i="7"/>
  <c r="T9" i="7"/>
  <c r="N9" i="7"/>
  <c r="AF9" i="7"/>
  <c r="Z9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AF7" i="7"/>
  <c r="Z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G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F41" i="6"/>
  <c r="Z41" i="6"/>
  <c r="AL41" i="6"/>
  <c r="AD41" i="6"/>
  <c r="X41" i="6"/>
  <c r="L41" i="6"/>
  <c r="AJ41" i="6"/>
  <c r="V41" i="6"/>
  <c r="P41" i="6"/>
  <c r="J41" i="6"/>
  <c r="AH41" i="6"/>
  <c r="T41" i="6"/>
  <c r="N41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F41" i="7"/>
  <c r="Z41" i="7"/>
  <c r="AL41" i="7"/>
  <c r="AD41" i="7"/>
  <c r="X41" i="7"/>
  <c r="R41" i="7"/>
  <c r="L41" i="7"/>
  <c r="AJ41" i="7"/>
  <c r="V41" i="7"/>
  <c r="P41" i="7"/>
  <c r="J41" i="7"/>
  <c r="AH41" i="7"/>
  <c r="AB41" i="7"/>
  <c r="T41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B7" i="13"/>
  <c r="X36" i="6"/>
  <c r="N36" i="6"/>
  <c r="J36" i="6"/>
  <c r="AD36" i="6"/>
  <c r="Z36" i="6"/>
  <c r="T36" i="6"/>
  <c r="L36" i="6"/>
  <c r="P36" i="6"/>
  <c r="AF36" i="6"/>
  <c r="AH36" i="6"/>
  <c r="V36" i="6"/>
  <c r="B9" i="13"/>
  <c r="E9" i="13" s="1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C24" i="13" l="1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<sst xmlns="http://schemas.openxmlformats.org/spreadsheetml/2006/main" count="6766" uniqueCount="964">
  <si>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</si>
  <si>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</si>
  <si>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</si>
  <si>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</si>
  <si>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</si>
  <si>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</si>
  <si>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</si>
  <si>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</si>
  <si>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</si>
  <si>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</si>
  <si>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</si>
  <si>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</si>
  <si>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</si>
  <si>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</si>
  <si>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</si>
  <si>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</si>
  <si>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</si>
  <si>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</si>
  <si>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</si>
  <si>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</si>
  <si>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</si>
  <si>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</si>
  <si>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</si>
  <si>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</si>
  <si>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</si>
  <si>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</si>
  <si>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</si>
  <si>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</si>
  <si>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</si>
  <si>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</si>
  <si>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</si>
  <si>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</si>
  <si>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</si>
  <si>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</si>
  <si>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</si>
  <si>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</si>
  <si>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</si>
  <si>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</si>
  <si>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</si>
  <si>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</si>
  <si>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</si>
  <si>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</si>
  <si>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</si>
  <si>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</si>
  <si>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</si>
  <si>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</si>
  <si>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</si>
  <si>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</si>
  <si>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</si>
  <si>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</si>
  <si>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</si>
  <si>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</si>
  <si>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</si>
  <si>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</si>
  <si>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</si>
  <si>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</si>
  <si>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</si>
  <si>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</si>
  <si>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</si>
  <si>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</si>
  <si>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</si>
  <si>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</si>
  <si>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</si>
  <si>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</si>
  <si>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</si>
  <si>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</si>
  <si>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</si>
  <si>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</si>
  <si>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</si>
  <si>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</si>
  <si>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</si>
  <si>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</si>
  <si>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</si>
  <si>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</si>
  <si>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</si>
  <si>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</si>
  <si>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</si>
  <si>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</si>
  <si>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</si>
  <si>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</si>
  <si>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</si>
  <si>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</si>
  <si>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</si>
  <si>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</si>
  <si>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</si>
  <si>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</si>
  <si>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</si>
  <si>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</si>
  <si>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</si>
  <si>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</si>
  <si>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</si>
  <si>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</si>
  <si>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</si>
  <si>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</si>
  <si>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</si>
  <si>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</si>
  <si>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</si>
  <si>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</si>
  <si>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</si>
  <si>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</si>
  <si>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</si>
  <si>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</si>
  <si>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</si>
  <si>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</si>
  <si>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</si>
  <si>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</si>
  <si>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</si>
  <si>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</si>
  <si>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</si>
  <si>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</si>
  <si>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</si>
  <si>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</si>
  <si>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</si>
  <si>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</si>
  <si>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</si>
  <si>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</si>
  <si>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</si>
  <si>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</si>
  <si>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</si>
  <si>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</si>
  <si>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</si>
  <si>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</si>
  <si>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</si>
  <si>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</si>
  <si>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</si>
  <si>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</si>
  <si>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</si>
  <si>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</si>
  <si>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</si>
  <si>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</si>
  <si>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</si>
  <si>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</si>
  <si>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</si>
  <si>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</si>
  <si>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</si>
  <si>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</si>
  <si>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</si>
  <si>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</si>
  <si>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</si>
  <si>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</si>
  <si>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</si>
  <si>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</si>
  <si>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</si>
  <si>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</si>
  <si>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</si>
  <si>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</si>
  <si>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</si>
  <si>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</si>
  <si>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</si>
  <si>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</si>
  <si>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</si>
  <si>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</si>
  <si>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</si>
  <si>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</si>
  <si>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</si>
  <si>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</si>
  <si>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</si>
  <si>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</si>
  <si>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</si>
  <si>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</si>
  <si>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</si>
  <si>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</si>
  <si>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</si>
  <si>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</si>
  <si>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</si>
  <si>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</si>
  <si>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</si>
  <si>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</si>
  <si>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</si>
  <si>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</si>
  <si>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</si>
  <si>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</si>
  <si>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</si>
  <si>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</si>
  <si>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</si>
  <si>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</si>
  <si>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</si>
  <si>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</si>
  <si>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</si>
  <si>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</si>
  <si>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</si>
  <si>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</si>
  <si>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</si>
  <si>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</si>
  <si>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</si>
  <si>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</si>
  <si>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</si>
  <si>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</si>
  <si>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</si>
  <si>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</si>
  <si>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</si>
  <si>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</si>
  <si>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</si>
  <si>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</si>
  <si>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</si>
  <si>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</si>
  <si>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</si>
  <si>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</si>
  <si>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</si>
  <si>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</si>
  <si>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</si>
  <si>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</si>
  <si>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</si>
  <si>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</si>
  <si>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</si>
  <si>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</si>
  <si>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</si>
  <si>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</si>
  <si>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</si>
  <si>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</si>
  <si>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</si>
  <si>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</si>
  <si>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</si>
  <si>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</si>
  <si>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</si>
  <si>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</si>
  <si>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</si>
  <si>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</si>
  <si>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</si>
  <si>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</si>
  <si>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</si>
  <si>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</si>
  <si>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</si>
  <si>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</si>
  <si>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</si>
  <si>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</si>
  <si>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</si>
  <si>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</si>
  <si>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</si>
  <si>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</si>
  <si>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</si>
  <si>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</si>
  <si>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</si>
  <si>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</si>
  <si>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</si>
  <si>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</si>
  <si>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</si>
  <si>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</si>
  <si>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</si>
  <si>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</si>
  <si>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</si>
  <si>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</si>
  <si>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</si>
  <si>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</si>
  <si>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</si>
  <si>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</si>
  <si>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</si>
  <si>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</si>
  <si>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</si>
  <si>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</si>
  <si>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</si>
  <si>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</si>
  <si>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</si>
  <si>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</si>
  <si>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</si>
  <si>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</si>
  <si>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</si>
  <si>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</si>
  <si>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</si>
  <si>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</si>
  <si>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</si>
  <si>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</si>
  <si>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</si>
  <si>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</si>
  <si>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</si>
  <si>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</si>
  <si>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</si>
  <si>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</si>
  <si>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</si>
  <si>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</si>
  <si>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</si>
  <si>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</si>
  <si>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</si>
  <si>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</si>
  <si>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</si>
  <si>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</si>
  <si>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</si>
  <si>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</si>
  <si>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</si>
  <si>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</si>
  <si>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</si>
  <si>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</si>
  <si>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</si>
  <si>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</si>
  <si>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</si>
  <si>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</si>
  <si>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</si>
  <si>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</si>
  <si>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</si>
  <si>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</si>
  <si>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</si>
  <si>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</si>
  <si>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</si>
  <si>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</si>
  <si>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</si>
  <si>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</si>
  <si>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</si>
  <si>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</si>
  <si>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</si>
  <si>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</si>
  <si>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</si>
  <si>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</si>
  <si>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</si>
  <si>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</si>
  <si>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</si>
  <si>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</si>
  <si>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</si>
  <si>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</si>
  <si>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</si>
  <si>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</si>
  <si>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</si>
  <si>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</si>
  <si>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</si>
  <si>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</si>
  <si>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</si>
  <si>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</si>
  <si>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</si>
  <si>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</si>
  <si>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</si>
  <si>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</si>
  <si>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</si>
  <si>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</si>
  <si>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</si>
  <si>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</si>
  <si>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</si>
  <si>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</si>
  <si>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</si>
  <si>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</si>
  <si>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</si>
  <si>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</si>
  <si>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</si>
  <si>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</si>
  <si>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</si>
  <si>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</si>
  <si>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</si>
  <si>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</si>
  <si>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</si>
  <si>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</si>
  <si>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</si>
  <si>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</si>
  <si>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</si>
  <si>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</si>
  <si>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</si>
  <si>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</si>
  <si>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二配蒸海鮮醬(料)</t>
  </si>
  <si>
    <t>生產課</t>
  </si>
  <si>
    <t>二配香拌海鮮醬肉絲蛋炒飯</t>
  </si>
  <si>
    <t>其他</t>
  </si>
  <si>
    <t>二配果香甘口咖哩腿丁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</si>
  <si>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</si>
  <si>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</si>
  <si>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</si>
  <si>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</si>
  <si>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</si>
  <si>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</si>
  <si>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</si>
  <si>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</si>
  <si>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</si>
  <si>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</si>
  <si>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蒜蒜燒豚飯</t>
  </si>
  <si>
    <t>二配川燙醃嫩化淨零碳排牛肉片</t>
  </si>
  <si>
    <t>二配港式香滑嫩蛋牛肉燴飯</t>
  </si>
  <si>
    <t>鮭魚炙燒明太子烤飯糰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</si>
  <si>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</si>
  <si>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</si>
  <si>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</si>
  <si>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</si>
  <si>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</si>
  <si>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</si>
  <si>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</si>
  <si>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</si>
  <si>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</si>
  <si>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</si>
  <si>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香辣鹹水雞飯糰(區)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</si>
  <si>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</si>
  <si>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</si>
  <si>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</si>
  <si>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</si>
  <si>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</si>
  <si>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</si>
  <si>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二配油蔥G絲飯糰</t>
  </si>
  <si>
    <t>長野稻荷壽司</t>
  </si>
  <si>
    <t>雙饗雙手卷</t>
  </si>
  <si>
    <t>海饌雙手卷</t>
  </si>
  <si>
    <t>芝麻海苔香鬆細卷</t>
  </si>
  <si>
    <t>日式明太子炙烤牛飯卷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</si>
  <si>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</si>
  <si>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</si>
  <si>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</si>
  <si>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</si>
  <si>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</si>
  <si>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</si>
  <si>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</si>
  <si>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</si>
  <si>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</si>
  <si>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</si>
  <si>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二配金咖哩濃厚辛辣咖哩飯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</si>
  <si>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</si>
  <si>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</si>
  <si>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</si>
  <si>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</si>
  <si>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</si>
  <si>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</si>
  <si>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</si>
  <si>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</si>
  <si>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</si>
  <si>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</si>
  <si>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滿滿杏鮑菇三杯拌麵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</si>
  <si>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</si>
  <si>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</si>
  <si>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</si>
  <si>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</si>
  <si>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</si>
  <si>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</si>
  <si>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</si>
  <si>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</si>
  <si>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</si>
  <si>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</si>
  <si>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</si>
  <si>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</si>
  <si>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</si>
  <si>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</si>
  <si>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</si>
  <si>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</si>
  <si>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</si>
  <si>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</si>
  <si>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胡麻鮮蔬雞絲飯糰(區)</t>
  </si>
  <si>
    <t>柚見極炙烤牛</t>
  </si>
  <si>
    <t>姨次滿足熟成牛豚雙拼</t>
  </si>
  <si>
    <t>－</t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</si>
  <si>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</si>
  <si>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</si>
  <si>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</si>
  <si>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</si>
  <si>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</si>
  <si>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準備課</t>
  </si>
  <si>
    <t>二配果香甘口咖哩醬</t>
  </si>
  <si>
    <t>二配辛口咖哩豬肉(112年)</t>
  </si>
  <si>
    <t>壹號醬雞豚雙拼</t>
  </si>
  <si>
    <t>切-究極燒肉片</t>
  </si>
  <si>
    <t>炙烤燒肉拌麵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</si>
  <si>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</si>
  <si>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</si>
  <si>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</si>
  <si>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</si>
  <si>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</si>
  <si>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</si>
  <si>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</si>
  <si>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</si>
  <si>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</si>
  <si>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</si>
  <si>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</si>
  <si>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</si>
  <si>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</si>
  <si>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</si>
  <si>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</si>
  <si>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</si>
  <si>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</si>
  <si>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</si>
  <si>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</si>
  <si>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</si>
  <si>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</si>
  <si>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</si>
  <si>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</si>
  <si>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</si>
  <si>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</si>
  <si>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</si>
  <si>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</si>
  <si>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春日部防衛隊的咖哩炒麵</t>
  </si>
  <si>
    <t>哇沙米魚卵沙拉飯糰</t>
  </si>
  <si>
    <t>新之助の豆皮壽司喔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</si>
  <si>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</si>
  <si>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</si>
  <si>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</si>
  <si>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</si>
  <si>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蕃茄起司手工千層麵(區)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</si>
  <si>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</si>
  <si>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</si>
  <si>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</si>
  <si>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</si>
  <si>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</si>
  <si>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</si>
  <si>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</si>
  <si>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</si>
  <si>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</si>
  <si>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</si>
  <si>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</si>
  <si>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</si>
  <si>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</si>
  <si>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</si>
  <si>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</si>
  <si>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</si>
  <si>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</si>
  <si>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</si>
  <si>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</si>
  <si>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</si>
  <si>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</si>
  <si>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</si>
  <si>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</si>
  <si>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</si>
  <si>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</si>
  <si>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</si>
  <si>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</si>
  <si>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</si>
  <si>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</si>
  <si>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</si>
  <si>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</si>
  <si>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</si>
  <si>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</si>
  <si>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</si>
  <si>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</si>
  <si>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</si>
  <si>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</si>
  <si>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</si>
  <si>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</si>
  <si>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</si>
  <si>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</si>
  <si>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</si>
  <si>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</si>
  <si>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</si>
  <si>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</si>
  <si>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</si>
  <si>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</si>
  <si>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</si>
  <si>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</si>
  <si>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</si>
  <si>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</si>
  <si>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</si>
  <si>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</si>
  <si>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</si>
  <si>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</si>
  <si>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</si>
  <si>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</si>
  <si>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</si>
  <si>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</si>
  <si>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</si>
  <si>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</si>
  <si>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</si>
  <si>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</si>
  <si>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</si>
  <si>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</si>
  <si>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</si>
  <si>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糖燻野郎起司炙燒牛烤飯糰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</si>
  <si>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</si>
  <si>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</si>
  <si>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</si>
  <si>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</si>
  <si>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</si>
  <si>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</si>
  <si>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</si>
  <si>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</si>
  <si>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</si>
  <si>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</si>
  <si>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</si>
  <si>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</si>
  <si>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</si>
  <si>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品群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</si>
  <si>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</si>
  <si>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</si>
  <si>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</si>
  <si>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</si>
  <si>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排名</t>
    <phoneticPr fontId="11" type="noConversion"/>
  </si>
  <si>
    <t>產能／時</t>
    <phoneticPr fontId="11" type="noConversion"/>
  </si>
  <si>
    <t>人時性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</si>
  <si>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</si>
  <si>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</si>
  <si>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</si>
  <si>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</si>
  <si>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</si>
  <si>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</si>
  <si>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</si>
  <si>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</si>
  <si>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</si>
  <si>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</si>
  <si>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</si>
  <si>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</si>
  <si>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</si>
  <si>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</si>
  <si>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</si>
  <si>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</si>
  <si>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</si>
  <si>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</si>
  <si>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</si>
  <si>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</si>
  <si>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</si>
  <si>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</si>
  <si>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</si>
  <si>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</si>
  <si>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</si>
  <si>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</si>
  <si>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魚介雞叉燒辣拌麵</t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</si>
  <si>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</si>
  <si>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</si>
  <si>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</si>
  <si>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</si>
  <si>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</si>
  <si>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</si>
  <si>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</si>
  <si>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</si>
  <si>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</si>
  <si>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</si>
  <si>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</si>
  <si>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</si>
  <si>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</si>
  <si>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</si>
  <si>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</si>
  <si>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</si>
  <si>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</si>
  <si>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</si>
  <si>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</si>
  <si>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t>增加線上抽秤頻率</t>
  </si>
  <si>
    <t>切蒸新原味雞胸排CL</t>
  </si>
  <si>
    <t>博多明太子奶油飯糰</t>
  </si>
  <si>
    <t>切筋子</t>
  </si>
  <si>
    <t>筋子銀鮭飯糰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</si>
  <si>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</si>
  <si>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</si>
  <si>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</si>
  <si>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</si>
  <si>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</si>
  <si>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</si>
  <si>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</si>
  <si>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</si>
  <si>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</si>
  <si>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粗剝-蒸鰤魚</t>
  </si>
  <si>
    <t>照燒鰤魚大根飯糰</t>
  </si>
  <si>
    <t>煮魚介湯凍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</si>
  <si>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</si>
  <si>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</si>
  <si>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</si>
  <si>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</si>
  <si>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</si>
  <si>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</si>
  <si>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</si>
  <si>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</si>
  <si>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</si>
  <si>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</si>
  <si>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</si>
  <si>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</si>
  <si>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</si>
  <si>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</si>
  <si>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</si>
  <si>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雙醬雞排鐵板麵</t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</si>
  <si>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</si>
  <si>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</si>
  <si>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</si>
  <si>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</si>
  <si>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</si>
  <si>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</si>
  <si>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</si>
  <si>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</si>
  <si>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</si>
  <si>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</si>
  <si>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</si>
  <si>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</si>
  <si>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</si>
  <si>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</si>
  <si>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</si>
  <si>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</si>
  <si>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香濃起司蟹風味棒細卷</t>
  </si>
  <si>
    <t>家傳炸醬麵</t>
  </si>
  <si>
    <t>擔仔炊粉湯</t>
  </si>
  <si>
    <t>白味噌壽喜燒飯</t>
  </si>
  <si>
    <t>照燒雞肉飯糰</t>
  </si>
  <si>
    <t>肉燥烤飯糰</t>
  </si>
  <si>
    <t>妮妮家漢堡排</t>
  </si>
  <si>
    <t>紅燒肉日式高湯咖哩便當</t>
  </si>
  <si>
    <t>蒜泥狠台味三拼</t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</si>
  <si>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</si>
  <si>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</si>
  <si>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</si>
  <si>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</si>
  <si>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</si>
  <si>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</si>
  <si>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</si>
  <si>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</si>
  <si>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</si>
  <si>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</si>
  <si>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</si>
  <si>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</si>
  <si>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</si>
  <si>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</si>
  <si>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</si>
  <si>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</si>
  <si>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</si>
  <si>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</si>
  <si>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</si>
  <si>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韓式部隊鍋</t>
  </si>
  <si>
    <t>原物料大小差異</t>
  </si>
  <si>
    <t>腿肉丁大小差異</t>
  </si>
  <si>
    <t>海陸雙拼肉肉餐盒</t>
  </si>
  <si>
    <t>經典鮪魚沙拉細卷</t>
  </si>
  <si>
    <t>取樣不穩</t>
  </si>
  <si>
    <t>德腸烤飯糰雙拼餐盒</t>
  </si>
  <si>
    <t>德式酸菜燻腸飯卷</t>
  </si>
  <si>
    <t>蔬活腿排補力餐盒</t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</si>
  <si>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</si>
  <si>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</si>
  <si>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</si>
  <si>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</si>
  <si>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</si>
  <si>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</si>
  <si>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</si>
  <si>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</si>
  <si>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</si>
  <si>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</si>
  <si>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蛤蜊五目中華燴麵</t>
  </si>
  <si>
    <t>二配西班牙風味海鮮燉飯</t>
  </si>
  <si>
    <t>川燙燴麵混蔬</t>
  </si>
  <si>
    <t>二配西班牙烤雞腿丁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</si>
  <si>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</si>
  <si>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</si>
  <si>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</si>
  <si>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</si>
  <si>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</si>
  <si>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</si>
  <si>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</si>
  <si>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</si>
  <si>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</si>
  <si>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</si>
  <si>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</si>
  <si>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</si>
  <si>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蒸蛤蜊-肉</t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</si>
  <si>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</si>
  <si>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</si>
  <si>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</si>
  <si>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</si>
  <si>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</si>
  <si>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</si>
  <si>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</si>
  <si>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</si>
  <si>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</si>
  <si>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</si>
  <si>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</si>
  <si>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</si>
  <si>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</si>
  <si>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</si>
  <si>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</si>
  <si>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</si>
  <si>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</si>
  <si>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</si>
  <si>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</si>
  <si>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</si>
  <si>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</si>
  <si>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</si>
  <si>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</si>
  <si>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照燒豬排纖食餐盒</t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</si>
  <si>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</si>
  <si>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</si>
  <si>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</si>
  <si>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</si>
  <si>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</si>
  <si>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</si>
  <si>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</si>
  <si>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</si>
  <si>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</si>
  <si>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</si>
  <si>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</si>
  <si>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</si>
  <si>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</si>
  <si>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</si>
  <si>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</si>
  <si>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</si>
  <si>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</si>
  <si>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</si>
  <si>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t>v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</si>
  <si>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</si>
  <si>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</si>
  <si>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</si>
  <si>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</si>
  <si>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</si>
  <si>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▼</t>
    <phoneticPr fontId="11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</si>
  <si>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</si>
  <si>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▲</t>
    <phoneticPr fontId="11" type="noConversion"/>
  </si>
  <si>
    <t>回饋研發，後續開發列入考量</t>
  </si>
  <si>
    <t>擠醬機設定確認</t>
  </si>
  <si>
    <t>生產前及生產中確認設定及實際出料狀況</t>
  </si>
  <si>
    <t>雞肉糾結成塊，放料容易有差異</t>
  </si>
  <si>
    <t>使用前先行撥散</t>
  </si>
  <si>
    <t>原物料肉塊的大小塊差異</t>
  </si>
  <si>
    <t>回饋研發，後續開發列入考量，設定放料量範圍。</t>
  </si>
  <si>
    <t>賣相設定要鋪滿，肉片狀態影響鋪滿效果</t>
  </si>
  <si>
    <t>調整分切方式，穩定分切長度減少小碎肉的報廢。回饋研發設定放料重量範圍。</t>
  </si>
  <si>
    <t>研發設定不拆包加熱製程，協調生產調整用量</t>
  </si>
  <si>
    <t>壽喜燒牛五花</t>
  </si>
  <si>
    <t>設定磅秤擦拭歸零頻率</t>
  </si>
  <si>
    <t>切博多明太子</t>
  </si>
  <si>
    <t>椒鹽檸檬鯖魚飯糰</t>
  </si>
  <si>
    <t>油蔥雞汁飯糰(區)</t>
  </si>
  <si>
    <t>雙鬆細卷</t>
  </si>
  <si>
    <t>滿滿海鮮沙拉脆卷</t>
  </si>
  <si>
    <t>訂單量減少</t>
    <phoneticPr fontId="11" type="noConversion"/>
  </si>
  <si>
    <t>蕃茄起司手工千層麵(區2)</t>
  </si>
  <si>
    <t>二配油煮蛤蜊-肉</t>
  </si>
  <si>
    <t>拌紅蔥手撕雞</t>
  </si>
  <si>
    <t>抓樣不穩</t>
  </si>
  <si>
    <t>炙烤雞腿丁(113年)</t>
  </si>
  <si>
    <t>二配油亮蒜味香腸片</t>
  </si>
  <si>
    <t>二配油亮後腿肉絲</t>
  </si>
  <si>
    <t>肉片大小長短差異，影響人員放料</t>
  </si>
  <si>
    <t>確認磅秤設定，及秤盤清潔頻率減少外在影響</t>
  </si>
  <si>
    <t>明太子玉子脆卷</t>
  </si>
  <si>
    <t>v</t>
    <phoneticPr fontId="11" type="noConversion"/>
  </si>
  <si>
    <t>家傳炸醬麵</t>
    <phoneticPr fontId="11" type="noConversion"/>
  </si>
  <si>
    <t>府城鹽水意麵</t>
    <phoneticPr fontId="11" type="noConversion"/>
  </si>
  <si>
    <t>春日部防衛隊的咖哩炒麵</t>
    <phoneticPr fontId="11" type="noConversion"/>
  </si>
  <si>
    <t>擔仔炊粉湯</t>
    <phoneticPr fontId="11" type="noConversion"/>
  </si>
  <si>
    <t>蛤蜊五目中華燴麵</t>
    <phoneticPr fontId="11" type="noConversion"/>
  </si>
  <si>
    <t>炙烤燒肉拌麵</t>
    <phoneticPr fontId="11" type="noConversion"/>
  </si>
  <si>
    <t>沙茶豬肉炒麵</t>
    <phoneticPr fontId="11" type="noConversion"/>
  </si>
  <si>
    <t>魚介雞叉燒辣拌麵</t>
    <phoneticPr fontId="11" type="noConversion"/>
  </si>
  <si>
    <r>
      <t>W</t>
    </r>
    <r>
      <rPr>
        <sz val="14"/>
        <color theme="1"/>
        <rFont val="微軟正黑體"/>
        <family val="2"/>
        <charset val="136"/>
      </rPr>
      <t>4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</si>
  <si>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</si>
  <si>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t>1028-1103</t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</si>
  <si>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</si>
  <si>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二配大飯糰鮪魚昆布</t>
  </si>
  <si>
    <t>兩粒飯糰(鮪魚.焦糖鮭魚)</t>
  </si>
  <si>
    <t/>
  </si>
  <si>
    <t>麻油鹽炙烤豬肉飯卷</t>
  </si>
  <si>
    <t>二配泰式綠咖哩雞</t>
  </si>
  <si>
    <t>香腸腿排雙拼便當</t>
  </si>
  <si>
    <t>日式蕎麥沾麵</t>
  </si>
  <si>
    <t>日式壽喜燒</t>
  </si>
  <si>
    <t>－</t>
    <phoneticPr fontId="11" type="noConversion"/>
  </si>
  <si>
    <t>▲</t>
    <phoneticPr fontId="11" type="noConversion"/>
  </si>
  <si>
    <t>上週新品，產量穩定，作業熟悉度增加</t>
    <phoneticPr fontId="11" type="noConversion"/>
  </si>
  <si>
    <t>▼</t>
    <phoneticPr fontId="11" type="noConversion"/>
  </si>
  <si>
    <t>產力、人時性平均，差別在訂單量</t>
    <phoneticPr fontId="11" type="noConversion"/>
  </si>
  <si>
    <t>10/28新品，雙飯糰，需再人力組裝，人時性較低，大飯糰為3000新品，產力較低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</si>
  <si>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</si>
  <si>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</si>
  <si>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</si>
  <si>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</si>
  <si>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</si>
  <si>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訂單量下降</t>
    <phoneticPr fontId="11" type="noConversion"/>
  </si>
  <si>
    <t>更換產線生產，人員作業不熟系</t>
    <phoneticPr fontId="11" type="noConversion"/>
  </si>
  <si>
    <t>上週新品，作業熟系度增加</t>
    <phoneticPr fontId="11" type="noConversion"/>
  </si>
  <si>
    <t>烤飯糰包裝作業產力/產能平均，差別在於訂單量，訂單量越少，人時生產性越低</t>
    <phoneticPr fontId="11" type="noConversion"/>
  </si>
  <si>
    <t>減少一人作業，人時性增加，生產穩定</t>
    <phoneticPr fontId="11" type="noConversion"/>
  </si>
  <si>
    <t>訂單量穩定，人時產力高</t>
    <phoneticPr fontId="11" type="noConversion"/>
  </si>
  <si>
    <r>
      <t>麻油鹽炙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豬肉飯卷</t>
    </r>
    <phoneticPr fontId="11" type="noConversion"/>
  </si>
  <si>
    <r>
      <t>10/28</t>
    </r>
    <r>
      <rPr>
        <sz val="10"/>
        <color theme="1"/>
        <rFont val="細明體"/>
        <family val="3"/>
        <charset val="136"/>
      </rPr>
      <t>新品，訂單量高，產能增加</t>
    </r>
    <phoneticPr fontId="11" type="noConversion"/>
  </si>
  <si>
    <t>德式酸菜燻腸飯卷</t>
    <phoneticPr fontId="11" type="noConversion"/>
  </si>
  <si>
    <t>人時性增加</t>
    <phoneticPr fontId="11" type="noConversion"/>
  </si>
  <si>
    <t>優質池上飯</t>
    <phoneticPr fontId="11" type="noConversion"/>
  </si>
  <si>
    <t>多穀紫米飯</t>
    <phoneticPr fontId="11" type="noConversion"/>
  </si>
  <si>
    <t>鐵板滑蛋炸豬排丼</t>
    <phoneticPr fontId="11" type="noConversion"/>
  </si>
  <si>
    <t>調整減少一人作業，人時性增加</t>
    <phoneticPr fontId="11" type="noConversion"/>
  </si>
  <si>
    <t>極上炙烤親子丼</t>
    <phoneticPr fontId="11" type="noConversion"/>
  </si>
  <si>
    <t>二配香拌海鮮醬肉絲蛋炒飯</t>
    <phoneticPr fontId="11" type="noConversion"/>
  </si>
  <si>
    <t>柚見極炙烤牛</t>
    <phoneticPr fontId="11" type="noConversion"/>
  </si>
  <si>
    <t>蒜蒜燒豚飯</t>
    <phoneticPr fontId="11" type="noConversion"/>
  </si>
  <si>
    <t>二配西班牙風味海鮮燉飯</t>
    <phoneticPr fontId="11" type="noConversion"/>
  </si>
  <si>
    <t>二配粗飽系雞排炒飯</t>
    <phoneticPr fontId="11" type="noConversion"/>
  </si>
  <si>
    <r>
      <rPr>
        <sz val="10"/>
        <color theme="1"/>
        <rFont val="細明體"/>
        <family val="3"/>
        <charset val="136"/>
      </rPr>
      <t>本週新品，</t>
    </r>
    <r>
      <rPr>
        <sz val="10"/>
        <color theme="1"/>
        <rFont val="Meiryo UI"/>
        <family val="2"/>
      </rPr>
      <t>L</t>
    </r>
    <r>
      <rPr>
        <sz val="10"/>
        <color theme="1"/>
        <rFont val="細明體"/>
        <family val="3"/>
        <charset val="136"/>
      </rPr>
      <t>型封膜，人時性較低</t>
    </r>
    <phoneticPr fontId="11" type="noConversion"/>
  </si>
  <si>
    <t>經典滷肉飯</t>
    <phoneticPr fontId="11" type="noConversion"/>
  </si>
  <si>
    <t>香腸腿排雙拼便當</t>
    <phoneticPr fontId="11" type="noConversion"/>
  </si>
  <si>
    <t>10/28新品，人時性較高</t>
    <phoneticPr fontId="11" type="noConversion"/>
  </si>
  <si>
    <t>照燒豬排纖食餐盒</t>
    <phoneticPr fontId="11" type="noConversion"/>
  </si>
  <si>
    <t>新招牌腿排便當</t>
    <phoneticPr fontId="11" type="noConversion"/>
  </si>
  <si>
    <t>嫩烤香料雞胸排蔬滿盒</t>
    <phoneticPr fontId="11" type="noConversion"/>
  </si>
  <si>
    <t>▲</t>
    <phoneticPr fontId="11" type="noConversion"/>
  </si>
  <si>
    <t>產力增加，人時性增加</t>
    <phoneticPr fontId="11" type="noConversion"/>
  </si>
  <si>
    <t>蔬活腿排補力餐盒</t>
    <phoneticPr fontId="11" type="noConversion"/>
  </si>
  <si>
    <t>▼</t>
    <phoneticPr fontId="11" type="noConversion"/>
  </si>
  <si>
    <t>訂單量減少</t>
    <phoneticPr fontId="11" type="noConversion"/>
  </si>
  <si>
    <t>健身G肉餐盒</t>
    <phoneticPr fontId="11" type="noConversion"/>
  </si>
  <si>
    <t>餐盒商品半成品多，固定位置擺設，人力需求較多，人時性較低</t>
    <phoneticPr fontId="11" type="noConversion"/>
  </si>
  <si>
    <t>烤蛋白餐盒</t>
    <phoneticPr fontId="11" type="noConversion"/>
  </si>
  <si>
    <t>美式雞丁餐盒</t>
    <phoneticPr fontId="11" type="noConversion"/>
  </si>
  <si>
    <t>海陸雙拼肉肉餐盒</t>
    <phoneticPr fontId="11" type="noConversion"/>
  </si>
  <si>
    <t>蕃茄起司手工千層麵(區2)</t>
    <phoneticPr fontId="11" type="noConversion"/>
  </si>
  <si>
    <t>雙醬雞排鐵板麵</t>
    <phoneticPr fontId="11" type="noConversion"/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</si>
  <si>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1" type="noConversion"/>
  </si>
  <si>
    <r>
      <t>10/287</t>
    </r>
    <r>
      <rPr>
        <sz val="10"/>
        <color theme="1"/>
        <rFont val="細明體"/>
        <family val="3"/>
        <charset val="136"/>
      </rPr>
      <t>新品</t>
    </r>
    <phoneticPr fontId="11" type="noConversion"/>
  </si>
  <si>
    <t>八爪機作業，產能平均，差異在訂單量。</t>
    <phoneticPr fontId="11" type="noConversion"/>
  </si>
  <si>
    <r>
      <t>10/28</t>
    </r>
    <r>
      <rPr>
        <sz val="11"/>
        <color rgb="FF000000"/>
        <rFont val="細明體"/>
        <family val="3"/>
        <charset val="136"/>
      </rPr>
      <t>新品，</t>
    </r>
    <r>
      <rPr>
        <sz val="11"/>
        <color rgb="FF000000"/>
        <rFont val="Meiryo UI"/>
        <family val="2"/>
      </rPr>
      <t>L</t>
    </r>
    <r>
      <rPr>
        <sz val="11"/>
        <color rgb="FF000000"/>
        <rFont val="細明體"/>
        <family val="3"/>
        <charset val="136"/>
      </rPr>
      <t>型封膜，人時性較低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</si>
  <si>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</si>
  <si>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</si>
  <si>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</si>
  <si>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</si>
  <si>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</si>
  <si>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</si>
  <si>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</si>
  <si>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</si>
  <si>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</si>
  <si>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</si>
  <si>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</si>
  <si>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</si>
  <si>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清洗蔥花</t>
  </si>
  <si>
    <t>二配川燙切片青江菜</t>
  </si>
  <si>
    <t>製程不穩</t>
    <phoneticPr fontId="11" type="noConversion"/>
  </si>
  <si>
    <t>二配炒解凍11N培根片</t>
  </si>
  <si>
    <t>確認備料量是否正確，調整出料率</t>
    <phoneticPr fontId="11" type="noConversion"/>
  </si>
  <si>
    <t>二配炒綠咖哩腿肉片</t>
  </si>
  <si>
    <t>壽喜燒杏鮑菇</t>
  </si>
  <si>
    <t>確認備料量、醬汁糖鹽度是否正確，調整出料率</t>
    <phoneticPr fontId="11" type="noConversion"/>
  </si>
  <si>
    <t>川燙五花肉片</t>
  </si>
  <si>
    <t>增加放料抽秤頻率</t>
    <phoneticPr fontId="11" type="noConversion"/>
  </si>
  <si>
    <t>半成品糾結影響放料，先行撥散</t>
    <phoneticPr fontId="11" type="noConversion"/>
  </si>
  <si>
    <t>炒照燒牛蒡腿丁</t>
  </si>
  <si>
    <t>烤60切豆腐蛋白丁</t>
  </si>
  <si>
    <t>其他原因</t>
    <phoneticPr fontId="11" type="noConversion"/>
  </si>
  <si>
    <t>需求量少，單價高</t>
    <phoneticPr fontId="11" type="noConversion"/>
  </si>
  <si>
    <t>超用率</t>
    <phoneticPr fontId="8"/>
  </si>
  <si>
    <t>確認蒸箱製程飯袋是否覆蓋完全</t>
    <phoneticPr fontId="11" type="noConversion"/>
  </si>
  <si>
    <t>拌麻油鹽豬肉片</t>
  </si>
  <si>
    <t>連續式生產，放料不穩</t>
    <phoneticPr fontId="11" type="noConversion"/>
  </si>
  <si>
    <t>原物料大小、厚薄差異</t>
    <phoneticPr fontId="11" type="noConversion"/>
  </si>
  <si>
    <t>賣相要鋪滿</t>
    <phoneticPr fontId="11" type="noConversion"/>
  </si>
  <si>
    <t>不拆包加熱，調整用量</t>
    <phoneticPr fontId="11" type="noConversion"/>
  </si>
  <si>
    <t>解凍-醬油漬鮭魚卵</t>
  </si>
  <si>
    <t>原物料厚薄大小差異</t>
  </si>
  <si>
    <t>蒸-全熟雞肉絲CL(升)</t>
  </si>
  <si>
    <t>製成率浮動</t>
    <phoneticPr fontId="11" type="noConversion"/>
  </si>
  <si>
    <t>連動調理連續確認製程及起鍋糖鹽度是否符合標準</t>
    <phoneticPr fontId="11" type="noConversion"/>
  </si>
  <si>
    <t>雞肉糾結成塊，放料容易有差異</t>
    <phoneticPr fontId="11" type="noConversion"/>
  </si>
  <si>
    <t>使用前先行撥散</t>
    <phoneticPr fontId="11" type="noConversion"/>
  </si>
  <si>
    <t>原物料厚薄大小差異</t>
    <phoneticPr fontId="11" type="noConversion"/>
  </si>
  <si>
    <t>回饋研發，後續開發列入考量</t>
    <phoneticPr fontId="11" type="noConversion"/>
  </si>
  <si>
    <t>泡菜炒大白菜</t>
  </si>
  <si>
    <t>菜梗、葉差異，影響人員放料手感</t>
    <phoneticPr fontId="11" type="noConversion"/>
  </si>
  <si>
    <t>增加線上抽秤頻率，維持人員放料手感</t>
    <phoneticPr fontId="11" type="noConversion"/>
  </si>
  <si>
    <t>菜梗、葉差異，影響人員放料手感</t>
  </si>
  <si>
    <t>增加線上抽秤頻率，維持人員放料手感</t>
  </si>
  <si>
    <t>113年拌清酒蛤蜊</t>
  </si>
  <si>
    <t>混料半成品殘袋</t>
    <phoneticPr fontId="11" type="noConversion"/>
  </si>
  <si>
    <t>設定換袋擠袋手法尋找使用輔助工具</t>
    <phoneticPr fontId="11" type="noConversion"/>
  </si>
  <si>
    <t>二配112年拌鮪魚沙拉</t>
  </si>
  <si>
    <t>二配鮪魚飯糰</t>
  </si>
  <si>
    <t>拌鮭魚沙拉(兩粒)</t>
  </si>
  <si>
    <t>112年拌鮪魚沙拉</t>
  </si>
  <si>
    <t>原物料肉塊的大小塊差異</t>
    <phoneticPr fontId="11" type="noConversion"/>
  </si>
  <si>
    <t>回饋研發，後續開發列入考量，設定放料量範圍。</t>
    <phoneticPr fontId="11" type="noConversion"/>
  </si>
  <si>
    <t>賣相設定要鋪滿，肉片狀態影響鋪滿效果</t>
    <phoneticPr fontId="11" type="noConversion"/>
  </si>
  <si>
    <t>調整分切方式，穩定分切長度減少小碎肉的報廢。回饋研發設定放料重量範圍。</t>
    <phoneticPr fontId="11" type="noConversion"/>
  </si>
  <si>
    <t>連續式生產，放料易有差異</t>
    <phoneticPr fontId="11" type="noConversion"/>
  </si>
  <si>
    <t>更換放樣方式，以需求長度的放料量進行放樣供人員目視</t>
    <phoneticPr fontId="11" type="noConversion"/>
  </si>
  <si>
    <t>磅秤易有殘水，避免半成品不足重，有提高放料量</t>
    <phoneticPr fontId="11" type="noConversion"/>
  </si>
  <si>
    <t>蒸箱加熱作業時因飯袋未覆蓋好，導致過程中有水氣滴入袋中而影響製程率</t>
  </si>
  <si>
    <t>加強人員交郁訓練，於蒸箱加熱作業前確認飯袋覆蓋完全。</t>
  </si>
  <si>
    <t>1.高單價半成品。2.單位用量少以致用量易有不穩定的狀況。</t>
  </si>
  <si>
    <t>尋找少量放料的半成品適用的工具進行測試導入更換，以穩定用料。</t>
  </si>
  <si>
    <t>二配泰式椰香綠咖哩醬</t>
  </si>
  <si>
    <t>晉欣廠半成品管理日別總表</t>
    <phoneticPr fontId="11" type="noConversion"/>
  </si>
  <si>
    <t>日期</t>
    <phoneticPr fontId="91" type="noConversion"/>
  </si>
  <si>
    <t>營業額</t>
    <phoneticPr fontId="1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</si>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</sst>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0" fillId="0" borderId="0"/>
    <xf numFmtId="9" fontId="100" fillId="0" borderId="0" applyFont="0" applyFill="0" applyBorder="0" applyAlignment="0" applyProtection="0"/>
    <xf numFmtId="0" fontId="101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7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196" fontId="102" fillId="0" borderId="0"/>
    <xf numFmtId="0" fontId="7" fillId="0" borderId="0"/>
    <xf numFmtId="0" fontId="100" fillId="0" borderId="0">
      <alignment vertical="center"/>
    </xf>
    <xf numFmtId="0" fontId="103" fillId="0" borderId="0"/>
    <xf numFmtId="42" fontId="101" fillId="0" borderId="0" applyFont="0" applyFill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05" fillId="0" borderId="0">
      <alignment vertical="top"/>
    </xf>
    <xf numFmtId="0" fontId="7" fillId="0" borderId="0"/>
    <xf numFmtId="0" fontId="103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3" fillId="0" borderId="0">
      <alignment vertical="center"/>
    </xf>
    <xf numFmtId="0" fontId="100" fillId="0" borderId="0"/>
    <xf numFmtId="0" fontId="100" fillId="0" borderId="0"/>
    <xf numFmtId="0" fontId="103" fillId="0" borderId="0">
      <alignment vertical="center"/>
    </xf>
    <xf numFmtId="0" fontId="103" fillId="0" borderId="0">
      <alignment vertical="center"/>
    </xf>
    <xf numFmtId="0" fontId="100" fillId="0" borderId="0"/>
    <xf numFmtId="0" fontId="103" fillId="0" borderId="0">
      <alignment vertical="center"/>
    </xf>
    <xf numFmtId="0" fontId="100" fillId="0" borderId="0"/>
    <xf numFmtId="0" fontId="103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6" fillId="0" borderId="0"/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" fillId="0" borderId="0">
      <alignment vertical="center"/>
    </xf>
    <xf numFmtId="0" fontId="100" fillId="0" borderId="0"/>
    <xf numFmtId="0" fontId="100" fillId="0" borderId="0"/>
    <xf numFmtId="0" fontId="106" fillId="0" borderId="0"/>
    <xf numFmtId="0" fontId="1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3" fillId="0" borderId="0"/>
    <xf numFmtId="0" fontId="100" fillId="0" borderId="0"/>
    <xf numFmtId="0" fontId="1" fillId="0" borderId="0">
      <alignment vertical="center"/>
    </xf>
    <xf numFmtId="0" fontId="103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3" fillId="0" borderId="0">
      <alignment vertical="center"/>
    </xf>
    <xf numFmtId="0" fontId="100" fillId="0" borderId="0"/>
    <xf numFmtId="0" fontId="103" fillId="0" borderId="0">
      <alignment vertical="center"/>
    </xf>
    <xf numFmtId="0" fontId="103" fillId="0" borderId="0">
      <alignment vertical="center"/>
    </xf>
    <xf numFmtId="0" fontId="100" fillId="0" borderId="0"/>
    <xf numFmtId="0" fontId="103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100" fillId="0" borderId="0"/>
    <xf numFmtId="0" fontId="103" fillId="0" borderId="0">
      <alignment vertical="center"/>
    </xf>
    <xf numFmtId="0" fontId="100" fillId="0" borderId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3" fillId="0" borderId="0" applyFont="0" applyFill="0" applyBorder="0" applyAlignment="0" applyProtection="0">
      <alignment vertical="center"/>
    </xf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9" fontId="107" fillId="0" borderId="0" applyFont="0" applyFill="0" applyBorder="0" applyAlignment="0" applyProtection="0">
      <alignment vertical="center"/>
    </xf>
    <xf numFmtId="9" fontId="107" fillId="0" borderId="0" applyFont="0" applyFill="0" applyBorder="0" applyAlignment="0" applyProtection="0">
      <alignment vertical="center"/>
    </xf>
    <xf numFmtId="9" fontId="107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7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7" fillId="0" borderId="0" applyFont="0" applyFill="0" applyBorder="0" applyAlignment="0" applyProtection="0">
      <alignment vertical="center"/>
    </xf>
    <xf numFmtId="9" fontId="10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7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/>
    <xf numFmtId="9" fontId="107" fillId="0" borderId="0" applyFont="0" applyFill="0" applyBorder="0" applyAlignment="0" applyProtection="0">
      <alignment vertical="center"/>
    </xf>
    <xf numFmtId="9" fontId="107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4" fontId="106" fillId="0" borderId="0" applyFont="0" applyFill="0" applyBorder="0" applyAlignment="0" applyProtection="0">
      <alignment vertical="center"/>
    </xf>
    <xf numFmtId="0" fontId="110" fillId="0" borderId="0">
      <alignment vertical="center"/>
    </xf>
    <xf numFmtId="0" fontId="111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1" fillId="18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74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5" fillId="4" borderId="0" xfId="0" applyFont="1" applyFill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2" xfId="0" applyNumberFormat="1" applyFont="1" applyFill="1" applyBorder="1" applyAlignment="1">
      <alignment vertical="center"/>
    </xf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6" borderId="22" xfId="15" applyFont="1" applyFill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94" fontId="94" fillId="8" borderId="22" xfId="15" applyNumberFormat="1" applyFont="1" applyFill="1" applyBorder="1" applyAlignment="1">
      <alignment horizontal="center" vertical="center"/>
    </xf>
    <xf numFmtId="189" fontId="94" fillId="0" borderId="22" xfId="15" applyNumberFormat="1" applyFont="1" applyBorder="1" applyAlignment="1">
      <alignment horizontal="center" vertical="center"/>
    </xf>
    <xf numFmtId="194" fontId="94" fillId="8" borderId="22" xfId="18" applyNumberFormat="1" applyFont="1" applyFill="1" applyBorder="1" applyAlignment="1">
      <alignment horizontal="center" vertical="center"/>
    </xf>
    <xf numFmtId="189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4" fontId="94" fillId="8" borderId="22" xfId="3" applyNumberFormat="1" applyFont="1" applyFill="1" applyBorder="1" applyAlignment="1">
      <alignment horizontal="center" vertical="center"/>
    </xf>
    <xf numFmtId="195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193" fontId="96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94" fontId="94" fillId="8" borderId="54" xfId="15" applyNumberFormat="1" applyFont="1" applyFill="1" applyBorder="1" applyAlignment="1">
      <alignment horizontal="center" vertical="center"/>
    </xf>
    <xf numFmtId="189" fontId="94" fillId="0" borderId="54" xfId="15" applyNumberFormat="1" applyFont="1" applyBorder="1" applyAlignment="1">
      <alignment horizontal="center" vertical="center"/>
    </xf>
    <xf numFmtId="194" fontId="94" fillId="8" borderId="54" xfId="18" applyNumberFormat="1" applyFont="1" applyFill="1" applyBorder="1" applyAlignment="1">
      <alignment horizontal="center" vertical="center"/>
    </xf>
    <xf numFmtId="189" fontId="94" fillId="0" borderId="54" xfId="3" applyNumberFormat="1" applyFont="1" applyBorder="1" applyAlignment="1">
      <alignment horizontal="center" vertical="center"/>
    </xf>
    <xf numFmtId="10" fontId="94" fillId="0" borderId="54" xfId="3" applyNumberFormat="1" applyFont="1" applyBorder="1" applyAlignment="1">
      <alignment horizontal="center" vertical="center"/>
    </xf>
    <xf numFmtId="194" fontId="94" fillId="8" borderId="54" xfId="3" applyNumberFormat="1" applyFont="1" applyFill="1" applyBorder="1" applyAlignment="1">
      <alignment horizontal="center" vertical="center"/>
    </xf>
    <xf numFmtId="195" fontId="94" fillId="8" borderId="54" xfId="15" applyNumberFormat="1" applyFont="1" applyFill="1" applyBorder="1" applyAlignment="1">
      <alignment horizontal="center" vertical="center"/>
    </xf>
    <xf numFmtId="10" fontId="94" fillId="0" borderId="54" xfId="15" applyNumberFormat="1" applyFont="1" applyBorder="1" applyAlignment="1">
      <alignment horizontal="center" vertical="center"/>
    </xf>
    <xf numFmtId="193" fontId="95" fillId="0" borderId="30" xfId="5" applyNumberFormat="1" applyFont="1" applyBorder="1" applyAlignment="1">
      <alignment horizontal="center" vertical="center"/>
    </xf>
    <xf numFmtId="194" fontId="94" fillId="8" borderId="30" xfId="15" applyNumberFormat="1" applyFont="1" applyFill="1" applyBorder="1" applyAlignment="1">
      <alignment horizontal="center" vertical="center"/>
    </xf>
    <xf numFmtId="189" fontId="94" fillId="0" borderId="30" xfId="15" applyNumberFormat="1" applyFont="1" applyBorder="1" applyAlignment="1">
      <alignment horizontal="center" vertical="center"/>
    </xf>
    <xf numFmtId="194" fontId="94" fillId="8" borderId="30" xfId="18" applyNumberFormat="1" applyFont="1" applyFill="1" applyBorder="1" applyAlignment="1">
      <alignment horizontal="center" vertical="center"/>
    </xf>
    <xf numFmtId="189" fontId="96" fillId="0" borderId="30" xfId="20" applyNumberFormat="1" applyFont="1" applyBorder="1" applyAlignment="1">
      <alignment horizontal="center" vertical="center"/>
    </xf>
    <xf numFmtId="10" fontId="94" fillId="0" borderId="30" xfId="20" applyNumberFormat="1" applyFont="1" applyBorder="1" applyAlignment="1">
      <alignment horizontal="center" vertical="center"/>
    </xf>
    <xf numFmtId="194" fontId="94" fillId="8" borderId="30" xfId="20" applyNumberFormat="1" applyFont="1" applyFill="1" applyBorder="1" applyAlignment="1">
      <alignment horizontal="center" vertical="center"/>
    </xf>
    <xf numFmtId="195" fontId="94" fillId="8" borderId="30" xfId="15" applyNumberFormat="1" applyFont="1" applyFill="1" applyBorder="1" applyAlignment="1">
      <alignment horizontal="center" vertical="center"/>
    </xf>
    <xf numFmtId="10" fontId="94" fillId="0" borderId="30" xfId="15" applyNumberFormat="1" applyFont="1" applyBorder="1" applyAlignment="1">
      <alignment horizontal="center" vertical="center"/>
    </xf>
    <xf numFmtId="0" fontId="2" fillId="0" borderId="30" xfId="15" applyBorder="1" applyAlignment="1">
      <alignment vertical="center"/>
    </xf>
    <xf numFmtId="0" fontId="2" fillId="0" borderId="30" xfId="15" applyBorder="1">
      <alignment vertical="center"/>
    </xf>
    <xf numFmtId="189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22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4" fillId="8" borderId="22" xfId="4" applyNumberFormat="1" applyFont="1" applyFill="1" applyBorder="1" applyAlignment="1">
      <alignment horizontal="center" vertical="center"/>
    </xf>
    <xf numFmtId="189" fontId="94" fillId="0" borderId="22" xfId="4" applyNumberFormat="1" applyFont="1" applyBorder="1" applyAlignment="1">
      <alignment horizontal="center" vertical="center"/>
    </xf>
    <xf numFmtId="194" fontId="94" fillId="8" borderId="22" xfId="6" applyNumberFormat="1" applyFont="1" applyFill="1" applyBorder="1" applyAlignment="1">
      <alignment horizontal="center" vertical="center"/>
    </xf>
    <xf numFmtId="195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9" fontId="55" fillId="0" borderId="0" xfId="0" applyNumberFormat="1" applyFont="1" applyFill="1" applyAlignment="1">
      <alignment horizontal="center"/>
    </xf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90" fillId="16" borderId="22" xfId="15" applyFont="1" applyFill="1" applyBorder="1" applyAlignment="1">
      <alignment horizontal="center" vertical="center" wrapText="1"/>
    </xf>
    <xf numFmtId="193" fontId="96" fillId="0" borderId="23" xfId="5" applyNumberFormat="1" applyFont="1" applyBorder="1" applyAlignment="1">
      <alignment horizontal="center" vertical="center"/>
    </xf>
    <xf numFmtId="194" fontId="94" fillId="8" borderId="23" xfId="4" applyNumberFormat="1" applyFont="1" applyFill="1" applyBorder="1" applyAlignment="1">
      <alignment horizontal="center" vertical="center"/>
    </xf>
    <xf numFmtId="189" fontId="94" fillId="0" borderId="23" xfId="4" applyNumberFormat="1" applyFont="1" applyBorder="1" applyAlignment="1">
      <alignment horizontal="center" vertical="center"/>
    </xf>
    <xf numFmtId="194" fontId="94" fillId="8" borderId="23" xfId="6" applyNumberFormat="1" applyFont="1" applyFill="1" applyBorder="1" applyAlignment="1">
      <alignment horizontal="center" vertical="center"/>
    </xf>
    <xf numFmtId="189" fontId="94" fillId="0" borderId="23" xfId="3" applyNumberFormat="1" applyFont="1" applyBorder="1" applyAlignment="1">
      <alignment horizontal="center" vertical="center"/>
    </xf>
    <xf numFmtId="10" fontId="94" fillId="0" borderId="23" xfId="3" applyNumberFormat="1" applyFont="1" applyBorder="1" applyAlignment="1">
      <alignment horizontal="center" vertical="center"/>
    </xf>
    <xf numFmtId="194" fontId="94" fillId="8" borderId="23" xfId="3" applyNumberFormat="1" applyFont="1" applyFill="1" applyBorder="1" applyAlignment="1">
      <alignment horizontal="center" vertical="center"/>
    </xf>
    <xf numFmtId="195" fontId="94" fillId="8" borderId="23" xfId="4" applyNumberFormat="1" applyFont="1" applyFill="1" applyBorder="1" applyAlignment="1">
      <alignment horizontal="center" vertical="center"/>
    </xf>
    <xf numFmtId="10" fontId="94" fillId="0" borderId="23" xfId="4" applyNumberFormat="1" applyFont="1" applyBorder="1" applyAlignment="1">
      <alignment horizontal="center" vertical="center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24" fillId="0" borderId="0" xfId="0" applyFont="1" applyFill="1" applyAlignment="1">
      <alignment horizontal="center" vertical="center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0" borderId="22" xfId="0" applyNumberFormat="1" applyFont="1" applyFill="1" applyBorder="1" applyAlignment="1">
      <alignment horizontal="center" vertical="center"/>
    </xf>
    <xf numFmtId="0" fontId="72" fillId="0" borderId="22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0" fontId="84" fillId="0" borderId="27" xfId="0" applyFont="1" applyBorder="1" applyAlignment="1">
      <alignment horizontal="left" vertical="center" wrapText="1" shrinkToFit="1"/>
    </xf>
    <xf numFmtId="0" fontId="84" fillId="0" borderId="25" xfId="0" applyFont="1" applyBorder="1" applyAlignment="1">
      <alignment horizontal="left" vertical="center" wrapText="1" shrinkToFit="1"/>
    </xf>
    <xf numFmtId="0" fontId="84" fillId="0" borderId="27" xfId="0" applyFont="1" applyBorder="1" applyAlignment="1">
      <alignment horizontal="left" vertical="center" wrapText="1"/>
    </xf>
    <xf numFmtId="0" fontId="84" fillId="0" borderId="25" xfId="0" applyFont="1" applyBorder="1" applyAlignment="1">
      <alignment horizontal="left" vertical="center" wrapText="1"/>
    </xf>
    <xf numFmtId="0" fontId="52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52" fillId="0" borderId="31" xfId="0" applyFont="1" applyBorder="1" applyAlignment="1">
      <alignment horizontal="left" vertical="top" wrapText="1" shrinkToFit="1"/>
    </xf>
    <xf numFmtId="0" fontId="52" fillId="0" borderId="32" xfId="0" applyFont="1" applyBorder="1" applyAlignment="1">
      <alignment horizontal="left" vertical="top" wrapText="1" shrinkToFit="1"/>
    </xf>
    <xf numFmtId="0" fontId="98" fillId="0" borderId="31" xfId="0" applyFont="1" applyBorder="1" applyAlignment="1">
      <alignment horizontal="left" vertical="top" wrapText="1" shrinkToFit="1"/>
    </xf>
    <xf numFmtId="0" fontId="98" fillId="0" borderId="32" xfId="0" applyFont="1" applyBorder="1" applyAlignment="1">
      <alignment horizontal="left" vertical="top" wrapText="1" shrinkToFit="1"/>
    </xf>
    <xf numFmtId="0" fontId="98" fillId="0" borderId="27" xfId="0" applyFont="1" applyBorder="1" applyAlignment="1">
      <alignment horizontal="left" vertical="center" wrapText="1" shrinkToFit="1"/>
    </xf>
    <xf numFmtId="0" fontId="98" fillId="0" borderId="25" xfId="0" applyFont="1" applyBorder="1" applyAlignment="1">
      <alignment horizontal="left" vertical="center" wrapText="1" shrinkToFit="1"/>
    </xf>
    <xf numFmtId="0" fontId="84" fillId="0" borderId="31" xfId="0" applyFont="1" applyBorder="1" applyAlignment="1">
      <alignment horizontal="left" vertical="top" wrapText="1" shrinkToFit="1"/>
    </xf>
    <xf numFmtId="0" fontId="84" fillId="0" borderId="32" xfId="0" applyFont="1" applyBorder="1" applyAlignment="1">
      <alignment horizontal="left" vertical="top" wrapText="1" shrinkToFit="1"/>
    </xf>
    <xf numFmtId="0" fontId="84" fillId="0" borderId="35" xfId="0" applyFont="1" applyBorder="1" applyAlignment="1">
      <alignment horizontal="left" vertical="top" wrapText="1" shrinkToFit="1"/>
    </xf>
    <xf numFmtId="0" fontId="84" fillId="0" borderId="36" xfId="0" applyFont="1" applyBorder="1" applyAlignment="1">
      <alignment horizontal="left" vertical="top" wrapText="1" shrinkToFit="1"/>
    </xf>
    <xf numFmtId="0" fontId="97" fillId="0" borderId="31" xfId="0" applyFont="1" applyBorder="1" applyAlignment="1">
      <alignment vertical="top" wrapText="1" shrinkToFit="1"/>
    </xf>
    <xf numFmtId="0" fontId="97" fillId="0" borderId="32" xfId="0" applyFont="1" applyBorder="1" applyAlignment="1">
      <alignment vertical="top" wrapText="1" shrinkToFit="1"/>
    </xf>
    <xf numFmtId="0" fontId="97" fillId="0" borderId="35" xfId="0" applyFont="1" applyBorder="1" applyAlignment="1">
      <alignment vertical="top" wrapText="1" shrinkToFit="1"/>
    </xf>
    <xf numFmtId="0" fontId="97" fillId="0" borderId="36" xfId="0" applyFont="1" applyBorder="1" applyAlignment="1">
      <alignment vertical="top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52" fillId="0" borderId="27" xfId="0" applyFont="1" applyBorder="1" applyAlignment="1">
      <alignment horizontal="center" vertical="center" wrapText="1" shrinkToFit="1"/>
    </xf>
    <xf numFmtId="0" fontId="52" fillId="0" borderId="25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0" fillId="10" borderId="27" xfId="0" applyFill="1" applyBorder="1" applyAlignment="1">
      <alignment horizontal="left" vertical="center"/>
    </xf>
    <xf numFmtId="0" fontId="0" fillId="10" borderId="28" xfId="0" applyFill="1" applyBorder="1" applyAlignment="1">
      <alignment horizontal="left" vertical="center"/>
    </xf>
    <xf numFmtId="0" fontId="0" fillId="10" borderId="25" xfId="0" applyFill="1" applyBorder="1" applyAlignment="1">
      <alignment horizontal="left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52" fillId="0" borderId="33" xfId="0" applyFont="1" applyBorder="1" applyAlignment="1">
      <alignment horizontal="left" vertical="top" wrapText="1" shrinkToFit="1"/>
    </xf>
    <xf numFmtId="0" fontId="52" fillId="0" borderId="34" xfId="0" applyFont="1" applyBorder="1" applyAlignment="1">
      <alignment horizontal="left" vertical="top" wrapText="1" shrinkToFit="1"/>
    </xf>
    <xf numFmtId="0" fontId="52" fillId="0" borderId="35" xfId="0" applyFont="1" applyBorder="1" applyAlignment="1">
      <alignment horizontal="left" vertical="top" wrapText="1" shrinkToFit="1"/>
    </xf>
    <xf numFmtId="0" fontId="52" fillId="0" borderId="36" xfId="0" applyFont="1" applyBorder="1" applyAlignment="1">
      <alignment horizontal="left" vertical="top" wrapText="1" shrinkToFit="1"/>
    </xf>
    <xf numFmtId="0" fontId="20" fillId="0" borderId="22" xfId="0" applyFont="1" applyBorder="1" applyAlignment="1">
      <alignment shrinkToFit="1"/>
    </xf>
    <xf numFmtId="0" fontId="52" fillId="0" borderId="31" xfId="0" applyFont="1" applyBorder="1" applyAlignment="1">
      <alignment horizontal="left" vertical="center" shrinkToFit="1"/>
    </xf>
    <xf numFmtId="0" fontId="52" fillId="0" borderId="32" xfId="0" applyFont="1" applyBorder="1" applyAlignment="1">
      <alignment horizontal="left" vertical="center" shrinkToFit="1"/>
    </xf>
    <xf numFmtId="0" fontId="52" fillId="0" borderId="35" xfId="0" applyFont="1" applyBorder="1" applyAlignment="1">
      <alignment horizontal="left" vertical="center" shrinkToFit="1"/>
    </xf>
    <xf numFmtId="0" fontId="52" fillId="0" borderId="36" xfId="0" applyFont="1" applyBorder="1" applyAlignment="1">
      <alignment horizontal="left" vertical="center"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20" fillId="0" borderId="33" xfId="0" applyFont="1" applyBorder="1" applyAlignment="1">
      <alignment horizontal="left" vertical="top" wrapText="1" shrinkToFit="1"/>
    </xf>
    <xf numFmtId="0" fontId="20" fillId="0" borderId="34" xfId="0" applyFont="1" applyBorder="1" applyAlignment="1">
      <alignment horizontal="left" vertical="top" wrapText="1" shrinkToFit="1"/>
    </xf>
    <xf numFmtId="0" fontId="20" fillId="0" borderId="35" xfId="0" applyFont="1" applyBorder="1" applyAlignment="1">
      <alignment horizontal="left" vertical="top" wrapText="1" shrinkToFit="1"/>
    </xf>
    <xf numFmtId="0" fontId="20" fillId="0" borderId="36" xfId="0" applyFont="1" applyBorder="1" applyAlignment="1">
      <alignment horizontal="left" vertical="top" wrapText="1" shrinkToFit="1"/>
    </xf>
    <xf numFmtId="0" fontId="55" fillId="10" borderId="27" xfId="0" applyFont="1" applyFill="1" applyBorder="1" applyAlignment="1">
      <alignment horizontal="left" shrinkToFit="1"/>
    </xf>
    <xf numFmtId="0" fontId="55" fillId="10" borderId="28" xfId="0" applyFont="1" applyFill="1" applyBorder="1" applyAlignment="1">
      <alignment horizontal="left" shrinkToFit="1"/>
    </xf>
    <xf numFmtId="0" fontId="55" fillId="10" borderId="25" xfId="0" applyFont="1" applyFill="1" applyBorder="1" applyAlignment="1">
      <alignment horizontal="left"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20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52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26" fillId="10" borderId="27" xfId="0" applyFont="1" applyFill="1" applyBorder="1" applyAlignment="1">
      <alignment horizontal="left" shrinkToFit="1"/>
    </xf>
    <xf numFmtId="0" fontId="26" fillId="10" borderId="28" xfId="0" applyFont="1" applyFill="1" applyBorder="1" applyAlignment="1">
      <alignment horizontal="left" shrinkToFit="1"/>
    </xf>
    <xf numFmtId="0" fontId="26" fillId="10" borderId="25" xfId="0" applyFont="1" applyFill="1" applyBorder="1" applyAlignment="1">
      <alignment horizontal="left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52" fillId="0" borderId="27" xfId="0" applyFont="1" applyBorder="1" applyAlignment="1">
      <alignment shrinkToFit="1"/>
    </xf>
    <xf numFmtId="0" fontId="20" fillId="0" borderId="31" xfId="0" applyFont="1" applyBorder="1" applyAlignment="1">
      <alignment horizontal="left" vertical="top" wrapText="1" shrinkToFit="1"/>
    </xf>
    <xf numFmtId="0" fontId="20" fillId="0" borderId="32" xfId="0" applyFont="1" applyBorder="1" applyAlignment="1">
      <alignment horizontal="left" vertical="top" wrapText="1" shrinkToFit="1"/>
    </xf>
    <xf numFmtId="0" fontId="26" fillId="0" borderId="28" xfId="0" applyFont="1" applyBorder="1" applyAlignment="1">
      <alignment shrinkToFit="1"/>
    </xf>
    <xf numFmtId="0" fontId="26" fillId="10" borderId="27" xfId="0" applyFont="1" applyFill="1" applyBorder="1" applyAlignment="1">
      <alignment shrinkToFit="1"/>
    </xf>
    <xf numFmtId="0" fontId="26" fillId="10" borderId="28" xfId="0" applyFont="1" applyFill="1" applyBorder="1" applyAlignment="1">
      <alignment shrinkToFit="1"/>
    </xf>
    <xf numFmtId="0" fontId="26" fillId="10" borderId="25" xfId="0" applyFont="1" applyFill="1" applyBorder="1" applyAlignment="1">
      <alignment shrinkToFit="1"/>
    </xf>
    <xf numFmtId="0" fontId="44" fillId="0" borderId="28" xfId="0" applyFont="1" applyBorder="1" applyAlignment="1">
      <alignment shrinkToFit="1"/>
    </xf>
    <xf numFmtId="0" fontId="2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15" fillId="0" borderId="27" xfId="0" applyFont="1" applyBorder="1" applyAlignment="1">
      <alignment horizontal="left" vertic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4" fontId="94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194" fontId="94" fillId="0" borderId="23" xfId="15" applyNumberFormat="1" applyFont="1" applyBorder="1" applyAlignment="1">
      <alignment horizontal="center" vertical="center"/>
    </xf>
    <xf numFmtId="194" fontId="35" fillId="0" borderId="23" xfId="15" applyNumberFormat="1" applyFont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7" xfId="15" applyFont="1" applyFill="1" applyBorder="1" applyAlignment="1">
      <alignment horizontal="center" vertical="center"/>
    </xf>
    <xf numFmtId="0" fontId="93" fillId="16" borderId="28" xfId="15" applyFont="1" applyFill="1" applyBorder="1" applyAlignment="1">
      <alignment horizontal="center" vertical="center"/>
    </xf>
    <xf numFmtId="0" fontId="93" fillId="16" borderId="25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64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007-1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021-1027(&#23436;&#2510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>
        <row r="7">
          <cell r="Q7">
            <v>3002.5714285714289</v>
          </cell>
          <cell r="R7">
            <v>750.64285714285722</v>
          </cell>
        </row>
        <row r="8">
          <cell r="P8">
            <v>3</v>
          </cell>
          <cell r="Q8">
            <v>2444.5161290322603</v>
          </cell>
          <cell r="R8">
            <v>814.83870967742007</v>
          </cell>
        </row>
        <row r="9">
          <cell r="P9">
            <v>4</v>
          </cell>
          <cell r="Q9">
            <v>3009.6000000000008</v>
          </cell>
          <cell r="R9">
            <v>752.4000000000002</v>
          </cell>
        </row>
        <row r="10">
          <cell r="P10">
            <v>3</v>
          </cell>
          <cell r="Q10">
            <v>2633.9999999999991</v>
          </cell>
          <cell r="R10">
            <v>877.99999999999966</v>
          </cell>
        </row>
        <row r="11">
          <cell r="P11">
            <v>4</v>
          </cell>
          <cell r="Q11">
            <v>2905.4999999999991</v>
          </cell>
          <cell r="R11">
            <v>726.37499999999977</v>
          </cell>
        </row>
        <row r="12">
          <cell r="P12">
            <v>4</v>
          </cell>
          <cell r="Q12">
            <v>2978.9999999999991</v>
          </cell>
          <cell r="R12">
            <v>744.74999999999977</v>
          </cell>
        </row>
        <row r="13">
          <cell r="P13">
            <v>4</v>
          </cell>
          <cell r="Q13">
            <v>2004.0000000000073</v>
          </cell>
          <cell r="R13">
            <v>501.00000000000182</v>
          </cell>
        </row>
        <row r="14">
          <cell r="P14">
            <v>4</v>
          </cell>
          <cell r="Q14">
            <v>2399.9999999999445</v>
          </cell>
          <cell r="R14">
            <v>599.99999999998613</v>
          </cell>
        </row>
        <row r="15">
          <cell r="P15">
            <v>4</v>
          </cell>
          <cell r="Q15">
            <v>1934.9999999999991</v>
          </cell>
          <cell r="R15">
            <v>483.74999999999977</v>
          </cell>
        </row>
        <row r="16">
          <cell r="P16">
            <v>3</v>
          </cell>
          <cell r="Q16">
            <v>2412.0000000000014</v>
          </cell>
          <cell r="R16">
            <v>804.00000000000045</v>
          </cell>
        </row>
        <row r="17">
          <cell r="P17">
            <v>3</v>
          </cell>
          <cell r="Q17">
            <v>2497.333333333333</v>
          </cell>
          <cell r="R17">
            <v>832.44444444444434</v>
          </cell>
        </row>
        <row r="18">
          <cell r="P18">
            <v>4</v>
          </cell>
          <cell r="Q18">
            <v>2587.2000000000007</v>
          </cell>
          <cell r="R18">
            <v>646.80000000000018</v>
          </cell>
        </row>
        <row r="19">
          <cell r="P19">
            <v>4</v>
          </cell>
          <cell r="Q19">
            <v>2417.9999999999991</v>
          </cell>
          <cell r="R19">
            <v>604.49999999999977</v>
          </cell>
        </row>
        <row r="20">
          <cell r="P20">
            <v>3</v>
          </cell>
          <cell r="Q20">
            <v>1813.3333333333396</v>
          </cell>
          <cell r="R20">
            <v>604.4444444444465</v>
          </cell>
        </row>
        <row r="21">
          <cell r="P21">
            <v>4</v>
          </cell>
          <cell r="Q21">
            <v>2393.9999999999977</v>
          </cell>
          <cell r="R21">
            <v>598.49999999999943</v>
          </cell>
        </row>
        <row r="22">
          <cell r="P22">
            <v>4</v>
          </cell>
          <cell r="Q22">
            <v>2362.4999999999991</v>
          </cell>
          <cell r="R22">
            <v>590.62499999999977</v>
          </cell>
        </row>
        <row r="23">
          <cell r="P23">
            <v>3</v>
          </cell>
          <cell r="Q23">
            <v>2610.8571428571404</v>
          </cell>
          <cell r="R23">
            <v>870.28571428571342</v>
          </cell>
        </row>
        <row r="24">
          <cell r="P24">
            <v>4</v>
          </cell>
          <cell r="Q24">
            <v>2865.5999999999917</v>
          </cell>
          <cell r="R24">
            <v>716.39999999999793</v>
          </cell>
        </row>
        <row r="25">
          <cell r="P25">
            <v>3</v>
          </cell>
          <cell r="Q25">
            <v>2320.7999999999938</v>
          </cell>
          <cell r="R25">
            <v>773.59999999999798</v>
          </cell>
        </row>
        <row r="26">
          <cell r="P26">
            <v>4</v>
          </cell>
          <cell r="Q26">
            <v>2231.99999999999</v>
          </cell>
          <cell r="R26">
            <v>557.9999999999975</v>
          </cell>
        </row>
        <row r="27">
          <cell r="P27">
            <v>4</v>
          </cell>
          <cell r="Q27">
            <v>2589.0000000000091</v>
          </cell>
          <cell r="R27">
            <v>647.25000000000227</v>
          </cell>
        </row>
        <row r="28">
          <cell r="P28">
            <v>4</v>
          </cell>
          <cell r="Q28">
            <v>2750.00000000001</v>
          </cell>
          <cell r="R28">
            <v>687.5000000000025</v>
          </cell>
        </row>
        <row r="29">
          <cell r="P29">
            <v>3</v>
          </cell>
          <cell r="Q29">
            <v>2403.6923076923049</v>
          </cell>
          <cell r="R29">
            <v>801.23076923076826</v>
          </cell>
        </row>
        <row r="30">
          <cell r="P30">
            <v>3</v>
          </cell>
          <cell r="Q30">
            <v>2611.5000000000041</v>
          </cell>
          <cell r="R30">
            <v>870.50000000000136</v>
          </cell>
        </row>
      </sheetData>
      <sheetData sheetId="4"/>
      <sheetData sheetId="5"/>
      <sheetData sheetId="6"/>
      <sheetData sheetId="7"/>
      <sheetData sheetId="8"/>
      <sheetData sheetId="9">
        <row r="7">
          <cell r="Q7">
            <v>1368.7499999999998</v>
          </cell>
          <cell r="R7">
            <v>72.03947368421052</v>
          </cell>
        </row>
        <row r="8">
          <cell r="P8">
            <v>18</v>
          </cell>
          <cell r="Q8">
            <v>1315.4887218045112</v>
          </cell>
          <cell r="R8">
            <v>73.082706766917283</v>
          </cell>
        </row>
        <row r="9">
          <cell r="P9">
            <v>17</v>
          </cell>
          <cell r="Q9">
            <v>1421.0429447852762</v>
          </cell>
          <cell r="R9">
            <v>83.590761457957427</v>
          </cell>
        </row>
        <row r="10">
          <cell r="P10">
            <v>20</v>
          </cell>
          <cell r="Q10">
            <v>1414.1860465116276</v>
          </cell>
          <cell r="R10">
            <v>70.709302325581376</v>
          </cell>
        </row>
        <row r="11">
          <cell r="P11">
            <v>18</v>
          </cell>
          <cell r="Q11">
            <v>1363.0188679245277</v>
          </cell>
          <cell r="R11">
            <v>75.72327044025154</v>
          </cell>
        </row>
        <row r="12">
          <cell r="P12">
            <v>9</v>
          </cell>
          <cell r="Q12">
            <v>1338.6206896551735</v>
          </cell>
          <cell r="R12">
            <v>148.73563218390817</v>
          </cell>
        </row>
        <row r="13">
          <cell r="P13">
            <v>18</v>
          </cell>
          <cell r="Q13">
            <v>1404.3243243243244</v>
          </cell>
          <cell r="R13">
            <v>78.018018018018026</v>
          </cell>
        </row>
        <row r="14">
          <cell r="P14">
            <v>16</v>
          </cell>
          <cell r="Q14">
            <v>1385.853658536585</v>
          </cell>
          <cell r="R14">
            <v>86.615853658536565</v>
          </cell>
        </row>
        <row r="15">
          <cell r="P15">
            <v>19</v>
          </cell>
          <cell r="Q15">
            <v>1042.1052631578939</v>
          </cell>
          <cell r="R15">
            <v>54.847645429362835</v>
          </cell>
        </row>
        <row r="16">
          <cell r="P16">
            <v>19</v>
          </cell>
          <cell r="Q16">
            <v>1306.6959183673468</v>
          </cell>
          <cell r="R16">
            <v>68.7734693877551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/>
      <sheetData sheetId="4"/>
      <sheetData sheetId="5">
        <row r="57">
          <cell r="AT57" t="str">
            <v/>
          </cell>
          <cell r="AU57" t="str">
            <v/>
          </cell>
          <cell r="AV57" t="str">
            <v/>
          </cell>
        </row>
      </sheetData>
      <sheetData sheetId="6"/>
      <sheetData sheetId="7">
        <row r="77">
          <cell r="Q77">
            <v>1426.8901734104047</v>
          </cell>
          <cell r="R77">
            <v>237.81502890173411</v>
          </cell>
        </row>
        <row r="78">
          <cell r="P78">
            <v>8</v>
          </cell>
          <cell r="Q78">
            <v>1475.2577319587629</v>
          </cell>
          <cell r="R78">
            <v>184.40721649484536</v>
          </cell>
        </row>
        <row r="79">
          <cell r="P79">
            <v>18</v>
          </cell>
          <cell r="Q79">
            <v>1268.7378640776694</v>
          </cell>
          <cell r="R79">
            <v>70.485436893203854</v>
          </cell>
        </row>
        <row r="80">
          <cell r="P80">
            <v>20</v>
          </cell>
          <cell r="Q80">
            <v>1257.0967741935494</v>
          </cell>
          <cell r="R80">
            <v>62.854838709677473</v>
          </cell>
        </row>
        <row r="81">
          <cell r="P81">
            <v>17</v>
          </cell>
          <cell r="Q81">
            <v>1339.0000000000014</v>
          </cell>
          <cell r="R81">
            <v>78.764705882353027</v>
          </cell>
        </row>
        <row r="82">
          <cell r="P82">
            <v>17</v>
          </cell>
          <cell r="Q82">
            <v>1381.2500000000005</v>
          </cell>
          <cell r="R82">
            <v>81.250000000000028</v>
          </cell>
        </row>
        <row r="83">
          <cell r="P83">
            <v>16</v>
          </cell>
          <cell r="Q83">
            <v>1292.5714285714271</v>
          </cell>
          <cell r="R83">
            <v>80.785714285714192</v>
          </cell>
        </row>
        <row r="84">
          <cell r="P84">
            <v>17</v>
          </cell>
          <cell r="Q84">
            <v>1254.4444444444453</v>
          </cell>
          <cell r="R84">
            <v>73.790849673202658</v>
          </cell>
        </row>
        <row r="85">
          <cell r="P85">
            <v>16</v>
          </cell>
          <cell r="Q85">
            <v>1192.6315789473692</v>
          </cell>
          <cell r="R85">
            <v>74.539473684210577</v>
          </cell>
        </row>
        <row r="86">
          <cell r="P86">
            <v>19</v>
          </cell>
          <cell r="Q86">
            <v>1289.3181818181818</v>
          </cell>
          <cell r="R86">
            <v>67.858851674641144</v>
          </cell>
        </row>
        <row r="87">
          <cell r="P87">
            <v>19</v>
          </cell>
          <cell r="Q87">
            <v>1305.0000000000018</v>
          </cell>
          <cell r="R87">
            <v>68.68421052631588</v>
          </cell>
        </row>
        <row r="88">
          <cell r="P88">
            <v>20</v>
          </cell>
          <cell r="Q88">
            <v>1270.3448275862077</v>
          </cell>
          <cell r="R88">
            <v>63.517241379310384</v>
          </cell>
        </row>
        <row r="89">
          <cell r="P89">
            <v>17</v>
          </cell>
          <cell r="Q89">
            <v>1244.6511627906975</v>
          </cell>
          <cell r="R89">
            <v>73.214774281805731</v>
          </cell>
        </row>
        <row r="90">
          <cell r="P90">
            <v>17</v>
          </cell>
          <cell r="Q90">
            <v>1261.1320754716987</v>
          </cell>
          <cell r="R90">
            <v>74.18423973362934</v>
          </cell>
        </row>
        <row r="91">
          <cell r="P91">
            <v>18</v>
          </cell>
          <cell r="Q91">
            <v>1321.2371134020623</v>
          </cell>
          <cell r="R91">
            <v>73.402061855670127</v>
          </cell>
        </row>
        <row r="92">
          <cell r="P92">
            <v>15</v>
          </cell>
          <cell r="Q92">
            <v>1301.9999999999986</v>
          </cell>
          <cell r="R92">
            <v>86.799999999999912</v>
          </cell>
        </row>
        <row r="93">
          <cell r="P93">
            <v>17</v>
          </cell>
          <cell r="Q93">
            <v>1341.1764705882347</v>
          </cell>
          <cell r="R93">
            <v>78.89273356401381</v>
          </cell>
        </row>
        <row r="94">
          <cell r="P94">
            <v>17</v>
          </cell>
          <cell r="Q94">
            <v>1276.2500000000005</v>
          </cell>
          <cell r="R94">
            <v>75.073529411764738</v>
          </cell>
        </row>
        <row r="95">
          <cell r="P95">
            <v>17</v>
          </cell>
          <cell r="Q95">
            <v>1294.1860465116276</v>
          </cell>
          <cell r="R95">
            <v>76.128590971272217</v>
          </cell>
        </row>
        <row r="96">
          <cell r="P96">
            <v>18</v>
          </cell>
          <cell r="Q96">
            <v>1290.8571428571415</v>
          </cell>
          <cell r="R96">
            <v>71.714285714285637</v>
          </cell>
        </row>
        <row r="97">
          <cell r="P97">
            <v>18</v>
          </cell>
          <cell r="Q97">
            <v>1277.8571428571424</v>
          </cell>
          <cell r="R97">
            <v>70.992063492063465</v>
          </cell>
        </row>
        <row r="98">
          <cell r="P98">
            <v>15</v>
          </cell>
          <cell r="Q98">
            <v>1284.4444444444453</v>
          </cell>
          <cell r="R98">
            <v>85.62962962962969</v>
          </cell>
        </row>
        <row r="99">
          <cell r="P99">
            <v>17</v>
          </cell>
          <cell r="Q99">
            <v>1197.7358490566046</v>
          </cell>
          <cell r="R99">
            <v>70.455049944506158</v>
          </cell>
        </row>
        <row r="100">
          <cell r="P100">
            <v>0</v>
          </cell>
          <cell r="Q100">
            <v>0</v>
          </cell>
          <cell r="R100">
            <v>0</v>
          </cell>
          <cell r="AT100" t="str">
            <v/>
          </cell>
          <cell r="AU100" t="str">
            <v/>
          </cell>
          <cell r="AV100" t="str">
            <v/>
          </cell>
        </row>
      </sheetData>
      <sheetData sheetId="8"/>
      <sheetData sheetId="9">
        <row r="47">
          <cell r="Q47">
            <v>1362.4528301886794</v>
          </cell>
          <cell r="R47">
            <v>71.708043694141026</v>
          </cell>
        </row>
        <row r="48">
          <cell r="P48">
            <v>18</v>
          </cell>
          <cell r="Q48">
            <v>1306.7256637168136</v>
          </cell>
          <cell r="R48">
            <v>72.59587020648965</v>
          </cell>
        </row>
        <row r="49">
          <cell r="P49">
            <v>18</v>
          </cell>
          <cell r="Q49">
            <v>1406.4761904761901</v>
          </cell>
          <cell r="R49">
            <v>78.137566137566125</v>
          </cell>
        </row>
        <row r="50">
          <cell r="P50">
            <v>22</v>
          </cell>
          <cell r="Q50">
            <v>1369.9999999999993</v>
          </cell>
          <cell r="R50">
            <v>62.272727272727245</v>
          </cell>
        </row>
        <row r="51">
          <cell r="P51">
            <v>18</v>
          </cell>
          <cell r="Q51">
            <v>1376.842105263157</v>
          </cell>
          <cell r="R51">
            <v>76.491228070175396</v>
          </cell>
        </row>
        <row r="52">
          <cell r="P52">
            <v>9</v>
          </cell>
          <cell r="Q52">
            <v>1362.6666666666667</v>
          </cell>
          <cell r="R52">
            <v>151.40740740740742</v>
          </cell>
        </row>
        <row r="53">
          <cell r="P53">
            <v>18</v>
          </cell>
          <cell r="Q53">
            <v>1375.9807228915665</v>
          </cell>
          <cell r="R53">
            <v>76.443373493975912</v>
          </cell>
        </row>
        <row r="54">
          <cell r="P54">
            <v>17</v>
          </cell>
          <cell r="Q54">
            <v>1349.9999999999998</v>
          </cell>
          <cell r="R54">
            <v>79.411764705882334</v>
          </cell>
        </row>
        <row r="55">
          <cell r="P55">
            <v>19</v>
          </cell>
          <cell r="Q55">
            <v>916.87499999999886</v>
          </cell>
          <cell r="R55">
            <v>48.256578947368361</v>
          </cell>
        </row>
        <row r="56">
          <cell r="P56">
            <v>19</v>
          </cell>
          <cell r="Q56">
            <v>1256.4000000000003</v>
          </cell>
          <cell r="R56">
            <v>66.126315789473708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39" t="s">
        <v>12</v>
      </c>
      <c r="D21" s="522"/>
      <c r="E21" s="515"/>
      <c r="F21" s="50" t="s">
        <v>46</v>
      </c>
      <c r="G21" s="50" t="s">
        <v>48</v>
      </c>
      <c r="H21" s="50" t="s">
        <v>49</v>
      </c>
      <c r="I21" s="8" t="s">
        <v>13</v>
      </c>
      <c r="J21" s="531" t="s">
        <v>51</v>
      </c>
      <c r="K21" s="515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14" t="s">
        <v>14</v>
      </c>
      <c r="D22" s="522"/>
      <c r="E22" s="515"/>
      <c r="F22" s="4">
        <v>3</v>
      </c>
      <c r="G22" s="4">
        <v>3000</v>
      </c>
      <c r="H22" s="4">
        <v>1000</v>
      </c>
      <c r="I22" s="4">
        <v>10</v>
      </c>
      <c r="J22" s="521" t="s">
        <v>76</v>
      </c>
      <c r="K22" s="515"/>
      <c r="M22" s="53" t="s">
        <v>26</v>
      </c>
      <c r="N22" s="58" t="s">
        <v>47</v>
      </c>
      <c r="O22" s="527" t="s">
        <v>12</v>
      </c>
      <c r="P22" s="522"/>
      <c r="Q22" s="515"/>
      <c r="R22" s="533" t="s">
        <v>53</v>
      </c>
      <c r="S22" s="522"/>
      <c r="T22" s="515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31" t="s">
        <v>51</v>
      </c>
      <c r="AA22" s="515"/>
    </row>
    <row r="23" spans="1:27" ht="15.75" customHeight="1">
      <c r="A23" s="23"/>
      <c r="B23" s="6">
        <v>2</v>
      </c>
      <c r="C23" s="536"/>
      <c r="D23" s="522"/>
      <c r="E23" s="515"/>
      <c r="F23" s="4"/>
      <c r="G23" s="4"/>
      <c r="H23" s="4"/>
      <c r="I23" s="4"/>
      <c r="J23" s="536"/>
      <c r="K23" s="515"/>
      <c r="M23" s="57" t="s">
        <v>42</v>
      </c>
      <c r="N23" s="24">
        <v>1</v>
      </c>
      <c r="O23" s="521" t="s">
        <v>82</v>
      </c>
      <c r="P23" s="522"/>
      <c r="Q23" s="515"/>
      <c r="R23" s="521" t="s">
        <v>85</v>
      </c>
      <c r="S23" s="522"/>
      <c r="T23" s="515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21" t="s">
        <v>86</v>
      </c>
      <c r="AA23" s="515"/>
    </row>
    <row r="24" spans="1:27" ht="15.75" customHeight="1">
      <c r="A24" s="23"/>
      <c r="B24" s="6">
        <v>3</v>
      </c>
      <c r="C24" s="536"/>
      <c r="D24" s="522"/>
      <c r="E24" s="515"/>
      <c r="F24" s="4"/>
      <c r="G24" s="4"/>
      <c r="H24" s="4"/>
      <c r="I24" s="4"/>
      <c r="J24" s="536"/>
      <c r="K24" s="515"/>
      <c r="M24" s="25"/>
      <c r="N24" s="24">
        <v>2</v>
      </c>
      <c r="O24" s="514"/>
      <c r="P24" s="522"/>
      <c r="Q24" s="515"/>
      <c r="R24" s="514"/>
      <c r="S24" s="522"/>
      <c r="T24" s="515"/>
      <c r="U24" s="4"/>
      <c r="V24" s="14"/>
      <c r="W24" s="4"/>
      <c r="X24" s="16">
        <f>W24*U24</f>
        <v>0</v>
      </c>
      <c r="Y24" s="4"/>
      <c r="Z24" s="514"/>
      <c r="AA24" s="515"/>
    </row>
    <row r="25" spans="1:27" ht="15.75" customHeight="1">
      <c r="A25" s="23"/>
      <c r="B25" s="6">
        <v>4</v>
      </c>
      <c r="C25" s="536"/>
      <c r="D25" s="522"/>
      <c r="E25" s="515"/>
      <c r="F25" s="4"/>
      <c r="G25" s="4"/>
      <c r="H25" s="4"/>
      <c r="I25" s="4"/>
      <c r="J25" s="536"/>
      <c r="K25" s="515"/>
      <c r="M25" s="25"/>
      <c r="N25" s="24">
        <v>3</v>
      </c>
      <c r="O25" s="514"/>
      <c r="P25" s="522"/>
      <c r="Q25" s="515"/>
      <c r="R25" s="514"/>
      <c r="S25" s="522"/>
      <c r="T25" s="515"/>
      <c r="U25" s="4"/>
      <c r="V25" s="14"/>
      <c r="W25" s="4"/>
      <c r="X25" s="16">
        <f>W25*U25</f>
        <v>0</v>
      </c>
      <c r="Y25" s="4"/>
      <c r="Z25" s="514"/>
      <c r="AA25" s="515"/>
    </row>
    <row r="26" spans="1:27" ht="15.75" customHeight="1">
      <c r="A26" s="23"/>
      <c r="B26" s="26">
        <v>5</v>
      </c>
      <c r="C26" s="540"/>
      <c r="D26" s="523"/>
      <c r="E26" s="517"/>
      <c r="F26" s="27"/>
      <c r="G26" s="27"/>
      <c r="H26" s="27"/>
      <c r="I26" s="27"/>
      <c r="J26" s="540"/>
      <c r="K26" s="517"/>
      <c r="M26" s="25"/>
      <c r="N26" s="24">
        <v>4</v>
      </c>
      <c r="O26" s="514"/>
      <c r="P26" s="522"/>
      <c r="Q26" s="515"/>
      <c r="R26" s="514"/>
      <c r="S26" s="522"/>
      <c r="T26" s="515"/>
      <c r="U26" s="4"/>
      <c r="V26" s="14"/>
      <c r="W26" s="4"/>
      <c r="X26" s="16">
        <f>W26*U26</f>
        <v>0</v>
      </c>
      <c r="Y26" s="4"/>
      <c r="Z26" s="514"/>
      <c r="AA26" s="515"/>
    </row>
    <row r="27" spans="1:27" ht="15.75" customHeight="1">
      <c r="A27" s="23"/>
      <c r="B27" s="70" t="s">
        <v>101</v>
      </c>
      <c r="C27" s="524" t="s">
        <v>75</v>
      </c>
      <c r="D27" s="525"/>
      <c r="E27" s="526"/>
      <c r="F27" s="28">
        <v>4</v>
      </c>
      <c r="G27" s="28">
        <v>2800</v>
      </c>
      <c r="H27" s="28">
        <v>700</v>
      </c>
      <c r="I27" s="28" t="s">
        <v>15</v>
      </c>
      <c r="J27" s="524" t="s">
        <v>77</v>
      </c>
      <c r="K27" s="526"/>
      <c r="M27" s="25"/>
      <c r="N27" s="29">
        <v>5</v>
      </c>
      <c r="O27" s="516"/>
      <c r="P27" s="523"/>
      <c r="Q27" s="517"/>
      <c r="R27" s="516"/>
      <c r="S27" s="523"/>
      <c r="T27" s="517"/>
      <c r="U27" s="27"/>
      <c r="V27" s="30"/>
      <c r="W27" s="27"/>
      <c r="X27" s="31">
        <f>W27*U27</f>
        <v>0</v>
      </c>
      <c r="Y27" s="4"/>
      <c r="Z27" s="516"/>
      <c r="AA27" s="517"/>
    </row>
    <row r="28" spans="1:27" ht="15.75" customHeight="1">
      <c r="A28" s="23"/>
      <c r="B28" s="71" t="s">
        <v>102</v>
      </c>
      <c r="C28" s="536"/>
      <c r="D28" s="522"/>
      <c r="E28" s="515"/>
      <c r="F28" s="4"/>
      <c r="G28" s="4"/>
      <c r="H28" s="4"/>
      <c r="I28" s="4"/>
      <c r="J28" s="536"/>
      <c r="K28" s="515"/>
      <c r="M28" s="32"/>
      <c r="N28" s="56"/>
      <c r="O28" s="518"/>
      <c r="P28" s="522"/>
      <c r="Q28" s="522"/>
      <c r="R28" s="518"/>
      <c r="S28" s="522"/>
      <c r="T28" s="522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18"/>
      <c r="AA28" s="515"/>
    </row>
    <row r="29" spans="1:27" ht="15.75" customHeight="1">
      <c r="A29" s="23"/>
      <c r="B29" s="71" t="s">
        <v>100</v>
      </c>
      <c r="C29" s="536"/>
      <c r="D29" s="522"/>
      <c r="E29" s="515"/>
      <c r="F29" s="4"/>
      <c r="G29" s="4"/>
      <c r="H29" s="4"/>
      <c r="I29" s="4"/>
      <c r="J29" s="536"/>
      <c r="K29" s="515"/>
      <c r="M29" s="57" t="s">
        <v>43</v>
      </c>
      <c r="N29" s="24">
        <v>1</v>
      </c>
      <c r="O29" s="537" t="s">
        <v>16</v>
      </c>
      <c r="P29" s="538"/>
      <c r="Q29" s="520"/>
      <c r="R29" s="519" t="s">
        <v>87</v>
      </c>
      <c r="S29" s="538"/>
      <c r="T29" s="52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19" t="s">
        <v>88</v>
      </c>
      <c r="AA29" s="520"/>
    </row>
    <row r="30" spans="1:27" ht="15.75" customHeight="1">
      <c r="A30" s="23"/>
      <c r="B30" s="71" t="s">
        <v>99</v>
      </c>
      <c r="C30" s="536"/>
      <c r="D30" s="522"/>
      <c r="E30" s="515"/>
      <c r="F30" s="4"/>
      <c r="G30" s="4"/>
      <c r="H30" s="4"/>
      <c r="I30" s="4"/>
      <c r="J30" s="536"/>
      <c r="K30" s="515"/>
      <c r="M30" s="25"/>
      <c r="N30" s="24">
        <v>2</v>
      </c>
      <c r="O30" s="514"/>
      <c r="P30" s="522"/>
      <c r="Q30" s="515"/>
      <c r="R30" s="514"/>
      <c r="S30" s="522"/>
      <c r="T30" s="515"/>
      <c r="U30" s="4"/>
      <c r="V30" s="14"/>
      <c r="W30" s="4"/>
      <c r="X30" s="16">
        <f>W30*U30</f>
        <v>0</v>
      </c>
      <c r="Y30" s="4"/>
      <c r="Z30" s="514"/>
      <c r="AA30" s="515"/>
    </row>
    <row r="31" spans="1:27" ht="15.75" customHeight="1">
      <c r="A31" s="20"/>
      <c r="B31" s="71" t="s">
        <v>103</v>
      </c>
      <c r="C31" s="536"/>
      <c r="D31" s="522"/>
      <c r="E31" s="515"/>
      <c r="F31" s="4"/>
      <c r="G31" s="4"/>
      <c r="H31" s="4"/>
      <c r="I31" s="4"/>
      <c r="J31" s="536"/>
      <c r="K31" s="515"/>
      <c r="M31" s="25"/>
      <c r="N31" s="24">
        <v>3</v>
      </c>
      <c r="O31" s="514"/>
      <c r="P31" s="522"/>
      <c r="Q31" s="515"/>
      <c r="R31" s="514"/>
      <c r="S31" s="522"/>
      <c r="T31" s="515"/>
      <c r="U31" s="4"/>
      <c r="V31" s="14"/>
      <c r="W31" s="4"/>
      <c r="X31" s="16">
        <f>W31*U31</f>
        <v>0</v>
      </c>
      <c r="Y31" s="4"/>
      <c r="Z31" s="514"/>
      <c r="AA31" s="515"/>
    </row>
    <row r="32" spans="1:27" ht="15.75" customHeight="1">
      <c r="A32" s="68"/>
      <c r="M32" s="25"/>
      <c r="N32" s="24">
        <v>4</v>
      </c>
      <c r="O32" s="514"/>
      <c r="P32" s="522"/>
      <c r="Q32" s="515"/>
      <c r="R32" s="514"/>
      <c r="S32" s="522"/>
      <c r="T32" s="515"/>
      <c r="U32" s="4"/>
      <c r="V32" s="14"/>
      <c r="W32" s="4"/>
      <c r="X32" s="16">
        <f>W32*U32</f>
        <v>0</v>
      </c>
      <c r="Y32" s="4"/>
      <c r="Z32" s="514"/>
      <c r="AA32" s="515"/>
    </row>
    <row r="33" spans="1:27" ht="15.75" customHeight="1">
      <c r="A33" s="18"/>
      <c r="B33" s="50" t="s">
        <v>47</v>
      </c>
      <c r="C33" s="539" t="s">
        <v>12</v>
      </c>
      <c r="D33" s="522"/>
      <c r="E33" s="515"/>
      <c r="F33" s="50" t="s">
        <v>46</v>
      </c>
      <c r="G33" s="50" t="s">
        <v>48</v>
      </c>
      <c r="H33" s="50" t="s">
        <v>49</v>
      </c>
      <c r="I33" s="8" t="s">
        <v>13</v>
      </c>
      <c r="J33" s="531" t="s">
        <v>51</v>
      </c>
      <c r="K33" s="515"/>
      <c r="M33" s="25"/>
      <c r="N33" s="29">
        <v>5</v>
      </c>
      <c r="O33" s="514"/>
      <c r="P33" s="522"/>
      <c r="Q33" s="515"/>
      <c r="R33" s="514"/>
      <c r="S33" s="522"/>
      <c r="T33" s="515"/>
      <c r="U33" s="27"/>
      <c r="V33" s="30"/>
      <c r="W33" s="27"/>
      <c r="X33" s="31">
        <f>W33*U33</f>
        <v>0</v>
      </c>
      <c r="Y33" s="4"/>
      <c r="Z33" s="514"/>
      <c r="AA33" s="515"/>
    </row>
    <row r="34" spans="1:27" ht="15.75" customHeight="1">
      <c r="A34" s="53" t="s">
        <v>35</v>
      </c>
      <c r="B34" s="6">
        <v>1</v>
      </c>
      <c r="C34" s="521" t="s">
        <v>79</v>
      </c>
      <c r="D34" s="522"/>
      <c r="E34" s="515"/>
      <c r="F34" s="4">
        <v>3</v>
      </c>
      <c r="G34" s="4">
        <v>2500</v>
      </c>
      <c r="H34" s="4">
        <v>833.33</v>
      </c>
      <c r="I34" s="4">
        <v>20</v>
      </c>
      <c r="J34" s="521" t="s">
        <v>78</v>
      </c>
      <c r="K34" s="515"/>
      <c r="M34" s="69"/>
      <c r="N34" s="45"/>
      <c r="O34" s="518"/>
      <c r="P34" s="522"/>
      <c r="Q34" s="522"/>
      <c r="R34" s="518"/>
      <c r="S34" s="522"/>
      <c r="T34" s="522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18"/>
      <c r="AA34" s="515"/>
    </row>
    <row r="35" spans="1:27" ht="15.75" customHeight="1">
      <c r="A35" s="23"/>
      <c r="B35" s="6">
        <v>2</v>
      </c>
      <c r="C35" s="514"/>
      <c r="D35" s="522"/>
      <c r="E35" s="515"/>
      <c r="F35" s="4"/>
      <c r="G35" s="4"/>
      <c r="H35" s="4"/>
      <c r="I35" s="4"/>
      <c r="J35" s="514"/>
      <c r="K35" s="515"/>
      <c r="M35" s="1"/>
      <c r="N35" s="1"/>
      <c r="O35" s="529"/>
      <c r="P35" s="530"/>
      <c r="Q35" s="530"/>
      <c r="R35" s="529"/>
      <c r="S35" s="530"/>
      <c r="T35" s="530"/>
      <c r="U35" s="1"/>
      <c r="V35" s="38"/>
      <c r="W35" s="1"/>
      <c r="X35" s="1"/>
      <c r="Y35" s="529"/>
      <c r="Z35" s="530"/>
      <c r="AA35" s="530"/>
    </row>
    <row r="36" spans="1:27" ht="15.75" customHeight="1">
      <c r="A36" s="23"/>
      <c r="B36" s="6">
        <v>3</v>
      </c>
      <c r="C36" s="514"/>
      <c r="D36" s="522"/>
      <c r="E36" s="515"/>
      <c r="F36" s="4"/>
      <c r="G36" s="4"/>
      <c r="H36" s="4"/>
      <c r="I36" s="4"/>
      <c r="J36" s="514"/>
      <c r="K36" s="515"/>
      <c r="M36" s="53" t="s">
        <v>27</v>
      </c>
      <c r="N36" s="58" t="s">
        <v>47</v>
      </c>
      <c r="O36" s="527" t="s">
        <v>12</v>
      </c>
      <c r="P36" s="518"/>
      <c r="Q36" s="528"/>
      <c r="R36" s="533" t="s">
        <v>53</v>
      </c>
      <c r="S36" s="534"/>
      <c r="T36" s="535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31" t="s">
        <v>51</v>
      </c>
      <c r="AA36" s="532"/>
    </row>
    <row r="37" spans="1:27" ht="15.75" customHeight="1">
      <c r="A37" s="23"/>
      <c r="B37" s="6">
        <v>4</v>
      </c>
      <c r="C37" s="514"/>
      <c r="D37" s="522"/>
      <c r="E37" s="515"/>
      <c r="F37" s="4"/>
      <c r="G37" s="4"/>
      <c r="H37" s="4"/>
      <c r="I37" s="4"/>
      <c r="J37" s="514"/>
      <c r="K37" s="515"/>
      <c r="M37" s="57" t="s">
        <v>42</v>
      </c>
      <c r="N37" s="24">
        <v>1</v>
      </c>
      <c r="O37" s="521" t="s">
        <v>89</v>
      </c>
      <c r="P37" s="522"/>
      <c r="Q37" s="515"/>
      <c r="R37" s="521" t="s">
        <v>90</v>
      </c>
      <c r="S37" s="522"/>
      <c r="T37" s="515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21" t="s">
        <v>91</v>
      </c>
      <c r="AA37" s="515"/>
    </row>
    <row r="38" spans="1:27" ht="15.75" customHeight="1">
      <c r="A38" s="23"/>
      <c r="B38" s="26">
        <v>5</v>
      </c>
      <c r="C38" s="516"/>
      <c r="D38" s="523"/>
      <c r="E38" s="517"/>
      <c r="F38" s="27"/>
      <c r="G38" s="27"/>
      <c r="H38" s="27"/>
      <c r="I38" s="27"/>
      <c r="J38" s="516"/>
      <c r="K38" s="517"/>
      <c r="M38" s="25"/>
      <c r="N38" s="24">
        <v>2</v>
      </c>
      <c r="O38" s="514"/>
      <c r="P38" s="522"/>
      <c r="Q38" s="515"/>
      <c r="R38" s="514"/>
      <c r="S38" s="522"/>
      <c r="T38" s="515"/>
      <c r="U38" s="4"/>
      <c r="V38" s="14"/>
      <c r="W38" s="4"/>
      <c r="X38" s="16">
        <f>W38*U38</f>
        <v>0</v>
      </c>
      <c r="Y38" s="4"/>
      <c r="Z38" s="514"/>
      <c r="AA38" s="515"/>
    </row>
    <row r="39" spans="1:27" ht="14.25">
      <c r="A39" s="23"/>
      <c r="B39" s="70" t="s">
        <v>101</v>
      </c>
      <c r="C39" s="524" t="s">
        <v>80</v>
      </c>
      <c r="D39" s="525"/>
      <c r="E39" s="526"/>
      <c r="F39" s="28">
        <v>7</v>
      </c>
      <c r="G39" s="28">
        <v>2200</v>
      </c>
      <c r="H39" s="28">
        <v>314.29000000000002</v>
      </c>
      <c r="I39" s="28">
        <v>-15</v>
      </c>
      <c r="J39" s="524" t="s">
        <v>81</v>
      </c>
      <c r="K39" s="526"/>
      <c r="M39" s="25"/>
      <c r="N39" s="24">
        <v>3</v>
      </c>
      <c r="O39" s="514"/>
      <c r="P39" s="522"/>
      <c r="Q39" s="515"/>
      <c r="R39" s="514"/>
      <c r="S39" s="522"/>
      <c r="T39" s="515"/>
      <c r="U39" s="4"/>
      <c r="V39" s="14"/>
      <c r="W39" s="4"/>
      <c r="X39" s="16">
        <f>W39*U39</f>
        <v>0</v>
      </c>
      <c r="Y39" s="4"/>
      <c r="Z39" s="514"/>
      <c r="AA39" s="515"/>
    </row>
    <row r="40" spans="1:27" ht="14.25">
      <c r="A40" s="23"/>
      <c r="B40" s="71" t="s">
        <v>102</v>
      </c>
      <c r="C40" s="514"/>
      <c r="D40" s="522"/>
      <c r="E40" s="515"/>
      <c r="F40" s="4"/>
      <c r="G40" s="4"/>
      <c r="H40" s="4"/>
      <c r="I40" s="4"/>
      <c r="J40" s="514"/>
      <c r="K40" s="515"/>
      <c r="M40" s="25"/>
      <c r="N40" s="24">
        <v>4</v>
      </c>
      <c r="O40" s="514"/>
      <c r="P40" s="522"/>
      <c r="Q40" s="515"/>
      <c r="R40" s="514"/>
      <c r="S40" s="522"/>
      <c r="T40" s="515"/>
      <c r="U40" s="4"/>
      <c r="V40" s="14"/>
      <c r="W40" s="4"/>
      <c r="X40" s="16">
        <f>W40*U40</f>
        <v>0</v>
      </c>
      <c r="Y40" s="4"/>
      <c r="Z40" s="514"/>
      <c r="AA40" s="515"/>
    </row>
    <row r="41" spans="1:27" ht="14.25">
      <c r="A41" s="23"/>
      <c r="B41" s="71" t="s">
        <v>100</v>
      </c>
      <c r="C41" s="514"/>
      <c r="D41" s="522"/>
      <c r="E41" s="515"/>
      <c r="F41" s="4"/>
      <c r="G41" s="4"/>
      <c r="H41" s="4"/>
      <c r="I41" s="4"/>
      <c r="J41" s="514"/>
      <c r="K41" s="515"/>
      <c r="M41" s="25"/>
      <c r="N41" s="29">
        <v>5</v>
      </c>
      <c r="O41" s="516"/>
      <c r="P41" s="523"/>
      <c r="Q41" s="517"/>
      <c r="R41" s="516"/>
      <c r="S41" s="523"/>
      <c r="T41" s="517"/>
      <c r="U41" s="27"/>
      <c r="V41" s="30"/>
      <c r="W41" s="27"/>
      <c r="X41" s="31">
        <f>W41*U41</f>
        <v>0</v>
      </c>
      <c r="Y41" s="4"/>
      <c r="Z41" s="514"/>
      <c r="AA41" s="515"/>
    </row>
    <row r="42" spans="1:27" ht="14.25">
      <c r="A42" s="23"/>
      <c r="B42" s="71" t="s">
        <v>99</v>
      </c>
      <c r="C42" s="514"/>
      <c r="D42" s="522"/>
      <c r="E42" s="515"/>
      <c r="F42" s="4"/>
      <c r="G42" s="4"/>
      <c r="H42" s="4"/>
      <c r="I42" s="4"/>
      <c r="J42" s="514"/>
      <c r="K42" s="515"/>
      <c r="M42" s="32"/>
      <c r="N42" s="55"/>
      <c r="O42" s="518"/>
      <c r="P42" s="522"/>
      <c r="Q42" s="522"/>
      <c r="R42" s="518"/>
      <c r="S42" s="522"/>
      <c r="T42" s="522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18"/>
      <c r="AA42" s="515"/>
    </row>
    <row r="43" spans="1:27" ht="14.25">
      <c r="A43" s="20"/>
      <c r="B43" s="71" t="s">
        <v>103</v>
      </c>
      <c r="C43" s="514"/>
      <c r="D43" s="522"/>
      <c r="E43" s="515"/>
      <c r="F43" s="4"/>
      <c r="G43" s="4"/>
      <c r="H43" s="4"/>
      <c r="I43" s="4"/>
      <c r="J43" s="514"/>
      <c r="K43" s="515"/>
      <c r="M43" s="57" t="s">
        <v>43</v>
      </c>
      <c r="N43" s="24">
        <v>1</v>
      </c>
      <c r="O43" s="521" t="s">
        <v>89</v>
      </c>
      <c r="P43" s="522"/>
      <c r="Q43" s="515"/>
      <c r="R43" s="519" t="s">
        <v>93</v>
      </c>
      <c r="S43" s="538"/>
      <c r="T43" s="52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21" t="s">
        <v>92</v>
      </c>
      <c r="AA43" s="515"/>
    </row>
    <row r="44" spans="1:27" ht="14.25">
      <c r="A44" s="68"/>
      <c r="M44" s="25"/>
      <c r="N44" s="24">
        <v>2</v>
      </c>
      <c r="O44" s="514"/>
      <c r="P44" s="522"/>
      <c r="Q44" s="515"/>
      <c r="R44" s="514"/>
      <c r="S44" s="522"/>
      <c r="T44" s="515"/>
      <c r="U44" s="4"/>
      <c r="V44" s="14"/>
      <c r="W44" s="4"/>
      <c r="X44" s="37">
        <f>W44*U44</f>
        <v>0</v>
      </c>
      <c r="Y44" s="4"/>
      <c r="Z44" s="514"/>
      <c r="AA44" s="515"/>
    </row>
    <row r="45" spans="1:27" ht="14.25">
      <c r="A45" s="18"/>
      <c r="B45" s="50" t="s">
        <v>47</v>
      </c>
      <c r="C45" s="539" t="s">
        <v>12</v>
      </c>
      <c r="D45" s="522"/>
      <c r="E45" s="515"/>
      <c r="F45" s="50" t="s">
        <v>46</v>
      </c>
      <c r="G45" s="50" t="s">
        <v>48</v>
      </c>
      <c r="H45" s="50" t="s">
        <v>49</v>
      </c>
      <c r="I45" s="8" t="s">
        <v>13</v>
      </c>
      <c r="J45" s="531" t="s">
        <v>51</v>
      </c>
      <c r="K45" s="515"/>
      <c r="M45" s="25"/>
      <c r="N45" s="24">
        <v>3</v>
      </c>
      <c r="O45" s="514"/>
      <c r="P45" s="522"/>
      <c r="Q45" s="515"/>
      <c r="R45" s="514"/>
      <c r="S45" s="522"/>
      <c r="T45" s="515"/>
      <c r="U45" s="4"/>
      <c r="V45" s="14"/>
      <c r="W45" s="4"/>
      <c r="X45" s="37">
        <f>W45*U45</f>
        <v>0</v>
      </c>
      <c r="Y45" s="4"/>
      <c r="Z45" s="514"/>
      <c r="AA45" s="515"/>
    </row>
    <row r="46" spans="1:27" ht="14.25">
      <c r="A46" s="53" t="s">
        <v>36</v>
      </c>
      <c r="B46" s="6">
        <v>1</v>
      </c>
      <c r="C46" s="521" t="s">
        <v>82</v>
      </c>
      <c r="D46" s="522"/>
      <c r="E46" s="515"/>
      <c r="F46" s="4">
        <v>15</v>
      </c>
      <c r="G46" s="4">
        <v>1200</v>
      </c>
      <c r="H46" s="4">
        <v>80</v>
      </c>
      <c r="I46" s="4">
        <v>5</v>
      </c>
      <c r="J46" s="521" t="s">
        <v>83</v>
      </c>
      <c r="K46" s="515"/>
      <c r="M46" s="25"/>
      <c r="N46" s="24">
        <v>4</v>
      </c>
      <c r="O46" s="514"/>
      <c r="P46" s="522"/>
      <c r="Q46" s="515"/>
      <c r="R46" s="514"/>
      <c r="S46" s="522"/>
      <c r="T46" s="515"/>
      <c r="U46" s="4"/>
      <c r="V46" s="14"/>
      <c r="W46" s="4"/>
      <c r="X46" s="37">
        <f>W46*U46</f>
        <v>0</v>
      </c>
      <c r="Y46" s="4"/>
      <c r="Z46" s="514"/>
      <c r="AA46" s="515"/>
    </row>
    <row r="47" spans="1:27" ht="14.25">
      <c r="A47" s="23"/>
      <c r="B47" s="6">
        <v>2</v>
      </c>
      <c r="C47" s="514"/>
      <c r="D47" s="522"/>
      <c r="E47" s="515"/>
      <c r="F47" s="4"/>
      <c r="G47" s="4"/>
      <c r="H47" s="4"/>
      <c r="I47" s="4"/>
      <c r="J47" s="514"/>
      <c r="K47" s="515"/>
      <c r="M47" s="25"/>
      <c r="N47" s="29">
        <v>5</v>
      </c>
      <c r="O47" s="514"/>
      <c r="P47" s="522"/>
      <c r="Q47" s="515"/>
      <c r="R47" s="514"/>
      <c r="S47" s="522"/>
      <c r="T47" s="515"/>
      <c r="U47" s="27"/>
      <c r="V47" s="30"/>
      <c r="W47" s="27"/>
      <c r="X47" s="40">
        <f>W47*U47</f>
        <v>0</v>
      </c>
      <c r="Y47" s="4"/>
      <c r="Z47" s="514"/>
      <c r="AA47" s="515"/>
    </row>
    <row r="48" spans="1:27" ht="14.25">
      <c r="A48" s="23"/>
      <c r="B48" s="6">
        <v>3</v>
      </c>
      <c r="C48" s="514"/>
      <c r="D48" s="522"/>
      <c r="E48" s="515"/>
      <c r="F48" s="4"/>
      <c r="G48" s="4"/>
      <c r="H48" s="4"/>
      <c r="I48" s="4"/>
      <c r="J48" s="514"/>
      <c r="K48" s="515"/>
      <c r="M48" s="69"/>
      <c r="N48" s="45"/>
      <c r="O48" s="518"/>
      <c r="P48" s="522"/>
      <c r="Q48" s="522"/>
      <c r="R48" s="518"/>
      <c r="S48" s="522"/>
      <c r="T48" s="522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18"/>
      <c r="AA48" s="515"/>
    </row>
    <row r="49" spans="1:27" ht="14.25">
      <c r="A49" s="23"/>
      <c r="B49" s="6">
        <v>4</v>
      </c>
      <c r="C49" s="514"/>
      <c r="D49" s="522"/>
      <c r="E49" s="515"/>
      <c r="F49" s="4"/>
      <c r="G49" s="4"/>
      <c r="H49" s="4"/>
      <c r="I49" s="4"/>
      <c r="J49" s="514"/>
      <c r="K49" s="51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16"/>
      <c r="D50" s="523"/>
      <c r="E50" s="517"/>
      <c r="F50" s="27"/>
      <c r="G50" s="27"/>
      <c r="H50" s="27"/>
      <c r="I50" s="27"/>
      <c r="J50" s="516"/>
      <c r="K50" s="517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24" t="s">
        <v>89</v>
      </c>
      <c r="D51" s="525"/>
      <c r="E51" s="526"/>
      <c r="F51" s="28">
        <v>18</v>
      </c>
      <c r="G51" s="28">
        <v>800</v>
      </c>
      <c r="H51" s="28">
        <v>44.44</v>
      </c>
      <c r="I51" s="28">
        <v>-15</v>
      </c>
      <c r="J51" s="524" t="s">
        <v>84</v>
      </c>
      <c r="K51" s="526"/>
      <c r="M51" s="8"/>
      <c r="N51" s="8" t="s">
        <v>18</v>
      </c>
      <c r="O51" s="527" t="s">
        <v>12</v>
      </c>
      <c r="P51" s="518"/>
      <c r="Q51" s="528"/>
      <c r="R51" s="533" t="s">
        <v>53</v>
      </c>
      <c r="S51" s="534"/>
      <c r="T51" s="535"/>
      <c r="U51" s="58" t="s">
        <v>54</v>
      </c>
      <c r="V51" s="39" t="s">
        <v>19</v>
      </c>
      <c r="W51" s="58" t="s">
        <v>57</v>
      </c>
      <c r="X51" s="8" t="s">
        <v>2</v>
      </c>
      <c r="Y51" s="527" t="s">
        <v>50</v>
      </c>
      <c r="Z51" s="518"/>
      <c r="AA51" s="528"/>
    </row>
    <row r="52" spans="1:27" ht="14.25">
      <c r="A52" s="23"/>
      <c r="B52" s="71" t="s">
        <v>102</v>
      </c>
      <c r="C52" s="514"/>
      <c r="D52" s="522"/>
      <c r="E52" s="515"/>
      <c r="F52" s="4"/>
      <c r="G52" s="4"/>
      <c r="H52" s="4"/>
      <c r="I52" s="4"/>
      <c r="J52" s="514"/>
      <c r="K52" s="515"/>
      <c r="M52" s="57" t="s">
        <v>42</v>
      </c>
      <c r="N52" s="24">
        <v>1</v>
      </c>
      <c r="O52" s="521" t="s">
        <v>89</v>
      </c>
      <c r="P52" s="522"/>
      <c r="Q52" s="515"/>
      <c r="R52" s="519" t="s">
        <v>93</v>
      </c>
      <c r="S52" s="538"/>
      <c r="T52" s="52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21" t="s">
        <v>97</v>
      </c>
      <c r="Z52" s="522"/>
      <c r="AA52" s="515"/>
    </row>
    <row r="53" spans="1:27" ht="14.25">
      <c r="A53" s="23"/>
      <c r="B53" s="71" t="s">
        <v>100</v>
      </c>
      <c r="C53" s="514"/>
      <c r="D53" s="522"/>
      <c r="E53" s="515"/>
      <c r="F53" s="4"/>
      <c r="G53" s="4"/>
      <c r="H53" s="4"/>
      <c r="I53" s="4"/>
      <c r="J53" s="514"/>
      <c r="K53" s="515"/>
      <c r="M53" s="25"/>
      <c r="N53" s="29">
        <v>2</v>
      </c>
      <c r="O53" s="516"/>
      <c r="P53" s="523"/>
      <c r="Q53" s="517"/>
      <c r="R53" s="516"/>
      <c r="S53" s="523"/>
      <c r="T53" s="517"/>
      <c r="U53" s="27"/>
      <c r="V53" s="30"/>
      <c r="W53" s="30"/>
      <c r="X53" s="41">
        <f>W53-V53</f>
        <v>0</v>
      </c>
      <c r="Y53" s="516"/>
      <c r="Z53" s="523"/>
      <c r="AA53" s="517"/>
    </row>
    <row r="54" spans="1:27" ht="14.25">
      <c r="A54" s="23"/>
      <c r="B54" s="71" t="s">
        <v>99</v>
      </c>
      <c r="C54" s="514"/>
      <c r="D54" s="522"/>
      <c r="E54" s="515"/>
      <c r="F54" s="4"/>
      <c r="G54" s="4"/>
      <c r="H54" s="4"/>
      <c r="I54" s="4"/>
      <c r="J54" s="514"/>
      <c r="K54" s="515"/>
      <c r="M54" s="57" t="s">
        <v>43</v>
      </c>
      <c r="N54" s="42">
        <v>1</v>
      </c>
      <c r="O54" s="524" t="s">
        <v>94</v>
      </c>
      <c r="P54" s="525"/>
      <c r="Q54" s="526"/>
      <c r="R54" s="524" t="s">
        <v>95</v>
      </c>
      <c r="S54" s="525"/>
      <c r="T54" s="526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24" t="s">
        <v>96</v>
      </c>
      <c r="Z54" s="525"/>
      <c r="AA54" s="526"/>
    </row>
    <row r="55" spans="1:27" ht="14.25">
      <c r="A55" s="20"/>
      <c r="B55" s="71" t="s">
        <v>103</v>
      </c>
      <c r="C55" s="514"/>
      <c r="D55" s="522"/>
      <c r="E55" s="515"/>
      <c r="F55" s="4"/>
      <c r="G55" s="4"/>
      <c r="H55" s="4"/>
      <c r="I55" s="4"/>
      <c r="J55" s="514"/>
      <c r="K55" s="515"/>
      <c r="M55" s="22"/>
      <c r="N55" s="24">
        <v>2</v>
      </c>
      <c r="O55" s="514"/>
      <c r="P55" s="522"/>
      <c r="Q55" s="515"/>
      <c r="R55" s="514"/>
      <c r="S55" s="522"/>
      <c r="T55" s="515"/>
      <c r="U55" s="4"/>
      <c r="V55" s="14"/>
      <c r="W55" s="14"/>
      <c r="X55" s="13">
        <f>W55-V55</f>
        <v>0</v>
      </c>
      <c r="Y55" s="514"/>
      <c r="Z55" s="522"/>
      <c r="AA55" s="51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41" t="s">
        <v>425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120"/>
    </row>
    <row r="2" spans="1:12" s="121" customFormat="1" ht="15.75" customHeight="1">
      <c r="A2" s="541"/>
      <c r="B2" s="541"/>
      <c r="C2" s="541"/>
      <c r="D2" s="541"/>
      <c r="E2" s="541"/>
      <c r="F2" s="541"/>
      <c r="G2" s="541"/>
      <c r="H2" s="541"/>
      <c r="I2" s="541"/>
      <c r="J2" s="541"/>
      <c r="K2" s="541"/>
    </row>
    <row r="3" spans="1:12" ht="21.6" customHeight="1">
      <c r="A3" s="140" t="s">
        <v>325</v>
      </c>
      <c r="B3" s="141">
        <v>9</v>
      </c>
      <c r="C3" s="140" t="s">
        <v>20</v>
      </c>
      <c r="D3" s="542" t="s">
        <v>424</v>
      </c>
      <c r="E3" s="542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'（１）收支狀況'!H5/1000</f>
        <v>0</v>
      </c>
      <c r="C6" s="302">
        <v>212376.15</v>
      </c>
      <c r="D6" s="143">
        <f t="shared" ref="D6:D11" si="0">B6-C6</f>
        <v>-212376.15</v>
      </c>
      <c r="E6" s="143">
        <f t="shared" ref="E6:E11" si="1">B6</f>
        <v>0</v>
      </c>
      <c r="F6" s="134"/>
      <c r="G6" s="129" t="s">
        <v>198</v>
      </c>
      <c r="H6" s="305">
        <v>266</v>
      </c>
      <c r="I6" s="145">
        <f>'（２）ＫＰＩ達成進度'!H5</f>
        <v>0</v>
      </c>
      <c r="J6" s="324">
        <v>331.32088360675885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'（４）訂單數量構成比'!H7</f>
        <v>0</v>
      </c>
      <c r="C7" s="302">
        <v>6558055</v>
      </c>
      <c r="D7" s="143">
        <f t="shared" si="0"/>
        <v>-6558055</v>
      </c>
      <c r="E7" s="143">
        <f t="shared" si="1"/>
        <v>0</v>
      </c>
      <c r="F7" s="134"/>
      <c r="G7" s="129" t="s">
        <v>199</v>
      </c>
      <c r="H7" s="262">
        <v>0.8</v>
      </c>
      <c r="I7" s="144">
        <f>'（２）ＫＰＩ達成進度'!K5</f>
        <v>0</v>
      </c>
      <c r="J7" s="303">
        <v>0.90524831586546117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'（１）收支狀況'!N5/1000</f>
        <v>0</v>
      </c>
      <c r="C8" s="302">
        <v>139088.163</v>
      </c>
      <c r="D8" s="143">
        <f>B8-C8</f>
        <v>-139088.163</v>
      </c>
      <c r="E8" s="143">
        <f t="shared" si="1"/>
        <v>0</v>
      </c>
      <c r="F8" s="134"/>
      <c r="G8" s="129" t="s">
        <v>200</v>
      </c>
      <c r="H8" s="257">
        <v>2.5000000000000001E-3</v>
      </c>
      <c r="I8" s="257">
        <f>'（２）ＫＰＩ達成進度'!N5</f>
        <v>0</v>
      </c>
      <c r="J8" s="325">
        <v>2.4946244239327812E-3</v>
      </c>
      <c r="K8" s="257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'（１）收支狀況'!Q5</f>
        <v>0</v>
      </c>
      <c r="C9" s="303">
        <v>0.6549142311883891</v>
      </c>
      <c r="D9" s="144">
        <f t="shared" si="0"/>
        <v>-0.6549142311883891</v>
      </c>
      <c r="E9" s="144">
        <f t="shared" si="1"/>
        <v>0</v>
      </c>
      <c r="F9" s="134"/>
      <c r="G9" s="129" t="s">
        <v>201</v>
      </c>
      <c r="H9" s="257">
        <v>2.5999999999999999E-3</v>
      </c>
      <c r="I9" s="257">
        <f>'（２）ＫＰＩ達成進度'!Q5</f>
        <v>0</v>
      </c>
      <c r="J9" s="325">
        <v>2.3789152192140828E-3</v>
      </c>
      <c r="K9" s="257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'（１）收支狀況'!T5/1000</f>
        <v>0</v>
      </c>
      <c r="C10" s="302">
        <v>30146.176500666668</v>
      </c>
      <c r="D10" s="143">
        <f t="shared" si="0"/>
        <v>-30146.176500666668</v>
      </c>
      <c r="E10" s="143">
        <f t="shared" si="1"/>
        <v>0</v>
      </c>
      <c r="F10" s="134"/>
      <c r="G10" s="129" t="s">
        <v>202</v>
      </c>
      <c r="H10" s="259">
        <v>0.8</v>
      </c>
      <c r="I10" s="259">
        <f>'（２）ＫＰＩ達成進度'!T5</f>
        <v>0</v>
      </c>
      <c r="J10" s="326">
        <v>0.91666666666666707</v>
      </c>
      <c r="K10" s="259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'（１）收支狀況'!W5</f>
        <v>0</v>
      </c>
      <c r="C11" s="303">
        <v>0.14194709010718326</v>
      </c>
      <c r="D11" s="144">
        <f t="shared" si="0"/>
        <v>-0.14194709010718326</v>
      </c>
      <c r="E11" s="144">
        <f t="shared" si="1"/>
        <v>0</v>
      </c>
      <c r="F11" s="134"/>
      <c r="G11" s="129" t="s">
        <v>203</v>
      </c>
      <c r="H11" s="259">
        <v>1</v>
      </c>
      <c r="I11" s="144">
        <f>'（２）ＫＰＩ達成進度'!W5</f>
        <v>0</v>
      </c>
      <c r="J11" s="303">
        <v>0.67912903225806442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48691.663248434044</v>
      </c>
      <c r="C15" s="144" t="str">
        <f>IFERROR(B15/$B$6,"")</f>
        <v/>
      </c>
      <c r="D15" s="303">
        <v>0.19048549479871965</v>
      </c>
      <c r="E15" s="144" t="str">
        <f>IFERROR(C15-D15,"")</f>
        <v/>
      </c>
      <c r="F15" s="134"/>
      <c r="G15" s="129" t="s">
        <v>232</v>
      </c>
      <c r="H15" s="143">
        <f>'（４）訂單數量構成比'!M46</f>
        <v>2614973</v>
      </c>
      <c r="I15" s="144" t="str">
        <f t="shared" ref="I15:I23" si="3">IFERROR(H15/$B$7,"")</f>
        <v/>
      </c>
      <c r="J15" s="303">
        <v>0.3319345446172684</v>
      </c>
      <c r="K15" s="144" t="str">
        <f t="shared" ref="K15:K23" si="4">IFERROR(I15-J15,"")</f>
        <v/>
      </c>
    </row>
    <row r="16" spans="1:12" s="122" customFormat="1" ht="18" customHeight="1">
      <c r="A16" s="129" t="s">
        <v>222</v>
      </c>
      <c r="B16" s="143">
        <f>'（３）業績構成比'!S46/1000</f>
        <v>10841.45083949079</v>
      </c>
      <c r="C16" s="144" t="str">
        <f t="shared" ref="C16:C23" si="5">IFERROR(B16/$B$6,"")</f>
        <v/>
      </c>
      <c r="D16" s="303">
        <v>4.0020750239819727E-2</v>
      </c>
      <c r="E16" s="144" t="str">
        <f t="shared" ref="E16:E23" si="6">IFERROR(C16-D16,"")</f>
        <v/>
      </c>
      <c r="F16" s="134"/>
      <c r="G16" s="129" t="s">
        <v>251</v>
      </c>
      <c r="H16" s="143">
        <f>'（４）訂單數量構成比'!S47</f>
        <v>483465</v>
      </c>
      <c r="I16" s="144" t="str">
        <f t="shared" si="3"/>
        <v/>
      </c>
      <c r="J16" s="303">
        <v>5.0408543386720607E-2</v>
      </c>
      <c r="K16" s="144" t="str">
        <f t="shared" si="4"/>
        <v/>
      </c>
    </row>
    <row r="17" spans="1:18" s="122" customFormat="1" ht="18" customHeight="1">
      <c r="A17" s="129" t="s">
        <v>218</v>
      </c>
      <c r="B17" s="143">
        <f>'（３）業績構成比'!U46/1000</f>
        <v>22206.395673126295</v>
      </c>
      <c r="C17" s="144" t="str">
        <f t="shared" si="5"/>
        <v/>
      </c>
      <c r="D17" s="303">
        <v>9.8025494354577192E-2</v>
      </c>
      <c r="E17" s="144" t="str">
        <f t="shared" si="6"/>
        <v/>
      </c>
      <c r="F17" s="134"/>
      <c r="G17" s="129" t="s">
        <v>233</v>
      </c>
      <c r="H17" s="143">
        <f>'（４）訂單數量構成比'!U46</f>
        <v>657021</v>
      </c>
      <c r="I17" s="144" t="str">
        <f t="shared" si="3"/>
        <v/>
      </c>
      <c r="J17" s="303">
        <v>9.7549349616616515E-2</v>
      </c>
      <c r="K17" s="144" t="str">
        <f t="shared" si="4"/>
        <v/>
      </c>
    </row>
    <row r="18" spans="1:18" s="122" customFormat="1" ht="18" customHeight="1">
      <c r="A18" s="129" t="s">
        <v>220</v>
      </c>
      <c r="B18" s="143">
        <f>'（３）業績構成比'!W46/1000</f>
        <v>3804.6871545786248</v>
      </c>
      <c r="C18" s="144" t="str">
        <f t="shared" si="5"/>
        <v/>
      </c>
      <c r="D18" s="303">
        <v>2.3157870783418926E-3</v>
      </c>
      <c r="E18" s="144" t="str">
        <f t="shared" si="6"/>
        <v/>
      </c>
      <c r="F18" s="134"/>
      <c r="G18" s="129" t="s">
        <v>219</v>
      </c>
      <c r="H18" s="143">
        <f>'（４）訂單數量構成比'!W46</f>
        <v>133372</v>
      </c>
      <c r="I18" s="144" t="str">
        <f t="shared" si="3"/>
        <v/>
      </c>
      <c r="J18" s="303">
        <v>2.7738407195426083E-3</v>
      </c>
      <c r="K18" s="144" t="str">
        <f t="shared" si="4"/>
        <v/>
      </c>
    </row>
    <row r="19" spans="1:18" s="122" customFormat="1" ht="18" customHeight="1">
      <c r="A19" s="129" t="s">
        <v>224</v>
      </c>
      <c r="B19" s="143">
        <f>'（３）業績構成比'!AC46/1000</f>
        <v>61807.986477753402</v>
      </c>
      <c r="C19" s="144" t="str">
        <f t="shared" si="5"/>
        <v/>
      </c>
      <c r="D19" s="303">
        <v>0.26645165188277636</v>
      </c>
      <c r="E19" s="144" t="str">
        <f t="shared" si="6"/>
        <v/>
      </c>
      <c r="F19" s="134"/>
      <c r="G19" s="129" t="s">
        <v>223</v>
      </c>
      <c r="H19" s="143">
        <f>'（４）訂單數量構成比'!AC46</f>
        <v>1545991</v>
      </c>
      <c r="I19" s="144" t="str">
        <f t="shared" si="3"/>
        <v/>
      </c>
      <c r="J19" s="303">
        <v>0.2096606387107153</v>
      </c>
      <c r="K19" s="144" t="str">
        <f t="shared" si="4"/>
        <v/>
      </c>
    </row>
    <row r="20" spans="1:18" s="122" customFormat="1" ht="18" customHeight="1">
      <c r="A20" s="129" t="s">
        <v>226</v>
      </c>
      <c r="B20" s="143">
        <f>'（３）業績構成比'!AE46/1000</f>
        <v>35929.596520615407</v>
      </c>
      <c r="C20" s="144" t="str">
        <f t="shared" si="5"/>
        <v/>
      </c>
      <c r="D20" s="303">
        <v>0.11880394760612771</v>
      </c>
      <c r="E20" s="144" t="str">
        <f t="shared" si="6"/>
        <v/>
      </c>
      <c r="F20" s="134"/>
      <c r="G20" s="129" t="s">
        <v>225</v>
      </c>
      <c r="H20" s="143">
        <f>'（４）訂單數量構成比'!AE46</f>
        <v>636391</v>
      </c>
      <c r="I20" s="144" t="str">
        <f t="shared" si="3"/>
        <v/>
      </c>
      <c r="J20" s="303">
        <v>6.9473342324820386E-2</v>
      </c>
      <c r="K20" s="144" t="str">
        <f t="shared" si="4"/>
        <v/>
      </c>
    </row>
    <row r="21" spans="1:18" s="122" customFormat="1" ht="18" customHeight="1">
      <c r="A21" s="129" t="s">
        <v>228</v>
      </c>
      <c r="B21" s="143">
        <f>'（３）業績構成比'!AG46/1000</f>
        <v>34324.581017092365</v>
      </c>
      <c r="C21" s="144" t="str">
        <f>IFERROR(B21/$B$6,"")</f>
        <v/>
      </c>
      <c r="D21" s="303">
        <v>0.13107603010243102</v>
      </c>
      <c r="E21" s="144" t="str">
        <f>IFERROR(C21-D21,"")</f>
        <v/>
      </c>
      <c r="F21" s="134"/>
      <c r="G21" s="129" t="s">
        <v>234</v>
      </c>
      <c r="H21" s="143">
        <f>'（４）訂單數量構成比'!AG46</f>
        <v>702832</v>
      </c>
      <c r="I21" s="144" t="str">
        <f>IFERROR(H21/$B$7,"")</f>
        <v/>
      </c>
      <c r="J21" s="303">
        <v>8.7948484726035392E-2</v>
      </c>
      <c r="K21" s="144" t="str">
        <f>IFERROR(I21-J21,"")</f>
        <v/>
      </c>
    </row>
    <row r="22" spans="1:18" s="122" customFormat="1" ht="18" customHeight="1">
      <c r="A22" s="129" t="s">
        <v>229</v>
      </c>
      <c r="B22" s="143">
        <f>'（３）業績構成比'!AI46/1000</f>
        <v>17203.975825778558</v>
      </c>
      <c r="C22" s="144" t="str">
        <f t="shared" si="5"/>
        <v/>
      </c>
      <c r="D22" s="303">
        <v>9.1535407774179067E-2</v>
      </c>
      <c r="E22" s="144" t="str">
        <f t="shared" si="6"/>
        <v/>
      </c>
      <c r="F22" s="134"/>
      <c r="G22" s="129" t="s">
        <v>235</v>
      </c>
      <c r="H22" s="143">
        <f>'（４）訂單數量構成比'!AI46</f>
        <v>467674</v>
      </c>
      <c r="I22" s="144" t="str">
        <f t="shared" si="3"/>
        <v/>
      </c>
      <c r="J22" s="303">
        <v>7.9981640898101641E-2</v>
      </c>
      <c r="K22" s="144" t="str">
        <f t="shared" si="4"/>
        <v/>
      </c>
    </row>
    <row r="23" spans="1:18" s="122" customFormat="1" ht="18" customHeight="1">
      <c r="A23" s="129" t="s">
        <v>231</v>
      </c>
      <c r="B23" s="143">
        <f>'（３）業績構成比'!AK46/1000</f>
        <v>19866.978243130539</v>
      </c>
      <c r="C23" s="144" t="str">
        <f t="shared" si="5"/>
        <v/>
      </c>
      <c r="D23" s="303">
        <v>6.1285436163027458E-2</v>
      </c>
      <c r="E23" s="144" t="str">
        <f t="shared" si="6"/>
        <v/>
      </c>
      <c r="F23" s="134"/>
      <c r="G23" s="129" t="s">
        <v>230</v>
      </c>
      <c r="H23" s="143">
        <f>'（４）訂單數量構成比'!AK46</f>
        <v>654860</v>
      </c>
      <c r="I23" s="144" t="str">
        <f t="shared" si="3"/>
        <v/>
      </c>
      <c r="J23" s="303">
        <v>7.026961500017917E-2</v>
      </c>
      <c r="K23" s="144" t="str">
        <f t="shared" si="4"/>
        <v/>
      </c>
    </row>
    <row r="24" spans="1:18" s="122" customFormat="1" ht="15.75" customHeight="1">
      <c r="A24" s="134"/>
      <c r="B24" s="134"/>
      <c r="C24" s="138">
        <f>SUM(C15:C23)</f>
        <v>0</v>
      </c>
      <c r="D24" s="138">
        <f>SUM(D15:D23)</f>
        <v>1</v>
      </c>
      <c r="E24" s="134"/>
      <c r="F24" s="134"/>
      <c r="G24" s="134"/>
      <c r="H24" s="134"/>
      <c r="I24" s="138">
        <f>SUM(I15:I23)</f>
        <v>0</v>
      </c>
      <c r="J24" s="138">
        <f>SUM(J15:J23)</f>
        <v>1.0000000000000002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522</v>
      </c>
      <c r="N27" s="136" t="s">
        <v>523</v>
      </c>
      <c r="O27" s="136" t="s">
        <v>524</v>
      </c>
      <c r="P27" s="136" t="s">
        <v>525</v>
      </c>
      <c r="Q27" s="136" t="s">
        <v>526</v>
      </c>
      <c r="R27" s="134"/>
    </row>
    <row r="28" spans="1:18" s="122" customFormat="1" ht="18" customHeight="1">
      <c r="A28" s="129" t="s">
        <v>232</v>
      </c>
      <c r="B28" s="304">
        <f>'（５-1）品群別人時生產性（18℃-飯糰）'!$C$1</f>
        <v>757.93395772609676</v>
      </c>
      <c r="C28" s="354">
        <v>717.52753492795955</v>
      </c>
      <c r="D28" s="252">
        <f t="shared" ref="D28:D36" si="7">B28-C28</f>
        <v>40.406422798137214</v>
      </c>
      <c r="E28" s="304">
        <f>R28</f>
        <v>737.7307463270281</v>
      </c>
      <c r="F28" s="134"/>
      <c r="G28" s="148"/>
      <c r="H28" s="148"/>
      <c r="I28" s="148"/>
      <c r="M28" s="304">
        <v>717.52753492795955</v>
      </c>
      <c r="N28" s="304">
        <f>B28</f>
        <v>757.93395772609676</v>
      </c>
      <c r="O28" s="304"/>
      <c r="P28" s="304"/>
      <c r="Q28" s="304"/>
      <c r="R28" s="327">
        <f>AVERAGE(M28:Q28)</f>
        <v>737.7307463270281</v>
      </c>
    </row>
    <row r="29" spans="1:18" s="122" customFormat="1" ht="18" customHeight="1">
      <c r="A29" s="129" t="s">
        <v>221</v>
      </c>
      <c r="B29" s="304">
        <f>'（５-2）品群別人時生產性（18-壽司手卷)'!$C$1</f>
        <v>196.68274369649492</v>
      </c>
      <c r="C29" s="354">
        <v>197.63271688630809</v>
      </c>
      <c r="D29" s="252">
        <f t="shared" si="7"/>
        <v>-0.94997318981316425</v>
      </c>
      <c r="E29" s="304">
        <f t="shared" ref="E29:E36" si="8">R29</f>
        <v>197.15773029140149</v>
      </c>
      <c r="F29" s="134"/>
      <c r="G29" s="150"/>
      <c r="H29" s="150"/>
      <c r="I29" s="150"/>
      <c r="M29" s="304">
        <v>197.63271688630809</v>
      </c>
      <c r="N29" s="304">
        <f t="shared" ref="N29:N36" si="9">B29</f>
        <v>196.68274369649492</v>
      </c>
      <c r="O29" s="304"/>
      <c r="P29" s="304"/>
      <c r="Q29" s="304"/>
      <c r="R29" s="327">
        <f t="shared" ref="R29:R36" si="10">AVERAGE(M29:Q29)</f>
        <v>197.15773029140149</v>
      </c>
    </row>
    <row r="30" spans="1:18" s="122" customFormat="1" ht="18" customHeight="1">
      <c r="A30" s="129" t="s">
        <v>233</v>
      </c>
      <c r="B30" s="304">
        <f>'（５-3）品群別人時生產性（4℃-飯糰)'!$C$1</f>
        <v>257.89772732725612</v>
      </c>
      <c r="C30" s="354">
        <v>240.45857137830325</v>
      </c>
      <c r="D30" s="252">
        <f t="shared" si="7"/>
        <v>17.439155948952873</v>
      </c>
      <c r="E30" s="304">
        <f t="shared" si="8"/>
        <v>249.17814935277968</v>
      </c>
      <c r="F30" s="134"/>
      <c r="G30" s="134"/>
      <c r="H30" s="134"/>
      <c r="I30" s="134"/>
      <c r="M30" s="304">
        <v>240.45857137830325</v>
      </c>
      <c r="N30" s="304">
        <f t="shared" si="9"/>
        <v>257.89772732725612</v>
      </c>
      <c r="O30" s="304"/>
      <c r="P30" s="304"/>
      <c r="Q30" s="304"/>
      <c r="R30" s="327">
        <f t="shared" si="10"/>
        <v>249.17814935277968</v>
      </c>
    </row>
    <row r="31" spans="1:18" s="122" customFormat="1" ht="18" customHeight="1">
      <c r="A31" s="129" t="s">
        <v>219</v>
      </c>
      <c r="B31" s="304">
        <f>'（５-4）品群別人時生產性（4℃-壽司手卷)'!$C$1</f>
        <v>111.44618946664018</v>
      </c>
      <c r="C31" s="354">
        <v>106.86512290813759</v>
      </c>
      <c r="D31" s="252">
        <f t="shared" si="7"/>
        <v>4.5810665585025845</v>
      </c>
      <c r="E31" s="304">
        <f t="shared" si="8"/>
        <v>109.15565618738889</v>
      </c>
      <c r="F31" s="134"/>
      <c r="G31" s="134"/>
      <c r="H31" s="134"/>
      <c r="I31" s="134"/>
      <c r="M31" s="304">
        <v>106.86512290813759</v>
      </c>
      <c r="N31" s="304">
        <f t="shared" si="9"/>
        <v>111.44618946664018</v>
      </c>
      <c r="O31" s="304"/>
      <c r="P31" s="304"/>
      <c r="Q31" s="304"/>
      <c r="R31" s="327">
        <f t="shared" si="10"/>
        <v>109.15565618738889</v>
      </c>
    </row>
    <row r="32" spans="1:18" s="122" customFormat="1" ht="18" customHeight="1">
      <c r="A32" s="129" t="s">
        <v>223</v>
      </c>
      <c r="B32" s="304">
        <f>'（５-5）品群別人時生產性(主食) '!$C$1</f>
        <v>85.48445866969243</v>
      </c>
      <c r="C32" s="354">
        <v>89.310428404733287</v>
      </c>
      <c r="D32" s="252">
        <f t="shared" si="7"/>
        <v>-3.8259697350408572</v>
      </c>
      <c r="E32" s="304">
        <f t="shared" si="8"/>
        <v>87.397443537212865</v>
      </c>
      <c r="F32" s="134"/>
      <c r="G32" s="134"/>
      <c r="H32" s="134"/>
      <c r="I32" s="134"/>
      <c r="M32" s="304">
        <v>89.310428404733287</v>
      </c>
      <c r="N32" s="304">
        <f t="shared" si="9"/>
        <v>85.48445866969243</v>
      </c>
      <c r="O32" s="304"/>
      <c r="P32" s="304"/>
      <c r="Q32" s="304"/>
      <c r="R32" s="327">
        <f t="shared" si="10"/>
        <v>87.397443537212865</v>
      </c>
    </row>
    <row r="33" spans="1:18" s="122" customFormat="1" ht="18" customHeight="1">
      <c r="A33" s="129" t="s">
        <v>225</v>
      </c>
      <c r="B33" s="304">
        <f>'（５-6）品群別人時生產性(便當)'!$C$1</f>
        <v>67.056532673210796</v>
      </c>
      <c r="C33" s="354">
        <v>65.67274245927976</v>
      </c>
      <c r="D33" s="252">
        <f t="shared" si="7"/>
        <v>1.3837902139310359</v>
      </c>
      <c r="E33" s="304">
        <f t="shared" si="8"/>
        <v>66.364637566245278</v>
      </c>
      <c r="F33" s="134"/>
      <c r="G33" s="134"/>
      <c r="H33" s="134"/>
      <c r="I33" s="134"/>
      <c r="M33" s="304">
        <v>65.67274245927976</v>
      </c>
      <c r="N33" s="304">
        <f t="shared" si="9"/>
        <v>67.056532673210796</v>
      </c>
      <c r="O33" s="304"/>
      <c r="P33" s="304"/>
      <c r="Q33" s="304"/>
      <c r="R33" s="327">
        <f t="shared" si="10"/>
        <v>66.364637566245278</v>
      </c>
    </row>
    <row r="34" spans="1:18" s="122" customFormat="1" ht="18" customHeight="1">
      <c r="A34" s="129" t="s">
        <v>234</v>
      </c>
      <c r="B34" s="304">
        <f>'（５-7）品群別人時生產性(熱食義麵) '!$C$1</f>
        <v>79.538681429354327</v>
      </c>
      <c r="C34" s="354">
        <v>75.478569021952779</v>
      </c>
      <c r="D34" s="252">
        <f t="shared" si="7"/>
        <v>4.0601124074015473</v>
      </c>
      <c r="E34" s="304">
        <f t="shared" si="8"/>
        <v>77.50862522565356</v>
      </c>
      <c r="F34" s="134"/>
      <c r="G34" s="134"/>
      <c r="H34" s="134"/>
      <c r="I34" s="134"/>
      <c r="M34" s="304">
        <v>75.478569021952779</v>
      </c>
      <c r="N34" s="304">
        <f t="shared" si="9"/>
        <v>79.538681429354327</v>
      </c>
      <c r="O34" s="304"/>
      <c r="P34" s="304"/>
      <c r="Q34" s="304"/>
      <c r="R34" s="327">
        <f t="shared" si="10"/>
        <v>77.50862522565356</v>
      </c>
    </row>
    <row r="35" spans="1:18" s="122" customFormat="1" ht="18" customHeight="1">
      <c r="A35" s="129" t="s">
        <v>235</v>
      </c>
      <c r="B35" s="304">
        <f>'（５-8）品群別人時生產性(季節調理麵) '!$C$1</f>
        <v>121.295891499714</v>
      </c>
      <c r="C35" s="354">
        <v>114.50557202660302</v>
      </c>
      <c r="D35" s="252">
        <f t="shared" si="7"/>
        <v>6.7903194731109835</v>
      </c>
      <c r="E35" s="304">
        <f t="shared" si="8"/>
        <v>117.90073176315852</v>
      </c>
      <c r="F35" s="134"/>
      <c r="G35" s="134"/>
      <c r="H35" s="134"/>
      <c r="I35" s="134"/>
      <c r="M35" s="304">
        <v>114.50557202660302</v>
      </c>
      <c r="N35" s="304">
        <f t="shared" si="9"/>
        <v>121.295891499714</v>
      </c>
      <c r="O35" s="304"/>
      <c r="P35" s="304"/>
      <c r="Q35" s="304"/>
      <c r="R35" s="327">
        <f t="shared" si="10"/>
        <v>117.90073176315852</v>
      </c>
    </row>
    <row r="36" spans="1:18" s="122" customFormat="1" ht="18" customHeight="1">
      <c r="A36" s="125" t="s">
        <v>230</v>
      </c>
      <c r="B36" s="304">
        <f>'（５-9）品群別人時生產性(微波小吃)'!$C$1</f>
        <v>115.29816592129694</v>
      </c>
      <c r="C36" s="354">
        <v>99.648342041865732</v>
      </c>
      <c r="D36" s="252">
        <f t="shared" si="7"/>
        <v>15.64982387943121</v>
      </c>
      <c r="E36" s="304">
        <f t="shared" si="8"/>
        <v>107.47325398158134</v>
      </c>
      <c r="F36" s="134"/>
      <c r="G36" s="134"/>
      <c r="H36" s="134"/>
      <c r="I36" s="134"/>
      <c r="M36" s="304">
        <v>99.648342041865732</v>
      </c>
      <c r="N36" s="304">
        <f t="shared" si="9"/>
        <v>115.29816592129694</v>
      </c>
      <c r="O36" s="304"/>
      <c r="P36" s="304"/>
      <c r="Q36" s="304"/>
      <c r="R36" s="327">
        <f t="shared" si="10"/>
        <v>107.47325398158134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90" zoomScaleNormal="90" zoomScaleSheetLayoutView="100" workbookViewId="0">
      <selection sqref="A1:K2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41" t="s">
        <v>425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120"/>
    </row>
    <row r="2" spans="1:18" s="121" customFormat="1" ht="15.75" customHeight="1">
      <c r="A2" s="541"/>
      <c r="B2" s="541"/>
      <c r="C2" s="541"/>
      <c r="D2" s="541"/>
      <c r="E2" s="541"/>
      <c r="F2" s="541"/>
      <c r="G2" s="541"/>
      <c r="H2" s="541"/>
      <c r="I2" s="541"/>
      <c r="J2" s="541"/>
      <c r="K2" s="541"/>
    </row>
    <row r="3" spans="1:18" ht="21.6" customHeight="1">
      <c r="A3" s="140" t="s">
        <v>325</v>
      </c>
      <c r="B3" s="220">
        <v>10</v>
      </c>
      <c r="C3" s="222" t="s">
        <v>326</v>
      </c>
      <c r="D3" s="220" t="s">
        <v>811</v>
      </c>
      <c r="E3" s="140" t="s">
        <v>20</v>
      </c>
      <c r="F3" s="542" t="s">
        <v>424</v>
      </c>
      <c r="G3" s="542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9">
        <f>'（１）收支狀況'!G33/1000</f>
        <v>52649.495000000003</v>
      </c>
      <c r="C6" s="263">
        <v>51190.042999999998</v>
      </c>
      <c r="D6" s="143">
        <f t="shared" ref="D6:D11" si="0">B6-C6</f>
        <v>1459.4520000000048</v>
      </c>
      <c r="E6" s="241">
        <f>'（１）收支狀況'!H6/1000</f>
        <v>224463.48699999999</v>
      </c>
      <c r="F6" s="134"/>
      <c r="G6" s="129" t="s">
        <v>198</v>
      </c>
      <c r="H6" s="243">
        <v>366</v>
      </c>
      <c r="I6" s="268">
        <f>'（２）ＫＰＩ達成進度'!G33</f>
        <v>340.19678527438515</v>
      </c>
      <c r="J6" s="269">
        <v>338.65021530078354</v>
      </c>
      <c r="K6" s="270">
        <f>'（２）ＫＰＩ達成進度'!H6</f>
        <v>330.21457859125206</v>
      </c>
      <c r="L6" s="123" t="s">
        <v>194</v>
      </c>
    </row>
    <row r="7" spans="1:18" s="122" customFormat="1" ht="18" customHeight="1">
      <c r="A7" s="129" t="s">
        <v>25</v>
      </c>
      <c r="B7" s="229">
        <f>'（１）收支狀況'!J33</f>
        <v>1631463</v>
      </c>
      <c r="C7" s="263">
        <v>1625220</v>
      </c>
      <c r="D7" s="143">
        <f t="shared" si="0"/>
        <v>6243</v>
      </c>
      <c r="E7" s="241">
        <f>'（１）收支狀況'!K6</f>
        <v>6964636</v>
      </c>
      <c r="F7" s="134"/>
      <c r="G7" s="129" t="s">
        <v>199</v>
      </c>
      <c r="H7" s="261">
        <v>0.8</v>
      </c>
      <c r="I7" s="259">
        <f>'（２）ＫＰＩ達成進度'!J33</f>
        <v>0.92949941331799224</v>
      </c>
      <c r="J7" s="266">
        <v>0.92527381229722272</v>
      </c>
      <c r="K7" s="262">
        <f>'（２）ＫＰＩ達成進度'!K6</f>
        <v>0.90222562456626254</v>
      </c>
      <c r="L7" s="123" t="s">
        <v>4</v>
      </c>
    </row>
    <row r="8" spans="1:18" s="122" customFormat="1" ht="18" customHeight="1">
      <c r="A8" s="129" t="s">
        <v>5</v>
      </c>
      <c r="B8" s="229">
        <f>'（１）收支狀況'!M33/1000</f>
        <v>34902.737999999998</v>
      </c>
      <c r="C8" s="263">
        <v>34016.036999999997</v>
      </c>
      <c r="D8" s="143">
        <f>B8-C8</f>
        <v>886.70100000000093</v>
      </c>
      <c r="E8" s="241">
        <f>'（１）收支狀況'!N6/1000</f>
        <v>150244.29199999999</v>
      </c>
      <c r="F8" s="134"/>
      <c r="G8" s="129" t="s">
        <v>200</v>
      </c>
      <c r="H8" s="242">
        <v>2.5000000000000001E-3</v>
      </c>
      <c r="I8" s="257">
        <f>'（２）ＫＰＩ達成進度'!M33</f>
        <v>2.4552868780055607E-3</v>
      </c>
      <c r="J8" s="265">
        <v>2.4706625529752392E-3</v>
      </c>
      <c r="K8" s="257">
        <f>'（２）ＫＰＩ達成進度'!N6</f>
        <v>2.4646256819628254E-3</v>
      </c>
      <c r="L8" s="123" t="s">
        <v>55</v>
      </c>
    </row>
    <row r="9" spans="1:18" s="122" customFormat="1" ht="18" customHeight="1">
      <c r="A9" s="129" t="s">
        <v>6</v>
      </c>
      <c r="B9" s="230">
        <f>'（１）收支狀況'!P33</f>
        <v>0.66292635855291682</v>
      </c>
      <c r="C9" s="264">
        <v>0.66450495069910376</v>
      </c>
      <c r="D9" s="144">
        <f t="shared" si="0"/>
        <v>-1.5785921461869412E-3</v>
      </c>
      <c r="E9" s="144">
        <f>'（１）收支狀況'!Q6</f>
        <v>0.66934847180735457</v>
      </c>
      <c r="F9" s="134"/>
      <c r="G9" s="129" t="s">
        <v>201</v>
      </c>
      <c r="H9" s="242">
        <v>2.5999999999999999E-3</v>
      </c>
      <c r="I9" s="257">
        <f>'（２）ＫＰＩ達成進度'!P33</f>
        <v>2.2768681441727376E-3</v>
      </c>
      <c r="J9" s="265">
        <v>2.2653735387902743E-3</v>
      </c>
      <c r="K9" s="257">
        <f>'（２）ＫＰＩ達成進度'!Q6</f>
        <v>2.3405370745029669E-3</v>
      </c>
      <c r="L9" s="123" t="s">
        <v>98</v>
      </c>
    </row>
    <row r="10" spans="1:18" s="122" customFormat="1" ht="18" customHeight="1">
      <c r="A10" s="129" t="s">
        <v>64</v>
      </c>
      <c r="B10" s="229">
        <f>'（１）收支狀況'!S33/1000</f>
        <v>7231.7426086021524</v>
      </c>
      <c r="C10" s="263">
        <f>7288806.85161291/1000</f>
        <v>7288.8068516129097</v>
      </c>
      <c r="D10" s="143">
        <f t="shared" si="0"/>
        <v>-57.064243010757309</v>
      </c>
      <c r="E10" s="241">
        <f>'（１）收支狀況'!T6/1000</f>
        <v>32105.786706827967</v>
      </c>
      <c r="F10" s="134"/>
      <c r="G10" s="129" t="s">
        <v>202</v>
      </c>
      <c r="H10" s="258">
        <v>0.8</v>
      </c>
      <c r="I10" s="259">
        <v>0.91700000000000004</v>
      </c>
      <c r="J10" s="266">
        <v>0.91700000000000004</v>
      </c>
      <c r="K10" s="259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30">
        <f>'（１）收支狀況'!V33</f>
        <v>0.13735635277417479</v>
      </c>
      <c r="C11" s="264">
        <v>0.14238719923741625</v>
      </c>
      <c r="D11" s="144">
        <f t="shared" si="0"/>
        <v>-5.0308464632414507E-3</v>
      </c>
      <c r="E11" s="144">
        <f>'（１）收支狀況'!W6</f>
        <v>0.14303344894053066</v>
      </c>
      <c r="F11" s="134"/>
      <c r="G11" s="129" t="s">
        <v>203</v>
      </c>
      <c r="H11" s="258">
        <v>1</v>
      </c>
      <c r="I11" s="259">
        <f>'（２）ＫＰＩ達成進度'!V33</f>
        <v>0.87342857142857144</v>
      </c>
      <c r="J11" s="266">
        <v>0.85371428571428576</v>
      </c>
      <c r="K11" s="259">
        <f>'（２）ＫＰＩ達成進度'!W6</f>
        <v>0.84941935483870945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23" t="s">
        <v>328</v>
      </c>
      <c r="C14" s="146" t="s">
        <v>66</v>
      </c>
      <c r="D14" s="223" t="s">
        <v>331</v>
      </c>
      <c r="E14" s="146" t="s">
        <v>68</v>
      </c>
      <c r="F14" s="137"/>
      <c r="G14" s="146"/>
      <c r="H14" s="223" t="s">
        <v>328</v>
      </c>
      <c r="I14" s="146" t="s">
        <v>66</v>
      </c>
      <c r="J14" s="223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4">
        <f>SUM('（３）業績構成比'!I35:I41,'（３）業績構成比'!K35:K41)/1000</f>
        <v>10502.369767225462</v>
      </c>
      <c r="C15" s="144">
        <f>IFERROR(B15/$B$6,"")</f>
        <v>0.19947712256737621</v>
      </c>
      <c r="D15" s="264">
        <v>0.19586425635092228</v>
      </c>
      <c r="E15" s="144">
        <f>IFERROR(C15-D15,"")</f>
        <v>3.6128662164539305E-3</v>
      </c>
      <c r="F15" s="134"/>
      <c r="G15" s="129" t="s">
        <v>335</v>
      </c>
      <c r="H15" s="244">
        <f>SUM(,'（４）訂單數量構成比'!I35:I41,'（４）訂單數量構成比'!K35:K41)</f>
        <v>553417</v>
      </c>
      <c r="I15" s="144">
        <f t="shared" ref="I15:I23" si="1">IFERROR(H15/$B$7,"")</f>
        <v>0.33921517067809692</v>
      </c>
      <c r="J15" s="264">
        <v>0.33891903865322848</v>
      </c>
      <c r="K15" s="144">
        <f t="shared" ref="K15:K23" si="2">IFERROR(I15-J15,"")</f>
        <v>2.9613202486844514E-4</v>
      </c>
    </row>
    <row r="16" spans="1:18" s="122" customFormat="1" ht="18" customHeight="1">
      <c r="A16" s="129" t="s">
        <v>222</v>
      </c>
      <c r="B16" s="244">
        <f>SUM('（３）業績構成比'!O35:O41,'（３）業績構成比'!Q35:Q41)/1000</f>
        <v>2321.5083739556417</v>
      </c>
      <c r="C16" s="144">
        <f t="shared" ref="C16:C23" si="3">IFERROR(B16/$B$6,"")</f>
        <v>4.4093649406430992E-2</v>
      </c>
      <c r="D16" s="264">
        <v>4.6380373894819277E-2</v>
      </c>
      <c r="E16" s="144">
        <f t="shared" ref="E16:E23" si="4">IFERROR(C16-D16,"")</f>
        <v>-2.2867244883882851E-3</v>
      </c>
      <c r="F16" s="134"/>
      <c r="G16" s="129" t="s">
        <v>251</v>
      </c>
      <c r="H16" s="244">
        <f>SUM('（４）訂單數量構成比'!O35:O41,'（４）訂單數量構成比'!Q35:Q41)</f>
        <v>102017</v>
      </c>
      <c r="I16" s="144">
        <f t="shared" si="1"/>
        <v>6.2530992121794984E-2</v>
      </c>
      <c r="J16" s="264">
        <v>6.7334883892642222E-2</v>
      </c>
      <c r="K16" s="144">
        <f t="shared" si="2"/>
        <v>-4.8038917708472378E-3</v>
      </c>
    </row>
    <row r="17" spans="1:17" s="122" customFormat="1" ht="18" customHeight="1">
      <c r="A17" s="129" t="s">
        <v>218</v>
      </c>
      <c r="B17" s="244">
        <f>SUM('（３）業績構成比'!U35:U41)/1000</f>
        <v>4114.1295473978662</v>
      </c>
      <c r="C17" s="144">
        <f t="shared" si="3"/>
        <v>7.8141861520188677E-2</v>
      </c>
      <c r="D17" s="264">
        <v>8.5916346537285998E-2</v>
      </c>
      <c r="E17" s="144">
        <f t="shared" si="4"/>
        <v>-7.7744850170973212E-3</v>
      </c>
      <c r="F17" s="134"/>
      <c r="G17" s="129" t="s">
        <v>233</v>
      </c>
      <c r="H17" s="244">
        <f>SUM('（４）訂單數量構成比'!U35:U41)</f>
        <v>123056</v>
      </c>
      <c r="I17" s="144">
        <f t="shared" si="1"/>
        <v>7.5426779522428641E-2</v>
      </c>
      <c r="J17" s="264">
        <v>8.1385904677520576E-2</v>
      </c>
      <c r="K17" s="144">
        <f t="shared" si="2"/>
        <v>-5.959125155091935E-3</v>
      </c>
    </row>
    <row r="18" spans="1:17" s="122" customFormat="1" ht="18" customHeight="1">
      <c r="A18" s="129" t="s">
        <v>220</v>
      </c>
      <c r="B18" s="244">
        <f>SUM('（３）業績構成比'!W35:W41)/1000</f>
        <v>1395.7238585150378</v>
      </c>
      <c r="C18" s="144">
        <f t="shared" si="3"/>
        <v>2.650972926739445E-2</v>
      </c>
      <c r="D18" s="264">
        <v>1.0574883481119081E-2</v>
      </c>
      <c r="E18" s="144">
        <f t="shared" si="4"/>
        <v>1.5934845786275367E-2</v>
      </c>
      <c r="F18" s="134"/>
      <c r="G18" s="129" t="s">
        <v>219</v>
      </c>
      <c r="H18" s="244">
        <f>SUM('（４）訂單數量構成比'!W35:W41)</f>
        <v>44046</v>
      </c>
      <c r="I18" s="144">
        <f t="shared" si="1"/>
        <v>2.6997854073307209E-2</v>
      </c>
      <c r="J18" s="264">
        <v>1.2622906437282337E-2</v>
      </c>
      <c r="K18" s="144">
        <f t="shared" si="2"/>
        <v>1.4374947636024872E-2</v>
      </c>
    </row>
    <row r="19" spans="1:17" s="122" customFormat="1" ht="18" customHeight="1">
      <c r="A19" s="129" t="s">
        <v>224</v>
      </c>
      <c r="B19" s="244">
        <f>SUM('（３）業績構成比'!Y35:Y41,'（３）業績構成比'!AA35:AA41)/1000</f>
        <v>12729.288662269057</v>
      </c>
      <c r="C19" s="144">
        <f t="shared" si="3"/>
        <v>0.24177418344219742</v>
      </c>
      <c r="D19" s="264">
        <v>0.23846831061383464</v>
      </c>
      <c r="E19" s="144">
        <f t="shared" si="4"/>
        <v>3.3058728283627825E-3</v>
      </c>
      <c r="F19" s="134"/>
      <c r="G19" s="129" t="s">
        <v>223</v>
      </c>
      <c r="H19" s="244">
        <f>SUM('（４）訂單數量構成比'!Y35:Y41,'（４）訂單數量構成比'!AA35:AA41)</f>
        <v>319504</v>
      </c>
      <c r="I19" s="144">
        <f t="shared" si="1"/>
        <v>0.19583894945824698</v>
      </c>
      <c r="J19" s="264">
        <v>0.18998658643137545</v>
      </c>
      <c r="K19" s="144">
        <f t="shared" si="2"/>
        <v>5.8523630268715321E-3</v>
      </c>
    </row>
    <row r="20" spans="1:17" s="122" customFormat="1" ht="18" customHeight="1">
      <c r="A20" s="129" t="s">
        <v>226</v>
      </c>
      <c r="B20" s="244">
        <f>SUM('（３）業績構成比'!AE35:AE41)/1000</f>
        <v>7739.5152962366401</v>
      </c>
      <c r="C20" s="144">
        <f t="shared" si="3"/>
        <v>0.14700075083790717</v>
      </c>
      <c r="D20" s="264">
        <v>0.13645576960710751</v>
      </c>
      <c r="E20" s="144">
        <f t="shared" si="4"/>
        <v>1.0544981230799666E-2</v>
      </c>
      <c r="F20" s="134"/>
      <c r="G20" s="129" t="s">
        <v>225</v>
      </c>
      <c r="H20" s="244">
        <f>SUM('（４）訂單數量構成比'!AE35:AE41)</f>
        <v>138120</v>
      </c>
      <c r="I20" s="144">
        <f t="shared" si="1"/>
        <v>8.466020988523798E-2</v>
      </c>
      <c r="J20" s="264">
        <v>7.6913279432938311E-2</v>
      </c>
      <c r="K20" s="144">
        <f t="shared" si="2"/>
        <v>7.746930452299669E-3</v>
      </c>
    </row>
    <row r="21" spans="1:17" s="122" customFormat="1" ht="18" customHeight="1">
      <c r="A21" s="129" t="s">
        <v>228</v>
      </c>
      <c r="B21" s="244">
        <f>SUM('（３）業績構成比'!AG35:AG41)/1000</f>
        <v>6291.7949577407016</v>
      </c>
      <c r="C21" s="144">
        <f t="shared" si="3"/>
        <v>0.11950342463381085</v>
      </c>
      <c r="D21" s="264">
        <v>0.14345998267258142</v>
      </c>
      <c r="E21" s="144">
        <f t="shared" si="4"/>
        <v>-2.3956558038770573E-2</v>
      </c>
      <c r="F21" s="134"/>
      <c r="G21" s="129" t="s">
        <v>234</v>
      </c>
      <c r="H21" s="244">
        <f>SUM('（４）訂單數量構成比'!AG35:AG41)</f>
        <v>125739</v>
      </c>
      <c r="I21" s="144">
        <f t="shared" si="1"/>
        <v>7.7071315745438296E-2</v>
      </c>
      <c r="J21" s="264">
        <v>9.2061997760303216E-2</v>
      </c>
      <c r="K21" s="144">
        <f t="shared" si="2"/>
        <v>-1.499068201486492E-2</v>
      </c>
    </row>
    <row r="22" spans="1:17" s="122" customFormat="1" ht="18" customHeight="1">
      <c r="A22" s="129" t="s">
        <v>229</v>
      </c>
      <c r="B22" s="244">
        <f>SUM('（３）業績構成比'!AI35:AI41)/1000</f>
        <v>2870.2093303647412</v>
      </c>
      <c r="C22" s="144">
        <f t="shared" si="3"/>
        <v>5.4515419955400164E-2</v>
      </c>
      <c r="D22" s="264">
        <v>7.0164778002969164E-2</v>
      </c>
      <c r="E22" s="144">
        <f t="shared" si="4"/>
        <v>-1.5649358047568999E-2</v>
      </c>
      <c r="F22" s="134"/>
      <c r="G22" s="129" t="s">
        <v>235</v>
      </c>
      <c r="H22" s="244">
        <f>SUM('（４）訂單數量構成比'!AI35:AI41)</f>
        <v>79816</v>
      </c>
      <c r="I22" s="144">
        <f t="shared" si="1"/>
        <v>4.8922960557487356E-2</v>
      </c>
      <c r="J22" s="264">
        <v>6.1145567984642081E-2</v>
      </c>
      <c r="K22" s="144">
        <f t="shared" si="2"/>
        <v>-1.2222607427154725E-2</v>
      </c>
    </row>
    <row r="23" spans="1:17" s="122" customFormat="1" ht="18" customHeight="1">
      <c r="A23" s="129" t="s">
        <v>231</v>
      </c>
      <c r="B23" s="244">
        <f>SUM('（３）業績構成比'!AK35:AK41)/1000</f>
        <v>4684.9552062948515</v>
      </c>
      <c r="C23" s="144">
        <f t="shared" si="3"/>
        <v>8.8983858369293969E-2</v>
      </c>
      <c r="D23" s="264">
        <v>7.271529883936069E-2</v>
      </c>
      <c r="E23" s="144">
        <f t="shared" si="4"/>
        <v>1.626855952993328E-2</v>
      </c>
      <c r="F23" s="134"/>
      <c r="G23" s="129" t="s">
        <v>230</v>
      </c>
      <c r="H23" s="244">
        <f>SUM('（４）訂單數量構成比'!AK35:AK41)</f>
        <v>145748</v>
      </c>
      <c r="I23" s="144">
        <f t="shared" si="1"/>
        <v>8.9335767957961651E-2</v>
      </c>
      <c r="J23" s="264">
        <v>7.9629834730067309E-2</v>
      </c>
      <c r="K23" s="144">
        <f t="shared" si="2"/>
        <v>9.7059332278943422E-3</v>
      </c>
    </row>
    <row r="24" spans="1:17" s="122" customFormat="1" ht="15.75" customHeight="1">
      <c r="A24" s="134"/>
      <c r="B24" s="134"/>
      <c r="C24" s="138">
        <f>SUM(C15:C23)</f>
        <v>0.99999999999999989</v>
      </c>
      <c r="D24" s="138">
        <f>SUM(D15:D23)</f>
        <v>1</v>
      </c>
      <c r="E24" s="134"/>
      <c r="F24" s="134"/>
      <c r="G24" s="134"/>
      <c r="H24" s="134"/>
      <c r="I24" s="138">
        <f>SUM(I15:I23)</f>
        <v>1.0000000000000002</v>
      </c>
      <c r="J24" s="138">
        <f>SUM(J15:J23)</f>
        <v>1</v>
      </c>
      <c r="K24" s="134"/>
    </row>
    <row r="25" spans="1:17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7" s="122" customFormat="1" ht="15.75" customHeight="1">
      <c r="A26" s="133" t="s">
        <v>615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7" s="122" customFormat="1" ht="15.75" customHeight="1">
      <c r="A27" s="129" t="s">
        <v>186</v>
      </c>
      <c r="B27" s="224" t="s">
        <v>328</v>
      </c>
      <c r="C27" s="224" t="s">
        <v>330</v>
      </c>
      <c r="D27" s="129" t="s">
        <v>2</v>
      </c>
      <c r="E27" s="129" t="s">
        <v>430</v>
      </c>
      <c r="F27" s="134"/>
      <c r="G27" s="134"/>
      <c r="H27" s="134"/>
      <c r="I27" s="134"/>
      <c r="J27" s="134"/>
      <c r="K27" s="134"/>
    </row>
    <row r="28" spans="1:17" s="122" customFormat="1" ht="18" customHeight="1">
      <c r="A28" s="129" t="s">
        <v>335</v>
      </c>
      <c r="B28" s="251">
        <f>'（５-1）品群別人時生產性（18℃-飯糰）'!L147</f>
        <v>763.95984082355528</v>
      </c>
      <c r="C28" s="267">
        <v>794.33214082906477</v>
      </c>
      <c r="D28" s="252">
        <f t="shared" ref="D28:D36" si="5">B28-C28</f>
        <v>-30.372300005509487</v>
      </c>
      <c r="E28" s="130">
        <f>'（５-1）品群別人時生產性（18℃-飯糰）'!C1</f>
        <v>757.93395772609676</v>
      </c>
      <c r="F28" s="134"/>
      <c r="G28" s="148"/>
      <c r="H28" s="148"/>
      <c r="I28" s="148"/>
      <c r="J28" s="148"/>
      <c r="K28" s="148"/>
      <c r="L28" s="148"/>
      <c r="M28" s="148"/>
      <c r="N28" s="148"/>
      <c r="O28" s="148"/>
      <c r="P28" s="149"/>
      <c r="Q28" s="149"/>
    </row>
    <row r="29" spans="1:17" s="122" customFormat="1" ht="18" customHeight="1">
      <c r="A29" s="129" t="s">
        <v>221</v>
      </c>
      <c r="B29" s="251">
        <f>'（５-2）品群別人時生產性（18-壽司手卷)'!L87</f>
        <v>182.82702524249024</v>
      </c>
      <c r="C29" s="267">
        <v>201.12797589829987</v>
      </c>
      <c r="D29" s="252">
        <f t="shared" si="5"/>
        <v>-18.300950655809629</v>
      </c>
      <c r="E29" s="130">
        <f>'（５-2）品群別人時生產性（18-壽司手卷)'!C1</f>
        <v>196.68274369649492</v>
      </c>
      <c r="F29" s="134"/>
      <c r="G29" s="150"/>
      <c r="H29" s="150"/>
      <c r="I29" s="151"/>
      <c r="J29" s="152"/>
      <c r="K29" s="153"/>
      <c r="L29" s="154"/>
      <c r="M29" s="155"/>
      <c r="N29" s="154"/>
      <c r="O29" s="154"/>
      <c r="P29" s="154"/>
      <c r="Q29" s="154"/>
    </row>
    <row r="30" spans="1:17" s="122" customFormat="1" ht="18" customHeight="1">
      <c r="A30" s="129" t="s">
        <v>233</v>
      </c>
      <c r="B30" s="251">
        <f>'（５-3）品群別人時生產性（4℃-飯糰)'!L87</f>
        <v>279.25964861384966</v>
      </c>
      <c r="C30" s="267">
        <v>250.50834327952151</v>
      </c>
      <c r="D30" s="252">
        <f t="shared" si="5"/>
        <v>28.751305334328151</v>
      </c>
      <c r="E30" s="130">
        <f>'（５-3）品群別人時生產性（4℃-飯糰)'!C1</f>
        <v>257.89772732725612</v>
      </c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</row>
    <row r="31" spans="1:17" s="122" customFormat="1" ht="18" customHeight="1">
      <c r="A31" s="129" t="s">
        <v>219</v>
      </c>
      <c r="B31" s="251">
        <f>'（５-4）品群別人時生產性（4℃-壽司手卷)'!L87</f>
        <v>121.87018128929903</v>
      </c>
      <c r="C31" s="267">
        <v>103.01067503924638</v>
      </c>
      <c r="D31" s="252">
        <f t="shared" si="5"/>
        <v>18.859506250052647</v>
      </c>
      <c r="E31" s="130">
        <f>'（５-4）品群別人時生產性（4℃-壽司手卷)'!C1</f>
        <v>111.44618946664018</v>
      </c>
      <c r="F31" s="134"/>
      <c r="G31" s="134"/>
      <c r="H31" s="134"/>
      <c r="I31" s="134"/>
      <c r="J31" s="134"/>
      <c r="K31" s="134"/>
    </row>
    <row r="32" spans="1:17" s="122" customFormat="1" ht="18" customHeight="1">
      <c r="A32" s="129" t="s">
        <v>223</v>
      </c>
      <c r="B32" s="251">
        <f>'（５-5）品群別人時生產性(主食) '!L147</f>
        <v>86.918291404195031</v>
      </c>
      <c r="C32" s="267">
        <v>85.796578336215049</v>
      </c>
      <c r="D32" s="252">
        <f t="shared" si="5"/>
        <v>1.1217130679799823</v>
      </c>
      <c r="E32" s="130">
        <f>'（５-5）品群別人時生產性(主食) '!C1</f>
        <v>85.48445866969243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51">
        <f>'（５-6）品群別人時生產性(便當)'!L87</f>
        <v>68.146890928187773</v>
      </c>
      <c r="C33" s="267">
        <v>66.973463068258937</v>
      </c>
      <c r="D33" s="252">
        <f t="shared" si="5"/>
        <v>1.1734278599288359</v>
      </c>
      <c r="E33" s="130">
        <f>'（５-6）品群別人時生產性(便當)'!C1</f>
        <v>67.056532673210796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51">
        <f>'（５-7）品群別人時生產性(熱食義麵) '!L87</f>
        <v>74.417644349161023</v>
      </c>
      <c r="C34" s="267">
        <v>80.852359337406156</v>
      </c>
      <c r="D34" s="252">
        <f t="shared" si="5"/>
        <v>-6.4347149882451333</v>
      </c>
      <c r="E34" s="130">
        <f>'（５-7）品群別人時生產性(熱食義麵) '!C1</f>
        <v>79.538681429354327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51">
        <f>'（５-8）品群別人時生產性(季節調理麵) '!L87</f>
        <v>119.81396780056511</v>
      </c>
      <c r="C35" s="267">
        <v>122.92451315984944</v>
      </c>
      <c r="D35" s="252">
        <f t="shared" si="5"/>
        <v>-3.1105453592843304</v>
      </c>
      <c r="E35" s="130">
        <f>'（５-8）品群別人時生產性(季節調理麵) '!C1</f>
        <v>121.295891499714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51">
        <f>'（５-9）品群別人時生產性(微波小吃)'!L87</f>
        <v>112.15854201149821</v>
      </c>
      <c r="C36" s="267">
        <v>113.3723605310481</v>
      </c>
      <c r="D36" s="252">
        <f t="shared" si="5"/>
        <v>-1.2138185195498892</v>
      </c>
      <c r="E36" s="130">
        <f>'（５-9）品群別人時生產性(微波小吃)'!C1</f>
        <v>115.29816592129694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134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36" sqref="C36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545" t="s">
        <v>121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</row>
    <row r="3" spans="2:23" s="84" customFormat="1" ht="23.45" customHeight="1">
      <c r="B3" s="98"/>
      <c r="C3" s="549" t="s">
        <v>116</v>
      </c>
      <c r="D3" s="550" t="s">
        <v>105</v>
      </c>
      <c r="E3" s="550"/>
      <c r="F3" s="548" t="s">
        <v>363</v>
      </c>
      <c r="G3" s="548"/>
      <c r="H3" s="548"/>
      <c r="I3" s="546" t="s">
        <v>119</v>
      </c>
      <c r="J3" s="546"/>
      <c r="K3" s="546"/>
      <c r="L3" s="547" t="s">
        <v>120</v>
      </c>
      <c r="M3" s="547"/>
      <c r="N3" s="547"/>
      <c r="O3" s="544" t="s">
        <v>122</v>
      </c>
      <c r="P3" s="544"/>
      <c r="Q3" s="544"/>
      <c r="R3" s="551" t="s">
        <v>123</v>
      </c>
      <c r="S3" s="551"/>
      <c r="T3" s="551"/>
      <c r="U3" s="544" t="s">
        <v>124</v>
      </c>
      <c r="V3" s="544"/>
      <c r="W3" s="544"/>
    </row>
    <row r="4" spans="2:23" s="84" customFormat="1" ht="23.45" customHeight="1">
      <c r="B4" s="98"/>
      <c r="C4" s="549"/>
      <c r="D4" s="550"/>
      <c r="E4" s="550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45" t="s">
        <v>623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45" t="s">
        <v>623</v>
      </c>
    </row>
    <row r="5" spans="2:23">
      <c r="B5" s="98"/>
      <c r="C5" s="543">
        <v>10</v>
      </c>
      <c r="D5" s="86">
        <v>45930</v>
      </c>
      <c r="E5" s="86" t="s">
        <v>617</v>
      </c>
      <c r="F5" s="235">
        <v>8551969</v>
      </c>
      <c r="G5" s="342">
        <f>SUM(F5:F11)</f>
        <v>50444409</v>
      </c>
      <c r="H5" s="386"/>
      <c r="I5" s="236">
        <v>261840</v>
      </c>
      <c r="J5" s="88">
        <f>SUM(I5:I11)</f>
        <v>1549527</v>
      </c>
      <c r="K5" s="387"/>
      <c r="L5" s="235">
        <v>5483375</v>
      </c>
      <c r="M5" s="342">
        <f>SUM(L5:L11)</f>
        <v>33855908</v>
      </c>
      <c r="N5" s="386"/>
      <c r="O5" s="90">
        <f t="shared" ref="O5:O38" si="0">L5/F5</f>
        <v>0.64118274984392487</v>
      </c>
      <c r="P5" s="90">
        <f>M5/G5</f>
        <v>0.67115283281443538</v>
      </c>
      <c r="Q5" s="385"/>
      <c r="R5" s="237">
        <v>1083532.5883333336</v>
      </c>
      <c r="S5" s="342">
        <f>SUM(R5:R11)</f>
        <v>7077533.8183333352</v>
      </c>
      <c r="T5" s="386"/>
      <c r="U5" s="90">
        <f t="shared" ref="U5:U40" si="1">R5/F5</f>
        <v>0.12669977970375401</v>
      </c>
      <c r="V5" s="90">
        <f>S5/G5</f>
        <v>0.14030363242700167</v>
      </c>
      <c r="W5" s="385"/>
    </row>
    <row r="6" spans="2:23" ht="16.5" customHeight="1">
      <c r="B6" s="98"/>
      <c r="C6" s="543"/>
      <c r="D6" s="86">
        <v>45931</v>
      </c>
      <c r="E6" s="86" t="s">
        <v>618</v>
      </c>
      <c r="F6" s="235">
        <v>7858716</v>
      </c>
      <c r="G6" s="342"/>
      <c r="H6" s="386">
        <f>SUM(F6:F36)</f>
        <v>224463487</v>
      </c>
      <c r="I6" s="236">
        <v>244804</v>
      </c>
      <c r="K6" s="387">
        <f>SUM(I6:I36)</f>
        <v>6964636</v>
      </c>
      <c r="L6" s="235">
        <v>5274194</v>
      </c>
      <c r="M6" s="342"/>
      <c r="N6" s="386">
        <f>SUM(L6:L36)</f>
        <v>150244292</v>
      </c>
      <c r="O6" s="90">
        <f t="shared" si="0"/>
        <v>0.67112668278125842</v>
      </c>
      <c r="Q6" s="385">
        <f>N6/H6</f>
        <v>0.66934847180735457</v>
      </c>
      <c r="R6" s="237">
        <v>1028886.0800000001</v>
      </c>
      <c r="S6" s="342"/>
      <c r="T6" s="386">
        <f>SUM(R6:R36)</f>
        <v>32105786.706827968</v>
      </c>
      <c r="U6" s="90">
        <f t="shared" si="1"/>
        <v>0.13092292430468286</v>
      </c>
      <c r="V6" s="90"/>
      <c r="W6" s="385">
        <f>T6/H6</f>
        <v>0.14303344894053066</v>
      </c>
    </row>
    <row r="7" spans="2:23" ht="16.5" customHeight="1">
      <c r="B7" s="98"/>
      <c r="C7" s="543"/>
      <c r="D7" s="86">
        <v>45932</v>
      </c>
      <c r="E7" s="86" t="s">
        <v>619</v>
      </c>
      <c r="F7" s="235">
        <v>7240224</v>
      </c>
      <c r="G7" s="342"/>
      <c r="H7" s="386"/>
      <c r="I7" s="236">
        <v>223462</v>
      </c>
      <c r="K7" s="387"/>
      <c r="L7" s="235">
        <v>4929487</v>
      </c>
      <c r="M7" s="342"/>
      <c r="N7" s="386"/>
      <c r="O7" s="90">
        <f t="shared" si="0"/>
        <v>0.68084730527674286</v>
      </c>
      <c r="Q7" s="385"/>
      <c r="R7" s="237">
        <v>992746.8400000002</v>
      </c>
      <c r="S7" s="342"/>
      <c r="T7" s="386"/>
      <c r="U7" s="90">
        <f t="shared" si="1"/>
        <v>0.13711548703465531</v>
      </c>
      <c r="V7" s="90"/>
      <c r="W7" s="385"/>
    </row>
    <row r="8" spans="2:23" ht="16.5" customHeight="1">
      <c r="B8" s="98"/>
      <c r="C8" s="543"/>
      <c r="D8" s="86">
        <v>45933</v>
      </c>
      <c r="E8" s="86" t="s">
        <v>620</v>
      </c>
      <c r="F8" s="235">
        <v>6162506</v>
      </c>
      <c r="G8" s="342"/>
      <c r="H8" s="386"/>
      <c r="I8" s="236">
        <v>190714</v>
      </c>
      <c r="K8" s="387"/>
      <c r="L8" s="235">
        <v>4279179</v>
      </c>
      <c r="M8" s="342"/>
      <c r="N8" s="386"/>
      <c r="O8" s="90">
        <f t="shared" si="0"/>
        <v>0.69438942534092463</v>
      </c>
      <c r="Q8" s="385"/>
      <c r="R8" s="237">
        <v>971940.49000000034</v>
      </c>
      <c r="S8" s="342"/>
      <c r="T8" s="386"/>
      <c r="U8" s="90">
        <f t="shared" si="1"/>
        <v>0.15771838437155281</v>
      </c>
      <c r="V8" s="90"/>
      <c r="W8" s="385"/>
    </row>
    <row r="9" spans="2:23" ht="16.5" customHeight="1">
      <c r="B9" s="98"/>
      <c r="C9" s="543"/>
      <c r="D9" s="86">
        <v>45934</v>
      </c>
      <c r="E9" s="86" t="s">
        <v>621</v>
      </c>
      <c r="F9" s="235">
        <v>6257631</v>
      </c>
      <c r="G9" s="342"/>
      <c r="H9" s="386"/>
      <c r="I9" s="236">
        <v>190858</v>
      </c>
      <c r="K9" s="387"/>
      <c r="L9" s="235">
        <v>4409794</v>
      </c>
      <c r="M9" s="342"/>
      <c r="N9" s="386"/>
      <c r="O9" s="90">
        <f t="shared" si="0"/>
        <v>0.70470662140353113</v>
      </c>
      <c r="Q9" s="385"/>
      <c r="R9" s="237">
        <v>961116.97333333362</v>
      </c>
      <c r="S9" s="342"/>
      <c r="T9" s="386"/>
      <c r="U9" s="90">
        <f t="shared" si="1"/>
        <v>0.15359118703760793</v>
      </c>
      <c r="V9" s="90"/>
      <c r="W9" s="385"/>
    </row>
    <row r="10" spans="2:23" ht="16.5" customHeight="1">
      <c r="B10" s="98"/>
      <c r="C10" s="543"/>
      <c r="D10" s="86">
        <v>45935</v>
      </c>
      <c r="E10" s="86" t="s">
        <v>622</v>
      </c>
      <c r="F10" s="235">
        <v>6624573</v>
      </c>
      <c r="G10" s="342"/>
      <c r="H10" s="386"/>
      <c r="I10" s="236">
        <v>199802</v>
      </c>
      <c r="K10" s="387"/>
      <c r="L10" s="235">
        <v>4553748</v>
      </c>
      <c r="M10" s="342"/>
      <c r="N10" s="386"/>
      <c r="O10" s="90">
        <f t="shared" si="0"/>
        <v>0.68740249371544404</v>
      </c>
      <c r="Q10" s="385"/>
      <c r="R10" s="237">
        <v>968268.1533333339</v>
      </c>
      <c r="S10" s="342"/>
      <c r="T10" s="386"/>
      <c r="U10" s="90">
        <f t="shared" si="1"/>
        <v>0.14616310414774414</v>
      </c>
      <c r="V10" s="90"/>
      <c r="W10" s="385"/>
    </row>
    <row r="11" spans="2:23" ht="16.5" customHeight="1">
      <c r="B11" s="98"/>
      <c r="C11" s="543"/>
      <c r="D11" s="86">
        <v>45936</v>
      </c>
      <c r="E11" s="86" t="s">
        <v>616</v>
      </c>
      <c r="F11" s="235">
        <v>7748790</v>
      </c>
      <c r="G11" s="342"/>
      <c r="H11" s="386"/>
      <c r="I11" s="236">
        <v>238047</v>
      </c>
      <c r="K11" s="387"/>
      <c r="L11" s="235">
        <v>4926131</v>
      </c>
      <c r="M11" s="342"/>
      <c r="N11" s="386"/>
      <c r="O11" s="90">
        <f t="shared" si="0"/>
        <v>0.6357290622148748</v>
      </c>
      <c r="Q11" s="385"/>
      <c r="R11" s="237">
        <v>1071042.6933333334</v>
      </c>
      <c r="S11" s="342"/>
      <c r="T11" s="386"/>
      <c r="U11" s="90">
        <f t="shared" si="1"/>
        <v>0.13822063745866559</v>
      </c>
      <c r="V11" s="90"/>
      <c r="W11" s="385"/>
    </row>
    <row r="12" spans="2:23" ht="16.5" customHeight="1">
      <c r="B12" s="98"/>
      <c r="C12" s="543"/>
      <c r="D12" s="344">
        <v>45937</v>
      </c>
      <c r="E12" s="344" t="s">
        <v>617</v>
      </c>
      <c r="F12" s="235">
        <v>8050194</v>
      </c>
      <c r="G12" s="342">
        <f>SUM(F12:F18)</f>
        <v>50896038</v>
      </c>
      <c r="H12" s="386"/>
      <c r="I12" s="236">
        <v>241200</v>
      </c>
      <c r="J12" s="88">
        <f>SUM(I12:I18)</f>
        <v>1538613</v>
      </c>
      <c r="K12" s="387"/>
      <c r="L12" s="235">
        <v>5548828</v>
      </c>
      <c r="M12" s="342">
        <f>SUM(L12:L18)</f>
        <v>34185406</v>
      </c>
      <c r="N12" s="386"/>
      <c r="O12" s="90">
        <f t="shared" si="0"/>
        <v>0.68927879253593138</v>
      </c>
      <c r="P12" s="90">
        <f>M12/G12</f>
        <v>0.67167126054094817</v>
      </c>
      <c r="Q12" s="385"/>
      <c r="R12" s="237">
        <v>1102462.0633333337</v>
      </c>
      <c r="S12" s="342">
        <f>SUM(R12:R18)</f>
        <v>7309734.5150000015</v>
      </c>
      <c r="T12" s="386"/>
      <c r="U12" s="90">
        <f t="shared" si="1"/>
        <v>0.13694850873573156</v>
      </c>
      <c r="V12" s="90">
        <f>S12/G12</f>
        <v>0.14362089471483028</v>
      </c>
      <c r="W12" s="385"/>
    </row>
    <row r="13" spans="2:23" ht="16.5" customHeight="1">
      <c r="B13" s="98"/>
      <c r="C13" s="543"/>
      <c r="D13" s="344">
        <v>45938</v>
      </c>
      <c r="E13" s="344" t="s">
        <v>618</v>
      </c>
      <c r="F13" s="235">
        <v>7653723</v>
      </c>
      <c r="G13" s="342"/>
      <c r="H13" s="386"/>
      <c r="I13" s="236">
        <v>230348</v>
      </c>
      <c r="K13" s="387"/>
      <c r="L13" s="235">
        <v>5016683</v>
      </c>
      <c r="M13" s="342"/>
      <c r="N13" s="386"/>
      <c r="O13" s="90">
        <f t="shared" si="0"/>
        <v>0.65545656669309826</v>
      </c>
      <c r="Q13" s="385"/>
      <c r="R13" s="237">
        <v>1082148.7333333334</v>
      </c>
      <c r="S13" s="342"/>
      <c r="T13" s="386"/>
      <c r="U13" s="90">
        <f t="shared" si="1"/>
        <v>0.14138854167224674</v>
      </c>
      <c r="V13" s="90"/>
      <c r="W13" s="385"/>
    </row>
    <row r="14" spans="2:23" ht="16.5" customHeight="1">
      <c r="B14" s="98"/>
      <c r="C14" s="543"/>
      <c r="D14" s="344">
        <v>45939</v>
      </c>
      <c r="E14" s="344" t="s">
        <v>619</v>
      </c>
      <c r="F14" s="235">
        <v>6660783</v>
      </c>
      <c r="G14" s="342"/>
      <c r="H14" s="386"/>
      <c r="I14" s="236">
        <v>200331</v>
      </c>
      <c r="K14" s="387"/>
      <c r="L14" s="235">
        <v>4721001</v>
      </c>
      <c r="M14" s="342"/>
      <c r="N14" s="386"/>
      <c r="O14" s="90">
        <f t="shared" si="0"/>
        <v>0.70877567997636315</v>
      </c>
      <c r="Q14" s="385"/>
      <c r="R14" s="237">
        <v>1047913.0833333336</v>
      </c>
      <c r="S14" s="342"/>
      <c r="T14" s="386"/>
      <c r="U14" s="90">
        <f t="shared" si="1"/>
        <v>0.15732581039396323</v>
      </c>
      <c r="V14" s="90"/>
      <c r="W14" s="385"/>
    </row>
    <row r="15" spans="2:23" ht="16.5" customHeight="1">
      <c r="B15" s="98"/>
      <c r="C15" s="543"/>
      <c r="D15" s="344">
        <v>45940</v>
      </c>
      <c r="E15" s="344" t="s">
        <v>620</v>
      </c>
      <c r="F15" s="235">
        <v>6259506</v>
      </c>
      <c r="G15" s="342"/>
      <c r="H15" s="386"/>
      <c r="I15" s="236">
        <v>190019</v>
      </c>
      <c r="K15" s="387"/>
      <c r="L15" s="235">
        <v>4293432</v>
      </c>
      <c r="M15" s="342"/>
      <c r="N15" s="386"/>
      <c r="O15" s="90">
        <f t="shared" si="0"/>
        <v>0.68590588458578039</v>
      </c>
      <c r="Q15" s="385"/>
      <c r="R15" s="237">
        <v>1017586.0316666672</v>
      </c>
      <c r="S15" s="342"/>
      <c r="T15" s="386"/>
      <c r="U15" s="90">
        <f t="shared" si="1"/>
        <v>0.16256650791079474</v>
      </c>
      <c r="V15" s="90"/>
      <c r="W15" s="385"/>
    </row>
    <row r="16" spans="2:23" ht="16.5" customHeight="1">
      <c r="B16" s="98"/>
      <c r="C16" s="543"/>
      <c r="D16" s="344">
        <v>45941</v>
      </c>
      <c r="E16" s="344" t="s">
        <v>621</v>
      </c>
      <c r="F16" s="235">
        <v>6689233</v>
      </c>
      <c r="G16" s="342"/>
      <c r="H16" s="386"/>
      <c r="I16" s="236">
        <v>202843</v>
      </c>
      <c r="K16" s="387"/>
      <c r="L16" s="235">
        <v>4536869</v>
      </c>
      <c r="M16" s="342"/>
      <c r="N16" s="386"/>
      <c r="O16" s="90">
        <f t="shared" si="0"/>
        <v>0.67823455992637716</v>
      </c>
      <c r="Q16" s="385"/>
      <c r="R16" s="237">
        <v>996159.81000000041</v>
      </c>
      <c r="S16" s="342"/>
      <c r="T16" s="386"/>
      <c r="U16" s="90">
        <f t="shared" si="1"/>
        <v>0.14891988513481297</v>
      </c>
      <c r="V16" s="90"/>
      <c r="W16" s="385"/>
    </row>
    <row r="17" spans="2:23" ht="16.5" customHeight="1">
      <c r="B17" s="98"/>
      <c r="C17" s="543"/>
      <c r="D17" s="344">
        <v>45942</v>
      </c>
      <c r="E17" s="344" t="s">
        <v>622</v>
      </c>
      <c r="F17" s="235">
        <v>7867103</v>
      </c>
      <c r="G17" s="342"/>
      <c r="H17" s="386"/>
      <c r="I17" s="236">
        <v>238632</v>
      </c>
      <c r="K17" s="387"/>
      <c r="L17" s="235">
        <v>5123753</v>
      </c>
      <c r="M17" s="342"/>
      <c r="N17" s="386"/>
      <c r="O17" s="90">
        <f t="shared" si="0"/>
        <v>0.65128840946915278</v>
      </c>
      <c r="Q17" s="385"/>
      <c r="R17" s="237">
        <v>1015157.5083333337</v>
      </c>
      <c r="S17" s="342"/>
      <c r="T17" s="386"/>
      <c r="U17" s="90">
        <f t="shared" si="1"/>
        <v>0.12903828872373144</v>
      </c>
      <c r="V17" s="90"/>
      <c r="W17" s="385"/>
    </row>
    <row r="18" spans="2:23" ht="16.5" customHeight="1">
      <c r="B18" s="98"/>
      <c r="C18" s="543"/>
      <c r="D18" s="344">
        <v>45943</v>
      </c>
      <c r="E18" s="344" t="s">
        <v>616</v>
      </c>
      <c r="F18" s="235">
        <v>7715496</v>
      </c>
      <c r="G18" s="342"/>
      <c r="H18" s="386"/>
      <c r="I18" s="236">
        <v>235240</v>
      </c>
      <c r="K18" s="387"/>
      <c r="L18" s="235">
        <v>4944840</v>
      </c>
      <c r="M18" s="342"/>
      <c r="N18" s="386"/>
      <c r="O18" s="90">
        <f t="shared" si="0"/>
        <v>0.64089722812376548</v>
      </c>
      <c r="Q18" s="385"/>
      <c r="R18" s="237">
        <v>1048307.2849999998</v>
      </c>
      <c r="S18" s="342"/>
      <c r="T18" s="386"/>
      <c r="U18" s="90">
        <f t="shared" si="1"/>
        <v>0.13587036854143916</v>
      </c>
      <c r="V18" s="90"/>
      <c r="W18" s="385"/>
    </row>
    <row r="19" spans="2:23" ht="16.5" customHeight="1">
      <c r="B19" s="98"/>
      <c r="C19" s="543"/>
      <c r="D19" s="86">
        <v>45944</v>
      </c>
      <c r="E19" s="86" t="s">
        <v>617</v>
      </c>
      <c r="F19" s="235">
        <v>7917911</v>
      </c>
      <c r="G19" s="342">
        <f>SUM(F19:F25)</f>
        <v>51190043</v>
      </c>
      <c r="H19" s="386"/>
      <c r="I19" s="236">
        <v>248931</v>
      </c>
      <c r="J19" s="88">
        <f>SUM(I19:I25)</f>
        <v>1625220</v>
      </c>
      <c r="K19" s="387"/>
      <c r="L19" s="235">
        <v>5237130</v>
      </c>
      <c r="M19" s="342">
        <f>SUM(L19:L25)</f>
        <v>34016037</v>
      </c>
      <c r="N19" s="386"/>
      <c r="O19" s="90">
        <f t="shared" si="0"/>
        <v>0.66142824793054633</v>
      </c>
      <c r="P19" s="90">
        <f>M19/G19</f>
        <v>0.66450495069910376</v>
      </c>
      <c r="Q19" s="385"/>
      <c r="R19" s="237">
        <v>1055463.4978494626</v>
      </c>
      <c r="S19" s="342">
        <f>SUM(R19:R25)</f>
        <v>7288806.851612905</v>
      </c>
      <c r="T19" s="386"/>
      <c r="U19" s="90">
        <f t="shared" si="1"/>
        <v>0.13330075291948376</v>
      </c>
      <c r="V19" s="90">
        <f>S19/G19</f>
        <v>0.14238719923741625</v>
      </c>
      <c r="W19" s="385"/>
    </row>
    <row r="20" spans="2:23" ht="16.5" customHeight="1">
      <c r="B20" s="98"/>
      <c r="C20" s="543"/>
      <c r="D20" s="86">
        <v>45945</v>
      </c>
      <c r="E20" s="86" t="s">
        <v>618</v>
      </c>
      <c r="F20" s="235">
        <v>7086135</v>
      </c>
      <c r="G20" s="342"/>
      <c r="H20" s="386"/>
      <c r="I20" s="236">
        <v>242991</v>
      </c>
      <c r="K20" s="387"/>
      <c r="L20" s="235">
        <v>5056182</v>
      </c>
      <c r="M20" s="342"/>
      <c r="N20" s="386"/>
      <c r="O20" s="90">
        <f t="shared" si="0"/>
        <v>0.71353170663556365</v>
      </c>
      <c r="Q20" s="385"/>
      <c r="R20" s="237">
        <v>1063455.8645161293</v>
      </c>
      <c r="S20" s="342"/>
      <c r="T20" s="386"/>
      <c r="U20" s="90">
        <f t="shared" si="1"/>
        <v>0.15007558627038989</v>
      </c>
      <c r="V20" s="90"/>
      <c r="W20" s="385"/>
    </row>
    <row r="21" spans="2:23" ht="16.5" customHeight="1">
      <c r="B21" s="98"/>
      <c r="C21" s="543"/>
      <c r="D21" s="86">
        <v>45946</v>
      </c>
      <c r="E21" s="86" t="s">
        <v>619</v>
      </c>
      <c r="F21" s="235">
        <v>7387104</v>
      </c>
      <c r="G21" s="342"/>
      <c r="H21" s="386"/>
      <c r="I21" s="236">
        <v>230663</v>
      </c>
      <c r="K21" s="387"/>
      <c r="L21" s="235">
        <v>4925675</v>
      </c>
      <c r="M21" s="342"/>
      <c r="N21" s="386"/>
      <c r="O21" s="90">
        <f t="shared" si="0"/>
        <v>0.66679378007944656</v>
      </c>
      <c r="Q21" s="385"/>
      <c r="R21" s="237">
        <v>1044355.9478494625</v>
      </c>
      <c r="S21" s="342"/>
      <c r="T21" s="386"/>
      <c r="U21" s="90">
        <f t="shared" si="1"/>
        <v>0.14137555770833368</v>
      </c>
      <c r="V21" s="90"/>
      <c r="W21" s="385"/>
    </row>
    <row r="22" spans="2:23" ht="16.5" customHeight="1">
      <c r="B22" s="98"/>
      <c r="C22" s="543"/>
      <c r="D22" s="86">
        <v>45947</v>
      </c>
      <c r="E22" s="86" t="s">
        <v>620</v>
      </c>
      <c r="F22" s="235">
        <v>6524343</v>
      </c>
      <c r="G22" s="342"/>
      <c r="H22" s="386"/>
      <c r="I22" s="236">
        <v>205320</v>
      </c>
      <c r="K22" s="387"/>
      <c r="L22" s="235">
        <v>4482274</v>
      </c>
      <c r="M22" s="342"/>
      <c r="N22" s="386"/>
      <c r="O22" s="90">
        <f t="shared" si="0"/>
        <v>0.68700771863159249</v>
      </c>
      <c r="Q22" s="385"/>
      <c r="R22" s="237">
        <v>1032424.1645161293</v>
      </c>
      <c r="S22" s="342"/>
      <c r="T22" s="386"/>
      <c r="U22" s="90">
        <f t="shared" si="1"/>
        <v>0.15824185891454962</v>
      </c>
      <c r="V22" s="90"/>
      <c r="W22" s="385"/>
    </row>
    <row r="23" spans="2:23" ht="16.5" customHeight="1">
      <c r="B23" s="98"/>
      <c r="C23" s="543"/>
      <c r="D23" s="86">
        <v>45948</v>
      </c>
      <c r="E23" s="86" t="s">
        <v>621</v>
      </c>
      <c r="F23" s="235">
        <v>6552897</v>
      </c>
      <c r="G23" s="342"/>
      <c r="H23" s="386"/>
      <c r="I23" s="236">
        <v>207727</v>
      </c>
      <c r="K23" s="387"/>
      <c r="L23" s="235">
        <v>4415568</v>
      </c>
      <c r="M23" s="342"/>
      <c r="N23" s="386"/>
      <c r="O23" s="90">
        <f t="shared" si="0"/>
        <v>0.67383448877649077</v>
      </c>
      <c r="Q23" s="385"/>
      <c r="R23" s="237">
        <v>1013055.8145161292</v>
      </c>
      <c r="S23" s="342"/>
      <c r="T23" s="386"/>
      <c r="U23" s="90">
        <f t="shared" si="1"/>
        <v>0.15459663329305026</v>
      </c>
      <c r="V23" s="90"/>
      <c r="W23" s="385"/>
    </row>
    <row r="24" spans="2:23" ht="16.5" customHeight="1">
      <c r="B24" s="98"/>
      <c r="C24" s="543"/>
      <c r="D24" s="86">
        <v>45949</v>
      </c>
      <c r="E24" s="86" t="s">
        <v>622</v>
      </c>
      <c r="F24" s="235">
        <v>7868086</v>
      </c>
      <c r="G24" s="342"/>
      <c r="H24" s="386"/>
      <c r="I24" s="236">
        <v>245349</v>
      </c>
      <c r="K24" s="387"/>
      <c r="L24" s="235">
        <v>4858183</v>
      </c>
      <c r="M24" s="342"/>
      <c r="N24" s="386"/>
      <c r="O24" s="90">
        <f t="shared" si="0"/>
        <v>0.61745423219827544</v>
      </c>
      <c r="Q24" s="385"/>
      <c r="R24" s="237">
        <v>1030252.6311827959</v>
      </c>
      <c r="S24" s="342"/>
      <c r="T24" s="386"/>
      <c r="U24" s="90">
        <f t="shared" si="1"/>
        <v>0.13094069271520364</v>
      </c>
      <c r="V24" s="90"/>
      <c r="W24" s="385"/>
    </row>
    <row r="25" spans="2:23" ht="16.5" customHeight="1">
      <c r="B25" s="98"/>
      <c r="C25" s="543"/>
      <c r="D25" s="86">
        <v>45950</v>
      </c>
      <c r="E25" s="86" t="s">
        <v>616</v>
      </c>
      <c r="F25" s="235">
        <v>7853567</v>
      </c>
      <c r="G25" s="342"/>
      <c r="H25" s="386"/>
      <c r="I25" s="236">
        <v>244239</v>
      </c>
      <c r="K25" s="387"/>
      <c r="L25" s="235">
        <v>5041025</v>
      </c>
      <c r="M25" s="342"/>
      <c r="N25" s="386"/>
      <c r="O25" s="90">
        <f t="shared" si="0"/>
        <v>0.6418771241144311</v>
      </c>
      <c r="Q25" s="385"/>
      <c r="R25" s="237">
        <v>1049798.9311827957</v>
      </c>
      <c r="S25" s="342"/>
      <c r="T25" s="386"/>
      <c r="U25" s="90">
        <f t="shared" si="1"/>
        <v>0.13367160822372759</v>
      </c>
      <c r="V25" s="90"/>
      <c r="W25" s="385"/>
    </row>
    <row r="26" spans="2:23">
      <c r="B26" s="98"/>
      <c r="C26" s="543"/>
      <c r="D26" s="344">
        <v>45951</v>
      </c>
      <c r="E26" s="344" t="s">
        <v>617</v>
      </c>
      <c r="F26" s="235">
        <v>7817095</v>
      </c>
      <c r="G26" s="342">
        <f>SUM(F26:F32)</f>
        <v>49497330</v>
      </c>
      <c r="H26" s="386"/>
      <c r="I26" s="236">
        <v>244571</v>
      </c>
      <c r="J26" s="88">
        <f>SUM(I26:I32)</f>
        <v>1551756</v>
      </c>
      <c r="K26" s="387"/>
      <c r="L26" s="235">
        <v>5145149</v>
      </c>
      <c r="M26" s="342">
        <f>SUM(L26:L32)</f>
        <v>32938462</v>
      </c>
      <c r="N26" s="386"/>
      <c r="O26" s="90">
        <f t="shared" si="0"/>
        <v>0.65819194982279228</v>
      </c>
      <c r="P26" s="90">
        <f>M26/G26</f>
        <v>0.6654593692225419</v>
      </c>
      <c r="Q26" s="385"/>
      <c r="R26" s="237">
        <v>1055534.4645161291</v>
      </c>
      <c r="S26" s="342">
        <f>SUM(R26:R32)</f>
        <v>7177192.8016129034</v>
      </c>
      <c r="T26" s="386"/>
      <c r="U26" s="90">
        <f t="shared" si="1"/>
        <v>0.13502899280565595</v>
      </c>
      <c r="V26" s="90">
        <f>S26/G26</f>
        <v>0.14500161527122582</v>
      </c>
      <c r="W26" s="385"/>
    </row>
    <row r="27" spans="2:23">
      <c r="B27" s="98"/>
      <c r="C27" s="543"/>
      <c r="D27" s="344">
        <v>45952</v>
      </c>
      <c r="E27" s="344" t="s">
        <v>618</v>
      </c>
      <c r="F27" s="235">
        <v>7419770</v>
      </c>
      <c r="G27" s="342"/>
      <c r="H27" s="386"/>
      <c r="I27" s="236">
        <v>231603</v>
      </c>
      <c r="K27" s="387"/>
      <c r="L27" s="235">
        <v>4937368</v>
      </c>
      <c r="M27" s="342"/>
      <c r="N27" s="386"/>
      <c r="O27" s="90">
        <f t="shared" si="0"/>
        <v>0.66543410375254219</v>
      </c>
      <c r="Q27" s="385"/>
      <c r="R27" s="237">
        <v>1040324.8978494625</v>
      </c>
      <c r="S27" s="342"/>
      <c r="T27" s="386"/>
      <c r="U27" s="90">
        <f t="shared" si="1"/>
        <v>0.14020985796722304</v>
      </c>
      <c r="V27" s="90"/>
      <c r="W27" s="385"/>
    </row>
    <row r="28" spans="2:23">
      <c r="B28" s="98"/>
      <c r="C28" s="543"/>
      <c r="D28" s="344">
        <v>45953</v>
      </c>
      <c r="E28" s="344" t="s">
        <v>619</v>
      </c>
      <c r="F28" s="235">
        <v>6310328</v>
      </c>
      <c r="G28" s="342"/>
      <c r="H28" s="386"/>
      <c r="I28" s="236">
        <v>198604</v>
      </c>
      <c r="K28" s="387"/>
      <c r="L28" s="235">
        <v>4449188</v>
      </c>
      <c r="M28" s="342"/>
      <c r="N28" s="386"/>
      <c r="O28" s="90">
        <f t="shared" si="0"/>
        <v>0.70506445940686446</v>
      </c>
      <c r="Q28" s="385"/>
      <c r="R28" s="237">
        <v>992591.94784946251</v>
      </c>
      <c r="S28" s="342"/>
      <c r="T28" s="386"/>
      <c r="U28" s="90">
        <f t="shared" si="1"/>
        <v>0.15729641119280369</v>
      </c>
      <c r="V28" s="90"/>
      <c r="W28" s="385"/>
    </row>
    <row r="29" spans="2:23">
      <c r="B29" s="98"/>
      <c r="C29" s="543"/>
      <c r="D29" s="344">
        <v>45954</v>
      </c>
      <c r="E29" s="344" t="s">
        <v>620</v>
      </c>
      <c r="F29" s="235">
        <v>6007757</v>
      </c>
      <c r="G29" s="342"/>
      <c r="H29" s="386"/>
      <c r="I29" s="236">
        <v>190154</v>
      </c>
      <c r="K29" s="387"/>
      <c r="L29" s="235">
        <v>4093744</v>
      </c>
      <c r="M29" s="342"/>
      <c r="N29" s="386"/>
      <c r="O29" s="90">
        <f t="shared" si="0"/>
        <v>0.68140971747026391</v>
      </c>
      <c r="Q29" s="385"/>
      <c r="R29" s="237">
        <v>993144.08118279604</v>
      </c>
      <c r="S29" s="342"/>
      <c r="T29" s="386"/>
      <c r="U29" s="90">
        <f t="shared" si="1"/>
        <v>0.16531029487091373</v>
      </c>
      <c r="V29" s="90"/>
      <c r="W29" s="385"/>
    </row>
    <row r="30" spans="2:23">
      <c r="B30" s="98"/>
      <c r="C30" s="543"/>
      <c r="D30" s="344">
        <v>45955</v>
      </c>
      <c r="E30" s="344" t="s">
        <v>621</v>
      </c>
      <c r="F30" s="235">
        <v>6324783</v>
      </c>
      <c r="G30" s="342"/>
      <c r="H30" s="386"/>
      <c r="I30" s="236">
        <v>198374</v>
      </c>
      <c r="K30" s="387"/>
      <c r="L30" s="235">
        <v>4289026</v>
      </c>
      <c r="M30" s="342"/>
      <c r="N30" s="386"/>
      <c r="O30" s="90">
        <f t="shared" si="0"/>
        <v>0.67813014296300755</v>
      </c>
      <c r="Q30" s="385"/>
      <c r="R30" s="237">
        <v>1007188.5478494624</v>
      </c>
      <c r="S30" s="342"/>
      <c r="T30" s="386"/>
      <c r="U30" s="90">
        <f t="shared" si="1"/>
        <v>0.15924475951972777</v>
      </c>
      <c r="V30" s="90"/>
      <c r="W30" s="385"/>
    </row>
    <row r="31" spans="2:23">
      <c r="B31" s="98"/>
      <c r="C31" s="543"/>
      <c r="D31" s="344">
        <v>45956</v>
      </c>
      <c r="E31" s="344" t="s">
        <v>622</v>
      </c>
      <c r="F31" s="235">
        <v>7684569</v>
      </c>
      <c r="G31" s="342"/>
      <c r="H31" s="386"/>
      <c r="I31" s="236">
        <v>241268</v>
      </c>
      <c r="K31" s="387"/>
      <c r="L31" s="235">
        <v>4818296</v>
      </c>
      <c r="M31" s="342"/>
      <c r="N31" s="386"/>
      <c r="O31" s="90">
        <f t="shared" si="0"/>
        <v>0.62700927013603491</v>
      </c>
      <c r="Q31" s="385"/>
      <c r="R31" s="237">
        <v>1045371.6478494622</v>
      </c>
      <c r="S31" s="342"/>
      <c r="T31" s="386"/>
      <c r="U31" s="90">
        <f t="shared" si="1"/>
        <v>0.13603516968218546</v>
      </c>
      <c r="V31" s="90"/>
      <c r="W31" s="385"/>
    </row>
    <row r="32" spans="2:23">
      <c r="B32" s="98"/>
      <c r="C32" s="543"/>
      <c r="D32" s="344">
        <v>45957</v>
      </c>
      <c r="E32" s="344" t="s">
        <v>616</v>
      </c>
      <c r="F32" s="235">
        <v>7933028</v>
      </c>
      <c r="G32" s="342"/>
      <c r="H32" s="386"/>
      <c r="I32" s="236">
        <v>247182</v>
      </c>
      <c r="K32" s="387"/>
      <c r="L32" s="235">
        <v>5205691</v>
      </c>
      <c r="M32" s="342"/>
      <c r="N32" s="386"/>
      <c r="O32" s="90">
        <f t="shared" si="0"/>
        <v>0.65620479342818405</v>
      </c>
      <c r="Q32" s="385"/>
      <c r="R32" s="237">
        <v>1043037.2145161291</v>
      </c>
      <c r="S32" s="342"/>
      <c r="T32" s="386"/>
      <c r="U32" s="90">
        <f t="shared" si="1"/>
        <v>0.13148033947644319</v>
      </c>
      <c r="V32" s="90"/>
      <c r="W32" s="385"/>
    </row>
    <row r="33" spans="2:23">
      <c r="B33" s="98"/>
      <c r="C33" s="543"/>
      <c r="D33" s="86">
        <v>45958</v>
      </c>
      <c r="E33" s="86" t="s">
        <v>617</v>
      </c>
      <c r="F33" s="235">
        <v>8874807</v>
      </c>
      <c r="G33" s="342">
        <f>SUM(F33:F39)</f>
        <v>52649495</v>
      </c>
      <c r="H33" s="386"/>
      <c r="I33" s="236">
        <v>271475</v>
      </c>
      <c r="J33" s="88">
        <f>SUM(I33:I39)</f>
        <v>1631463</v>
      </c>
      <c r="K33" s="387"/>
      <c r="L33" s="235">
        <v>5922651</v>
      </c>
      <c r="M33" s="342">
        <f>SUM(L33:L39)</f>
        <v>34902738</v>
      </c>
      <c r="N33" s="386"/>
      <c r="O33" s="90">
        <f t="shared" si="0"/>
        <v>0.66735547037811638</v>
      </c>
      <c r="P33" s="90">
        <f>M33/G33</f>
        <v>0.66292635855291682</v>
      </c>
      <c r="Q33" s="385"/>
      <c r="R33" s="237">
        <v>1123600.935483871</v>
      </c>
      <c r="S33" s="342">
        <f>SUM(R33:R39)</f>
        <v>7231742.6086021522</v>
      </c>
      <c r="T33" s="386"/>
      <c r="U33" s="90">
        <f t="shared" si="1"/>
        <v>0.12660567553569008</v>
      </c>
      <c r="V33" s="90">
        <f>S33/G33</f>
        <v>0.13735635277417479</v>
      </c>
      <c r="W33" s="385"/>
    </row>
    <row r="34" spans="2:23">
      <c r="B34" s="98"/>
      <c r="C34" s="543"/>
      <c r="D34" s="86">
        <v>45959</v>
      </c>
      <c r="E34" s="86" t="s">
        <v>618</v>
      </c>
      <c r="F34" s="235">
        <v>8157355</v>
      </c>
      <c r="G34" s="342"/>
      <c r="H34" s="386"/>
      <c r="I34" s="236">
        <v>254507</v>
      </c>
      <c r="K34" s="387"/>
      <c r="L34" s="235">
        <v>5473618</v>
      </c>
      <c r="M34" s="342"/>
      <c r="N34" s="386"/>
      <c r="O34" s="90">
        <f t="shared" si="0"/>
        <v>0.67100402029824613</v>
      </c>
      <c r="Q34" s="385"/>
      <c r="R34" s="237">
        <v>1100557.0688172048</v>
      </c>
      <c r="S34" s="342"/>
      <c r="T34" s="386"/>
      <c r="U34" s="90">
        <f t="shared" si="1"/>
        <v>0.13491592174389919</v>
      </c>
      <c r="V34" s="90"/>
      <c r="W34" s="385"/>
    </row>
    <row r="35" spans="2:23">
      <c r="B35" s="98"/>
      <c r="C35" s="543"/>
      <c r="D35" s="86">
        <v>45960</v>
      </c>
      <c r="E35" s="86" t="s">
        <v>619</v>
      </c>
      <c r="F35" s="235">
        <v>7556926</v>
      </c>
      <c r="G35" s="342"/>
      <c r="H35" s="386"/>
      <c r="I35" s="236">
        <v>234639</v>
      </c>
      <c r="K35" s="387"/>
      <c r="L35" s="235">
        <v>4858313</v>
      </c>
      <c r="M35" s="342"/>
      <c r="N35" s="386"/>
      <c r="O35" s="90">
        <f t="shared" si="0"/>
        <v>0.64289540482466023</v>
      </c>
      <c r="Q35" s="385"/>
      <c r="R35" s="237">
        <v>1081448.0521505377</v>
      </c>
      <c r="S35" s="342"/>
      <c r="T35" s="386"/>
      <c r="U35" s="90">
        <f t="shared" si="1"/>
        <v>0.14310687337027486</v>
      </c>
      <c r="V35" s="90"/>
      <c r="W35" s="385"/>
    </row>
    <row r="36" spans="2:23">
      <c r="B36" s="98"/>
      <c r="D36" s="86">
        <v>45961</v>
      </c>
      <c r="E36" s="86" t="s">
        <v>620</v>
      </c>
      <c r="F36" s="235">
        <v>6398548</v>
      </c>
      <c r="G36" s="342"/>
      <c r="I36" s="236">
        <v>200739</v>
      </c>
      <c r="L36" s="235">
        <v>4477272</v>
      </c>
      <c r="M36" s="342"/>
      <c r="N36" s="87"/>
      <c r="O36" s="90">
        <f t="shared" si="0"/>
        <v>0.6997325018113485</v>
      </c>
      <c r="Q36" s="87"/>
      <c r="R36" s="237">
        <v>1030445.2521505377</v>
      </c>
      <c r="S36" s="342"/>
      <c r="T36" s="87"/>
      <c r="U36" s="90">
        <f t="shared" si="1"/>
        <v>0.16104360741695423</v>
      </c>
      <c r="V36" s="90"/>
      <c r="W36" s="87"/>
    </row>
    <row r="37" spans="2:23">
      <c r="B37" s="98"/>
      <c r="D37" s="86">
        <v>45962</v>
      </c>
      <c r="E37" s="86" t="s">
        <v>621</v>
      </c>
      <c r="F37" s="235">
        <v>6412266</v>
      </c>
      <c r="G37" s="342"/>
      <c r="I37" s="236">
        <v>199982</v>
      </c>
      <c r="L37" s="235">
        <v>4375107</v>
      </c>
      <c r="M37" s="342"/>
      <c r="N37" s="87"/>
      <c r="O37" s="90">
        <f t="shared" si="0"/>
        <v>0.68230279280366724</v>
      </c>
      <c r="Q37" s="87"/>
      <c r="R37" s="237">
        <v>936638.46666666667</v>
      </c>
      <c r="S37" s="342"/>
      <c r="T37" s="87"/>
      <c r="U37" s="90">
        <f t="shared" si="1"/>
        <v>0.1460698084993147</v>
      </c>
      <c r="V37" s="90"/>
      <c r="W37" s="87"/>
    </row>
    <row r="38" spans="2:23">
      <c r="B38" s="98"/>
      <c r="D38" s="86">
        <v>45963</v>
      </c>
      <c r="E38" s="86" t="s">
        <v>622</v>
      </c>
      <c r="F38" s="235">
        <v>7718290</v>
      </c>
      <c r="G38" s="342"/>
      <c r="I38" s="236">
        <v>239410</v>
      </c>
      <c r="L38" s="235">
        <v>4848519</v>
      </c>
      <c r="M38" s="342"/>
      <c r="N38" s="87"/>
      <c r="O38" s="90">
        <f t="shared" si="0"/>
        <v>0.62818564733898308</v>
      </c>
      <c r="Q38" s="87"/>
      <c r="R38" s="237">
        <v>975639.00000000047</v>
      </c>
      <c r="S38" s="342"/>
      <c r="T38" s="87"/>
      <c r="U38" s="90">
        <f t="shared" si="1"/>
        <v>0.12640610808870884</v>
      </c>
      <c r="V38" s="90"/>
      <c r="W38" s="87"/>
    </row>
    <row r="39" spans="2:23">
      <c r="B39" s="98"/>
      <c r="D39" s="86">
        <v>45964</v>
      </c>
      <c r="E39" s="86" t="s">
        <v>616</v>
      </c>
      <c r="F39" s="235">
        <v>7531303</v>
      </c>
      <c r="G39" s="342"/>
      <c r="I39" s="236">
        <v>230711</v>
      </c>
      <c r="L39" s="235">
        <v>4947258</v>
      </c>
      <c r="M39" s="342"/>
      <c r="N39" s="87"/>
      <c r="O39" s="90">
        <f>L39/F39</f>
        <v>0.65689270502063191</v>
      </c>
      <c r="Q39" s="87"/>
      <c r="R39" s="237">
        <v>983413.83333333326</v>
      </c>
      <c r="S39" s="342"/>
      <c r="T39" s="87"/>
      <c r="U39" s="90">
        <f t="shared" si="1"/>
        <v>0.13057685148683212</v>
      </c>
      <c r="V39" s="90"/>
      <c r="W39" s="87"/>
    </row>
    <row r="40" spans="2:23">
      <c r="B40" s="98"/>
      <c r="D40" s="86"/>
      <c r="E40" s="86"/>
      <c r="F40" s="235"/>
      <c r="G40" s="342"/>
      <c r="I40" s="236"/>
      <c r="L40" s="235"/>
      <c r="M40" s="342"/>
      <c r="N40" s="87"/>
      <c r="O40" s="90" t="e">
        <f>L40/F40</f>
        <v>#DIV/0!</v>
      </c>
      <c r="Q40" s="87"/>
      <c r="R40" s="237"/>
      <c r="S40" s="342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G41" s="342"/>
      <c r="M41" s="342"/>
      <c r="N41" s="87"/>
      <c r="Q41" s="87"/>
      <c r="S41" s="342"/>
      <c r="T41" s="87"/>
      <c r="V41" s="90"/>
      <c r="W41" s="87"/>
    </row>
    <row r="42" spans="2:23">
      <c r="B42" s="98"/>
      <c r="D42" s="86"/>
      <c r="E42" s="86"/>
      <c r="G42" s="342"/>
      <c r="M42" s="342"/>
      <c r="N42" s="87"/>
      <c r="Q42" s="87"/>
      <c r="S42" s="342"/>
      <c r="T42" s="87"/>
      <c r="V42" s="90"/>
      <c r="W42" s="87"/>
    </row>
    <row r="43" spans="2:23">
      <c r="B43" s="98"/>
      <c r="D43" s="86"/>
      <c r="E43" s="86"/>
      <c r="G43" s="342"/>
      <c r="M43" s="342"/>
      <c r="N43" s="87"/>
      <c r="Q43" s="87"/>
      <c r="S43" s="342"/>
      <c r="T43" s="87"/>
      <c r="V43" s="90"/>
      <c r="W43" s="87"/>
    </row>
    <row r="44" spans="2:23">
      <c r="B44" s="98"/>
      <c r="M44" s="87"/>
      <c r="S44" s="87"/>
    </row>
    <row r="45" spans="2:23">
      <c r="B45" s="98"/>
      <c r="M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</sheetData>
  <mergeCells count="10">
    <mergeCell ref="C5:C35"/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36" sqref="C36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545" t="s">
        <v>126</v>
      </c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2"/>
      <c r="U2" s="552"/>
    </row>
    <row r="3" spans="2:23" s="72" customFormat="1" ht="23.45" customHeight="1">
      <c r="B3" s="98"/>
      <c r="C3" s="549" t="s">
        <v>116</v>
      </c>
      <c r="D3" s="550" t="s">
        <v>105</v>
      </c>
      <c r="E3" s="550"/>
      <c r="F3" s="553" t="s">
        <v>107</v>
      </c>
      <c r="G3" s="553"/>
      <c r="H3" s="553"/>
      <c r="I3" s="555" t="s">
        <v>108</v>
      </c>
      <c r="J3" s="555"/>
      <c r="K3" s="555"/>
      <c r="L3" s="554" t="s">
        <v>324</v>
      </c>
      <c r="M3" s="554"/>
      <c r="N3" s="554"/>
      <c r="O3" s="554" t="s">
        <v>106</v>
      </c>
      <c r="P3" s="554"/>
      <c r="Q3" s="554"/>
      <c r="R3" s="554" t="s">
        <v>109</v>
      </c>
      <c r="S3" s="554"/>
      <c r="T3" s="554"/>
      <c r="U3" s="554" t="s">
        <v>110</v>
      </c>
      <c r="V3" s="554"/>
      <c r="W3" s="554"/>
    </row>
    <row r="4" spans="2:23" ht="15.75">
      <c r="B4" s="98"/>
      <c r="C4" s="549"/>
      <c r="D4" s="550"/>
      <c r="E4" s="550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543">
        <v>10</v>
      </c>
      <c r="D5" s="86">
        <v>45930</v>
      </c>
      <c r="E5" s="86" t="s">
        <v>617</v>
      </c>
      <c r="F5" s="234">
        <v>311</v>
      </c>
      <c r="G5" s="93">
        <f>AVERAGE(F5:F11)</f>
        <v>310.31036347237705</v>
      </c>
      <c r="H5" s="93"/>
      <c r="I5" s="90">
        <f>F5/$C$1</f>
        <v>0.84972677595628421</v>
      </c>
      <c r="J5" s="219">
        <f>AVERAGE(I5:I11)</f>
        <v>0.84784252314857134</v>
      </c>
      <c r="K5" s="219"/>
      <c r="L5" s="256">
        <v>2.5187741774362346E-3</v>
      </c>
      <c r="M5" s="343">
        <f>AVERAGE(L5:L11)</f>
        <v>2.4662744856320689E-3</v>
      </c>
      <c r="N5" s="343"/>
      <c r="O5" s="256">
        <v>2.1349892857858749E-3</v>
      </c>
      <c r="P5" s="343">
        <f>AVERAGE(O5:O11)</f>
        <v>2.329370139844248E-3</v>
      </c>
      <c r="Q5" s="343"/>
      <c r="R5" s="238">
        <v>0.91666666666666663</v>
      </c>
      <c r="S5" s="343">
        <f>AVERAGE(R5:R11)</f>
        <v>0.91666666666666674</v>
      </c>
      <c r="T5" s="343"/>
      <c r="U5" s="238">
        <v>0.81</v>
      </c>
      <c r="V5" s="343">
        <f>AVERAGE(U5:U11)</f>
        <v>0.82042857142857151</v>
      </c>
      <c r="W5" s="343"/>
    </row>
    <row r="6" spans="2:23" ht="14.45" customHeight="1">
      <c r="B6" s="98"/>
      <c r="C6" s="543"/>
      <c r="D6" s="86">
        <v>45931</v>
      </c>
      <c r="E6" s="86" t="s">
        <v>618</v>
      </c>
      <c r="F6" s="234">
        <v>306.95527373660934</v>
      </c>
      <c r="G6" s="93"/>
      <c r="H6" s="93">
        <f>AVERAGE(F6:F36)</f>
        <v>330.21457859125206</v>
      </c>
      <c r="I6" s="90">
        <f t="shared" ref="I6:I39" si="0">F6/$C$1</f>
        <v>0.83867561130221135</v>
      </c>
      <c r="J6" s="219"/>
      <c r="K6" s="219">
        <f>AVERAGE(I6:I36)</f>
        <v>0.90222562456626254</v>
      </c>
      <c r="L6" s="256">
        <v>2.425211952653192E-3</v>
      </c>
      <c r="M6" s="343"/>
      <c r="N6" s="219">
        <f>AVERAGE(L6:L36)</f>
        <v>2.4646256819628254E-3</v>
      </c>
      <c r="O6" s="256">
        <v>2.0339580062316617E-3</v>
      </c>
      <c r="P6" s="343"/>
      <c r="Q6" s="219">
        <f>AVERAGE(O6:O36)</f>
        <v>2.3405370745029669E-3</v>
      </c>
      <c r="R6" s="238">
        <v>0.91666666666666663</v>
      </c>
      <c r="S6" s="343"/>
      <c r="T6" s="219">
        <f>AVERAGE(R6:R36)</f>
        <v>0.91666666666666707</v>
      </c>
      <c r="U6" s="238">
        <v>0.81</v>
      </c>
      <c r="V6" s="343"/>
      <c r="W6" s="219">
        <f>AVERAGE(U6:U36)</f>
        <v>0.84941935483870945</v>
      </c>
    </row>
    <row r="7" spans="2:23" ht="14.45" customHeight="1">
      <c r="B7" s="98"/>
      <c r="C7" s="543"/>
      <c r="D7" s="86">
        <v>45932</v>
      </c>
      <c r="E7" s="86" t="s">
        <v>619</v>
      </c>
      <c r="F7" s="234">
        <v>305.31740075101521</v>
      </c>
      <c r="G7" s="93"/>
      <c r="H7" s="93"/>
      <c r="I7" s="90">
        <f t="shared" si="0"/>
        <v>0.83420054850004155</v>
      </c>
      <c r="J7" s="219"/>
      <c r="K7" s="219"/>
      <c r="L7" s="256">
        <v>2.4682799495373549E-3</v>
      </c>
      <c r="M7" s="343"/>
      <c r="N7" s="343"/>
      <c r="O7" s="256">
        <v>2.1960721274499563E-3</v>
      </c>
      <c r="P7" s="343"/>
      <c r="Q7" s="343"/>
      <c r="R7" s="238">
        <v>0.91666666666666663</v>
      </c>
      <c r="S7" s="343"/>
      <c r="T7" s="343"/>
      <c r="U7" s="238">
        <v>0.82</v>
      </c>
      <c r="V7" s="343"/>
      <c r="W7" s="343"/>
    </row>
    <row r="8" spans="2:23" ht="14.45" customHeight="1">
      <c r="B8" s="98"/>
      <c r="C8" s="543"/>
      <c r="D8" s="86">
        <v>45933</v>
      </c>
      <c r="E8" s="86" t="s">
        <v>620</v>
      </c>
      <c r="F8" s="234">
        <v>306.25776112828368</v>
      </c>
      <c r="G8" s="93"/>
      <c r="H8" s="93"/>
      <c r="I8" s="90">
        <f t="shared" si="0"/>
        <v>0.83676983914831604</v>
      </c>
      <c r="J8" s="219"/>
      <c r="K8" s="219"/>
      <c r="L8" s="256">
        <v>2.4672203224457455E-3</v>
      </c>
      <c r="M8" s="343"/>
      <c r="N8" s="343"/>
      <c r="O8" s="256">
        <v>2.5561764184682785E-3</v>
      </c>
      <c r="P8" s="343"/>
      <c r="Q8" s="343"/>
      <c r="R8" s="238">
        <v>0.91666666666666663</v>
      </c>
      <c r="S8" s="343"/>
      <c r="T8" s="343"/>
      <c r="U8" s="238">
        <v>0.82</v>
      </c>
      <c r="V8" s="343"/>
      <c r="W8" s="343"/>
    </row>
    <row r="9" spans="2:23" ht="14.45" customHeight="1">
      <c r="B9" s="98"/>
      <c r="C9" s="543"/>
      <c r="D9" s="86">
        <v>45934</v>
      </c>
      <c r="E9" s="86" t="s">
        <v>621</v>
      </c>
      <c r="F9" s="234">
        <v>323.13133591535592</v>
      </c>
      <c r="G9" s="93"/>
      <c r="H9" s="93"/>
      <c r="I9" s="90">
        <f t="shared" si="0"/>
        <v>0.88287250250097249</v>
      </c>
      <c r="J9" s="219"/>
      <c r="K9" s="219"/>
      <c r="L9" s="256">
        <v>2.4482941136625023E-3</v>
      </c>
      <c r="M9" s="343"/>
      <c r="N9" s="343"/>
      <c r="O9" s="256">
        <v>2.6193317212734181E-3</v>
      </c>
      <c r="P9" s="343"/>
      <c r="Q9" s="343"/>
      <c r="R9" s="238">
        <v>0.91666666666666663</v>
      </c>
      <c r="S9" s="343"/>
      <c r="T9" s="343"/>
      <c r="U9" s="238">
        <v>0.82499999999999996</v>
      </c>
      <c r="V9" s="343"/>
      <c r="W9" s="343"/>
    </row>
    <row r="10" spans="2:23" ht="14.45" customHeight="1">
      <c r="B10" s="98"/>
      <c r="C10" s="543"/>
      <c r="D10" s="86">
        <v>45935</v>
      </c>
      <c r="E10" s="86" t="s">
        <v>622</v>
      </c>
      <c r="F10" s="234">
        <v>303.74290870207466</v>
      </c>
      <c r="G10" s="93"/>
      <c r="H10" s="93"/>
      <c r="I10" s="90">
        <f t="shared" si="0"/>
        <v>0.82989865765594173</v>
      </c>
      <c r="J10" s="219"/>
      <c r="K10" s="219"/>
      <c r="L10" s="256">
        <v>2.489314710732118E-3</v>
      </c>
      <c r="M10" s="343"/>
      <c r="N10" s="343"/>
      <c r="O10" s="256">
        <v>2.5195761141688726E-3</v>
      </c>
      <c r="P10" s="343"/>
      <c r="Q10" s="343"/>
      <c r="R10" s="238">
        <v>0.91666666666666663</v>
      </c>
      <c r="S10" s="343"/>
      <c r="T10" s="343"/>
      <c r="U10" s="238">
        <v>0.82799999999999996</v>
      </c>
      <c r="V10" s="343"/>
      <c r="W10" s="343"/>
    </row>
    <row r="11" spans="2:23" ht="14.45" customHeight="1">
      <c r="B11" s="98"/>
      <c r="C11" s="543"/>
      <c r="D11" s="86">
        <v>45936</v>
      </c>
      <c r="E11" s="86" t="s">
        <v>616</v>
      </c>
      <c r="F11" s="234">
        <v>315.7678640733007</v>
      </c>
      <c r="G11" s="93"/>
      <c r="H11" s="93"/>
      <c r="I11" s="90">
        <f t="shared" si="0"/>
        <v>0.86275372697623143</v>
      </c>
      <c r="J11" s="219"/>
      <c r="K11" s="219"/>
      <c r="L11" s="256">
        <v>2.446826172957333E-3</v>
      </c>
      <c r="M11" s="343"/>
      <c r="N11" s="343"/>
      <c r="O11" s="256">
        <v>2.2454873055316751E-3</v>
      </c>
      <c r="P11" s="343"/>
      <c r="Q11" s="343"/>
      <c r="R11" s="238">
        <v>0.91666666666666663</v>
      </c>
      <c r="S11" s="343"/>
      <c r="T11" s="343"/>
      <c r="U11" s="238">
        <v>0.83</v>
      </c>
      <c r="V11" s="343"/>
      <c r="W11" s="343"/>
    </row>
    <row r="12" spans="2:23" ht="14.45" customHeight="1">
      <c r="B12" s="98"/>
      <c r="C12" s="543"/>
      <c r="D12" s="344">
        <v>45937</v>
      </c>
      <c r="E12" s="344" t="s">
        <v>617</v>
      </c>
      <c r="F12" s="234">
        <v>321.48813736974972</v>
      </c>
      <c r="G12" s="93">
        <f>AVERAGE(F12:F18)</f>
        <v>329.5340514266382</v>
      </c>
      <c r="H12" s="93"/>
      <c r="I12" s="90">
        <f t="shared" si="0"/>
        <v>0.87838288898838723</v>
      </c>
      <c r="J12" s="219">
        <f>AVERAGE(I12:I18)</f>
        <v>0.90036626072851966</v>
      </c>
      <c r="K12" s="219"/>
      <c r="L12" s="256">
        <v>2.4862754860317652E-3</v>
      </c>
      <c r="M12" s="343">
        <f>AVERAGE(L12:L18)</f>
        <v>2.4732905942001747E-3</v>
      </c>
      <c r="N12" s="343"/>
      <c r="O12" s="256">
        <v>2.1734362584428205E-3</v>
      </c>
      <c r="P12" s="343">
        <f>AVERAGE(O12:O18)</f>
        <v>2.3503146745181419E-3</v>
      </c>
      <c r="Q12" s="343"/>
      <c r="R12" s="238">
        <v>0.91666666666666663</v>
      </c>
      <c r="S12" s="343">
        <f>AVERAGE(R12:R18)</f>
        <v>0.91666666666666674</v>
      </c>
      <c r="T12" s="343"/>
      <c r="U12" s="238">
        <v>0.83</v>
      </c>
      <c r="V12" s="343">
        <f>AVERAGE(U12:U18)</f>
        <v>0.84085714285714275</v>
      </c>
      <c r="W12" s="343"/>
    </row>
    <row r="13" spans="2:23" ht="14.45" customHeight="1">
      <c r="B13" s="98"/>
      <c r="C13" s="543"/>
      <c r="D13" s="344">
        <v>45938</v>
      </c>
      <c r="E13" s="344" t="s">
        <v>618</v>
      </c>
      <c r="F13" s="234">
        <v>329.99476090809054</v>
      </c>
      <c r="G13" s="93"/>
      <c r="H13" s="93"/>
      <c r="I13" s="90">
        <f t="shared" si="0"/>
        <v>0.9016250298035261</v>
      </c>
      <c r="J13" s="219"/>
      <c r="K13" s="219"/>
      <c r="L13" s="256">
        <v>2.4804921735474355E-3</v>
      </c>
      <c r="M13" s="343"/>
      <c r="N13" s="343"/>
      <c r="O13" s="256">
        <v>2.4560617001189175E-3</v>
      </c>
      <c r="P13" s="343"/>
      <c r="Q13" s="343"/>
      <c r="R13" s="238">
        <v>0.91666666666666663</v>
      </c>
      <c r="S13" s="343"/>
      <c r="T13" s="343"/>
      <c r="U13" s="238">
        <v>0.83799999999999997</v>
      </c>
      <c r="V13" s="343"/>
      <c r="W13" s="343"/>
    </row>
    <row r="14" spans="2:23" ht="14.45" customHeight="1">
      <c r="B14" s="98"/>
      <c r="C14" s="543"/>
      <c r="D14" s="344">
        <v>45939</v>
      </c>
      <c r="E14" s="344" t="s">
        <v>619</v>
      </c>
      <c r="F14" s="234">
        <v>320.60386508287189</v>
      </c>
      <c r="G14" s="93"/>
      <c r="H14" s="93"/>
      <c r="I14" s="90">
        <f t="shared" si="0"/>
        <v>0.87596684448872097</v>
      </c>
      <c r="J14" s="219"/>
      <c r="K14" s="219"/>
      <c r="L14" s="256">
        <v>2.4696796157448755E-3</v>
      </c>
      <c r="M14" s="343"/>
      <c r="N14" s="343"/>
      <c r="O14" s="256">
        <v>2.4669482517014332E-3</v>
      </c>
      <c r="P14" s="343"/>
      <c r="Q14" s="343"/>
      <c r="R14" s="238">
        <v>0.91666666666666663</v>
      </c>
      <c r="S14" s="343"/>
      <c r="T14" s="343"/>
      <c r="U14" s="238">
        <v>0.84</v>
      </c>
      <c r="V14" s="343"/>
      <c r="W14" s="343"/>
    </row>
    <row r="15" spans="2:23" ht="14.45" customHeight="1">
      <c r="B15" s="98"/>
      <c r="C15" s="543"/>
      <c r="D15" s="344">
        <v>45940</v>
      </c>
      <c r="E15" s="344" t="s">
        <v>620</v>
      </c>
      <c r="F15" s="234">
        <v>329.84705357751852</v>
      </c>
      <c r="G15" s="93"/>
      <c r="H15" s="93"/>
      <c r="I15" s="90">
        <f t="shared" si="0"/>
        <v>0.90122145786207242</v>
      </c>
      <c r="J15" s="219"/>
      <c r="K15" s="219"/>
      <c r="L15" s="256">
        <v>2.4700032238965824E-3</v>
      </c>
      <c r="M15" s="343"/>
      <c r="N15" s="343"/>
      <c r="O15" s="256">
        <v>2.6304824853520328E-3</v>
      </c>
      <c r="P15" s="343"/>
      <c r="Q15" s="343"/>
      <c r="R15" s="238">
        <v>0.91666666666666663</v>
      </c>
      <c r="S15" s="343"/>
      <c r="T15" s="343"/>
      <c r="U15" s="238">
        <v>0.84</v>
      </c>
      <c r="V15" s="343"/>
      <c r="W15" s="343"/>
    </row>
    <row r="16" spans="2:23" ht="14.45" customHeight="1">
      <c r="B16" s="98"/>
      <c r="C16" s="543"/>
      <c r="D16" s="344">
        <v>45941</v>
      </c>
      <c r="E16" s="344" t="s">
        <v>621</v>
      </c>
      <c r="F16" s="234">
        <v>326.42578326864844</v>
      </c>
      <c r="G16" s="93"/>
      <c r="H16" s="93"/>
      <c r="I16" s="90">
        <f t="shared" si="0"/>
        <v>0.89187372477772797</v>
      </c>
      <c r="J16" s="219"/>
      <c r="K16" s="219"/>
      <c r="L16" s="256">
        <v>2.4433294519715489E-3</v>
      </c>
      <c r="M16" s="343"/>
      <c r="N16" s="343"/>
      <c r="O16" s="256">
        <v>2.3205107325195611E-3</v>
      </c>
      <c r="P16" s="343"/>
      <c r="Q16" s="343"/>
      <c r="R16" s="238">
        <v>0.91666666666666663</v>
      </c>
      <c r="S16" s="343"/>
      <c r="T16" s="343"/>
      <c r="U16" s="238">
        <v>0.84499999999999997</v>
      </c>
      <c r="V16" s="343"/>
      <c r="W16" s="343"/>
    </row>
    <row r="17" spans="2:23" ht="14.45" customHeight="1">
      <c r="B17" s="98"/>
      <c r="C17" s="543"/>
      <c r="D17" s="344">
        <v>45942</v>
      </c>
      <c r="E17" s="344" t="s">
        <v>622</v>
      </c>
      <c r="F17" s="234">
        <v>345.72325777936817</v>
      </c>
      <c r="G17" s="93"/>
      <c r="H17" s="93"/>
      <c r="I17" s="90">
        <f t="shared" si="0"/>
        <v>0.94459906497095125</v>
      </c>
      <c r="J17" s="219"/>
      <c r="K17" s="219"/>
      <c r="L17" s="256">
        <v>2.4718120507637945E-3</v>
      </c>
      <c r="M17" s="343"/>
      <c r="N17" s="343"/>
      <c r="O17" s="256">
        <v>2.1715308612175487E-3</v>
      </c>
      <c r="P17" s="343"/>
      <c r="Q17" s="343"/>
      <c r="R17" s="238">
        <v>0.91666666666666663</v>
      </c>
      <c r="S17" s="343"/>
      <c r="T17" s="343"/>
      <c r="U17" s="238">
        <v>0.84499999999999997</v>
      </c>
      <c r="V17" s="343"/>
      <c r="W17" s="343"/>
    </row>
    <row r="18" spans="2:23" ht="14.45" customHeight="1">
      <c r="B18" s="98"/>
      <c r="C18" s="543"/>
      <c r="D18" s="344">
        <v>45943</v>
      </c>
      <c r="E18" s="344" t="s">
        <v>616</v>
      </c>
      <c r="F18" s="234">
        <v>332.65550200021988</v>
      </c>
      <c r="G18" s="93"/>
      <c r="H18" s="93"/>
      <c r="I18" s="90">
        <f t="shared" si="0"/>
        <v>0.90889481420825102</v>
      </c>
      <c r="J18" s="219"/>
      <c r="K18" s="219"/>
      <c r="L18" s="256">
        <v>2.4914421574452231E-3</v>
      </c>
      <c r="M18" s="343"/>
      <c r="N18" s="343"/>
      <c r="O18" s="256">
        <v>2.2332324322746817E-3</v>
      </c>
      <c r="P18" s="343"/>
      <c r="Q18" s="343"/>
      <c r="R18" s="238">
        <v>0.91666666666666663</v>
      </c>
      <c r="S18" s="343"/>
      <c r="T18" s="343"/>
      <c r="U18" s="238">
        <v>0.84799999999999998</v>
      </c>
      <c r="V18" s="343"/>
      <c r="W18" s="343"/>
    </row>
    <row r="19" spans="2:23" ht="14.45" customHeight="1">
      <c r="B19" s="98"/>
      <c r="C19" s="543"/>
      <c r="D19" s="86">
        <v>45944</v>
      </c>
      <c r="E19" s="86" t="s">
        <v>617</v>
      </c>
      <c r="F19" s="234">
        <v>324.69881355428515</v>
      </c>
      <c r="G19" s="93">
        <f>AVERAGE(F19:F25)</f>
        <v>338.65021530078354</v>
      </c>
      <c r="H19" s="93"/>
      <c r="I19" s="90">
        <f t="shared" si="0"/>
        <v>0.88715522829039661</v>
      </c>
      <c r="J19" s="219">
        <f>AVERAGE(I19:I25)</f>
        <v>0.92527381229722272</v>
      </c>
      <c r="K19" s="219"/>
      <c r="L19" s="256">
        <v>2.4988914374005971E-3</v>
      </c>
      <c r="M19" s="343">
        <f>AVERAGE(L19:L25)</f>
        <v>2.4706625529752392E-3</v>
      </c>
      <c r="N19" s="343"/>
      <c r="O19" s="256">
        <v>2.2673158345621505E-3</v>
      </c>
      <c r="P19" s="343">
        <f>AVERAGE(O19:O25)</f>
        <v>2.2653735387902743E-3</v>
      </c>
      <c r="Q19" s="343"/>
      <c r="R19" s="238">
        <v>0.91666666666666663</v>
      </c>
      <c r="S19" s="343">
        <f>AVERAGE(R19:R25)</f>
        <v>0.91666666666666674</v>
      </c>
      <c r="T19" s="343"/>
      <c r="U19" s="238">
        <v>0.85</v>
      </c>
      <c r="V19" s="343">
        <f>AVERAGE(U19:U25)</f>
        <v>0.85371428571428576</v>
      </c>
      <c r="W19" s="343"/>
    </row>
    <row r="20" spans="2:23" ht="14.45" customHeight="1">
      <c r="B20" s="98"/>
      <c r="C20" s="543"/>
      <c r="D20" s="86">
        <v>45945</v>
      </c>
      <c r="E20" s="86" t="s">
        <v>618</v>
      </c>
      <c r="F20" s="234">
        <v>344.18196707477006</v>
      </c>
      <c r="G20" s="93"/>
      <c r="H20" s="93"/>
      <c r="I20" s="90">
        <f t="shared" si="0"/>
        <v>0.9403878881824318</v>
      </c>
      <c r="J20" s="219"/>
      <c r="K20" s="219"/>
      <c r="L20" s="256">
        <v>2.470458155256709E-3</v>
      </c>
      <c r="M20" s="343"/>
      <c r="N20" s="343"/>
      <c r="O20" s="256">
        <v>2.2918917104738121E-3</v>
      </c>
      <c r="P20" s="343"/>
      <c r="Q20" s="343"/>
      <c r="R20" s="238">
        <v>0.91666666666666663</v>
      </c>
      <c r="S20" s="343"/>
      <c r="T20" s="343"/>
      <c r="U20" s="238">
        <v>0.85</v>
      </c>
      <c r="V20" s="343"/>
      <c r="W20" s="343"/>
    </row>
    <row r="21" spans="2:23" ht="14.45" customHeight="1">
      <c r="B21" s="98"/>
      <c r="C21" s="543"/>
      <c r="D21" s="86">
        <v>45946</v>
      </c>
      <c r="E21" s="86" t="s">
        <v>619</v>
      </c>
      <c r="F21" s="234">
        <v>326.38435655258814</v>
      </c>
      <c r="G21" s="93"/>
      <c r="H21" s="93"/>
      <c r="I21" s="90">
        <f t="shared" si="0"/>
        <v>0.89176053702892932</v>
      </c>
      <c r="J21" s="219"/>
      <c r="K21" s="219"/>
      <c r="L21" s="256">
        <v>2.4809451714772122E-3</v>
      </c>
      <c r="M21" s="343"/>
      <c r="N21" s="343"/>
      <c r="O21" s="256">
        <v>2.2646601353427005E-3</v>
      </c>
      <c r="P21" s="343"/>
      <c r="Q21" s="343"/>
      <c r="R21" s="238">
        <v>0.91666666666666663</v>
      </c>
      <c r="S21" s="343"/>
      <c r="T21" s="343"/>
      <c r="U21" s="238">
        <v>0.85199999999999998</v>
      </c>
      <c r="V21" s="343"/>
      <c r="W21" s="343"/>
    </row>
    <row r="22" spans="2:23" ht="14.45" customHeight="1">
      <c r="B22" s="98"/>
      <c r="C22" s="543"/>
      <c r="D22" s="86">
        <v>45947</v>
      </c>
      <c r="E22" s="86" t="s">
        <v>620</v>
      </c>
      <c r="F22" s="234">
        <v>345.15848755315898</v>
      </c>
      <c r="G22" s="93"/>
      <c r="H22" s="93"/>
      <c r="I22" s="90">
        <f t="shared" si="0"/>
        <v>0.94305597692119936</v>
      </c>
      <c r="J22" s="219"/>
      <c r="K22" s="219"/>
      <c r="L22" s="256">
        <v>2.458485091908871E-3</v>
      </c>
      <c r="M22" s="343"/>
      <c r="N22" s="343"/>
      <c r="O22" s="256">
        <v>2.5130499730011131E-3</v>
      </c>
      <c r="P22" s="343"/>
      <c r="Q22" s="343"/>
      <c r="R22" s="238">
        <v>0.91666666666666663</v>
      </c>
      <c r="S22" s="343"/>
      <c r="T22" s="343"/>
      <c r="U22" s="238">
        <v>0.85399999999999998</v>
      </c>
      <c r="V22" s="343"/>
      <c r="W22" s="343"/>
    </row>
    <row r="23" spans="2:23" ht="14.45" customHeight="1">
      <c r="B23" s="98"/>
      <c r="C23" s="543"/>
      <c r="D23" s="86">
        <v>45948</v>
      </c>
      <c r="E23" s="86" t="s">
        <v>621</v>
      </c>
      <c r="F23" s="234">
        <v>333.93291185746318</v>
      </c>
      <c r="G23" s="93"/>
      <c r="H23" s="93"/>
      <c r="I23" s="90">
        <f t="shared" si="0"/>
        <v>0.91238500507503606</v>
      </c>
      <c r="J23" s="219"/>
      <c r="K23" s="219"/>
      <c r="L23" s="256">
        <v>2.46959474565219E-3</v>
      </c>
      <c r="M23" s="343"/>
      <c r="N23" s="343"/>
      <c r="O23" s="256">
        <v>2.3457949853926108E-3</v>
      </c>
      <c r="P23" s="343"/>
      <c r="Q23" s="343"/>
      <c r="R23" s="238">
        <v>0.91666666666666663</v>
      </c>
      <c r="S23" s="343"/>
      <c r="T23" s="343"/>
      <c r="U23" s="238">
        <v>0.85599999999999998</v>
      </c>
      <c r="V23" s="343"/>
      <c r="W23" s="343"/>
    </row>
    <row r="24" spans="2:23" ht="14.45" customHeight="1">
      <c r="B24" s="98"/>
      <c r="C24" s="543"/>
      <c r="D24" s="86">
        <v>45949</v>
      </c>
      <c r="E24" s="86" t="s">
        <v>622</v>
      </c>
      <c r="F24" s="234">
        <v>346.44566127311447</v>
      </c>
      <c r="G24" s="93"/>
      <c r="H24" s="93"/>
      <c r="I24" s="90">
        <f t="shared" si="0"/>
        <v>0.94657284500850947</v>
      </c>
      <c r="J24" s="219"/>
      <c r="K24" s="219"/>
      <c r="L24" s="256">
        <v>2.4655297362026801E-3</v>
      </c>
      <c r="M24" s="343"/>
      <c r="N24" s="343"/>
      <c r="O24" s="256">
        <v>2.0855232982225154E-3</v>
      </c>
      <c r="P24" s="343"/>
      <c r="Q24" s="343"/>
      <c r="R24" s="238">
        <v>0.91666666666666663</v>
      </c>
      <c r="S24" s="343"/>
      <c r="T24" s="343"/>
      <c r="U24" s="238">
        <v>0.85599999999999998</v>
      </c>
      <c r="V24" s="343"/>
      <c r="W24" s="343"/>
    </row>
    <row r="25" spans="2:23" ht="14.45" customHeight="1">
      <c r="B25" s="98"/>
      <c r="C25" s="543"/>
      <c r="D25" s="86">
        <v>45950</v>
      </c>
      <c r="E25" s="86" t="s">
        <v>616</v>
      </c>
      <c r="F25" s="234">
        <v>349.74930924010482</v>
      </c>
      <c r="G25" s="93"/>
      <c r="H25" s="93"/>
      <c r="I25" s="90">
        <f t="shared" si="0"/>
        <v>0.95559920557405686</v>
      </c>
      <c r="J25" s="219"/>
      <c r="K25" s="219"/>
      <c r="L25" s="256">
        <v>2.4507335329284133E-3</v>
      </c>
      <c r="M25" s="343"/>
      <c r="N25" s="343"/>
      <c r="O25" s="256">
        <v>2.0893788345370196E-3</v>
      </c>
      <c r="P25" s="343"/>
      <c r="Q25" s="343"/>
      <c r="R25" s="238">
        <v>0.91666666666666663</v>
      </c>
      <c r="S25" s="343"/>
      <c r="T25" s="343"/>
      <c r="U25" s="238">
        <v>0.85799999999999998</v>
      </c>
      <c r="V25" s="343"/>
      <c r="W25" s="343"/>
    </row>
    <row r="26" spans="2:23" ht="14.45" customHeight="1">
      <c r="B26" s="98"/>
      <c r="C26" s="543"/>
      <c r="D26" s="344">
        <v>45951</v>
      </c>
      <c r="E26" s="344" t="s">
        <v>617</v>
      </c>
      <c r="F26" s="234">
        <v>323.90725353932106</v>
      </c>
      <c r="G26" s="93">
        <f>AVERAGE(F26:F32)</f>
        <v>335.05828060210217</v>
      </c>
      <c r="H26" s="93"/>
      <c r="I26" s="90">
        <f t="shared" si="0"/>
        <v>0.88499249600907393</v>
      </c>
      <c r="J26" s="219">
        <f>AVERAGE(I26:I32)</f>
        <v>0.91545978306585307</v>
      </c>
      <c r="K26" s="219"/>
      <c r="L26" s="256">
        <v>2.4788198173362362E-3</v>
      </c>
      <c r="M26" s="343">
        <f>AVERAGE(L26:L32)</f>
        <v>2.4577010628047094E-3</v>
      </c>
      <c r="N26" s="343"/>
      <c r="O26" s="256">
        <v>2.187813648858501E-3</v>
      </c>
      <c r="P26" s="343">
        <f>AVERAGE(O26:O32)</f>
        <v>2.4064585158027696E-3</v>
      </c>
      <c r="Q26" s="343"/>
      <c r="R26" s="238">
        <v>0.91666666666666663</v>
      </c>
      <c r="S26" s="343">
        <f>AVERAGE(R26:R32)</f>
        <v>0.91666666666666674</v>
      </c>
      <c r="T26" s="343"/>
      <c r="U26" s="238">
        <v>0.86</v>
      </c>
      <c r="V26" s="343">
        <f>AVERAGE(U26:U32)</f>
        <v>0.86471428571428588</v>
      </c>
      <c r="W26" s="343"/>
    </row>
    <row r="27" spans="2:23" ht="14.45" customHeight="1">
      <c r="B27" s="98"/>
      <c r="C27" s="543"/>
      <c r="D27" s="344">
        <v>45952</v>
      </c>
      <c r="E27" s="344" t="s">
        <v>618</v>
      </c>
      <c r="F27" s="234">
        <v>340.57901603576562</v>
      </c>
      <c r="G27" s="93"/>
      <c r="H27" s="93"/>
      <c r="I27" s="90">
        <f t="shared" si="0"/>
        <v>0.9305437596605618</v>
      </c>
      <c r="J27" s="219"/>
      <c r="K27" s="219"/>
      <c r="L27" s="256">
        <v>2.4681358047486646E-3</v>
      </c>
      <c r="M27" s="343"/>
      <c r="N27" s="343"/>
      <c r="O27" s="256">
        <v>2.2021568073095805E-3</v>
      </c>
      <c r="P27" s="343"/>
      <c r="Q27" s="343"/>
      <c r="R27" s="238">
        <v>0.91666666666666663</v>
      </c>
      <c r="S27" s="343"/>
      <c r="T27" s="343"/>
      <c r="U27" s="238">
        <v>0.86199999999999999</v>
      </c>
      <c r="V27" s="343"/>
      <c r="W27" s="343"/>
    </row>
    <row r="28" spans="2:23" ht="14.45" customHeight="1">
      <c r="B28" s="98"/>
      <c r="C28" s="543"/>
      <c r="D28" s="344">
        <v>45953</v>
      </c>
      <c r="E28" s="344" t="s">
        <v>619</v>
      </c>
      <c r="F28" s="234">
        <v>319.13568731425198</v>
      </c>
      <c r="G28" s="93"/>
      <c r="H28" s="93"/>
      <c r="I28" s="90">
        <f t="shared" si="0"/>
        <v>0.87195542982036056</v>
      </c>
      <c r="J28" s="219"/>
      <c r="K28" s="219"/>
      <c r="L28" s="256">
        <v>2.4905203025896595E-3</v>
      </c>
      <c r="M28" s="343"/>
      <c r="N28" s="343"/>
      <c r="O28" s="256">
        <v>2.5052057242873306E-3</v>
      </c>
      <c r="P28" s="343"/>
      <c r="Q28" s="343"/>
      <c r="R28" s="238">
        <v>0.91666666666666663</v>
      </c>
      <c r="S28" s="343"/>
      <c r="T28" s="343"/>
      <c r="U28" s="238">
        <v>0.86199999999999999</v>
      </c>
      <c r="V28" s="343"/>
      <c r="W28" s="343"/>
    </row>
    <row r="29" spans="2:23" ht="14.45" customHeight="1">
      <c r="B29" s="98"/>
      <c r="C29" s="543"/>
      <c r="D29" s="344">
        <v>45954</v>
      </c>
      <c r="E29" s="344" t="s">
        <v>620</v>
      </c>
      <c r="F29" s="234">
        <v>331.8586643272572</v>
      </c>
      <c r="G29" s="93"/>
      <c r="H29" s="93"/>
      <c r="I29" s="90">
        <f t="shared" si="0"/>
        <v>0.9067176620963312</v>
      </c>
      <c r="J29" s="219"/>
      <c r="K29" s="219"/>
      <c r="L29" s="256">
        <v>2.4499999999999999E-3</v>
      </c>
      <c r="M29" s="343"/>
      <c r="N29" s="343"/>
      <c r="O29" s="256">
        <v>2.7885184678645906E-3</v>
      </c>
      <c r="P29" s="343"/>
      <c r="Q29" s="343"/>
      <c r="R29" s="238">
        <v>0.91666666666666663</v>
      </c>
      <c r="S29" s="343"/>
      <c r="T29" s="343"/>
      <c r="U29" s="238">
        <v>0.86499999999999999</v>
      </c>
      <c r="V29" s="343"/>
      <c r="W29" s="343"/>
    </row>
    <row r="30" spans="2:23" ht="14.45" customHeight="1">
      <c r="B30" s="98"/>
      <c r="C30" s="543"/>
      <c r="D30" s="344">
        <v>45955</v>
      </c>
      <c r="E30" s="344" t="s">
        <v>621</v>
      </c>
      <c r="F30" s="234">
        <v>346.81537432205465</v>
      </c>
      <c r="G30" s="93"/>
      <c r="H30" s="93"/>
      <c r="I30" s="90">
        <f t="shared" si="0"/>
        <v>0.94758298995096901</v>
      </c>
      <c r="J30" s="219"/>
      <c r="K30" s="219"/>
      <c r="L30" s="256">
        <v>2.4279093844010143E-3</v>
      </c>
      <c r="M30" s="343"/>
      <c r="N30" s="343"/>
      <c r="O30" s="256">
        <v>2.5266367892736565E-3</v>
      </c>
      <c r="P30" s="343"/>
      <c r="Q30" s="343"/>
      <c r="R30" s="238">
        <v>0.91666666666666663</v>
      </c>
      <c r="S30" s="343"/>
      <c r="T30" s="343"/>
      <c r="U30" s="238">
        <v>0.86799999999999999</v>
      </c>
      <c r="V30" s="343"/>
      <c r="W30" s="343"/>
    </row>
    <row r="31" spans="2:23" ht="14.45" customHeight="1">
      <c r="B31" s="98"/>
      <c r="C31" s="543"/>
      <c r="D31" s="344">
        <v>45956</v>
      </c>
      <c r="E31" s="344" t="s">
        <v>622</v>
      </c>
      <c r="F31" s="234">
        <v>348.39098288164871</v>
      </c>
      <c r="G31" s="93"/>
      <c r="H31" s="93"/>
      <c r="I31" s="90">
        <f t="shared" si="0"/>
        <v>0.95188793137062488</v>
      </c>
      <c r="J31" s="219"/>
      <c r="K31" s="219"/>
      <c r="L31" s="256">
        <v>2.4502350099270369E-3</v>
      </c>
      <c r="M31" s="343"/>
      <c r="N31" s="343"/>
      <c r="O31" s="256">
        <v>2.489722309788446E-3</v>
      </c>
      <c r="P31" s="343"/>
      <c r="Q31" s="343"/>
      <c r="R31" s="238">
        <v>0.91666666666666663</v>
      </c>
      <c r="S31" s="343"/>
      <c r="T31" s="343"/>
      <c r="U31" s="238">
        <v>0.86799999999999999</v>
      </c>
      <c r="V31" s="343"/>
      <c r="W31" s="343"/>
    </row>
    <row r="32" spans="2:23" ht="14.45" customHeight="1">
      <c r="B32" s="98"/>
      <c r="C32" s="543"/>
      <c r="D32" s="344">
        <v>45957</v>
      </c>
      <c r="E32" s="344" t="s">
        <v>616</v>
      </c>
      <c r="F32" s="234">
        <v>334.72098579441609</v>
      </c>
      <c r="G32" s="93"/>
      <c r="H32" s="93"/>
      <c r="I32" s="90">
        <f t="shared" si="0"/>
        <v>0.91453821255304946</v>
      </c>
      <c r="J32" s="219"/>
      <c r="K32" s="219"/>
      <c r="L32" s="256">
        <v>2.4382871206303572E-3</v>
      </c>
      <c r="M32" s="343"/>
      <c r="N32" s="343"/>
      <c r="O32" s="256">
        <v>2.145155863237283E-3</v>
      </c>
      <c r="P32" s="343"/>
      <c r="Q32" s="343"/>
      <c r="R32" s="238">
        <v>0.91666666666666663</v>
      </c>
      <c r="S32" s="343"/>
      <c r="T32" s="343"/>
      <c r="U32" s="238">
        <v>0.86799999999999999</v>
      </c>
      <c r="V32" s="343"/>
      <c r="W32" s="343"/>
    </row>
    <row r="33" spans="2:23" ht="14.45" customHeight="1">
      <c r="B33" s="98"/>
      <c r="C33" s="543"/>
      <c r="D33" s="86">
        <v>45958</v>
      </c>
      <c r="E33" s="86" t="s">
        <v>617</v>
      </c>
      <c r="F33" s="234">
        <v>337.67254644529635</v>
      </c>
      <c r="G33" s="93">
        <f>AVERAGE(F33:F39)</f>
        <v>340.19678527438515</v>
      </c>
      <c r="H33" s="93"/>
      <c r="I33" s="90">
        <f t="shared" si="0"/>
        <v>0.92260258591611022</v>
      </c>
      <c r="J33" s="219">
        <f>AVERAGE(I33:I39)</f>
        <v>0.92949941331799224</v>
      </c>
      <c r="K33" s="219"/>
      <c r="L33" s="256">
        <v>2.4675466181968801E-3</v>
      </c>
      <c r="M33" s="343">
        <f>AVERAGE(L33:L39)</f>
        <v>2.4552868780055607E-3</v>
      </c>
      <c r="N33" s="343"/>
      <c r="O33" s="256">
        <v>2.1732369287074797E-3</v>
      </c>
      <c r="P33" s="343">
        <f>AVERAGE(O33:O39)</f>
        <v>2.2768681441727376E-3</v>
      </c>
      <c r="Q33" s="343"/>
      <c r="R33" s="238">
        <v>0.91666666666666663</v>
      </c>
      <c r="S33" s="343">
        <f>AVERAGE(R33:R39)</f>
        <v>0.91666666666666674</v>
      </c>
      <c r="T33" s="343"/>
      <c r="U33" s="238">
        <v>0.87</v>
      </c>
      <c r="V33" s="343">
        <f>AVERAGE(U33:U39)</f>
        <v>0.87342857142857144</v>
      </c>
      <c r="W33" s="343"/>
    </row>
    <row r="34" spans="2:23" ht="14.45" customHeight="1">
      <c r="B34" s="98"/>
      <c r="C34" s="543"/>
      <c r="D34" s="86">
        <v>45959</v>
      </c>
      <c r="E34" s="86" t="s">
        <v>618</v>
      </c>
      <c r="F34" s="234">
        <v>348.68157785060981</v>
      </c>
      <c r="G34" s="93"/>
      <c r="H34" s="93"/>
      <c r="I34" s="90">
        <f t="shared" si="0"/>
        <v>0.95268190669565522</v>
      </c>
      <c r="J34" s="219"/>
      <c r="K34" s="219"/>
      <c r="L34" s="256">
        <v>2.4403743615424361E-3</v>
      </c>
      <c r="M34" s="343"/>
      <c r="N34" s="343"/>
      <c r="O34" s="256">
        <v>2.2650323194061258E-3</v>
      </c>
      <c r="P34" s="343"/>
      <c r="Q34" s="343"/>
      <c r="R34" s="238">
        <v>0.91666666666666663</v>
      </c>
      <c r="S34" s="343"/>
      <c r="T34" s="343"/>
      <c r="U34" s="238">
        <v>0.87</v>
      </c>
      <c r="V34" s="343"/>
      <c r="W34" s="343"/>
    </row>
    <row r="35" spans="2:23">
      <c r="B35" s="98"/>
      <c r="C35" s="543"/>
      <c r="D35" s="86">
        <v>45960</v>
      </c>
      <c r="E35" s="86" t="s">
        <v>619</v>
      </c>
      <c r="F35" s="234">
        <v>331.92436544080971</v>
      </c>
      <c r="G35" s="93"/>
      <c r="H35" s="93"/>
      <c r="I35" s="90">
        <f t="shared" si="0"/>
        <v>0.90689717333554565</v>
      </c>
      <c r="J35" s="219"/>
      <c r="K35" s="219"/>
      <c r="L35" s="256">
        <v>2.469125673587382E-3</v>
      </c>
      <c r="M35" s="90"/>
      <c r="N35" s="343"/>
      <c r="O35" s="256">
        <v>2.2019024263624956E-3</v>
      </c>
      <c r="P35" s="90"/>
      <c r="Q35" s="343"/>
      <c r="R35" s="238">
        <v>0.91666666666666663</v>
      </c>
      <c r="S35" s="219"/>
      <c r="T35" s="219"/>
      <c r="U35" s="238">
        <v>0.872</v>
      </c>
      <c r="V35" s="219"/>
      <c r="W35" s="219"/>
    </row>
    <row r="36" spans="2:23">
      <c r="B36" s="98"/>
      <c r="D36" s="86">
        <v>45961</v>
      </c>
      <c r="E36" s="86" t="s">
        <v>620</v>
      </c>
      <c r="F36" s="234">
        <v>334.50307097879181</v>
      </c>
      <c r="G36" s="93"/>
      <c r="H36" s="93"/>
      <c r="I36" s="90">
        <f t="shared" si="0"/>
        <v>0.91394281688194479</v>
      </c>
      <c r="J36" s="219"/>
      <c r="K36" s="87"/>
      <c r="L36" s="256">
        <v>2.4696227956717679E-3</v>
      </c>
      <c r="M36" s="90"/>
      <c r="N36" s="90"/>
      <c r="O36" s="256">
        <v>2.590848838213707E-3</v>
      </c>
      <c r="P36" s="90"/>
      <c r="Q36" s="90"/>
      <c r="R36" s="238">
        <v>0.91666666666666663</v>
      </c>
      <c r="S36" s="219"/>
      <c r="T36" s="219"/>
      <c r="U36" s="238">
        <v>0.872</v>
      </c>
      <c r="V36" s="219"/>
      <c r="W36" s="219"/>
    </row>
    <row r="37" spans="2:23">
      <c r="B37" s="98"/>
      <c r="D37" s="86">
        <v>45962</v>
      </c>
      <c r="E37" s="86" t="s">
        <v>621</v>
      </c>
      <c r="F37" s="234">
        <v>337.32625478682797</v>
      </c>
      <c r="G37" s="93"/>
      <c r="H37" s="93"/>
      <c r="I37" s="90">
        <f t="shared" si="0"/>
        <v>0.92165643384379226</v>
      </c>
      <c r="J37" s="219"/>
      <c r="K37" s="87"/>
      <c r="L37" s="256">
        <v>2.4398551151808114E-3</v>
      </c>
      <c r="M37" s="90"/>
      <c r="N37" s="90"/>
      <c r="O37" s="256">
        <v>2.5790165111636261E-3</v>
      </c>
      <c r="P37" s="90"/>
      <c r="Q37" s="90"/>
      <c r="R37" s="238">
        <v>0.91666666666666663</v>
      </c>
      <c r="S37" s="219"/>
      <c r="T37" s="219"/>
      <c r="U37" s="238">
        <v>0.875</v>
      </c>
      <c r="V37" s="219"/>
      <c r="W37" s="219"/>
    </row>
    <row r="38" spans="2:23">
      <c r="B38" s="98"/>
      <c r="D38" s="86">
        <v>45963</v>
      </c>
      <c r="E38" s="86" t="s">
        <v>622</v>
      </c>
      <c r="F38" s="234">
        <v>347.543771381883</v>
      </c>
      <c r="G38" s="93"/>
      <c r="H38" s="93"/>
      <c r="I38" s="90">
        <f t="shared" si="0"/>
        <v>0.94957314585213937</v>
      </c>
      <c r="J38" s="219"/>
      <c r="K38" s="87"/>
      <c r="L38" s="256">
        <v>2.4331814430398444E-3</v>
      </c>
      <c r="M38" s="90"/>
      <c r="N38" s="90"/>
      <c r="O38" s="256">
        <v>2.0004282824688693E-3</v>
      </c>
      <c r="P38" s="90"/>
      <c r="Q38" s="90"/>
      <c r="R38" s="238">
        <v>0.91666666666666663</v>
      </c>
      <c r="S38" s="219"/>
      <c r="T38" s="219"/>
      <c r="U38" s="238">
        <v>0.875</v>
      </c>
      <c r="V38" s="219"/>
      <c r="W38" s="219"/>
    </row>
    <row r="39" spans="2:23">
      <c r="B39" s="98"/>
      <c r="D39" s="86">
        <v>45964</v>
      </c>
      <c r="E39" s="86" t="s">
        <v>616</v>
      </c>
      <c r="F39" s="234">
        <v>343.72591003647744</v>
      </c>
      <c r="G39" s="93"/>
      <c r="H39" s="93"/>
      <c r="I39" s="90">
        <f t="shared" si="0"/>
        <v>0.93914183070075807</v>
      </c>
      <c r="J39" s="219"/>
      <c r="K39" s="87"/>
      <c r="L39" s="256">
        <v>2.4673021388198031E-3</v>
      </c>
      <c r="M39" s="90"/>
      <c r="N39" s="90"/>
      <c r="O39" s="256">
        <v>2.1276117028868596E-3</v>
      </c>
      <c r="P39" s="90"/>
      <c r="Q39" s="90"/>
      <c r="R39" s="238">
        <v>0.91666666666666663</v>
      </c>
      <c r="S39" s="219"/>
      <c r="T39" s="219"/>
      <c r="U39" s="238">
        <v>0.88</v>
      </c>
      <c r="V39" s="219"/>
      <c r="W39" s="219"/>
    </row>
    <row r="40" spans="2:23">
      <c r="B40" s="98"/>
    </row>
    <row r="41" spans="2:23">
      <c r="B41" s="98"/>
      <c r="D41" s="86"/>
      <c r="E41" s="86"/>
      <c r="F41" s="323"/>
      <c r="G41" s="93"/>
      <c r="H41" s="93"/>
      <c r="I41" s="90"/>
      <c r="J41" s="219"/>
      <c r="K41" s="87"/>
      <c r="L41" s="329"/>
      <c r="M41" s="90"/>
      <c r="N41" s="90"/>
      <c r="O41" s="329"/>
      <c r="P41" s="90"/>
      <c r="Q41" s="90"/>
      <c r="R41" s="328"/>
      <c r="S41" s="219"/>
      <c r="T41" s="219"/>
      <c r="U41" s="328"/>
      <c r="V41" s="219"/>
      <c r="W41" s="219"/>
    </row>
    <row r="42" spans="2:23">
      <c r="B42" s="98"/>
      <c r="D42" s="86"/>
      <c r="E42" s="86"/>
      <c r="F42" s="323"/>
      <c r="G42" s="93"/>
      <c r="H42" s="93"/>
      <c r="I42" s="90"/>
      <c r="J42" s="219"/>
      <c r="K42" s="87"/>
      <c r="L42" s="329"/>
      <c r="M42" s="90"/>
      <c r="N42" s="90"/>
      <c r="O42" s="329"/>
      <c r="P42" s="90"/>
      <c r="Q42" s="90"/>
      <c r="R42" s="328"/>
      <c r="S42" s="219"/>
      <c r="T42" s="219"/>
      <c r="U42" s="328"/>
      <c r="V42" s="219"/>
      <c r="W42" s="219"/>
    </row>
    <row r="43" spans="2:23">
      <c r="B43" s="98"/>
      <c r="D43" s="86"/>
      <c r="E43" s="86"/>
      <c r="F43" s="323"/>
      <c r="G43" s="93"/>
      <c r="H43" s="93"/>
      <c r="I43" s="90"/>
      <c r="J43" s="219"/>
      <c r="K43" s="87"/>
      <c r="L43" s="329"/>
      <c r="M43" s="90"/>
      <c r="N43" s="90"/>
      <c r="O43" s="329"/>
      <c r="P43" s="90"/>
      <c r="Q43" s="90"/>
      <c r="R43" s="328"/>
      <c r="S43" s="219"/>
      <c r="T43" s="219"/>
      <c r="U43" s="328"/>
      <c r="V43" s="219"/>
      <c r="W43" s="219"/>
    </row>
    <row r="44" spans="2:23">
      <c r="B44" s="98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</sheetData>
  <mergeCells count="10">
    <mergeCell ref="C5:C35"/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60" zoomScaleNormal="6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M66" sqref="M66"/>
    </sheetView>
  </sheetViews>
  <sheetFormatPr defaultColWidth="8.85546875" defaultRowHeight="16.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59" t="s">
        <v>319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59"/>
    </row>
    <row r="3" spans="1:38" ht="25.35" customHeight="1">
      <c r="B3" s="98"/>
      <c r="C3" s="560" t="s">
        <v>139</v>
      </c>
      <c r="D3" s="561" t="s">
        <v>105</v>
      </c>
      <c r="E3" s="561"/>
      <c r="F3" s="562" t="s">
        <v>364</v>
      </c>
      <c r="G3" s="562"/>
      <c r="H3" s="562"/>
      <c r="I3" s="563" t="s">
        <v>111</v>
      </c>
      <c r="J3" s="563"/>
      <c r="K3" s="563"/>
      <c r="L3" s="563"/>
      <c r="M3" s="563"/>
      <c r="N3" s="563"/>
      <c r="O3" s="563"/>
      <c r="P3" s="563"/>
      <c r="Q3" s="563"/>
      <c r="R3" s="563"/>
      <c r="S3" s="563"/>
      <c r="T3" s="563"/>
      <c r="U3" s="563"/>
      <c r="V3" s="563"/>
      <c r="W3" s="563"/>
      <c r="X3" s="563"/>
      <c r="Y3" s="563"/>
      <c r="Z3" s="563"/>
      <c r="AA3" s="563"/>
      <c r="AB3" s="563"/>
      <c r="AC3" s="563"/>
      <c r="AD3" s="563"/>
      <c r="AE3" s="563"/>
      <c r="AF3" s="563"/>
      <c r="AG3" s="563"/>
      <c r="AH3" s="563"/>
      <c r="AI3" s="563"/>
      <c r="AJ3" s="563"/>
      <c r="AK3" s="563"/>
      <c r="AL3" s="563"/>
    </row>
    <row r="4" spans="1:38" ht="25.35" customHeight="1">
      <c r="B4" s="98"/>
      <c r="C4" s="560"/>
      <c r="D4" s="561"/>
      <c r="E4" s="561"/>
      <c r="F4" s="562"/>
      <c r="G4" s="562"/>
      <c r="H4" s="562"/>
      <c r="I4" s="557" t="s">
        <v>140</v>
      </c>
      <c r="J4" s="557"/>
      <c r="K4" s="557"/>
      <c r="L4" s="557"/>
      <c r="M4" s="557"/>
      <c r="N4" s="557"/>
      <c r="O4" s="557" t="s">
        <v>141</v>
      </c>
      <c r="P4" s="557"/>
      <c r="Q4" s="557"/>
      <c r="R4" s="557"/>
      <c r="S4" s="557"/>
      <c r="T4" s="557"/>
      <c r="U4" s="557" t="s">
        <v>343</v>
      </c>
      <c r="V4" s="557"/>
      <c r="W4" s="557" t="s">
        <v>143</v>
      </c>
      <c r="X4" s="557"/>
      <c r="Y4" s="557" t="s">
        <v>134</v>
      </c>
      <c r="Z4" s="557"/>
      <c r="AA4" s="557"/>
      <c r="AB4" s="557"/>
      <c r="AC4" s="557"/>
      <c r="AD4" s="557"/>
      <c r="AE4" s="557" t="s">
        <v>132</v>
      </c>
      <c r="AF4" s="557"/>
      <c r="AG4" s="557" t="s">
        <v>144</v>
      </c>
      <c r="AH4" s="557"/>
      <c r="AI4" s="557" t="s">
        <v>145</v>
      </c>
      <c r="AJ4" s="557"/>
      <c r="AK4" s="557" t="s">
        <v>138</v>
      </c>
      <c r="AL4" s="557"/>
    </row>
    <row r="5" spans="1:38" ht="25.35" customHeight="1">
      <c r="B5" s="98"/>
      <c r="C5" s="560"/>
      <c r="D5" s="561"/>
      <c r="E5" s="561"/>
      <c r="F5" s="556" t="s">
        <v>115</v>
      </c>
      <c r="G5" s="556" t="s">
        <v>117</v>
      </c>
      <c r="H5" s="556" t="s">
        <v>118</v>
      </c>
      <c r="I5" s="557" t="s">
        <v>129</v>
      </c>
      <c r="J5" s="557"/>
      <c r="K5" s="557" t="s">
        <v>130</v>
      </c>
      <c r="L5" s="557"/>
      <c r="M5" s="558" t="s">
        <v>146</v>
      </c>
      <c r="N5" s="557"/>
      <c r="O5" s="557" t="s">
        <v>129</v>
      </c>
      <c r="P5" s="557"/>
      <c r="Q5" s="557" t="s">
        <v>130</v>
      </c>
      <c r="R5" s="557"/>
      <c r="S5" s="558" t="s">
        <v>146</v>
      </c>
      <c r="T5" s="557"/>
      <c r="U5" s="557" t="s">
        <v>129</v>
      </c>
      <c r="V5" s="557"/>
      <c r="W5" s="557" t="s">
        <v>129</v>
      </c>
      <c r="X5" s="557"/>
      <c r="Y5" s="557" t="s">
        <v>129</v>
      </c>
      <c r="Z5" s="557"/>
      <c r="AA5" s="557" t="s">
        <v>130</v>
      </c>
      <c r="AB5" s="557"/>
      <c r="AC5" s="558" t="s">
        <v>146</v>
      </c>
      <c r="AD5" s="557"/>
      <c r="AE5" s="557" t="s">
        <v>129</v>
      </c>
      <c r="AF5" s="557"/>
      <c r="AG5" s="557" t="s">
        <v>129</v>
      </c>
      <c r="AH5" s="557"/>
      <c r="AI5" s="557" t="s">
        <v>129</v>
      </c>
      <c r="AJ5" s="557"/>
      <c r="AK5" s="557" t="s">
        <v>129</v>
      </c>
      <c r="AL5" s="557"/>
    </row>
    <row r="6" spans="1:38" s="80" customFormat="1" ht="23.45" customHeight="1">
      <c r="B6" s="98"/>
      <c r="C6" s="560"/>
      <c r="D6" s="561"/>
      <c r="E6" s="561"/>
      <c r="F6" s="556"/>
      <c r="G6" s="556"/>
      <c r="H6" s="556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543">
        <v>10</v>
      </c>
      <c r="D7" s="86">
        <v>45930</v>
      </c>
      <c r="E7" s="86" t="s">
        <v>617</v>
      </c>
      <c r="F7" s="233">
        <f>SUM(M7,S7,U7,W7,AC7,AE7,AG7,AI7,AK7)</f>
        <v>8551969</v>
      </c>
      <c r="G7" s="342">
        <f>SUM(F7:F13)</f>
        <v>50444409</v>
      </c>
      <c r="H7" s="383"/>
      <c r="I7" s="239">
        <v>719554.54875597765</v>
      </c>
      <c r="J7" s="101">
        <f t="shared" ref="J7:J11" si="0">I7/F7</f>
        <v>8.4139050171484209E-2</v>
      </c>
      <c r="K7" s="239">
        <v>795384.54804369609</v>
      </c>
      <c r="L7" s="101">
        <f t="shared" ref="L7:L11" si="1">K7/F7</f>
        <v>9.3006013941783011E-2</v>
      </c>
      <c r="M7" s="232">
        <f t="shared" ref="M7:M11" si="2">SUM(I7+K7)</f>
        <v>1514939.0967996737</v>
      </c>
      <c r="N7" s="101">
        <f t="shared" ref="N7:N11" si="3">M7/F7</f>
        <v>0.17714506411326722</v>
      </c>
      <c r="O7" s="239">
        <v>212315.86565679297</v>
      </c>
      <c r="P7" s="101">
        <f t="shared" ref="P7:P11" si="4">O7/F7</f>
        <v>2.4826547623920642E-2</v>
      </c>
      <c r="Q7" s="239">
        <v>112672.39123004457</v>
      </c>
      <c r="R7" s="101">
        <f t="shared" ref="R7:R13" si="5">Q7/$F7</f>
        <v>1.3175023346090773E-2</v>
      </c>
      <c r="S7" s="232">
        <f t="shared" ref="S7:S13" si="6">SUM(O7+Q7)</f>
        <v>324988.25688683754</v>
      </c>
      <c r="T7" s="101">
        <f t="shared" ref="T7:T11" si="7">S7/F7</f>
        <v>3.8001570970011417E-2</v>
      </c>
      <c r="U7" s="239">
        <v>1002122.8335475725</v>
      </c>
      <c r="V7" s="101">
        <f t="shared" ref="V7:V11" si="8">U7/F7</f>
        <v>0.11718036320613096</v>
      </c>
      <c r="W7" s="239">
        <v>15967.863418968242</v>
      </c>
      <c r="X7" s="101">
        <f t="shared" ref="X7:X11" si="9">W7/F7</f>
        <v>1.8671563728736905E-3</v>
      </c>
      <c r="Y7" s="239">
        <v>790775.00704537064</v>
      </c>
      <c r="Z7" s="101">
        <f t="shared" ref="Z7:Z11" si="10">Y7/F7</f>
        <v>9.2467010468041996E-2</v>
      </c>
      <c r="AA7" s="239">
        <v>1095676.4388649098</v>
      </c>
      <c r="AB7" s="101">
        <f t="shared" ref="AB7:AB13" si="11">AA7/$F7</f>
        <v>0.12811978608258634</v>
      </c>
      <c r="AC7" s="232">
        <f t="shared" ref="AC7:AC11" si="12">SUM(Y7+AA7)</f>
        <v>1886451.4459102806</v>
      </c>
      <c r="AD7" s="101">
        <f t="shared" ref="AD7:AD11" si="13">AC7/F7</f>
        <v>0.22058679655062835</v>
      </c>
      <c r="AE7" s="239">
        <v>1280674.607899762</v>
      </c>
      <c r="AF7" s="101">
        <f t="shared" ref="AF7:AF11" si="14">AE7/F7</f>
        <v>0.1497520170968536</v>
      </c>
      <c r="AG7" s="239">
        <v>1163000.5461997583</v>
      </c>
      <c r="AH7" s="101">
        <f t="shared" ref="AH7:AH11" si="15">AG7/F7</f>
        <v>0.13599213774041491</v>
      </c>
      <c r="AI7" s="239">
        <v>654699.71096626204</v>
      </c>
      <c r="AJ7" s="101">
        <f t="shared" ref="AJ7:AJ11" si="16">AI7/F7</f>
        <v>7.6555435475299555E-2</v>
      </c>
      <c r="AK7" s="239">
        <v>709124.63837088575</v>
      </c>
      <c r="AL7" s="101">
        <f t="shared" ref="AL7:AL11" si="17">AK7/F7</f>
        <v>8.2919458474520397E-2</v>
      </c>
    </row>
    <row r="8" spans="1:38" ht="14.25">
      <c r="B8" s="98"/>
      <c r="C8" s="543"/>
      <c r="D8" s="86">
        <v>45931</v>
      </c>
      <c r="E8" s="86" t="s">
        <v>618</v>
      </c>
      <c r="F8" s="233">
        <f t="shared" ref="F8:F45" si="18">SUM(M8,S8,U8,W8,AC8,AE8,AG8,AI8,AK8)</f>
        <v>7858716</v>
      </c>
      <c r="G8" s="342"/>
      <c r="H8" s="384">
        <f>SUM(F8:F38)</f>
        <v>224463487</v>
      </c>
      <c r="I8" s="239">
        <v>715251.51168316125</v>
      </c>
      <c r="J8" s="101">
        <f t="shared" si="0"/>
        <v>9.1013787962710604E-2</v>
      </c>
      <c r="K8" s="239">
        <v>774813.38055860938</v>
      </c>
      <c r="L8" s="101">
        <f t="shared" si="1"/>
        <v>9.8592871985526562E-2</v>
      </c>
      <c r="M8" s="232">
        <f t="shared" si="2"/>
        <v>1490064.8922417706</v>
      </c>
      <c r="N8" s="101">
        <f t="shared" si="3"/>
        <v>0.18960665994823717</v>
      </c>
      <c r="O8" s="239">
        <v>183209.00978119799</v>
      </c>
      <c r="P8" s="101">
        <f t="shared" si="4"/>
        <v>2.331284268081427E-2</v>
      </c>
      <c r="Q8" s="239">
        <v>109110.74643171007</v>
      </c>
      <c r="R8" s="101">
        <f t="shared" si="5"/>
        <v>1.3884042435394034E-2</v>
      </c>
      <c r="S8" s="232">
        <f t="shared" si="6"/>
        <v>292319.75621290808</v>
      </c>
      <c r="T8" s="101">
        <f t="shared" si="7"/>
        <v>3.7196885116208306E-2</v>
      </c>
      <c r="U8" s="239">
        <v>714234.44983138563</v>
      </c>
      <c r="V8" s="101">
        <f t="shared" si="8"/>
        <v>9.0884369638931553E-2</v>
      </c>
      <c r="W8" s="239">
        <v>142930.04130880715</v>
      </c>
      <c r="X8" s="101">
        <f t="shared" si="9"/>
        <v>1.8187454707462029E-2</v>
      </c>
      <c r="Y8" s="239">
        <v>771807.27122124878</v>
      </c>
      <c r="Z8" s="101">
        <f t="shared" si="10"/>
        <v>9.8210352838968701E-2</v>
      </c>
      <c r="AA8" s="239">
        <v>1013692.2809923685</v>
      </c>
      <c r="AB8" s="101">
        <f t="shared" si="11"/>
        <v>0.12898955516300226</v>
      </c>
      <c r="AC8" s="232">
        <f t="shared" si="12"/>
        <v>1785499.5522136171</v>
      </c>
      <c r="AD8" s="101">
        <f t="shared" si="13"/>
        <v>0.22719990800197096</v>
      </c>
      <c r="AE8" s="239">
        <v>1068254.1124299511</v>
      </c>
      <c r="AF8" s="101">
        <f t="shared" si="14"/>
        <v>0.13593239817165439</v>
      </c>
      <c r="AG8" s="239">
        <v>1101680.3856501412</v>
      </c>
      <c r="AH8" s="101">
        <f t="shared" si="15"/>
        <v>0.14018579951866705</v>
      </c>
      <c r="AI8" s="239">
        <v>640487.30510560144</v>
      </c>
      <c r="AJ8" s="101">
        <f t="shared" si="16"/>
        <v>8.1500248272822359E-2</v>
      </c>
      <c r="AK8" s="239">
        <v>623245.50500581739</v>
      </c>
      <c r="AL8" s="101">
        <f t="shared" si="17"/>
        <v>7.9306276624046143E-2</v>
      </c>
    </row>
    <row r="9" spans="1:38" ht="14.25">
      <c r="B9" s="98"/>
      <c r="C9" s="543"/>
      <c r="D9" s="86">
        <v>45932</v>
      </c>
      <c r="E9" s="86" t="s">
        <v>619</v>
      </c>
      <c r="F9" s="233">
        <f t="shared" si="18"/>
        <v>7240224</v>
      </c>
      <c r="G9" s="342"/>
      <c r="H9" s="384"/>
      <c r="I9" s="239">
        <v>638803.89978157484</v>
      </c>
      <c r="J9" s="101">
        <f t="shared" si="0"/>
        <v>8.8229853079348761E-2</v>
      </c>
      <c r="K9" s="239">
        <v>709782.72221388808</v>
      </c>
      <c r="L9" s="101">
        <f t="shared" si="1"/>
        <v>9.803325452553513E-2</v>
      </c>
      <c r="M9" s="232">
        <f t="shared" si="2"/>
        <v>1348586.621995463</v>
      </c>
      <c r="N9" s="101">
        <f t="shared" si="3"/>
        <v>0.1862631076048839</v>
      </c>
      <c r="O9" s="239">
        <v>168087.0079558951</v>
      </c>
      <c r="P9" s="101">
        <f t="shared" si="4"/>
        <v>2.321571928657112E-2</v>
      </c>
      <c r="Q9" s="239">
        <v>103531.41882286117</v>
      </c>
      <c r="R9" s="101">
        <f t="shared" si="5"/>
        <v>1.4299477312146858E-2</v>
      </c>
      <c r="S9" s="232">
        <f t="shared" si="6"/>
        <v>271618.42677875626</v>
      </c>
      <c r="T9" s="101">
        <f t="shared" si="7"/>
        <v>3.7515196598717979E-2</v>
      </c>
      <c r="U9" s="239">
        <v>678120.21279681544</v>
      </c>
      <c r="V9" s="101">
        <f t="shared" si="8"/>
        <v>9.3660115045724468E-2</v>
      </c>
      <c r="W9" s="239">
        <v>121058.02184332554</v>
      </c>
      <c r="X9" s="101">
        <f t="shared" si="9"/>
        <v>1.6720203938900998E-2</v>
      </c>
      <c r="Y9" s="239">
        <v>713287.54162159236</v>
      </c>
      <c r="Z9" s="101">
        <f t="shared" si="10"/>
        <v>9.8517330627007169E-2</v>
      </c>
      <c r="AA9" s="239">
        <v>941658.00079068937</v>
      </c>
      <c r="AB9" s="101">
        <f t="shared" si="11"/>
        <v>0.13005923584556076</v>
      </c>
      <c r="AC9" s="232">
        <f t="shared" si="12"/>
        <v>1654945.5424122817</v>
      </c>
      <c r="AD9" s="101">
        <f t="shared" si="13"/>
        <v>0.22857656647256794</v>
      </c>
      <c r="AE9" s="239">
        <v>1037068.978442678</v>
      </c>
      <c r="AF9" s="101">
        <f t="shared" si="14"/>
        <v>0.14323713996178544</v>
      </c>
      <c r="AG9" s="239">
        <v>979740.02799608628</v>
      </c>
      <c r="AH9" s="101">
        <f t="shared" si="15"/>
        <v>0.13531902162088993</v>
      </c>
      <c r="AI9" s="239">
        <v>584172.03107372823</v>
      </c>
      <c r="AJ9" s="101">
        <f t="shared" si="16"/>
        <v>8.0684248315207957E-2</v>
      </c>
      <c r="AK9" s="239">
        <v>564914.13666086469</v>
      </c>
      <c r="AL9" s="101">
        <f t="shared" si="17"/>
        <v>7.8024400441321251E-2</v>
      </c>
    </row>
    <row r="10" spans="1:38" ht="14.25">
      <c r="B10" s="98"/>
      <c r="C10" s="543"/>
      <c r="D10" s="86">
        <v>45933</v>
      </c>
      <c r="E10" s="86" t="s">
        <v>620</v>
      </c>
      <c r="F10" s="233">
        <f t="shared" si="18"/>
        <v>6162506</v>
      </c>
      <c r="G10" s="342"/>
      <c r="H10" s="384"/>
      <c r="I10" s="239">
        <v>479861.70665577246</v>
      </c>
      <c r="J10" s="101">
        <f t="shared" si="0"/>
        <v>7.7867949606178474E-2</v>
      </c>
      <c r="K10" s="239">
        <v>639452.13414752751</v>
      </c>
      <c r="L10" s="101">
        <f t="shared" si="1"/>
        <v>0.10376495116556925</v>
      </c>
      <c r="M10" s="232">
        <f t="shared" si="2"/>
        <v>1119313.8408033</v>
      </c>
      <c r="N10" s="101">
        <f t="shared" si="3"/>
        <v>0.18163290077174774</v>
      </c>
      <c r="O10" s="239">
        <v>160197.72852265602</v>
      </c>
      <c r="P10" s="101">
        <f t="shared" si="4"/>
        <v>2.5995549298070627E-2</v>
      </c>
      <c r="Q10" s="239">
        <v>85223.706710589235</v>
      </c>
      <c r="R10" s="101">
        <f t="shared" si="5"/>
        <v>1.382939127533332E-2</v>
      </c>
      <c r="S10" s="232">
        <f t="shared" si="6"/>
        <v>245421.43523324525</v>
      </c>
      <c r="T10" s="101">
        <f t="shared" si="7"/>
        <v>3.9824940573403945E-2</v>
      </c>
      <c r="U10" s="239">
        <v>557160.06252016861</v>
      </c>
      <c r="V10" s="101">
        <f t="shared" si="8"/>
        <v>9.0411281144418945E-2</v>
      </c>
      <c r="W10" s="239">
        <v>89729.013138380629</v>
      </c>
      <c r="X10" s="101">
        <f t="shared" si="9"/>
        <v>1.4560474770877404E-2</v>
      </c>
      <c r="Y10" s="239">
        <v>641494.11833391688</v>
      </c>
      <c r="Z10" s="101">
        <f t="shared" si="10"/>
        <v>0.10409630730321673</v>
      </c>
      <c r="AA10" s="239">
        <v>914893.22053416725</v>
      </c>
      <c r="AB10" s="101">
        <f t="shared" si="11"/>
        <v>0.14846122998244013</v>
      </c>
      <c r="AC10" s="232">
        <f t="shared" si="12"/>
        <v>1556387.3388680841</v>
      </c>
      <c r="AD10" s="101">
        <f t="shared" si="13"/>
        <v>0.25255753728565689</v>
      </c>
      <c r="AE10" s="239">
        <v>841320.41835057875</v>
      </c>
      <c r="AF10" s="101">
        <f t="shared" si="14"/>
        <v>0.13652245017701869</v>
      </c>
      <c r="AG10" s="239">
        <v>723731.79944779724</v>
      </c>
      <c r="AH10" s="101">
        <f t="shared" si="15"/>
        <v>0.1174411512861484</v>
      </c>
      <c r="AI10" s="239">
        <v>574995.01855355315</v>
      </c>
      <c r="AJ10" s="101">
        <f t="shared" si="16"/>
        <v>9.330538883914323E-2</v>
      </c>
      <c r="AK10" s="239">
        <v>454447.07308489265</v>
      </c>
      <c r="AL10" s="101">
        <f t="shared" si="17"/>
        <v>7.374387515158487E-2</v>
      </c>
    </row>
    <row r="11" spans="1:38" ht="14.25">
      <c r="B11" s="98"/>
      <c r="C11" s="543"/>
      <c r="D11" s="86">
        <v>45934</v>
      </c>
      <c r="E11" s="86" t="s">
        <v>621</v>
      </c>
      <c r="F11" s="233">
        <f t="shared" si="18"/>
        <v>6257631</v>
      </c>
      <c r="G11" s="342"/>
      <c r="H11" s="384"/>
      <c r="I11" s="239">
        <v>460314.43223403709</v>
      </c>
      <c r="J11" s="101">
        <f t="shared" si="0"/>
        <v>7.3560494735793319E-2</v>
      </c>
      <c r="K11" s="239">
        <v>620519.59394775715</v>
      </c>
      <c r="L11" s="101">
        <f t="shared" si="1"/>
        <v>9.9162062120274772E-2</v>
      </c>
      <c r="M11" s="232">
        <f t="shared" si="2"/>
        <v>1080834.0261817942</v>
      </c>
      <c r="N11" s="101">
        <f t="shared" si="3"/>
        <v>0.1727225568560681</v>
      </c>
      <c r="O11" s="239">
        <v>158636.16295836362</v>
      </c>
      <c r="P11" s="101">
        <f t="shared" si="4"/>
        <v>2.535083371940014E-2</v>
      </c>
      <c r="Q11" s="239">
        <v>86527.04021305684</v>
      </c>
      <c r="R11" s="101">
        <f t="shared" si="5"/>
        <v>1.3827443678455448E-2</v>
      </c>
      <c r="S11" s="232">
        <f t="shared" si="6"/>
        <v>245163.20317142046</v>
      </c>
      <c r="T11" s="101">
        <f t="shared" si="7"/>
        <v>3.9178277397855586E-2</v>
      </c>
      <c r="U11" s="239">
        <v>555571.78085564007</v>
      </c>
      <c r="V11" s="101">
        <f t="shared" si="8"/>
        <v>8.8783084342243912E-2</v>
      </c>
      <c r="W11" s="239">
        <v>113151.72475798771</v>
      </c>
      <c r="X11" s="101">
        <f t="shared" si="9"/>
        <v>1.8082198320416739E-2</v>
      </c>
      <c r="Y11" s="239">
        <v>631970.86002865434</v>
      </c>
      <c r="Z11" s="101">
        <f t="shared" si="10"/>
        <v>0.10099203037517782</v>
      </c>
      <c r="AA11" s="239">
        <v>954431.09667073865</v>
      </c>
      <c r="AB11" s="101">
        <f t="shared" si="11"/>
        <v>0.1525227512889045</v>
      </c>
      <c r="AC11" s="232">
        <f t="shared" si="12"/>
        <v>1586401.956699393</v>
      </c>
      <c r="AD11" s="101">
        <f t="shared" si="13"/>
        <v>0.25351478166408231</v>
      </c>
      <c r="AE11" s="239">
        <v>889137.79305495298</v>
      </c>
      <c r="AF11" s="101">
        <f t="shared" si="14"/>
        <v>0.14208856243759865</v>
      </c>
      <c r="AG11" s="239">
        <v>754649.25001767871</v>
      </c>
      <c r="AH11" s="101">
        <f t="shared" si="15"/>
        <v>0.12059663633373056</v>
      </c>
      <c r="AI11" s="239">
        <v>568744.82989391719</v>
      </c>
      <c r="AJ11" s="101">
        <f t="shared" si="16"/>
        <v>9.0888201924005624E-2</v>
      </c>
      <c r="AK11" s="239">
        <v>463976.43536721589</v>
      </c>
      <c r="AL11" s="101">
        <f t="shared" si="17"/>
        <v>7.4145700723998564E-2</v>
      </c>
    </row>
    <row r="12" spans="1:38" ht="14.25">
      <c r="B12" s="98"/>
      <c r="C12" s="543"/>
      <c r="D12" s="86">
        <v>45935</v>
      </c>
      <c r="E12" s="86" t="s">
        <v>622</v>
      </c>
      <c r="F12" s="233">
        <f t="shared" si="18"/>
        <v>6624573</v>
      </c>
      <c r="G12" s="342"/>
      <c r="H12" s="384"/>
      <c r="I12" s="239">
        <v>497773.6234197155</v>
      </c>
      <c r="J12" s="101">
        <f>I12/F12</f>
        <v>7.5140484287774548E-2</v>
      </c>
      <c r="K12" s="239">
        <v>674622.40758134064</v>
      </c>
      <c r="L12" s="101">
        <f>K12/F12</f>
        <v>0.10183636101245176</v>
      </c>
      <c r="M12" s="232">
        <f>SUM(I12+K12)</f>
        <v>1172396.0310010561</v>
      </c>
      <c r="N12" s="101">
        <f>M12/F12</f>
        <v>0.17697684530022631</v>
      </c>
      <c r="O12" s="239">
        <v>160860.72532579559</v>
      </c>
      <c r="P12" s="101">
        <f>O12/F12</f>
        <v>2.4282429271410489E-2</v>
      </c>
      <c r="Q12" s="239">
        <v>86214.277188619861</v>
      </c>
      <c r="R12" s="101">
        <f t="shared" si="5"/>
        <v>1.3014314611465502E-2</v>
      </c>
      <c r="S12" s="232">
        <f t="shared" si="6"/>
        <v>247075.00251441545</v>
      </c>
      <c r="T12" s="101">
        <f>S12/F12</f>
        <v>3.7296743882875988E-2</v>
      </c>
      <c r="U12" s="239">
        <v>619796.68228818069</v>
      </c>
      <c r="V12" s="101">
        <f>U12/F12</f>
        <v>9.3560246417117104E-2</v>
      </c>
      <c r="W12" s="239">
        <v>137821.34644262891</v>
      </c>
      <c r="X12" s="101">
        <f>W12/F12</f>
        <v>2.0804563017515078E-2</v>
      </c>
      <c r="Y12" s="239">
        <v>631382.85326394916</v>
      </c>
      <c r="Z12" s="101">
        <f>Y12/F12</f>
        <v>9.5309215139443584E-2</v>
      </c>
      <c r="AA12" s="239">
        <v>958507.39617797208</v>
      </c>
      <c r="AB12" s="101">
        <f t="shared" si="11"/>
        <v>0.1446896873470897</v>
      </c>
      <c r="AC12" s="232">
        <f>SUM(Y12+AA12)</f>
        <v>1589890.2494419212</v>
      </c>
      <c r="AD12" s="101">
        <f>AC12/F12</f>
        <v>0.23999890248653327</v>
      </c>
      <c r="AE12" s="239">
        <v>1027717.8563623223</v>
      </c>
      <c r="AF12" s="101">
        <f>AE12/F12</f>
        <v>0.15513722263492641</v>
      </c>
      <c r="AG12" s="239">
        <v>810231.60347552539</v>
      </c>
      <c r="AH12" s="101">
        <f>AG12/F12</f>
        <v>0.12230699299041997</v>
      </c>
      <c r="AI12" s="239">
        <v>487476.35843313066</v>
      </c>
      <c r="AJ12" s="101">
        <f>AI12/F12</f>
        <v>7.3586079953097461E-2</v>
      </c>
      <c r="AK12" s="239">
        <v>532167.87004081882</v>
      </c>
      <c r="AL12" s="101">
        <f>AK12/F12</f>
        <v>8.0332403317288345E-2</v>
      </c>
    </row>
    <row r="13" spans="1:38" ht="14.25">
      <c r="B13" s="98"/>
      <c r="C13" s="543"/>
      <c r="D13" s="86">
        <v>45936</v>
      </c>
      <c r="E13" s="86" t="s">
        <v>616</v>
      </c>
      <c r="F13" s="233">
        <f t="shared" si="18"/>
        <v>7748790.0000000009</v>
      </c>
      <c r="G13" s="342"/>
      <c r="H13" s="384"/>
      <c r="I13" s="239">
        <v>677554.50142024504</v>
      </c>
      <c r="J13" s="101">
        <f>I13/F13</f>
        <v>8.7440039208733875E-2</v>
      </c>
      <c r="K13" s="239">
        <v>777535.86588737625</v>
      </c>
      <c r="L13" s="101">
        <f>K13/F13</f>
        <v>0.10034287493755492</v>
      </c>
      <c r="M13" s="232">
        <f>SUM(I13+K13)</f>
        <v>1455090.3673076213</v>
      </c>
      <c r="N13" s="101">
        <f>M13/F13</f>
        <v>0.18778291414628878</v>
      </c>
      <c r="O13" s="239">
        <v>188673.19322129319</v>
      </c>
      <c r="P13" s="101">
        <f>O13/F13</f>
        <v>2.4348729701191174E-2</v>
      </c>
      <c r="Q13" s="239">
        <v>113341.40954423328</v>
      </c>
      <c r="R13" s="101">
        <f t="shared" si="5"/>
        <v>1.4626981702205539E-2</v>
      </c>
      <c r="S13" s="232">
        <f t="shared" si="6"/>
        <v>302014.60276552645</v>
      </c>
      <c r="T13" s="101">
        <f>S13/F13</f>
        <v>3.8975711403396715E-2</v>
      </c>
      <c r="U13" s="239">
        <v>731080.91625149315</v>
      </c>
      <c r="V13" s="101">
        <f>U13/F13</f>
        <v>9.4347751875001523E-2</v>
      </c>
      <c r="W13" s="239">
        <v>137010.25032990729</v>
      </c>
      <c r="X13" s="101">
        <f>W13/F13</f>
        <v>1.7681502573938288E-2</v>
      </c>
      <c r="Y13" s="239">
        <v>781267.97779695899</v>
      </c>
      <c r="Z13" s="101">
        <f>Y13/F13</f>
        <v>0.10082451296227656</v>
      </c>
      <c r="AA13" s="239">
        <v>1059174.9544028169</v>
      </c>
      <c r="AB13" s="101">
        <f t="shared" si="11"/>
        <v>0.13668907718531756</v>
      </c>
      <c r="AC13" s="232">
        <f>SUM(Y13+AA13)</f>
        <v>1840442.9321997759</v>
      </c>
      <c r="AD13" s="101">
        <f>AC13/F13</f>
        <v>0.2375135901475941</v>
      </c>
      <c r="AE13" s="239">
        <v>1064092.8328495431</v>
      </c>
      <c r="AF13" s="101">
        <f>AE13/F13</f>
        <v>0.13732374123566943</v>
      </c>
      <c r="AG13" s="239">
        <v>1051943.0799942405</v>
      </c>
      <c r="AH13" s="101">
        <f>AG13/F13</f>
        <v>0.13575578638655073</v>
      </c>
      <c r="AI13" s="239">
        <v>547469.91513727489</v>
      </c>
      <c r="AJ13" s="101">
        <f>AI13/F13</f>
        <v>7.0652310249377626E-2</v>
      </c>
      <c r="AK13" s="239">
        <v>619645.10316461732</v>
      </c>
      <c r="AL13" s="101">
        <f>AK13/F13</f>
        <v>7.9966691982182675E-2</v>
      </c>
    </row>
    <row r="14" spans="1:38" ht="14.25">
      <c r="B14" s="98"/>
      <c r="C14" s="543"/>
      <c r="D14" s="344">
        <v>45937</v>
      </c>
      <c r="E14" s="344" t="s">
        <v>617</v>
      </c>
      <c r="F14" s="233">
        <f t="shared" si="18"/>
        <v>8050193.9999999991</v>
      </c>
      <c r="G14" s="342">
        <f>SUM(F14:F20)</f>
        <v>50896038</v>
      </c>
      <c r="H14" s="384"/>
      <c r="I14" s="239">
        <v>736776.46060682903</v>
      </c>
      <c r="J14" s="101">
        <f t="shared" ref="J14" si="19">I14/F14</f>
        <v>9.1522820519210984E-2</v>
      </c>
      <c r="K14" s="239">
        <v>831797.44500380405</v>
      </c>
      <c r="L14" s="101">
        <f t="shared" ref="L14" si="20">K14/F14</f>
        <v>0.10332638505405015</v>
      </c>
      <c r="M14" s="232">
        <f t="shared" ref="M14" si="21">SUM(I14+K14)</f>
        <v>1568573.9056106331</v>
      </c>
      <c r="N14" s="101">
        <f t="shared" ref="N14" si="22">M14/F14</f>
        <v>0.19484920557326113</v>
      </c>
      <c r="O14" s="239">
        <v>206332.64797564957</v>
      </c>
      <c r="P14" s="101">
        <f t="shared" ref="P14" si="23">O14/F14</f>
        <v>2.5630767156126871E-2</v>
      </c>
      <c r="Q14" s="239">
        <v>119424.9493003734</v>
      </c>
      <c r="R14" s="101">
        <f t="shared" ref="R14" si="24">Q14/$F14</f>
        <v>1.4835039913370212E-2</v>
      </c>
      <c r="S14" s="232">
        <f t="shared" ref="S14" si="25">SUM(O14+Q14)</f>
        <v>325757.59727602295</v>
      </c>
      <c r="T14" s="101">
        <f t="shared" ref="T14" si="26">S14/F14</f>
        <v>4.0465807069497081E-2</v>
      </c>
      <c r="U14" s="239">
        <v>748820.18322637293</v>
      </c>
      <c r="V14" s="101">
        <f t="shared" ref="V14" si="27">U14/F14</f>
        <v>9.3018899075770475E-2</v>
      </c>
      <c r="W14" s="239">
        <v>115179.94505931398</v>
      </c>
      <c r="X14" s="101">
        <f t="shared" ref="X14" si="28">W14/F14</f>
        <v>1.4307722901996398E-2</v>
      </c>
      <c r="Y14" s="239">
        <v>819732.59809010138</v>
      </c>
      <c r="Z14" s="101">
        <f t="shared" ref="Z14" si="29">Y14/F14</f>
        <v>0.10182768242480883</v>
      </c>
      <c r="AA14" s="239">
        <v>1145149.452882906</v>
      </c>
      <c r="AB14" s="101">
        <f t="shared" ref="AB14" si="30">AA14/$F14</f>
        <v>0.14225116225558118</v>
      </c>
      <c r="AC14" s="232">
        <f t="shared" ref="AC14" si="31">SUM(Y14+AA14)</f>
        <v>1964882.0509730075</v>
      </c>
      <c r="AD14" s="101">
        <f t="shared" ref="AD14" si="32">AC14/F14</f>
        <v>0.24407884468039001</v>
      </c>
      <c r="AE14" s="239">
        <v>1074150.9555985602</v>
      </c>
      <c r="AF14" s="101">
        <f t="shared" ref="AF14" si="33">AE14/F14</f>
        <v>0.13343168569584291</v>
      </c>
      <c r="AG14" s="239">
        <v>1037300.740632146</v>
      </c>
      <c r="AH14" s="101">
        <f t="shared" ref="AH14" si="34">AG14/F14</f>
        <v>0.12885412955664746</v>
      </c>
      <c r="AI14" s="239">
        <v>583328.7131599671</v>
      </c>
      <c r="AJ14" s="101">
        <f t="shared" ref="AJ14" si="35">AI14/F14</f>
        <v>7.2461447905474971E-2</v>
      </c>
      <c r="AK14" s="239">
        <v>632199.90846397635</v>
      </c>
      <c r="AL14" s="101">
        <f t="shared" ref="AL14" si="36">AK14/F14</f>
        <v>7.8532257541119685E-2</v>
      </c>
    </row>
    <row r="15" spans="1:38" ht="14.25">
      <c r="B15" s="98"/>
      <c r="C15" s="543"/>
      <c r="D15" s="344">
        <v>45938</v>
      </c>
      <c r="E15" s="344" t="s">
        <v>618</v>
      </c>
      <c r="F15" s="233">
        <f t="shared" si="18"/>
        <v>7653722.9999999981</v>
      </c>
      <c r="G15" s="342"/>
      <c r="H15" s="384"/>
      <c r="I15" s="239">
        <v>700167.53192382329</v>
      </c>
      <c r="J15" s="101">
        <f t="shared" ref="J15:J40" si="37">I15/F15</f>
        <v>9.1480646990206402E-2</v>
      </c>
      <c r="K15" s="239">
        <v>739645.51621396898</v>
      </c>
      <c r="L15" s="101">
        <f t="shared" ref="L15:L40" si="38">K15/F15</f>
        <v>9.6638657580626994E-2</v>
      </c>
      <c r="M15" s="232">
        <f t="shared" ref="M15:M40" si="39">SUM(I15+K15)</f>
        <v>1439813.0481377924</v>
      </c>
      <c r="N15" s="101">
        <f t="shared" ref="N15:N40" si="40">M15/F15</f>
        <v>0.1881193045708334</v>
      </c>
      <c r="O15" s="239">
        <v>183048.37626164232</v>
      </c>
      <c r="P15" s="101">
        <f t="shared" ref="P15:P40" si="41">O15/F15</f>
        <v>2.3916253078618388E-2</v>
      </c>
      <c r="Q15" s="239">
        <v>110508.19070418531</v>
      </c>
      <c r="R15" s="101">
        <f t="shared" ref="R15:R45" si="42">Q15/$F15</f>
        <v>1.4438488393711837E-2</v>
      </c>
      <c r="S15" s="232">
        <f t="shared" ref="S15:S45" si="43">SUM(O15+Q15)</f>
        <v>293556.5669658276</v>
      </c>
      <c r="T15" s="101">
        <f t="shared" ref="T15:T40" si="44">S15/F15</f>
        <v>3.8354741472330221E-2</v>
      </c>
      <c r="U15" s="239">
        <v>706521.4319265408</v>
      </c>
      <c r="V15" s="101">
        <f t="shared" ref="V15:V40" si="45">U15/F15</f>
        <v>9.2310818137335382E-2</v>
      </c>
      <c r="W15" s="239">
        <v>109808.72364528633</v>
      </c>
      <c r="X15" s="101">
        <f t="shared" ref="X15:X40" si="46">W15/F15</f>
        <v>1.434709926728291E-2</v>
      </c>
      <c r="Y15" s="239">
        <v>800261.7988564237</v>
      </c>
      <c r="Z15" s="101">
        <f t="shared" ref="Z15:Z40" si="47">Y15/F15</f>
        <v>0.10455850033459846</v>
      </c>
      <c r="AA15" s="239">
        <v>1113960.0091634786</v>
      </c>
      <c r="AB15" s="101">
        <f t="shared" ref="AB15:AB45" si="48">AA15/$F15</f>
        <v>0.14554485564260411</v>
      </c>
      <c r="AC15" s="232">
        <f t="shared" ref="AC15:AC40" si="49">SUM(Y15+AA15)</f>
        <v>1914221.8080199023</v>
      </c>
      <c r="AD15" s="101">
        <f t="shared" ref="AD15:AD40" si="50">AC15/F15</f>
        <v>0.25010335597720257</v>
      </c>
      <c r="AE15" s="239">
        <v>1074777.2571378511</v>
      </c>
      <c r="AF15" s="101">
        <f t="shared" ref="AF15:AF40" si="51">AE15/F15</f>
        <v>0.14042541873253728</v>
      </c>
      <c r="AG15" s="239">
        <v>936019.21375343122</v>
      </c>
      <c r="AH15" s="101">
        <f t="shared" ref="AH15:AH40" si="52">AG15/F15</f>
        <v>0.12229593542298714</v>
      </c>
      <c r="AI15" s="239">
        <v>574702.83658893348</v>
      </c>
      <c r="AJ15" s="101">
        <f t="shared" ref="AJ15:AJ40" si="53">AI15/F15</f>
        <v>7.5088010970469354E-2</v>
      </c>
      <c r="AK15" s="239">
        <v>604302.11382443411</v>
      </c>
      <c r="AL15" s="101">
        <f t="shared" ref="AL15:AL40" si="54">AK15/F15</f>
        <v>7.8955315449021901E-2</v>
      </c>
    </row>
    <row r="16" spans="1:38" ht="14.25">
      <c r="B16" s="98"/>
      <c r="C16" s="543"/>
      <c r="D16" s="344">
        <v>45939</v>
      </c>
      <c r="E16" s="344" t="s">
        <v>619</v>
      </c>
      <c r="F16" s="233">
        <f t="shared" si="18"/>
        <v>6660783</v>
      </c>
      <c r="G16" s="342"/>
      <c r="H16" s="384"/>
      <c r="I16" s="239">
        <v>484569.00542184617</v>
      </c>
      <c r="J16" s="101">
        <f t="shared" si="37"/>
        <v>7.2749555933866367E-2</v>
      </c>
      <c r="K16" s="239">
        <v>664217.77843093744</v>
      </c>
      <c r="L16" s="101">
        <f t="shared" si="38"/>
        <v>9.9720675246579488E-2</v>
      </c>
      <c r="M16" s="232">
        <f t="shared" si="39"/>
        <v>1148786.7838527835</v>
      </c>
      <c r="N16" s="101">
        <f t="shared" si="40"/>
        <v>0.17247023118044583</v>
      </c>
      <c r="O16" s="239">
        <v>149225.09899239024</v>
      </c>
      <c r="P16" s="101">
        <f t="shared" si="41"/>
        <v>2.2403537090517772E-2</v>
      </c>
      <c r="Q16" s="239">
        <v>87616.273965407672</v>
      </c>
      <c r="R16" s="101">
        <f t="shared" si="42"/>
        <v>1.3154050201816763E-2</v>
      </c>
      <c r="S16" s="232">
        <f t="shared" si="43"/>
        <v>236841.3729577979</v>
      </c>
      <c r="T16" s="101">
        <f t="shared" si="44"/>
        <v>3.5557587292334533E-2</v>
      </c>
      <c r="U16" s="239">
        <v>568656.79069983331</v>
      </c>
      <c r="V16" s="101">
        <f t="shared" si="45"/>
        <v>8.5373865309804162E-2</v>
      </c>
      <c r="W16" s="239">
        <v>105430.09124215113</v>
      </c>
      <c r="X16" s="101">
        <f t="shared" si="46"/>
        <v>1.5828483114095016E-2</v>
      </c>
      <c r="Y16" s="239">
        <v>638339.98705922836</v>
      </c>
      <c r="Z16" s="101">
        <f t="shared" si="47"/>
        <v>9.5835577748025771E-2</v>
      </c>
      <c r="AA16" s="239">
        <v>1034336.0265872894</v>
      </c>
      <c r="AB16" s="101">
        <f t="shared" si="48"/>
        <v>0.15528745292967649</v>
      </c>
      <c r="AC16" s="232">
        <f t="shared" si="49"/>
        <v>1672676.0136465179</v>
      </c>
      <c r="AD16" s="101">
        <f t="shared" si="50"/>
        <v>0.25112303067770231</v>
      </c>
      <c r="AE16" s="239">
        <v>1023887.5668528707</v>
      </c>
      <c r="AF16" s="101">
        <f t="shared" si="51"/>
        <v>0.15371879955447743</v>
      </c>
      <c r="AG16" s="239">
        <v>951204.75409576413</v>
      </c>
      <c r="AH16" s="101">
        <f t="shared" si="52"/>
        <v>0.14280674720911402</v>
      </c>
      <c r="AI16" s="239">
        <v>463915.3699151951</v>
      </c>
      <c r="AJ16" s="101">
        <f t="shared" si="53"/>
        <v>6.9648774012784243E-2</v>
      </c>
      <c r="AK16" s="239">
        <v>489384.25673708686</v>
      </c>
      <c r="AL16" s="101">
        <f t="shared" si="54"/>
        <v>7.3472481649242569E-2</v>
      </c>
    </row>
    <row r="17" spans="2:38" ht="14.25">
      <c r="B17" s="98"/>
      <c r="C17" s="543"/>
      <c r="D17" s="344">
        <v>45940</v>
      </c>
      <c r="E17" s="344" t="s">
        <v>620</v>
      </c>
      <c r="F17" s="233">
        <f t="shared" si="18"/>
        <v>6259505.9999999991</v>
      </c>
      <c r="G17" s="342"/>
      <c r="H17" s="384"/>
      <c r="I17" s="239">
        <v>459690.25179385638</v>
      </c>
      <c r="J17" s="101">
        <f t="shared" si="37"/>
        <v>7.3438742896620987E-2</v>
      </c>
      <c r="K17" s="239">
        <v>643561.48352554336</v>
      </c>
      <c r="L17" s="101">
        <f t="shared" si="38"/>
        <v>0.10281346220061829</v>
      </c>
      <c r="M17" s="232">
        <f t="shared" si="39"/>
        <v>1103251.7353193997</v>
      </c>
      <c r="N17" s="101">
        <f t="shared" si="40"/>
        <v>0.1762522050972393</v>
      </c>
      <c r="O17" s="239">
        <v>152296.56549607293</v>
      </c>
      <c r="P17" s="101">
        <f t="shared" si="41"/>
        <v>2.4330444845978731E-2</v>
      </c>
      <c r="Q17" s="239">
        <v>86586.329561008955</v>
      </c>
      <c r="R17" s="101">
        <f t="shared" si="42"/>
        <v>1.3832773634374497E-2</v>
      </c>
      <c r="S17" s="232">
        <f t="shared" si="43"/>
        <v>238882.89505708189</v>
      </c>
      <c r="T17" s="101">
        <f t="shared" si="44"/>
        <v>3.8163218480353228E-2</v>
      </c>
      <c r="U17" s="239">
        <v>548937.14114452375</v>
      </c>
      <c r="V17" s="101">
        <f t="shared" si="45"/>
        <v>8.7696559623798395E-2</v>
      </c>
      <c r="W17" s="239">
        <v>88411.308810844013</v>
      </c>
      <c r="X17" s="101">
        <f t="shared" si="46"/>
        <v>1.4124326873533474E-2</v>
      </c>
      <c r="Y17" s="239">
        <v>574059.67226356105</v>
      </c>
      <c r="Z17" s="101">
        <f t="shared" si="47"/>
        <v>9.1710060228963941E-2</v>
      </c>
      <c r="AA17" s="239">
        <v>1082605.0094348572</v>
      </c>
      <c r="AB17" s="101">
        <f t="shared" si="48"/>
        <v>0.17295374578039502</v>
      </c>
      <c r="AC17" s="232">
        <f t="shared" si="49"/>
        <v>1656664.6816984182</v>
      </c>
      <c r="AD17" s="101">
        <f t="shared" si="50"/>
        <v>0.26466380600935896</v>
      </c>
      <c r="AE17" s="239">
        <v>874646.64662775677</v>
      </c>
      <c r="AF17" s="101">
        <f t="shared" si="51"/>
        <v>0.13973093829253569</v>
      </c>
      <c r="AG17" s="239">
        <v>785389.15834670549</v>
      </c>
      <c r="AH17" s="101">
        <f t="shared" si="52"/>
        <v>0.12547142831186767</v>
      </c>
      <c r="AI17" s="239">
        <v>478999.15101099364</v>
      </c>
      <c r="AJ17" s="101">
        <f t="shared" si="53"/>
        <v>7.6523475017196835E-2</v>
      </c>
      <c r="AK17" s="239">
        <v>484323.28198427637</v>
      </c>
      <c r="AL17" s="101">
        <f t="shared" si="54"/>
        <v>7.7374042294116568E-2</v>
      </c>
    </row>
    <row r="18" spans="2:38" ht="14.25">
      <c r="B18" s="98"/>
      <c r="C18" s="543"/>
      <c r="D18" s="344">
        <v>45941</v>
      </c>
      <c r="E18" s="344" t="s">
        <v>621</v>
      </c>
      <c r="F18" s="233">
        <f t="shared" si="18"/>
        <v>6689233.0000000019</v>
      </c>
      <c r="G18" s="342"/>
      <c r="H18" s="384"/>
      <c r="I18" s="239">
        <v>459099.80521071953</v>
      </c>
      <c r="J18" s="101">
        <f t="shared" si="37"/>
        <v>6.8632652683905518E-2</v>
      </c>
      <c r="K18" s="239">
        <v>718664.47324868233</v>
      </c>
      <c r="L18" s="101">
        <f t="shared" si="38"/>
        <v>0.10743600548055093</v>
      </c>
      <c r="M18" s="232">
        <f t="shared" si="39"/>
        <v>1177764.2784594018</v>
      </c>
      <c r="N18" s="101">
        <f t="shared" si="40"/>
        <v>0.17606865816445644</v>
      </c>
      <c r="O18" s="239">
        <v>148663.67079238032</v>
      </c>
      <c r="P18" s="101">
        <f t="shared" si="41"/>
        <v>2.2224322398753382E-2</v>
      </c>
      <c r="Q18" s="239">
        <v>87933.646663735606</v>
      </c>
      <c r="R18" s="101">
        <f t="shared" si="42"/>
        <v>1.3145549970188746E-2</v>
      </c>
      <c r="S18" s="232">
        <f t="shared" si="43"/>
        <v>236597.31745611591</v>
      </c>
      <c r="T18" s="101">
        <f t="shared" si="44"/>
        <v>3.5369872368942123E-2</v>
      </c>
      <c r="U18" s="239">
        <v>596022.61437514296</v>
      </c>
      <c r="V18" s="101">
        <f t="shared" si="45"/>
        <v>8.910178706215538E-2</v>
      </c>
      <c r="W18" s="239">
        <v>78423.415496709422</v>
      </c>
      <c r="X18" s="101">
        <f t="shared" si="46"/>
        <v>1.1723827753751349E-2</v>
      </c>
      <c r="Y18" s="239">
        <v>635136.61282359762</v>
      </c>
      <c r="Z18" s="101">
        <f t="shared" si="47"/>
        <v>9.4949093987845457E-2</v>
      </c>
      <c r="AA18" s="239">
        <v>1126727.1139287632</v>
      </c>
      <c r="AB18" s="101">
        <f t="shared" si="48"/>
        <v>0.16843890980158158</v>
      </c>
      <c r="AC18" s="232">
        <f t="shared" si="49"/>
        <v>1761863.7267523608</v>
      </c>
      <c r="AD18" s="101">
        <f t="shared" si="50"/>
        <v>0.26338800378942701</v>
      </c>
      <c r="AE18" s="239">
        <v>938903.22352666932</v>
      </c>
      <c r="AF18" s="101">
        <f t="shared" si="51"/>
        <v>0.14036037069222571</v>
      </c>
      <c r="AG18" s="239">
        <v>913877.57171192812</v>
      </c>
      <c r="AH18" s="101">
        <f t="shared" si="52"/>
        <v>0.13661918664096884</v>
      </c>
      <c r="AI18" s="239">
        <v>491309.23566323402</v>
      </c>
      <c r="AJ18" s="101">
        <f t="shared" si="53"/>
        <v>7.344776832608968E-2</v>
      </c>
      <c r="AK18" s="239">
        <v>494471.61655843887</v>
      </c>
      <c r="AL18" s="101">
        <f t="shared" si="54"/>
        <v>7.3920525201983361E-2</v>
      </c>
    </row>
    <row r="19" spans="2:38" ht="14.25">
      <c r="B19" s="98"/>
      <c r="C19" s="543"/>
      <c r="D19" s="344">
        <v>45942</v>
      </c>
      <c r="E19" s="344" t="s">
        <v>622</v>
      </c>
      <c r="F19" s="233">
        <f t="shared" si="18"/>
        <v>7867102.9999999991</v>
      </c>
      <c r="G19" s="342"/>
      <c r="H19" s="384"/>
      <c r="I19" s="239">
        <v>650748.35640797031</v>
      </c>
      <c r="J19" s="101">
        <f t="shared" si="37"/>
        <v>8.2717660669749768E-2</v>
      </c>
      <c r="K19" s="239">
        <v>797070.61647259153</v>
      </c>
      <c r="L19" s="101">
        <f t="shared" si="38"/>
        <v>0.10131691633789358</v>
      </c>
      <c r="M19" s="232">
        <f t="shared" si="39"/>
        <v>1447818.9728805618</v>
      </c>
      <c r="N19" s="101">
        <f t="shared" si="40"/>
        <v>0.18403457700764334</v>
      </c>
      <c r="O19" s="239">
        <v>176493.15400267908</v>
      </c>
      <c r="P19" s="101">
        <f t="shared" si="41"/>
        <v>2.2434326079457598E-2</v>
      </c>
      <c r="Q19" s="239">
        <v>108102.56571701591</v>
      </c>
      <c r="R19" s="101">
        <f t="shared" si="42"/>
        <v>1.3741089409534351E-2</v>
      </c>
      <c r="S19" s="232">
        <f t="shared" si="43"/>
        <v>284595.71971969499</v>
      </c>
      <c r="T19" s="101">
        <f t="shared" si="44"/>
        <v>3.6175415488991947E-2</v>
      </c>
      <c r="U19" s="239">
        <v>675682.08199229033</v>
      </c>
      <c r="V19" s="101">
        <f t="shared" si="45"/>
        <v>8.5887026265232633E-2</v>
      </c>
      <c r="W19" s="239">
        <v>84483.31407316422</v>
      </c>
      <c r="X19" s="101">
        <f t="shared" si="46"/>
        <v>1.0738808691479472E-2</v>
      </c>
      <c r="Y19" s="239">
        <v>693099.78502106143</v>
      </c>
      <c r="Z19" s="101">
        <f t="shared" si="47"/>
        <v>8.8101018255520677E-2</v>
      </c>
      <c r="AA19" s="239">
        <v>1229939.951110465</v>
      </c>
      <c r="AB19" s="101">
        <f t="shared" si="48"/>
        <v>0.15633962732030648</v>
      </c>
      <c r="AC19" s="232">
        <f t="shared" si="49"/>
        <v>1923039.7361315265</v>
      </c>
      <c r="AD19" s="101">
        <f t="shared" si="50"/>
        <v>0.24444064557582718</v>
      </c>
      <c r="AE19" s="239">
        <v>1103944.2049366464</v>
      </c>
      <c r="AF19" s="101">
        <f t="shared" si="51"/>
        <v>0.1403241072268466</v>
      </c>
      <c r="AG19" s="239">
        <v>1225854.4020196171</v>
      </c>
      <c r="AH19" s="101">
        <f t="shared" si="52"/>
        <v>0.1558203066642978</v>
      </c>
      <c r="AI19" s="239">
        <v>560765.99720523716</v>
      </c>
      <c r="AJ19" s="101">
        <f t="shared" si="53"/>
        <v>7.1279859588114863E-2</v>
      </c>
      <c r="AK19" s="239">
        <v>560918.57104126213</v>
      </c>
      <c r="AL19" s="101">
        <f t="shared" si="54"/>
        <v>7.1299253491566364E-2</v>
      </c>
    </row>
    <row r="20" spans="2:38" ht="14.25">
      <c r="B20" s="98"/>
      <c r="C20" s="543"/>
      <c r="D20" s="344">
        <v>45943</v>
      </c>
      <c r="E20" s="344" t="s">
        <v>616</v>
      </c>
      <c r="F20" s="233">
        <f t="shared" si="18"/>
        <v>7715496</v>
      </c>
      <c r="G20" s="342"/>
      <c r="H20" s="384"/>
      <c r="I20" s="239">
        <v>625357.90237461007</v>
      </c>
      <c r="J20" s="101">
        <f t="shared" si="37"/>
        <v>8.1052197081640645E-2</v>
      </c>
      <c r="K20" s="239">
        <v>785028.37943290384</v>
      </c>
      <c r="L20" s="101">
        <f t="shared" si="38"/>
        <v>0.10174697510476369</v>
      </c>
      <c r="M20" s="232">
        <f t="shared" si="39"/>
        <v>1410386.2818075139</v>
      </c>
      <c r="N20" s="101">
        <f t="shared" si="40"/>
        <v>0.18279917218640435</v>
      </c>
      <c r="O20" s="239">
        <v>174380.86571470293</v>
      </c>
      <c r="P20" s="101">
        <f t="shared" si="41"/>
        <v>2.2601381131518043E-2</v>
      </c>
      <c r="Q20" s="239">
        <v>107038.22380493362</v>
      </c>
      <c r="R20" s="101">
        <f t="shared" si="42"/>
        <v>1.3873148765151794E-2</v>
      </c>
      <c r="S20" s="232">
        <f t="shared" si="43"/>
        <v>281419.08951963653</v>
      </c>
      <c r="T20" s="101">
        <f t="shared" si="44"/>
        <v>3.6474529896669834E-2</v>
      </c>
      <c r="U20" s="239">
        <v>689571.21341678093</v>
      </c>
      <c r="V20" s="101">
        <f t="shared" si="45"/>
        <v>8.9374839079273835E-2</v>
      </c>
      <c r="W20" s="239">
        <v>109837.78637873825</v>
      </c>
      <c r="X20" s="101">
        <f t="shared" si="46"/>
        <v>1.4235998097690447E-2</v>
      </c>
      <c r="Y20" s="239">
        <v>686916.53581589309</v>
      </c>
      <c r="Z20" s="101">
        <f t="shared" si="47"/>
        <v>8.9030768185984821E-2</v>
      </c>
      <c r="AA20" s="239">
        <v>1236684.9736559968</v>
      </c>
      <c r="AB20" s="101">
        <f t="shared" si="48"/>
        <v>0.16028586803181505</v>
      </c>
      <c r="AC20" s="232">
        <f t="shared" si="49"/>
        <v>1923601.5094718901</v>
      </c>
      <c r="AD20" s="101">
        <f t="shared" si="50"/>
        <v>0.24931663621779987</v>
      </c>
      <c r="AE20" s="239">
        <v>1071612.6814246729</v>
      </c>
      <c r="AF20" s="101">
        <f t="shared" si="51"/>
        <v>0.13889096455038963</v>
      </c>
      <c r="AG20" s="239">
        <v>1128178.2619107608</v>
      </c>
      <c r="AH20" s="101">
        <f t="shared" si="52"/>
        <v>0.14622238957945941</v>
      </c>
      <c r="AI20" s="239">
        <v>534610.09597492986</v>
      </c>
      <c r="AJ20" s="101">
        <f t="shared" si="53"/>
        <v>6.9290437837687929E-2</v>
      </c>
      <c r="AK20" s="239">
        <v>566279.08009507647</v>
      </c>
      <c r="AL20" s="101">
        <f t="shared" si="54"/>
        <v>7.3395032554624678E-2</v>
      </c>
    </row>
    <row r="21" spans="2:38" ht="14.25">
      <c r="B21" s="98"/>
      <c r="C21" s="543"/>
      <c r="D21" s="86">
        <v>45944</v>
      </c>
      <c r="E21" s="86" t="s">
        <v>617</v>
      </c>
      <c r="F21" s="233">
        <f t="shared" si="18"/>
        <v>7917911</v>
      </c>
      <c r="G21" s="342">
        <f>SUM(F21:F27)</f>
        <v>51190043</v>
      </c>
      <c r="H21" s="384"/>
      <c r="I21" s="239">
        <v>731403.67461211537</v>
      </c>
      <c r="J21" s="101">
        <f t="shared" si="37"/>
        <v>9.237331344241119E-2</v>
      </c>
      <c r="K21" s="239">
        <v>793387.43047098594</v>
      </c>
      <c r="L21" s="101">
        <f t="shared" si="38"/>
        <v>0.10020161005484729</v>
      </c>
      <c r="M21" s="232">
        <f t="shared" si="39"/>
        <v>1524791.1050831014</v>
      </c>
      <c r="N21" s="101">
        <f t="shared" si="40"/>
        <v>0.19257492349725849</v>
      </c>
      <c r="O21" s="239">
        <v>282610.3810895296</v>
      </c>
      <c r="P21" s="101">
        <f t="shared" si="41"/>
        <v>3.5692543284400344E-2</v>
      </c>
      <c r="Q21" s="239">
        <v>113047.66413947573</v>
      </c>
      <c r="R21" s="101">
        <f t="shared" si="42"/>
        <v>1.4277460827669789E-2</v>
      </c>
      <c r="S21" s="232">
        <f t="shared" si="43"/>
        <v>395658.04522900534</v>
      </c>
      <c r="T21" s="101">
        <f t="shared" si="44"/>
        <v>4.9970004112070129E-2</v>
      </c>
      <c r="U21" s="239">
        <v>690707.69606292399</v>
      </c>
      <c r="V21" s="101">
        <f t="shared" si="45"/>
        <v>8.7233576641985999E-2</v>
      </c>
      <c r="W21" s="239">
        <v>104493.82409554739</v>
      </c>
      <c r="X21" s="101">
        <f t="shared" si="46"/>
        <v>1.3197145572304031E-2</v>
      </c>
      <c r="Y21" s="239">
        <v>684585.17273141339</v>
      </c>
      <c r="Z21" s="101">
        <f t="shared" si="47"/>
        <v>8.6460326812389451E-2</v>
      </c>
      <c r="AA21" s="239">
        <v>1221913.4295405997</v>
      </c>
      <c r="AB21" s="101">
        <f t="shared" si="48"/>
        <v>0.15432270324086741</v>
      </c>
      <c r="AC21" s="232">
        <f t="shared" si="49"/>
        <v>1906498.6022720132</v>
      </c>
      <c r="AD21" s="101">
        <f t="shared" si="50"/>
        <v>0.24078303005325688</v>
      </c>
      <c r="AE21" s="239">
        <v>1053622.0060696609</v>
      </c>
      <c r="AF21" s="101">
        <f t="shared" si="51"/>
        <v>0.13306817998707751</v>
      </c>
      <c r="AG21" s="239">
        <v>1126192.377045528</v>
      </c>
      <c r="AH21" s="101">
        <f t="shared" si="52"/>
        <v>0.14223352309031106</v>
      </c>
      <c r="AI21" s="239">
        <v>531238.28564088349</v>
      </c>
      <c r="AJ21" s="101">
        <f t="shared" si="53"/>
        <v>6.7093237804881051E-2</v>
      </c>
      <c r="AK21" s="239">
        <v>584709.05850133556</v>
      </c>
      <c r="AL21" s="101">
        <f t="shared" si="54"/>
        <v>7.3846379240854756E-2</v>
      </c>
    </row>
    <row r="22" spans="2:38" ht="14.25">
      <c r="B22" s="98"/>
      <c r="C22" s="543"/>
      <c r="D22" s="86">
        <v>45945</v>
      </c>
      <c r="E22" s="86" t="s">
        <v>618</v>
      </c>
      <c r="F22" s="233">
        <f t="shared" si="18"/>
        <v>7086135</v>
      </c>
      <c r="G22" s="342"/>
      <c r="H22" s="384"/>
      <c r="I22" s="239">
        <v>632843.4048544243</v>
      </c>
      <c r="J22" s="101">
        <f t="shared" si="37"/>
        <v>8.9307274678569387E-2</v>
      </c>
      <c r="K22" s="239">
        <v>719237.54820512247</v>
      </c>
      <c r="L22" s="101">
        <f t="shared" si="38"/>
        <v>0.10149927262253999</v>
      </c>
      <c r="M22" s="232">
        <f t="shared" si="39"/>
        <v>1352080.9530595466</v>
      </c>
      <c r="N22" s="101">
        <f t="shared" si="40"/>
        <v>0.19080654730110938</v>
      </c>
      <c r="O22" s="239">
        <v>210497.60146453013</v>
      </c>
      <c r="P22" s="101">
        <f t="shared" si="41"/>
        <v>2.9705559019766084E-2</v>
      </c>
      <c r="Q22" s="239">
        <v>101601.39376911876</v>
      </c>
      <c r="R22" s="101">
        <f t="shared" si="42"/>
        <v>1.4338055056687286E-2</v>
      </c>
      <c r="S22" s="232">
        <f t="shared" si="43"/>
        <v>312098.99523364892</v>
      </c>
      <c r="T22" s="101">
        <f t="shared" si="44"/>
        <v>4.4043614076453373E-2</v>
      </c>
      <c r="U22" s="239">
        <v>615205.05219363293</v>
      </c>
      <c r="V22" s="101">
        <f t="shared" si="45"/>
        <v>8.6818138829366495E-2</v>
      </c>
      <c r="W22" s="239">
        <v>93079.843207298632</v>
      </c>
      <c r="X22" s="101">
        <f t="shared" si="46"/>
        <v>1.3135488274962109E-2</v>
      </c>
      <c r="Y22" s="239">
        <v>618856.47993689997</v>
      </c>
      <c r="Z22" s="101">
        <f t="shared" si="47"/>
        <v>8.7333430697679335E-2</v>
      </c>
      <c r="AA22" s="239">
        <v>1037238.2898230823</v>
      </c>
      <c r="AB22" s="101">
        <f t="shared" si="48"/>
        <v>0.14637574500388184</v>
      </c>
      <c r="AC22" s="232">
        <f t="shared" si="49"/>
        <v>1656094.7697599824</v>
      </c>
      <c r="AD22" s="101">
        <f t="shared" si="50"/>
        <v>0.23370917570156119</v>
      </c>
      <c r="AE22" s="239">
        <v>1015782.6198222078</v>
      </c>
      <c r="AF22" s="101">
        <f t="shared" si="51"/>
        <v>0.14334790683810114</v>
      </c>
      <c r="AG22" s="239">
        <v>1022042.0928811646</v>
      </c>
      <c r="AH22" s="101">
        <f t="shared" si="52"/>
        <v>0.14423124776498961</v>
      </c>
      <c r="AI22" s="239">
        <v>487617.24230764428</v>
      </c>
      <c r="AJ22" s="101">
        <f t="shared" si="53"/>
        <v>6.8812863755438505E-2</v>
      </c>
      <c r="AK22" s="239">
        <v>532133.43153487379</v>
      </c>
      <c r="AL22" s="101">
        <f t="shared" si="54"/>
        <v>7.5095017458018193E-2</v>
      </c>
    </row>
    <row r="23" spans="2:38" ht="14.25">
      <c r="B23" s="98"/>
      <c r="C23" s="543"/>
      <c r="D23" s="86">
        <v>45946</v>
      </c>
      <c r="E23" s="86" t="s">
        <v>619</v>
      </c>
      <c r="F23" s="233">
        <f t="shared" si="18"/>
        <v>7387104.0000000009</v>
      </c>
      <c r="G23" s="342"/>
      <c r="H23" s="384"/>
      <c r="I23" s="239">
        <v>669044.96151647193</v>
      </c>
      <c r="J23" s="101">
        <f t="shared" si="37"/>
        <v>9.0569316678968087E-2</v>
      </c>
      <c r="K23" s="239">
        <v>742044.78902125091</v>
      </c>
      <c r="L23" s="101">
        <f t="shared" si="38"/>
        <v>0.10045137973165814</v>
      </c>
      <c r="M23" s="232">
        <f t="shared" si="39"/>
        <v>1411089.7505377228</v>
      </c>
      <c r="N23" s="101">
        <f t="shared" si="40"/>
        <v>0.19102069641062622</v>
      </c>
      <c r="O23" s="239">
        <v>222344.27422282912</v>
      </c>
      <c r="P23" s="101">
        <f t="shared" si="41"/>
        <v>3.0098977112387897E-2</v>
      </c>
      <c r="Q23" s="239">
        <v>112041.80611661298</v>
      </c>
      <c r="R23" s="101">
        <f t="shared" si="42"/>
        <v>1.5167216559644071E-2</v>
      </c>
      <c r="S23" s="232">
        <f t="shared" si="43"/>
        <v>334386.08033944212</v>
      </c>
      <c r="T23" s="101">
        <f t="shared" si="44"/>
        <v>4.5266193672031975E-2</v>
      </c>
      <c r="U23" s="239">
        <v>649335.19941695384</v>
      </c>
      <c r="V23" s="101">
        <f t="shared" si="45"/>
        <v>8.7901185554847175E-2</v>
      </c>
      <c r="W23" s="239">
        <v>84600.614081258071</v>
      </c>
      <c r="X23" s="101">
        <f t="shared" si="46"/>
        <v>1.1452473673209158E-2</v>
      </c>
      <c r="Y23" s="239">
        <v>649647.60430140188</v>
      </c>
      <c r="Z23" s="101">
        <f t="shared" si="47"/>
        <v>8.7943476131025336E-2</v>
      </c>
      <c r="AA23" s="239">
        <v>1035941.8842028279</v>
      </c>
      <c r="AB23" s="101">
        <f t="shared" si="48"/>
        <v>0.14023653710612816</v>
      </c>
      <c r="AC23" s="232">
        <f t="shared" si="49"/>
        <v>1685589.4885042298</v>
      </c>
      <c r="AD23" s="101">
        <f t="shared" si="50"/>
        <v>0.22818001323715351</v>
      </c>
      <c r="AE23" s="239">
        <v>1031893.8100541958</v>
      </c>
      <c r="AF23" s="101">
        <f t="shared" si="51"/>
        <v>0.13968854507181647</v>
      </c>
      <c r="AG23" s="239">
        <v>1114338.7069895105</v>
      </c>
      <c r="AH23" s="101">
        <f t="shared" si="52"/>
        <v>0.15084919705875405</v>
      </c>
      <c r="AI23" s="239">
        <v>525246.02359916153</v>
      </c>
      <c r="AJ23" s="101">
        <f t="shared" si="53"/>
        <v>7.1103103949688731E-2</v>
      </c>
      <c r="AK23" s="239">
        <v>550624.32647752587</v>
      </c>
      <c r="AL23" s="101">
        <f t="shared" si="54"/>
        <v>7.4538591371872631E-2</v>
      </c>
    </row>
    <row r="24" spans="2:38" ht="14.25">
      <c r="B24" s="98"/>
      <c r="C24" s="543"/>
      <c r="D24" s="86">
        <v>45947</v>
      </c>
      <c r="E24" s="86" t="s">
        <v>620</v>
      </c>
      <c r="F24" s="233">
        <f t="shared" si="18"/>
        <v>6524343.0000000009</v>
      </c>
      <c r="G24" s="342"/>
      <c r="H24" s="384"/>
      <c r="I24" s="239">
        <v>602641.37871927419</v>
      </c>
      <c r="J24" s="101">
        <f t="shared" si="37"/>
        <v>9.2368132503038866E-2</v>
      </c>
      <c r="K24" s="239">
        <v>681311.59695859894</v>
      </c>
      <c r="L24" s="101">
        <f t="shared" si="38"/>
        <v>0.10442608504160478</v>
      </c>
      <c r="M24" s="232">
        <f t="shared" si="39"/>
        <v>1283952.975677873</v>
      </c>
      <c r="N24" s="101">
        <f t="shared" si="40"/>
        <v>0.19679421754464363</v>
      </c>
      <c r="O24" s="239">
        <v>219036.51585609509</v>
      </c>
      <c r="P24" s="101">
        <f t="shared" si="41"/>
        <v>3.3572195063333587E-2</v>
      </c>
      <c r="Q24" s="239">
        <v>98455.717437142826</v>
      </c>
      <c r="R24" s="101">
        <f t="shared" si="42"/>
        <v>1.5090518300025431E-2</v>
      </c>
      <c r="S24" s="232">
        <f t="shared" si="43"/>
        <v>317492.23329323792</v>
      </c>
      <c r="T24" s="101">
        <f t="shared" si="44"/>
        <v>4.866271336335902E-2</v>
      </c>
      <c r="U24" s="239">
        <v>526020.46377704514</v>
      </c>
      <c r="V24" s="101">
        <f t="shared" si="45"/>
        <v>8.062428106202342E-2</v>
      </c>
      <c r="W24" s="239">
        <v>44247.876631254992</v>
      </c>
      <c r="X24" s="101">
        <f t="shared" si="46"/>
        <v>6.7819666487882362E-3</v>
      </c>
      <c r="Y24" s="239">
        <v>585085.69062288315</v>
      </c>
      <c r="Z24" s="101">
        <f t="shared" si="47"/>
        <v>8.9677334656207239E-2</v>
      </c>
      <c r="AA24" s="239">
        <v>1025306.2131256424</v>
      </c>
      <c r="AB24" s="101">
        <f t="shared" si="48"/>
        <v>0.15715087528746455</v>
      </c>
      <c r="AC24" s="232">
        <f t="shared" si="49"/>
        <v>1610391.9037485255</v>
      </c>
      <c r="AD24" s="101">
        <f t="shared" si="50"/>
        <v>0.24682820994367177</v>
      </c>
      <c r="AE24" s="239">
        <v>841031.26476566843</v>
      </c>
      <c r="AF24" s="101">
        <f t="shared" si="51"/>
        <v>0.12890665999100112</v>
      </c>
      <c r="AG24" s="239">
        <v>934989.01486586314</v>
      </c>
      <c r="AH24" s="101">
        <f t="shared" si="52"/>
        <v>0.14330776522109015</v>
      </c>
      <c r="AI24" s="239">
        <v>498333.6843311516</v>
      </c>
      <c r="AJ24" s="101">
        <f t="shared" si="53"/>
        <v>7.6380669184797842E-2</v>
      </c>
      <c r="AK24" s="239">
        <v>467883.58290938073</v>
      </c>
      <c r="AL24" s="101">
        <f t="shared" si="54"/>
        <v>7.171351704062473E-2</v>
      </c>
    </row>
    <row r="25" spans="2:38" ht="14.25">
      <c r="B25" s="98"/>
      <c r="C25" s="543"/>
      <c r="D25" s="86">
        <v>45948</v>
      </c>
      <c r="E25" s="86" t="s">
        <v>621</v>
      </c>
      <c r="F25" s="233">
        <f t="shared" si="18"/>
        <v>6552897.0000000009</v>
      </c>
      <c r="G25" s="342"/>
      <c r="H25" s="384"/>
      <c r="I25" s="239">
        <v>583543.65311807743</v>
      </c>
      <c r="J25" s="101">
        <f t="shared" si="37"/>
        <v>8.9051247580738319E-2</v>
      </c>
      <c r="K25" s="239">
        <v>741847.15078024764</v>
      </c>
      <c r="L25" s="101">
        <f t="shared" si="38"/>
        <v>0.11320903575628422</v>
      </c>
      <c r="M25" s="232">
        <f t="shared" si="39"/>
        <v>1325390.8038983252</v>
      </c>
      <c r="N25" s="101">
        <f t="shared" si="40"/>
        <v>0.20226028333702253</v>
      </c>
      <c r="O25" s="239">
        <v>207840.89477782286</v>
      </c>
      <c r="P25" s="101">
        <f t="shared" si="41"/>
        <v>3.1717406023293641E-2</v>
      </c>
      <c r="Q25" s="239">
        <v>91697.961333421074</v>
      </c>
      <c r="R25" s="101">
        <f t="shared" si="42"/>
        <v>1.3993499567202271E-2</v>
      </c>
      <c r="S25" s="232">
        <f t="shared" si="43"/>
        <v>299538.85611124395</v>
      </c>
      <c r="T25" s="101">
        <f t="shared" si="44"/>
        <v>4.5710905590495912E-2</v>
      </c>
      <c r="U25" s="239">
        <v>550069.81043377612</v>
      </c>
      <c r="V25" s="101">
        <f t="shared" si="45"/>
        <v>8.394299657598403E-2</v>
      </c>
      <c r="W25" s="239">
        <v>47135.989059545835</v>
      </c>
      <c r="X25" s="101">
        <f t="shared" si="46"/>
        <v>7.1931527474864672E-3</v>
      </c>
      <c r="Y25" s="239">
        <v>585332.47454690014</v>
      </c>
      <c r="Z25" s="101">
        <f t="shared" si="47"/>
        <v>8.9324229351827142E-2</v>
      </c>
      <c r="AA25" s="239">
        <v>1061582.3645139888</v>
      </c>
      <c r="AB25" s="101">
        <f t="shared" si="48"/>
        <v>0.16200199156403475</v>
      </c>
      <c r="AC25" s="232">
        <f t="shared" si="49"/>
        <v>1646914.8390608891</v>
      </c>
      <c r="AD25" s="101">
        <f t="shared" si="50"/>
        <v>0.25132622091586193</v>
      </c>
      <c r="AE25" s="239">
        <v>819201.84423909441</v>
      </c>
      <c r="AF25" s="101">
        <f t="shared" si="51"/>
        <v>0.12501369153812342</v>
      </c>
      <c r="AG25" s="239">
        <v>898892.54009287688</v>
      </c>
      <c r="AH25" s="101">
        <f t="shared" si="52"/>
        <v>0.13717483123767651</v>
      </c>
      <c r="AI25" s="239">
        <v>501653.19030876161</v>
      </c>
      <c r="AJ25" s="101">
        <f t="shared" si="53"/>
        <v>7.6554414071938193E-2</v>
      </c>
      <c r="AK25" s="239">
        <v>464099.12679548759</v>
      </c>
      <c r="AL25" s="101">
        <f t="shared" si="54"/>
        <v>7.0823503985410957E-2</v>
      </c>
    </row>
    <row r="26" spans="2:38" ht="14.25">
      <c r="B26" s="98"/>
      <c r="C26" s="543"/>
      <c r="D26" s="86">
        <v>45949</v>
      </c>
      <c r="E26" s="86" t="s">
        <v>622</v>
      </c>
      <c r="F26" s="233">
        <f t="shared" si="18"/>
        <v>7868085.9999999991</v>
      </c>
      <c r="G26" s="342"/>
      <c r="H26" s="384"/>
      <c r="I26" s="239">
        <v>757932.6053623599</v>
      </c>
      <c r="J26" s="101">
        <f t="shared" si="37"/>
        <v>9.6329984873368191E-2</v>
      </c>
      <c r="K26" s="239">
        <v>821480.53716358182</v>
      </c>
      <c r="L26" s="101">
        <f t="shared" si="38"/>
        <v>0.10440665457438847</v>
      </c>
      <c r="M26" s="232">
        <f t="shared" si="39"/>
        <v>1579413.1425259416</v>
      </c>
      <c r="N26" s="101">
        <f t="shared" si="40"/>
        <v>0.20073663944775663</v>
      </c>
      <c r="O26" s="239">
        <v>257113.59145333956</v>
      </c>
      <c r="P26" s="101">
        <f t="shared" si="41"/>
        <v>3.2678035223984533E-2</v>
      </c>
      <c r="Q26" s="239">
        <v>110706.67991045344</v>
      </c>
      <c r="R26" s="101">
        <f t="shared" si="42"/>
        <v>1.4070344415459294E-2</v>
      </c>
      <c r="S26" s="232">
        <f t="shared" si="43"/>
        <v>367820.271363793</v>
      </c>
      <c r="T26" s="101">
        <f t="shared" si="44"/>
        <v>4.6748379639443831E-2</v>
      </c>
      <c r="U26" s="239">
        <v>670934.19246321218</v>
      </c>
      <c r="V26" s="101">
        <f t="shared" si="45"/>
        <v>8.5272859557357694E-2</v>
      </c>
      <c r="W26" s="239">
        <v>72956.479789534947</v>
      </c>
      <c r="X26" s="101">
        <f t="shared" si="46"/>
        <v>9.272455815751755E-3</v>
      </c>
      <c r="Y26" s="239">
        <v>638561.35125481593</v>
      </c>
      <c r="Z26" s="101">
        <f t="shared" si="47"/>
        <v>8.115841022261526E-2</v>
      </c>
      <c r="AA26" s="239">
        <v>1180184.00124464</v>
      </c>
      <c r="AB26" s="101">
        <f t="shared" si="48"/>
        <v>0.14999632709208316</v>
      </c>
      <c r="AC26" s="232">
        <f t="shared" si="49"/>
        <v>1818745.3524994559</v>
      </c>
      <c r="AD26" s="101">
        <f t="shared" si="50"/>
        <v>0.23115473731469841</v>
      </c>
      <c r="AE26" s="239">
        <v>1093940.0853173437</v>
      </c>
      <c r="AF26" s="101">
        <f t="shared" si="51"/>
        <v>0.1390350951066554</v>
      </c>
      <c r="AG26" s="239">
        <v>1134988.2865401502</v>
      </c>
      <c r="AH26" s="101">
        <f t="shared" si="52"/>
        <v>0.14425214550783383</v>
      </c>
      <c r="AI26" s="239">
        <v>572519.52679246687</v>
      </c>
      <c r="AJ26" s="101">
        <f t="shared" si="53"/>
        <v>7.2764777455720103E-2</v>
      </c>
      <c r="AK26" s="239">
        <v>556768.66270810121</v>
      </c>
      <c r="AL26" s="101">
        <f t="shared" si="54"/>
        <v>7.0762910154782407E-2</v>
      </c>
    </row>
    <row r="27" spans="2:38" ht="14.25">
      <c r="B27" s="98"/>
      <c r="C27" s="543"/>
      <c r="D27" s="86">
        <v>45950</v>
      </c>
      <c r="E27" s="86" t="s">
        <v>616</v>
      </c>
      <c r="F27" s="233">
        <f t="shared" si="18"/>
        <v>7853567.0000000009</v>
      </c>
      <c r="G27" s="342"/>
      <c r="H27" s="384"/>
      <c r="I27" s="239">
        <v>737936.33825554873</v>
      </c>
      <c r="J27" s="101">
        <f t="shared" si="37"/>
        <v>9.3961933253456503E-2</v>
      </c>
      <c r="K27" s="239">
        <v>811644.63572867413</v>
      </c>
      <c r="L27" s="101">
        <f t="shared" si="38"/>
        <v>0.10334726064330692</v>
      </c>
      <c r="M27" s="232">
        <f t="shared" si="39"/>
        <v>1549580.9739842229</v>
      </c>
      <c r="N27" s="101">
        <f t="shared" si="40"/>
        <v>0.19730919389676344</v>
      </c>
      <c r="O27" s="239">
        <v>236418.00465927206</v>
      </c>
      <c r="P27" s="101">
        <f t="shared" si="41"/>
        <v>3.0103264498701297E-2</v>
      </c>
      <c r="Q27" s="239">
        <v>110800.84780223311</v>
      </c>
      <c r="R27" s="101">
        <f t="shared" si="42"/>
        <v>1.410834692086196E-2</v>
      </c>
      <c r="S27" s="232">
        <f t="shared" si="43"/>
        <v>347218.85246150516</v>
      </c>
      <c r="T27" s="101">
        <f t="shared" si="44"/>
        <v>4.421161141956325E-2</v>
      </c>
      <c r="U27" s="239">
        <v>695789.05929902638</v>
      </c>
      <c r="V27" s="101">
        <f t="shared" si="45"/>
        <v>8.8595291706179663E-2</v>
      </c>
      <c r="W27" s="239">
        <v>94814.113254035474</v>
      </c>
      <c r="X27" s="101">
        <f t="shared" si="46"/>
        <v>1.2072745193876295E-2</v>
      </c>
      <c r="Y27" s="239">
        <v>664993.40266550006</v>
      </c>
      <c r="Z27" s="101">
        <f t="shared" si="47"/>
        <v>8.4674059910038332E-2</v>
      </c>
      <c r="AA27" s="239">
        <v>1217974.7159489549</v>
      </c>
      <c r="AB27" s="101">
        <f t="shared" si="48"/>
        <v>0.15508554468930549</v>
      </c>
      <c r="AC27" s="232">
        <f t="shared" si="49"/>
        <v>1882968.118614455</v>
      </c>
      <c r="AD27" s="101">
        <f t="shared" si="50"/>
        <v>0.23975960459934381</v>
      </c>
      <c r="AE27" s="239">
        <v>1129705.0835177558</v>
      </c>
      <c r="AF27" s="101">
        <f t="shared" si="51"/>
        <v>0.14384611266673547</v>
      </c>
      <c r="AG27" s="239">
        <v>1112279.663373604</v>
      </c>
      <c r="AH27" s="101">
        <f t="shared" si="52"/>
        <v>0.14162732212937176</v>
      </c>
      <c r="AI27" s="239">
        <v>475130.05007737596</v>
      </c>
      <c r="AJ27" s="101">
        <f t="shared" si="53"/>
        <v>6.049863075942128E-2</v>
      </c>
      <c r="AK27" s="239">
        <v>566081.08541801956</v>
      </c>
      <c r="AL27" s="101">
        <f t="shared" si="54"/>
        <v>7.2079487628744943E-2</v>
      </c>
    </row>
    <row r="28" spans="2:38" ht="14.25">
      <c r="B28" s="98"/>
      <c r="C28" s="543"/>
      <c r="D28" s="344">
        <v>45951</v>
      </c>
      <c r="E28" s="344" t="s">
        <v>617</v>
      </c>
      <c r="F28" s="233">
        <f t="shared" si="18"/>
        <v>7817095</v>
      </c>
      <c r="G28" s="342">
        <f>SUM(F28:F34)</f>
        <v>49497330</v>
      </c>
      <c r="H28" s="384"/>
      <c r="I28" s="239">
        <v>740365.85926584131</v>
      </c>
      <c r="J28" s="101">
        <f t="shared" si="37"/>
        <v>9.4711124690929474E-2</v>
      </c>
      <c r="K28" s="239">
        <v>797416.00955962692</v>
      </c>
      <c r="L28" s="101">
        <f t="shared" si="38"/>
        <v>0.10200925146229219</v>
      </c>
      <c r="M28" s="232">
        <f t="shared" si="39"/>
        <v>1537781.8688254682</v>
      </c>
      <c r="N28" s="101">
        <f t="shared" si="40"/>
        <v>0.19672037615322166</v>
      </c>
      <c r="O28" s="239">
        <v>232224.78882323235</v>
      </c>
      <c r="P28" s="101">
        <f t="shared" si="41"/>
        <v>2.9707300323615404E-2</v>
      </c>
      <c r="Q28" s="239">
        <v>112969.38152052571</v>
      </c>
      <c r="R28" s="101">
        <f t="shared" si="42"/>
        <v>1.4451580992750596E-2</v>
      </c>
      <c r="S28" s="232">
        <f t="shared" si="43"/>
        <v>345194.17034375807</v>
      </c>
      <c r="T28" s="101">
        <f t="shared" si="44"/>
        <v>4.4158881316366E-2</v>
      </c>
      <c r="U28" s="239">
        <v>676861.02339412691</v>
      </c>
      <c r="V28" s="101">
        <f t="shared" si="45"/>
        <v>8.6587283817598087E-2</v>
      </c>
      <c r="W28" s="239">
        <v>73972.826703569328</v>
      </c>
      <c r="X28" s="101">
        <f t="shared" si="46"/>
        <v>9.4629560858054459E-3</v>
      </c>
      <c r="Y28" s="239">
        <v>674348.43049320416</v>
      </c>
      <c r="Z28" s="101">
        <f t="shared" si="47"/>
        <v>8.626586097433947E-2</v>
      </c>
      <c r="AA28" s="239">
        <v>1193196.0466410359</v>
      </c>
      <c r="AB28" s="101">
        <f t="shared" si="48"/>
        <v>0.15263931762899594</v>
      </c>
      <c r="AC28" s="232">
        <f t="shared" si="49"/>
        <v>1867544.4771342401</v>
      </c>
      <c r="AD28" s="101">
        <f t="shared" si="50"/>
        <v>0.23890517860333541</v>
      </c>
      <c r="AE28" s="239">
        <v>1112459.9208584386</v>
      </c>
      <c r="AF28" s="101">
        <f t="shared" si="51"/>
        <v>0.14231116813323089</v>
      </c>
      <c r="AG28" s="239">
        <v>1159853.4983857095</v>
      </c>
      <c r="AH28" s="101">
        <f t="shared" si="52"/>
        <v>0.14837398015320391</v>
      </c>
      <c r="AI28" s="239">
        <v>469574.86459369177</v>
      </c>
      <c r="AJ28" s="101">
        <f t="shared" si="53"/>
        <v>6.0070251748724018E-2</v>
      </c>
      <c r="AK28" s="239">
        <v>573852.34976099676</v>
      </c>
      <c r="AL28" s="101">
        <f t="shared" si="54"/>
        <v>7.3409923988514494E-2</v>
      </c>
    </row>
    <row r="29" spans="2:38" ht="14.25">
      <c r="B29" s="98"/>
      <c r="C29" s="543"/>
      <c r="D29" s="344">
        <v>45952</v>
      </c>
      <c r="E29" s="344" t="s">
        <v>618</v>
      </c>
      <c r="F29" s="233">
        <f t="shared" si="18"/>
        <v>7419769.9999999981</v>
      </c>
      <c r="G29" s="342"/>
      <c r="H29" s="384"/>
      <c r="I29" s="239">
        <v>720292.77395759849</v>
      </c>
      <c r="J29" s="101">
        <f t="shared" si="37"/>
        <v>9.707750697900322E-2</v>
      </c>
      <c r="K29" s="239">
        <v>729184.09632968868</v>
      </c>
      <c r="L29" s="101">
        <f t="shared" si="38"/>
        <v>9.8275835548768883E-2</v>
      </c>
      <c r="M29" s="232">
        <f t="shared" si="39"/>
        <v>1449476.870287287</v>
      </c>
      <c r="N29" s="101">
        <f t="shared" si="40"/>
        <v>0.19535334252777209</v>
      </c>
      <c r="O29" s="239">
        <v>227354.94727399116</v>
      </c>
      <c r="P29" s="101">
        <f t="shared" si="41"/>
        <v>3.0641778286118197E-2</v>
      </c>
      <c r="Q29" s="239">
        <v>104596.18280504108</v>
      </c>
      <c r="R29" s="101">
        <f t="shared" si="42"/>
        <v>1.4096957561358521E-2</v>
      </c>
      <c r="S29" s="232">
        <f t="shared" si="43"/>
        <v>331951.13007903227</v>
      </c>
      <c r="T29" s="101">
        <f t="shared" si="44"/>
        <v>4.4738735847476722E-2</v>
      </c>
      <c r="U29" s="239">
        <v>663779.33217056131</v>
      </c>
      <c r="V29" s="101">
        <f t="shared" si="45"/>
        <v>8.9460904067182878E-2</v>
      </c>
      <c r="W29" s="239">
        <v>65687.861469531068</v>
      </c>
      <c r="X29" s="101">
        <f t="shared" si="46"/>
        <v>8.8530859406061226E-3</v>
      </c>
      <c r="Y29" s="239">
        <v>643190.45593645715</v>
      </c>
      <c r="Z29" s="101">
        <f t="shared" si="47"/>
        <v>8.6686036890153917E-2</v>
      </c>
      <c r="AA29" s="239">
        <v>1083424.765600261</v>
      </c>
      <c r="AB29" s="101">
        <f t="shared" si="48"/>
        <v>0.14601864553756536</v>
      </c>
      <c r="AC29" s="232">
        <f t="shared" si="49"/>
        <v>1726615.2215367183</v>
      </c>
      <c r="AD29" s="101">
        <f t="shared" si="50"/>
        <v>0.2327046824277193</v>
      </c>
      <c r="AE29" s="239">
        <v>1056260.8248386339</v>
      </c>
      <c r="AF29" s="101">
        <f t="shared" si="51"/>
        <v>0.14235762359731288</v>
      </c>
      <c r="AG29" s="239">
        <v>1134585.1322486799</v>
      </c>
      <c r="AH29" s="101">
        <f t="shared" si="52"/>
        <v>0.15291378738811043</v>
      </c>
      <c r="AI29" s="239">
        <v>440253.38183196582</v>
      </c>
      <c r="AJ29" s="101">
        <f t="shared" si="53"/>
        <v>5.9335179100156198E-2</v>
      </c>
      <c r="AK29" s="239">
        <v>551160.24553758907</v>
      </c>
      <c r="AL29" s="101">
        <f t="shared" si="54"/>
        <v>7.4282659103663481E-2</v>
      </c>
    </row>
    <row r="30" spans="2:38" ht="14.25">
      <c r="B30" s="98"/>
      <c r="C30" s="543"/>
      <c r="D30" s="344">
        <v>45953</v>
      </c>
      <c r="E30" s="344" t="s">
        <v>619</v>
      </c>
      <c r="F30" s="233">
        <f t="shared" si="18"/>
        <v>6310328.0000000009</v>
      </c>
      <c r="G30" s="342"/>
      <c r="H30" s="384"/>
      <c r="I30" s="239">
        <v>541723.26391376718</v>
      </c>
      <c r="J30" s="101">
        <f t="shared" si="37"/>
        <v>8.58470849556104E-2</v>
      </c>
      <c r="K30" s="239">
        <v>684592.21403157327</v>
      </c>
      <c r="L30" s="101">
        <f t="shared" si="38"/>
        <v>0.10848758004838625</v>
      </c>
      <c r="M30" s="232">
        <f t="shared" si="39"/>
        <v>1226315.4779453403</v>
      </c>
      <c r="N30" s="101">
        <f t="shared" si="40"/>
        <v>0.19433466500399665</v>
      </c>
      <c r="O30" s="239">
        <v>188651.67483762372</v>
      </c>
      <c r="P30" s="101">
        <f t="shared" si="41"/>
        <v>2.9895700324551067E-2</v>
      </c>
      <c r="Q30" s="239">
        <v>85952.424608837842</v>
      </c>
      <c r="R30" s="101">
        <f t="shared" si="42"/>
        <v>1.3620912353341669E-2</v>
      </c>
      <c r="S30" s="232">
        <f t="shared" si="43"/>
        <v>274604.09944646154</v>
      </c>
      <c r="T30" s="101">
        <f t="shared" si="44"/>
        <v>4.3516612677892731E-2</v>
      </c>
      <c r="U30" s="239">
        <v>561019.1534957526</v>
      </c>
      <c r="V30" s="101">
        <f t="shared" si="45"/>
        <v>8.8904911677452028E-2</v>
      </c>
      <c r="W30" s="239">
        <v>47092.363575429677</v>
      </c>
      <c r="X30" s="101">
        <f t="shared" si="46"/>
        <v>7.4627441830962937E-3</v>
      </c>
      <c r="Y30" s="239">
        <v>572770.0901254249</v>
      </c>
      <c r="Z30" s="101">
        <f t="shared" si="47"/>
        <v>9.0767086928829191E-2</v>
      </c>
      <c r="AA30" s="239">
        <v>947218.46839909931</v>
      </c>
      <c r="AB30" s="101">
        <f t="shared" si="48"/>
        <v>0.15010605920945777</v>
      </c>
      <c r="AC30" s="232">
        <f t="shared" si="49"/>
        <v>1519988.5585245243</v>
      </c>
      <c r="AD30" s="101">
        <f t="shared" si="50"/>
        <v>0.24087314613828698</v>
      </c>
      <c r="AE30" s="239">
        <v>915588.42811386217</v>
      </c>
      <c r="AF30" s="101">
        <f t="shared" si="51"/>
        <v>0.14509363508740941</v>
      </c>
      <c r="AG30" s="239">
        <v>887020.68440256978</v>
      </c>
      <c r="AH30" s="101">
        <f t="shared" si="52"/>
        <v>0.14056649423018416</v>
      </c>
      <c r="AI30" s="239">
        <v>402492.24186014227</v>
      </c>
      <c r="AJ30" s="101">
        <f t="shared" si="53"/>
        <v>6.3783093661714918E-2</v>
      </c>
      <c r="AK30" s="239">
        <v>476206.9926359175</v>
      </c>
      <c r="AL30" s="101">
        <f t="shared" si="54"/>
        <v>7.5464697339966705E-2</v>
      </c>
    </row>
    <row r="31" spans="2:38" ht="14.25">
      <c r="B31" s="98"/>
      <c r="C31" s="543"/>
      <c r="D31" s="344">
        <v>45954</v>
      </c>
      <c r="E31" s="344" t="s">
        <v>620</v>
      </c>
      <c r="F31" s="233">
        <f t="shared" si="18"/>
        <v>6007757.0000000019</v>
      </c>
      <c r="G31" s="342"/>
      <c r="H31" s="384"/>
      <c r="I31" s="239">
        <v>511007.56751854951</v>
      </c>
      <c r="J31" s="101">
        <f t="shared" si="37"/>
        <v>8.5057962151023972E-2</v>
      </c>
      <c r="K31" s="239">
        <v>658527.51063628274</v>
      </c>
      <c r="L31" s="101">
        <f t="shared" si="38"/>
        <v>0.10961287392886938</v>
      </c>
      <c r="M31" s="232">
        <f t="shared" si="39"/>
        <v>1169535.0781548321</v>
      </c>
      <c r="N31" s="101">
        <f t="shared" si="40"/>
        <v>0.19467083607989333</v>
      </c>
      <c r="O31" s="239">
        <v>230258.08189115996</v>
      </c>
      <c r="P31" s="101">
        <f t="shared" si="41"/>
        <v>3.832679682136942E-2</v>
      </c>
      <c r="Q31" s="239">
        <v>86629.512638912798</v>
      </c>
      <c r="R31" s="101">
        <f t="shared" si="42"/>
        <v>1.4419609954083158E-2</v>
      </c>
      <c r="S31" s="232">
        <f t="shared" si="43"/>
        <v>316887.59453007276</v>
      </c>
      <c r="T31" s="101">
        <f t="shared" si="44"/>
        <v>5.274640677545258E-2</v>
      </c>
      <c r="U31" s="239">
        <v>521336.82916948124</v>
      </c>
      <c r="V31" s="101">
        <f t="shared" si="45"/>
        <v>8.6777282964254562E-2</v>
      </c>
      <c r="W31" s="239">
        <v>49622.107029709259</v>
      </c>
      <c r="X31" s="101">
        <f t="shared" si="46"/>
        <v>8.2596727913111737E-3</v>
      </c>
      <c r="Y31" s="239">
        <v>570295.39148121607</v>
      </c>
      <c r="Z31" s="101">
        <f t="shared" si="47"/>
        <v>9.492650776008682E-2</v>
      </c>
      <c r="AA31" s="239">
        <v>957368.96214436344</v>
      </c>
      <c r="AB31" s="101">
        <f t="shared" si="48"/>
        <v>0.15935547362257879</v>
      </c>
      <c r="AC31" s="232">
        <f t="shared" si="49"/>
        <v>1527664.3536255795</v>
      </c>
      <c r="AD31" s="101">
        <f t="shared" si="50"/>
        <v>0.25428198138266561</v>
      </c>
      <c r="AE31" s="239">
        <v>776718.89307926467</v>
      </c>
      <c r="AF31" s="101">
        <f t="shared" si="51"/>
        <v>0.12928600359156744</v>
      </c>
      <c r="AG31" s="239">
        <v>783952.69511002291</v>
      </c>
      <c r="AH31" s="101">
        <f t="shared" si="52"/>
        <v>0.1304900805924778</v>
      </c>
      <c r="AI31" s="239">
        <v>404630.14341383416</v>
      </c>
      <c r="AJ31" s="101">
        <f t="shared" si="53"/>
        <v>6.7351283251608551E-2</v>
      </c>
      <c r="AK31" s="239">
        <v>457409.30588720425</v>
      </c>
      <c r="AL31" s="101">
        <f t="shared" si="54"/>
        <v>7.6136452570768773E-2</v>
      </c>
    </row>
    <row r="32" spans="2:38" ht="14.25">
      <c r="B32" s="98"/>
      <c r="C32" s="543"/>
      <c r="D32" s="344">
        <v>45955</v>
      </c>
      <c r="E32" s="344" t="s">
        <v>621</v>
      </c>
      <c r="F32" s="233">
        <f t="shared" si="18"/>
        <v>6324783</v>
      </c>
      <c r="G32" s="342"/>
      <c r="H32" s="384"/>
      <c r="I32" s="239">
        <v>496476.87555988412</v>
      </c>
      <c r="J32" s="101">
        <f t="shared" si="37"/>
        <v>7.8497060778193364E-2</v>
      </c>
      <c r="K32" s="239">
        <v>716808.38710539835</v>
      </c>
      <c r="L32" s="101">
        <f t="shared" si="38"/>
        <v>0.11333327753780617</v>
      </c>
      <c r="M32" s="232">
        <f t="shared" si="39"/>
        <v>1213285.2626652825</v>
      </c>
      <c r="N32" s="101">
        <f t="shared" si="40"/>
        <v>0.19183033831599952</v>
      </c>
      <c r="O32" s="239">
        <v>217128.63711963419</v>
      </c>
      <c r="P32" s="101">
        <f t="shared" si="41"/>
        <v>3.4329816077426557E-2</v>
      </c>
      <c r="Q32" s="239">
        <v>87124.756164630977</v>
      </c>
      <c r="R32" s="101">
        <f t="shared" si="42"/>
        <v>1.3775137607824802E-2</v>
      </c>
      <c r="S32" s="232">
        <f t="shared" si="43"/>
        <v>304253.39328426518</v>
      </c>
      <c r="T32" s="101">
        <f t="shared" si="44"/>
        <v>4.8104953685251368E-2</v>
      </c>
      <c r="U32" s="239">
        <v>562703.91547697142</v>
      </c>
      <c r="V32" s="101">
        <f t="shared" si="45"/>
        <v>8.8968098269453899E-2</v>
      </c>
      <c r="W32" s="239">
        <v>55077.910378999259</v>
      </c>
      <c r="X32" s="101">
        <f t="shared" si="46"/>
        <v>8.7082687862965833E-3</v>
      </c>
      <c r="Y32" s="239">
        <v>592537.84928414482</v>
      </c>
      <c r="Z32" s="101">
        <f t="shared" si="47"/>
        <v>9.3685087580735155E-2</v>
      </c>
      <c r="AA32" s="239">
        <v>1020185.5841759804</v>
      </c>
      <c r="AB32" s="101">
        <f t="shared" si="48"/>
        <v>0.16129969742455677</v>
      </c>
      <c r="AC32" s="232">
        <f t="shared" si="49"/>
        <v>1612723.4334601252</v>
      </c>
      <c r="AD32" s="101">
        <f t="shared" si="50"/>
        <v>0.25498478500529193</v>
      </c>
      <c r="AE32" s="239">
        <v>791969.14514909172</v>
      </c>
      <c r="AF32" s="101">
        <f t="shared" si="51"/>
        <v>0.12521680904294927</v>
      </c>
      <c r="AG32" s="239">
        <v>901771.96990918508</v>
      </c>
      <c r="AH32" s="101">
        <f t="shared" si="52"/>
        <v>0.14257753505680512</v>
      </c>
      <c r="AI32" s="239">
        <v>410497.82461486239</v>
      </c>
      <c r="AJ32" s="101">
        <f t="shared" si="53"/>
        <v>6.4903068550314275E-2</v>
      </c>
      <c r="AK32" s="239">
        <v>472500.14506121771</v>
      </c>
      <c r="AL32" s="101">
        <f t="shared" si="54"/>
        <v>7.4706143287638124E-2</v>
      </c>
    </row>
    <row r="33" spans="2:38" ht="14.25">
      <c r="B33" s="98"/>
      <c r="C33" s="543"/>
      <c r="D33" s="344">
        <v>45956</v>
      </c>
      <c r="E33" s="344" t="s">
        <v>622</v>
      </c>
      <c r="F33" s="233">
        <f t="shared" si="18"/>
        <v>7684569.0000000019</v>
      </c>
      <c r="G33" s="342"/>
      <c r="H33" s="384"/>
      <c r="I33" s="239">
        <v>708600.62237119104</v>
      </c>
      <c r="J33" s="101">
        <f t="shared" si="37"/>
        <v>9.221084778745442E-2</v>
      </c>
      <c r="K33" s="239">
        <v>768012.66367990826</v>
      </c>
      <c r="L33" s="101">
        <f t="shared" si="38"/>
        <v>9.9942191120921425E-2</v>
      </c>
      <c r="M33" s="232">
        <f t="shared" si="39"/>
        <v>1476613.2860510992</v>
      </c>
      <c r="N33" s="101">
        <f t="shared" si="40"/>
        <v>0.19215303890837584</v>
      </c>
      <c r="O33" s="239">
        <v>274677.65912636888</v>
      </c>
      <c r="P33" s="101">
        <f t="shared" si="41"/>
        <v>3.5744055278359631E-2</v>
      </c>
      <c r="Q33" s="239">
        <v>108330.21230306162</v>
      </c>
      <c r="R33" s="101">
        <f t="shared" si="42"/>
        <v>1.4097109714684272E-2</v>
      </c>
      <c r="S33" s="232">
        <f t="shared" si="43"/>
        <v>383007.8714294305</v>
      </c>
      <c r="T33" s="101">
        <f t="shared" si="44"/>
        <v>4.9841164993043904E-2</v>
      </c>
      <c r="U33" s="239">
        <v>668295.82046890026</v>
      </c>
      <c r="V33" s="101">
        <f t="shared" si="45"/>
        <v>8.6965947012630135E-2</v>
      </c>
      <c r="W33" s="239">
        <v>65736.809667777779</v>
      </c>
      <c r="X33" s="101">
        <f t="shared" si="46"/>
        <v>8.5543912310212539E-3</v>
      </c>
      <c r="Y33" s="239">
        <v>717947.39779857267</v>
      </c>
      <c r="Z33" s="101">
        <f t="shared" si="47"/>
        <v>9.3427152231774155E-2</v>
      </c>
      <c r="AA33" s="239">
        <v>1090541.5735601212</v>
      </c>
      <c r="AB33" s="101">
        <f t="shared" si="48"/>
        <v>0.1419131734727245</v>
      </c>
      <c r="AC33" s="232">
        <f t="shared" si="49"/>
        <v>1808488.9713586939</v>
      </c>
      <c r="AD33" s="101">
        <f t="shared" si="50"/>
        <v>0.23534032570449864</v>
      </c>
      <c r="AE33" s="239">
        <v>1101814.387270926</v>
      </c>
      <c r="AF33" s="101">
        <f t="shared" si="51"/>
        <v>0.1433801150423564</v>
      </c>
      <c r="AG33" s="239">
        <v>1155691.3321642184</v>
      </c>
      <c r="AH33" s="101">
        <f t="shared" si="52"/>
        <v>0.15039117121132209</v>
      </c>
      <c r="AI33" s="239">
        <v>455711.17364681466</v>
      </c>
      <c r="AJ33" s="101">
        <f t="shared" si="53"/>
        <v>5.9302112278101025E-2</v>
      </c>
      <c r="AK33" s="239">
        <v>569209.3479421396</v>
      </c>
      <c r="AL33" s="101">
        <f t="shared" si="54"/>
        <v>7.4071733618650507E-2</v>
      </c>
    </row>
    <row r="34" spans="2:38" ht="14.25">
      <c r="B34" s="98"/>
      <c r="C34" s="543"/>
      <c r="D34" s="344">
        <v>45957</v>
      </c>
      <c r="E34" s="344" t="s">
        <v>616</v>
      </c>
      <c r="F34" s="233">
        <f t="shared" si="18"/>
        <v>7933027.9999999991</v>
      </c>
      <c r="G34" s="342"/>
      <c r="H34" s="384"/>
      <c r="I34" s="239">
        <v>689875.03709399782</v>
      </c>
      <c r="J34" s="101">
        <f t="shared" si="37"/>
        <v>8.6962385244826801E-2</v>
      </c>
      <c r="K34" s="239">
        <v>922491.01301976258</v>
      </c>
      <c r="L34" s="101">
        <f t="shared" si="38"/>
        <v>0.11628485529356038</v>
      </c>
      <c r="M34" s="232">
        <f t="shared" si="39"/>
        <v>1612366.0501137604</v>
      </c>
      <c r="N34" s="101">
        <f t="shared" si="40"/>
        <v>0.20324724053838719</v>
      </c>
      <c r="O34" s="239">
        <v>257499.30319930258</v>
      </c>
      <c r="P34" s="101">
        <f t="shared" si="41"/>
        <v>3.2459144629175971E-2</v>
      </c>
      <c r="Q34" s="239">
        <v>106080.32667566366</v>
      </c>
      <c r="R34" s="101">
        <f t="shared" si="42"/>
        <v>1.3371984401878282E-2</v>
      </c>
      <c r="S34" s="232">
        <f t="shared" si="43"/>
        <v>363579.62987496622</v>
      </c>
      <c r="T34" s="101">
        <f t="shared" si="44"/>
        <v>4.5831129031054255E-2</v>
      </c>
      <c r="U34" s="239">
        <v>647910.18303332641</v>
      </c>
      <c r="V34" s="101">
        <f t="shared" si="45"/>
        <v>8.1672494164060236E-2</v>
      </c>
      <c r="W34" s="239">
        <v>61201.831173882725</v>
      </c>
      <c r="X34" s="101">
        <f t="shared" si="46"/>
        <v>7.714813457595603E-3</v>
      </c>
      <c r="Y34" s="239">
        <v>706376.46363404463</v>
      </c>
      <c r="Z34" s="101">
        <f t="shared" si="47"/>
        <v>8.9042477050887095E-2</v>
      </c>
      <c r="AA34" s="239">
        <v>1385124.7173118822</v>
      </c>
      <c r="AB34" s="101">
        <f t="shared" si="48"/>
        <v>0.1746022725889638</v>
      </c>
      <c r="AC34" s="232">
        <f t="shared" si="49"/>
        <v>2091501.1809459268</v>
      </c>
      <c r="AD34" s="101">
        <f t="shared" si="50"/>
        <v>0.26364474963985091</v>
      </c>
      <c r="AE34" s="239">
        <v>1079903.7757877987</v>
      </c>
      <c r="AF34" s="101">
        <f t="shared" si="51"/>
        <v>0.1361275638744498</v>
      </c>
      <c r="AG34" s="239">
        <v>1103387.2700909949</v>
      </c>
      <c r="AH34" s="101">
        <f t="shared" si="52"/>
        <v>0.13908778212947123</v>
      </c>
      <c r="AI34" s="239">
        <v>413192.29371310887</v>
      </c>
      <c r="AJ34" s="101">
        <f t="shared" si="53"/>
        <v>5.208506685128414E-2</v>
      </c>
      <c r="AK34" s="239">
        <v>559985.78526623384</v>
      </c>
      <c r="AL34" s="101">
        <f t="shared" si="54"/>
        <v>7.05891603138466E-2</v>
      </c>
    </row>
    <row r="35" spans="2:38" ht="14.25">
      <c r="B35" s="98"/>
      <c r="C35" s="543"/>
      <c r="D35" s="86">
        <v>45958</v>
      </c>
      <c r="E35" s="86" t="s">
        <v>617</v>
      </c>
      <c r="F35" s="233">
        <f t="shared" si="18"/>
        <v>8874807</v>
      </c>
      <c r="G35" s="342">
        <f>SUM(F35:F41)</f>
        <v>52649495</v>
      </c>
      <c r="H35" s="384"/>
      <c r="I35" s="239">
        <v>780746.64319485764</v>
      </c>
      <c r="J35" s="101">
        <f t="shared" si="37"/>
        <v>8.7973365865292349E-2</v>
      </c>
      <c r="K35" s="239">
        <v>911239.3178483285</v>
      </c>
      <c r="L35" s="101">
        <f t="shared" si="38"/>
        <v>0.10267708558037696</v>
      </c>
      <c r="M35" s="232">
        <f t="shared" si="39"/>
        <v>1691985.961043186</v>
      </c>
      <c r="N35" s="101">
        <f t="shared" si="40"/>
        <v>0.19065045144566931</v>
      </c>
      <c r="O35" s="239">
        <v>271416.88609531388</v>
      </c>
      <c r="P35" s="101">
        <f t="shared" si="41"/>
        <v>3.0582849418056515E-2</v>
      </c>
      <c r="Q35" s="239">
        <v>110287.01315592107</v>
      </c>
      <c r="R35" s="101">
        <f t="shared" si="42"/>
        <v>1.2426975950679386E-2</v>
      </c>
      <c r="S35" s="232">
        <f t="shared" si="43"/>
        <v>381703.89925123495</v>
      </c>
      <c r="T35" s="101">
        <f t="shared" si="44"/>
        <v>4.3009825368735898E-2</v>
      </c>
      <c r="U35" s="239">
        <v>656894.59442392481</v>
      </c>
      <c r="V35" s="101">
        <f t="shared" si="45"/>
        <v>7.4017901958197491E-2</v>
      </c>
      <c r="W35" s="239">
        <v>326083.50419263262</v>
      </c>
      <c r="X35" s="101">
        <f t="shared" si="46"/>
        <v>3.6742602311535637E-2</v>
      </c>
      <c r="Y35" s="239">
        <v>700989.34191525017</v>
      </c>
      <c r="Z35" s="101">
        <f t="shared" si="47"/>
        <v>7.8986432258780409E-2</v>
      </c>
      <c r="AA35" s="239">
        <v>1516347.3478970779</v>
      </c>
      <c r="AB35" s="101">
        <f t="shared" si="48"/>
        <v>0.17085975479771875</v>
      </c>
      <c r="AC35" s="232">
        <f t="shared" si="49"/>
        <v>2217336.6898123282</v>
      </c>
      <c r="AD35" s="101">
        <f t="shared" si="50"/>
        <v>0.24984618705649916</v>
      </c>
      <c r="AE35" s="239">
        <v>1283032.8853529831</v>
      </c>
      <c r="AF35" s="101">
        <f t="shared" si="51"/>
        <v>0.14457022956701854</v>
      </c>
      <c r="AG35" s="239">
        <v>1049488.7693342105</v>
      </c>
      <c r="AH35" s="101">
        <f t="shared" si="52"/>
        <v>0.11825482732573346</v>
      </c>
      <c r="AI35" s="239">
        <v>472206.15558981959</v>
      </c>
      <c r="AJ35" s="101">
        <f t="shared" si="53"/>
        <v>5.320748446583904E-2</v>
      </c>
      <c r="AK35" s="239">
        <v>796074.54099967936</v>
      </c>
      <c r="AL35" s="101">
        <f t="shared" si="54"/>
        <v>8.9700490500771377E-2</v>
      </c>
    </row>
    <row r="36" spans="2:38" ht="14.25">
      <c r="B36" s="98"/>
      <c r="C36" s="543"/>
      <c r="D36" s="86">
        <v>45959</v>
      </c>
      <c r="E36" s="86" t="s">
        <v>618</v>
      </c>
      <c r="F36" s="233">
        <f t="shared" si="18"/>
        <v>8157355.0000000009</v>
      </c>
      <c r="G36" s="342"/>
      <c r="H36" s="384"/>
      <c r="I36" s="239">
        <v>741769.40829235793</v>
      </c>
      <c r="J36" s="101">
        <f t="shared" si="37"/>
        <v>9.0932588846796281E-2</v>
      </c>
      <c r="K36" s="239">
        <v>911358.13100742735</v>
      </c>
      <c r="L36" s="101">
        <f t="shared" si="38"/>
        <v>0.11172225936071524</v>
      </c>
      <c r="M36" s="232">
        <f t="shared" si="39"/>
        <v>1653127.5392997852</v>
      </c>
      <c r="N36" s="101">
        <f t="shared" si="40"/>
        <v>0.20265484820751151</v>
      </c>
      <c r="O36" s="239">
        <v>268793.44718005281</v>
      </c>
      <c r="P36" s="101">
        <f t="shared" si="41"/>
        <v>3.2951054254725068E-2</v>
      </c>
      <c r="Q36" s="239">
        <v>111574.06873548946</v>
      </c>
      <c r="R36" s="101">
        <f t="shared" si="42"/>
        <v>1.3677726264884813E-2</v>
      </c>
      <c r="S36" s="232">
        <f t="shared" si="43"/>
        <v>380367.51591554226</v>
      </c>
      <c r="T36" s="101">
        <f t="shared" si="44"/>
        <v>4.6628780519609878E-2</v>
      </c>
      <c r="U36" s="239">
        <v>647363.60198910965</v>
      </c>
      <c r="V36" s="101">
        <f t="shared" si="45"/>
        <v>7.9359498512582768E-2</v>
      </c>
      <c r="W36" s="239">
        <v>211714.88617649305</v>
      </c>
      <c r="X36" s="101">
        <f t="shared" si="46"/>
        <v>2.5953864478926444E-2</v>
      </c>
      <c r="Y36" s="239">
        <v>676052.95323816617</v>
      </c>
      <c r="Z36" s="101">
        <f t="shared" si="47"/>
        <v>8.2876490386671428E-2</v>
      </c>
      <c r="AA36" s="239">
        <v>1364308.9628745297</v>
      </c>
      <c r="AB36" s="101">
        <f t="shared" si="48"/>
        <v>0.16724893827405202</v>
      </c>
      <c r="AC36" s="232">
        <f t="shared" si="49"/>
        <v>2040361.9161126958</v>
      </c>
      <c r="AD36" s="101">
        <f t="shared" si="50"/>
        <v>0.25012542866072346</v>
      </c>
      <c r="AE36" s="239">
        <v>1168977.5909929636</v>
      </c>
      <c r="AF36" s="101">
        <f t="shared" si="51"/>
        <v>0.14330350842803377</v>
      </c>
      <c r="AG36" s="239">
        <v>940949.51748418831</v>
      </c>
      <c r="AH36" s="101">
        <f t="shared" si="52"/>
        <v>0.11534983061104834</v>
      </c>
      <c r="AI36" s="239">
        <v>411972.80806409148</v>
      </c>
      <c r="AJ36" s="101">
        <f t="shared" si="53"/>
        <v>5.0503233960529047E-2</v>
      </c>
      <c r="AK36" s="239">
        <v>702519.62396513228</v>
      </c>
      <c r="AL36" s="101">
        <f t="shared" si="54"/>
        <v>8.6121006621034904E-2</v>
      </c>
    </row>
    <row r="37" spans="2:38" ht="14.25">
      <c r="B37" s="98"/>
      <c r="C37" s="543"/>
      <c r="D37" s="86">
        <v>45960</v>
      </c>
      <c r="E37" s="86" t="s">
        <v>619</v>
      </c>
      <c r="F37" s="233">
        <f t="shared" si="18"/>
        <v>7556926.0000000009</v>
      </c>
      <c r="G37" s="342"/>
      <c r="H37" s="384"/>
      <c r="I37" s="239">
        <v>676655.12086018024</v>
      </c>
      <c r="J37" s="101">
        <f t="shared" si="37"/>
        <v>8.9541054240861978E-2</v>
      </c>
      <c r="K37" s="239">
        <v>821105.6942928792</v>
      </c>
      <c r="L37" s="101">
        <f t="shared" si="38"/>
        <v>0.10865604536724048</v>
      </c>
      <c r="M37" s="232">
        <f t="shared" si="39"/>
        <v>1497760.8151530595</v>
      </c>
      <c r="N37" s="101">
        <f t="shared" si="40"/>
        <v>0.19819709960810247</v>
      </c>
      <c r="O37" s="239">
        <v>239899.99463909338</v>
      </c>
      <c r="P37" s="101">
        <f t="shared" si="41"/>
        <v>3.1745711766807475E-2</v>
      </c>
      <c r="Q37" s="239">
        <v>110774.38213012967</v>
      </c>
      <c r="R37" s="101">
        <f t="shared" si="42"/>
        <v>1.4658656460329194E-2</v>
      </c>
      <c r="S37" s="232">
        <f t="shared" si="43"/>
        <v>350674.37676922302</v>
      </c>
      <c r="T37" s="101">
        <f t="shared" si="44"/>
        <v>4.6404368227136665E-2</v>
      </c>
      <c r="U37" s="239">
        <v>606522.59079750499</v>
      </c>
      <c r="V37" s="101">
        <f t="shared" si="45"/>
        <v>8.0260490945326834E-2</v>
      </c>
      <c r="W37" s="239">
        <v>194750.99266798413</v>
      </c>
      <c r="X37" s="101">
        <f t="shared" si="46"/>
        <v>2.5771192237158881E-2</v>
      </c>
      <c r="Y37" s="239">
        <v>642678.44561591453</v>
      </c>
      <c r="Z37" s="101">
        <f t="shared" si="47"/>
        <v>8.5044956853608786E-2</v>
      </c>
      <c r="AA37" s="239">
        <v>1165803.2450973373</v>
      </c>
      <c r="AB37" s="101">
        <f t="shared" si="48"/>
        <v>0.15426950655562024</v>
      </c>
      <c r="AC37" s="232">
        <f t="shared" si="49"/>
        <v>1808481.6907132519</v>
      </c>
      <c r="AD37" s="101">
        <f t="shared" si="50"/>
        <v>0.23931446340922907</v>
      </c>
      <c r="AE37" s="239">
        <v>1092729.8317207724</v>
      </c>
      <c r="AF37" s="101">
        <f t="shared" si="51"/>
        <v>0.14459977929131135</v>
      </c>
      <c r="AG37" s="239">
        <v>926437.91998516361</v>
      </c>
      <c r="AH37" s="101">
        <f t="shared" si="52"/>
        <v>0.12259454704004823</v>
      </c>
      <c r="AI37" s="239">
        <v>400515.05188810895</v>
      </c>
      <c r="AJ37" s="101">
        <f t="shared" si="53"/>
        <v>5.2999731886763067E-2</v>
      </c>
      <c r="AK37" s="239">
        <v>679052.73030493129</v>
      </c>
      <c r="AL37" s="101">
        <f t="shared" si="54"/>
        <v>8.9858327354923315E-2</v>
      </c>
    </row>
    <row r="38" spans="2:38" ht="14.25">
      <c r="B38" s="98"/>
      <c r="C38" s="83"/>
      <c r="D38" s="86">
        <v>45961</v>
      </c>
      <c r="E38" s="86" t="s">
        <v>620</v>
      </c>
      <c r="F38" s="233">
        <f t="shared" si="18"/>
        <v>6398547.9999999991</v>
      </c>
      <c r="G38" s="342"/>
      <c r="H38" s="97"/>
      <c r="I38" s="239">
        <v>572932.733530759</v>
      </c>
      <c r="J38" s="101">
        <f t="shared" si="37"/>
        <v>8.9541054240862006E-2</v>
      </c>
      <c r="K38" s="239">
        <v>695240.92177246592</v>
      </c>
      <c r="L38" s="101">
        <f t="shared" si="38"/>
        <v>0.10865604536724051</v>
      </c>
      <c r="M38" s="232">
        <f t="shared" si="39"/>
        <v>1268173.6553032249</v>
      </c>
      <c r="N38" s="101">
        <f t="shared" si="40"/>
        <v>0.1981970996081025</v>
      </c>
      <c r="O38" s="239">
        <v>203126.46053408246</v>
      </c>
      <c r="P38" s="101">
        <f t="shared" si="41"/>
        <v>3.1745711766807481E-2</v>
      </c>
      <c r="Q38" s="239">
        <v>93794.116976926452</v>
      </c>
      <c r="R38" s="101">
        <f t="shared" si="42"/>
        <v>1.4658656460329197E-2</v>
      </c>
      <c r="S38" s="232">
        <f t="shared" si="43"/>
        <v>296920.57751100895</v>
      </c>
      <c r="T38" s="101">
        <f t="shared" si="44"/>
        <v>4.6404368227136686E-2</v>
      </c>
      <c r="U38" s="239">
        <v>513550.60381723917</v>
      </c>
      <c r="V38" s="101">
        <f t="shared" si="45"/>
        <v>8.0260490945326848E-2</v>
      </c>
      <c r="W38" s="239">
        <v>164898.21054668847</v>
      </c>
      <c r="X38" s="101">
        <f t="shared" si="46"/>
        <v>2.5771192237158881E-2</v>
      </c>
      <c r="Y38" s="239">
        <v>544164.23858574475</v>
      </c>
      <c r="Z38" s="101">
        <f t="shared" si="47"/>
        <v>8.5044956853608786E-2</v>
      </c>
      <c r="AA38" s="239">
        <v>987100.84263245098</v>
      </c>
      <c r="AB38" s="101">
        <f t="shared" si="48"/>
        <v>0.1542695065556203</v>
      </c>
      <c r="AC38" s="232">
        <f t="shared" si="49"/>
        <v>1531265.0812181956</v>
      </c>
      <c r="AD38" s="101">
        <f t="shared" si="50"/>
        <v>0.23931446340922907</v>
      </c>
      <c r="AE38" s="239">
        <v>925228.62858486164</v>
      </c>
      <c r="AF38" s="101">
        <f t="shared" si="51"/>
        <v>0.14459977929131138</v>
      </c>
      <c r="AG38" s="239">
        <v>784427.09377400659</v>
      </c>
      <c r="AH38" s="101">
        <f t="shared" si="52"/>
        <v>0.12259454704004825</v>
      </c>
      <c r="AI38" s="239">
        <v>339121.32846458408</v>
      </c>
      <c r="AJ38" s="101">
        <f t="shared" si="53"/>
        <v>5.2999731886763081E-2</v>
      </c>
      <c r="AK38" s="239">
        <v>574962.82078018994</v>
      </c>
      <c r="AL38" s="101">
        <f t="shared" si="54"/>
        <v>8.9858327354923342E-2</v>
      </c>
    </row>
    <row r="39" spans="2:38" ht="14.25">
      <c r="B39" s="98"/>
      <c r="C39" s="83"/>
      <c r="D39" s="86">
        <v>45962</v>
      </c>
      <c r="E39" s="86" t="s">
        <v>621</v>
      </c>
      <c r="F39" s="233">
        <f t="shared" si="18"/>
        <v>6412265.9999999991</v>
      </c>
      <c r="G39" s="342"/>
      <c r="H39" s="97"/>
      <c r="I39" s="239">
        <v>567801.04468948324</v>
      </c>
      <c r="J39" s="101">
        <f t="shared" si="37"/>
        <v>8.8549203150568509E-2</v>
      </c>
      <c r="K39" s="239">
        <v>754884.39441394608</v>
      </c>
      <c r="L39" s="101">
        <f t="shared" si="38"/>
        <v>0.1177250591934187</v>
      </c>
      <c r="M39" s="232">
        <f t="shared" si="39"/>
        <v>1322685.4391034292</v>
      </c>
      <c r="N39" s="101">
        <f t="shared" si="40"/>
        <v>0.20627426234398719</v>
      </c>
      <c r="O39" s="239">
        <v>177542.93696378267</v>
      </c>
      <c r="P39" s="101">
        <f t="shared" si="41"/>
        <v>2.7688018083433016E-2</v>
      </c>
      <c r="Q39" s="239">
        <v>86774.65838016363</v>
      </c>
      <c r="R39" s="101">
        <f t="shared" si="42"/>
        <v>1.3532604289991033E-2</v>
      </c>
      <c r="S39" s="232">
        <f t="shared" si="43"/>
        <v>264317.5953439463</v>
      </c>
      <c r="T39" s="101">
        <f t="shared" si="44"/>
        <v>4.1220622373424054E-2</v>
      </c>
      <c r="U39" s="239">
        <v>481081.810100562</v>
      </c>
      <c r="V39" s="101">
        <f t="shared" si="45"/>
        <v>7.5025242262339406E-2</v>
      </c>
      <c r="W39" s="239">
        <v>121515.63250457653</v>
      </c>
      <c r="X39" s="101">
        <f t="shared" si="46"/>
        <v>1.8950497765466458E-2</v>
      </c>
      <c r="Y39" s="239">
        <v>510464.54700394545</v>
      </c>
      <c r="Z39" s="101">
        <f t="shared" si="47"/>
        <v>7.9607512695815411E-2</v>
      </c>
      <c r="AA39" s="239">
        <v>1051831.7261411338</v>
      </c>
      <c r="AB39" s="101">
        <f t="shared" si="48"/>
        <v>0.1640343251732124</v>
      </c>
      <c r="AC39" s="232">
        <f t="shared" si="49"/>
        <v>1562296.2731450791</v>
      </c>
      <c r="AD39" s="101">
        <f t="shared" si="50"/>
        <v>0.24364183786902779</v>
      </c>
      <c r="AE39" s="239">
        <v>950247.30041764677</v>
      </c>
      <c r="AF39" s="101">
        <f t="shared" si="51"/>
        <v>0.14819212122791645</v>
      </c>
      <c r="AG39" s="239">
        <v>756441.5505794856</v>
      </c>
      <c r="AH39" s="101">
        <f t="shared" si="52"/>
        <v>0.11796789942580138</v>
      </c>
      <c r="AI39" s="239">
        <v>395011.69509935041</v>
      </c>
      <c r="AJ39" s="101">
        <f t="shared" si="53"/>
        <v>6.1602512294304461E-2</v>
      </c>
      <c r="AK39" s="239">
        <v>558668.7037059234</v>
      </c>
      <c r="AL39" s="101">
        <f t="shared" si="54"/>
        <v>8.7125004437732856E-2</v>
      </c>
    </row>
    <row r="40" spans="2:38" ht="14.25">
      <c r="B40" s="98"/>
      <c r="C40" s="83"/>
      <c r="D40" s="86">
        <v>45963</v>
      </c>
      <c r="E40" s="86" t="s">
        <v>622</v>
      </c>
      <c r="F40" s="233">
        <f t="shared" si="18"/>
        <v>7718290</v>
      </c>
      <c r="G40" s="342"/>
      <c r="H40" s="97"/>
      <c r="I40" s="239">
        <v>738673.177693245</v>
      </c>
      <c r="J40" s="101">
        <f t="shared" si="37"/>
        <v>9.5704252845286331E-2</v>
      </c>
      <c r="K40" s="239">
        <v>812138.02655141801</v>
      </c>
      <c r="L40" s="101">
        <f t="shared" si="38"/>
        <v>0.10522253330095371</v>
      </c>
      <c r="M40" s="232">
        <f t="shared" si="39"/>
        <v>1550811.204244663</v>
      </c>
      <c r="N40" s="101">
        <f t="shared" si="40"/>
        <v>0.20092678614624004</v>
      </c>
      <c r="O40" s="239">
        <v>228583.13158135282</v>
      </c>
      <c r="P40" s="101">
        <f t="shared" si="41"/>
        <v>2.961577390605339E-2</v>
      </c>
      <c r="Q40" s="239">
        <v>101174.44209267297</v>
      </c>
      <c r="R40" s="101">
        <f t="shared" si="42"/>
        <v>1.3108401225229029E-2</v>
      </c>
      <c r="S40" s="232">
        <f t="shared" si="43"/>
        <v>329757.57367402577</v>
      </c>
      <c r="T40" s="101">
        <f t="shared" si="44"/>
        <v>4.2724175131282419E-2</v>
      </c>
      <c r="U40" s="239">
        <v>600818.61593109136</v>
      </c>
      <c r="V40" s="101">
        <f t="shared" si="45"/>
        <v>7.7843488121214846E-2</v>
      </c>
      <c r="W40" s="239">
        <v>221851.06652687772</v>
      </c>
      <c r="X40" s="101">
        <f t="shared" si="46"/>
        <v>2.8743551554408778E-2</v>
      </c>
      <c r="Y40" s="239">
        <v>610495.55361586879</v>
      </c>
      <c r="Z40" s="101">
        <f t="shared" si="47"/>
        <v>7.9097255171270947E-2</v>
      </c>
      <c r="AA40" s="239">
        <v>1179022.3883076939</v>
      </c>
      <c r="AB40" s="101">
        <f t="shared" si="48"/>
        <v>0.15275694335243867</v>
      </c>
      <c r="AC40" s="232">
        <f t="shared" si="49"/>
        <v>1789517.9419235627</v>
      </c>
      <c r="AD40" s="101">
        <f t="shared" si="50"/>
        <v>0.23185419852370961</v>
      </c>
      <c r="AE40" s="239">
        <v>1178674.2971610217</v>
      </c>
      <c r="AF40" s="101">
        <f t="shared" si="51"/>
        <v>0.15271184383600794</v>
      </c>
      <c r="AG40" s="239">
        <v>917428.14983973152</v>
      </c>
      <c r="AH40" s="101">
        <f t="shared" si="52"/>
        <v>0.11886417196551717</v>
      </c>
      <c r="AI40" s="239">
        <v>427097.29618554178</v>
      </c>
      <c r="AJ40" s="101">
        <f t="shared" si="53"/>
        <v>5.5335740971839846E-2</v>
      </c>
      <c r="AK40" s="239">
        <v>702333.85451348417</v>
      </c>
      <c r="AL40" s="101">
        <f t="shared" si="54"/>
        <v>9.0996043749779307E-2</v>
      </c>
    </row>
    <row r="41" spans="2:38" ht="14.25">
      <c r="B41" s="98"/>
      <c r="C41" s="83"/>
      <c r="D41" s="86">
        <v>45964</v>
      </c>
      <c r="E41" s="86" t="s">
        <v>616</v>
      </c>
      <c r="F41" s="233">
        <f t="shared" si="18"/>
        <v>7531302.9999999991</v>
      </c>
      <c r="G41" s="342"/>
      <c r="H41" s="97"/>
      <c r="I41" s="239">
        <v>711882.3604858662</v>
      </c>
      <c r="J41" s="101">
        <f>I41/F41</f>
        <v>9.4523133710842103E-2</v>
      </c>
      <c r="K41" s="239">
        <v>805942.79259224969</v>
      </c>
      <c r="L41" s="101">
        <f>K41/F41</f>
        <v>0.10701239780052002</v>
      </c>
      <c r="M41" s="232">
        <f>SUM(I41+K41)</f>
        <v>1517825.153078116</v>
      </c>
      <c r="N41" s="101">
        <f>M41/F41</f>
        <v>0.20153553151136214</v>
      </c>
      <c r="O41" s="239">
        <v>214696.80218149564</v>
      </c>
      <c r="P41" s="101">
        <f>O41/F41</f>
        <v>2.8507258595424412E-2</v>
      </c>
      <c r="Q41" s="239">
        <v>103070.03330916478</v>
      </c>
      <c r="R41" s="101">
        <f t="shared" si="42"/>
        <v>1.3685551266383093E-2</v>
      </c>
      <c r="S41" s="232">
        <f t="shared" si="43"/>
        <v>317766.83549066039</v>
      </c>
      <c r="T41" s="101">
        <f>S41/F41</f>
        <v>4.2192809861807505E-2</v>
      </c>
      <c r="U41" s="239">
        <v>607897.73033843481</v>
      </c>
      <c r="V41" s="101">
        <f>U41/F41</f>
        <v>8.0716143054984632E-2</v>
      </c>
      <c r="W41" s="239">
        <v>154909.56589978532</v>
      </c>
      <c r="X41" s="101">
        <f>W41/F41</f>
        <v>2.0568760266289291E-2</v>
      </c>
      <c r="Y41" s="239">
        <v>587758.50932678767</v>
      </c>
      <c r="Z41" s="101">
        <f>Y41/F41</f>
        <v>7.8042074436095288E-2</v>
      </c>
      <c r="AA41" s="239">
        <v>1192270.5600171539</v>
      </c>
      <c r="AB41" s="101">
        <f t="shared" si="48"/>
        <v>0.15830866983006181</v>
      </c>
      <c r="AC41" s="232">
        <f>SUM(Y41+AA41)</f>
        <v>1780029.0693439415</v>
      </c>
      <c r="AD41" s="101">
        <f>AC41/F41</f>
        <v>0.2363507442661571</v>
      </c>
      <c r="AE41" s="239">
        <v>1140624.7620063906</v>
      </c>
      <c r="AF41" s="101">
        <f>AE41/F41</f>
        <v>0.1514511847427186</v>
      </c>
      <c r="AG41" s="239">
        <v>916621.9567439151</v>
      </c>
      <c r="AH41" s="101">
        <f>AG41/F41</f>
        <v>0.12170828298156577</v>
      </c>
      <c r="AI41" s="239">
        <v>424284.99507324502</v>
      </c>
      <c r="AJ41" s="101">
        <f>AI41/F41</f>
        <v>5.6336200398954213E-2</v>
      </c>
      <c r="AK41" s="239">
        <v>671342.93202551058</v>
      </c>
      <c r="AL41" s="101">
        <f>AK41/F41</f>
        <v>8.9140342916160811E-2</v>
      </c>
    </row>
    <row r="42" spans="2:38" ht="14.25">
      <c r="B42" s="98"/>
      <c r="C42" s="83"/>
      <c r="D42" s="86"/>
      <c r="E42" s="86"/>
      <c r="F42" s="233">
        <f t="shared" si="18"/>
        <v>0</v>
      </c>
      <c r="G42" s="342"/>
      <c r="H42" s="97"/>
      <c r="I42" s="239"/>
      <c r="J42" s="101" t="e">
        <f>I42/F42</f>
        <v>#DIV/0!</v>
      </c>
      <c r="K42" s="239"/>
      <c r="L42" s="101" t="e">
        <f>K42/F42</f>
        <v>#DIV/0!</v>
      </c>
      <c r="M42" s="232">
        <f>SUM(I42+K42)</f>
        <v>0</v>
      </c>
      <c r="N42" s="101" t="e">
        <f>M42/F42</f>
        <v>#DIV/0!</v>
      </c>
      <c r="O42" s="239"/>
      <c r="P42" s="101" t="e">
        <f>O42/F42</f>
        <v>#DIV/0!</v>
      </c>
      <c r="Q42" s="239"/>
      <c r="R42" s="101" t="e">
        <f t="shared" si="42"/>
        <v>#DIV/0!</v>
      </c>
      <c r="S42" s="232">
        <f t="shared" si="43"/>
        <v>0</v>
      </c>
      <c r="T42" s="101" t="e">
        <f>S42/F42</f>
        <v>#DIV/0!</v>
      </c>
      <c r="U42" s="239"/>
      <c r="V42" s="101" t="e">
        <f>U42/F42</f>
        <v>#DIV/0!</v>
      </c>
      <c r="W42" s="239"/>
      <c r="X42" s="101" t="e">
        <f>W42/F42</f>
        <v>#DIV/0!</v>
      </c>
      <c r="Y42" s="239"/>
      <c r="Z42" s="101" t="e">
        <f>Y42/F42</f>
        <v>#DIV/0!</v>
      </c>
      <c r="AA42" s="239"/>
      <c r="AB42" s="101" t="e">
        <f t="shared" si="48"/>
        <v>#DIV/0!</v>
      </c>
      <c r="AC42" s="232">
        <f>SUM(Y42+AA42)</f>
        <v>0</v>
      </c>
      <c r="AD42" s="101" t="e">
        <f>AC42/F42</f>
        <v>#DIV/0!</v>
      </c>
      <c r="AE42" s="239"/>
      <c r="AF42" s="101" t="e">
        <f>AE42/F42</f>
        <v>#DIV/0!</v>
      </c>
      <c r="AG42" s="239"/>
      <c r="AH42" s="101" t="e">
        <f>AG42/F42</f>
        <v>#DIV/0!</v>
      </c>
      <c r="AI42" s="239"/>
      <c r="AJ42" s="101" t="e">
        <f>AI42/F42</f>
        <v>#DIV/0!</v>
      </c>
      <c r="AK42" s="239"/>
      <c r="AL42" s="101" t="e">
        <f>AK42/F42</f>
        <v>#DIV/0!</v>
      </c>
    </row>
    <row r="43" spans="2:38" ht="14.25">
      <c r="B43" s="98"/>
      <c r="C43" s="83"/>
      <c r="D43" s="86"/>
      <c r="E43" s="86"/>
      <c r="F43" s="233">
        <f t="shared" si="18"/>
        <v>0</v>
      </c>
      <c r="G43" s="233"/>
      <c r="H43" s="97"/>
      <c r="I43" s="239"/>
      <c r="J43" s="101" t="e">
        <f>I43/F43</f>
        <v>#DIV/0!</v>
      </c>
      <c r="K43" s="239"/>
      <c r="L43" s="101" t="e">
        <f>K43/F43</f>
        <v>#DIV/0!</v>
      </c>
      <c r="M43" s="232">
        <f>SUM(I43+K43)</f>
        <v>0</v>
      </c>
      <c r="N43" s="101" t="e">
        <f>M43/F43</f>
        <v>#DIV/0!</v>
      </c>
      <c r="O43" s="239"/>
      <c r="P43" s="101" t="e">
        <f>O43/F43</f>
        <v>#DIV/0!</v>
      </c>
      <c r="Q43" s="239"/>
      <c r="R43" s="101" t="e">
        <f t="shared" si="42"/>
        <v>#DIV/0!</v>
      </c>
      <c r="S43" s="232">
        <f t="shared" si="43"/>
        <v>0</v>
      </c>
      <c r="T43" s="101" t="e">
        <f>S43/F43</f>
        <v>#DIV/0!</v>
      </c>
      <c r="U43" s="239"/>
      <c r="V43" s="101" t="e">
        <f>U43/F43</f>
        <v>#DIV/0!</v>
      </c>
      <c r="W43" s="239"/>
      <c r="X43" s="101" t="e">
        <f>W43/F43</f>
        <v>#DIV/0!</v>
      </c>
      <c r="Y43" s="239"/>
      <c r="Z43" s="101" t="e">
        <f>Y43/F43</f>
        <v>#DIV/0!</v>
      </c>
      <c r="AA43" s="239"/>
      <c r="AB43" s="101" t="e">
        <f t="shared" si="48"/>
        <v>#DIV/0!</v>
      </c>
      <c r="AC43" s="232">
        <f>SUM(Y43+AA43)</f>
        <v>0</v>
      </c>
      <c r="AD43" s="101" t="e">
        <f>AC43/F43</f>
        <v>#DIV/0!</v>
      </c>
      <c r="AE43" s="239"/>
      <c r="AF43" s="101" t="e">
        <f>AE43/F43</f>
        <v>#DIV/0!</v>
      </c>
      <c r="AG43" s="239"/>
      <c r="AH43" s="101" t="e">
        <f>AG43/F43</f>
        <v>#DIV/0!</v>
      </c>
      <c r="AI43" s="239"/>
      <c r="AJ43" s="101" t="e">
        <f>AI43/F43</f>
        <v>#DIV/0!</v>
      </c>
      <c r="AK43" s="239"/>
      <c r="AL43" s="101" t="e">
        <f>AK43/F43</f>
        <v>#DIV/0!</v>
      </c>
    </row>
    <row r="44" spans="2:38" ht="14.25">
      <c r="B44" s="98"/>
      <c r="C44" s="83"/>
      <c r="D44" s="86"/>
      <c r="E44" s="86"/>
      <c r="F44" s="233">
        <f t="shared" si="18"/>
        <v>0</v>
      </c>
      <c r="G44" s="233"/>
      <c r="H44" s="97"/>
      <c r="I44" s="239"/>
      <c r="J44" s="101" t="e">
        <f>I44/F44</f>
        <v>#DIV/0!</v>
      </c>
      <c r="K44" s="239"/>
      <c r="L44" s="101" t="e">
        <f>K44/F44</f>
        <v>#DIV/0!</v>
      </c>
      <c r="M44" s="232">
        <f>SUM(I44+K44)</f>
        <v>0</v>
      </c>
      <c r="N44" s="101" t="e">
        <f>M44/F44</f>
        <v>#DIV/0!</v>
      </c>
      <c r="O44" s="239"/>
      <c r="P44" s="101" t="e">
        <f>O44/F44</f>
        <v>#DIV/0!</v>
      </c>
      <c r="Q44" s="239"/>
      <c r="R44" s="101" t="e">
        <f t="shared" si="42"/>
        <v>#DIV/0!</v>
      </c>
      <c r="S44" s="232">
        <f t="shared" si="43"/>
        <v>0</v>
      </c>
      <c r="T44" s="101" t="e">
        <f>S44/F44</f>
        <v>#DIV/0!</v>
      </c>
      <c r="U44" s="239"/>
      <c r="V44" s="101" t="e">
        <f>U44/F44</f>
        <v>#DIV/0!</v>
      </c>
      <c r="W44" s="239"/>
      <c r="X44" s="101" t="e">
        <f>W44/F44</f>
        <v>#DIV/0!</v>
      </c>
      <c r="Y44" s="239"/>
      <c r="Z44" s="101" t="e">
        <f>Y44/F44</f>
        <v>#DIV/0!</v>
      </c>
      <c r="AA44" s="239"/>
      <c r="AB44" s="101" t="e">
        <f t="shared" si="48"/>
        <v>#DIV/0!</v>
      </c>
      <c r="AC44" s="232">
        <f>SUM(Y44+AA44)</f>
        <v>0</v>
      </c>
      <c r="AD44" s="101" t="e">
        <f>AC44/F44</f>
        <v>#DIV/0!</v>
      </c>
      <c r="AE44" s="239"/>
      <c r="AF44" s="101" t="e">
        <f>AE44/F44</f>
        <v>#DIV/0!</v>
      </c>
      <c r="AG44" s="239"/>
      <c r="AH44" s="101" t="e">
        <f>AG44/F44</f>
        <v>#DIV/0!</v>
      </c>
      <c r="AI44" s="239"/>
      <c r="AJ44" s="101" t="e">
        <f>AI44/F44</f>
        <v>#DIV/0!</v>
      </c>
      <c r="AK44" s="239"/>
      <c r="AL44" s="101" t="e">
        <f>AK44/F44</f>
        <v>#DIV/0!</v>
      </c>
    </row>
    <row r="45" spans="2:38" ht="14.25">
      <c r="B45" s="98"/>
      <c r="C45" s="83"/>
      <c r="D45" s="86"/>
      <c r="E45" s="86"/>
      <c r="F45" s="233">
        <f t="shared" si="18"/>
        <v>0</v>
      </c>
      <c r="G45" s="233"/>
      <c r="H45" s="97"/>
      <c r="I45" s="239"/>
      <c r="J45" s="101" t="e">
        <f>I45/F45</f>
        <v>#DIV/0!</v>
      </c>
      <c r="K45" s="239"/>
      <c r="L45" s="101" t="e">
        <f>K45/F45</f>
        <v>#DIV/0!</v>
      </c>
      <c r="M45" s="232">
        <f>SUM(I45+K45)</f>
        <v>0</v>
      </c>
      <c r="N45" s="101" t="e">
        <f>M45/F45</f>
        <v>#DIV/0!</v>
      </c>
      <c r="O45" s="239"/>
      <c r="P45" s="101" t="e">
        <f>O45/F45</f>
        <v>#DIV/0!</v>
      </c>
      <c r="Q45" s="239"/>
      <c r="R45" s="101" t="e">
        <f t="shared" si="42"/>
        <v>#DIV/0!</v>
      </c>
      <c r="S45" s="232">
        <f t="shared" si="43"/>
        <v>0</v>
      </c>
      <c r="T45" s="101" t="e">
        <f>S45/F45</f>
        <v>#DIV/0!</v>
      </c>
      <c r="U45" s="239"/>
      <c r="V45" s="101" t="e">
        <f>U45/F45</f>
        <v>#DIV/0!</v>
      </c>
      <c r="W45" s="239"/>
      <c r="X45" s="101" t="e">
        <f>W45/F45</f>
        <v>#DIV/0!</v>
      </c>
      <c r="Y45" s="239"/>
      <c r="Z45" s="101" t="e">
        <f>Y45/F45</f>
        <v>#DIV/0!</v>
      </c>
      <c r="AA45" s="239"/>
      <c r="AB45" s="101" t="e">
        <f t="shared" si="48"/>
        <v>#DIV/0!</v>
      </c>
      <c r="AC45" s="232">
        <f>SUM(Y45+AA45)</f>
        <v>0</v>
      </c>
      <c r="AD45" s="101" t="e">
        <f>AC45/F45</f>
        <v>#DIV/0!</v>
      </c>
      <c r="AE45" s="239"/>
      <c r="AF45" s="101" t="e">
        <f>AE45/F45</f>
        <v>#DIV/0!</v>
      </c>
      <c r="AG45" s="239"/>
      <c r="AH45" s="101" t="e">
        <f>AG45/F45</f>
        <v>#DIV/0!</v>
      </c>
      <c r="AI45" s="239"/>
      <c r="AJ45" s="101" t="e">
        <f>AI45/F45</f>
        <v>#DIV/0!</v>
      </c>
      <c r="AK45" s="239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301">
        <f>SUM(I7:I45)</f>
        <v>22219672.042555992</v>
      </c>
      <c r="J46" s="297" t="e">
        <f>I46/$H$7</f>
        <v>#DIV/0!</v>
      </c>
      <c r="K46" s="301">
        <f>SUM(K7:K45)</f>
        <v>26471991.205878045</v>
      </c>
      <c r="L46" s="297" t="e">
        <f>K46/$H$7</f>
        <v>#DIV/0!</v>
      </c>
      <c r="M46" s="301">
        <f>SUM(M7:M45)</f>
        <v>48691663.248434044</v>
      </c>
      <c r="N46" s="297" t="e">
        <f>M46/$H$7</f>
        <v>#DIV/0!</v>
      </c>
      <c r="O46" s="301">
        <f>SUM(O7:O45)</f>
        <v>7290136.0876274165</v>
      </c>
      <c r="P46" s="297" t="e">
        <f>O46/$H$7</f>
        <v>#DIV/0!</v>
      </c>
      <c r="Q46" s="301">
        <f>SUM(Q7:Q45)</f>
        <v>3551314.7518633753</v>
      </c>
      <c r="R46" s="297" t="e">
        <f>Q46/$H$7</f>
        <v>#DIV/0!</v>
      </c>
      <c r="S46" s="301">
        <f>SUM(S7:S45)</f>
        <v>10841450.83949079</v>
      </c>
      <c r="T46" s="297" t="e">
        <f>S46/$H$7</f>
        <v>#DIV/0!</v>
      </c>
      <c r="U46" s="301">
        <f>SUM(U7:U45)</f>
        <v>22206395.673126295</v>
      </c>
      <c r="V46" s="297" t="e">
        <f>U46/$H$7</f>
        <v>#DIV/0!</v>
      </c>
      <c r="W46" s="301">
        <f>SUM(W7:W45)</f>
        <v>3804687.1545786248</v>
      </c>
      <c r="X46" s="297" t="e">
        <f>W46/$H$7</f>
        <v>#DIV/0!</v>
      </c>
      <c r="Y46" s="301">
        <f>SUM(Y7:Y45)</f>
        <v>22986664.463356107</v>
      </c>
      <c r="Z46" s="297" t="e">
        <f>Y46/$H$7</f>
        <v>#DIV/0!</v>
      </c>
      <c r="AA46" s="301">
        <f>SUM(AA7:AA45)</f>
        <v>38821322.014397264</v>
      </c>
      <c r="AB46" s="297" t="e">
        <f>AA46/$H$7</f>
        <v>#DIV/0!</v>
      </c>
      <c r="AC46" s="301">
        <f>SUM(AC7:AC45)</f>
        <v>61807986.477753401</v>
      </c>
      <c r="AD46" s="297" t="e">
        <f>AC46/$H$7</f>
        <v>#DIV/0!</v>
      </c>
      <c r="AE46" s="301">
        <f>SUM(AE7:AE45)</f>
        <v>35929596.520615406</v>
      </c>
      <c r="AF46" s="297" t="e">
        <f>AE46/$H$7</f>
        <v>#DIV/0!</v>
      </c>
      <c r="AG46" s="301">
        <f>SUM(AG7:AG45)</f>
        <v>34324581.017092362</v>
      </c>
      <c r="AH46" s="297" t="e">
        <f>AG46/$H$7</f>
        <v>#DIV/0!</v>
      </c>
      <c r="AI46" s="301">
        <f>SUM(AI7:AI45)</f>
        <v>17203975.825778559</v>
      </c>
      <c r="AJ46" s="297" t="e">
        <f>AI46/$H$7</f>
        <v>#DIV/0!</v>
      </c>
      <c r="AK46" s="301">
        <f>SUM(AK7:AK45)</f>
        <v>19866978.243130539</v>
      </c>
      <c r="AL46" s="297" t="e">
        <f>AK46/$H$7</f>
        <v>#DIV/0!</v>
      </c>
    </row>
    <row r="47" spans="2:38" ht="14.25">
      <c r="B47" s="98"/>
      <c r="C47" s="83"/>
      <c r="D47" s="84"/>
      <c r="F47" s="97"/>
      <c r="G47" s="97"/>
      <c r="H47" s="97"/>
      <c r="I47" s="298"/>
      <c r="J47" s="299"/>
      <c r="K47" s="298"/>
      <c r="L47" s="299"/>
      <c r="M47" s="300">
        <f>M46</f>
        <v>48691663.248434044</v>
      </c>
      <c r="N47" s="299"/>
      <c r="O47" s="298"/>
      <c r="P47" s="299"/>
      <c r="Q47" s="298"/>
      <c r="R47" s="299"/>
      <c r="S47" s="300">
        <f>S46</f>
        <v>10841450.83949079</v>
      </c>
      <c r="T47" s="299"/>
      <c r="U47" s="300">
        <f>U46</f>
        <v>22206395.673126295</v>
      </c>
      <c r="V47" s="299"/>
      <c r="W47" s="300">
        <f>W46</f>
        <v>3804687.1545786248</v>
      </c>
      <c r="X47" s="299"/>
      <c r="Y47" s="298"/>
      <c r="Z47" s="299"/>
      <c r="AA47" s="298"/>
      <c r="AB47" s="299"/>
      <c r="AC47" s="300">
        <f>AC46</f>
        <v>61807986.477753401</v>
      </c>
      <c r="AD47" s="299"/>
      <c r="AE47" s="300">
        <f>AE46</f>
        <v>35929596.520615406</v>
      </c>
      <c r="AF47" s="299"/>
      <c r="AG47" s="300">
        <f>AG46</f>
        <v>34324581.017092362</v>
      </c>
      <c r="AH47" s="299"/>
      <c r="AI47" s="300">
        <f>AI46</f>
        <v>17203975.825778559</v>
      </c>
      <c r="AJ47" s="299"/>
      <c r="AK47" s="300">
        <f>AK46</f>
        <v>19866978.243130539</v>
      </c>
      <c r="AL47" s="299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3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C7:C37"/>
    <mergeCell ref="G5:G6"/>
    <mergeCell ref="H5:H6"/>
    <mergeCell ref="I5:J5"/>
    <mergeCell ref="K5:L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60" zoomScaleNormal="6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M58" sqref="M58"/>
    </sheetView>
  </sheetViews>
  <sheetFormatPr defaultColWidth="8.85546875" defaultRowHeight="16.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59" t="s">
        <v>320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59"/>
    </row>
    <row r="3" spans="1:38" ht="25.35" customHeight="1">
      <c r="B3" s="98"/>
      <c r="C3" s="560" t="s">
        <v>139</v>
      </c>
      <c r="D3" s="561" t="s">
        <v>105</v>
      </c>
      <c r="E3" s="561"/>
      <c r="F3" s="569" t="s">
        <v>148</v>
      </c>
      <c r="G3" s="570"/>
      <c r="H3" s="570"/>
      <c r="I3" s="568" t="s">
        <v>318</v>
      </c>
      <c r="J3" s="568"/>
      <c r="K3" s="568"/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568"/>
      <c r="AJ3" s="568"/>
      <c r="AK3" s="568"/>
      <c r="AL3" s="568"/>
    </row>
    <row r="4" spans="1:38" ht="25.35" customHeight="1">
      <c r="B4" s="98"/>
      <c r="C4" s="560"/>
      <c r="D4" s="561"/>
      <c r="E4" s="561"/>
      <c r="F4" s="570"/>
      <c r="G4" s="570"/>
      <c r="H4" s="570"/>
      <c r="I4" s="565" t="s">
        <v>140</v>
      </c>
      <c r="J4" s="565"/>
      <c r="K4" s="565"/>
      <c r="L4" s="565"/>
      <c r="M4" s="565"/>
      <c r="N4" s="565"/>
      <c r="O4" s="565" t="s">
        <v>141</v>
      </c>
      <c r="P4" s="565"/>
      <c r="Q4" s="565"/>
      <c r="R4" s="565"/>
      <c r="S4" s="565"/>
      <c r="T4" s="565"/>
      <c r="U4" s="565" t="s">
        <v>142</v>
      </c>
      <c r="V4" s="565"/>
      <c r="W4" s="565" t="s">
        <v>143</v>
      </c>
      <c r="X4" s="565"/>
      <c r="Y4" s="565" t="s">
        <v>134</v>
      </c>
      <c r="Z4" s="565"/>
      <c r="AA4" s="565"/>
      <c r="AB4" s="565"/>
      <c r="AC4" s="565"/>
      <c r="AD4" s="565"/>
      <c r="AE4" s="565" t="s">
        <v>132</v>
      </c>
      <c r="AF4" s="565"/>
      <c r="AG4" s="565" t="s">
        <v>144</v>
      </c>
      <c r="AH4" s="565"/>
      <c r="AI4" s="565" t="s">
        <v>145</v>
      </c>
      <c r="AJ4" s="565"/>
      <c r="AK4" s="565" t="s">
        <v>138</v>
      </c>
      <c r="AL4" s="565"/>
    </row>
    <row r="5" spans="1:38" ht="25.35" customHeight="1">
      <c r="B5" s="98"/>
      <c r="C5" s="560"/>
      <c r="D5" s="561"/>
      <c r="E5" s="561"/>
      <c r="F5" s="567" t="s">
        <v>115</v>
      </c>
      <c r="G5" s="567" t="s">
        <v>117</v>
      </c>
      <c r="H5" s="567" t="s">
        <v>118</v>
      </c>
      <c r="I5" s="565" t="s">
        <v>129</v>
      </c>
      <c r="J5" s="565"/>
      <c r="K5" s="565" t="s">
        <v>130</v>
      </c>
      <c r="L5" s="565"/>
      <c r="M5" s="566" t="s">
        <v>146</v>
      </c>
      <c r="N5" s="565"/>
      <c r="O5" s="565" t="s">
        <v>129</v>
      </c>
      <c r="P5" s="565"/>
      <c r="Q5" s="565" t="s">
        <v>130</v>
      </c>
      <c r="R5" s="565"/>
      <c r="S5" s="566" t="s">
        <v>146</v>
      </c>
      <c r="T5" s="565"/>
      <c r="U5" s="565" t="s">
        <v>129</v>
      </c>
      <c r="V5" s="565"/>
      <c r="W5" s="565" t="s">
        <v>129</v>
      </c>
      <c r="X5" s="565"/>
      <c r="Y5" s="565" t="s">
        <v>129</v>
      </c>
      <c r="Z5" s="565"/>
      <c r="AA5" s="565" t="s">
        <v>130</v>
      </c>
      <c r="AB5" s="565"/>
      <c r="AC5" s="566" t="s">
        <v>146</v>
      </c>
      <c r="AD5" s="565"/>
      <c r="AE5" s="565" t="s">
        <v>129</v>
      </c>
      <c r="AF5" s="565"/>
      <c r="AG5" s="565" t="s">
        <v>129</v>
      </c>
      <c r="AH5" s="565"/>
      <c r="AI5" s="565" t="s">
        <v>129</v>
      </c>
      <c r="AJ5" s="565"/>
      <c r="AK5" s="565" t="s">
        <v>129</v>
      </c>
      <c r="AL5" s="565"/>
    </row>
    <row r="6" spans="1:38" s="80" customFormat="1" ht="23.45" customHeight="1">
      <c r="B6" s="98"/>
      <c r="C6" s="560"/>
      <c r="D6" s="561"/>
      <c r="E6" s="561"/>
      <c r="F6" s="567"/>
      <c r="G6" s="567"/>
      <c r="H6" s="567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86">
        <v>45930</v>
      </c>
      <c r="E7" s="86" t="s">
        <v>617</v>
      </c>
      <c r="F7" s="88">
        <f>SUM(M7,S7,U7,W7,AC7,AE7,AG7,AI7,AK7)</f>
        <v>261840</v>
      </c>
      <c r="G7" s="353">
        <f>SUM(F7:F13)</f>
        <v>1549527</v>
      </c>
      <c r="H7" s="382"/>
      <c r="I7" s="240">
        <v>37161</v>
      </c>
      <c r="J7" s="101">
        <f t="shared" ref="J7:J11" si="0">I7/F7</f>
        <v>0.14192254812098992</v>
      </c>
      <c r="K7" s="240">
        <v>44731</v>
      </c>
      <c r="L7" s="101">
        <f t="shared" ref="L7:L11" si="1">K7/F7</f>
        <v>0.17083333333333334</v>
      </c>
      <c r="M7" s="106">
        <f t="shared" ref="M7:M11" si="2">SUM(I7+K7)</f>
        <v>81892</v>
      </c>
      <c r="N7" s="101">
        <f t="shared" ref="N7:N11" si="3">M7/F7</f>
        <v>0.31275588145432326</v>
      </c>
      <c r="O7" s="240">
        <v>10511</v>
      </c>
      <c r="P7" s="101">
        <f t="shared" ref="P7:P11" si="4">O7/F7</f>
        <v>4.0142835319278952E-2</v>
      </c>
      <c r="Q7" s="240">
        <v>3914</v>
      </c>
      <c r="R7" s="101">
        <f t="shared" ref="R7:R11" si="5">Q7/D7</f>
        <v>8.5216634008273465E-2</v>
      </c>
      <c r="S7" s="106">
        <f t="shared" ref="S7:S13" si="6">SUM(O7+Q7)</f>
        <v>14425</v>
      </c>
      <c r="T7" s="101">
        <f t="shared" ref="T7:T11" si="7">S7/F7</f>
        <v>5.509089520317751E-2</v>
      </c>
      <c r="U7" s="240">
        <v>31413</v>
      </c>
      <c r="V7" s="101">
        <f t="shared" ref="V7:V11" si="8">U7/F7</f>
        <v>0.11997021081576535</v>
      </c>
      <c r="W7" s="240">
        <v>602</v>
      </c>
      <c r="X7" s="101">
        <f t="shared" ref="X7:X11" si="9">W7/F7</f>
        <v>2.2991139627253285E-3</v>
      </c>
      <c r="Y7" s="240">
        <v>26064</v>
      </c>
      <c r="Z7" s="101">
        <f t="shared" ref="Z7:Z11" si="10">Y7/F7</f>
        <v>9.9541704857928501E-2</v>
      </c>
      <c r="AA7" s="240">
        <v>21125</v>
      </c>
      <c r="AB7" s="101">
        <f t="shared" ref="AB7:AB11" si="11">AA7/D7</f>
        <v>0.45993903766601352</v>
      </c>
      <c r="AC7" s="106">
        <f t="shared" ref="AC7:AC11" si="12">SUM(Y7+AA7)</f>
        <v>47189</v>
      </c>
      <c r="AD7" s="101">
        <f t="shared" ref="AD7:AD11" si="13">AC7/F7</f>
        <v>0.18022074549343109</v>
      </c>
      <c r="AE7" s="240">
        <v>22203</v>
      </c>
      <c r="AF7" s="101">
        <f t="shared" ref="AF7:AF11" si="14">AE7/F7</f>
        <v>8.4796058661778181E-2</v>
      </c>
      <c r="AG7" s="240">
        <v>23873</v>
      </c>
      <c r="AH7" s="101">
        <f t="shared" ref="AH7:AH11" si="15">AG7/F7</f>
        <v>9.1173999388939816E-2</v>
      </c>
      <c r="AI7" s="240">
        <v>17743</v>
      </c>
      <c r="AJ7" s="101">
        <f t="shared" ref="AJ7:AJ11" si="16">AI7/F7</f>
        <v>6.776275588145432E-2</v>
      </c>
      <c r="AK7" s="240">
        <v>22500</v>
      </c>
      <c r="AL7" s="101">
        <f t="shared" ref="AL7:AL11" si="17">AK7/F7</f>
        <v>8.5930339138405129E-2</v>
      </c>
    </row>
    <row r="8" spans="1:38" ht="14.25">
      <c r="B8" s="98"/>
      <c r="C8" s="83"/>
      <c r="D8" s="86">
        <v>45931</v>
      </c>
      <c r="E8" s="86" t="s">
        <v>618</v>
      </c>
      <c r="F8" s="88">
        <f t="shared" ref="F8:F45" si="18">SUM(M8,S8,U8,W8,AC8,AE8,AG8,AI8,AK8)</f>
        <v>244804</v>
      </c>
      <c r="G8" s="353"/>
      <c r="H8" s="564">
        <f>SUM(F8:F38)</f>
        <v>6964636</v>
      </c>
      <c r="I8" s="240">
        <v>36984</v>
      </c>
      <c r="J8" s="101">
        <f t="shared" si="0"/>
        <v>0.15107596281106517</v>
      </c>
      <c r="K8" s="240">
        <v>43605</v>
      </c>
      <c r="L8" s="101">
        <f t="shared" si="1"/>
        <v>0.17812208950834138</v>
      </c>
      <c r="M8" s="106">
        <f t="shared" si="2"/>
        <v>80589</v>
      </c>
      <c r="N8" s="101">
        <f t="shared" si="3"/>
        <v>0.32919805231940652</v>
      </c>
      <c r="O8" s="240">
        <v>8621</v>
      </c>
      <c r="P8" s="101">
        <f t="shared" si="4"/>
        <v>3.5215927844316271E-2</v>
      </c>
      <c r="Q8" s="240">
        <v>3793</v>
      </c>
      <c r="R8" s="101">
        <f t="shared" si="5"/>
        <v>8.2580392327621863E-2</v>
      </c>
      <c r="S8" s="106">
        <f t="shared" si="6"/>
        <v>12414</v>
      </c>
      <c r="T8" s="101">
        <f t="shared" si="7"/>
        <v>5.0709955719677784E-2</v>
      </c>
      <c r="U8" s="240">
        <v>21238</v>
      </c>
      <c r="V8" s="101">
        <f t="shared" si="8"/>
        <v>8.6755118380418619E-2</v>
      </c>
      <c r="W8" s="240">
        <v>5550</v>
      </c>
      <c r="X8" s="101">
        <f t="shared" si="9"/>
        <v>2.2671198183036225E-2</v>
      </c>
      <c r="Y8" s="240">
        <v>25636</v>
      </c>
      <c r="Z8" s="101">
        <f t="shared" si="10"/>
        <v>0.10472051110275976</v>
      </c>
      <c r="AA8" s="240">
        <v>19556</v>
      </c>
      <c r="AB8" s="101">
        <f t="shared" si="11"/>
        <v>0.42576908841523153</v>
      </c>
      <c r="AC8" s="106">
        <f t="shared" si="12"/>
        <v>45192</v>
      </c>
      <c r="AD8" s="101">
        <f t="shared" si="13"/>
        <v>0.18460482671851766</v>
      </c>
      <c r="AE8" s="240">
        <v>18749</v>
      </c>
      <c r="AF8" s="101">
        <f t="shared" si="14"/>
        <v>7.658780085292724E-2</v>
      </c>
      <c r="AG8" s="240">
        <v>22653</v>
      </c>
      <c r="AH8" s="101">
        <f t="shared" si="15"/>
        <v>9.2535252691949482E-2</v>
      </c>
      <c r="AI8" s="240">
        <v>17404</v>
      </c>
      <c r="AJ8" s="101">
        <f t="shared" si="16"/>
        <v>7.1093609581542788E-2</v>
      </c>
      <c r="AK8" s="240">
        <v>21015</v>
      </c>
      <c r="AL8" s="101">
        <f t="shared" si="17"/>
        <v>8.5844185552523655E-2</v>
      </c>
    </row>
    <row r="9" spans="1:38" ht="14.25">
      <c r="B9" s="98"/>
      <c r="C9" s="83"/>
      <c r="D9" s="86">
        <v>45932</v>
      </c>
      <c r="E9" s="86" t="s">
        <v>619</v>
      </c>
      <c r="F9" s="88">
        <f t="shared" si="18"/>
        <v>223462</v>
      </c>
      <c r="G9" s="353"/>
      <c r="H9" s="564"/>
      <c r="I9" s="240">
        <v>32772</v>
      </c>
      <c r="J9" s="101">
        <f t="shared" si="0"/>
        <v>0.14665580725134475</v>
      </c>
      <c r="K9" s="240">
        <v>39376</v>
      </c>
      <c r="L9" s="101">
        <f t="shared" si="1"/>
        <v>0.17620893037742436</v>
      </c>
      <c r="M9" s="106">
        <f t="shared" si="2"/>
        <v>72148</v>
      </c>
      <c r="N9" s="101">
        <f t="shared" si="3"/>
        <v>0.32286473762876911</v>
      </c>
      <c r="O9" s="240">
        <v>7838</v>
      </c>
      <c r="P9" s="101">
        <f t="shared" si="4"/>
        <v>3.5075314818626878E-2</v>
      </c>
      <c r="Q9" s="240">
        <v>3597</v>
      </c>
      <c r="R9" s="101">
        <f t="shared" si="5"/>
        <v>7.8311416877122703E-2</v>
      </c>
      <c r="S9" s="106">
        <f t="shared" si="6"/>
        <v>11435</v>
      </c>
      <c r="T9" s="101">
        <f t="shared" si="7"/>
        <v>5.1172011348685681E-2</v>
      </c>
      <c r="U9" s="240">
        <v>20200</v>
      </c>
      <c r="V9" s="101">
        <f t="shared" si="8"/>
        <v>9.0395682487402776E-2</v>
      </c>
      <c r="W9" s="240">
        <v>4698</v>
      </c>
      <c r="X9" s="101">
        <f t="shared" si="9"/>
        <v>2.1023708729000903E-2</v>
      </c>
      <c r="Y9" s="240">
        <v>23661</v>
      </c>
      <c r="Z9" s="101">
        <f t="shared" si="10"/>
        <v>0.10588377442249688</v>
      </c>
      <c r="AA9" s="240">
        <v>18147</v>
      </c>
      <c r="AB9" s="101">
        <f t="shared" si="11"/>
        <v>0.39508403727248975</v>
      </c>
      <c r="AC9" s="106">
        <f t="shared" si="12"/>
        <v>41808</v>
      </c>
      <c r="AD9" s="101">
        <f t="shared" si="13"/>
        <v>0.18709221254620473</v>
      </c>
      <c r="AE9" s="240">
        <v>18170</v>
      </c>
      <c r="AF9" s="101">
        <f t="shared" si="14"/>
        <v>8.1311363900797448E-2</v>
      </c>
      <c r="AG9" s="240">
        <v>20188</v>
      </c>
      <c r="AH9" s="101">
        <f t="shared" si="15"/>
        <v>9.0341982081964714E-2</v>
      </c>
      <c r="AI9" s="240">
        <v>15880</v>
      </c>
      <c r="AJ9" s="101">
        <f t="shared" si="16"/>
        <v>7.1063536529700794E-2</v>
      </c>
      <c r="AK9" s="240">
        <v>18935</v>
      </c>
      <c r="AL9" s="101">
        <f t="shared" si="17"/>
        <v>8.4734764747473837E-2</v>
      </c>
    </row>
    <row r="10" spans="1:38" ht="14.25">
      <c r="B10" s="98"/>
      <c r="C10" s="83"/>
      <c r="D10" s="86">
        <v>45933</v>
      </c>
      <c r="E10" s="86" t="s">
        <v>620</v>
      </c>
      <c r="F10" s="88">
        <f t="shared" si="18"/>
        <v>190714</v>
      </c>
      <c r="G10" s="353"/>
      <c r="H10" s="564"/>
      <c r="I10" s="240">
        <v>24857</v>
      </c>
      <c r="J10" s="101">
        <f t="shared" si="0"/>
        <v>0.13033652484872638</v>
      </c>
      <c r="K10" s="240">
        <v>35527</v>
      </c>
      <c r="L10" s="101">
        <f t="shared" si="1"/>
        <v>0.18628417420850069</v>
      </c>
      <c r="M10" s="106">
        <f t="shared" si="2"/>
        <v>60384</v>
      </c>
      <c r="N10" s="101">
        <f t="shared" si="3"/>
        <v>0.31662069905722706</v>
      </c>
      <c r="O10" s="240">
        <v>7665</v>
      </c>
      <c r="P10" s="101">
        <f t="shared" si="4"/>
        <v>4.0191071447298048E-2</v>
      </c>
      <c r="Q10" s="240">
        <v>2973</v>
      </c>
      <c r="R10" s="101">
        <f t="shared" si="5"/>
        <v>6.4724707726471167E-2</v>
      </c>
      <c r="S10" s="106">
        <f t="shared" si="6"/>
        <v>10638</v>
      </c>
      <c r="T10" s="101">
        <f t="shared" si="7"/>
        <v>5.5779858846230483E-2</v>
      </c>
      <c r="U10" s="240">
        <v>16523</v>
      </c>
      <c r="V10" s="101">
        <f t="shared" si="8"/>
        <v>8.6637582977652394E-2</v>
      </c>
      <c r="W10" s="240">
        <v>3339</v>
      </c>
      <c r="X10" s="101">
        <f t="shared" si="9"/>
        <v>1.7507891397590108E-2</v>
      </c>
      <c r="Y10" s="240">
        <v>21627</v>
      </c>
      <c r="Z10" s="101">
        <f t="shared" si="10"/>
        <v>0.11340016988789496</v>
      </c>
      <c r="AA10" s="240">
        <v>17642</v>
      </c>
      <c r="AB10" s="101">
        <f t="shared" si="11"/>
        <v>0.38408116169202972</v>
      </c>
      <c r="AC10" s="106">
        <f t="shared" si="12"/>
        <v>39269</v>
      </c>
      <c r="AD10" s="101">
        <f t="shared" si="13"/>
        <v>0.20590517738603353</v>
      </c>
      <c r="AE10" s="240">
        <v>14632</v>
      </c>
      <c r="AF10" s="101">
        <f t="shared" si="14"/>
        <v>7.6722212317921076E-2</v>
      </c>
      <c r="AG10" s="240">
        <v>14892</v>
      </c>
      <c r="AH10" s="101">
        <f t="shared" si="15"/>
        <v>7.8085510240464784E-2</v>
      </c>
      <c r="AI10" s="240">
        <v>15642</v>
      </c>
      <c r="AJ10" s="101">
        <f t="shared" si="16"/>
        <v>8.2018100401648544E-2</v>
      </c>
      <c r="AK10" s="240">
        <v>15395</v>
      </c>
      <c r="AL10" s="101">
        <f t="shared" si="17"/>
        <v>8.0722967375232019E-2</v>
      </c>
    </row>
    <row r="11" spans="1:38" ht="14.25">
      <c r="B11" s="98"/>
      <c r="C11" s="83"/>
      <c r="D11" s="86">
        <v>45934</v>
      </c>
      <c r="E11" s="86" t="s">
        <v>621</v>
      </c>
      <c r="F11" s="88">
        <f t="shared" si="18"/>
        <v>190858</v>
      </c>
      <c r="G11" s="353"/>
      <c r="H11" s="564"/>
      <c r="I11" s="240">
        <v>23799</v>
      </c>
      <c r="J11" s="101">
        <f t="shared" si="0"/>
        <v>0.12469479927485355</v>
      </c>
      <c r="K11" s="240">
        <v>34394</v>
      </c>
      <c r="L11" s="101">
        <f t="shared" si="1"/>
        <v>0.18020727451822821</v>
      </c>
      <c r="M11" s="106">
        <f t="shared" si="2"/>
        <v>58193</v>
      </c>
      <c r="N11" s="101">
        <f t="shared" si="3"/>
        <v>0.30490207379308176</v>
      </c>
      <c r="O11" s="240">
        <v>7604</v>
      </c>
      <c r="P11" s="101">
        <f t="shared" si="4"/>
        <v>3.9841138438001029E-2</v>
      </c>
      <c r="Q11" s="240">
        <v>3020</v>
      </c>
      <c r="R11" s="101">
        <f t="shared" si="5"/>
        <v>6.5746505856228502E-2</v>
      </c>
      <c r="S11" s="106">
        <f t="shared" si="6"/>
        <v>10624</v>
      </c>
      <c r="T11" s="101">
        <f t="shared" si="7"/>
        <v>5.5664420668769449E-2</v>
      </c>
      <c r="U11" s="240">
        <v>16463</v>
      </c>
      <c r="V11" s="101">
        <f t="shared" si="8"/>
        <v>8.6257846147397538E-2</v>
      </c>
      <c r="W11" s="240">
        <v>4209</v>
      </c>
      <c r="X11" s="101">
        <f t="shared" si="9"/>
        <v>2.2053044671955065E-2</v>
      </c>
      <c r="Y11" s="240">
        <v>21136</v>
      </c>
      <c r="Z11" s="101">
        <f t="shared" si="10"/>
        <v>0.11074201762566935</v>
      </c>
      <c r="AA11" s="240">
        <v>18415</v>
      </c>
      <c r="AB11" s="101">
        <f t="shared" si="11"/>
        <v>0.40090129315975093</v>
      </c>
      <c r="AC11" s="106">
        <f t="shared" si="12"/>
        <v>39551</v>
      </c>
      <c r="AD11" s="101">
        <f t="shared" si="13"/>
        <v>0.20722736275136489</v>
      </c>
      <c r="AE11" s="240">
        <v>15402</v>
      </c>
      <c r="AF11" s="101">
        <f t="shared" si="14"/>
        <v>8.069873937691896E-2</v>
      </c>
      <c r="AG11" s="240">
        <v>15502</v>
      </c>
      <c r="AH11" s="101">
        <f t="shared" si="15"/>
        <v>8.1222689119659644E-2</v>
      </c>
      <c r="AI11" s="240">
        <v>15473</v>
      </c>
      <c r="AJ11" s="101">
        <f t="shared" si="16"/>
        <v>8.1070743694264841E-2</v>
      </c>
      <c r="AK11" s="240">
        <v>15441</v>
      </c>
      <c r="AL11" s="101">
        <f t="shared" si="17"/>
        <v>8.0903079776587825E-2</v>
      </c>
    </row>
    <row r="12" spans="1:38" ht="14.25">
      <c r="B12" s="98"/>
      <c r="C12" s="83"/>
      <c r="D12" s="86">
        <v>45935</v>
      </c>
      <c r="E12" s="86" t="s">
        <v>622</v>
      </c>
      <c r="F12" s="88">
        <f t="shared" si="18"/>
        <v>199802</v>
      </c>
      <c r="G12" s="353"/>
      <c r="H12" s="564"/>
      <c r="I12" s="240">
        <v>26223</v>
      </c>
      <c r="J12" s="101">
        <f>I12/F12</f>
        <v>0.13124493248315833</v>
      </c>
      <c r="K12" s="240">
        <v>37473</v>
      </c>
      <c r="L12" s="101">
        <f>K12/F12</f>
        <v>0.18755067516841673</v>
      </c>
      <c r="M12" s="106">
        <f>SUM(I12+K12)</f>
        <v>63696</v>
      </c>
      <c r="N12" s="101">
        <f>M12/F12</f>
        <v>0.31879560765157505</v>
      </c>
      <c r="O12" s="240">
        <v>7786</v>
      </c>
      <c r="P12" s="101">
        <f>O12/F12</f>
        <v>3.8968578893104171E-2</v>
      </c>
      <c r="Q12" s="240">
        <v>2999</v>
      </c>
      <c r="R12" s="101">
        <f>Q12/D12</f>
        <v>6.5287906824861214E-2</v>
      </c>
      <c r="S12" s="106">
        <f t="shared" si="6"/>
        <v>10785</v>
      </c>
      <c r="T12" s="101">
        <f>S12/F12</f>
        <v>5.3978438654267727E-2</v>
      </c>
      <c r="U12" s="240">
        <v>18203</v>
      </c>
      <c r="V12" s="101">
        <f>U12/F12</f>
        <v>9.1105194142200779E-2</v>
      </c>
      <c r="W12" s="240">
        <v>5125</v>
      </c>
      <c r="X12" s="101">
        <f>W12/F12</f>
        <v>2.5650393889951051E-2</v>
      </c>
      <c r="Y12" s="240">
        <v>18900</v>
      </c>
      <c r="Z12" s="101">
        <f>Y12/F12</f>
        <v>9.4593647711234116E-2</v>
      </c>
      <c r="AA12" s="240">
        <v>18506</v>
      </c>
      <c r="AB12" s="101">
        <f>AA12/D12</f>
        <v>0.40287362577555241</v>
      </c>
      <c r="AC12" s="106">
        <f>SUM(Y12+AA12)</f>
        <v>37406</v>
      </c>
      <c r="AD12" s="101">
        <f>AC12/F12</f>
        <v>0.18721534318975785</v>
      </c>
      <c r="AE12" s="240">
        <v>17630</v>
      </c>
      <c r="AF12" s="101">
        <f>AE12/F12</f>
        <v>8.823735498143162E-2</v>
      </c>
      <c r="AG12" s="240">
        <v>16709</v>
      </c>
      <c r="AH12" s="101">
        <f>AG12/F12</f>
        <v>8.3627791513598462E-2</v>
      </c>
      <c r="AI12" s="240">
        <v>13316</v>
      </c>
      <c r="AJ12" s="101">
        <f>AI12/F12</f>
        <v>6.6645979519724521E-2</v>
      </c>
      <c r="AK12" s="240">
        <v>16932</v>
      </c>
      <c r="AL12" s="101">
        <f>AK12/F12</f>
        <v>8.4743896457492918E-2</v>
      </c>
    </row>
    <row r="13" spans="1:38" ht="14.25">
      <c r="B13" s="98"/>
      <c r="C13" s="83"/>
      <c r="D13" s="86">
        <v>45936</v>
      </c>
      <c r="E13" s="86" t="s">
        <v>616</v>
      </c>
      <c r="F13" s="88">
        <f t="shared" si="18"/>
        <v>238047</v>
      </c>
      <c r="G13" s="353"/>
      <c r="H13" s="564"/>
      <c r="I13" s="240">
        <v>33645</v>
      </c>
      <c r="J13" s="101">
        <f>I13/F13</f>
        <v>0.14133763500485197</v>
      </c>
      <c r="K13" s="240">
        <v>45682</v>
      </c>
      <c r="L13" s="101">
        <f>K13/F13</f>
        <v>0.19190327960444786</v>
      </c>
      <c r="M13" s="106">
        <f>SUM(I13+K13)</f>
        <v>79327</v>
      </c>
      <c r="N13" s="101">
        <f>M13/F13</f>
        <v>0.33324091460929983</v>
      </c>
      <c r="O13" s="240">
        <v>8563</v>
      </c>
      <c r="P13" s="101">
        <f>O13/F13</f>
        <v>3.597188790448945E-2</v>
      </c>
      <c r="Q13" s="240">
        <v>3801</v>
      </c>
      <c r="R13" s="101">
        <f>Q13/D13</f>
        <v>8.2745559038662486E-2</v>
      </c>
      <c r="S13" s="106">
        <f t="shared" si="6"/>
        <v>12364</v>
      </c>
      <c r="T13" s="101">
        <f>S13/F13</f>
        <v>5.193932290682092E-2</v>
      </c>
      <c r="U13" s="240">
        <v>20956</v>
      </c>
      <c r="V13" s="101">
        <f>U13/F13</f>
        <v>8.803303549299088E-2</v>
      </c>
      <c r="W13" s="240">
        <v>4913</v>
      </c>
      <c r="X13" s="101">
        <f>W13/F13</f>
        <v>2.0638781417115108E-2</v>
      </c>
      <c r="Y13" s="240">
        <v>23666</v>
      </c>
      <c r="Z13" s="101">
        <f>Y13/F13</f>
        <v>9.9417341953479774E-2</v>
      </c>
      <c r="AA13" s="240">
        <v>23624</v>
      </c>
      <c r="AB13" s="101">
        <f>AA13/D13</f>
        <v>0.5142807384186695</v>
      </c>
      <c r="AC13" s="106">
        <f>SUM(Y13+AA13)</f>
        <v>47290</v>
      </c>
      <c r="AD13" s="101">
        <f>AC13/F13</f>
        <v>0.19865824816107744</v>
      </c>
      <c r="AE13" s="240">
        <v>18028</v>
      </c>
      <c r="AF13" s="101">
        <f>AE13/F13</f>
        <v>7.5732943494351959E-2</v>
      </c>
      <c r="AG13" s="240">
        <v>20758</v>
      </c>
      <c r="AH13" s="101">
        <f>AG13/F13</f>
        <v>8.7201266976689479E-2</v>
      </c>
      <c r="AI13" s="240">
        <v>14397</v>
      </c>
      <c r="AJ13" s="101">
        <f>AI13/F13</f>
        <v>6.0479653177733808E-2</v>
      </c>
      <c r="AK13" s="240">
        <v>20014</v>
      </c>
      <c r="AL13" s="101">
        <f>AK13/F13</f>
        <v>8.4075833763920568E-2</v>
      </c>
    </row>
    <row r="14" spans="1:38" ht="14.25">
      <c r="B14" s="98"/>
      <c r="C14" s="83"/>
      <c r="D14" s="344">
        <v>45937</v>
      </c>
      <c r="E14" s="344" t="s">
        <v>617</v>
      </c>
      <c r="F14" s="88">
        <f t="shared" si="18"/>
        <v>241200</v>
      </c>
      <c r="G14" s="353">
        <f>SUM(F14:F20)</f>
        <v>1538613</v>
      </c>
      <c r="H14" s="564"/>
      <c r="I14" s="240">
        <v>33354</v>
      </c>
      <c r="J14" s="101">
        <f t="shared" ref="J14" si="19">I14/F14</f>
        <v>0.13828358208955224</v>
      </c>
      <c r="K14" s="240">
        <v>44046</v>
      </c>
      <c r="L14" s="101">
        <f t="shared" ref="L14" si="20">K14/F14</f>
        <v>0.18261194029850747</v>
      </c>
      <c r="M14" s="106">
        <f t="shared" ref="M14" si="21">SUM(I14+K14)</f>
        <v>77400</v>
      </c>
      <c r="N14" s="101">
        <f t="shared" ref="N14" si="22">M14/F14</f>
        <v>0.32089552238805968</v>
      </c>
      <c r="O14" s="240">
        <v>8606</v>
      </c>
      <c r="P14" s="101">
        <f t="shared" ref="P14" si="23">O14/F14</f>
        <v>3.5679933665008289E-2</v>
      </c>
      <c r="Q14" s="240">
        <v>3646</v>
      </c>
      <c r="R14" s="101">
        <f t="shared" ref="R14" si="24">Q14/D14</f>
        <v>7.936957136948429E-2</v>
      </c>
      <c r="S14" s="106">
        <f t="shared" ref="S14" si="25">SUM(O14+Q14)</f>
        <v>12252</v>
      </c>
      <c r="T14" s="101">
        <f t="shared" ref="T14" si="26">S14/F14</f>
        <v>5.0796019900497515E-2</v>
      </c>
      <c r="U14" s="240">
        <v>19628</v>
      </c>
      <c r="V14" s="101">
        <f t="shared" ref="V14" si="27">U14/F14</f>
        <v>8.1376451077943612E-2</v>
      </c>
      <c r="W14" s="240">
        <v>3759</v>
      </c>
      <c r="X14" s="101">
        <f t="shared" ref="X14" si="28">W14/F14</f>
        <v>1.558457711442786E-2</v>
      </c>
      <c r="Y14" s="240">
        <v>23521</v>
      </c>
      <c r="Z14" s="101">
        <f t="shared" ref="Z14" si="29">Y14/F14</f>
        <v>9.751658374792703E-2</v>
      </c>
      <c r="AA14" s="240">
        <v>23657</v>
      </c>
      <c r="AB14" s="101">
        <f t="shared" ref="AB14" si="30">AA14/D14</f>
        <v>0.51498791823584478</v>
      </c>
      <c r="AC14" s="106">
        <f t="shared" ref="AC14" si="31">SUM(Y14+AA14)</f>
        <v>47178</v>
      </c>
      <c r="AD14" s="101">
        <f t="shared" ref="AD14" si="32">AC14/F14</f>
        <v>0.19559701492537312</v>
      </c>
      <c r="AE14" s="240">
        <v>20413</v>
      </c>
      <c r="AF14" s="101">
        <f t="shared" ref="AF14" si="33">AE14/F14</f>
        <v>8.4631011608623546E-2</v>
      </c>
      <c r="AG14" s="240">
        <v>27743</v>
      </c>
      <c r="AH14" s="101">
        <f t="shared" ref="AH14" si="34">AG14/F14</f>
        <v>0.11502072968490878</v>
      </c>
      <c r="AI14" s="240">
        <v>13960</v>
      </c>
      <c r="AJ14" s="101">
        <f t="shared" ref="AJ14" si="35">AI14/F14</f>
        <v>5.7877280265339968E-2</v>
      </c>
      <c r="AK14" s="240">
        <v>18867</v>
      </c>
      <c r="AL14" s="101">
        <f t="shared" ref="AL14" si="36">AK14/F14</f>
        <v>7.8221393034825865E-2</v>
      </c>
    </row>
    <row r="15" spans="1:38" ht="14.25">
      <c r="B15" s="98"/>
      <c r="C15" s="83"/>
      <c r="D15" s="344">
        <v>45938</v>
      </c>
      <c r="E15" s="344" t="s">
        <v>618</v>
      </c>
      <c r="F15" s="88">
        <f t="shared" si="18"/>
        <v>230348</v>
      </c>
      <c r="G15" s="353"/>
      <c r="H15" s="564"/>
      <c r="I15" s="240">
        <v>33077</v>
      </c>
      <c r="J15" s="101">
        <f t="shared" ref="J15:J40" si="37">I15/F15</f>
        <v>0.14359577682463057</v>
      </c>
      <c r="K15" s="240">
        <v>40893</v>
      </c>
      <c r="L15" s="101">
        <f t="shared" ref="L15:L40" si="38">K15/F15</f>
        <v>0.17752704603469532</v>
      </c>
      <c r="M15" s="106">
        <f t="shared" ref="M15:M40" si="39">SUM(I15+K15)</f>
        <v>73970</v>
      </c>
      <c r="N15" s="101">
        <f t="shared" ref="N15:N40" si="40">M15/F15</f>
        <v>0.32112282285932586</v>
      </c>
      <c r="O15" s="240">
        <v>7881</v>
      </c>
      <c r="P15" s="101">
        <f t="shared" ref="P15:P40" si="41">O15/F15</f>
        <v>3.4213450952471913E-2</v>
      </c>
      <c r="Q15" s="240">
        <v>3506</v>
      </c>
      <c r="R15" s="101">
        <f t="shared" ref="R15:R40" si="42">Q15/D15</f>
        <v>7.6320257738691277E-2</v>
      </c>
      <c r="S15" s="106">
        <f t="shared" ref="S15:S45" si="43">SUM(O15+Q15)</f>
        <v>11387</v>
      </c>
      <c r="T15" s="101">
        <f t="shared" ref="T15:T40" si="44">S15/F15</f>
        <v>4.9433900012155522E-2</v>
      </c>
      <c r="U15" s="240">
        <v>19186</v>
      </c>
      <c r="V15" s="101">
        <f t="shared" ref="V15:V40" si="45">U15/F15</f>
        <v>8.3291367843436881E-2</v>
      </c>
      <c r="W15" s="240">
        <v>3722</v>
      </c>
      <c r="X15" s="101">
        <f t="shared" ref="X15:X40" si="46">W15/F15</f>
        <v>1.6158160695990416E-2</v>
      </c>
      <c r="Y15" s="240">
        <v>23545</v>
      </c>
      <c r="Z15" s="101">
        <f t="shared" ref="Z15:Z40" si="47">Y15/F15</f>
        <v>0.10221490961501728</v>
      </c>
      <c r="AA15" s="240">
        <v>23372</v>
      </c>
      <c r="AB15" s="101">
        <f t="shared" ref="AB15:AB40" si="48">AA15/D15</f>
        <v>0.50877269363054556</v>
      </c>
      <c r="AC15" s="106">
        <f t="shared" ref="AC15:AC40" si="49">SUM(Y15+AA15)</f>
        <v>46917</v>
      </c>
      <c r="AD15" s="101">
        <f t="shared" ref="AD15:AD40" si="50">AC15/F15</f>
        <v>0.20367878166947401</v>
      </c>
      <c r="AE15" s="240">
        <v>19340</v>
      </c>
      <c r="AF15" s="101">
        <f t="shared" ref="AF15:AF40" si="51">AE15/F15</f>
        <v>8.395992151006304E-2</v>
      </c>
      <c r="AG15" s="240">
        <v>22964</v>
      </c>
      <c r="AH15" s="101">
        <f t="shared" ref="AH15:AH40" si="52">AG15/F15</f>
        <v>9.9692638963654989E-2</v>
      </c>
      <c r="AI15" s="240">
        <v>14284</v>
      </c>
      <c r="AJ15" s="101">
        <f t="shared" ref="AJ15:AJ40" si="53">AI15/F15</f>
        <v>6.2010523208362998E-2</v>
      </c>
      <c r="AK15" s="240">
        <v>18578</v>
      </c>
      <c r="AL15" s="101">
        <f t="shared" ref="AL15:AL40" si="54">AK15/F15</f>
        <v>8.0651883237536248E-2</v>
      </c>
    </row>
    <row r="16" spans="1:38" ht="14.25">
      <c r="B16" s="98"/>
      <c r="C16" s="83"/>
      <c r="D16" s="344">
        <v>45939</v>
      </c>
      <c r="E16" s="344" t="s">
        <v>619</v>
      </c>
      <c r="F16" s="88">
        <f t="shared" si="18"/>
        <v>200331</v>
      </c>
      <c r="G16" s="353"/>
      <c r="H16" s="564"/>
      <c r="I16" s="240">
        <v>25479</v>
      </c>
      <c r="J16" s="101">
        <f t="shared" si="37"/>
        <v>0.12718450963655151</v>
      </c>
      <c r="K16" s="240">
        <v>37000</v>
      </c>
      <c r="L16" s="101">
        <f t="shared" si="38"/>
        <v>0.18469433088238965</v>
      </c>
      <c r="M16" s="106">
        <f t="shared" si="39"/>
        <v>62479</v>
      </c>
      <c r="N16" s="101">
        <f t="shared" si="40"/>
        <v>0.31187884051894116</v>
      </c>
      <c r="O16" s="240">
        <v>7091</v>
      </c>
      <c r="P16" s="101">
        <f t="shared" si="41"/>
        <v>3.5396418926676353E-2</v>
      </c>
      <c r="Q16" s="240">
        <v>3048</v>
      </c>
      <c r="R16" s="101">
        <f t="shared" si="42"/>
        <v>6.6348853914974207E-2</v>
      </c>
      <c r="S16" s="106">
        <f t="shared" si="43"/>
        <v>10139</v>
      </c>
      <c r="T16" s="101">
        <f t="shared" si="44"/>
        <v>5.0611238400447262E-2</v>
      </c>
      <c r="U16" s="240">
        <v>16759</v>
      </c>
      <c r="V16" s="101">
        <f t="shared" si="45"/>
        <v>8.3656548412377518E-2</v>
      </c>
      <c r="W16" s="240">
        <v>3921</v>
      </c>
      <c r="X16" s="101">
        <f t="shared" si="46"/>
        <v>1.9572607334860805E-2</v>
      </c>
      <c r="Y16" s="240">
        <v>21483</v>
      </c>
      <c r="Z16" s="101">
        <f t="shared" si="47"/>
        <v>0.10723752190125342</v>
      </c>
      <c r="AA16" s="240">
        <v>19685</v>
      </c>
      <c r="AB16" s="101">
        <f t="shared" si="48"/>
        <v>0.42850301486754172</v>
      </c>
      <c r="AC16" s="106">
        <f t="shared" si="49"/>
        <v>41168</v>
      </c>
      <c r="AD16" s="101">
        <f t="shared" si="50"/>
        <v>0.20549989766935722</v>
      </c>
      <c r="AE16" s="240">
        <v>17850</v>
      </c>
      <c r="AF16" s="101">
        <f t="shared" si="51"/>
        <v>8.9102535304071764E-2</v>
      </c>
      <c r="AG16" s="240">
        <v>19112</v>
      </c>
      <c r="AH16" s="101">
        <f t="shared" si="52"/>
        <v>9.5402109508763003E-2</v>
      </c>
      <c r="AI16" s="240">
        <v>12647</v>
      </c>
      <c r="AJ16" s="101">
        <f t="shared" si="53"/>
        <v>6.3130518991069778E-2</v>
      </c>
      <c r="AK16" s="240">
        <v>16256</v>
      </c>
      <c r="AL16" s="101">
        <f t="shared" si="54"/>
        <v>8.1145703860111509E-2</v>
      </c>
    </row>
    <row r="17" spans="2:38" ht="14.25">
      <c r="B17" s="98"/>
      <c r="C17" s="83"/>
      <c r="D17" s="344">
        <v>45940</v>
      </c>
      <c r="E17" s="344" t="s">
        <v>620</v>
      </c>
      <c r="F17" s="88">
        <f t="shared" si="18"/>
        <v>190019</v>
      </c>
      <c r="G17" s="353"/>
      <c r="H17" s="564"/>
      <c r="I17" s="240">
        <v>23873</v>
      </c>
      <c r="J17" s="101">
        <f t="shared" si="37"/>
        <v>0.12563480494055856</v>
      </c>
      <c r="K17" s="240">
        <v>35765</v>
      </c>
      <c r="L17" s="101">
        <f t="shared" si="38"/>
        <v>0.18821802030323284</v>
      </c>
      <c r="M17" s="106">
        <f t="shared" si="39"/>
        <v>59638</v>
      </c>
      <c r="N17" s="101">
        <f t="shared" si="40"/>
        <v>0.31385282524379143</v>
      </c>
      <c r="O17" s="240">
        <v>7227</v>
      </c>
      <c r="P17" s="101">
        <f t="shared" si="41"/>
        <v>3.8033038801383021E-2</v>
      </c>
      <c r="Q17" s="240">
        <v>3010</v>
      </c>
      <c r="R17" s="101">
        <f t="shared" si="42"/>
        <v>6.5520243796255984E-2</v>
      </c>
      <c r="S17" s="106">
        <f t="shared" si="43"/>
        <v>10237</v>
      </c>
      <c r="T17" s="101">
        <f t="shared" si="44"/>
        <v>5.3873560012419809E-2</v>
      </c>
      <c r="U17" s="240">
        <v>16124</v>
      </c>
      <c r="V17" s="101">
        <f t="shared" si="45"/>
        <v>8.4854672427494088E-2</v>
      </c>
      <c r="W17" s="240">
        <v>3284</v>
      </c>
      <c r="X17" s="101">
        <f t="shared" si="46"/>
        <v>1.7282482278087982E-2</v>
      </c>
      <c r="Y17" s="240">
        <v>20058</v>
      </c>
      <c r="Z17" s="101">
        <f t="shared" si="47"/>
        <v>0.10555786526610497</v>
      </c>
      <c r="AA17" s="240">
        <v>20588</v>
      </c>
      <c r="AB17" s="101">
        <f t="shared" si="48"/>
        <v>0.44814976055724859</v>
      </c>
      <c r="AC17" s="106">
        <f t="shared" si="49"/>
        <v>40646</v>
      </c>
      <c r="AD17" s="101">
        <f t="shared" si="50"/>
        <v>0.21390492529694399</v>
      </c>
      <c r="AE17" s="240">
        <v>15312</v>
      </c>
      <c r="AF17" s="101">
        <f t="shared" si="51"/>
        <v>8.0581415542656257E-2</v>
      </c>
      <c r="AG17" s="240">
        <v>15806</v>
      </c>
      <c r="AH17" s="101">
        <f t="shared" si="52"/>
        <v>8.3181155568653659E-2</v>
      </c>
      <c r="AI17" s="240">
        <v>13043</v>
      </c>
      <c r="AJ17" s="101">
        <f t="shared" si="53"/>
        <v>6.8640504370615571E-2</v>
      </c>
      <c r="AK17" s="240">
        <v>15929</v>
      </c>
      <c r="AL17" s="101">
        <f t="shared" si="54"/>
        <v>8.3828459259337226E-2</v>
      </c>
    </row>
    <row r="18" spans="2:38" ht="14.25">
      <c r="B18" s="98"/>
      <c r="C18" s="83"/>
      <c r="D18" s="344">
        <v>45941</v>
      </c>
      <c r="E18" s="344" t="s">
        <v>621</v>
      </c>
      <c r="F18" s="88">
        <f t="shared" si="18"/>
        <v>202843</v>
      </c>
      <c r="G18" s="353"/>
      <c r="H18" s="564"/>
      <c r="I18" s="240">
        <v>23873</v>
      </c>
      <c r="J18" s="101">
        <f t="shared" si="37"/>
        <v>0.1176920081047904</v>
      </c>
      <c r="K18" s="240">
        <v>39976</v>
      </c>
      <c r="L18" s="101">
        <f t="shared" si="38"/>
        <v>0.19707852871432585</v>
      </c>
      <c r="M18" s="106">
        <f t="shared" si="39"/>
        <v>63849</v>
      </c>
      <c r="N18" s="101">
        <f t="shared" si="40"/>
        <v>0.31477053681911626</v>
      </c>
      <c r="O18" s="240">
        <v>6980</v>
      </c>
      <c r="P18" s="101">
        <f t="shared" si="41"/>
        <v>3.4410849770512168E-2</v>
      </c>
      <c r="Q18" s="240">
        <v>3068</v>
      </c>
      <c r="R18" s="101">
        <f t="shared" si="42"/>
        <v>6.6781306458283451E-2</v>
      </c>
      <c r="S18" s="106">
        <f t="shared" si="43"/>
        <v>10048</v>
      </c>
      <c r="T18" s="101">
        <f t="shared" si="44"/>
        <v>4.9535847921791727E-2</v>
      </c>
      <c r="U18" s="240">
        <v>17516</v>
      </c>
      <c r="V18" s="101">
        <f t="shared" si="45"/>
        <v>8.635249922353741E-2</v>
      </c>
      <c r="W18" s="240">
        <v>2920</v>
      </c>
      <c r="X18" s="101">
        <f t="shared" si="46"/>
        <v>1.4395369818036609E-2</v>
      </c>
      <c r="Y18" s="240">
        <v>22425</v>
      </c>
      <c r="Z18" s="101">
        <f t="shared" si="47"/>
        <v>0.11055348224981883</v>
      </c>
      <c r="AA18" s="240">
        <v>21478</v>
      </c>
      <c r="AB18" s="101">
        <f t="shared" si="48"/>
        <v>0.46751267930606649</v>
      </c>
      <c r="AC18" s="106">
        <f t="shared" si="49"/>
        <v>43903</v>
      </c>
      <c r="AD18" s="101">
        <f t="shared" si="50"/>
        <v>0.21643832915111688</v>
      </c>
      <c r="AE18" s="240">
        <v>16484</v>
      </c>
      <c r="AF18" s="101">
        <f t="shared" si="51"/>
        <v>8.1264820575518995E-2</v>
      </c>
      <c r="AG18" s="240">
        <v>18157</v>
      </c>
      <c r="AH18" s="101">
        <f t="shared" si="52"/>
        <v>8.9512578693866682E-2</v>
      </c>
      <c r="AI18" s="240">
        <v>13404</v>
      </c>
      <c r="AJ18" s="101">
        <f t="shared" si="53"/>
        <v>6.6080663370192708E-2</v>
      </c>
      <c r="AK18" s="240">
        <v>16562</v>
      </c>
      <c r="AL18" s="101">
        <f t="shared" si="54"/>
        <v>8.1649354426822709E-2</v>
      </c>
    </row>
    <row r="19" spans="2:38" ht="14.25">
      <c r="B19" s="98"/>
      <c r="C19" s="83"/>
      <c r="D19" s="344">
        <v>45942</v>
      </c>
      <c r="E19" s="344" t="s">
        <v>622</v>
      </c>
      <c r="F19" s="88">
        <f t="shared" si="18"/>
        <v>238632</v>
      </c>
      <c r="G19" s="353"/>
      <c r="H19" s="564"/>
      <c r="I19" s="240">
        <v>33565</v>
      </c>
      <c r="J19" s="101">
        <f t="shared" si="37"/>
        <v>0.14065590532703073</v>
      </c>
      <c r="K19" s="240">
        <v>44328</v>
      </c>
      <c r="L19" s="101">
        <f t="shared" si="38"/>
        <v>0.18575882530423413</v>
      </c>
      <c r="M19" s="106">
        <f t="shared" si="39"/>
        <v>77893</v>
      </c>
      <c r="N19" s="101">
        <f t="shared" si="40"/>
        <v>0.32641473063126486</v>
      </c>
      <c r="O19" s="240">
        <v>8123</v>
      </c>
      <c r="P19" s="101">
        <f t="shared" si="41"/>
        <v>3.4039860538402224E-2</v>
      </c>
      <c r="Q19" s="240">
        <v>3771</v>
      </c>
      <c r="R19" s="101">
        <f t="shared" si="42"/>
        <v>8.208175525662792E-2</v>
      </c>
      <c r="S19" s="106">
        <f t="shared" si="43"/>
        <v>11894</v>
      </c>
      <c r="T19" s="101">
        <f t="shared" si="44"/>
        <v>4.9842435214053439E-2</v>
      </c>
      <c r="U19" s="240">
        <v>19896</v>
      </c>
      <c r="V19" s="101">
        <f t="shared" si="45"/>
        <v>8.3375238861510617E-2</v>
      </c>
      <c r="W19" s="240">
        <v>3145</v>
      </c>
      <c r="X19" s="101">
        <f t="shared" si="46"/>
        <v>1.3179288611753662E-2</v>
      </c>
      <c r="Y19" s="240">
        <v>24128</v>
      </c>
      <c r="Z19" s="101">
        <f t="shared" si="47"/>
        <v>0.1011096583861343</v>
      </c>
      <c r="AA19" s="240">
        <v>23417</v>
      </c>
      <c r="AB19" s="101">
        <f t="shared" si="48"/>
        <v>0.50970789256018456</v>
      </c>
      <c r="AC19" s="106">
        <f t="shared" si="49"/>
        <v>47545</v>
      </c>
      <c r="AD19" s="101">
        <f t="shared" si="50"/>
        <v>0.1992398337188642</v>
      </c>
      <c r="AE19" s="240">
        <v>19502</v>
      </c>
      <c r="AF19" s="101">
        <f t="shared" si="51"/>
        <v>8.1724161051325891E-2</v>
      </c>
      <c r="AG19" s="240">
        <v>24315</v>
      </c>
      <c r="AH19" s="101">
        <f t="shared" si="52"/>
        <v>0.10189329176304938</v>
      </c>
      <c r="AI19" s="240">
        <v>15260</v>
      </c>
      <c r="AJ19" s="101">
        <f t="shared" si="53"/>
        <v>6.3947835998524924E-2</v>
      </c>
      <c r="AK19" s="240">
        <v>19182</v>
      </c>
      <c r="AL19" s="101">
        <f t="shared" si="54"/>
        <v>8.0383184149653022E-2</v>
      </c>
    </row>
    <row r="20" spans="2:38" ht="14.25">
      <c r="B20" s="98"/>
      <c r="C20" s="83"/>
      <c r="D20" s="344">
        <v>45943</v>
      </c>
      <c r="E20" s="344" t="s">
        <v>616</v>
      </c>
      <c r="F20" s="88">
        <f t="shared" si="18"/>
        <v>235240</v>
      </c>
      <c r="G20" s="353"/>
      <c r="H20" s="564"/>
      <c r="I20" s="240">
        <v>32401</v>
      </c>
      <c r="J20" s="101">
        <f t="shared" si="37"/>
        <v>0.13773592926373066</v>
      </c>
      <c r="K20" s="240">
        <v>43726</v>
      </c>
      <c r="L20" s="101">
        <f t="shared" si="38"/>
        <v>0.18587825199795954</v>
      </c>
      <c r="M20" s="106">
        <f t="shared" si="39"/>
        <v>76127</v>
      </c>
      <c r="N20" s="101">
        <f t="shared" si="40"/>
        <v>0.32361418126169017</v>
      </c>
      <c r="O20" s="240">
        <v>8153</v>
      </c>
      <c r="P20" s="101">
        <f t="shared" si="41"/>
        <v>3.465822139091991E-2</v>
      </c>
      <c r="Q20" s="240">
        <v>3727</v>
      </c>
      <c r="R20" s="101">
        <f t="shared" si="42"/>
        <v>8.1122260191977019E-2</v>
      </c>
      <c r="S20" s="106">
        <f t="shared" si="43"/>
        <v>11880</v>
      </c>
      <c r="T20" s="101">
        <f t="shared" si="44"/>
        <v>5.0501615371535455E-2</v>
      </c>
      <c r="U20" s="240">
        <v>20282</v>
      </c>
      <c r="V20" s="101">
        <f t="shared" si="45"/>
        <v>8.6218330215949671E-2</v>
      </c>
      <c r="W20" s="240">
        <v>4088</v>
      </c>
      <c r="X20" s="101">
        <f t="shared" si="46"/>
        <v>1.7377996939296037E-2</v>
      </c>
      <c r="Y20" s="240">
        <v>24022</v>
      </c>
      <c r="Z20" s="101">
        <f t="shared" si="47"/>
        <v>0.1021169869069886</v>
      </c>
      <c r="AA20" s="240">
        <v>23533</v>
      </c>
      <c r="AB20" s="101">
        <f t="shared" si="48"/>
        <v>0.51222166597740681</v>
      </c>
      <c r="AC20" s="106">
        <f t="shared" si="49"/>
        <v>47555</v>
      </c>
      <c r="AD20" s="101">
        <f t="shared" si="50"/>
        <v>0.2021552457065125</v>
      </c>
      <c r="AE20" s="240">
        <v>18953</v>
      </c>
      <c r="AF20" s="101">
        <f t="shared" si="51"/>
        <v>8.0568780819588501E-2</v>
      </c>
      <c r="AG20" s="240">
        <v>22566</v>
      </c>
      <c r="AH20" s="101">
        <f t="shared" si="52"/>
        <v>9.5927563339568103E-2</v>
      </c>
      <c r="AI20" s="240">
        <v>14547</v>
      </c>
      <c r="AJ20" s="101">
        <f t="shared" si="53"/>
        <v>6.1838972963781672E-2</v>
      </c>
      <c r="AK20" s="240">
        <v>19242</v>
      </c>
      <c r="AL20" s="101">
        <f t="shared" si="54"/>
        <v>8.179731338207788E-2</v>
      </c>
    </row>
    <row r="21" spans="2:38" ht="14.25">
      <c r="B21" s="98"/>
      <c r="C21" s="83"/>
      <c r="D21" s="86">
        <v>45944</v>
      </c>
      <c r="E21" s="86" t="s">
        <v>617</v>
      </c>
      <c r="F21" s="88">
        <f t="shared" si="18"/>
        <v>248931</v>
      </c>
      <c r="G21" s="353">
        <f>SUM(F21:F27)</f>
        <v>1625220</v>
      </c>
      <c r="H21" s="564"/>
      <c r="I21" s="240">
        <v>38738</v>
      </c>
      <c r="J21" s="101">
        <f t="shared" si="37"/>
        <v>0.15561742008829757</v>
      </c>
      <c r="K21" s="240">
        <v>44090</v>
      </c>
      <c r="L21" s="101">
        <f t="shared" si="38"/>
        <v>0.17711735380486962</v>
      </c>
      <c r="M21" s="106">
        <f t="shared" si="39"/>
        <v>82828</v>
      </c>
      <c r="N21" s="101">
        <f t="shared" si="40"/>
        <v>0.33273477389316719</v>
      </c>
      <c r="O21" s="240">
        <v>14902</v>
      </c>
      <c r="P21" s="101">
        <f t="shared" si="41"/>
        <v>5.9863978371516607E-2</v>
      </c>
      <c r="Q21" s="240">
        <v>3929</v>
      </c>
      <c r="R21" s="101">
        <f t="shared" si="42"/>
        <v>8.5517151314643908E-2</v>
      </c>
      <c r="S21" s="106">
        <f t="shared" si="43"/>
        <v>18831</v>
      </c>
      <c r="T21" s="101">
        <f t="shared" si="44"/>
        <v>7.5647468575629387E-2</v>
      </c>
      <c r="U21" s="240">
        <v>20444</v>
      </c>
      <c r="V21" s="101">
        <f t="shared" si="45"/>
        <v>8.2127175803736782E-2</v>
      </c>
      <c r="W21" s="240">
        <v>3890</v>
      </c>
      <c r="X21" s="101">
        <f t="shared" si="46"/>
        <v>1.5626820283532385E-2</v>
      </c>
      <c r="Y21" s="240">
        <v>24031</v>
      </c>
      <c r="Z21" s="101">
        <f t="shared" si="47"/>
        <v>9.6536791319682957E-2</v>
      </c>
      <c r="AA21" s="240">
        <v>23316</v>
      </c>
      <c r="AB21" s="101">
        <f t="shared" si="48"/>
        <v>0.50748737593592197</v>
      </c>
      <c r="AC21" s="106">
        <f t="shared" si="49"/>
        <v>47347</v>
      </c>
      <c r="AD21" s="101">
        <f t="shared" si="50"/>
        <v>0.19020130076205857</v>
      </c>
      <c r="AE21" s="240">
        <v>18701</v>
      </c>
      <c r="AF21" s="101">
        <f t="shared" si="51"/>
        <v>7.5125235507028057E-2</v>
      </c>
      <c r="AG21" s="240">
        <v>22607</v>
      </c>
      <c r="AH21" s="101">
        <f t="shared" si="52"/>
        <v>9.0816330629772915E-2</v>
      </c>
      <c r="AI21" s="240">
        <v>14460</v>
      </c>
      <c r="AJ21" s="101">
        <f t="shared" si="53"/>
        <v>5.808838593827205E-2</v>
      </c>
      <c r="AK21" s="240">
        <v>19823</v>
      </c>
      <c r="AL21" s="101">
        <f t="shared" si="54"/>
        <v>7.9632508606802682E-2</v>
      </c>
    </row>
    <row r="22" spans="2:38" ht="14.25">
      <c r="B22" s="98"/>
      <c r="C22" s="83"/>
      <c r="D22" s="86">
        <v>45945</v>
      </c>
      <c r="E22" s="86" t="s">
        <v>618</v>
      </c>
      <c r="F22" s="88">
        <f t="shared" si="18"/>
        <v>242991</v>
      </c>
      <c r="G22" s="353"/>
      <c r="H22" s="564"/>
      <c r="I22" s="240">
        <v>36742</v>
      </c>
      <c r="J22" s="101">
        <f t="shared" si="37"/>
        <v>0.15120724635891863</v>
      </c>
      <c r="K22" s="240">
        <v>44023</v>
      </c>
      <c r="L22" s="101">
        <f t="shared" si="38"/>
        <v>0.1811713191023536</v>
      </c>
      <c r="M22" s="106">
        <f t="shared" si="39"/>
        <v>80765</v>
      </c>
      <c r="N22" s="101">
        <f t="shared" si="40"/>
        <v>0.3323785654612722</v>
      </c>
      <c r="O22" s="240">
        <v>11724</v>
      </c>
      <c r="P22" s="101">
        <f t="shared" si="41"/>
        <v>4.824870056915688E-2</v>
      </c>
      <c r="Q22" s="240">
        <v>3895</v>
      </c>
      <c r="R22" s="101">
        <f t="shared" si="42"/>
        <v>8.4775274785069105E-2</v>
      </c>
      <c r="S22" s="106">
        <f t="shared" si="43"/>
        <v>15619</v>
      </c>
      <c r="T22" s="101">
        <f t="shared" si="44"/>
        <v>6.4278100835010343E-2</v>
      </c>
      <c r="U22" s="240">
        <v>20101</v>
      </c>
      <c r="V22" s="101">
        <f t="shared" si="45"/>
        <v>8.2723228432328766E-2</v>
      </c>
      <c r="W22" s="240">
        <v>3817</v>
      </c>
      <c r="X22" s="101">
        <f t="shared" si="46"/>
        <v>1.5708400722660509E-2</v>
      </c>
      <c r="Y22" s="240">
        <v>24147</v>
      </c>
      <c r="Z22" s="101">
        <f t="shared" si="47"/>
        <v>9.9374050890773738E-2</v>
      </c>
      <c r="AA22" s="240">
        <v>21838</v>
      </c>
      <c r="AB22" s="101">
        <f t="shared" si="48"/>
        <v>0.47530743280008708</v>
      </c>
      <c r="AC22" s="106">
        <f t="shared" si="49"/>
        <v>45985</v>
      </c>
      <c r="AD22" s="101">
        <f t="shared" si="50"/>
        <v>0.18924569222728413</v>
      </c>
      <c r="AE22" s="240">
        <v>19738</v>
      </c>
      <c r="AF22" s="101">
        <f t="shared" si="51"/>
        <v>8.1229345942853845E-2</v>
      </c>
      <c r="AG22" s="240">
        <v>22579</v>
      </c>
      <c r="AH22" s="101">
        <f t="shared" si="52"/>
        <v>9.2921136996843498E-2</v>
      </c>
      <c r="AI22" s="240">
        <v>14661</v>
      </c>
      <c r="AJ22" s="101">
        <f t="shared" si="53"/>
        <v>6.0335567983999409E-2</v>
      </c>
      <c r="AK22" s="240">
        <v>19726</v>
      </c>
      <c r="AL22" s="101">
        <f t="shared" si="54"/>
        <v>8.1179961397747247E-2</v>
      </c>
    </row>
    <row r="23" spans="2:38" ht="14.25">
      <c r="B23" s="98"/>
      <c r="C23" s="83"/>
      <c r="D23" s="86">
        <v>45946</v>
      </c>
      <c r="E23" s="86" t="s">
        <v>619</v>
      </c>
      <c r="F23" s="88">
        <f t="shared" si="18"/>
        <v>230663</v>
      </c>
      <c r="G23" s="353"/>
      <c r="H23" s="564"/>
      <c r="I23" s="240">
        <v>35271</v>
      </c>
      <c r="J23" s="101">
        <f t="shared" si="37"/>
        <v>0.15291139020995997</v>
      </c>
      <c r="K23" s="240">
        <v>41189</v>
      </c>
      <c r="L23" s="101">
        <f t="shared" si="38"/>
        <v>0.17856786740829694</v>
      </c>
      <c r="M23" s="106">
        <f t="shared" si="39"/>
        <v>76460</v>
      </c>
      <c r="N23" s="101">
        <f t="shared" si="40"/>
        <v>0.33147925761825692</v>
      </c>
      <c r="O23" s="240">
        <v>11055</v>
      </c>
      <c r="P23" s="101">
        <f t="shared" si="41"/>
        <v>4.79270624244027E-2</v>
      </c>
      <c r="Q23" s="240">
        <v>3896</v>
      </c>
      <c r="R23" s="101">
        <f t="shared" si="42"/>
        <v>8.4795194358594866E-2</v>
      </c>
      <c r="S23" s="106">
        <f t="shared" si="43"/>
        <v>14951</v>
      </c>
      <c r="T23" s="101">
        <f t="shared" si="44"/>
        <v>6.481750432449071E-2</v>
      </c>
      <c r="U23" s="240">
        <v>19239</v>
      </c>
      <c r="V23" s="101">
        <f t="shared" si="45"/>
        <v>8.3407395204259022E-2</v>
      </c>
      <c r="W23" s="240">
        <v>3150</v>
      </c>
      <c r="X23" s="101">
        <f t="shared" si="46"/>
        <v>1.3656286443859657E-2</v>
      </c>
      <c r="Y23" s="240">
        <v>23389</v>
      </c>
      <c r="Z23" s="101">
        <f t="shared" si="47"/>
        <v>0.1013990106779154</v>
      </c>
      <c r="AA23" s="240">
        <v>19802</v>
      </c>
      <c r="AB23" s="101">
        <f t="shared" si="48"/>
        <v>0.43098419884211903</v>
      </c>
      <c r="AC23" s="106">
        <f t="shared" si="49"/>
        <v>43191</v>
      </c>
      <c r="AD23" s="101">
        <f t="shared" si="50"/>
        <v>0.18724719612594998</v>
      </c>
      <c r="AE23" s="240">
        <v>18197</v>
      </c>
      <c r="AF23" s="101">
        <f t="shared" si="51"/>
        <v>7.8889982355210844E-2</v>
      </c>
      <c r="AG23" s="240">
        <v>22422</v>
      </c>
      <c r="AH23" s="101">
        <f t="shared" si="52"/>
        <v>9.7206747506101976E-2</v>
      </c>
      <c r="AI23" s="240">
        <v>14330</v>
      </c>
      <c r="AJ23" s="101">
        <f t="shared" si="53"/>
        <v>6.2125264996986944E-2</v>
      </c>
      <c r="AK23" s="240">
        <v>18723</v>
      </c>
      <c r="AL23" s="101">
        <f t="shared" si="54"/>
        <v>8.1170365424883928E-2</v>
      </c>
    </row>
    <row r="24" spans="2:38" ht="14.25">
      <c r="B24" s="98"/>
      <c r="C24" s="83"/>
      <c r="D24" s="86">
        <v>45947</v>
      </c>
      <c r="E24" s="86" t="s">
        <v>620</v>
      </c>
      <c r="F24" s="88">
        <f t="shared" si="18"/>
        <v>205320</v>
      </c>
      <c r="G24" s="353"/>
      <c r="H24" s="564"/>
      <c r="I24" s="240">
        <v>31628</v>
      </c>
      <c r="J24" s="101">
        <f t="shared" si="37"/>
        <v>0.15404247029027859</v>
      </c>
      <c r="K24" s="240">
        <v>37824</v>
      </c>
      <c r="L24" s="101">
        <f t="shared" si="38"/>
        <v>0.18421975452951489</v>
      </c>
      <c r="M24" s="106">
        <f t="shared" si="39"/>
        <v>69452</v>
      </c>
      <c r="N24" s="101">
        <f t="shared" si="40"/>
        <v>0.33826222481979351</v>
      </c>
      <c r="O24" s="240">
        <v>10961</v>
      </c>
      <c r="P24" s="101">
        <f t="shared" si="41"/>
        <v>5.338496006234171E-2</v>
      </c>
      <c r="Q24" s="240">
        <v>3430</v>
      </c>
      <c r="R24" s="101">
        <f t="shared" si="42"/>
        <v>7.4651228589461771E-2</v>
      </c>
      <c r="S24" s="106">
        <f t="shared" si="43"/>
        <v>14391</v>
      </c>
      <c r="T24" s="101">
        <f t="shared" si="44"/>
        <v>7.0090590298071298E-2</v>
      </c>
      <c r="U24" s="240">
        <v>15636</v>
      </c>
      <c r="V24" s="101">
        <f t="shared" si="45"/>
        <v>7.6154295733489183E-2</v>
      </c>
      <c r="W24" s="240">
        <v>1650</v>
      </c>
      <c r="X24" s="101">
        <f t="shared" si="46"/>
        <v>8.0362361192285216E-3</v>
      </c>
      <c r="Y24" s="240">
        <v>21252</v>
      </c>
      <c r="Z24" s="101">
        <f t="shared" si="47"/>
        <v>0.10350672121566336</v>
      </c>
      <c r="AA24" s="240">
        <v>19578</v>
      </c>
      <c r="AB24" s="101">
        <f t="shared" si="48"/>
        <v>0.42609963653775002</v>
      </c>
      <c r="AC24" s="106">
        <f t="shared" si="49"/>
        <v>40830</v>
      </c>
      <c r="AD24" s="101">
        <f t="shared" si="50"/>
        <v>0.19886031560490941</v>
      </c>
      <c r="AE24" s="240">
        <v>14723</v>
      </c>
      <c r="AF24" s="101">
        <f t="shared" si="51"/>
        <v>7.1707578414182738E-2</v>
      </c>
      <c r="AG24" s="240">
        <v>18700</v>
      </c>
      <c r="AH24" s="101">
        <f t="shared" si="52"/>
        <v>9.1077342684589904E-2</v>
      </c>
      <c r="AI24" s="240">
        <v>13607</v>
      </c>
      <c r="AJ24" s="101">
        <f t="shared" si="53"/>
        <v>6.6272160529904534E-2</v>
      </c>
      <c r="AK24" s="240">
        <v>16331</v>
      </c>
      <c r="AL24" s="101">
        <f t="shared" si="54"/>
        <v>7.9539255795830904E-2</v>
      </c>
    </row>
    <row r="25" spans="2:38" ht="14.25">
      <c r="B25" s="98"/>
      <c r="C25" s="83"/>
      <c r="D25" s="86">
        <v>45948</v>
      </c>
      <c r="E25" s="86" t="s">
        <v>621</v>
      </c>
      <c r="F25" s="88">
        <f t="shared" si="18"/>
        <v>207727</v>
      </c>
      <c r="G25" s="353"/>
      <c r="H25" s="564"/>
      <c r="I25" s="240">
        <v>30675</v>
      </c>
      <c r="J25" s="101">
        <f t="shared" si="37"/>
        <v>0.14766977812224699</v>
      </c>
      <c r="K25" s="240">
        <v>41150</v>
      </c>
      <c r="L25" s="101">
        <f t="shared" si="38"/>
        <v>0.19809654017051226</v>
      </c>
      <c r="M25" s="106">
        <f t="shared" si="39"/>
        <v>71825</v>
      </c>
      <c r="N25" s="101">
        <f t="shared" si="40"/>
        <v>0.34576631829275922</v>
      </c>
      <c r="O25" s="240">
        <v>10359</v>
      </c>
      <c r="P25" s="101">
        <f t="shared" si="41"/>
        <v>4.9868336807444388E-2</v>
      </c>
      <c r="Q25" s="240">
        <v>3195</v>
      </c>
      <c r="R25" s="101">
        <f t="shared" si="42"/>
        <v>6.9535126664925562E-2</v>
      </c>
      <c r="S25" s="106">
        <f t="shared" si="43"/>
        <v>13554</v>
      </c>
      <c r="T25" s="101">
        <f t="shared" si="44"/>
        <v>6.5249100983502381E-2</v>
      </c>
      <c r="U25" s="240">
        <v>16389</v>
      </c>
      <c r="V25" s="101">
        <f t="shared" si="45"/>
        <v>7.8896821308736945E-2</v>
      </c>
      <c r="W25" s="240">
        <v>1758</v>
      </c>
      <c r="X25" s="101">
        <f t="shared" si="46"/>
        <v>8.4630308048544486E-3</v>
      </c>
      <c r="Y25" s="240">
        <v>21398</v>
      </c>
      <c r="Z25" s="101">
        <f t="shared" si="47"/>
        <v>0.10301020088866637</v>
      </c>
      <c r="AA25" s="240">
        <v>20290</v>
      </c>
      <c r="AB25" s="101">
        <f t="shared" si="48"/>
        <v>0.44158614085487941</v>
      </c>
      <c r="AC25" s="106">
        <f t="shared" si="49"/>
        <v>41688</v>
      </c>
      <c r="AD25" s="101">
        <f t="shared" si="50"/>
        <v>0.20068647792535396</v>
      </c>
      <c r="AE25" s="240">
        <v>14449</v>
      </c>
      <c r="AF25" s="101">
        <f t="shared" si="51"/>
        <v>6.9557640557077319E-2</v>
      </c>
      <c r="AG25" s="240">
        <v>18048</v>
      </c>
      <c r="AH25" s="101">
        <f t="shared" si="52"/>
        <v>8.6883265054614953E-2</v>
      </c>
      <c r="AI25" s="240">
        <v>13705</v>
      </c>
      <c r="AJ25" s="101">
        <f t="shared" si="53"/>
        <v>6.5976016598708886E-2</v>
      </c>
      <c r="AK25" s="240">
        <v>16311</v>
      </c>
      <c r="AL25" s="101">
        <f t="shared" si="54"/>
        <v>7.8521328474391874E-2</v>
      </c>
    </row>
    <row r="26" spans="2:38" ht="14.25">
      <c r="B26" s="98"/>
      <c r="C26" s="83"/>
      <c r="D26" s="86">
        <v>45949</v>
      </c>
      <c r="E26" s="86" t="s">
        <v>622</v>
      </c>
      <c r="F26" s="88">
        <f t="shared" si="18"/>
        <v>245349</v>
      </c>
      <c r="G26" s="353"/>
      <c r="H26" s="564"/>
      <c r="I26" s="240">
        <v>39788</v>
      </c>
      <c r="J26" s="101">
        <f t="shared" si="37"/>
        <v>0.16216899192578735</v>
      </c>
      <c r="K26" s="240">
        <v>45649</v>
      </c>
      <c r="L26" s="101">
        <f t="shared" si="38"/>
        <v>0.18605741209460808</v>
      </c>
      <c r="M26" s="106">
        <f t="shared" si="39"/>
        <v>85437</v>
      </c>
      <c r="N26" s="101">
        <f t="shared" si="40"/>
        <v>0.34822640402039545</v>
      </c>
      <c r="O26" s="240">
        <v>12750</v>
      </c>
      <c r="P26" s="101">
        <f t="shared" si="41"/>
        <v>5.1966790164215057E-2</v>
      </c>
      <c r="Q26" s="240">
        <v>3853</v>
      </c>
      <c r="R26" s="101">
        <f t="shared" si="42"/>
        <v>8.3853837950771504E-2</v>
      </c>
      <c r="S26" s="106">
        <f t="shared" si="43"/>
        <v>16603</v>
      </c>
      <c r="T26" s="101">
        <f t="shared" si="44"/>
        <v>6.7670950360506868E-2</v>
      </c>
      <c r="U26" s="240">
        <v>19879</v>
      </c>
      <c r="V26" s="101">
        <f t="shared" si="45"/>
        <v>8.1023358562700473E-2</v>
      </c>
      <c r="W26" s="240">
        <v>2718</v>
      </c>
      <c r="X26" s="101">
        <f t="shared" si="46"/>
        <v>1.1078096915006786E-2</v>
      </c>
      <c r="Y26" s="240">
        <v>21254</v>
      </c>
      <c r="Z26" s="101">
        <f t="shared" si="47"/>
        <v>8.6627620247076612E-2</v>
      </c>
      <c r="AA26" s="240">
        <v>22540</v>
      </c>
      <c r="AB26" s="101">
        <f t="shared" si="48"/>
        <v>0.49054386384905002</v>
      </c>
      <c r="AC26" s="106">
        <f t="shared" si="49"/>
        <v>43794</v>
      </c>
      <c r="AD26" s="101">
        <f t="shared" si="50"/>
        <v>0.17849675360404973</v>
      </c>
      <c r="AE26" s="240">
        <v>19251</v>
      </c>
      <c r="AF26" s="101">
        <f t="shared" si="51"/>
        <v>7.8463739407945418E-2</v>
      </c>
      <c r="AG26" s="240">
        <v>22857</v>
      </c>
      <c r="AH26" s="101">
        <f t="shared" si="52"/>
        <v>9.3161170414389302E-2</v>
      </c>
      <c r="AI26" s="240">
        <v>15600</v>
      </c>
      <c r="AJ26" s="101">
        <f t="shared" si="53"/>
        <v>6.3582896200921946E-2</v>
      </c>
      <c r="AK26" s="240">
        <v>19210</v>
      </c>
      <c r="AL26" s="101">
        <f t="shared" si="54"/>
        <v>7.8296630514084017E-2</v>
      </c>
    </row>
    <row r="27" spans="2:38" ht="14.25">
      <c r="B27" s="98"/>
      <c r="C27" s="83"/>
      <c r="D27" s="86">
        <v>45950</v>
      </c>
      <c r="E27" s="86" t="s">
        <v>616</v>
      </c>
      <c r="F27" s="88">
        <f t="shared" si="18"/>
        <v>244239</v>
      </c>
      <c r="G27" s="353"/>
      <c r="H27" s="564"/>
      <c r="I27" s="240">
        <v>38880</v>
      </c>
      <c r="J27" s="101">
        <f t="shared" si="37"/>
        <v>0.15918833601513271</v>
      </c>
      <c r="K27" s="240">
        <v>45171</v>
      </c>
      <c r="L27" s="101">
        <f t="shared" si="38"/>
        <v>0.18494589316202573</v>
      </c>
      <c r="M27" s="106">
        <f t="shared" si="39"/>
        <v>84051</v>
      </c>
      <c r="N27" s="101">
        <f t="shared" si="40"/>
        <v>0.34413422917715841</v>
      </c>
      <c r="O27" s="240">
        <v>11627</v>
      </c>
      <c r="P27" s="101">
        <f t="shared" si="41"/>
        <v>4.7605009846912245E-2</v>
      </c>
      <c r="Q27" s="240">
        <v>3858</v>
      </c>
      <c r="R27" s="101">
        <f t="shared" si="42"/>
        <v>8.3960826985854192E-2</v>
      </c>
      <c r="S27" s="106">
        <f t="shared" si="43"/>
        <v>15485</v>
      </c>
      <c r="T27" s="101">
        <f t="shared" si="44"/>
        <v>6.3401012942241E-2</v>
      </c>
      <c r="U27" s="240">
        <v>20582</v>
      </c>
      <c r="V27" s="101">
        <f t="shared" si="45"/>
        <v>8.426991594299027E-2</v>
      </c>
      <c r="W27" s="240">
        <v>3532</v>
      </c>
      <c r="X27" s="101">
        <f t="shared" si="46"/>
        <v>1.4461244928123682E-2</v>
      </c>
      <c r="Y27" s="240">
        <v>22680</v>
      </c>
      <c r="Z27" s="101">
        <f t="shared" si="47"/>
        <v>9.2859862675494093E-2</v>
      </c>
      <c r="AA27" s="240">
        <v>23255</v>
      </c>
      <c r="AB27" s="101">
        <f t="shared" si="48"/>
        <v>0.50609357997823723</v>
      </c>
      <c r="AC27" s="106">
        <f t="shared" si="49"/>
        <v>45935</v>
      </c>
      <c r="AD27" s="101">
        <f t="shared" si="50"/>
        <v>0.18807397671952472</v>
      </c>
      <c r="AE27" s="240">
        <v>19942</v>
      </c>
      <c r="AF27" s="101">
        <f t="shared" si="51"/>
        <v>8.164953181105393E-2</v>
      </c>
      <c r="AG27" s="240">
        <v>22408</v>
      </c>
      <c r="AH27" s="101">
        <f t="shared" si="52"/>
        <v>9.1746199419421137E-2</v>
      </c>
      <c r="AI27" s="240">
        <v>13012</v>
      </c>
      <c r="AJ27" s="101">
        <f t="shared" si="53"/>
        <v>5.3275684882430736E-2</v>
      </c>
      <c r="AK27" s="240">
        <v>19292</v>
      </c>
      <c r="AL27" s="101">
        <f t="shared" si="54"/>
        <v>7.8988204177056084E-2</v>
      </c>
    </row>
    <row r="28" spans="2:38" ht="14.25">
      <c r="B28" s="98"/>
      <c r="C28" s="83"/>
      <c r="D28" s="344">
        <v>45951</v>
      </c>
      <c r="E28" s="344" t="s">
        <v>617</v>
      </c>
      <c r="F28" s="88">
        <f t="shared" si="18"/>
        <v>244571</v>
      </c>
      <c r="G28" s="353">
        <f>SUM(F28:F34)</f>
        <v>1551756</v>
      </c>
      <c r="H28" s="564"/>
      <c r="I28" s="240">
        <v>38744</v>
      </c>
      <c r="J28" s="101">
        <f t="shared" si="37"/>
        <v>0.15841616544888806</v>
      </c>
      <c r="K28" s="240">
        <v>43962</v>
      </c>
      <c r="L28" s="101">
        <f t="shared" si="38"/>
        <v>0.17975148320937478</v>
      </c>
      <c r="M28" s="106">
        <f t="shared" si="39"/>
        <v>82706</v>
      </c>
      <c r="N28" s="101">
        <f t="shared" si="40"/>
        <v>0.33816764865826282</v>
      </c>
      <c r="O28" s="240">
        <v>15052</v>
      </c>
      <c r="P28" s="101">
        <f t="shared" si="41"/>
        <v>6.1544500370035699E-2</v>
      </c>
      <c r="Q28" s="240">
        <v>3892</v>
      </c>
      <c r="R28" s="101">
        <f t="shared" si="42"/>
        <v>8.4698918413092211E-2</v>
      </c>
      <c r="S28" s="106">
        <f t="shared" si="43"/>
        <v>18944</v>
      </c>
      <c r="T28" s="101">
        <f t="shared" si="44"/>
        <v>7.7458079657849871E-2</v>
      </c>
      <c r="U28" s="240">
        <v>19832</v>
      </c>
      <c r="V28" s="101">
        <f t="shared" si="45"/>
        <v>8.1088927141811581E-2</v>
      </c>
      <c r="W28" s="240">
        <v>2732</v>
      </c>
      <c r="X28" s="101">
        <f t="shared" si="46"/>
        <v>1.1170580322278603E-2</v>
      </c>
      <c r="Y28" s="240">
        <v>23409</v>
      </c>
      <c r="Z28" s="101">
        <f t="shared" si="47"/>
        <v>9.5714536882950146E-2</v>
      </c>
      <c r="AA28" s="240">
        <v>22593</v>
      </c>
      <c r="AB28" s="101">
        <f t="shared" si="48"/>
        <v>0.49167591564927859</v>
      </c>
      <c r="AC28" s="106">
        <f t="shared" si="49"/>
        <v>46002</v>
      </c>
      <c r="AD28" s="101">
        <f t="shared" si="50"/>
        <v>0.18809261932117871</v>
      </c>
      <c r="AE28" s="240">
        <v>19397</v>
      </c>
      <c r="AF28" s="101">
        <f t="shared" si="51"/>
        <v>7.9310302529735741E-2</v>
      </c>
      <c r="AG28" s="240">
        <v>22934</v>
      </c>
      <c r="AH28" s="101">
        <f t="shared" si="52"/>
        <v>9.3772360582407566E-2</v>
      </c>
      <c r="AI28" s="240">
        <v>12724</v>
      </c>
      <c r="AJ28" s="101">
        <f t="shared" si="53"/>
        <v>5.2025792101271208E-2</v>
      </c>
      <c r="AK28" s="240">
        <v>19300</v>
      </c>
      <c r="AL28" s="101">
        <f t="shared" si="54"/>
        <v>7.8913689685203889E-2</v>
      </c>
    </row>
    <row r="29" spans="2:38" ht="14.25">
      <c r="B29" s="98"/>
      <c r="C29" s="83"/>
      <c r="D29" s="344">
        <v>45952</v>
      </c>
      <c r="E29" s="344" t="s">
        <v>618</v>
      </c>
      <c r="F29" s="88">
        <f t="shared" si="18"/>
        <v>231603</v>
      </c>
      <c r="G29" s="353"/>
      <c r="H29" s="564"/>
      <c r="I29" s="240">
        <v>37819</v>
      </c>
      <c r="J29" s="101">
        <f t="shared" si="37"/>
        <v>0.16329235804372136</v>
      </c>
      <c r="K29" s="240">
        <v>40345</v>
      </c>
      <c r="L29" s="101">
        <f t="shared" si="38"/>
        <v>0.17419895251788622</v>
      </c>
      <c r="M29" s="106">
        <f t="shared" si="39"/>
        <v>78164</v>
      </c>
      <c r="N29" s="101">
        <f t="shared" si="40"/>
        <v>0.33749131056160758</v>
      </c>
      <c r="O29" s="240">
        <v>13242</v>
      </c>
      <c r="P29" s="101">
        <f t="shared" si="41"/>
        <v>5.7175425188792893E-2</v>
      </c>
      <c r="Q29" s="240">
        <v>3620</v>
      </c>
      <c r="R29" s="101">
        <f t="shared" si="42"/>
        <v>7.8777855153203347E-2</v>
      </c>
      <c r="S29" s="106">
        <f t="shared" si="43"/>
        <v>16862</v>
      </c>
      <c r="T29" s="101">
        <f t="shared" si="44"/>
        <v>7.280561996174488E-2</v>
      </c>
      <c r="U29" s="240">
        <v>19531</v>
      </c>
      <c r="V29" s="101">
        <f t="shared" si="45"/>
        <v>8.4329650306774959E-2</v>
      </c>
      <c r="W29" s="240">
        <v>2435</v>
      </c>
      <c r="X29" s="101">
        <f t="shared" si="46"/>
        <v>1.0513680738159696E-2</v>
      </c>
      <c r="Y29" s="240">
        <v>22347</v>
      </c>
      <c r="Z29" s="101">
        <f t="shared" si="47"/>
        <v>9.6488387456121039E-2</v>
      </c>
      <c r="AA29" s="240">
        <v>20600</v>
      </c>
      <c r="AB29" s="101">
        <f t="shared" si="48"/>
        <v>0.44829387186629527</v>
      </c>
      <c r="AC29" s="106">
        <f t="shared" si="49"/>
        <v>42947</v>
      </c>
      <c r="AD29" s="101">
        <f t="shared" si="50"/>
        <v>0.18543369472761578</v>
      </c>
      <c r="AE29" s="240">
        <v>18484</v>
      </c>
      <c r="AF29" s="101">
        <f t="shared" si="51"/>
        <v>7.980898347603442E-2</v>
      </c>
      <c r="AG29" s="240">
        <v>22534</v>
      </c>
      <c r="AH29" s="101">
        <f t="shared" si="52"/>
        <v>9.7295803594944802E-2</v>
      </c>
      <c r="AI29" s="240">
        <v>11974</v>
      </c>
      <c r="AJ29" s="101">
        <f t="shared" si="53"/>
        <v>5.1700539284896999E-2</v>
      </c>
      <c r="AK29" s="240">
        <v>18672</v>
      </c>
      <c r="AL29" s="101">
        <f t="shared" si="54"/>
        <v>8.0620717348220877E-2</v>
      </c>
    </row>
    <row r="30" spans="2:38" ht="14.25">
      <c r="B30" s="98"/>
      <c r="C30" s="83"/>
      <c r="D30" s="344">
        <v>45953</v>
      </c>
      <c r="E30" s="344" t="s">
        <v>619</v>
      </c>
      <c r="F30" s="88">
        <f t="shared" si="18"/>
        <v>198604</v>
      </c>
      <c r="G30" s="353"/>
      <c r="H30" s="564"/>
      <c r="I30" s="240">
        <v>28634</v>
      </c>
      <c r="J30" s="101">
        <f t="shared" si="37"/>
        <v>0.14417635092948783</v>
      </c>
      <c r="K30" s="240">
        <v>37902</v>
      </c>
      <c r="L30" s="101">
        <f t="shared" si="38"/>
        <v>0.1908420777023625</v>
      </c>
      <c r="M30" s="106">
        <f t="shared" si="39"/>
        <v>66536</v>
      </c>
      <c r="N30" s="101">
        <f t="shared" si="40"/>
        <v>0.33501842863185033</v>
      </c>
      <c r="O30" s="240">
        <v>11211</v>
      </c>
      <c r="P30" s="101">
        <f t="shared" si="41"/>
        <v>5.6449014118547462E-2</v>
      </c>
      <c r="Q30" s="240">
        <v>2975</v>
      </c>
      <c r="R30" s="101">
        <f t="shared" si="42"/>
        <v>6.4740060496594351E-2</v>
      </c>
      <c r="S30" s="106">
        <f t="shared" si="43"/>
        <v>14186</v>
      </c>
      <c r="T30" s="101">
        <f t="shared" si="44"/>
        <v>7.1428571428571425E-2</v>
      </c>
      <c r="U30" s="240">
        <v>16555</v>
      </c>
      <c r="V30" s="101">
        <f t="shared" si="45"/>
        <v>8.3356830678133376E-2</v>
      </c>
      <c r="W30" s="240">
        <v>1746</v>
      </c>
      <c r="X30" s="101">
        <f t="shared" si="46"/>
        <v>8.7913637187569237E-3</v>
      </c>
      <c r="Y30" s="240">
        <v>20612</v>
      </c>
      <c r="Z30" s="101">
        <f t="shared" si="47"/>
        <v>0.10378441521822319</v>
      </c>
      <c r="AA30" s="240">
        <v>18080</v>
      </c>
      <c r="AB30" s="101">
        <f t="shared" si="48"/>
        <v>0.39344547690031118</v>
      </c>
      <c r="AC30" s="106">
        <f t="shared" si="49"/>
        <v>38692</v>
      </c>
      <c r="AD30" s="101">
        <f t="shared" si="50"/>
        <v>0.19481984250065457</v>
      </c>
      <c r="AE30" s="240">
        <v>15990</v>
      </c>
      <c r="AF30" s="101">
        <f t="shared" si="51"/>
        <v>8.0511973575557394E-2</v>
      </c>
      <c r="AG30" s="240">
        <v>17817</v>
      </c>
      <c r="AH30" s="101">
        <f t="shared" si="52"/>
        <v>8.9711184064772104E-2</v>
      </c>
      <c r="AI30" s="240">
        <v>10857</v>
      </c>
      <c r="AJ30" s="101">
        <f t="shared" si="53"/>
        <v>5.4666572677287466E-2</v>
      </c>
      <c r="AK30" s="240">
        <v>16225</v>
      </c>
      <c r="AL30" s="101">
        <f t="shared" si="54"/>
        <v>8.1695232724416422E-2</v>
      </c>
    </row>
    <row r="31" spans="2:38" ht="14.25">
      <c r="B31" s="98"/>
      <c r="C31" s="83"/>
      <c r="D31" s="344">
        <v>45954</v>
      </c>
      <c r="E31" s="344" t="s">
        <v>620</v>
      </c>
      <c r="F31" s="88">
        <f t="shared" si="18"/>
        <v>190154</v>
      </c>
      <c r="G31" s="353"/>
      <c r="H31" s="564"/>
      <c r="I31" s="240">
        <v>27152</v>
      </c>
      <c r="J31" s="101">
        <f t="shared" si="37"/>
        <v>0.14278952848743651</v>
      </c>
      <c r="K31" s="240">
        <v>36624</v>
      </c>
      <c r="L31" s="101">
        <f t="shared" si="38"/>
        <v>0.19260178592088517</v>
      </c>
      <c r="M31" s="106">
        <f t="shared" si="39"/>
        <v>63776</v>
      </c>
      <c r="N31" s="101">
        <f t="shared" si="40"/>
        <v>0.33539131440832165</v>
      </c>
      <c r="O31" s="240">
        <v>11367</v>
      </c>
      <c r="P31" s="101">
        <f t="shared" si="41"/>
        <v>5.9777864257391379E-2</v>
      </c>
      <c r="Q31" s="240">
        <v>3017</v>
      </c>
      <c r="R31" s="101">
        <f t="shared" si="42"/>
        <v>6.5652609130869996E-2</v>
      </c>
      <c r="S31" s="106">
        <f t="shared" si="43"/>
        <v>14384</v>
      </c>
      <c r="T31" s="101">
        <f t="shared" si="44"/>
        <v>7.5643951744375618E-2</v>
      </c>
      <c r="U31" s="240">
        <v>15436</v>
      </c>
      <c r="V31" s="101">
        <f t="shared" si="45"/>
        <v>8.1176309727904752E-2</v>
      </c>
      <c r="W31" s="240">
        <v>1850</v>
      </c>
      <c r="X31" s="101">
        <f t="shared" si="46"/>
        <v>9.7289565299704447E-3</v>
      </c>
      <c r="Y31" s="240">
        <v>20055</v>
      </c>
      <c r="Z31" s="101">
        <f t="shared" si="47"/>
        <v>0.10546714768030123</v>
      </c>
      <c r="AA31" s="240">
        <v>18407</v>
      </c>
      <c r="AB31" s="101">
        <f t="shared" si="48"/>
        <v>0.40055272663968317</v>
      </c>
      <c r="AC31" s="106">
        <f t="shared" si="49"/>
        <v>38462</v>
      </c>
      <c r="AD31" s="101">
        <f t="shared" si="50"/>
        <v>0.20226763570579637</v>
      </c>
      <c r="AE31" s="240">
        <v>13749</v>
      </c>
      <c r="AF31" s="101">
        <f t="shared" si="51"/>
        <v>7.2304553151656029E-2</v>
      </c>
      <c r="AG31" s="240">
        <v>15701</v>
      </c>
      <c r="AH31" s="101">
        <f t="shared" si="52"/>
        <v>8.2569917014630248E-2</v>
      </c>
      <c r="AI31" s="240">
        <v>11027</v>
      </c>
      <c r="AJ31" s="101">
        <f t="shared" si="53"/>
        <v>5.7989839814045457E-2</v>
      </c>
      <c r="AK31" s="240">
        <v>15769</v>
      </c>
      <c r="AL31" s="101">
        <f t="shared" si="54"/>
        <v>8.2927521903299425E-2</v>
      </c>
    </row>
    <row r="32" spans="2:38" ht="14.25">
      <c r="B32" s="98"/>
      <c r="C32" s="83"/>
      <c r="D32" s="344">
        <v>45955</v>
      </c>
      <c r="E32" s="344" t="s">
        <v>621</v>
      </c>
      <c r="F32" s="88">
        <f t="shared" si="18"/>
        <v>198374</v>
      </c>
      <c r="G32" s="353"/>
      <c r="H32" s="564"/>
      <c r="I32" s="240">
        <v>26321</v>
      </c>
      <c r="J32" s="101">
        <f t="shared" si="37"/>
        <v>0.13268371863248207</v>
      </c>
      <c r="K32" s="240">
        <v>39817</v>
      </c>
      <c r="L32" s="101">
        <f t="shared" si="38"/>
        <v>0.20071682781009609</v>
      </c>
      <c r="M32" s="106">
        <f t="shared" si="39"/>
        <v>66138</v>
      </c>
      <c r="N32" s="101">
        <f t="shared" si="40"/>
        <v>0.33340054644257816</v>
      </c>
      <c r="O32" s="240">
        <v>10614</v>
      </c>
      <c r="P32" s="101">
        <f t="shared" si="41"/>
        <v>5.3504995614344623E-2</v>
      </c>
      <c r="Q32" s="240">
        <v>3030</v>
      </c>
      <c r="R32" s="101">
        <f t="shared" si="42"/>
        <v>6.5934065934065936E-2</v>
      </c>
      <c r="S32" s="106">
        <f t="shared" si="43"/>
        <v>13644</v>
      </c>
      <c r="T32" s="101">
        <f t="shared" si="44"/>
        <v>6.8779174690231579E-2</v>
      </c>
      <c r="U32" s="240">
        <v>16705</v>
      </c>
      <c r="V32" s="101">
        <f t="shared" si="45"/>
        <v>8.420962424511276E-2</v>
      </c>
      <c r="W32" s="240">
        <v>2054</v>
      </c>
      <c r="X32" s="101">
        <f t="shared" si="46"/>
        <v>1.0354179479165617E-2</v>
      </c>
      <c r="Y32" s="240">
        <v>20643</v>
      </c>
      <c r="Z32" s="101">
        <f t="shared" si="47"/>
        <v>0.10406101606057246</v>
      </c>
      <c r="AA32" s="240">
        <v>19638</v>
      </c>
      <c r="AB32" s="101">
        <f t="shared" si="48"/>
        <v>0.42733108475682735</v>
      </c>
      <c r="AC32" s="106">
        <f t="shared" si="49"/>
        <v>40281</v>
      </c>
      <c r="AD32" s="101">
        <f t="shared" si="50"/>
        <v>0.20305584401181606</v>
      </c>
      <c r="AE32" s="240">
        <v>14181</v>
      </c>
      <c r="AF32" s="101">
        <f t="shared" si="51"/>
        <v>7.1486182665066997E-2</v>
      </c>
      <c r="AG32" s="240">
        <v>18025</v>
      </c>
      <c r="AH32" s="101">
        <f t="shared" si="52"/>
        <v>9.0863722060350649E-2</v>
      </c>
      <c r="AI32" s="240">
        <v>11207</v>
      </c>
      <c r="AJ32" s="101">
        <f t="shared" si="53"/>
        <v>5.6494298648008305E-2</v>
      </c>
      <c r="AK32" s="240">
        <v>16139</v>
      </c>
      <c r="AL32" s="101">
        <f t="shared" si="54"/>
        <v>8.1356427757669852E-2</v>
      </c>
    </row>
    <row r="33" spans="2:38" ht="14.25">
      <c r="B33" s="98"/>
      <c r="C33" s="83"/>
      <c r="D33" s="344">
        <v>45956</v>
      </c>
      <c r="E33" s="344" t="s">
        <v>622</v>
      </c>
      <c r="F33" s="88">
        <f t="shared" si="18"/>
        <v>241268</v>
      </c>
      <c r="G33" s="353"/>
      <c r="H33" s="564"/>
      <c r="I33" s="240">
        <v>37376</v>
      </c>
      <c r="J33" s="101">
        <f t="shared" si="37"/>
        <v>0.1549148664555598</v>
      </c>
      <c r="K33" s="240">
        <v>42846</v>
      </c>
      <c r="L33" s="101">
        <f t="shared" si="38"/>
        <v>0.17758675000414476</v>
      </c>
      <c r="M33" s="106">
        <f t="shared" si="39"/>
        <v>80222</v>
      </c>
      <c r="N33" s="101">
        <f t="shared" si="40"/>
        <v>0.33250161645970455</v>
      </c>
      <c r="O33" s="240">
        <v>13438</v>
      </c>
      <c r="P33" s="101">
        <f t="shared" si="41"/>
        <v>5.5697398743306197E-2</v>
      </c>
      <c r="Q33" s="240">
        <v>3771</v>
      </c>
      <c r="R33" s="101">
        <f t="shared" si="42"/>
        <v>8.2056749934720161E-2</v>
      </c>
      <c r="S33" s="106">
        <f t="shared" si="43"/>
        <v>17209</v>
      </c>
      <c r="T33" s="101">
        <f t="shared" si="44"/>
        <v>7.1327320655868165E-2</v>
      </c>
      <c r="U33" s="240">
        <v>19804</v>
      </c>
      <c r="V33" s="101">
        <f t="shared" si="45"/>
        <v>8.2082994843908019E-2</v>
      </c>
      <c r="W33" s="240">
        <v>2448</v>
      </c>
      <c r="X33" s="101">
        <f t="shared" si="46"/>
        <v>1.0146393222474593E-2</v>
      </c>
      <c r="Y33" s="240">
        <v>25980</v>
      </c>
      <c r="Z33" s="101">
        <f t="shared" si="47"/>
        <v>0.10768108493459555</v>
      </c>
      <c r="AA33" s="240">
        <v>20968</v>
      </c>
      <c r="AB33" s="101">
        <f t="shared" si="48"/>
        <v>0.45626251196796935</v>
      </c>
      <c r="AC33" s="106">
        <f t="shared" si="49"/>
        <v>46948</v>
      </c>
      <c r="AD33" s="101">
        <f t="shared" si="50"/>
        <v>0.1945885902813469</v>
      </c>
      <c r="AE33" s="240">
        <v>19590</v>
      </c>
      <c r="AF33" s="101">
        <f t="shared" si="51"/>
        <v>8.1196014390636145E-2</v>
      </c>
      <c r="AG33" s="240">
        <v>23074</v>
      </c>
      <c r="AH33" s="101">
        <f t="shared" si="52"/>
        <v>9.5636387751380211E-2</v>
      </c>
      <c r="AI33" s="240">
        <v>12413</v>
      </c>
      <c r="AJ33" s="101">
        <f t="shared" si="53"/>
        <v>5.1449011058242289E-2</v>
      </c>
      <c r="AK33" s="240">
        <v>19560</v>
      </c>
      <c r="AL33" s="101">
        <f t="shared" si="54"/>
        <v>8.1071671336439152E-2</v>
      </c>
    </row>
    <row r="34" spans="2:38" ht="14.25">
      <c r="B34" s="98"/>
      <c r="C34" s="83"/>
      <c r="D34" s="344">
        <v>45957</v>
      </c>
      <c r="E34" s="344" t="s">
        <v>616</v>
      </c>
      <c r="F34" s="88">
        <f t="shared" si="18"/>
        <v>247182</v>
      </c>
      <c r="G34" s="353"/>
      <c r="H34" s="564"/>
      <c r="I34" s="240">
        <v>36403</v>
      </c>
      <c r="J34" s="101">
        <f t="shared" si="37"/>
        <v>0.1472720505538429</v>
      </c>
      <c r="K34" s="240">
        <v>49208</v>
      </c>
      <c r="L34" s="101">
        <f t="shared" si="38"/>
        <v>0.19907598449725303</v>
      </c>
      <c r="M34" s="106">
        <f t="shared" si="39"/>
        <v>85611</v>
      </c>
      <c r="N34" s="101">
        <f t="shared" si="40"/>
        <v>0.34634803505109596</v>
      </c>
      <c r="O34" s="240">
        <v>12576</v>
      </c>
      <c r="P34" s="101">
        <f t="shared" si="41"/>
        <v>5.0877491079447536E-2</v>
      </c>
      <c r="Q34" s="240">
        <v>3687</v>
      </c>
      <c r="R34" s="101">
        <f t="shared" si="42"/>
        <v>8.0227168875252955E-2</v>
      </c>
      <c r="S34" s="106">
        <f t="shared" si="43"/>
        <v>16263</v>
      </c>
      <c r="T34" s="101">
        <f t="shared" si="44"/>
        <v>6.5793625749447776E-2</v>
      </c>
      <c r="U34" s="240">
        <v>19445</v>
      </c>
      <c r="V34" s="101">
        <f t="shared" si="45"/>
        <v>7.8666731396299081E-2</v>
      </c>
      <c r="W34" s="240">
        <v>2271</v>
      </c>
      <c r="X34" s="101">
        <f t="shared" si="46"/>
        <v>9.1875622011311497E-3</v>
      </c>
      <c r="Y34" s="240">
        <v>25228</v>
      </c>
      <c r="Z34" s="101">
        <f t="shared" si="47"/>
        <v>0.10206244791287392</v>
      </c>
      <c r="AA34" s="240">
        <v>26540</v>
      </c>
      <c r="AB34" s="101">
        <f t="shared" si="48"/>
        <v>0.57749635528863941</v>
      </c>
      <c r="AC34" s="106">
        <f t="shared" si="49"/>
        <v>51768</v>
      </c>
      <c r="AD34" s="101">
        <f t="shared" si="50"/>
        <v>0.20943272568390903</v>
      </c>
      <c r="AE34" s="240">
        <v>19211</v>
      </c>
      <c r="AF34" s="101">
        <f t="shared" si="51"/>
        <v>7.7720060522206313E-2</v>
      </c>
      <c r="AG34" s="240">
        <v>22149</v>
      </c>
      <c r="AH34" s="101">
        <f t="shared" si="52"/>
        <v>8.9606039274704466E-2</v>
      </c>
      <c r="AI34" s="240">
        <v>11281</v>
      </c>
      <c r="AJ34" s="101">
        <f t="shared" si="53"/>
        <v>4.563843645572898E-2</v>
      </c>
      <c r="AK34" s="240">
        <v>19183</v>
      </c>
      <c r="AL34" s="101">
        <f t="shared" si="54"/>
        <v>7.7606783665477255E-2</v>
      </c>
    </row>
    <row r="35" spans="2:38" ht="14.25">
      <c r="B35" s="98"/>
      <c r="C35" s="83"/>
      <c r="D35" s="86">
        <v>45958</v>
      </c>
      <c r="E35" s="86" t="s">
        <v>617</v>
      </c>
      <c r="F35" s="88">
        <f t="shared" si="18"/>
        <v>271475</v>
      </c>
      <c r="G35" s="353">
        <f>SUM(F35:F41)</f>
        <v>1631463</v>
      </c>
      <c r="H35" s="564"/>
      <c r="I35" s="240">
        <v>39611</v>
      </c>
      <c r="J35" s="101">
        <f t="shared" si="37"/>
        <v>0.14591030481628142</v>
      </c>
      <c r="K35" s="240">
        <v>48686</v>
      </c>
      <c r="L35" s="101">
        <f t="shared" si="38"/>
        <v>0.17933879731098629</v>
      </c>
      <c r="M35" s="106">
        <f t="shared" si="39"/>
        <v>88297</v>
      </c>
      <c r="N35" s="101">
        <f t="shared" si="40"/>
        <v>0.32524910212726771</v>
      </c>
      <c r="O35" s="240">
        <v>13319</v>
      </c>
      <c r="P35" s="101">
        <f t="shared" si="41"/>
        <v>4.9061607882862145E-2</v>
      </c>
      <c r="Q35" s="240">
        <v>3833</v>
      </c>
      <c r="R35" s="101">
        <f t="shared" si="42"/>
        <v>8.3402236824927103E-2</v>
      </c>
      <c r="S35" s="106">
        <f t="shared" si="43"/>
        <v>17152</v>
      </c>
      <c r="T35" s="101">
        <f t="shared" si="44"/>
        <v>6.3180771710102224E-2</v>
      </c>
      <c r="U35" s="240">
        <v>19724</v>
      </c>
      <c r="V35" s="101">
        <f t="shared" si="45"/>
        <v>7.2654940602265405E-2</v>
      </c>
      <c r="W35" s="240">
        <v>10654</v>
      </c>
      <c r="X35" s="101">
        <f t="shared" si="46"/>
        <v>3.9244866009761487E-2</v>
      </c>
      <c r="Y35" s="240">
        <v>25133</v>
      </c>
      <c r="Z35" s="101">
        <f t="shared" si="47"/>
        <v>9.2579427203241554E-2</v>
      </c>
      <c r="AA35" s="240">
        <v>29209</v>
      </c>
      <c r="AB35" s="101">
        <f t="shared" si="48"/>
        <v>0.63555855346185652</v>
      </c>
      <c r="AC35" s="106">
        <f t="shared" si="49"/>
        <v>54342</v>
      </c>
      <c r="AD35" s="101">
        <f t="shared" si="50"/>
        <v>0.20017312828068884</v>
      </c>
      <c r="AE35" s="240">
        <v>23182</v>
      </c>
      <c r="AF35" s="101">
        <f t="shared" si="51"/>
        <v>8.5392761764435027E-2</v>
      </c>
      <c r="AG35" s="240">
        <v>21121</v>
      </c>
      <c r="AH35" s="101">
        <f t="shared" si="52"/>
        <v>7.7800902477207848E-2</v>
      </c>
      <c r="AI35" s="240">
        <v>12873</v>
      </c>
      <c r="AJ35" s="101">
        <f t="shared" si="53"/>
        <v>4.7418731006538352E-2</v>
      </c>
      <c r="AK35" s="240">
        <v>24130</v>
      </c>
      <c r="AL35" s="101">
        <f t="shared" si="54"/>
        <v>8.8884796021733131E-2</v>
      </c>
    </row>
    <row r="36" spans="2:38" ht="14.25">
      <c r="B36" s="98"/>
      <c r="C36" s="83"/>
      <c r="D36" s="86">
        <v>45959</v>
      </c>
      <c r="E36" s="86" t="s">
        <v>618</v>
      </c>
      <c r="F36" s="88">
        <f t="shared" si="18"/>
        <v>254507</v>
      </c>
      <c r="G36" s="353"/>
      <c r="H36" s="564"/>
      <c r="I36" s="240">
        <v>38040</v>
      </c>
      <c r="J36" s="101">
        <f t="shared" si="37"/>
        <v>0.14946543709996188</v>
      </c>
      <c r="K36" s="240">
        <v>48933</v>
      </c>
      <c r="L36" s="101">
        <f t="shared" si="38"/>
        <v>0.19226583158812921</v>
      </c>
      <c r="M36" s="106">
        <f t="shared" si="39"/>
        <v>86973</v>
      </c>
      <c r="N36" s="101">
        <f t="shared" si="40"/>
        <v>0.34173126868809112</v>
      </c>
      <c r="O36" s="240">
        <v>13181</v>
      </c>
      <c r="P36" s="101">
        <f t="shared" si="41"/>
        <v>5.1790324038238633E-2</v>
      </c>
      <c r="Q36" s="240">
        <v>3880</v>
      </c>
      <c r="R36" s="101">
        <f t="shared" si="42"/>
        <v>8.44230727387454E-2</v>
      </c>
      <c r="S36" s="106">
        <f t="shared" si="43"/>
        <v>17061</v>
      </c>
      <c r="T36" s="101">
        <f t="shared" si="44"/>
        <v>6.7035484289233699E-2</v>
      </c>
      <c r="U36" s="240">
        <v>19460</v>
      </c>
      <c r="V36" s="101">
        <f t="shared" si="45"/>
        <v>7.646155115576389E-2</v>
      </c>
      <c r="W36" s="240">
        <v>7036</v>
      </c>
      <c r="X36" s="101">
        <f t="shared" si="46"/>
        <v>2.7645605032474548E-2</v>
      </c>
      <c r="Y36" s="240">
        <v>24276</v>
      </c>
      <c r="Z36" s="101">
        <f t="shared" si="47"/>
        <v>9.5384409859060854E-2</v>
      </c>
      <c r="AA36" s="240">
        <v>26287</v>
      </c>
      <c r="AB36" s="101">
        <f t="shared" si="48"/>
        <v>0.57196631780500007</v>
      </c>
      <c r="AC36" s="106">
        <f t="shared" si="49"/>
        <v>50563</v>
      </c>
      <c r="AD36" s="101">
        <f t="shared" si="50"/>
        <v>0.19867037055955239</v>
      </c>
      <c r="AE36" s="240">
        <v>20957</v>
      </c>
      <c r="AF36" s="101">
        <f t="shared" si="51"/>
        <v>8.2343511180439047E-2</v>
      </c>
      <c r="AG36" s="240">
        <v>18916</v>
      </c>
      <c r="AH36" s="101">
        <f t="shared" si="52"/>
        <v>7.432408538861407E-2</v>
      </c>
      <c r="AI36" s="240">
        <v>11229</v>
      </c>
      <c r="AJ36" s="101">
        <f t="shared" si="53"/>
        <v>4.4120593932583385E-2</v>
      </c>
      <c r="AK36" s="240">
        <v>22312</v>
      </c>
      <c r="AL36" s="101">
        <f t="shared" si="54"/>
        <v>8.766752977324789E-2</v>
      </c>
    </row>
    <row r="37" spans="2:38" ht="14.25">
      <c r="B37" s="98"/>
      <c r="C37" s="83"/>
      <c r="D37" s="86">
        <v>45960</v>
      </c>
      <c r="E37" s="86" t="s">
        <v>619</v>
      </c>
      <c r="F37" s="88">
        <f t="shared" si="18"/>
        <v>234639</v>
      </c>
      <c r="G37" s="353"/>
      <c r="H37" s="564"/>
      <c r="I37" s="240">
        <v>34492</v>
      </c>
      <c r="J37" s="101">
        <f t="shared" si="37"/>
        <v>0.14700028554502875</v>
      </c>
      <c r="K37" s="240">
        <v>43753</v>
      </c>
      <c r="L37" s="101">
        <f t="shared" si="38"/>
        <v>0.18646942750352669</v>
      </c>
      <c r="M37" s="106">
        <f t="shared" si="39"/>
        <v>78245</v>
      </c>
      <c r="N37" s="101">
        <f t="shared" si="40"/>
        <v>0.33346971304855544</v>
      </c>
      <c r="O37" s="240">
        <v>11424</v>
      </c>
      <c r="P37" s="101">
        <f t="shared" si="41"/>
        <v>4.8687558334292252E-2</v>
      </c>
      <c r="Q37" s="240">
        <v>3838</v>
      </c>
      <c r="R37" s="101">
        <f t="shared" si="42"/>
        <v>8.3507397737162745E-2</v>
      </c>
      <c r="S37" s="106">
        <f t="shared" si="43"/>
        <v>15262</v>
      </c>
      <c r="T37" s="101">
        <f t="shared" si="44"/>
        <v>6.5044600428743729E-2</v>
      </c>
      <c r="U37" s="240">
        <v>18215</v>
      </c>
      <c r="V37" s="101">
        <f t="shared" si="45"/>
        <v>7.7629891024083811E-2</v>
      </c>
      <c r="W37" s="240">
        <v>6482</v>
      </c>
      <c r="X37" s="101">
        <f t="shared" si="46"/>
        <v>2.7625416064678079E-2</v>
      </c>
      <c r="Y37" s="240">
        <v>23435</v>
      </c>
      <c r="Z37" s="101">
        <f t="shared" si="47"/>
        <v>9.987683206969003E-2</v>
      </c>
      <c r="AA37" s="240">
        <v>22410</v>
      </c>
      <c r="AB37" s="101">
        <f t="shared" si="48"/>
        <v>0.48759791122715407</v>
      </c>
      <c r="AC37" s="106">
        <f t="shared" si="49"/>
        <v>45845</v>
      </c>
      <c r="AD37" s="101">
        <f t="shared" si="50"/>
        <v>0.19538525138617194</v>
      </c>
      <c r="AE37" s="240">
        <v>19538</v>
      </c>
      <c r="AF37" s="101">
        <f t="shared" si="51"/>
        <v>8.3268339875297803E-2</v>
      </c>
      <c r="AG37" s="240">
        <v>18659</v>
      </c>
      <c r="AH37" s="101">
        <f t="shared" si="52"/>
        <v>7.9522159572790546E-2</v>
      </c>
      <c r="AI37" s="240">
        <v>10892</v>
      </c>
      <c r="AJ37" s="101">
        <f t="shared" si="53"/>
        <v>4.6420245568724719E-2</v>
      </c>
      <c r="AK37" s="240">
        <v>21501</v>
      </c>
      <c r="AL37" s="101">
        <f t="shared" si="54"/>
        <v>9.1634383030953934E-2</v>
      </c>
    </row>
    <row r="38" spans="2:38" s="492" customFormat="1" ht="14.25">
      <c r="B38" s="484"/>
      <c r="C38" s="485"/>
      <c r="D38" s="486">
        <v>45961</v>
      </c>
      <c r="E38" s="486" t="s">
        <v>620</v>
      </c>
      <c r="F38" s="487">
        <f t="shared" si="18"/>
        <v>200739</v>
      </c>
      <c r="G38" s="488"/>
      <c r="H38" s="564"/>
      <c r="I38" s="489">
        <v>29694</v>
      </c>
      <c r="J38" s="490">
        <f t="shared" si="37"/>
        <v>0.14792342295219166</v>
      </c>
      <c r="K38" s="489">
        <v>40162</v>
      </c>
      <c r="L38" s="490">
        <f t="shared" si="38"/>
        <v>0.20007073862079616</v>
      </c>
      <c r="M38" s="491">
        <f t="shared" si="39"/>
        <v>69856</v>
      </c>
      <c r="N38" s="490">
        <f t="shared" si="40"/>
        <v>0.34799416157298779</v>
      </c>
      <c r="O38" s="489">
        <v>9868</v>
      </c>
      <c r="P38" s="490">
        <f t="shared" si="41"/>
        <v>4.915835986031613E-2</v>
      </c>
      <c r="Q38" s="489">
        <v>3220</v>
      </c>
      <c r="R38" s="490">
        <f t="shared" si="42"/>
        <v>7.0059398185418079E-2</v>
      </c>
      <c r="S38" s="491">
        <f t="shared" si="43"/>
        <v>13088</v>
      </c>
      <c r="T38" s="490">
        <f t="shared" si="44"/>
        <v>6.5199089364797069E-2</v>
      </c>
      <c r="U38" s="489">
        <v>14842</v>
      </c>
      <c r="V38" s="490">
        <f t="shared" si="45"/>
        <v>7.3936803511026758E-2</v>
      </c>
      <c r="W38" s="489">
        <v>3927</v>
      </c>
      <c r="X38" s="490">
        <f t="shared" si="46"/>
        <v>1.9562715765247412E-2</v>
      </c>
      <c r="Y38" s="489">
        <v>20835</v>
      </c>
      <c r="Z38" s="490">
        <f t="shared" si="47"/>
        <v>0.1037914904428138</v>
      </c>
      <c r="AA38" s="489">
        <v>19274</v>
      </c>
      <c r="AB38" s="490">
        <f t="shared" si="48"/>
        <v>0.41935554056700247</v>
      </c>
      <c r="AC38" s="491">
        <f t="shared" si="49"/>
        <v>40109</v>
      </c>
      <c r="AD38" s="490">
        <f t="shared" si="50"/>
        <v>0.19980671419106402</v>
      </c>
      <c r="AE38" s="489">
        <v>16017</v>
      </c>
      <c r="AF38" s="490">
        <f t="shared" si="51"/>
        <v>7.9790175302258154E-2</v>
      </c>
      <c r="AG38" s="489">
        <v>14964</v>
      </c>
      <c r="AH38" s="490">
        <f t="shared" si="52"/>
        <v>7.4544557858712057E-2</v>
      </c>
      <c r="AI38" s="489">
        <v>10827</v>
      </c>
      <c r="AJ38" s="490">
        <f t="shared" si="53"/>
        <v>5.393570756056372E-2</v>
      </c>
      <c r="AK38" s="489">
        <v>17109</v>
      </c>
      <c r="AL38" s="490">
        <f t="shared" si="54"/>
        <v>8.5230074873342998E-2</v>
      </c>
    </row>
    <row r="39" spans="2:38" ht="14.25">
      <c r="B39" s="98"/>
      <c r="C39" s="83"/>
      <c r="D39" s="86">
        <v>45962</v>
      </c>
      <c r="E39" s="86" t="s">
        <v>621</v>
      </c>
      <c r="F39" s="88">
        <f t="shared" si="18"/>
        <v>199982</v>
      </c>
      <c r="G39" s="353"/>
      <c r="H39" s="88"/>
      <c r="I39" s="240">
        <v>28452</v>
      </c>
      <c r="J39" s="101">
        <f t="shared" si="37"/>
        <v>0.1422728045524097</v>
      </c>
      <c r="K39" s="240">
        <v>40897</v>
      </c>
      <c r="L39" s="101">
        <f t="shared" si="38"/>
        <v>0.20450340530647759</v>
      </c>
      <c r="M39" s="106">
        <f t="shared" si="39"/>
        <v>69349</v>
      </c>
      <c r="N39" s="101">
        <f t="shared" si="40"/>
        <v>0.3467762098588873</v>
      </c>
      <c r="O39" s="240">
        <v>8441</v>
      </c>
      <c r="P39" s="101">
        <f t="shared" si="41"/>
        <v>4.2208798791891274E-2</v>
      </c>
      <c r="Q39" s="240">
        <v>3019</v>
      </c>
      <c r="R39" s="101">
        <f t="shared" si="42"/>
        <v>6.5684696053261396E-2</v>
      </c>
      <c r="S39" s="106">
        <f t="shared" si="43"/>
        <v>11460</v>
      </c>
      <c r="T39" s="101">
        <f t="shared" si="44"/>
        <v>5.7305157464171773E-2</v>
      </c>
      <c r="U39" s="240">
        <v>14533</v>
      </c>
      <c r="V39" s="101">
        <f t="shared" si="45"/>
        <v>7.2671540438639479E-2</v>
      </c>
      <c r="W39" s="240">
        <v>3967</v>
      </c>
      <c r="X39" s="101">
        <f t="shared" si="46"/>
        <v>1.9836785310677962E-2</v>
      </c>
      <c r="Y39" s="240">
        <v>20037</v>
      </c>
      <c r="Z39" s="101">
        <f t="shared" si="47"/>
        <v>0.10019401746157154</v>
      </c>
      <c r="AA39" s="240">
        <v>20083</v>
      </c>
      <c r="AB39" s="101">
        <f t="shared" si="48"/>
        <v>0.43694791349375572</v>
      </c>
      <c r="AC39" s="106">
        <f t="shared" si="49"/>
        <v>40120</v>
      </c>
      <c r="AD39" s="101">
        <f t="shared" si="50"/>
        <v>0.20061805562500626</v>
      </c>
      <c r="AE39" s="240">
        <v>16927</v>
      </c>
      <c r="AF39" s="101">
        <f t="shared" si="51"/>
        <v>8.4642617835605199E-2</v>
      </c>
      <c r="AG39" s="240">
        <v>15181</v>
      </c>
      <c r="AH39" s="101">
        <f t="shared" si="52"/>
        <v>7.5911832064885845E-2</v>
      </c>
      <c r="AI39" s="240">
        <v>10780</v>
      </c>
      <c r="AJ39" s="101">
        <f t="shared" si="53"/>
        <v>5.3904851436629299E-2</v>
      </c>
      <c r="AK39" s="240">
        <v>17665</v>
      </c>
      <c r="AL39" s="101">
        <f t="shared" si="54"/>
        <v>8.8332949965496899E-2</v>
      </c>
    </row>
    <row r="40" spans="2:38" ht="14.25">
      <c r="B40" s="98"/>
      <c r="C40" s="83"/>
      <c r="D40" s="86">
        <v>45963</v>
      </c>
      <c r="E40" s="86" t="s">
        <v>622</v>
      </c>
      <c r="F40" s="88">
        <f t="shared" si="18"/>
        <v>239410</v>
      </c>
      <c r="G40" s="353"/>
      <c r="H40" s="88"/>
      <c r="I40" s="240">
        <v>37061</v>
      </c>
      <c r="J40" s="101">
        <f t="shared" si="37"/>
        <v>0.15480138674240843</v>
      </c>
      <c r="K40" s="240">
        <v>44045</v>
      </c>
      <c r="L40" s="101">
        <f t="shared" si="38"/>
        <v>0.18397310053882462</v>
      </c>
      <c r="M40" s="106">
        <f t="shared" si="39"/>
        <v>81106</v>
      </c>
      <c r="N40" s="101">
        <f t="shared" si="40"/>
        <v>0.33877448728123305</v>
      </c>
      <c r="O40" s="240">
        <v>10789</v>
      </c>
      <c r="P40" s="101">
        <f t="shared" si="41"/>
        <v>4.5064951338707658E-2</v>
      </c>
      <c r="Q40" s="240">
        <v>3520</v>
      </c>
      <c r="R40" s="101">
        <f t="shared" si="42"/>
        <v>7.6583338772490919E-2</v>
      </c>
      <c r="S40" s="106">
        <f t="shared" si="43"/>
        <v>14309</v>
      </c>
      <c r="T40" s="101">
        <f t="shared" si="44"/>
        <v>5.9767762415939181E-2</v>
      </c>
      <c r="U40" s="240">
        <v>18035</v>
      </c>
      <c r="V40" s="101">
        <f t="shared" si="45"/>
        <v>7.5331022095985967E-2</v>
      </c>
      <c r="W40" s="240">
        <v>7001</v>
      </c>
      <c r="X40" s="101">
        <f t="shared" si="46"/>
        <v>2.9242721690823273E-2</v>
      </c>
      <c r="Y40" s="240">
        <v>23595</v>
      </c>
      <c r="Z40" s="101">
        <f t="shared" si="47"/>
        <v>9.8554780502067577E-2</v>
      </c>
      <c r="AA40" s="240">
        <v>22513</v>
      </c>
      <c r="AB40" s="101">
        <f t="shared" si="48"/>
        <v>0.48980701868894544</v>
      </c>
      <c r="AC40" s="106">
        <f t="shared" si="49"/>
        <v>46108</v>
      </c>
      <c r="AD40" s="101">
        <f t="shared" si="50"/>
        <v>0.19259011737187251</v>
      </c>
      <c r="AE40" s="240">
        <v>21075</v>
      </c>
      <c r="AF40" s="101">
        <f t="shared" si="51"/>
        <v>8.8028904389958654E-2</v>
      </c>
      <c r="AG40" s="240">
        <v>18470</v>
      </c>
      <c r="AH40" s="101">
        <f t="shared" si="52"/>
        <v>7.7147988805814291E-2</v>
      </c>
      <c r="AI40" s="240">
        <v>11644</v>
      </c>
      <c r="AJ40" s="101">
        <f t="shared" si="53"/>
        <v>4.8636230733887474E-2</v>
      </c>
      <c r="AK40" s="240">
        <v>21662</v>
      </c>
      <c r="AL40" s="101">
        <f t="shared" si="54"/>
        <v>9.0480765214485614E-2</v>
      </c>
    </row>
    <row r="41" spans="2:38" ht="14.25">
      <c r="B41" s="98"/>
      <c r="C41" s="83"/>
      <c r="D41" s="86">
        <v>45964</v>
      </c>
      <c r="E41" s="86" t="s">
        <v>616</v>
      </c>
      <c r="F41" s="88">
        <f t="shared" si="18"/>
        <v>230711</v>
      </c>
      <c r="G41" s="353"/>
      <c r="H41" s="88"/>
      <c r="I41" s="240">
        <v>35896</v>
      </c>
      <c r="J41" s="101">
        <f>I41/F41</f>
        <v>0.15558859352176532</v>
      </c>
      <c r="K41" s="240">
        <v>43695</v>
      </c>
      <c r="L41" s="101">
        <f>K41/F41</f>
        <v>0.18939279011403878</v>
      </c>
      <c r="M41" s="106">
        <f>SUM(I41+K41)</f>
        <v>79591</v>
      </c>
      <c r="N41" s="101">
        <f>M41/F41</f>
        <v>0.34498138363580411</v>
      </c>
      <c r="O41" s="240">
        <v>10101</v>
      </c>
      <c r="P41" s="101">
        <f>O41/F41</f>
        <v>4.3782047670028738E-2</v>
      </c>
      <c r="Q41" s="240">
        <v>3584</v>
      </c>
      <c r="R41" s="101">
        <f>Q41/D41</f>
        <v>7.7974066660865024E-2</v>
      </c>
      <c r="S41" s="106">
        <f t="shared" si="43"/>
        <v>13685</v>
      </c>
      <c r="T41" s="101">
        <f>S41/F41</f>
        <v>5.9316634230704213E-2</v>
      </c>
      <c r="U41" s="240">
        <v>18247</v>
      </c>
      <c r="V41" s="101">
        <f>U41/F41</f>
        <v>7.9090290449956871E-2</v>
      </c>
      <c r="W41" s="240">
        <v>4979</v>
      </c>
      <c r="X41" s="101">
        <f>W41/F41</f>
        <v>2.1581112300670537E-2</v>
      </c>
      <c r="Y41" s="240">
        <v>19668</v>
      </c>
      <c r="Z41" s="101">
        <f>Y41/F41</f>
        <v>8.5249511293349692E-2</v>
      </c>
      <c r="AA41" s="240">
        <v>22749</v>
      </c>
      <c r="AB41" s="101">
        <f>AA41/D41</f>
        <v>0.49493081542076406</v>
      </c>
      <c r="AC41" s="106">
        <f>SUM(Y41+AA41)</f>
        <v>42417</v>
      </c>
      <c r="AD41" s="101">
        <f>AC41/F41</f>
        <v>0.18385339233933362</v>
      </c>
      <c r="AE41" s="240">
        <v>20424</v>
      </c>
      <c r="AF41" s="101">
        <f>AE41/F41</f>
        <v>8.8526338145992173E-2</v>
      </c>
      <c r="AG41" s="240">
        <v>18428</v>
      </c>
      <c r="AH41" s="101">
        <f>AG41/F41</f>
        <v>7.9874821746687419E-2</v>
      </c>
      <c r="AI41" s="240">
        <v>11571</v>
      </c>
      <c r="AJ41" s="101">
        <f>AI41/F41</f>
        <v>5.015365543905579E-2</v>
      </c>
      <c r="AK41" s="240">
        <v>21369</v>
      </c>
      <c r="AL41" s="101">
        <f>AK41/F41</f>
        <v>9.2622371711795271E-2</v>
      </c>
    </row>
    <row r="42" spans="2:38" ht="14.25">
      <c r="B42" s="98"/>
      <c r="C42" s="83"/>
      <c r="D42" s="86"/>
      <c r="E42" s="86"/>
      <c r="F42" s="88"/>
      <c r="G42" s="353"/>
      <c r="H42" s="88"/>
      <c r="I42" s="240"/>
      <c r="J42" s="101"/>
      <c r="K42" s="240"/>
      <c r="L42" s="101"/>
      <c r="M42" s="106"/>
      <c r="N42" s="101"/>
      <c r="O42" s="240"/>
      <c r="P42" s="101"/>
      <c r="Q42" s="240"/>
      <c r="R42" s="101"/>
      <c r="S42" s="106"/>
      <c r="T42" s="101"/>
      <c r="U42" s="240"/>
      <c r="V42" s="101"/>
      <c r="W42" s="240"/>
      <c r="X42" s="101"/>
      <c r="Y42" s="240"/>
      <c r="Z42" s="101"/>
      <c r="AA42" s="240"/>
      <c r="AB42" s="101"/>
      <c r="AC42" s="106"/>
      <c r="AD42" s="101"/>
      <c r="AE42" s="240"/>
      <c r="AF42" s="101"/>
      <c r="AG42" s="240"/>
      <c r="AH42" s="101"/>
      <c r="AI42" s="240"/>
      <c r="AJ42" s="101"/>
      <c r="AK42" s="240"/>
      <c r="AL42" s="101"/>
    </row>
    <row r="43" spans="2:38" ht="14.25">
      <c r="B43" s="98"/>
      <c r="C43" s="83"/>
      <c r="D43" s="86"/>
      <c r="E43" s="86"/>
      <c r="F43" s="88">
        <f t="shared" si="18"/>
        <v>0</v>
      </c>
      <c r="G43" s="353"/>
      <c r="H43" s="88"/>
      <c r="I43" s="240"/>
      <c r="J43" s="101" t="e">
        <f>I43/F43</f>
        <v>#DIV/0!</v>
      </c>
      <c r="K43" s="240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40"/>
      <c r="P43" s="101" t="e">
        <f>O43/F43</f>
        <v>#DIV/0!</v>
      </c>
      <c r="Q43" s="240"/>
      <c r="R43" s="101" t="e">
        <f>Q43/D43</f>
        <v>#DIV/0!</v>
      </c>
      <c r="S43" s="106">
        <f t="shared" si="43"/>
        <v>0</v>
      </c>
      <c r="T43" s="101" t="e">
        <f>S43/F43</f>
        <v>#DIV/0!</v>
      </c>
      <c r="U43" s="240"/>
      <c r="V43" s="101" t="e">
        <f>U43/F43</f>
        <v>#DIV/0!</v>
      </c>
      <c r="W43" s="240"/>
      <c r="X43" s="101" t="e">
        <f>W43/F43</f>
        <v>#DIV/0!</v>
      </c>
      <c r="Y43" s="240"/>
      <c r="Z43" s="101" t="e">
        <f>Y43/F43</f>
        <v>#DIV/0!</v>
      </c>
      <c r="AA43" s="240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40"/>
      <c r="AF43" s="101" t="e">
        <f>AE43/F43</f>
        <v>#DIV/0!</v>
      </c>
      <c r="AG43" s="240"/>
      <c r="AH43" s="101" t="e">
        <f>AG43/F43</f>
        <v>#DIV/0!</v>
      </c>
      <c r="AI43" s="240"/>
      <c r="AJ43" s="101" t="e">
        <f>AI43/F43</f>
        <v>#DIV/0!</v>
      </c>
      <c r="AK43" s="240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18"/>
        <v>0</v>
      </c>
      <c r="G44" s="353"/>
      <c r="H44" s="88"/>
      <c r="I44" s="240"/>
      <c r="J44" s="101" t="e">
        <f>I44/F44</f>
        <v>#DIV/0!</v>
      </c>
      <c r="K44" s="240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40"/>
      <c r="P44" s="101" t="e">
        <f>O44/F44</f>
        <v>#DIV/0!</v>
      </c>
      <c r="Q44" s="240"/>
      <c r="R44" s="101" t="e">
        <f>Q44/D44</f>
        <v>#DIV/0!</v>
      </c>
      <c r="S44" s="106">
        <f t="shared" si="43"/>
        <v>0</v>
      </c>
      <c r="T44" s="101" t="e">
        <f>S44/F44</f>
        <v>#DIV/0!</v>
      </c>
      <c r="U44" s="240"/>
      <c r="V44" s="101" t="e">
        <f>U44/F44</f>
        <v>#DIV/0!</v>
      </c>
      <c r="W44" s="240"/>
      <c r="X44" s="101" t="e">
        <f>W44/F44</f>
        <v>#DIV/0!</v>
      </c>
      <c r="Y44" s="240"/>
      <c r="Z44" s="101" t="e">
        <f>Y44/F44</f>
        <v>#DIV/0!</v>
      </c>
      <c r="AA44" s="240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40"/>
      <c r="AF44" s="101" t="e">
        <f>AE44/F44</f>
        <v>#DIV/0!</v>
      </c>
      <c r="AG44" s="240"/>
      <c r="AH44" s="101" t="e">
        <f>AG44/F44</f>
        <v>#DIV/0!</v>
      </c>
      <c r="AI44" s="240"/>
      <c r="AJ44" s="101" t="e">
        <f>AI44/F44</f>
        <v>#DIV/0!</v>
      </c>
      <c r="AK44" s="240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18"/>
        <v>0</v>
      </c>
      <c r="G45" s="353"/>
      <c r="H45" s="88"/>
      <c r="I45" s="240"/>
      <c r="J45" s="101" t="e">
        <f>I45/F45</f>
        <v>#DIV/0!</v>
      </c>
      <c r="K45" s="240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40"/>
      <c r="P45" s="101" t="e">
        <f>O45/F45</f>
        <v>#DIV/0!</v>
      </c>
      <c r="Q45" s="240"/>
      <c r="R45" s="101" t="e">
        <f>Q45/D45</f>
        <v>#DIV/0!</v>
      </c>
      <c r="S45" s="106">
        <f t="shared" si="43"/>
        <v>0</v>
      </c>
      <c r="T45" s="101" t="e">
        <f>S45/F45</f>
        <v>#DIV/0!</v>
      </c>
      <c r="U45" s="240"/>
      <c r="V45" s="101" t="e">
        <f>U45/F45</f>
        <v>#DIV/0!</v>
      </c>
      <c r="W45" s="240"/>
      <c r="X45" s="101" t="e">
        <f>W45/F45</f>
        <v>#DIV/0!</v>
      </c>
      <c r="Y45" s="240"/>
      <c r="Z45" s="101" t="e">
        <f>Y45/F45</f>
        <v>#DIV/0!</v>
      </c>
      <c r="AA45" s="240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40"/>
      <c r="AF45" s="101" t="e">
        <f>AE45/F45</f>
        <v>#DIV/0!</v>
      </c>
      <c r="AG45" s="240"/>
      <c r="AH45" s="101" t="e">
        <f>AG45/F45</f>
        <v>#DIV/0!</v>
      </c>
      <c r="AI45" s="240"/>
      <c r="AJ45" s="101" t="e">
        <f>AI45/F45</f>
        <v>#DIV/0!</v>
      </c>
      <c r="AK45" s="240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95">
        <f>SUM(I7:I45)</f>
        <v>1148480</v>
      </c>
      <c r="J46" s="294" t="e">
        <f>I46/$H$7</f>
        <v>#DIV/0!</v>
      </c>
      <c r="K46" s="295">
        <f>SUM(K7:K45)</f>
        <v>1466493</v>
      </c>
      <c r="L46" s="294" t="e">
        <f>K46/$H$7</f>
        <v>#DIV/0!</v>
      </c>
      <c r="M46" s="295">
        <f>SUM(M7:M45)</f>
        <v>2614973</v>
      </c>
      <c r="N46" s="294" t="e">
        <f>M46/$H$7</f>
        <v>#DIV/0!</v>
      </c>
      <c r="O46" s="295">
        <f>SUM(O7:O45)</f>
        <v>360650</v>
      </c>
      <c r="P46" s="294" t="e">
        <f>O46/$H$7</f>
        <v>#DIV/0!</v>
      </c>
      <c r="Q46" s="295">
        <f>SUM(Q7:Q45)</f>
        <v>122815</v>
      </c>
      <c r="R46" s="294" t="e">
        <f>Q46/$H$7</f>
        <v>#DIV/0!</v>
      </c>
      <c r="S46" s="295">
        <f>SUM(S7:S45)</f>
        <v>483465</v>
      </c>
      <c r="T46" s="294" t="e">
        <f>S46/$H$7</f>
        <v>#DIV/0!</v>
      </c>
      <c r="U46" s="295">
        <f>SUM(U7:U45)</f>
        <v>657021</v>
      </c>
      <c r="V46" s="294" t="e">
        <f>U46/$H$7</f>
        <v>#DIV/0!</v>
      </c>
      <c r="W46" s="295">
        <f>SUM(W7:W45)</f>
        <v>133372</v>
      </c>
      <c r="X46" s="294" t="e">
        <f>W46/$H$7</f>
        <v>#DIV/0!</v>
      </c>
      <c r="Y46" s="295">
        <f>SUM(Y7:Y45)</f>
        <v>793276</v>
      </c>
      <c r="Z46" s="294" t="e">
        <f>Y46/$H$7</f>
        <v>#DIV/0!</v>
      </c>
      <c r="AA46" s="295">
        <f>SUM(AA7:AA45)</f>
        <v>752715</v>
      </c>
      <c r="AB46" s="294" t="e">
        <f>AA46/$H$7</f>
        <v>#DIV/0!</v>
      </c>
      <c r="AC46" s="295">
        <f>SUM(AC7:AC45)</f>
        <v>1545991</v>
      </c>
      <c r="AD46" s="294" t="e">
        <f>AC46/$H$7</f>
        <v>#DIV/0!</v>
      </c>
      <c r="AE46" s="295">
        <f>SUM(AE7:AE45)</f>
        <v>636391</v>
      </c>
      <c r="AF46" s="294" t="e">
        <f>AE46/$H$7</f>
        <v>#DIV/0!</v>
      </c>
      <c r="AG46" s="295">
        <f>SUM(AG7:AG45)</f>
        <v>702832</v>
      </c>
      <c r="AH46" s="294" t="e">
        <f>AG46/$H$7</f>
        <v>#DIV/0!</v>
      </c>
      <c r="AI46" s="295">
        <f>SUM(AI7:AI45)</f>
        <v>467674</v>
      </c>
      <c r="AJ46" s="294" t="e">
        <f>AI46/$H$7</f>
        <v>#DIV/0!</v>
      </c>
      <c r="AK46" s="295">
        <f>SUM(AK7:AK45)</f>
        <v>654860</v>
      </c>
      <c r="AL46" s="294" t="e">
        <f>AK46/$H$7</f>
        <v>#DIV/0!</v>
      </c>
    </row>
    <row r="47" spans="2:38" ht="14.25">
      <c r="B47" s="98"/>
      <c r="C47" s="83"/>
      <c r="D47" s="84"/>
      <c r="F47" s="88"/>
      <c r="G47" s="88"/>
      <c r="H47" s="88"/>
      <c r="M47" s="296">
        <f>M46</f>
        <v>2614973</v>
      </c>
      <c r="S47" s="296">
        <f>S46</f>
        <v>483465</v>
      </c>
      <c r="U47" s="296">
        <f>U46</f>
        <v>657021</v>
      </c>
      <c r="W47" s="296">
        <f>W46</f>
        <v>133372</v>
      </c>
      <c r="Y47" s="296"/>
      <c r="AA47" s="296"/>
      <c r="AC47" s="296">
        <f>AC46</f>
        <v>1545991</v>
      </c>
      <c r="AE47" s="296">
        <f>AE46</f>
        <v>636391</v>
      </c>
      <c r="AG47" s="296">
        <f>AG46</f>
        <v>702832</v>
      </c>
      <c r="AI47" s="296">
        <f>AI46</f>
        <v>467674</v>
      </c>
      <c r="AK47" s="296">
        <f>AK46</f>
        <v>654860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3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H8:H38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zoomScale="55" zoomScaleNormal="55" workbookViewId="0">
      <pane xSplit="15" topLeftCell="Z1" activePane="topRight" state="frozen"/>
      <selection sqref="A1:L2"/>
      <selection pane="topRight" activeCell="D82" sqref="D8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6" t="s">
        <v>333</v>
      </c>
      <c r="C1" s="225">
        <f>AVERAGE(L7,L42,L77,L112,L147,L182)</f>
        <v>757.93395772609676</v>
      </c>
    </row>
    <row r="2" spans="1:54" ht="15.75">
      <c r="A2" s="81"/>
      <c r="B2" s="602" t="s">
        <v>163</v>
      </c>
      <c r="C2" s="602"/>
      <c r="D2" s="602"/>
      <c r="E2" s="602"/>
      <c r="F2" s="602"/>
      <c r="G2" s="602"/>
      <c r="H2" s="602"/>
      <c r="I2" s="320"/>
      <c r="J2" s="320"/>
      <c r="K2" s="320"/>
      <c r="L2" s="320"/>
      <c r="M2" s="202"/>
      <c r="N2" s="591" t="s">
        <v>156</v>
      </c>
      <c r="O2" s="591" t="s">
        <v>155</v>
      </c>
      <c r="P2" s="619">
        <v>45930</v>
      </c>
      <c r="Q2" s="620"/>
      <c r="R2" s="620"/>
      <c r="S2" s="620"/>
      <c r="T2" s="621"/>
      <c r="U2" s="594">
        <f>P2+1</f>
        <v>45931</v>
      </c>
      <c r="V2" s="595"/>
      <c r="W2" s="595"/>
      <c r="X2" s="595"/>
      <c r="Y2" s="596"/>
      <c r="Z2" s="594">
        <f>U2+1</f>
        <v>45932</v>
      </c>
      <c r="AA2" s="595"/>
      <c r="AB2" s="595"/>
      <c r="AC2" s="595"/>
      <c r="AD2" s="596"/>
      <c r="AE2" s="594">
        <f>Z2+1</f>
        <v>45933</v>
      </c>
      <c r="AF2" s="595"/>
      <c r="AG2" s="595"/>
      <c r="AH2" s="595"/>
      <c r="AI2" s="596"/>
      <c r="AJ2" s="594">
        <f>AE2+1</f>
        <v>45934</v>
      </c>
      <c r="AK2" s="595"/>
      <c r="AL2" s="595"/>
      <c r="AM2" s="595"/>
      <c r="AN2" s="596"/>
      <c r="AO2" s="594">
        <f>AJ2+1</f>
        <v>45935</v>
      </c>
      <c r="AP2" s="595"/>
      <c r="AQ2" s="595"/>
      <c r="AR2" s="595"/>
      <c r="AS2" s="596"/>
      <c r="AT2" s="594">
        <f>AO2+1</f>
        <v>45936</v>
      </c>
      <c r="AU2" s="595"/>
      <c r="AV2" s="595"/>
      <c r="AW2" s="595"/>
      <c r="AX2" s="596"/>
    </row>
    <row r="3" spans="1:54" ht="15.75">
      <c r="A3" s="81"/>
      <c r="B3" s="622"/>
      <c r="C3" s="622"/>
      <c r="D3" s="622"/>
      <c r="E3" s="622"/>
      <c r="F3" s="622"/>
      <c r="G3" s="622"/>
      <c r="H3" s="622"/>
      <c r="I3" s="321"/>
      <c r="J3" s="321"/>
      <c r="K3" s="321"/>
      <c r="L3" s="321"/>
      <c r="M3" s="203"/>
      <c r="N3" s="593"/>
      <c r="O3" s="593"/>
      <c r="P3" s="597" t="s">
        <v>158</v>
      </c>
      <c r="Q3" s="598"/>
      <c r="R3" s="598"/>
      <c r="S3" s="598"/>
      <c r="T3" s="598"/>
      <c r="U3" s="597" t="s">
        <v>114</v>
      </c>
      <c r="V3" s="598"/>
      <c r="W3" s="598"/>
      <c r="X3" s="598"/>
      <c r="Y3" s="598"/>
      <c r="Z3" s="597" t="s">
        <v>159</v>
      </c>
      <c r="AA3" s="598"/>
      <c r="AB3" s="598"/>
      <c r="AC3" s="598"/>
      <c r="AD3" s="598"/>
      <c r="AE3" s="597" t="s">
        <v>157</v>
      </c>
      <c r="AF3" s="598"/>
      <c r="AG3" s="598"/>
      <c r="AH3" s="598"/>
      <c r="AI3" s="598"/>
      <c r="AJ3" s="597" t="s">
        <v>160</v>
      </c>
      <c r="AK3" s="598"/>
      <c r="AL3" s="598"/>
      <c r="AM3" s="598"/>
      <c r="AN3" s="598"/>
      <c r="AO3" s="597" t="s">
        <v>115</v>
      </c>
      <c r="AP3" s="598"/>
      <c r="AQ3" s="598"/>
      <c r="AR3" s="598"/>
      <c r="AS3" s="598"/>
      <c r="AT3" s="597" t="s">
        <v>162</v>
      </c>
      <c r="AU3" s="598"/>
      <c r="AV3" s="598"/>
      <c r="AW3" s="598"/>
      <c r="AX3" s="598"/>
    </row>
    <row r="4" spans="1:54" ht="14.25">
      <c r="A4" s="81"/>
      <c r="B4" s="591" t="s">
        <v>444</v>
      </c>
      <c r="C4" s="606" t="s">
        <v>454</v>
      </c>
      <c r="D4" s="609"/>
      <c r="E4" s="587" t="s">
        <v>445</v>
      </c>
      <c r="F4" s="588"/>
      <c r="G4" s="589"/>
      <c r="H4" s="591" t="s">
        <v>441</v>
      </c>
      <c r="I4" s="578" t="s">
        <v>446</v>
      </c>
      <c r="J4" s="579"/>
      <c r="K4" s="580"/>
      <c r="L4" s="581" t="s">
        <v>441</v>
      </c>
      <c r="M4" s="581" t="s">
        <v>442</v>
      </c>
      <c r="N4" s="591"/>
      <c r="O4" s="591" t="s">
        <v>447</v>
      </c>
      <c r="P4" s="587" t="s">
        <v>443</v>
      </c>
      <c r="Q4" s="588"/>
      <c r="R4" s="588"/>
      <c r="S4" s="589"/>
      <c r="T4" s="590" t="s">
        <v>441</v>
      </c>
      <c r="U4" s="587" t="s">
        <v>443</v>
      </c>
      <c r="V4" s="588"/>
      <c r="W4" s="588"/>
      <c r="X4" s="589"/>
      <c r="Y4" s="590" t="s">
        <v>441</v>
      </c>
      <c r="Z4" s="587" t="s">
        <v>443</v>
      </c>
      <c r="AA4" s="588"/>
      <c r="AB4" s="588"/>
      <c r="AC4" s="589"/>
      <c r="AD4" s="590" t="s">
        <v>441</v>
      </c>
      <c r="AE4" s="587" t="s">
        <v>443</v>
      </c>
      <c r="AF4" s="588"/>
      <c r="AG4" s="588"/>
      <c r="AH4" s="589"/>
      <c r="AI4" s="590" t="s">
        <v>441</v>
      </c>
      <c r="AJ4" s="587" t="s">
        <v>443</v>
      </c>
      <c r="AK4" s="588"/>
      <c r="AL4" s="588"/>
      <c r="AM4" s="589"/>
      <c r="AN4" s="590" t="s">
        <v>441</v>
      </c>
      <c r="AO4" s="587" t="s">
        <v>443</v>
      </c>
      <c r="AP4" s="588"/>
      <c r="AQ4" s="588"/>
      <c r="AR4" s="589"/>
      <c r="AS4" s="590" t="s">
        <v>441</v>
      </c>
      <c r="AT4" s="587" t="s">
        <v>443</v>
      </c>
      <c r="AU4" s="588"/>
      <c r="AV4" s="588"/>
      <c r="AW4" s="589"/>
      <c r="AX4" s="590" t="s">
        <v>441</v>
      </c>
    </row>
    <row r="5" spans="1:54" ht="14.25">
      <c r="A5" s="81"/>
      <c r="B5" s="592"/>
      <c r="C5" s="607"/>
      <c r="D5" s="610"/>
      <c r="E5" s="587" t="s">
        <v>448</v>
      </c>
      <c r="F5" s="588"/>
      <c r="G5" s="589"/>
      <c r="H5" s="592"/>
      <c r="I5" s="578" t="s">
        <v>448</v>
      </c>
      <c r="J5" s="579"/>
      <c r="K5" s="580"/>
      <c r="L5" s="582"/>
      <c r="M5" s="582"/>
      <c r="N5" s="592"/>
      <c r="O5" s="592"/>
      <c r="P5" s="587" t="s">
        <v>449</v>
      </c>
      <c r="Q5" s="588"/>
      <c r="R5" s="588"/>
      <c r="S5" s="589"/>
      <c r="T5" s="590"/>
      <c r="U5" s="587" t="s">
        <v>449</v>
      </c>
      <c r="V5" s="588"/>
      <c r="W5" s="588"/>
      <c r="X5" s="589"/>
      <c r="Y5" s="590"/>
      <c r="Z5" s="587" t="s">
        <v>449</v>
      </c>
      <c r="AA5" s="588"/>
      <c r="AB5" s="588"/>
      <c r="AC5" s="589"/>
      <c r="AD5" s="590"/>
      <c r="AE5" s="587" t="s">
        <v>449</v>
      </c>
      <c r="AF5" s="588"/>
      <c r="AG5" s="588"/>
      <c r="AH5" s="589"/>
      <c r="AI5" s="590"/>
      <c r="AJ5" s="587" t="s">
        <v>449</v>
      </c>
      <c r="AK5" s="588"/>
      <c r="AL5" s="588"/>
      <c r="AM5" s="589"/>
      <c r="AN5" s="590"/>
      <c r="AO5" s="587" t="s">
        <v>449</v>
      </c>
      <c r="AP5" s="588"/>
      <c r="AQ5" s="588"/>
      <c r="AR5" s="589"/>
      <c r="AS5" s="590"/>
      <c r="AT5" s="587" t="s">
        <v>449</v>
      </c>
      <c r="AU5" s="588"/>
      <c r="AV5" s="588"/>
      <c r="AW5" s="589"/>
      <c r="AX5" s="590"/>
    </row>
    <row r="6" spans="1:54" ht="14.25">
      <c r="A6" s="79"/>
      <c r="B6" s="593"/>
      <c r="C6" s="608"/>
      <c r="D6" s="611"/>
      <c r="E6" s="318" t="s">
        <v>450</v>
      </c>
      <c r="F6" s="318" t="s">
        <v>451</v>
      </c>
      <c r="G6" s="318" t="s">
        <v>452</v>
      </c>
      <c r="H6" s="593"/>
      <c r="I6" s="317" t="s">
        <v>450</v>
      </c>
      <c r="J6" s="317" t="s">
        <v>451</v>
      </c>
      <c r="K6" s="317" t="s">
        <v>452</v>
      </c>
      <c r="L6" s="583"/>
      <c r="M6" s="583"/>
      <c r="N6" s="592"/>
      <c r="O6" s="592"/>
      <c r="P6" s="377" t="s">
        <v>450</v>
      </c>
      <c r="Q6" s="377" t="s">
        <v>451</v>
      </c>
      <c r="R6" s="377" t="s">
        <v>452</v>
      </c>
      <c r="S6" s="377" t="s">
        <v>442</v>
      </c>
      <c r="T6" s="590"/>
      <c r="U6" s="377" t="s">
        <v>450</v>
      </c>
      <c r="V6" s="377" t="s">
        <v>451</v>
      </c>
      <c r="W6" s="377" t="s">
        <v>452</v>
      </c>
      <c r="X6" s="377" t="s">
        <v>442</v>
      </c>
      <c r="Y6" s="590"/>
      <c r="Z6" s="377" t="s">
        <v>450</v>
      </c>
      <c r="AA6" s="377" t="s">
        <v>451</v>
      </c>
      <c r="AB6" s="377" t="s">
        <v>452</v>
      </c>
      <c r="AC6" s="377" t="s">
        <v>442</v>
      </c>
      <c r="AD6" s="590"/>
      <c r="AE6" s="377" t="s">
        <v>450</v>
      </c>
      <c r="AF6" s="377" t="s">
        <v>451</v>
      </c>
      <c r="AG6" s="377" t="s">
        <v>452</v>
      </c>
      <c r="AH6" s="377" t="s">
        <v>442</v>
      </c>
      <c r="AI6" s="590"/>
      <c r="AJ6" s="377" t="s">
        <v>450</v>
      </c>
      <c r="AK6" s="377" t="s">
        <v>451</v>
      </c>
      <c r="AL6" s="377" t="s">
        <v>452</v>
      </c>
      <c r="AM6" s="377" t="s">
        <v>442</v>
      </c>
      <c r="AN6" s="590"/>
      <c r="AO6" s="377" t="s">
        <v>450</v>
      </c>
      <c r="AP6" s="377" t="s">
        <v>451</v>
      </c>
      <c r="AQ6" s="377" t="s">
        <v>452</v>
      </c>
      <c r="AR6" s="377" t="s">
        <v>442</v>
      </c>
      <c r="AS6" s="590"/>
      <c r="AT6" s="377" t="s">
        <v>450</v>
      </c>
      <c r="AU6" s="377" t="s">
        <v>451</v>
      </c>
      <c r="AV6" s="377" t="s">
        <v>452</v>
      </c>
      <c r="AW6" s="377" t="s">
        <v>442</v>
      </c>
      <c r="AX6" s="590"/>
    </row>
    <row r="7" spans="1:54" ht="14.25">
      <c r="A7" s="81"/>
      <c r="B7" s="598" t="s">
        <v>150</v>
      </c>
      <c r="C7" s="378">
        <v>1</v>
      </c>
      <c r="D7" s="378" t="s">
        <v>365</v>
      </c>
      <c r="E7" s="378">
        <v>4</v>
      </c>
      <c r="F7" s="378">
        <v>2200</v>
      </c>
      <c r="G7" s="378">
        <v>550</v>
      </c>
      <c r="H7" s="599">
        <f>AVERAGE(G7:G36)</f>
        <v>889.13043478260875</v>
      </c>
      <c r="I7" s="380">
        <f>AVERAGE(P7,U7,Z7,AE7,AJ7,AO7,AT7)</f>
        <v>4</v>
      </c>
      <c r="J7" s="380">
        <f>AVERAGE(Q7,V7,AA7,AF7,AK7,AP7,AU7)</f>
        <v>2976.7798082869513</v>
      </c>
      <c r="K7" s="205">
        <f>AVERAGE(R7,W7,AB7,AG7,AL7,AQ7,AV7)</f>
        <v>744.19495207173782</v>
      </c>
      <c r="L7" s="584">
        <f>IFERROR(AVERAGE(K7:K36),"-")</f>
        <v>706.15894339251281</v>
      </c>
      <c r="M7" s="204">
        <f>RANK(K7, K$7:$K$36)</f>
        <v>7</v>
      </c>
      <c r="N7" s="592"/>
      <c r="O7" s="592"/>
      <c r="P7" s="187">
        <v>4</v>
      </c>
      <c r="Q7" s="187">
        <v>3004</v>
      </c>
      <c r="R7" s="379">
        <v>751</v>
      </c>
      <c r="S7" s="378">
        <f t="shared" ref="S7:S36" si="0">RANK(R7, R$7:R$36)</f>
        <v>9</v>
      </c>
      <c r="T7" s="599">
        <f>AVERAGE(R7:R36)</f>
        <v>734.8740893591297</v>
      </c>
      <c r="U7" s="187">
        <v>4</v>
      </c>
      <c r="V7" s="187">
        <v>3023.333333333333</v>
      </c>
      <c r="W7" s="379">
        <v>755.83333333333326</v>
      </c>
      <c r="X7" s="378">
        <f t="shared" ref="X7:X36" si="1">RANK(W7, W$7:W$36)</f>
        <v>7</v>
      </c>
      <c r="Y7" s="599">
        <f>AVERAGE(W7:W36)</f>
        <v>679.21735967333814</v>
      </c>
      <c r="Z7" s="187">
        <v>4</v>
      </c>
      <c r="AA7" s="187">
        <v>3093.8181818181815</v>
      </c>
      <c r="AB7" s="379">
        <v>773.45454545454538</v>
      </c>
      <c r="AC7" s="378">
        <f t="shared" ref="AC7:AC36" si="2">RANK(AB7, AB$7:AB$36)</f>
        <v>8</v>
      </c>
      <c r="AD7" s="599">
        <f>AVERAGE(AB7:AB36)</f>
        <v>709.41109718119571</v>
      </c>
      <c r="AE7" s="187">
        <v>4</v>
      </c>
      <c r="AF7" s="187">
        <v>2954.3999999999987</v>
      </c>
      <c r="AG7" s="379">
        <v>738.59999999999968</v>
      </c>
      <c r="AH7" s="378">
        <f t="shared" ref="AH7:AH36" si="3">RANK(AG7, AG$7:AG$36)</f>
        <v>9</v>
      </c>
      <c r="AI7" s="599">
        <f>AVERAGE(AG7:AG36)</f>
        <v>698.13768517288281</v>
      </c>
      <c r="AJ7" s="187">
        <v>4</v>
      </c>
      <c r="AK7" s="187">
        <v>2890.7999999999988</v>
      </c>
      <c r="AL7" s="379">
        <v>722.6999999999997</v>
      </c>
      <c r="AM7" s="378">
        <f t="shared" ref="AM7:AM36" si="4">RANK(AL7, AL$7:AL$36)</f>
        <v>11</v>
      </c>
      <c r="AN7" s="599">
        <f>AVERAGE(AL7:AL36)</f>
        <v>713.62716485116096</v>
      </c>
      <c r="AO7" s="187">
        <v>4</v>
      </c>
      <c r="AP7" s="187">
        <v>3002.2499999999986</v>
      </c>
      <c r="AQ7" s="379">
        <v>750.56249999999966</v>
      </c>
      <c r="AR7" s="378">
        <f t="shared" ref="AR7:AR36" si="5">RANK(AQ7, AQ$7:AQ$36)</f>
        <v>7</v>
      </c>
      <c r="AS7" s="599">
        <f>AVERAGE(AQ7:AQ36)</f>
        <v>675.01723837756469</v>
      </c>
      <c r="AT7" s="187">
        <v>4</v>
      </c>
      <c r="AU7" s="187">
        <v>2868.8571428571463</v>
      </c>
      <c r="AV7" s="379">
        <v>717.21428571428658</v>
      </c>
      <c r="AW7" s="378">
        <f t="shared" ref="AW7:AW36" si="6">RANK(AV7, AV$7:AV$36)</f>
        <v>12</v>
      </c>
      <c r="AX7" s="599">
        <f>AVERAGE(AV7:AV36)</f>
        <v>732.82796913231721</v>
      </c>
      <c r="AZ7" s="380" t="e">
        <f>RANK(AX7, $K$7:AX$36)</f>
        <v>#N/A</v>
      </c>
      <c r="BB7" s="378" t="e">
        <f t="shared" ref="BB7:BB36" si="7">RANK(BA7, BA$7:BA$36)</f>
        <v>#N/A</v>
      </c>
    </row>
    <row r="8" spans="1:54" ht="15" customHeight="1">
      <c r="A8" s="81"/>
      <c r="B8" s="598"/>
      <c r="C8" s="378">
        <v>2</v>
      </c>
      <c r="D8" s="378" t="s">
        <v>366</v>
      </c>
      <c r="E8" s="378">
        <v>3</v>
      </c>
      <c r="F8" s="378">
        <v>2700</v>
      </c>
      <c r="G8" s="378">
        <v>900</v>
      </c>
      <c r="H8" s="600"/>
      <c r="I8" s="380">
        <f t="shared" ref="I8:I29" si="8">AVERAGE(P8,U8,Z8,AE8,AJ8,AO8,AT8)</f>
        <v>3</v>
      </c>
      <c r="J8" s="380">
        <f t="shared" ref="J8:J29" si="9">AVERAGE(Q8,V8,AA8,AF8,AK8,AP8,AU8)</f>
        <v>2564.1081632653063</v>
      </c>
      <c r="K8" s="205">
        <f t="shared" ref="K8:K29" si="10">AVERAGE(R8,W8,AB8,AG8,AL8,AQ8,AV8)</f>
        <v>854.7027210884354</v>
      </c>
      <c r="L8" s="585"/>
      <c r="M8" s="204">
        <f>RANK(K8, K$7:$K$36)</f>
        <v>2</v>
      </c>
      <c r="N8" s="592"/>
      <c r="O8" s="592"/>
      <c r="P8" s="378">
        <v>3</v>
      </c>
      <c r="Q8" s="187">
        <v>2579.9999999999991</v>
      </c>
      <c r="R8" s="379">
        <v>859.99999999999966</v>
      </c>
      <c r="S8" s="378">
        <f t="shared" si="0"/>
        <v>3</v>
      </c>
      <c r="T8" s="600"/>
      <c r="U8" s="378">
        <v>3</v>
      </c>
      <c r="V8" s="187">
        <v>2310.8571428571404</v>
      </c>
      <c r="W8" s="379">
        <v>770.28571428571342</v>
      </c>
      <c r="X8" s="378">
        <f t="shared" si="1"/>
        <v>6</v>
      </c>
      <c r="Y8" s="600"/>
      <c r="Z8" s="378">
        <v>3</v>
      </c>
      <c r="AA8" s="187">
        <v>2598.0000000000023</v>
      </c>
      <c r="AB8" s="379">
        <v>866.0000000000008</v>
      </c>
      <c r="AC8" s="378">
        <f t="shared" si="2"/>
        <v>3</v>
      </c>
      <c r="AD8" s="600"/>
      <c r="AE8" s="378">
        <v>3</v>
      </c>
      <c r="AF8" s="187">
        <v>2455.2000000000007</v>
      </c>
      <c r="AG8" s="379">
        <v>818.4000000000002</v>
      </c>
      <c r="AH8" s="378">
        <f t="shared" si="3"/>
        <v>5</v>
      </c>
      <c r="AI8" s="600"/>
      <c r="AJ8" s="378">
        <v>3</v>
      </c>
      <c r="AK8" s="187">
        <v>2477.5000000000009</v>
      </c>
      <c r="AL8" s="379">
        <v>825.8333333333336</v>
      </c>
      <c r="AM8" s="378">
        <f t="shared" si="4"/>
        <v>6</v>
      </c>
      <c r="AN8" s="600"/>
      <c r="AO8" s="378">
        <v>3</v>
      </c>
      <c r="AP8" s="187">
        <v>2438.400000000001</v>
      </c>
      <c r="AQ8" s="379">
        <v>812.8000000000003</v>
      </c>
      <c r="AR8" s="378">
        <f t="shared" si="5"/>
        <v>5</v>
      </c>
      <c r="AS8" s="600"/>
      <c r="AT8" s="378">
        <v>3</v>
      </c>
      <c r="AU8" s="187">
        <v>3088.8000000000006</v>
      </c>
      <c r="AV8" s="379">
        <v>1029.6000000000001</v>
      </c>
      <c r="AW8" s="378">
        <f t="shared" si="6"/>
        <v>1</v>
      </c>
      <c r="AX8" s="600"/>
      <c r="AZ8" s="380" t="e">
        <f>RANK(AX8, $K$7:AX$36)</f>
        <v>#N/A</v>
      </c>
      <c r="BB8" s="378" t="e">
        <f t="shared" si="7"/>
        <v>#N/A</v>
      </c>
    </row>
    <row r="9" spans="1:54" ht="14.25">
      <c r="A9" s="81"/>
      <c r="B9" s="598"/>
      <c r="C9" s="378">
        <v>3</v>
      </c>
      <c r="D9" s="378" t="s">
        <v>350</v>
      </c>
      <c r="E9" s="378">
        <v>4</v>
      </c>
      <c r="F9" s="378">
        <v>3600</v>
      </c>
      <c r="G9" s="378">
        <v>900</v>
      </c>
      <c r="H9" s="600"/>
      <c r="I9" s="380">
        <f t="shared" si="8"/>
        <v>4</v>
      </c>
      <c r="J9" s="380">
        <f t="shared" si="9"/>
        <v>2850.14248366013</v>
      </c>
      <c r="K9" s="205">
        <f t="shared" si="10"/>
        <v>712.5356209150325</v>
      </c>
      <c r="L9" s="585"/>
      <c r="M9" s="204">
        <f>RANK(K9, K$7:$K$36)</f>
        <v>10</v>
      </c>
      <c r="N9" s="592"/>
      <c r="O9" s="592"/>
      <c r="P9" s="378">
        <v>4</v>
      </c>
      <c r="Q9" s="187">
        <v>2944.4444444444457</v>
      </c>
      <c r="R9" s="379">
        <v>736.11111111111143</v>
      </c>
      <c r="S9" s="378">
        <f t="shared" si="0"/>
        <v>12</v>
      </c>
      <c r="T9" s="600"/>
      <c r="U9" s="378">
        <v>4</v>
      </c>
      <c r="V9" s="187">
        <v>2632.0000000000027</v>
      </c>
      <c r="W9" s="379">
        <v>658.00000000000068</v>
      </c>
      <c r="X9" s="378">
        <f t="shared" si="1"/>
        <v>13</v>
      </c>
      <c r="Y9" s="600"/>
      <c r="Z9" s="378">
        <v>4</v>
      </c>
      <c r="AA9" s="187">
        <v>2956.8000000000011</v>
      </c>
      <c r="AB9" s="379">
        <v>739.20000000000027</v>
      </c>
      <c r="AC9" s="378">
        <f t="shared" si="2"/>
        <v>10</v>
      </c>
      <c r="AD9" s="600"/>
      <c r="AE9" s="378">
        <v>4</v>
      </c>
      <c r="AF9" s="187">
        <v>3162.3529411764666</v>
      </c>
      <c r="AG9" s="379">
        <v>790.58823529411666</v>
      </c>
      <c r="AH9" s="378">
        <f t="shared" si="3"/>
        <v>7</v>
      </c>
      <c r="AI9" s="600"/>
      <c r="AJ9" s="378">
        <v>4</v>
      </c>
      <c r="AK9" s="187">
        <v>2588.9999999999882</v>
      </c>
      <c r="AL9" s="379">
        <v>647.24999999999704</v>
      </c>
      <c r="AM9" s="378">
        <f t="shared" si="4"/>
        <v>14</v>
      </c>
      <c r="AN9" s="600"/>
      <c r="AO9" s="378">
        <v>4</v>
      </c>
      <c r="AP9" s="187">
        <v>2735.9999999999991</v>
      </c>
      <c r="AQ9" s="379">
        <v>683.99999999999977</v>
      </c>
      <c r="AR9" s="378">
        <f t="shared" si="5"/>
        <v>10</v>
      </c>
      <c r="AS9" s="600"/>
      <c r="AT9" s="378">
        <v>4</v>
      </c>
      <c r="AU9" s="187">
        <v>2930.4000000000055</v>
      </c>
      <c r="AV9" s="379">
        <v>732.60000000000139</v>
      </c>
      <c r="AW9" s="378">
        <f t="shared" si="6"/>
        <v>9</v>
      </c>
      <c r="AX9" s="600"/>
      <c r="AZ9" s="380" t="e">
        <f>RANK(AX9, $K$7:AX$36)</f>
        <v>#N/A</v>
      </c>
      <c r="BB9" s="378" t="e">
        <f t="shared" si="7"/>
        <v>#N/A</v>
      </c>
    </row>
    <row r="10" spans="1:54" ht="14.25">
      <c r="A10" s="81"/>
      <c r="B10" s="598"/>
      <c r="C10" s="378">
        <v>4</v>
      </c>
      <c r="D10" s="378" t="s">
        <v>368</v>
      </c>
      <c r="E10" s="378">
        <v>3</v>
      </c>
      <c r="F10" s="378">
        <v>3600</v>
      </c>
      <c r="G10" s="378">
        <v>1200</v>
      </c>
      <c r="H10" s="600"/>
      <c r="I10" s="380">
        <f t="shared" si="8"/>
        <v>3</v>
      </c>
      <c r="J10" s="380">
        <f t="shared" si="9"/>
        <v>2795.387755102041</v>
      </c>
      <c r="K10" s="205">
        <f t="shared" si="10"/>
        <v>931.79591836734687</v>
      </c>
      <c r="L10" s="585"/>
      <c r="M10" s="204">
        <f>RANK(K10, K$7:$K$36)</f>
        <v>1</v>
      </c>
      <c r="N10" s="592"/>
      <c r="O10" s="592"/>
      <c r="P10" s="378">
        <v>3</v>
      </c>
      <c r="Q10" s="187">
        <v>3039.9999999999836</v>
      </c>
      <c r="R10" s="379">
        <v>1013.3333333333279</v>
      </c>
      <c r="S10" s="378">
        <f t="shared" si="0"/>
        <v>1</v>
      </c>
      <c r="T10" s="600"/>
      <c r="U10" s="378">
        <v>3</v>
      </c>
      <c r="V10" s="187">
        <v>2670.0000000000095</v>
      </c>
      <c r="W10" s="379">
        <v>890.00000000000318</v>
      </c>
      <c r="X10" s="378">
        <f t="shared" si="1"/>
        <v>1</v>
      </c>
      <c r="Y10" s="600"/>
      <c r="Z10" s="378">
        <v>3</v>
      </c>
      <c r="AA10" s="187">
        <v>2839.999999999985</v>
      </c>
      <c r="AB10" s="379">
        <v>946.66666666666163</v>
      </c>
      <c r="AC10" s="378">
        <f t="shared" si="2"/>
        <v>1</v>
      </c>
      <c r="AD10" s="600"/>
      <c r="AE10" s="378">
        <v>3</v>
      </c>
      <c r="AF10" s="187">
        <v>2882.0000000000027</v>
      </c>
      <c r="AG10" s="379">
        <v>960.66666666666754</v>
      </c>
      <c r="AH10" s="378">
        <f t="shared" si="3"/>
        <v>1</v>
      </c>
      <c r="AI10" s="600"/>
      <c r="AJ10" s="378">
        <v>3</v>
      </c>
      <c r="AK10" s="187">
        <v>2580.0000000000095</v>
      </c>
      <c r="AL10" s="379">
        <v>860.00000000000318</v>
      </c>
      <c r="AM10" s="378">
        <f t="shared" si="4"/>
        <v>3</v>
      </c>
      <c r="AN10" s="600"/>
      <c r="AO10" s="378">
        <v>3</v>
      </c>
      <c r="AP10" s="187">
        <v>2785.7142857142958</v>
      </c>
      <c r="AQ10" s="379">
        <v>928.57142857143197</v>
      </c>
      <c r="AR10" s="378">
        <f t="shared" si="5"/>
        <v>1</v>
      </c>
      <c r="AS10" s="600"/>
      <c r="AT10" s="378">
        <v>3</v>
      </c>
      <c r="AU10" s="187">
        <v>2770</v>
      </c>
      <c r="AV10" s="379">
        <v>923.33333333333337</v>
      </c>
      <c r="AW10" s="378">
        <f t="shared" si="6"/>
        <v>4</v>
      </c>
      <c r="AX10" s="600"/>
      <c r="AZ10" s="380" t="e">
        <f>RANK(AX10, $K$7:AX$36)</f>
        <v>#N/A</v>
      </c>
      <c r="BB10" s="378" t="e">
        <f t="shared" si="7"/>
        <v>#N/A</v>
      </c>
    </row>
    <row r="11" spans="1:54" ht="14.25">
      <c r="A11" s="81"/>
      <c r="B11" s="598"/>
      <c r="C11" s="378">
        <v>5</v>
      </c>
      <c r="D11" s="378" t="s">
        <v>369</v>
      </c>
      <c r="E11" s="378">
        <v>3</v>
      </c>
      <c r="F11" s="378">
        <v>3600</v>
      </c>
      <c r="G11" s="378">
        <v>1200</v>
      </c>
      <c r="H11" s="600"/>
      <c r="I11" s="380">
        <f t="shared" si="8"/>
        <v>4</v>
      </c>
      <c r="J11" s="380">
        <f t="shared" si="9"/>
        <v>2947.8435374149662</v>
      </c>
      <c r="K11" s="205">
        <f t="shared" si="10"/>
        <v>736.96088435374156</v>
      </c>
      <c r="L11" s="585"/>
      <c r="M11" s="204">
        <f>RANK(K11, K$7:$K$36)</f>
        <v>8</v>
      </c>
      <c r="N11" s="592"/>
      <c r="O11" s="592"/>
      <c r="P11" s="378">
        <v>4</v>
      </c>
      <c r="Q11" s="187">
        <v>3328.3333333333308</v>
      </c>
      <c r="R11" s="379">
        <v>832.08333333333269</v>
      </c>
      <c r="S11" s="378">
        <f t="shared" si="0"/>
        <v>6</v>
      </c>
      <c r="T11" s="600"/>
      <c r="U11" s="378">
        <v>4</v>
      </c>
      <c r="V11" s="187">
        <v>2708.9999999999991</v>
      </c>
      <c r="W11" s="379">
        <v>677.24999999999977</v>
      </c>
      <c r="X11" s="378">
        <f t="shared" si="1"/>
        <v>10</v>
      </c>
      <c r="Y11" s="600"/>
      <c r="Z11" s="378">
        <v>4</v>
      </c>
      <c r="AA11" s="187">
        <v>2924.5714285714389</v>
      </c>
      <c r="AB11" s="379">
        <v>731.14285714285973</v>
      </c>
      <c r="AC11" s="378">
        <f t="shared" si="2"/>
        <v>11</v>
      </c>
      <c r="AD11" s="600"/>
      <c r="AE11" s="378">
        <v>4</v>
      </c>
      <c r="AF11" s="187">
        <v>2790.0000000000027</v>
      </c>
      <c r="AG11" s="379">
        <v>697.50000000000068</v>
      </c>
      <c r="AH11" s="378">
        <f t="shared" si="3"/>
        <v>10</v>
      </c>
      <c r="AI11" s="600"/>
      <c r="AJ11" s="378">
        <v>4</v>
      </c>
      <c r="AK11" s="187">
        <v>2932.7999999999915</v>
      </c>
      <c r="AL11" s="379">
        <v>733.19999999999789</v>
      </c>
      <c r="AM11" s="378">
        <f t="shared" si="4"/>
        <v>10</v>
      </c>
      <c r="AN11" s="600"/>
      <c r="AO11" s="378">
        <v>4</v>
      </c>
      <c r="AP11" s="187">
        <v>2995.2000000000007</v>
      </c>
      <c r="AQ11" s="379">
        <v>748.80000000000018</v>
      </c>
      <c r="AR11" s="378">
        <f t="shared" si="5"/>
        <v>8</v>
      </c>
      <c r="AS11" s="600"/>
      <c r="AT11" s="378">
        <v>4</v>
      </c>
      <c r="AU11" s="187">
        <v>2954.9999999999991</v>
      </c>
      <c r="AV11" s="379">
        <v>738.74999999999977</v>
      </c>
      <c r="AW11" s="378">
        <f t="shared" si="6"/>
        <v>8</v>
      </c>
      <c r="AX11" s="600"/>
      <c r="AZ11" s="380" t="e">
        <f>RANK(AX11, $K$7:AX$36)</f>
        <v>#N/A</v>
      </c>
      <c r="BB11" s="378" t="e">
        <f t="shared" si="7"/>
        <v>#N/A</v>
      </c>
    </row>
    <row r="12" spans="1:54" ht="14.25">
      <c r="A12" s="81"/>
      <c r="B12" s="598"/>
      <c r="C12" s="378">
        <v>6</v>
      </c>
      <c r="D12" s="378" t="s">
        <v>367</v>
      </c>
      <c r="E12" s="378">
        <v>4</v>
      </c>
      <c r="F12" s="378">
        <v>3600</v>
      </c>
      <c r="G12" s="378">
        <v>900</v>
      </c>
      <c r="H12" s="600"/>
      <c r="I12" s="380">
        <f t="shared" si="8"/>
        <v>4</v>
      </c>
      <c r="J12" s="380">
        <f t="shared" si="9"/>
        <v>2821.3012987012976</v>
      </c>
      <c r="K12" s="205">
        <f t="shared" si="10"/>
        <v>705.3253246753244</v>
      </c>
      <c r="L12" s="585"/>
      <c r="M12" s="204">
        <f>RANK(K12, K$7:$K$36)</f>
        <v>11</v>
      </c>
      <c r="N12" s="592"/>
      <c r="O12" s="592"/>
      <c r="P12" s="378">
        <v>4</v>
      </c>
      <c r="Q12" s="187">
        <v>2950.909090909091</v>
      </c>
      <c r="R12" s="379">
        <v>737.72727272727275</v>
      </c>
      <c r="S12" s="378">
        <f t="shared" si="0"/>
        <v>11</v>
      </c>
      <c r="T12" s="600"/>
      <c r="U12" s="378">
        <v>4</v>
      </c>
      <c r="V12" s="187">
        <v>2707.2000000000007</v>
      </c>
      <c r="W12" s="379">
        <v>676.80000000000018</v>
      </c>
      <c r="X12" s="378">
        <f t="shared" si="1"/>
        <v>11</v>
      </c>
      <c r="Y12" s="600"/>
      <c r="Z12" s="378">
        <v>4</v>
      </c>
      <c r="AA12" s="187">
        <v>3011.9999999999991</v>
      </c>
      <c r="AB12" s="379">
        <v>752.99999999999977</v>
      </c>
      <c r="AC12" s="378">
        <f t="shared" si="2"/>
        <v>9</v>
      </c>
      <c r="AD12" s="600"/>
      <c r="AE12" s="378">
        <v>4</v>
      </c>
      <c r="AF12" s="187">
        <v>2727.999999999995</v>
      </c>
      <c r="AG12" s="379">
        <v>681.99999999999875</v>
      </c>
      <c r="AH12" s="378">
        <f t="shared" si="3"/>
        <v>11</v>
      </c>
      <c r="AI12" s="600"/>
      <c r="AJ12" s="378">
        <v>4</v>
      </c>
      <c r="AK12" s="187">
        <v>2623.9999999999955</v>
      </c>
      <c r="AL12" s="379">
        <v>655.99999999999886</v>
      </c>
      <c r="AM12" s="378">
        <f t="shared" si="4"/>
        <v>13</v>
      </c>
      <c r="AN12" s="600"/>
      <c r="AO12" s="378">
        <v>4</v>
      </c>
      <c r="AP12" s="187">
        <v>2723.9999999999955</v>
      </c>
      <c r="AQ12" s="379">
        <v>680.99999999999886</v>
      </c>
      <c r="AR12" s="378">
        <f t="shared" si="5"/>
        <v>11</v>
      </c>
      <c r="AS12" s="600"/>
      <c r="AT12" s="378">
        <v>4</v>
      </c>
      <c r="AU12" s="187">
        <v>3003.000000000005</v>
      </c>
      <c r="AV12" s="379">
        <v>750.75000000000125</v>
      </c>
      <c r="AW12" s="378">
        <f t="shared" si="6"/>
        <v>7</v>
      </c>
      <c r="AX12" s="600"/>
      <c r="AZ12" s="380" t="e">
        <f>RANK(AX12, $K$7:AX$36)</f>
        <v>#N/A</v>
      </c>
      <c r="BB12" s="378" t="e">
        <f t="shared" si="7"/>
        <v>#N/A</v>
      </c>
    </row>
    <row r="13" spans="1:54" ht="14.25">
      <c r="A13" s="81"/>
      <c r="B13" s="598"/>
      <c r="C13" s="378">
        <v>7</v>
      </c>
      <c r="D13" s="378" t="s">
        <v>614</v>
      </c>
      <c r="E13" s="378">
        <v>4</v>
      </c>
      <c r="F13" s="378">
        <v>3600</v>
      </c>
      <c r="G13" s="378">
        <v>900</v>
      </c>
      <c r="H13" s="600"/>
      <c r="I13" s="380">
        <f t="shared" si="8"/>
        <v>4</v>
      </c>
      <c r="J13" s="380">
        <f t="shared" si="9"/>
        <v>2776.7551020408187</v>
      </c>
      <c r="K13" s="205">
        <f t="shared" si="10"/>
        <v>694.18877551020466</v>
      </c>
      <c r="L13" s="585"/>
      <c r="M13" s="204">
        <f>RANK(K13, K$7:$K$36)</f>
        <v>12</v>
      </c>
      <c r="N13" s="592"/>
      <c r="O13" s="592"/>
      <c r="P13" s="378">
        <v>4</v>
      </c>
      <c r="Q13" s="187">
        <v>2910.00000000001</v>
      </c>
      <c r="R13" s="379">
        <v>727.5000000000025</v>
      </c>
      <c r="S13" s="378">
        <f t="shared" si="0"/>
        <v>13</v>
      </c>
      <c r="T13" s="600"/>
      <c r="U13" s="378">
        <v>4</v>
      </c>
      <c r="V13" s="187">
        <v>2255.9999999999718</v>
      </c>
      <c r="W13" s="379">
        <v>563.99999999999295</v>
      </c>
      <c r="X13" s="378">
        <f t="shared" si="1"/>
        <v>19</v>
      </c>
      <c r="Y13" s="600"/>
      <c r="Z13" s="378">
        <v>4</v>
      </c>
      <c r="AA13" s="187">
        <v>2595.0000000000095</v>
      </c>
      <c r="AB13" s="379">
        <v>648.75000000000239</v>
      </c>
      <c r="AC13" s="378">
        <f t="shared" si="2"/>
        <v>14</v>
      </c>
      <c r="AD13" s="600"/>
      <c r="AE13" s="378">
        <v>4</v>
      </c>
      <c r="AF13" s="187">
        <v>2520.0000000000091</v>
      </c>
      <c r="AG13" s="379">
        <v>630.00000000000227</v>
      </c>
      <c r="AH13" s="378">
        <f t="shared" si="3"/>
        <v>15</v>
      </c>
      <c r="AI13" s="600"/>
      <c r="AJ13" s="378">
        <v>4</v>
      </c>
      <c r="AK13" s="187">
        <v>3690.0000000000132</v>
      </c>
      <c r="AL13" s="379">
        <v>922.5000000000033</v>
      </c>
      <c r="AM13" s="378">
        <f t="shared" si="4"/>
        <v>1</v>
      </c>
      <c r="AN13" s="600"/>
      <c r="AO13" s="378">
        <v>4</v>
      </c>
      <c r="AP13" s="187">
        <v>2540.0000000000091</v>
      </c>
      <c r="AQ13" s="379">
        <v>635.00000000000227</v>
      </c>
      <c r="AR13" s="378">
        <f t="shared" si="5"/>
        <v>15</v>
      </c>
      <c r="AS13" s="600"/>
      <c r="AT13" s="378">
        <v>4</v>
      </c>
      <c r="AU13" s="187">
        <v>2926.2857142857115</v>
      </c>
      <c r="AV13" s="379">
        <v>731.57142857142787</v>
      </c>
      <c r="AW13" s="378">
        <f t="shared" si="6"/>
        <v>10</v>
      </c>
      <c r="AX13" s="600"/>
      <c r="AZ13" s="380" t="e">
        <f>RANK(AX13, $K$7:AX$36)</f>
        <v>#N/A</v>
      </c>
      <c r="BB13" s="378" t="e">
        <f t="shared" si="7"/>
        <v>#N/A</v>
      </c>
    </row>
    <row r="14" spans="1:54" ht="14.25">
      <c r="A14" s="81"/>
      <c r="B14" s="598"/>
      <c r="C14" s="378">
        <v>8</v>
      </c>
      <c r="D14" s="378" t="s">
        <v>612</v>
      </c>
      <c r="E14" s="378">
        <v>4</v>
      </c>
      <c r="F14" s="378">
        <v>3600</v>
      </c>
      <c r="G14" s="378">
        <v>900</v>
      </c>
      <c r="H14" s="600"/>
      <c r="I14" s="380">
        <f t="shared" si="8"/>
        <v>4</v>
      </c>
      <c r="J14" s="380">
        <f t="shared" si="9"/>
        <v>2602.2922360248622</v>
      </c>
      <c r="K14" s="205">
        <f t="shared" si="10"/>
        <v>650.57305900621554</v>
      </c>
      <c r="L14" s="585"/>
      <c r="M14" s="204">
        <f>RANK(K14, K$7:$K$36)</f>
        <v>15</v>
      </c>
      <c r="N14" s="592"/>
      <c r="O14" s="592"/>
      <c r="P14" s="378">
        <v>4</v>
      </c>
      <c r="Q14" s="187">
        <v>3000.0000000000905</v>
      </c>
      <c r="R14" s="379">
        <v>750.00000000002262</v>
      </c>
      <c r="S14" s="378">
        <f t="shared" si="0"/>
        <v>10</v>
      </c>
      <c r="T14" s="600"/>
      <c r="U14" s="378">
        <v>4</v>
      </c>
      <c r="V14" s="187">
        <v>2145.0000000000077</v>
      </c>
      <c r="W14" s="379">
        <v>536.25000000000193</v>
      </c>
      <c r="X14" s="378">
        <f t="shared" si="1"/>
        <v>21</v>
      </c>
      <c r="Y14" s="600"/>
      <c r="Z14" s="378">
        <v>4</v>
      </c>
      <c r="AA14" s="187">
        <v>2580.0000000000095</v>
      </c>
      <c r="AB14" s="379">
        <v>645.00000000000239</v>
      </c>
      <c r="AC14" s="378">
        <f t="shared" si="2"/>
        <v>15</v>
      </c>
      <c r="AD14" s="600"/>
      <c r="AE14" s="378">
        <v>4</v>
      </c>
      <c r="AF14" s="187">
        <v>3168.7499999999959</v>
      </c>
      <c r="AG14" s="379">
        <v>792.18749999999898</v>
      </c>
      <c r="AH14" s="378">
        <f t="shared" si="3"/>
        <v>6</v>
      </c>
      <c r="AI14" s="600"/>
      <c r="AJ14" s="378">
        <v>4</v>
      </c>
      <c r="AK14" s="187">
        <v>2068.6956521739203</v>
      </c>
      <c r="AL14" s="379">
        <v>517.17391304348007</v>
      </c>
      <c r="AM14" s="378">
        <f t="shared" si="4"/>
        <v>23</v>
      </c>
      <c r="AN14" s="600"/>
      <c r="AO14" s="378">
        <v>4</v>
      </c>
      <c r="AP14" s="187">
        <v>2376.0000000000086</v>
      </c>
      <c r="AQ14" s="379">
        <v>594.00000000000216</v>
      </c>
      <c r="AR14" s="378">
        <f t="shared" si="5"/>
        <v>18</v>
      </c>
      <c r="AS14" s="600"/>
      <c r="AT14" s="378">
        <v>4</v>
      </c>
      <c r="AU14" s="187">
        <v>2877.6000000000008</v>
      </c>
      <c r="AV14" s="379">
        <v>719.4000000000002</v>
      </c>
      <c r="AW14" s="378">
        <f t="shared" si="6"/>
        <v>11</v>
      </c>
      <c r="AX14" s="600"/>
      <c r="AZ14" s="380" t="e">
        <f>RANK(AX14, $K$7:AX$36)</f>
        <v>#N/A</v>
      </c>
      <c r="BB14" s="378" t="e">
        <f t="shared" si="7"/>
        <v>#N/A</v>
      </c>
    </row>
    <row r="15" spans="1:54" ht="14.25">
      <c r="A15" s="81"/>
      <c r="B15" s="598"/>
      <c r="C15" s="378">
        <v>9</v>
      </c>
      <c r="D15" s="378" t="s">
        <v>370</v>
      </c>
      <c r="E15" s="378">
        <v>4</v>
      </c>
      <c r="F15" s="378">
        <v>3300</v>
      </c>
      <c r="G15" s="378">
        <v>825</v>
      </c>
      <c r="H15" s="600"/>
      <c r="I15" s="380">
        <f t="shared" si="8"/>
        <v>4</v>
      </c>
      <c r="J15" s="380">
        <f t="shared" si="9"/>
        <v>2263.3445378151259</v>
      </c>
      <c r="K15" s="205">
        <f t="shared" si="10"/>
        <v>565.83613445378148</v>
      </c>
      <c r="L15" s="585"/>
      <c r="M15" s="204">
        <f>RANK(K15, K$7:$K$36)</f>
        <v>21</v>
      </c>
      <c r="N15" s="592"/>
      <c r="O15" s="592"/>
      <c r="P15" s="378">
        <v>4</v>
      </c>
      <c r="Q15" s="187">
        <v>2389.4117647058792</v>
      </c>
      <c r="R15" s="379">
        <v>597.35294117646981</v>
      </c>
      <c r="S15" s="378">
        <f t="shared" si="0"/>
        <v>21</v>
      </c>
      <c r="T15" s="600"/>
      <c r="U15" s="378">
        <v>4</v>
      </c>
      <c r="V15" s="187">
        <v>2072.9999999999995</v>
      </c>
      <c r="W15" s="379">
        <v>518.24999999999989</v>
      </c>
      <c r="X15" s="378">
        <f t="shared" si="1"/>
        <v>22</v>
      </c>
      <c r="Y15" s="600"/>
      <c r="Z15" s="378">
        <v>4</v>
      </c>
      <c r="AA15" s="187">
        <v>2520.0000000000027</v>
      </c>
      <c r="AB15" s="379">
        <v>630.00000000000068</v>
      </c>
      <c r="AC15" s="378">
        <f t="shared" si="2"/>
        <v>16</v>
      </c>
      <c r="AD15" s="600"/>
      <c r="AE15" s="378">
        <v>4</v>
      </c>
      <c r="AF15" s="187">
        <v>2195.0000000000005</v>
      </c>
      <c r="AG15" s="379">
        <v>548.75000000000011</v>
      </c>
      <c r="AH15" s="378">
        <f t="shared" si="3"/>
        <v>22</v>
      </c>
      <c r="AI15" s="600"/>
      <c r="AJ15" s="378">
        <v>4</v>
      </c>
      <c r="AK15" s="187">
        <v>2543.9999999999991</v>
      </c>
      <c r="AL15" s="379">
        <v>635.99999999999977</v>
      </c>
      <c r="AM15" s="378">
        <f t="shared" si="4"/>
        <v>15</v>
      </c>
      <c r="AN15" s="600"/>
      <c r="AO15" s="378">
        <v>4</v>
      </c>
      <c r="AP15" s="187">
        <v>2130.0000000000005</v>
      </c>
      <c r="AQ15" s="379">
        <v>532.50000000000011</v>
      </c>
      <c r="AR15" s="378">
        <f t="shared" si="5"/>
        <v>20</v>
      </c>
      <c r="AS15" s="600"/>
      <c r="AT15" s="378">
        <v>4</v>
      </c>
      <c r="AU15" s="187">
        <v>1991.9999999999993</v>
      </c>
      <c r="AV15" s="379">
        <v>497.99999999999983</v>
      </c>
      <c r="AW15" s="378">
        <f t="shared" si="6"/>
        <v>23</v>
      </c>
      <c r="AX15" s="600"/>
      <c r="AZ15" s="380" t="e">
        <f>RANK(AX15, $K$7:AX$36)</f>
        <v>#N/A</v>
      </c>
      <c r="BB15" s="378" t="e">
        <f t="shared" si="7"/>
        <v>#N/A</v>
      </c>
    </row>
    <row r="16" spans="1:54" ht="14.25">
      <c r="A16" s="81"/>
      <c r="B16" s="598"/>
      <c r="C16" s="378">
        <v>10</v>
      </c>
      <c r="D16" s="378" t="s">
        <v>371</v>
      </c>
      <c r="E16" s="378">
        <v>3</v>
      </c>
      <c r="F16" s="378">
        <v>3300</v>
      </c>
      <c r="G16" s="378">
        <v>1100</v>
      </c>
      <c r="H16" s="600"/>
      <c r="I16" s="380">
        <f t="shared" si="8"/>
        <v>3</v>
      </c>
      <c r="J16" s="380">
        <f t="shared" si="9"/>
        <v>2531.1428571428564</v>
      </c>
      <c r="K16" s="205">
        <f t="shared" si="10"/>
        <v>843.71428571428555</v>
      </c>
      <c r="L16" s="585"/>
      <c r="M16" s="204">
        <f>RANK(K16, K$7:$K$36)</f>
        <v>6</v>
      </c>
      <c r="N16" s="592"/>
      <c r="O16" s="592"/>
      <c r="P16" s="378">
        <v>3</v>
      </c>
      <c r="Q16" s="187">
        <v>2528.9999999999991</v>
      </c>
      <c r="R16" s="379">
        <v>842.99999999999966</v>
      </c>
      <c r="S16" s="378">
        <f t="shared" si="0"/>
        <v>4</v>
      </c>
      <c r="T16" s="600"/>
      <c r="U16" s="378">
        <v>3</v>
      </c>
      <c r="V16" s="187">
        <v>2536.5000000000014</v>
      </c>
      <c r="W16" s="379">
        <v>845.50000000000045</v>
      </c>
      <c r="X16" s="378">
        <f t="shared" si="1"/>
        <v>3</v>
      </c>
      <c r="Y16" s="600"/>
      <c r="Z16" s="378">
        <v>3</v>
      </c>
      <c r="AA16" s="187">
        <v>2415.0000000000014</v>
      </c>
      <c r="AB16" s="379">
        <v>805.00000000000045</v>
      </c>
      <c r="AC16" s="378">
        <f t="shared" si="2"/>
        <v>6</v>
      </c>
      <c r="AD16" s="600"/>
      <c r="AE16" s="378">
        <v>3</v>
      </c>
      <c r="AF16" s="187">
        <v>2647.9999999999986</v>
      </c>
      <c r="AG16" s="379">
        <v>882.66666666666617</v>
      </c>
      <c r="AH16" s="378">
        <f t="shared" si="3"/>
        <v>2</v>
      </c>
      <c r="AI16" s="600"/>
      <c r="AJ16" s="378">
        <v>3</v>
      </c>
      <c r="AK16" s="187">
        <v>2491.9999999999986</v>
      </c>
      <c r="AL16" s="379">
        <v>830.66666666666617</v>
      </c>
      <c r="AM16" s="378">
        <f t="shared" si="4"/>
        <v>5</v>
      </c>
      <c r="AN16" s="600"/>
      <c r="AO16" s="378">
        <v>3</v>
      </c>
      <c r="AP16" s="187">
        <v>2587.9999999999986</v>
      </c>
      <c r="AQ16" s="379">
        <v>862.66666666666617</v>
      </c>
      <c r="AR16" s="378">
        <f t="shared" si="5"/>
        <v>2</v>
      </c>
      <c r="AS16" s="600"/>
      <c r="AT16" s="378">
        <v>3</v>
      </c>
      <c r="AU16" s="187">
        <v>2509.4999999999991</v>
      </c>
      <c r="AV16" s="379">
        <v>836.49999999999966</v>
      </c>
      <c r="AW16" s="378">
        <f t="shared" si="6"/>
        <v>6</v>
      </c>
      <c r="AX16" s="600"/>
      <c r="AZ16" s="380" t="e">
        <f>RANK(AX16, $K$7:AX$36)</f>
        <v>#N/A</v>
      </c>
      <c r="BB16" s="378" t="e">
        <f t="shared" si="7"/>
        <v>#N/A</v>
      </c>
    </row>
    <row r="17" spans="2:54">
      <c r="B17" s="598"/>
      <c r="C17" s="378">
        <v>11</v>
      </c>
      <c r="D17" s="378" t="s">
        <v>372</v>
      </c>
      <c r="E17" s="378">
        <v>3</v>
      </c>
      <c r="F17" s="378">
        <v>3300</v>
      </c>
      <c r="G17" s="378">
        <v>1100</v>
      </c>
      <c r="H17" s="600"/>
      <c r="I17" s="380">
        <f t="shared" si="8"/>
        <v>3</v>
      </c>
      <c r="J17" s="380">
        <f t="shared" si="9"/>
        <v>2544.5298885511656</v>
      </c>
      <c r="K17" s="205">
        <f t="shared" si="10"/>
        <v>848.1766295170554</v>
      </c>
      <c r="L17" s="585"/>
      <c r="M17" s="204">
        <f>RANK(K17, K$7:$K$36)</f>
        <v>4</v>
      </c>
      <c r="N17" s="592"/>
      <c r="O17" s="592"/>
      <c r="P17" s="378">
        <v>3</v>
      </c>
      <c r="Q17" s="187">
        <v>2475.3191489361702</v>
      </c>
      <c r="R17" s="379">
        <v>825.10638297872345</v>
      </c>
      <c r="S17" s="378">
        <f t="shared" si="0"/>
        <v>7</v>
      </c>
      <c r="T17" s="600"/>
      <c r="U17" s="378">
        <v>3</v>
      </c>
      <c r="V17" s="187">
        <v>2602.666666666667</v>
      </c>
      <c r="W17" s="379">
        <v>867.55555555555566</v>
      </c>
      <c r="X17" s="378">
        <f t="shared" si="1"/>
        <v>2</v>
      </c>
      <c r="Y17" s="600"/>
      <c r="Z17" s="378">
        <v>3</v>
      </c>
      <c r="AA17" s="187">
        <v>2458.7234042553155</v>
      </c>
      <c r="AB17" s="379">
        <v>819.5744680851052</v>
      </c>
      <c r="AC17" s="378">
        <f t="shared" si="2"/>
        <v>5</v>
      </c>
      <c r="AD17" s="600"/>
      <c r="AE17" s="378">
        <v>3</v>
      </c>
      <c r="AF17" s="187">
        <v>2489.1428571428546</v>
      </c>
      <c r="AG17" s="379">
        <v>829.71428571428487</v>
      </c>
      <c r="AH17" s="378">
        <f t="shared" si="3"/>
        <v>4</v>
      </c>
      <c r="AI17" s="600"/>
      <c r="AJ17" s="378">
        <v>3</v>
      </c>
      <c r="AK17" s="187">
        <v>2463.4285714285688</v>
      </c>
      <c r="AL17" s="379">
        <v>821.14285714285631</v>
      </c>
      <c r="AM17" s="378">
        <f t="shared" si="4"/>
        <v>7</v>
      </c>
      <c r="AN17" s="600"/>
      <c r="AO17" s="378">
        <v>3</v>
      </c>
      <c r="AP17" s="187">
        <v>2499.4285714285807</v>
      </c>
      <c r="AQ17" s="379">
        <v>833.14285714286018</v>
      </c>
      <c r="AR17" s="378">
        <f t="shared" si="5"/>
        <v>3</v>
      </c>
      <c r="AS17" s="600"/>
      <c r="AT17" s="378">
        <v>3</v>
      </c>
      <c r="AU17" s="187">
        <v>2823.0000000000045</v>
      </c>
      <c r="AV17" s="379">
        <v>941.00000000000148</v>
      </c>
      <c r="AW17" s="378">
        <f t="shared" si="6"/>
        <v>3</v>
      </c>
      <c r="AX17" s="600"/>
      <c r="AZ17" s="380" t="e">
        <f>RANK(AX17, $K$7:AX$36)</f>
        <v>#N/A</v>
      </c>
      <c r="BB17" s="378" t="e">
        <f t="shared" si="7"/>
        <v>#N/A</v>
      </c>
    </row>
    <row r="18" spans="2:54">
      <c r="B18" s="598"/>
      <c r="C18" s="378">
        <v>12</v>
      </c>
      <c r="D18" s="378" t="s">
        <v>373</v>
      </c>
      <c r="E18" s="378">
        <v>4</v>
      </c>
      <c r="F18" s="378">
        <v>3300</v>
      </c>
      <c r="G18" s="378">
        <v>825</v>
      </c>
      <c r="H18" s="600"/>
      <c r="I18" s="380">
        <f t="shared" si="8"/>
        <v>4</v>
      </c>
      <c r="J18" s="380">
        <f t="shared" si="9"/>
        <v>2250.1922077922086</v>
      </c>
      <c r="K18" s="205">
        <f t="shared" si="10"/>
        <v>562.54805194805215</v>
      </c>
      <c r="L18" s="585"/>
      <c r="M18" s="204">
        <f>RANK(K18, K$7:$K$36)</f>
        <v>22</v>
      </c>
      <c r="N18" s="592"/>
      <c r="O18" s="592"/>
      <c r="P18" s="378">
        <v>4</v>
      </c>
      <c r="Q18" s="187">
        <v>2460.0000000000018</v>
      </c>
      <c r="R18" s="379">
        <v>615.00000000000045</v>
      </c>
      <c r="S18" s="378">
        <f t="shared" si="0"/>
        <v>20</v>
      </c>
      <c r="T18" s="600"/>
      <c r="U18" s="378">
        <v>4</v>
      </c>
      <c r="V18" s="187">
        <v>2302.0000000000023</v>
      </c>
      <c r="W18" s="379">
        <v>575.50000000000057</v>
      </c>
      <c r="X18" s="378">
        <f t="shared" si="1"/>
        <v>18</v>
      </c>
      <c r="Y18" s="600"/>
      <c r="Z18" s="378">
        <v>4</v>
      </c>
      <c r="AA18" s="187">
        <v>2196.0000000000023</v>
      </c>
      <c r="AB18" s="379">
        <v>549.00000000000057</v>
      </c>
      <c r="AC18" s="378">
        <f t="shared" si="2"/>
        <v>22</v>
      </c>
      <c r="AD18" s="600"/>
      <c r="AE18" s="378">
        <v>4</v>
      </c>
      <c r="AF18" s="187">
        <v>2367.0000000000036</v>
      </c>
      <c r="AG18" s="379">
        <v>591.75000000000091</v>
      </c>
      <c r="AH18" s="378">
        <f t="shared" si="3"/>
        <v>19</v>
      </c>
      <c r="AI18" s="600"/>
      <c r="AJ18" s="378">
        <v>4</v>
      </c>
      <c r="AK18" s="187">
        <v>2222.9999999999941</v>
      </c>
      <c r="AL18" s="379">
        <v>555.74999999999852</v>
      </c>
      <c r="AM18" s="378">
        <f t="shared" si="4"/>
        <v>22</v>
      </c>
      <c r="AN18" s="600"/>
      <c r="AO18" s="378">
        <v>4</v>
      </c>
      <c r="AP18" s="187">
        <v>1474.5454545454561</v>
      </c>
      <c r="AQ18" s="379">
        <v>368.63636363636402</v>
      </c>
      <c r="AR18" s="378">
        <f t="shared" si="5"/>
        <v>23</v>
      </c>
      <c r="AS18" s="600"/>
      <c r="AT18" s="378">
        <v>4</v>
      </c>
      <c r="AU18" s="187">
        <v>2728.8000000000006</v>
      </c>
      <c r="AV18" s="379">
        <v>682.20000000000016</v>
      </c>
      <c r="AW18" s="378">
        <f t="shared" si="6"/>
        <v>15</v>
      </c>
      <c r="AX18" s="600"/>
      <c r="AZ18" s="380" t="e">
        <f>RANK(AX18, $K$7:AX$36)</f>
        <v>#N/A</v>
      </c>
      <c r="BB18" s="378" t="e">
        <f t="shared" si="7"/>
        <v>#N/A</v>
      </c>
    </row>
    <row r="19" spans="2:54">
      <c r="B19" s="598"/>
      <c r="C19" s="378">
        <v>13</v>
      </c>
      <c r="D19" s="378" t="s">
        <v>426</v>
      </c>
      <c r="E19" s="378">
        <v>4</v>
      </c>
      <c r="F19" s="378">
        <v>2500</v>
      </c>
      <c r="G19" s="378">
        <v>625</v>
      </c>
      <c r="H19" s="600"/>
      <c r="I19" s="380">
        <f t="shared" si="8"/>
        <v>4</v>
      </c>
      <c r="J19" s="380">
        <f t="shared" si="9"/>
        <v>2483.6071428571427</v>
      </c>
      <c r="K19" s="205">
        <f t="shared" si="10"/>
        <v>620.90178571428567</v>
      </c>
      <c r="L19" s="585"/>
      <c r="M19" s="204">
        <f>RANK(K19, K$7:$K$36)</f>
        <v>17</v>
      </c>
      <c r="N19" s="592"/>
      <c r="O19" s="592"/>
      <c r="P19" s="378">
        <v>4</v>
      </c>
      <c r="Q19" s="187">
        <v>2486.2499999999995</v>
      </c>
      <c r="R19" s="379">
        <v>621.56249999999989</v>
      </c>
      <c r="S19" s="378">
        <f t="shared" si="0"/>
        <v>18</v>
      </c>
      <c r="T19" s="600"/>
      <c r="U19" s="378">
        <v>4</v>
      </c>
      <c r="V19" s="187">
        <v>2577.9999999999986</v>
      </c>
      <c r="W19" s="379">
        <v>644.49999999999966</v>
      </c>
      <c r="X19" s="378">
        <f t="shared" si="1"/>
        <v>14</v>
      </c>
      <c r="Y19" s="600"/>
      <c r="Z19" s="378">
        <v>4</v>
      </c>
      <c r="AA19" s="187">
        <v>2429.9999999999986</v>
      </c>
      <c r="AB19" s="379">
        <v>607.49999999999966</v>
      </c>
      <c r="AC19" s="378">
        <f t="shared" si="2"/>
        <v>19</v>
      </c>
      <c r="AD19" s="600"/>
      <c r="AE19" s="378">
        <v>4</v>
      </c>
      <c r="AF19" s="187">
        <v>2477.9999999999991</v>
      </c>
      <c r="AG19" s="379">
        <v>619.49999999999977</v>
      </c>
      <c r="AH19" s="378">
        <f t="shared" si="3"/>
        <v>16</v>
      </c>
      <c r="AI19" s="600"/>
      <c r="AJ19" s="378">
        <v>4</v>
      </c>
      <c r="AK19" s="187">
        <v>2375.9999999999991</v>
      </c>
      <c r="AL19" s="379">
        <v>593.99999999999977</v>
      </c>
      <c r="AM19" s="378">
        <f t="shared" si="4"/>
        <v>20</v>
      </c>
      <c r="AN19" s="600"/>
      <c r="AO19" s="378">
        <v>4</v>
      </c>
      <c r="AP19" s="187">
        <v>2571.0000000000041</v>
      </c>
      <c r="AQ19" s="379">
        <v>642.75000000000102</v>
      </c>
      <c r="AR19" s="378">
        <f t="shared" si="5"/>
        <v>14</v>
      </c>
      <c r="AS19" s="600"/>
      <c r="AT19" s="378">
        <v>4</v>
      </c>
      <c r="AU19" s="187">
        <v>2465.9999999999986</v>
      </c>
      <c r="AV19" s="379">
        <v>616.49999999999966</v>
      </c>
      <c r="AW19" s="378">
        <f t="shared" si="6"/>
        <v>19</v>
      </c>
      <c r="AX19" s="600"/>
      <c r="AZ19" s="380" t="e">
        <f>RANK(AX19, $K$7:AX$36)</f>
        <v>#N/A</v>
      </c>
      <c r="BB19" s="378" t="e">
        <f t="shared" si="7"/>
        <v>#N/A</v>
      </c>
    </row>
    <row r="20" spans="2:54">
      <c r="B20" s="598"/>
      <c r="C20" s="378">
        <v>14</v>
      </c>
      <c r="D20" s="378" t="s">
        <v>374</v>
      </c>
      <c r="E20" s="378">
        <v>3</v>
      </c>
      <c r="F20" s="378">
        <v>3300</v>
      </c>
      <c r="G20" s="378">
        <v>1100</v>
      </c>
      <c r="H20" s="600"/>
      <c r="I20" s="380">
        <f t="shared" si="8"/>
        <v>3</v>
      </c>
      <c r="J20" s="380">
        <f t="shared" si="9"/>
        <v>1983.4897959183652</v>
      </c>
      <c r="K20" s="205">
        <f t="shared" si="10"/>
        <v>661.16326530612173</v>
      </c>
      <c r="L20" s="585"/>
      <c r="M20" s="204">
        <f>RANK(K20, K$7:$K$36)</f>
        <v>14</v>
      </c>
      <c r="N20" s="592"/>
      <c r="O20" s="592"/>
      <c r="P20" s="378">
        <v>3</v>
      </c>
      <c r="Q20" s="187">
        <v>2414.9999999999845</v>
      </c>
      <c r="R20" s="379">
        <v>804.99999999999488</v>
      </c>
      <c r="S20" s="378">
        <f t="shared" si="0"/>
        <v>8</v>
      </c>
      <c r="T20" s="600"/>
      <c r="U20" s="378">
        <v>3</v>
      </c>
      <c r="V20" s="187">
        <v>1925.9999999999993</v>
      </c>
      <c r="W20" s="379">
        <v>641.99999999999977</v>
      </c>
      <c r="X20" s="378">
        <f t="shared" si="1"/>
        <v>15</v>
      </c>
      <c r="Y20" s="600"/>
      <c r="Z20" s="378">
        <v>3</v>
      </c>
      <c r="AA20" s="187">
        <v>2331.4285714285797</v>
      </c>
      <c r="AB20" s="379">
        <v>777.14285714285995</v>
      </c>
      <c r="AC20" s="378">
        <f t="shared" si="2"/>
        <v>7</v>
      </c>
      <c r="AD20" s="600"/>
      <c r="AE20" s="378">
        <v>3</v>
      </c>
      <c r="AF20" s="187">
        <v>1931.9999999999911</v>
      </c>
      <c r="AG20" s="379">
        <v>643.99999999999704</v>
      </c>
      <c r="AH20" s="378">
        <f t="shared" si="3"/>
        <v>14</v>
      </c>
      <c r="AI20" s="600"/>
      <c r="AJ20" s="378">
        <v>3</v>
      </c>
      <c r="AK20" s="187">
        <v>1716.0000000000061</v>
      </c>
      <c r="AL20" s="379">
        <v>572.00000000000205</v>
      </c>
      <c r="AM20" s="378">
        <f t="shared" si="4"/>
        <v>21</v>
      </c>
      <c r="AN20" s="600"/>
      <c r="AO20" s="378">
        <v>3</v>
      </c>
      <c r="AP20" s="187">
        <v>1955.9999999999911</v>
      </c>
      <c r="AQ20" s="379">
        <v>651.99999999999704</v>
      </c>
      <c r="AR20" s="378">
        <f t="shared" si="5"/>
        <v>13</v>
      </c>
      <c r="AS20" s="600"/>
      <c r="AT20" s="378">
        <v>3</v>
      </c>
      <c r="AU20" s="187">
        <v>1608.0000000000059</v>
      </c>
      <c r="AV20" s="379">
        <v>536.00000000000193</v>
      </c>
      <c r="AW20" s="378">
        <f t="shared" si="6"/>
        <v>22</v>
      </c>
      <c r="AX20" s="600"/>
      <c r="AZ20" s="380" t="e">
        <f>RANK(AX20, $K$7:AX$36)</f>
        <v>#N/A</v>
      </c>
      <c r="BB20" s="378" t="e">
        <f t="shared" si="7"/>
        <v>#N/A</v>
      </c>
    </row>
    <row r="21" spans="2:54">
      <c r="B21" s="598"/>
      <c r="C21" s="378">
        <v>15</v>
      </c>
      <c r="D21" s="378" t="s">
        <v>375</v>
      </c>
      <c r="E21" s="378">
        <v>4</v>
      </c>
      <c r="F21" s="378">
        <v>3300</v>
      </c>
      <c r="G21" s="378">
        <v>825</v>
      </c>
      <c r="H21" s="600"/>
      <c r="I21" s="380">
        <f t="shared" si="8"/>
        <v>4</v>
      </c>
      <c r="J21" s="380">
        <f t="shared" si="9"/>
        <v>2509.9849368023283</v>
      </c>
      <c r="K21" s="205">
        <f t="shared" si="10"/>
        <v>627.49623420058208</v>
      </c>
      <c r="L21" s="585"/>
      <c r="M21" s="204">
        <f>RANK(K21, K$7:$K$36)</f>
        <v>16</v>
      </c>
      <c r="N21" s="592"/>
      <c r="O21" s="592"/>
      <c r="P21" s="378">
        <v>4</v>
      </c>
      <c r="Q21" s="187">
        <v>2491.304347826087</v>
      </c>
      <c r="R21" s="379">
        <v>622.82608695652175</v>
      </c>
      <c r="S21" s="378">
        <f t="shared" si="0"/>
        <v>17</v>
      </c>
      <c r="T21" s="600"/>
      <c r="U21" s="378">
        <v>4</v>
      </c>
      <c r="V21" s="187">
        <v>2460.0000000000005</v>
      </c>
      <c r="W21" s="379">
        <v>615.00000000000011</v>
      </c>
      <c r="X21" s="378">
        <f t="shared" si="1"/>
        <v>16</v>
      </c>
      <c r="Y21" s="600"/>
      <c r="Z21" s="378">
        <v>4</v>
      </c>
      <c r="AA21" s="187">
        <v>2518.1538461538457</v>
      </c>
      <c r="AB21" s="379">
        <v>629.53846153846143</v>
      </c>
      <c r="AC21" s="378">
        <f t="shared" si="2"/>
        <v>17</v>
      </c>
      <c r="AD21" s="600"/>
      <c r="AE21" s="378">
        <v>4</v>
      </c>
      <c r="AF21" s="187">
        <v>2359.6363636363649</v>
      </c>
      <c r="AG21" s="379">
        <v>589.90909090909122</v>
      </c>
      <c r="AH21" s="378">
        <f t="shared" si="3"/>
        <v>20</v>
      </c>
      <c r="AI21" s="600"/>
      <c r="AJ21" s="378">
        <v>4</v>
      </c>
      <c r="AK21" s="187">
        <v>2412.0000000000005</v>
      </c>
      <c r="AL21" s="379">
        <v>603.00000000000011</v>
      </c>
      <c r="AM21" s="378">
        <f t="shared" si="4"/>
        <v>19</v>
      </c>
      <c r="AN21" s="600"/>
      <c r="AO21" s="378">
        <v>4</v>
      </c>
      <c r="AP21" s="187">
        <v>2518.8000000000006</v>
      </c>
      <c r="AQ21" s="379">
        <v>629.70000000000016</v>
      </c>
      <c r="AR21" s="378">
        <f t="shared" si="5"/>
        <v>16</v>
      </c>
      <c r="AS21" s="600"/>
      <c r="AT21" s="378">
        <v>4</v>
      </c>
      <c r="AU21" s="187">
        <v>2809.9999999999991</v>
      </c>
      <c r="AV21" s="379">
        <v>702.49999999999977</v>
      </c>
      <c r="AW21" s="378">
        <f t="shared" si="6"/>
        <v>13</v>
      </c>
      <c r="AX21" s="600"/>
      <c r="AZ21" s="380" t="e">
        <f>RANK(AX21, $K$7:AX$36)</f>
        <v>#N/A</v>
      </c>
      <c r="BB21" s="378" t="e">
        <f t="shared" si="7"/>
        <v>#N/A</v>
      </c>
    </row>
    <row r="22" spans="2:54">
      <c r="B22" s="598"/>
      <c r="C22" s="378">
        <v>16</v>
      </c>
      <c r="D22" s="378" t="s">
        <v>376</v>
      </c>
      <c r="E22" s="378">
        <v>4</v>
      </c>
      <c r="F22" s="378">
        <v>3300</v>
      </c>
      <c r="G22" s="378">
        <v>825</v>
      </c>
      <c r="H22" s="600"/>
      <c r="I22" s="380">
        <f t="shared" si="8"/>
        <v>4</v>
      </c>
      <c r="J22" s="380">
        <f t="shared" si="9"/>
        <v>2458.5114100185533</v>
      </c>
      <c r="K22" s="205">
        <f t="shared" si="10"/>
        <v>614.62785250463833</v>
      </c>
      <c r="L22" s="585"/>
      <c r="M22" s="204">
        <f>RANK(K22, K$7:$K$36)</f>
        <v>18</v>
      </c>
      <c r="N22" s="592"/>
      <c r="O22" s="592"/>
      <c r="P22" s="378">
        <v>4</v>
      </c>
      <c r="Q22" s="187">
        <v>2472.4675324675336</v>
      </c>
      <c r="R22" s="379">
        <v>618.1168831168834</v>
      </c>
      <c r="S22" s="378">
        <f t="shared" si="0"/>
        <v>19</v>
      </c>
      <c r="T22" s="600"/>
      <c r="U22" s="378">
        <v>4</v>
      </c>
      <c r="V22" s="187">
        <v>2396.2499999999991</v>
      </c>
      <c r="W22" s="379">
        <v>599.06249999999977</v>
      </c>
      <c r="X22" s="378">
        <f t="shared" si="1"/>
        <v>17</v>
      </c>
      <c r="Y22" s="600"/>
      <c r="Z22" s="378">
        <v>4</v>
      </c>
      <c r="AA22" s="187">
        <v>2431.2000000000012</v>
      </c>
      <c r="AB22" s="379">
        <v>607.8000000000003</v>
      </c>
      <c r="AC22" s="378">
        <f t="shared" si="2"/>
        <v>18</v>
      </c>
      <c r="AD22" s="600"/>
      <c r="AE22" s="378">
        <v>4</v>
      </c>
      <c r="AF22" s="187">
        <v>2370.0000000000023</v>
      </c>
      <c r="AG22" s="379">
        <v>592.50000000000057</v>
      </c>
      <c r="AH22" s="378">
        <f t="shared" si="3"/>
        <v>18</v>
      </c>
      <c r="AI22" s="600"/>
      <c r="AJ22" s="378">
        <v>4</v>
      </c>
      <c r="AK22" s="187">
        <v>2449.0909090909104</v>
      </c>
      <c r="AL22" s="379">
        <v>612.27272727272759</v>
      </c>
      <c r="AM22" s="378">
        <f t="shared" si="4"/>
        <v>17</v>
      </c>
      <c r="AN22" s="600"/>
      <c r="AO22" s="378">
        <v>4</v>
      </c>
      <c r="AP22" s="187">
        <v>2376.0000000000023</v>
      </c>
      <c r="AQ22" s="379">
        <v>594.00000000000057</v>
      </c>
      <c r="AR22" s="378">
        <f t="shared" si="5"/>
        <v>19</v>
      </c>
      <c r="AS22" s="600"/>
      <c r="AT22" s="378">
        <v>4</v>
      </c>
      <c r="AU22" s="187">
        <v>2714.5714285714257</v>
      </c>
      <c r="AV22" s="379">
        <v>678.64285714285643</v>
      </c>
      <c r="AW22" s="378">
        <f t="shared" si="6"/>
        <v>16</v>
      </c>
      <c r="AX22" s="600"/>
      <c r="AZ22" s="380" t="e">
        <f>RANK(AX22, $K$7:AX$36)</f>
        <v>#N/A</v>
      </c>
      <c r="BB22" s="378" t="e">
        <f t="shared" si="7"/>
        <v>#N/A</v>
      </c>
    </row>
    <row r="23" spans="2:54">
      <c r="B23" s="598"/>
      <c r="C23" s="378">
        <v>17</v>
      </c>
      <c r="D23" s="378" t="s">
        <v>469</v>
      </c>
      <c r="E23" s="378">
        <v>3</v>
      </c>
      <c r="F23" s="378">
        <v>2700</v>
      </c>
      <c r="G23" s="378">
        <v>900</v>
      </c>
      <c r="H23" s="600"/>
      <c r="I23" s="380">
        <f t="shared" si="8"/>
        <v>3</v>
      </c>
      <c r="J23" s="380">
        <f t="shared" si="9"/>
        <v>2550.5462943071971</v>
      </c>
      <c r="K23" s="205">
        <f t="shared" si="10"/>
        <v>850.1820981023991</v>
      </c>
      <c r="L23" s="585"/>
      <c r="M23" s="204">
        <f>RANK(K23, K$7:$K$36)</f>
        <v>3</v>
      </c>
      <c r="N23" s="592"/>
      <c r="O23" s="592"/>
      <c r="P23" s="378">
        <v>3</v>
      </c>
      <c r="Q23" s="187">
        <v>2651.0526315789457</v>
      </c>
      <c r="R23" s="379">
        <v>883.68421052631527</v>
      </c>
      <c r="S23" s="378">
        <f t="shared" si="0"/>
        <v>2</v>
      </c>
      <c r="T23" s="600"/>
      <c r="U23" s="378">
        <v>3</v>
      </c>
      <c r="V23" s="187">
        <v>2456.9999999999991</v>
      </c>
      <c r="W23" s="379">
        <v>818.99999999999966</v>
      </c>
      <c r="X23" s="378">
        <f t="shared" si="1"/>
        <v>5</v>
      </c>
      <c r="Y23" s="600"/>
      <c r="Z23" s="378">
        <v>3</v>
      </c>
      <c r="AA23" s="187">
        <v>2700.0000000000036</v>
      </c>
      <c r="AB23" s="379">
        <v>900.00000000000125</v>
      </c>
      <c r="AC23" s="378">
        <f t="shared" si="2"/>
        <v>2</v>
      </c>
      <c r="AD23" s="600"/>
      <c r="AE23" s="378">
        <v>3</v>
      </c>
      <c r="AF23" s="187">
        <v>2360.0000000000023</v>
      </c>
      <c r="AG23" s="379">
        <v>786.66666666666742</v>
      </c>
      <c r="AH23" s="378">
        <f t="shared" si="3"/>
        <v>8</v>
      </c>
      <c r="AI23" s="600"/>
      <c r="AJ23" s="378">
        <v>3</v>
      </c>
      <c r="AK23" s="187">
        <v>2695.2000000000007</v>
      </c>
      <c r="AL23" s="379">
        <v>898.4000000000002</v>
      </c>
      <c r="AM23" s="378">
        <f t="shared" si="4"/>
        <v>2</v>
      </c>
      <c r="AN23" s="600"/>
      <c r="AO23" s="378">
        <v>3</v>
      </c>
      <c r="AP23" s="187">
        <v>2342.0000000000018</v>
      </c>
      <c r="AQ23" s="379">
        <v>780.66666666666731</v>
      </c>
      <c r="AR23" s="378">
        <f t="shared" si="5"/>
        <v>6</v>
      </c>
      <c r="AS23" s="600"/>
      <c r="AT23" s="378">
        <v>3</v>
      </c>
      <c r="AU23" s="187">
        <v>2648.5714285714257</v>
      </c>
      <c r="AV23" s="379">
        <v>882.85714285714187</v>
      </c>
      <c r="AW23" s="378">
        <f t="shared" si="6"/>
        <v>5</v>
      </c>
      <c r="AX23" s="600"/>
      <c r="AZ23" s="380" t="e">
        <f>RANK(AX23, $K$7:AX$36)</f>
        <v>#N/A</v>
      </c>
      <c r="BB23" s="378" t="e">
        <f t="shared" si="7"/>
        <v>#N/A</v>
      </c>
    </row>
    <row r="24" spans="2:54">
      <c r="B24" s="598"/>
      <c r="C24" s="378">
        <v>18</v>
      </c>
      <c r="D24" s="378" t="s">
        <v>377</v>
      </c>
      <c r="E24" s="378">
        <v>4</v>
      </c>
      <c r="F24" s="378">
        <v>3600</v>
      </c>
      <c r="G24" s="378">
        <v>900</v>
      </c>
      <c r="H24" s="600"/>
      <c r="I24" s="380">
        <f t="shared" si="8"/>
        <v>4</v>
      </c>
      <c r="J24" s="380">
        <f t="shared" si="9"/>
        <v>2741.4530612244821</v>
      </c>
      <c r="K24" s="205">
        <f t="shared" si="10"/>
        <v>685.36326530612052</v>
      </c>
      <c r="L24" s="585"/>
      <c r="M24" s="204">
        <f>RANK(K24, K$7:$K$36)</f>
        <v>13</v>
      </c>
      <c r="N24" s="592"/>
      <c r="O24" s="592"/>
      <c r="P24" s="378">
        <v>4</v>
      </c>
      <c r="Q24" s="187">
        <v>2659.9999999999955</v>
      </c>
      <c r="R24" s="379">
        <v>664.99999999999886</v>
      </c>
      <c r="S24" s="378">
        <f t="shared" si="0"/>
        <v>16</v>
      </c>
      <c r="T24" s="600"/>
      <c r="U24" s="378">
        <v>4</v>
      </c>
      <c r="V24" s="187">
        <v>2824.2857142857083</v>
      </c>
      <c r="W24" s="379">
        <v>706.07142857142708</v>
      </c>
      <c r="X24" s="378">
        <f t="shared" si="1"/>
        <v>8</v>
      </c>
      <c r="Y24" s="600"/>
      <c r="Z24" s="378">
        <v>4</v>
      </c>
      <c r="AA24" s="187">
        <v>2704.2857142857088</v>
      </c>
      <c r="AB24" s="379">
        <v>676.07142857142719</v>
      </c>
      <c r="AC24" s="378">
        <f t="shared" si="2"/>
        <v>13</v>
      </c>
      <c r="AD24" s="600"/>
      <c r="AE24" s="378">
        <v>4</v>
      </c>
      <c r="AF24" s="187">
        <v>2639.9999999999923</v>
      </c>
      <c r="AG24" s="379">
        <v>659.99999999999807</v>
      </c>
      <c r="AH24" s="378">
        <f t="shared" si="3"/>
        <v>13</v>
      </c>
      <c r="AI24" s="600"/>
      <c r="AJ24" s="378">
        <v>4</v>
      </c>
      <c r="AK24" s="187">
        <v>3143.9999999999859</v>
      </c>
      <c r="AL24" s="379">
        <v>785.99999999999648</v>
      </c>
      <c r="AM24" s="378">
        <f t="shared" si="4"/>
        <v>9</v>
      </c>
      <c r="AN24" s="600"/>
      <c r="AO24" s="378">
        <v>4</v>
      </c>
      <c r="AP24" s="187">
        <v>2608.7999999999925</v>
      </c>
      <c r="AQ24" s="379">
        <v>652.19999999999811</v>
      </c>
      <c r="AR24" s="378">
        <f t="shared" si="5"/>
        <v>12</v>
      </c>
      <c r="AS24" s="600"/>
      <c r="AT24" s="378">
        <v>4</v>
      </c>
      <c r="AU24" s="187">
        <v>2608.7999999999925</v>
      </c>
      <c r="AV24" s="379">
        <v>652.19999999999811</v>
      </c>
      <c r="AW24" s="378">
        <f t="shared" si="6"/>
        <v>18</v>
      </c>
      <c r="AX24" s="600"/>
      <c r="AZ24" s="380" t="e">
        <f>RANK(AX24, $K$7:AX$36)</f>
        <v>#N/A</v>
      </c>
      <c r="BB24" s="378" t="e">
        <f t="shared" si="7"/>
        <v>#N/A</v>
      </c>
    </row>
    <row r="25" spans="2:54">
      <c r="B25" s="598"/>
      <c r="C25" s="378">
        <v>19</v>
      </c>
      <c r="D25" s="378" t="s">
        <v>378</v>
      </c>
      <c r="E25" s="378">
        <v>4</v>
      </c>
      <c r="F25" s="378">
        <v>3000</v>
      </c>
      <c r="G25" s="378">
        <v>750</v>
      </c>
      <c r="H25" s="600"/>
      <c r="I25" s="380">
        <f t="shared" si="8"/>
        <v>3</v>
      </c>
      <c r="J25" s="380">
        <f t="shared" si="9"/>
        <v>2184.8734693877545</v>
      </c>
      <c r="K25" s="205">
        <f t="shared" si="10"/>
        <v>728.29115646258481</v>
      </c>
      <c r="L25" s="585"/>
      <c r="M25" s="204">
        <f>RANK(K25, K$7:$K$36)</f>
        <v>9</v>
      </c>
      <c r="N25" s="592"/>
      <c r="O25" s="592"/>
      <c r="P25" s="378">
        <v>3</v>
      </c>
      <c r="Q25" s="187">
        <v>2160.0000000000077</v>
      </c>
      <c r="R25" s="379">
        <v>720.00000000000261</v>
      </c>
      <c r="S25" s="378">
        <f t="shared" si="0"/>
        <v>15</v>
      </c>
      <c r="T25" s="600"/>
      <c r="U25" s="378">
        <v>3</v>
      </c>
      <c r="V25" s="187">
        <v>2110.0000000000077</v>
      </c>
      <c r="W25" s="379">
        <v>703.33333333333587</v>
      </c>
      <c r="X25" s="378">
        <f t="shared" si="1"/>
        <v>9</v>
      </c>
      <c r="Y25" s="600"/>
      <c r="Z25" s="378">
        <v>3</v>
      </c>
      <c r="AA25" s="187">
        <v>2170.7142857142812</v>
      </c>
      <c r="AB25" s="379">
        <v>723.57142857142708</v>
      </c>
      <c r="AC25" s="378">
        <f t="shared" si="2"/>
        <v>12</v>
      </c>
      <c r="AD25" s="600"/>
      <c r="AE25" s="378">
        <v>3</v>
      </c>
      <c r="AF25" s="187">
        <v>2039.9999999999941</v>
      </c>
      <c r="AG25" s="379">
        <v>679.99999999999807</v>
      </c>
      <c r="AH25" s="378">
        <f t="shared" si="3"/>
        <v>12</v>
      </c>
      <c r="AI25" s="600"/>
      <c r="AJ25" s="378">
        <v>3</v>
      </c>
      <c r="AK25" s="187">
        <v>2564.9999999999886</v>
      </c>
      <c r="AL25" s="379">
        <v>854.99999999999625</v>
      </c>
      <c r="AM25" s="378">
        <f t="shared" si="4"/>
        <v>4</v>
      </c>
      <c r="AN25" s="600"/>
      <c r="AO25" s="378">
        <v>3</v>
      </c>
      <c r="AP25" s="187">
        <v>2186.3999999999937</v>
      </c>
      <c r="AQ25" s="379">
        <v>728.79999999999791</v>
      </c>
      <c r="AR25" s="378">
        <f t="shared" si="5"/>
        <v>9</v>
      </c>
      <c r="AS25" s="600"/>
      <c r="AT25" s="378">
        <v>3</v>
      </c>
      <c r="AU25" s="187">
        <v>2062.0000000000073</v>
      </c>
      <c r="AV25" s="379">
        <v>687.33333333333576</v>
      </c>
      <c r="AW25" s="378">
        <f t="shared" si="6"/>
        <v>14</v>
      </c>
      <c r="AX25" s="600"/>
      <c r="AZ25" s="380" t="e">
        <f>RANK(AX25, $K$7:AX$36)</f>
        <v>#N/A</v>
      </c>
      <c r="BB25" s="378" t="e">
        <f t="shared" si="7"/>
        <v>#N/A</v>
      </c>
    </row>
    <row r="26" spans="2:54">
      <c r="B26" s="598"/>
      <c r="C26" s="378">
        <v>20</v>
      </c>
      <c r="D26" s="378" t="s">
        <v>379</v>
      </c>
      <c r="E26" s="378">
        <v>4</v>
      </c>
      <c r="F26" s="378">
        <v>3000</v>
      </c>
      <c r="G26" s="378">
        <v>750</v>
      </c>
      <c r="H26" s="600"/>
      <c r="I26" s="380">
        <f t="shared" si="8"/>
        <v>4</v>
      </c>
      <c r="J26" s="380">
        <f t="shared" si="9"/>
        <v>2198.5815126050479</v>
      </c>
      <c r="K26" s="205">
        <f t="shared" si="10"/>
        <v>549.64537815126198</v>
      </c>
      <c r="L26" s="585"/>
      <c r="M26" s="204">
        <f>RANK(K26, K$7:$K$36)</f>
        <v>23</v>
      </c>
      <c r="N26" s="592"/>
      <c r="O26" s="592"/>
      <c r="P26" s="378">
        <v>4</v>
      </c>
      <c r="Q26" s="187">
        <v>2083.2000000000207</v>
      </c>
      <c r="R26" s="379">
        <v>520.80000000000518</v>
      </c>
      <c r="S26" s="378">
        <f t="shared" si="0"/>
        <v>23</v>
      </c>
      <c r="T26" s="600"/>
      <c r="U26" s="378">
        <v>4</v>
      </c>
      <c r="V26" s="187">
        <v>1994.4000000000196</v>
      </c>
      <c r="W26" s="379">
        <v>498.60000000000491</v>
      </c>
      <c r="X26" s="378">
        <f t="shared" si="1"/>
        <v>23</v>
      </c>
      <c r="Y26" s="600"/>
      <c r="Z26" s="378">
        <v>4</v>
      </c>
      <c r="AA26" s="187">
        <v>2040.0000000000073</v>
      </c>
      <c r="AB26" s="379">
        <v>510.00000000000182</v>
      </c>
      <c r="AC26" s="378">
        <f t="shared" si="2"/>
        <v>23</v>
      </c>
      <c r="AD26" s="600"/>
      <c r="AE26" s="378">
        <v>4</v>
      </c>
      <c r="AF26" s="187">
        <v>2276.4705882352805</v>
      </c>
      <c r="AG26" s="379">
        <v>569.11764705882013</v>
      </c>
      <c r="AH26" s="378">
        <f t="shared" si="3"/>
        <v>21</v>
      </c>
      <c r="AI26" s="600"/>
      <c r="AJ26" s="378">
        <v>4</v>
      </c>
      <c r="AK26" s="187">
        <v>2532.0000000000091</v>
      </c>
      <c r="AL26" s="379">
        <v>633.00000000000227</v>
      </c>
      <c r="AM26" s="378">
        <f t="shared" si="4"/>
        <v>16</v>
      </c>
      <c r="AN26" s="600"/>
      <c r="AO26" s="378">
        <v>4</v>
      </c>
      <c r="AP26" s="187">
        <v>2090.9999999999909</v>
      </c>
      <c r="AQ26" s="379">
        <v>522.74999999999773</v>
      </c>
      <c r="AR26" s="378">
        <f t="shared" si="5"/>
        <v>21</v>
      </c>
      <c r="AS26" s="600"/>
      <c r="AT26" s="378">
        <v>4</v>
      </c>
      <c r="AU26" s="187">
        <v>2373.0000000000082</v>
      </c>
      <c r="AV26" s="379">
        <v>593.25000000000205</v>
      </c>
      <c r="AW26" s="378">
        <f t="shared" si="6"/>
        <v>21</v>
      </c>
      <c r="AX26" s="600"/>
      <c r="AZ26" s="380" t="e">
        <f>RANK(AX26, $K$7:AX$36)</f>
        <v>#N/A</v>
      </c>
      <c r="BB26" s="378" t="e">
        <f t="shared" si="7"/>
        <v>#N/A</v>
      </c>
    </row>
    <row r="27" spans="2:54">
      <c r="B27" s="598"/>
      <c r="C27" s="378">
        <v>21</v>
      </c>
      <c r="D27" s="378" t="s">
        <v>380</v>
      </c>
      <c r="E27" s="378">
        <v>4</v>
      </c>
      <c r="F27" s="378">
        <v>3600</v>
      </c>
      <c r="G27" s="378">
        <v>900</v>
      </c>
      <c r="H27" s="600"/>
      <c r="I27" s="380">
        <f t="shared" si="8"/>
        <v>4</v>
      </c>
      <c r="J27" s="380">
        <f t="shared" si="9"/>
        <v>2458.1578304048812</v>
      </c>
      <c r="K27" s="205">
        <f t="shared" si="10"/>
        <v>614.53945760122031</v>
      </c>
      <c r="L27" s="585"/>
      <c r="M27" s="204">
        <f>RANK(K27, K$7:$K$36)</f>
        <v>19</v>
      </c>
      <c r="N27" s="592"/>
      <c r="O27" s="592"/>
      <c r="P27" s="378">
        <v>4</v>
      </c>
      <c r="Q27" s="187">
        <v>2349.5999999999935</v>
      </c>
      <c r="R27" s="379">
        <v>587.39999999999839</v>
      </c>
      <c r="S27" s="378">
        <f t="shared" si="0"/>
        <v>22</v>
      </c>
      <c r="T27" s="600"/>
      <c r="U27" s="378">
        <v>4</v>
      </c>
      <c r="V27" s="187">
        <v>2227.1999999999939</v>
      </c>
      <c r="W27" s="379">
        <v>556.79999999999848</v>
      </c>
      <c r="X27" s="378">
        <f t="shared" si="1"/>
        <v>20</v>
      </c>
      <c r="Y27" s="600"/>
      <c r="Z27" s="378">
        <v>4</v>
      </c>
      <c r="AA27" s="187">
        <v>2356.3636363636451</v>
      </c>
      <c r="AB27" s="379">
        <v>589.09090909091128</v>
      </c>
      <c r="AC27" s="378">
        <f t="shared" si="2"/>
        <v>20</v>
      </c>
      <c r="AD27" s="600"/>
      <c r="AE27" s="378">
        <v>4</v>
      </c>
      <c r="AF27" s="187">
        <v>2450.9999999999891</v>
      </c>
      <c r="AG27" s="379">
        <v>612.74999999999727</v>
      </c>
      <c r="AH27" s="378">
        <f t="shared" si="3"/>
        <v>17</v>
      </c>
      <c r="AI27" s="600"/>
      <c r="AJ27" s="378">
        <v>4</v>
      </c>
      <c r="AK27" s="187">
        <v>2812.9411764705715</v>
      </c>
      <c r="AL27" s="379">
        <v>703.23529411764287</v>
      </c>
      <c r="AM27" s="378">
        <f t="shared" si="4"/>
        <v>12</v>
      </c>
      <c r="AN27" s="600"/>
      <c r="AO27" s="378">
        <v>4</v>
      </c>
      <c r="AP27" s="187">
        <v>2390.9999999999895</v>
      </c>
      <c r="AQ27" s="379">
        <v>597.74999999999739</v>
      </c>
      <c r="AR27" s="378">
        <f t="shared" si="5"/>
        <v>17</v>
      </c>
      <c r="AS27" s="600"/>
      <c r="AT27" s="378">
        <v>4</v>
      </c>
      <c r="AU27" s="187">
        <v>2618.9999999999882</v>
      </c>
      <c r="AV27" s="379">
        <v>654.74999999999704</v>
      </c>
      <c r="AW27" s="378">
        <f t="shared" si="6"/>
        <v>17</v>
      </c>
      <c r="AX27" s="600"/>
      <c r="AZ27" s="380" t="e">
        <f>RANK(AX27, $K$7:AX$36)</f>
        <v>#N/A</v>
      </c>
      <c r="BB27" s="378" t="e">
        <f t="shared" si="7"/>
        <v>#N/A</v>
      </c>
    </row>
    <row r="28" spans="2:54">
      <c r="B28" s="598"/>
      <c r="C28" s="378">
        <v>22</v>
      </c>
      <c r="D28" s="378" t="s">
        <v>625</v>
      </c>
      <c r="E28" s="378">
        <v>4</v>
      </c>
      <c r="F28" s="378">
        <v>3000</v>
      </c>
      <c r="G28" s="378">
        <v>750</v>
      </c>
      <c r="H28" s="600"/>
      <c r="I28" s="380">
        <f t="shared" si="8"/>
        <v>4</v>
      </c>
      <c r="J28" s="380">
        <f t="shared" si="9"/>
        <v>2368.2857142857206</v>
      </c>
      <c r="K28" s="205">
        <f t="shared" si="10"/>
        <v>592.07142857143015</v>
      </c>
      <c r="L28" s="585"/>
      <c r="M28" s="204">
        <f>RANK(K28, K$7:$K$36)</f>
        <v>20</v>
      </c>
      <c r="N28" s="592"/>
      <c r="O28" s="592"/>
      <c r="P28" s="378">
        <v>4</v>
      </c>
      <c r="Q28" s="187">
        <v>2910.00000000001</v>
      </c>
      <c r="R28" s="379">
        <v>727.5000000000025</v>
      </c>
      <c r="S28" s="378">
        <f t="shared" si="0"/>
        <v>13</v>
      </c>
      <c r="T28" s="600"/>
      <c r="U28" s="378">
        <v>4</v>
      </c>
      <c r="V28" s="187">
        <v>2700.0000000000095</v>
      </c>
      <c r="W28" s="379">
        <v>675.00000000000239</v>
      </c>
      <c r="X28" s="378">
        <f t="shared" si="1"/>
        <v>12</v>
      </c>
      <c r="Y28" s="600"/>
      <c r="Z28" s="378">
        <v>4</v>
      </c>
      <c r="AA28" s="187">
        <v>2250.0000000000082</v>
      </c>
      <c r="AB28" s="379">
        <v>562.50000000000205</v>
      </c>
      <c r="AC28" s="378">
        <f t="shared" si="2"/>
        <v>21</v>
      </c>
      <c r="AD28" s="600"/>
      <c r="AE28" s="378">
        <v>4</v>
      </c>
      <c r="AF28" s="187">
        <v>2021.9999999999911</v>
      </c>
      <c r="AG28" s="379">
        <v>505.49999999999778</v>
      </c>
      <c r="AH28" s="378">
        <f t="shared" si="3"/>
        <v>23</v>
      </c>
      <c r="AI28" s="600"/>
      <c r="AJ28" s="378">
        <v>4</v>
      </c>
      <c r="AK28" s="187">
        <v>2430.0000000000086</v>
      </c>
      <c r="AL28" s="379">
        <v>607.50000000000216</v>
      </c>
      <c r="AM28" s="378">
        <f t="shared" si="4"/>
        <v>18</v>
      </c>
      <c r="AN28" s="600"/>
      <c r="AO28" s="378">
        <v>4</v>
      </c>
      <c r="AP28" s="187">
        <v>1878.0000000000066</v>
      </c>
      <c r="AQ28" s="379">
        <v>469.50000000000165</v>
      </c>
      <c r="AR28" s="378">
        <f t="shared" si="5"/>
        <v>22</v>
      </c>
      <c r="AS28" s="600"/>
      <c r="AT28" s="378">
        <v>4</v>
      </c>
      <c r="AU28" s="187">
        <v>2388.0000000000082</v>
      </c>
      <c r="AV28" s="379">
        <v>597.00000000000205</v>
      </c>
      <c r="AW28" s="378">
        <f t="shared" si="6"/>
        <v>20</v>
      </c>
      <c r="AX28" s="600"/>
      <c r="AZ28" s="380" t="e">
        <f>RANK(AX28, $K$7:AX$36)</f>
        <v>#N/A</v>
      </c>
      <c r="BB28" s="378" t="e">
        <f t="shared" si="7"/>
        <v>#N/A</v>
      </c>
    </row>
    <row r="29" spans="2:54">
      <c r="B29" s="598"/>
      <c r="C29" s="378">
        <v>23</v>
      </c>
      <c r="D29" s="378" t="s">
        <v>663</v>
      </c>
      <c r="E29" s="378">
        <v>4</v>
      </c>
      <c r="F29" s="378">
        <v>3300</v>
      </c>
      <c r="G29" s="378">
        <v>825</v>
      </c>
      <c r="H29" s="600"/>
      <c r="I29" s="380">
        <f t="shared" si="8"/>
        <v>3</v>
      </c>
      <c r="J29" s="380">
        <f t="shared" si="9"/>
        <v>2540.4642554578036</v>
      </c>
      <c r="K29" s="205">
        <f t="shared" si="10"/>
        <v>846.8214184859346</v>
      </c>
      <c r="L29" s="585"/>
      <c r="M29" s="204">
        <f>RANK(K29, K$7:$K$36)</f>
        <v>5</v>
      </c>
      <c r="N29" s="592"/>
      <c r="O29" s="592"/>
      <c r="P29" s="378">
        <v>3</v>
      </c>
      <c r="Q29" s="187">
        <v>2526.0000000000014</v>
      </c>
      <c r="R29" s="379">
        <v>842.00000000000045</v>
      </c>
      <c r="S29" s="378">
        <f t="shared" si="0"/>
        <v>5</v>
      </c>
      <c r="T29" s="600"/>
      <c r="U29" s="378">
        <v>3</v>
      </c>
      <c r="V29" s="187">
        <v>2482.2222222222235</v>
      </c>
      <c r="W29" s="379">
        <v>827.40740740740785</v>
      </c>
      <c r="X29" s="378">
        <f t="shared" si="1"/>
        <v>4</v>
      </c>
      <c r="Y29" s="600"/>
      <c r="Z29" s="378">
        <v>3</v>
      </c>
      <c r="AA29" s="187">
        <v>2479.3548387096766</v>
      </c>
      <c r="AB29" s="379">
        <v>826.45161290322551</v>
      </c>
      <c r="AC29" s="378">
        <f t="shared" si="2"/>
        <v>4</v>
      </c>
      <c r="AD29" s="600"/>
      <c r="AE29" s="378">
        <v>3</v>
      </c>
      <c r="AF29" s="187">
        <v>2503.1999999999971</v>
      </c>
      <c r="AG29" s="379">
        <v>834.39999999999907</v>
      </c>
      <c r="AH29" s="378">
        <f t="shared" si="3"/>
        <v>3</v>
      </c>
      <c r="AI29" s="600"/>
      <c r="AJ29" s="378">
        <v>3</v>
      </c>
      <c r="AK29" s="187">
        <v>2462.3999999999969</v>
      </c>
      <c r="AL29" s="379">
        <v>820.79999999999893</v>
      </c>
      <c r="AM29" s="378">
        <f t="shared" si="4"/>
        <v>8</v>
      </c>
      <c r="AN29" s="600"/>
      <c r="AO29" s="378">
        <v>3</v>
      </c>
      <c r="AP29" s="187">
        <v>2470.8000000000006</v>
      </c>
      <c r="AQ29" s="379">
        <v>823.60000000000025</v>
      </c>
      <c r="AR29" s="378">
        <f t="shared" si="5"/>
        <v>4</v>
      </c>
      <c r="AS29" s="600"/>
      <c r="AT29" s="378">
        <v>3</v>
      </c>
      <c r="AU29" s="187">
        <v>2859.2727272727288</v>
      </c>
      <c r="AV29" s="379">
        <v>953.09090909090958</v>
      </c>
      <c r="AW29" s="378">
        <f t="shared" si="6"/>
        <v>2</v>
      </c>
      <c r="AX29" s="600"/>
      <c r="AZ29" s="380" t="e">
        <f>RANK(AX29, $K$7:AX$36)</f>
        <v>#N/A</v>
      </c>
      <c r="BB29" s="378" t="e">
        <f t="shared" si="7"/>
        <v>#N/A</v>
      </c>
    </row>
    <row r="30" spans="2:54">
      <c r="B30" s="598"/>
      <c r="C30" s="378">
        <v>24</v>
      </c>
      <c r="D30" s="378"/>
      <c r="E30" s="378"/>
      <c r="F30" s="378"/>
      <c r="G30" s="378"/>
      <c r="H30" s="600"/>
      <c r="I30" s="207"/>
      <c r="J30" s="207"/>
      <c r="K30" s="207"/>
      <c r="L30" s="585"/>
      <c r="M30" s="204" t="e">
        <f>RANK(K30, K$7:$K$36)</f>
        <v>#N/A</v>
      </c>
      <c r="N30" s="592"/>
      <c r="O30" s="592"/>
      <c r="P30" s="378"/>
      <c r="Q30" s="187"/>
      <c r="R30" s="379"/>
      <c r="S30" s="378" t="e">
        <f t="shared" si="0"/>
        <v>#N/A</v>
      </c>
      <c r="T30" s="600"/>
      <c r="U30" s="378"/>
      <c r="V30" s="378"/>
      <c r="W30" s="378"/>
      <c r="X30" s="378" t="e">
        <f t="shared" si="1"/>
        <v>#N/A</v>
      </c>
      <c r="Y30" s="600"/>
      <c r="Z30" s="378"/>
      <c r="AA30" s="378"/>
      <c r="AB30" s="378"/>
      <c r="AC30" s="378" t="e">
        <f t="shared" si="2"/>
        <v>#N/A</v>
      </c>
      <c r="AD30" s="600"/>
      <c r="AE30" s="378"/>
      <c r="AF30" s="378"/>
      <c r="AG30" s="378"/>
      <c r="AH30" s="378" t="e">
        <f t="shared" si="3"/>
        <v>#N/A</v>
      </c>
      <c r="AI30" s="600"/>
      <c r="AJ30" s="378"/>
      <c r="AK30" s="378"/>
      <c r="AL30" s="378"/>
      <c r="AM30" s="378" t="e">
        <f t="shared" si="4"/>
        <v>#N/A</v>
      </c>
      <c r="AN30" s="600"/>
      <c r="AO30" s="378"/>
      <c r="AP30" s="378"/>
      <c r="AQ30" s="378"/>
      <c r="AR30" s="378" t="e">
        <f t="shared" si="5"/>
        <v>#N/A</v>
      </c>
      <c r="AS30" s="600"/>
      <c r="AT30" s="378"/>
      <c r="AU30" s="378"/>
      <c r="AV30" s="378"/>
      <c r="AW30" s="378" t="e">
        <f t="shared" si="6"/>
        <v>#N/A</v>
      </c>
      <c r="AX30" s="600"/>
      <c r="AZ30" s="380" t="e">
        <f>RANK(AX30, $K$7:AX$36)</f>
        <v>#N/A</v>
      </c>
      <c r="BB30" s="378" t="e">
        <f t="shared" si="7"/>
        <v>#N/A</v>
      </c>
    </row>
    <row r="31" spans="2:54">
      <c r="B31" s="598"/>
      <c r="C31" s="378">
        <v>25</v>
      </c>
      <c r="D31" s="378"/>
      <c r="E31" s="378"/>
      <c r="F31" s="378"/>
      <c r="G31" s="378"/>
      <c r="H31" s="600"/>
      <c r="I31" s="207"/>
      <c r="J31" s="207"/>
      <c r="K31" s="207"/>
      <c r="L31" s="585"/>
      <c r="M31" s="204" t="e">
        <f>RANK(K31, K$7:$K$36)</f>
        <v>#N/A</v>
      </c>
      <c r="N31" s="592"/>
      <c r="O31" s="592"/>
      <c r="P31" s="378"/>
      <c r="Q31" s="378"/>
      <c r="R31" s="378"/>
      <c r="S31" s="378" t="e">
        <f t="shared" si="0"/>
        <v>#N/A</v>
      </c>
      <c r="T31" s="600"/>
      <c r="U31" s="378"/>
      <c r="V31" s="378"/>
      <c r="W31" s="378"/>
      <c r="X31" s="378" t="e">
        <f t="shared" si="1"/>
        <v>#N/A</v>
      </c>
      <c r="Y31" s="600"/>
      <c r="Z31" s="378"/>
      <c r="AA31" s="378"/>
      <c r="AB31" s="378"/>
      <c r="AC31" s="378" t="e">
        <f t="shared" si="2"/>
        <v>#N/A</v>
      </c>
      <c r="AD31" s="600"/>
      <c r="AE31" s="378"/>
      <c r="AF31" s="378"/>
      <c r="AG31" s="378"/>
      <c r="AH31" s="378" t="e">
        <f t="shared" si="3"/>
        <v>#N/A</v>
      </c>
      <c r="AI31" s="600"/>
      <c r="AJ31" s="378"/>
      <c r="AK31" s="378"/>
      <c r="AL31" s="378"/>
      <c r="AM31" s="378" t="e">
        <f t="shared" si="4"/>
        <v>#N/A</v>
      </c>
      <c r="AN31" s="600"/>
      <c r="AO31" s="378"/>
      <c r="AP31" s="378"/>
      <c r="AQ31" s="378"/>
      <c r="AR31" s="378" t="e">
        <f t="shared" si="5"/>
        <v>#N/A</v>
      </c>
      <c r="AS31" s="600"/>
      <c r="AT31" s="378"/>
      <c r="AU31" s="378"/>
      <c r="AV31" s="378"/>
      <c r="AW31" s="378" t="e">
        <f t="shared" si="6"/>
        <v>#N/A</v>
      </c>
      <c r="AX31" s="600"/>
      <c r="AZ31" s="380" t="e">
        <f>RANK(AX31, $K$7:AX$36)</f>
        <v>#N/A</v>
      </c>
      <c r="BB31" s="378" t="e">
        <f t="shared" si="7"/>
        <v>#N/A</v>
      </c>
    </row>
    <row r="32" spans="2:54">
      <c r="B32" s="598"/>
      <c r="C32" s="378">
        <v>26</v>
      </c>
      <c r="D32" s="378"/>
      <c r="E32" s="378"/>
      <c r="F32" s="378"/>
      <c r="G32" s="378"/>
      <c r="H32" s="600"/>
      <c r="I32" s="207"/>
      <c r="J32" s="207"/>
      <c r="K32" s="207"/>
      <c r="L32" s="585"/>
      <c r="M32" s="204" t="e">
        <f>RANK(K32, K$7:$K$36)</f>
        <v>#N/A</v>
      </c>
      <c r="N32" s="592"/>
      <c r="O32" s="592"/>
      <c r="P32" s="378"/>
      <c r="Q32" s="378"/>
      <c r="R32" s="378"/>
      <c r="S32" s="378" t="e">
        <f t="shared" si="0"/>
        <v>#N/A</v>
      </c>
      <c r="T32" s="600"/>
      <c r="U32" s="378"/>
      <c r="V32" s="378"/>
      <c r="W32" s="378"/>
      <c r="X32" s="378" t="e">
        <f t="shared" si="1"/>
        <v>#N/A</v>
      </c>
      <c r="Y32" s="600"/>
      <c r="Z32" s="378"/>
      <c r="AA32" s="378"/>
      <c r="AB32" s="378"/>
      <c r="AC32" s="378" t="e">
        <f t="shared" si="2"/>
        <v>#N/A</v>
      </c>
      <c r="AD32" s="600"/>
      <c r="AE32" s="378"/>
      <c r="AF32" s="378"/>
      <c r="AG32" s="378"/>
      <c r="AH32" s="378" t="e">
        <f t="shared" si="3"/>
        <v>#N/A</v>
      </c>
      <c r="AI32" s="600"/>
      <c r="AJ32" s="378"/>
      <c r="AK32" s="378"/>
      <c r="AL32" s="378"/>
      <c r="AM32" s="378" t="e">
        <f t="shared" si="4"/>
        <v>#N/A</v>
      </c>
      <c r="AN32" s="600"/>
      <c r="AO32" s="378"/>
      <c r="AP32" s="378"/>
      <c r="AQ32" s="378"/>
      <c r="AR32" s="378" t="e">
        <f t="shared" si="5"/>
        <v>#N/A</v>
      </c>
      <c r="AS32" s="600"/>
      <c r="AT32" s="378"/>
      <c r="AU32" s="378"/>
      <c r="AV32" s="378"/>
      <c r="AW32" s="378" t="e">
        <f t="shared" si="6"/>
        <v>#N/A</v>
      </c>
      <c r="AX32" s="600"/>
      <c r="AZ32" s="380" t="e">
        <f>RANK(AX32, $K$7:AX$36)</f>
        <v>#N/A</v>
      </c>
      <c r="BB32" s="378" t="e">
        <f t="shared" si="7"/>
        <v>#N/A</v>
      </c>
    </row>
    <row r="33" spans="2:54">
      <c r="B33" s="598"/>
      <c r="C33" s="378">
        <v>27</v>
      </c>
      <c r="D33" s="378"/>
      <c r="E33" s="378"/>
      <c r="F33" s="378"/>
      <c r="G33" s="378"/>
      <c r="H33" s="600"/>
      <c r="I33" s="207"/>
      <c r="J33" s="207"/>
      <c r="K33" s="207"/>
      <c r="L33" s="585"/>
      <c r="M33" s="204" t="e">
        <f>RANK(K33, K$7:$K$36)</f>
        <v>#N/A</v>
      </c>
      <c r="N33" s="592"/>
      <c r="O33" s="592"/>
      <c r="P33" s="378"/>
      <c r="Q33" s="378"/>
      <c r="R33" s="378"/>
      <c r="S33" s="378" t="e">
        <f t="shared" si="0"/>
        <v>#N/A</v>
      </c>
      <c r="T33" s="600"/>
      <c r="U33" s="378"/>
      <c r="V33" s="378"/>
      <c r="W33" s="378"/>
      <c r="X33" s="378" t="e">
        <f t="shared" si="1"/>
        <v>#N/A</v>
      </c>
      <c r="Y33" s="600"/>
      <c r="Z33" s="378"/>
      <c r="AA33" s="378"/>
      <c r="AB33" s="378"/>
      <c r="AC33" s="378" t="e">
        <f t="shared" si="2"/>
        <v>#N/A</v>
      </c>
      <c r="AD33" s="600"/>
      <c r="AE33" s="378"/>
      <c r="AF33" s="378"/>
      <c r="AG33" s="378"/>
      <c r="AH33" s="378" t="e">
        <f t="shared" si="3"/>
        <v>#N/A</v>
      </c>
      <c r="AI33" s="600"/>
      <c r="AJ33" s="378"/>
      <c r="AK33" s="378"/>
      <c r="AL33" s="378"/>
      <c r="AM33" s="378" t="e">
        <f t="shared" si="4"/>
        <v>#N/A</v>
      </c>
      <c r="AN33" s="600"/>
      <c r="AO33" s="378"/>
      <c r="AP33" s="378"/>
      <c r="AQ33" s="378"/>
      <c r="AR33" s="378" t="e">
        <f t="shared" si="5"/>
        <v>#N/A</v>
      </c>
      <c r="AS33" s="600"/>
      <c r="AT33" s="378"/>
      <c r="AU33" s="378"/>
      <c r="AV33" s="378"/>
      <c r="AW33" s="378" t="e">
        <f t="shared" si="6"/>
        <v>#N/A</v>
      </c>
      <c r="AX33" s="600"/>
      <c r="AZ33" s="380" t="e">
        <f>RANK(AX33, $K$7:AX$36)</f>
        <v>#N/A</v>
      </c>
      <c r="BB33" s="378" t="e">
        <f t="shared" si="7"/>
        <v>#N/A</v>
      </c>
    </row>
    <row r="34" spans="2:54">
      <c r="B34" s="598"/>
      <c r="C34" s="378">
        <v>28</v>
      </c>
      <c r="D34" s="378"/>
      <c r="E34" s="378"/>
      <c r="F34" s="378"/>
      <c r="G34" s="378"/>
      <c r="H34" s="600"/>
      <c r="I34" s="207"/>
      <c r="J34" s="207"/>
      <c r="K34" s="207"/>
      <c r="L34" s="585"/>
      <c r="M34" s="204" t="e">
        <f>RANK(K34, K$7:$K$36)</f>
        <v>#N/A</v>
      </c>
      <c r="N34" s="592"/>
      <c r="O34" s="592"/>
      <c r="P34" s="378"/>
      <c r="Q34" s="378"/>
      <c r="R34" s="378"/>
      <c r="S34" s="378" t="e">
        <f t="shared" si="0"/>
        <v>#N/A</v>
      </c>
      <c r="T34" s="600"/>
      <c r="U34" s="378"/>
      <c r="V34" s="378"/>
      <c r="W34" s="378"/>
      <c r="X34" s="378" t="e">
        <f t="shared" si="1"/>
        <v>#N/A</v>
      </c>
      <c r="Y34" s="600"/>
      <c r="Z34" s="378"/>
      <c r="AA34" s="378"/>
      <c r="AB34" s="378"/>
      <c r="AC34" s="378" t="e">
        <f t="shared" si="2"/>
        <v>#N/A</v>
      </c>
      <c r="AD34" s="600"/>
      <c r="AE34" s="378"/>
      <c r="AF34" s="378"/>
      <c r="AG34" s="378"/>
      <c r="AH34" s="378" t="e">
        <f t="shared" si="3"/>
        <v>#N/A</v>
      </c>
      <c r="AI34" s="600"/>
      <c r="AJ34" s="378"/>
      <c r="AK34" s="378"/>
      <c r="AL34" s="378"/>
      <c r="AM34" s="378" t="e">
        <f t="shared" si="4"/>
        <v>#N/A</v>
      </c>
      <c r="AN34" s="600"/>
      <c r="AO34" s="378"/>
      <c r="AP34" s="378"/>
      <c r="AQ34" s="378"/>
      <c r="AR34" s="378" t="e">
        <f t="shared" si="5"/>
        <v>#N/A</v>
      </c>
      <c r="AS34" s="600"/>
      <c r="AT34" s="378"/>
      <c r="AU34" s="378"/>
      <c r="AV34" s="378"/>
      <c r="AW34" s="378" t="e">
        <f t="shared" si="6"/>
        <v>#N/A</v>
      </c>
      <c r="AX34" s="600"/>
      <c r="AZ34" s="380" t="e">
        <f>RANK(AX34, $K$7:AX$36)</f>
        <v>#N/A</v>
      </c>
      <c r="BB34" s="378" t="e">
        <f t="shared" si="7"/>
        <v>#N/A</v>
      </c>
    </row>
    <row r="35" spans="2:54">
      <c r="B35" s="598"/>
      <c r="C35" s="378">
        <v>29</v>
      </c>
      <c r="D35" s="378"/>
      <c r="E35" s="378"/>
      <c r="F35" s="378"/>
      <c r="G35" s="378"/>
      <c r="H35" s="600"/>
      <c r="I35" s="207"/>
      <c r="J35" s="207"/>
      <c r="K35" s="207"/>
      <c r="L35" s="585"/>
      <c r="M35" s="204" t="e">
        <f>RANK(K35, K$7:$K$36)</f>
        <v>#N/A</v>
      </c>
      <c r="N35" s="592"/>
      <c r="O35" s="592"/>
      <c r="P35" s="378"/>
      <c r="Q35" s="378"/>
      <c r="R35" s="378"/>
      <c r="S35" s="378" t="e">
        <f t="shared" si="0"/>
        <v>#N/A</v>
      </c>
      <c r="T35" s="600"/>
      <c r="U35" s="378"/>
      <c r="V35" s="378"/>
      <c r="W35" s="378"/>
      <c r="X35" s="378" t="e">
        <f t="shared" si="1"/>
        <v>#N/A</v>
      </c>
      <c r="Y35" s="600"/>
      <c r="Z35" s="378"/>
      <c r="AA35" s="378"/>
      <c r="AB35" s="378"/>
      <c r="AC35" s="378" t="e">
        <f t="shared" si="2"/>
        <v>#N/A</v>
      </c>
      <c r="AD35" s="600"/>
      <c r="AE35" s="378"/>
      <c r="AF35" s="378"/>
      <c r="AG35" s="378"/>
      <c r="AH35" s="378" t="e">
        <f t="shared" si="3"/>
        <v>#N/A</v>
      </c>
      <c r="AI35" s="600"/>
      <c r="AJ35" s="378"/>
      <c r="AK35" s="378"/>
      <c r="AL35" s="378"/>
      <c r="AM35" s="378" t="e">
        <f t="shared" si="4"/>
        <v>#N/A</v>
      </c>
      <c r="AN35" s="600"/>
      <c r="AO35" s="378"/>
      <c r="AP35" s="378"/>
      <c r="AQ35" s="378"/>
      <c r="AR35" s="378" t="e">
        <f t="shared" si="5"/>
        <v>#N/A</v>
      </c>
      <c r="AS35" s="600"/>
      <c r="AT35" s="378"/>
      <c r="AU35" s="378"/>
      <c r="AV35" s="378"/>
      <c r="AW35" s="378" t="e">
        <f t="shared" si="6"/>
        <v>#N/A</v>
      </c>
      <c r="AX35" s="600"/>
      <c r="AZ35" s="380" t="e">
        <f>RANK(AX35, $K$7:AX$36)</f>
        <v>#N/A</v>
      </c>
      <c r="BB35" s="378" t="e">
        <f t="shared" si="7"/>
        <v>#N/A</v>
      </c>
    </row>
    <row r="36" spans="2:54">
      <c r="B36" s="598"/>
      <c r="C36" s="378">
        <v>30</v>
      </c>
      <c r="D36" s="378"/>
      <c r="E36" s="378"/>
      <c r="F36" s="378"/>
      <c r="G36" s="378"/>
      <c r="H36" s="601"/>
      <c r="I36" s="207"/>
      <c r="J36" s="207"/>
      <c r="K36" s="207"/>
      <c r="L36" s="586"/>
      <c r="M36" s="204" t="e">
        <f>RANK(K36, K$7:$K$36)</f>
        <v>#N/A</v>
      </c>
      <c r="N36" s="593"/>
      <c r="O36" s="593"/>
      <c r="P36" s="378"/>
      <c r="Q36" s="378"/>
      <c r="R36" s="378"/>
      <c r="S36" s="378" t="e">
        <f t="shared" si="0"/>
        <v>#N/A</v>
      </c>
      <c r="T36" s="601"/>
      <c r="U36" s="378"/>
      <c r="V36" s="378"/>
      <c r="W36" s="378"/>
      <c r="X36" s="378" t="e">
        <f t="shared" si="1"/>
        <v>#N/A</v>
      </c>
      <c r="Y36" s="601"/>
      <c r="Z36" s="378"/>
      <c r="AA36" s="378"/>
      <c r="AB36" s="378"/>
      <c r="AC36" s="378" t="e">
        <f t="shared" si="2"/>
        <v>#N/A</v>
      </c>
      <c r="AD36" s="601"/>
      <c r="AE36" s="378"/>
      <c r="AF36" s="378"/>
      <c r="AG36" s="378"/>
      <c r="AH36" s="378" t="e">
        <f t="shared" si="3"/>
        <v>#N/A</v>
      </c>
      <c r="AI36" s="601"/>
      <c r="AJ36" s="378"/>
      <c r="AK36" s="378"/>
      <c r="AL36" s="378"/>
      <c r="AM36" s="378" t="e">
        <f t="shared" si="4"/>
        <v>#N/A</v>
      </c>
      <c r="AN36" s="601"/>
      <c r="AO36" s="378"/>
      <c r="AP36" s="378"/>
      <c r="AQ36" s="378"/>
      <c r="AR36" s="378" t="e">
        <f t="shared" si="5"/>
        <v>#N/A</v>
      </c>
      <c r="AS36" s="601"/>
      <c r="AT36" s="378"/>
      <c r="AU36" s="378"/>
      <c r="AV36" s="378"/>
      <c r="AW36" s="378" t="e">
        <f t="shared" si="6"/>
        <v>#N/A</v>
      </c>
      <c r="AX36" s="601"/>
      <c r="AZ36" s="380" t="e">
        <f>RANK(AX36, $K$7:AX$36)</f>
        <v>#N/A</v>
      </c>
      <c r="BB36" s="378" t="e">
        <f t="shared" si="7"/>
        <v>#N/A</v>
      </c>
    </row>
    <row r="37" spans="2:54" ht="15.75">
      <c r="B37" s="615" t="s">
        <v>163</v>
      </c>
      <c r="C37" s="616"/>
      <c r="D37" s="616"/>
      <c r="E37" s="616"/>
      <c r="F37" s="616"/>
      <c r="G37" s="616"/>
      <c r="H37" s="616"/>
      <c r="I37" s="208"/>
      <c r="J37" s="208"/>
      <c r="K37" s="208"/>
      <c r="L37" s="208"/>
      <c r="M37" s="209"/>
      <c r="N37" s="591" t="s">
        <v>156</v>
      </c>
      <c r="O37" s="591" t="s">
        <v>155</v>
      </c>
      <c r="P37" s="617">
        <f>AT2+1</f>
        <v>45937</v>
      </c>
      <c r="Q37" s="618"/>
      <c r="R37" s="618"/>
      <c r="S37" s="618"/>
      <c r="T37" s="618"/>
      <c r="U37" s="597">
        <f>P37+1</f>
        <v>45938</v>
      </c>
      <c r="V37" s="598"/>
      <c r="W37" s="598"/>
      <c r="X37" s="598"/>
      <c r="Y37" s="598"/>
      <c r="Z37" s="597">
        <f>U37+1</f>
        <v>45939</v>
      </c>
      <c r="AA37" s="598"/>
      <c r="AB37" s="598"/>
      <c r="AC37" s="598"/>
      <c r="AD37" s="598"/>
      <c r="AE37" s="597">
        <f>Z37+1</f>
        <v>45940</v>
      </c>
      <c r="AF37" s="598"/>
      <c r="AG37" s="598"/>
      <c r="AH37" s="598"/>
      <c r="AI37" s="598"/>
      <c r="AJ37" s="597">
        <f>AE37+1</f>
        <v>45941</v>
      </c>
      <c r="AK37" s="598"/>
      <c r="AL37" s="598"/>
      <c r="AM37" s="598"/>
      <c r="AN37" s="598"/>
      <c r="AO37" s="597">
        <f>AJ37+1</f>
        <v>45942</v>
      </c>
      <c r="AP37" s="598"/>
      <c r="AQ37" s="598"/>
      <c r="AR37" s="598"/>
      <c r="AS37" s="598"/>
      <c r="AT37" s="597">
        <f>AO37+1</f>
        <v>45943</v>
      </c>
      <c r="AU37" s="598"/>
      <c r="AV37" s="598"/>
      <c r="AW37" s="598"/>
      <c r="AX37" s="598"/>
    </row>
    <row r="38" spans="2:54" ht="15.75">
      <c r="B38" s="605"/>
      <c r="C38" s="605"/>
      <c r="D38" s="605"/>
      <c r="E38" s="605"/>
      <c r="F38" s="605"/>
      <c r="G38" s="605"/>
      <c r="H38" s="605"/>
      <c r="I38" s="210"/>
      <c r="J38" s="210"/>
      <c r="K38" s="210"/>
      <c r="L38" s="210"/>
      <c r="M38" s="211"/>
      <c r="N38" s="593"/>
      <c r="O38" s="593"/>
      <c r="P38" s="597" t="s">
        <v>336</v>
      </c>
      <c r="Q38" s="598"/>
      <c r="R38" s="598"/>
      <c r="S38" s="598"/>
      <c r="T38" s="598"/>
      <c r="U38" s="597" t="s">
        <v>337</v>
      </c>
      <c r="V38" s="598"/>
      <c r="W38" s="598"/>
      <c r="X38" s="598"/>
      <c r="Y38" s="598"/>
      <c r="Z38" s="597" t="s">
        <v>338</v>
      </c>
      <c r="AA38" s="598"/>
      <c r="AB38" s="598"/>
      <c r="AC38" s="598"/>
      <c r="AD38" s="598"/>
      <c r="AE38" s="597" t="s">
        <v>339</v>
      </c>
      <c r="AF38" s="598"/>
      <c r="AG38" s="598"/>
      <c r="AH38" s="598"/>
      <c r="AI38" s="598"/>
      <c r="AJ38" s="597" t="s">
        <v>340</v>
      </c>
      <c r="AK38" s="598"/>
      <c r="AL38" s="598"/>
      <c r="AM38" s="598"/>
      <c r="AN38" s="598"/>
      <c r="AO38" s="597" t="s">
        <v>341</v>
      </c>
      <c r="AP38" s="598"/>
      <c r="AQ38" s="598"/>
      <c r="AR38" s="598"/>
      <c r="AS38" s="598"/>
      <c r="AT38" s="597" t="s">
        <v>342</v>
      </c>
      <c r="AU38" s="598"/>
      <c r="AV38" s="598"/>
      <c r="AW38" s="598"/>
      <c r="AX38" s="598"/>
    </row>
    <row r="39" spans="2:54">
      <c r="B39" s="591" t="s">
        <v>545</v>
      </c>
      <c r="C39" s="606" t="s">
        <v>546</v>
      </c>
      <c r="D39" s="609"/>
      <c r="E39" s="587" t="s">
        <v>547</v>
      </c>
      <c r="F39" s="588"/>
      <c r="G39" s="589"/>
      <c r="H39" s="591" t="s">
        <v>441</v>
      </c>
      <c r="I39" s="578" t="s">
        <v>446</v>
      </c>
      <c r="J39" s="579"/>
      <c r="K39" s="580"/>
      <c r="L39" s="581" t="s">
        <v>441</v>
      </c>
      <c r="M39" s="581" t="s">
        <v>442</v>
      </c>
      <c r="N39" s="591"/>
      <c r="O39" s="591" t="s">
        <v>548</v>
      </c>
      <c r="P39" s="587" t="s">
        <v>549</v>
      </c>
      <c r="Q39" s="588"/>
      <c r="R39" s="588"/>
      <c r="S39" s="589"/>
      <c r="T39" s="591" t="s">
        <v>441</v>
      </c>
      <c r="U39" s="587" t="s">
        <v>443</v>
      </c>
      <c r="V39" s="588"/>
      <c r="W39" s="588"/>
      <c r="X39" s="589"/>
      <c r="Y39" s="591" t="s">
        <v>441</v>
      </c>
      <c r="Z39" s="587" t="s">
        <v>443</v>
      </c>
      <c r="AA39" s="588"/>
      <c r="AB39" s="588"/>
      <c r="AC39" s="589"/>
      <c r="AD39" s="591" t="s">
        <v>550</v>
      </c>
      <c r="AE39" s="587" t="s">
        <v>443</v>
      </c>
      <c r="AF39" s="588"/>
      <c r="AG39" s="588"/>
      <c r="AH39" s="589"/>
      <c r="AI39" s="591" t="s">
        <v>441</v>
      </c>
      <c r="AJ39" s="587" t="s">
        <v>443</v>
      </c>
      <c r="AK39" s="588"/>
      <c r="AL39" s="588"/>
      <c r="AM39" s="589"/>
      <c r="AN39" s="591" t="s">
        <v>550</v>
      </c>
      <c r="AO39" s="587" t="s">
        <v>549</v>
      </c>
      <c r="AP39" s="588"/>
      <c r="AQ39" s="588"/>
      <c r="AR39" s="589"/>
      <c r="AS39" s="591" t="s">
        <v>550</v>
      </c>
      <c r="AT39" s="587" t="s">
        <v>549</v>
      </c>
      <c r="AU39" s="588"/>
      <c r="AV39" s="588"/>
      <c r="AW39" s="589"/>
      <c r="AX39" s="591" t="s">
        <v>550</v>
      </c>
    </row>
    <row r="40" spans="2:54">
      <c r="B40" s="592"/>
      <c r="C40" s="607"/>
      <c r="D40" s="610"/>
      <c r="E40" s="587" t="s">
        <v>448</v>
      </c>
      <c r="F40" s="588"/>
      <c r="G40" s="589"/>
      <c r="H40" s="592"/>
      <c r="I40" s="578" t="s">
        <v>448</v>
      </c>
      <c r="J40" s="579"/>
      <c r="K40" s="580"/>
      <c r="L40" s="582"/>
      <c r="M40" s="582"/>
      <c r="N40" s="592"/>
      <c r="O40" s="592"/>
      <c r="P40" s="587" t="s">
        <v>449</v>
      </c>
      <c r="Q40" s="588"/>
      <c r="R40" s="588"/>
      <c r="S40" s="589"/>
      <c r="T40" s="592"/>
      <c r="U40" s="587" t="s">
        <v>551</v>
      </c>
      <c r="V40" s="588"/>
      <c r="W40" s="588"/>
      <c r="X40" s="589"/>
      <c r="Y40" s="592"/>
      <c r="Z40" s="587" t="s">
        <v>551</v>
      </c>
      <c r="AA40" s="588"/>
      <c r="AB40" s="588"/>
      <c r="AC40" s="589"/>
      <c r="AD40" s="592"/>
      <c r="AE40" s="587" t="s">
        <v>449</v>
      </c>
      <c r="AF40" s="588"/>
      <c r="AG40" s="588"/>
      <c r="AH40" s="589"/>
      <c r="AI40" s="592"/>
      <c r="AJ40" s="587" t="s">
        <v>449</v>
      </c>
      <c r="AK40" s="588"/>
      <c r="AL40" s="588"/>
      <c r="AM40" s="589"/>
      <c r="AN40" s="592"/>
      <c r="AO40" s="587" t="s">
        <v>449</v>
      </c>
      <c r="AP40" s="588"/>
      <c r="AQ40" s="588"/>
      <c r="AR40" s="589"/>
      <c r="AS40" s="592"/>
      <c r="AT40" s="587" t="s">
        <v>449</v>
      </c>
      <c r="AU40" s="588"/>
      <c r="AV40" s="588"/>
      <c r="AW40" s="589"/>
      <c r="AX40" s="592"/>
    </row>
    <row r="41" spans="2:54">
      <c r="B41" s="593"/>
      <c r="C41" s="608"/>
      <c r="D41" s="611"/>
      <c r="E41" s="335" t="s">
        <v>450</v>
      </c>
      <c r="F41" s="335" t="s">
        <v>451</v>
      </c>
      <c r="G41" s="335" t="s">
        <v>552</v>
      </c>
      <c r="H41" s="593"/>
      <c r="I41" s="334" t="s">
        <v>450</v>
      </c>
      <c r="J41" s="334" t="s">
        <v>451</v>
      </c>
      <c r="K41" s="334" t="s">
        <v>452</v>
      </c>
      <c r="L41" s="583"/>
      <c r="M41" s="583"/>
      <c r="N41" s="592"/>
      <c r="O41" s="592"/>
      <c r="P41" s="335" t="s">
        <v>450</v>
      </c>
      <c r="Q41" s="335" t="s">
        <v>553</v>
      </c>
      <c r="R41" s="335" t="s">
        <v>452</v>
      </c>
      <c r="S41" s="335" t="s">
        <v>442</v>
      </c>
      <c r="T41" s="593"/>
      <c r="U41" s="335" t="s">
        <v>450</v>
      </c>
      <c r="V41" s="335" t="s">
        <v>451</v>
      </c>
      <c r="W41" s="335" t="s">
        <v>452</v>
      </c>
      <c r="X41" s="335" t="s">
        <v>554</v>
      </c>
      <c r="Y41" s="593"/>
      <c r="Z41" s="335" t="s">
        <v>555</v>
      </c>
      <c r="AA41" s="335" t="s">
        <v>451</v>
      </c>
      <c r="AB41" s="335" t="s">
        <v>452</v>
      </c>
      <c r="AC41" s="335" t="s">
        <v>554</v>
      </c>
      <c r="AD41" s="593"/>
      <c r="AE41" s="335" t="s">
        <v>450</v>
      </c>
      <c r="AF41" s="335" t="s">
        <v>451</v>
      </c>
      <c r="AG41" s="335" t="s">
        <v>452</v>
      </c>
      <c r="AH41" s="335" t="s">
        <v>554</v>
      </c>
      <c r="AI41" s="593"/>
      <c r="AJ41" s="335" t="s">
        <v>555</v>
      </c>
      <c r="AK41" s="335" t="s">
        <v>451</v>
      </c>
      <c r="AL41" s="335" t="s">
        <v>452</v>
      </c>
      <c r="AM41" s="335" t="s">
        <v>442</v>
      </c>
      <c r="AN41" s="593"/>
      <c r="AO41" s="335" t="s">
        <v>555</v>
      </c>
      <c r="AP41" s="335" t="s">
        <v>451</v>
      </c>
      <c r="AQ41" s="335" t="s">
        <v>452</v>
      </c>
      <c r="AR41" s="335" t="s">
        <v>554</v>
      </c>
      <c r="AS41" s="593"/>
      <c r="AT41" s="335" t="s">
        <v>555</v>
      </c>
      <c r="AU41" s="335" t="s">
        <v>451</v>
      </c>
      <c r="AV41" s="335" t="s">
        <v>452</v>
      </c>
      <c r="AW41" s="335" t="s">
        <v>554</v>
      </c>
      <c r="AX41" s="593"/>
    </row>
    <row r="42" spans="2:54">
      <c r="B42" s="612" t="s">
        <v>150</v>
      </c>
      <c r="C42" s="336">
        <v>1</v>
      </c>
      <c r="D42" s="378" t="s">
        <v>365</v>
      </c>
      <c r="E42" s="378">
        <v>4</v>
      </c>
      <c r="F42" s="187">
        <v>2200</v>
      </c>
      <c r="G42" s="187">
        <v>550</v>
      </c>
      <c r="H42" s="599">
        <f>AVERAGE(G42:G71)</f>
        <v>893.75</v>
      </c>
      <c r="I42" s="204">
        <f>AVERAGE(P42,U42,Z42,AE42,AJ42,AO42,AT42)</f>
        <v>4</v>
      </c>
      <c r="J42" s="204">
        <f>AVERAGE(Q42,V42,AA42,AF42,AK42,AP42,AU42)</f>
        <v>3075.7306043799299</v>
      </c>
      <c r="K42" s="205">
        <f>AVERAGE(R42,W42,AB42,AG42,AL42,AQ42,AV42)</f>
        <v>768.93265109498248</v>
      </c>
      <c r="L42" s="584">
        <f>IFERROR(AVERAGE(K42:K71),"-")</f>
        <v>736.42725541725031</v>
      </c>
      <c r="M42" s="204">
        <f>RANK(K42, K$42:$K$71)</f>
        <v>8</v>
      </c>
      <c r="N42" s="592"/>
      <c r="O42" s="592"/>
      <c r="P42" s="467" t="s">
        <v>765</v>
      </c>
      <c r="Q42" s="187">
        <f>'[1]（５-1）品群別人時生產性（18℃-飯糰）'!Q7</f>
        <v>3002.5714285714289</v>
      </c>
      <c r="R42" s="187">
        <f>'[1]（５-1）品群別人時生產性（18℃-飯糰）'!R7</f>
        <v>750.64285714285722</v>
      </c>
      <c r="S42" s="336">
        <f t="shared" ref="S42:S71" si="11">RANK(R42, R$42:R$71)</f>
        <v>10</v>
      </c>
      <c r="T42" s="599">
        <f>AVERAGE(R42:R71)</f>
        <v>702.409872467735</v>
      </c>
      <c r="U42" s="187">
        <v>4</v>
      </c>
      <c r="V42" s="187">
        <v>2950.400000000001</v>
      </c>
      <c r="W42" s="187">
        <v>737.60000000000025</v>
      </c>
      <c r="X42" s="463">
        <f t="shared" ref="X42:X71" si="12">RANK(W42, W$42:W$71)</f>
        <v>11</v>
      </c>
      <c r="Y42" s="599">
        <f>AVERAGE(W42:W71)</f>
        <v>729.13820728623352</v>
      </c>
      <c r="Z42" s="187">
        <v>4</v>
      </c>
      <c r="AA42" s="187">
        <v>3146.0000000000005</v>
      </c>
      <c r="AB42" s="187">
        <v>786.50000000000011</v>
      </c>
      <c r="AC42" s="463">
        <f t="shared" ref="AC42:AC71" si="13">RANK(AB42, AB$42:AB$71)</f>
        <v>8</v>
      </c>
      <c r="AD42" s="599">
        <f>AVERAGE(AB42:AB71)</f>
        <v>703.00068068363692</v>
      </c>
      <c r="AE42" s="187">
        <v>4</v>
      </c>
      <c r="AF42" s="187">
        <v>3038.0000000000009</v>
      </c>
      <c r="AG42" s="187">
        <v>759.50000000000023</v>
      </c>
      <c r="AH42" s="463">
        <f t="shared" ref="AH42:AH71" si="14">RANK(AG42, AG$42:AG$71)</f>
        <v>10</v>
      </c>
      <c r="AI42" s="599">
        <f>AVERAGE(AG42:AG71)</f>
        <v>695.17258476354368</v>
      </c>
      <c r="AJ42" s="187">
        <v>4</v>
      </c>
      <c r="AK42" s="187">
        <v>2692.0588235294117</v>
      </c>
      <c r="AL42" s="187">
        <v>673.01470588235293</v>
      </c>
      <c r="AM42" s="463">
        <f t="shared" ref="AM42:AM71" si="15">RANK(AL42, AL$42:AL$71)</f>
        <v>17</v>
      </c>
      <c r="AN42" s="599">
        <f>AVERAGE(AL42:AL71)</f>
        <v>729.47462494243234</v>
      </c>
      <c r="AO42" s="187">
        <v>4</v>
      </c>
      <c r="AP42" s="187">
        <v>3434.7826086956511</v>
      </c>
      <c r="AQ42" s="187">
        <v>858.69565217391278</v>
      </c>
      <c r="AR42" s="463">
        <f t="shared" ref="AR42:AR71" si="16">RANK(AQ42, AQ$42:AQ$71)</f>
        <v>8</v>
      </c>
      <c r="AS42" s="599">
        <f>AVERAGE(AQ42:AQ71)</f>
        <v>789.01340319293445</v>
      </c>
      <c r="AT42" s="187">
        <v>4</v>
      </c>
      <c r="AU42" s="187">
        <v>3266.3013698630143</v>
      </c>
      <c r="AV42" s="187">
        <v>816.57534246575358</v>
      </c>
      <c r="AW42" s="463">
        <f t="shared" ref="AW42:AW71" si="17">RANK(AV42, AV$42:AV$71)</f>
        <v>9</v>
      </c>
      <c r="AX42" s="599">
        <f>AVERAGE(AV42:AV71)</f>
        <v>783.34556070669305</v>
      </c>
    </row>
    <row r="43" spans="2:54">
      <c r="B43" s="613"/>
      <c r="C43" s="336">
        <v>2</v>
      </c>
      <c r="D43" s="378" t="s">
        <v>366</v>
      </c>
      <c r="E43" s="378">
        <v>3</v>
      </c>
      <c r="F43" s="187">
        <v>2700</v>
      </c>
      <c r="G43" s="187">
        <v>900</v>
      </c>
      <c r="H43" s="600"/>
      <c r="I43" s="204">
        <f t="shared" ref="I43:I60" si="18">AVERAGE(P43,U43,Z43,AE43,AJ43,AO43,AT43)</f>
        <v>3</v>
      </c>
      <c r="J43" s="204">
        <f t="shared" ref="J43:J60" si="19">AVERAGE(Q43,V43,AA43,AF43,AK43,AP43,AU43)</f>
        <v>2664.2407275598021</v>
      </c>
      <c r="K43" s="205">
        <f t="shared" ref="K43:K60" si="20">AVERAGE(R43,W43,AB43,AG43,AL43,AQ43,AV43)</f>
        <v>888.0802425199339</v>
      </c>
      <c r="L43" s="585"/>
      <c r="M43" s="204">
        <f>RANK(K43, K$42:$K$71)</f>
        <v>6</v>
      </c>
      <c r="N43" s="592"/>
      <c r="O43" s="592"/>
      <c r="P43" s="187">
        <f>'[1]（５-1）品群別人時生產性（18℃-飯糰）'!P8</f>
        <v>3</v>
      </c>
      <c r="Q43" s="187">
        <f>'[1]（５-1）品群別人時生產性（18℃-飯糰）'!Q8</f>
        <v>2444.5161290322603</v>
      </c>
      <c r="R43" s="187">
        <f>'[1]（５-1）品群別人時生產性（18℃-飯糰）'!R8</f>
        <v>814.83870967742007</v>
      </c>
      <c r="S43" s="336">
        <f t="shared" si="11"/>
        <v>5</v>
      </c>
      <c r="T43" s="600"/>
      <c r="U43" s="187">
        <v>3</v>
      </c>
      <c r="V43" s="187">
        <v>2494.0000000000023</v>
      </c>
      <c r="W43" s="187">
        <v>831.33333333333405</v>
      </c>
      <c r="X43" s="463">
        <f t="shared" si="12"/>
        <v>7</v>
      </c>
      <c r="Y43" s="600"/>
      <c r="Z43" s="187">
        <v>3</v>
      </c>
      <c r="AA43" s="187">
        <v>2532.5000000000005</v>
      </c>
      <c r="AB43" s="187">
        <v>844.16666666666686</v>
      </c>
      <c r="AC43" s="463">
        <f t="shared" si="13"/>
        <v>7</v>
      </c>
      <c r="AD43" s="600"/>
      <c r="AE43" s="187">
        <v>3</v>
      </c>
      <c r="AF43" s="187">
        <v>2653.0434782608695</v>
      </c>
      <c r="AG43" s="187">
        <v>884.3478260869565</v>
      </c>
      <c r="AH43" s="463">
        <f t="shared" si="14"/>
        <v>4</v>
      </c>
      <c r="AI43" s="600"/>
      <c r="AJ43" s="187">
        <v>3</v>
      </c>
      <c r="AK43" s="187">
        <v>2705.4545454545455</v>
      </c>
      <c r="AL43" s="187">
        <v>901.81818181818187</v>
      </c>
      <c r="AM43" s="463">
        <f t="shared" si="15"/>
        <v>4</v>
      </c>
      <c r="AN43" s="600"/>
      <c r="AO43" s="187">
        <v>3</v>
      </c>
      <c r="AP43" s="187">
        <v>2935.5555555555529</v>
      </c>
      <c r="AQ43" s="187">
        <v>978.51851851851768</v>
      </c>
      <c r="AR43" s="463">
        <f t="shared" si="16"/>
        <v>3</v>
      </c>
      <c r="AS43" s="600"/>
      <c r="AT43" s="187">
        <v>3</v>
      </c>
      <c r="AU43" s="187">
        <v>2884.6153846153816</v>
      </c>
      <c r="AV43" s="187">
        <v>961.53846153846052</v>
      </c>
      <c r="AW43" s="463">
        <f t="shared" si="17"/>
        <v>2</v>
      </c>
      <c r="AX43" s="600"/>
    </row>
    <row r="44" spans="2:54">
      <c r="B44" s="613"/>
      <c r="C44" s="336">
        <v>3</v>
      </c>
      <c r="D44" s="378" t="s">
        <v>350</v>
      </c>
      <c r="E44" s="378">
        <v>4</v>
      </c>
      <c r="F44" s="187">
        <v>3600</v>
      </c>
      <c r="G44" s="187">
        <v>900</v>
      </c>
      <c r="H44" s="600"/>
      <c r="I44" s="204">
        <f t="shared" si="18"/>
        <v>4</v>
      </c>
      <c r="J44" s="204">
        <f t="shared" si="19"/>
        <v>3020.2143875732095</v>
      </c>
      <c r="K44" s="205">
        <f t="shared" si="20"/>
        <v>755.05359689330237</v>
      </c>
      <c r="L44" s="585"/>
      <c r="M44" s="204">
        <f>RANK(K44, K$42:$K$71)</f>
        <v>10</v>
      </c>
      <c r="N44" s="592"/>
      <c r="O44" s="592"/>
      <c r="P44" s="187">
        <f>'[1]（５-1）品群別人時生產性（18℃-飯糰）'!P9</f>
        <v>4</v>
      </c>
      <c r="Q44" s="187">
        <f>'[1]（５-1）品群別人時生產性（18℃-飯糰）'!Q9</f>
        <v>3009.6000000000008</v>
      </c>
      <c r="R44" s="187">
        <f>'[1]（５-1）品群別人時生產性（18℃-飯糰）'!R9</f>
        <v>752.4000000000002</v>
      </c>
      <c r="S44" s="336">
        <f t="shared" si="11"/>
        <v>9</v>
      </c>
      <c r="T44" s="600"/>
      <c r="U44" s="187">
        <v>4</v>
      </c>
      <c r="V44" s="187">
        <v>2920.8000000000006</v>
      </c>
      <c r="W44" s="187">
        <v>730.20000000000016</v>
      </c>
      <c r="X44" s="463">
        <f t="shared" si="12"/>
        <v>13</v>
      </c>
      <c r="Y44" s="600"/>
      <c r="Z44" s="187">
        <v>4</v>
      </c>
      <c r="AA44" s="187">
        <v>2669.9999999999882</v>
      </c>
      <c r="AB44" s="187">
        <v>667.49999999999704</v>
      </c>
      <c r="AC44" s="463">
        <f t="shared" si="13"/>
        <v>13</v>
      </c>
      <c r="AD44" s="600"/>
      <c r="AE44" s="187">
        <v>4</v>
      </c>
      <c r="AF44" s="187">
        <v>3141.1764705882315</v>
      </c>
      <c r="AG44" s="187">
        <v>785.29411764705787</v>
      </c>
      <c r="AH44" s="463">
        <f t="shared" si="14"/>
        <v>7</v>
      </c>
      <c r="AI44" s="600"/>
      <c r="AJ44" s="187">
        <v>4</v>
      </c>
      <c r="AK44" s="187">
        <v>2963.3333333333312</v>
      </c>
      <c r="AL44" s="187">
        <v>740.8333333333328</v>
      </c>
      <c r="AM44" s="463">
        <f t="shared" si="15"/>
        <v>10</v>
      </c>
      <c r="AN44" s="600"/>
      <c r="AO44" s="187">
        <v>4</v>
      </c>
      <c r="AP44" s="187">
        <v>3177.49999999999</v>
      </c>
      <c r="AQ44" s="187">
        <v>794.3749999999975</v>
      </c>
      <c r="AR44" s="463">
        <f t="shared" si="16"/>
        <v>12</v>
      </c>
      <c r="AS44" s="600"/>
      <c r="AT44" s="187">
        <v>4</v>
      </c>
      <c r="AU44" s="187">
        <v>3259.0909090909208</v>
      </c>
      <c r="AV44" s="187">
        <v>814.77272727273021</v>
      </c>
      <c r="AW44" s="463">
        <f t="shared" si="17"/>
        <v>10</v>
      </c>
      <c r="AX44" s="600"/>
    </row>
    <row r="45" spans="2:54">
      <c r="B45" s="613"/>
      <c r="C45" s="336">
        <v>4</v>
      </c>
      <c r="D45" s="378" t="s">
        <v>368</v>
      </c>
      <c r="E45" s="378">
        <v>3</v>
      </c>
      <c r="F45" s="187">
        <v>3600</v>
      </c>
      <c r="G45" s="187">
        <v>1200</v>
      </c>
      <c r="H45" s="600"/>
      <c r="I45" s="204">
        <f t="shared" si="18"/>
        <v>3</v>
      </c>
      <c r="J45" s="204">
        <f t="shared" si="19"/>
        <v>2763.6292517006868</v>
      </c>
      <c r="K45" s="205">
        <f t="shared" si="20"/>
        <v>921.20975056689554</v>
      </c>
      <c r="L45" s="585"/>
      <c r="M45" s="204">
        <f>RANK(K45, K$42:$K$71)</f>
        <v>2</v>
      </c>
      <c r="N45" s="592"/>
      <c r="O45" s="592"/>
      <c r="P45" s="187">
        <f>'[1]（５-1）品群別人時生產性（18℃-飯糰）'!P10</f>
        <v>3</v>
      </c>
      <c r="Q45" s="187">
        <f>'[1]（５-1）品群別人時生產性（18℃-飯糰）'!Q10</f>
        <v>2633.9999999999991</v>
      </c>
      <c r="R45" s="187">
        <f>'[1]（５-1）品群別人時生產性（18℃-飯糰）'!R10</f>
        <v>877.99999999999966</v>
      </c>
      <c r="S45" s="336">
        <f t="shared" si="11"/>
        <v>1</v>
      </c>
      <c r="T45" s="600"/>
      <c r="U45" s="187">
        <v>3</v>
      </c>
      <c r="V45" s="187">
        <v>2622.0000000000091</v>
      </c>
      <c r="W45" s="187">
        <v>874.00000000000307</v>
      </c>
      <c r="X45" s="463">
        <f t="shared" si="12"/>
        <v>4</v>
      </c>
      <c r="Y45" s="600"/>
      <c r="Z45" s="187">
        <v>3</v>
      </c>
      <c r="AA45" s="187">
        <v>2565.0000000000091</v>
      </c>
      <c r="AB45" s="187">
        <v>855.00000000000307</v>
      </c>
      <c r="AC45" s="463">
        <f t="shared" si="13"/>
        <v>5</v>
      </c>
      <c r="AD45" s="600"/>
      <c r="AE45" s="187">
        <v>3</v>
      </c>
      <c r="AF45" s="187">
        <v>2422.5000000000086</v>
      </c>
      <c r="AG45" s="187">
        <v>807.50000000000284</v>
      </c>
      <c r="AH45" s="463">
        <f t="shared" si="14"/>
        <v>6</v>
      </c>
      <c r="AI45" s="600"/>
      <c r="AJ45" s="187">
        <v>3</v>
      </c>
      <c r="AK45" s="187">
        <v>2768.5714285714384</v>
      </c>
      <c r="AL45" s="187">
        <v>922.85714285714619</v>
      </c>
      <c r="AM45" s="463">
        <f t="shared" si="15"/>
        <v>2</v>
      </c>
      <c r="AN45" s="600"/>
      <c r="AO45" s="187">
        <v>3</v>
      </c>
      <c r="AP45" s="187">
        <v>3186.6666666666779</v>
      </c>
      <c r="AQ45" s="187">
        <v>1062.222222222226</v>
      </c>
      <c r="AR45" s="463">
        <f t="shared" si="16"/>
        <v>1</v>
      </c>
      <c r="AS45" s="600"/>
      <c r="AT45" s="187">
        <v>3</v>
      </c>
      <c r="AU45" s="187">
        <v>3146.6666666666642</v>
      </c>
      <c r="AV45" s="187">
        <v>1048.888888888888</v>
      </c>
      <c r="AW45" s="463">
        <f t="shared" si="17"/>
        <v>1</v>
      </c>
      <c r="AX45" s="600"/>
    </row>
    <row r="46" spans="2:54">
      <c r="B46" s="613"/>
      <c r="C46" s="336">
        <v>5</v>
      </c>
      <c r="D46" s="378" t="s">
        <v>369</v>
      </c>
      <c r="E46" s="378">
        <v>3</v>
      </c>
      <c r="F46" s="187">
        <v>3600</v>
      </c>
      <c r="G46" s="187">
        <v>1200</v>
      </c>
      <c r="H46" s="600"/>
      <c r="I46" s="204">
        <f t="shared" si="18"/>
        <v>4</v>
      </c>
      <c r="J46" s="204">
        <f t="shared" si="19"/>
        <v>3064.7298506884968</v>
      </c>
      <c r="K46" s="205">
        <f t="shared" si="20"/>
        <v>766.18246267212419</v>
      </c>
      <c r="L46" s="585"/>
      <c r="M46" s="204">
        <f>RANK(K46, K$42:$K$71)</f>
        <v>9</v>
      </c>
      <c r="N46" s="592"/>
      <c r="O46" s="592"/>
      <c r="P46" s="187">
        <f>'[1]（５-1）品群別人時生產性（18℃-飯糰）'!P11</f>
        <v>4</v>
      </c>
      <c r="Q46" s="187">
        <f>'[1]（５-1）品群別人時生產性（18℃-飯糰）'!Q11</f>
        <v>2905.4999999999991</v>
      </c>
      <c r="R46" s="187">
        <f>'[1]（５-1）品群別人時生產性（18℃-飯糰）'!R11</f>
        <v>726.37499999999977</v>
      </c>
      <c r="S46" s="336">
        <f t="shared" si="11"/>
        <v>12</v>
      </c>
      <c r="T46" s="600"/>
      <c r="U46" s="187">
        <v>4</v>
      </c>
      <c r="V46" s="187">
        <v>2998.4210526315837</v>
      </c>
      <c r="W46" s="187">
        <v>749.60526315789593</v>
      </c>
      <c r="X46" s="463">
        <f t="shared" si="12"/>
        <v>9</v>
      </c>
      <c r="Y46" s="600"/>
      <c r="Z46" s="187">
        <v>4</v>
      </c>
      <c r="AA46" s="187">
        <v>2777.999999999995</v>
      </c>
      <c r="AB46" s="187">
        <v>694.49999999999875</v>
      </c>
      <c r="AC46" s="463">
        <f t="shared" si="13"/>
        <v>10</v>
      </c>
      <c r="AD46" s="600"/>
      <c r="AE46" s="187">
        <v>4</v>
      </c>
      <c r="AF46" s="187">
        <v>2942.1428571428592</v>
      </c>
      <c r="AG46" s="187">
        <v>735.53571428571479</v>
      </c>
      <c r="AH46" s="463">
        <f t="shared" si="14"/>
        <v>11</v>
      </c>
      <c r="AI46" s="600"/>
      <c r="AJ46" s="187">
        <v>4</v>
      </c>
      <c r="AK46" s="187">
        <v>3323.9999999999905</v>
      </c>
      <c r="AL46" s="187">
        <v>830.99999999999761</v>
      </c>
      <c r="AM46" s="463">
        <f t="shared" si="15"/>
        <v>8</v>
      </c>
      <c r="AN46" s="600"/>
      <c r="AO46" s="187">
        <v>4</v>
      </c>
      <c r="AP46" s="187">
        <v>3326.6666666666711</v>
      </c>
      <c r="AQ46" s="187">
        <v>831.66666666666777</v>
      </c>
      <c r="AR46" s="463">
        <f t="shared" si="16"/>
        <v>11</v>
      </c>
      <c r="AS46" s="600"/>
      <c r="AT46" s="187">
        <v>4</v>
      </c>
      <c r="AU46" s="187">
        <v>3178.3783783783761</v>
      </c>
      <c r="AV46" s="187">
        <v>794.59459459459401</v>
      </c>
      <c r="AW46" s="463">
        <f t="shared" si="17"/>
        <v>12</v>
      </c>
      <c r="AX46" s="600"/>
    </row>
    <row r="47" spans="2:54">
      <c r="B47" s="613"/>
      <c r="C47" s="336">
        <v>6</v>
      </c>
      <c r="D47" s="378" t="s">
        <v>367</v>
      </c>
      <c r="E47" s="378">
        <v>4</v>
      </c>
      <c r="F47" s="187">
        <v>3600</v>
      </c>
      <c r="G47" s="187">
        <v>900</v>
      </c>
      <c r="H47" s="600"/>
      <c r="I47" s="204">
        <f t="shared" si="18"/>
        <v>4</v>
      </c>
      <c r="J47" s="204">
        <f t="shared" si="19"/>
        <v>2998.2318158032431</v>
      </c>
      <c r="K47" s="205">
        <f t="shared" si="20"/>
        <v>749.55795395081077</v>
      </c>
      <c r="L47" s="585"/>
      <c r="M47" s="204">
        <f>RANK(K47, K$42:$K$71)</f>
        <v>11</v>
      </c>
      <c r="N47" s="592"/>
      <c r="O47" s="592"/>
      <c r="P47" s="187">
        <f>'[1]（５-1）品群別人時生產性（18℃-飯糰）'!P12</f>
        <v>4</v>
      </c>
      <c r="Q47" s="187">
        <f>'[1]（５-1）品群別人時生產性（18℃-飯糰）'!Q12</f>
        <v>2978.9999999999991</v>
      </c>
      <c r="R47" s="187">
        <f>'[1]（５-1）品群別人時生產性（18℃-飯糰）'!R12</f>
        <v>744.74999999999977</v>
      </c>
      <c r="S47" s="336">
        <f t="shared" si="11"/>
        <v>11</v>
      </c>
      <c r="T47" s="600"/>
      <c r="U47" s="187">
        <v>4</v>
      </c>
      <c r="V47" s="187">
        <v>2963.9999999999991</v>
      </c>
      <c r="W47" s="187">
        <v>740.99999999999977</v>
      </c>
      <c r="X47" s="463">
        <f t="shared" si="12"/>
        <v>10</v>
      </c>
      <c r="Y47" s="600"/>
      <c r="Z47" s="187">
        <v>4</v>
      </c>
      <c r="AA47" s="187">
        <v>2703.999999999995</v>
      </c>
      <c r="AB47" s="187">
        <v>675.99999999999875</v>
      </c>
      <c r="AC47" s="463">
        <f t="shared" si="13"/>
        <v>12</v>
      </c>
      <c r="AD47" s="600"/>
      <c r="AE47" s="187">
        <v>4</v>
      </c>
      <c r="AF47" s="187">
        <v>2768.5714285714384</v>
      </c>
      <c r="AG47" s="187">
        <v>692.14285714285961</v>
      </c>
      <c r="AH47" s="463">
        <f t="shared" si="14"/>
        <v>12</v>
      </c>
      <c r="AI47" s="600"/>
      <c r="AJ47" s="187">
        <v>4</v>
      </c>
      <c r="AK47" s="187">
        <v>2995.3846153846075</v>
      </c>
      <c r="AL47" s="187">
        <v>748.84615384615188</v>
      </c>
      <c r="AM47" s="463">
        <f t="shared" si="15"/>
        <v>9</v>
      </c>
      <c r="AN47" s="600"/>
      <c r="AO47" s="187">
        <v>4</v>
      </c>
      <c r="AP47" s="187">
        <v>3359.9999999999973</v>
      </c>
      <c r="AQ47" s="187">
        <v>839.99999999999932</v>
      </c>
      <c r="AR47" s="463">
        <f t="shared" si="16"/>
        <v>9</v>
      </c>
      <c r="AS47" s="600"/>
      <c r="AT47" s="187">
        <v>4</v>
      </c>
      <c r="AU47" s="187">
        <v>3216.6666666666642</v>
      </c>
      <c r="AV47" s="187">
        <v>804.16666666666606</v>
      </c>
      <c r="AW47" s="463">
        <f t="shared" si="17"/>
        <v>11</v>
      </c>
      <c r="AX47" s="600"/>
    </row>
    <row r="48" spans="2:54">
      <c r="B48" s="613"/>
      <c r="C48" s="336">
        <v>7</v>
      </c>
      <c r="D48" s="378" t="s">
        <v>614</v>
      </c>
      <c r="E48" s="378">
        <v>4</v>
      </c>
      <c r="F48" s="187">
        <v>3600</v>
      </c>
      <c r="G48" s="187">
        <v>900</v>
      </c>
      <c r="H48" s="600"/>
      <c r="I48" s="204">
        <f t="shared" si="18"/>
        <v>4</v>
      </c>
      <c r="J48" s="204">
        <f t="shared" si="19"/>
        <v>2152.1428571428487</v>
      </c>
      <c r="K48" s="205">
        <f t="shared" si="20"/>
        <v>538.03571428571217</v>
      </c>
      <c r="L48" s="585"/>
      <c r="M48" s="204">
        <f>RANK(K48, K$42:$K$71)</f>
        <v>23</v>
      </c>
      <c r="N48" s="592"/>
      <c r="O48" s="592"/>
      <c r="P48" s="187">
        <f>'[1]（５-1）品群別人時生產性（18℃-飯糰）'!P13</f>
        <v>4</v>
      </c>
      <c r="Q48" s="187">
        <f>'[1]（５-1）品群別人時生產性（18℃-飯糰）'!Q13</f>
        <v>2004.0000000000073</v>
      </c>
      <c r="R48" s="187">
        <f>'[1]（５-1）品群別人時生產性（18℃-飯糰）'!R13</f>
        <v>501.00000000000182</v>
      </c>
      <c r="S48" s="336">
        <f t="shared" si="11"/>
        <v>23</v>
      </c>
      <c r="T48" s="600"/>
      <c r="U48" s="187">
        <v>4</v>
      </c>
      <c r="V48" s="187">
        <v>2415.0000000000086</v>
      </c>
      <c r="W48" s="187">
        <v>603.75000000000216</v>
      </c>
      <c r="X48" s="463">
        <f t="shared" si="12"/>
        <v>22</v>
      </c>
      <c r="Y48" s="600"/>
      <c r="Z48" s="187">
        <v>4</v>
      </c>
      <c r="AA48" s="187">
        <v>1785.0000000000064</v>
      </c>
      <c r="AB48" s="187">
        <v>446.25000000000159</v>
      </c>
      <c r="AC48" s="463">
        <f t="shared" si="13"/>
        <v>24</v>
      </c>
      <c r="AD48" s="600"/>
      <c r="AE48" s="187">
        <v>4</v>
      </c>
      <c r="AF48" s="187">
        <v>2359.9999999999454</v>
      </c>
      <c r="AG48" s="187">
        <v>589.99999999998636</v>
      </c>
      <c r="AH48" s="463">
        <f t="shared" si="14"/>
        <v>17</v>
      </c>
      <c r="AI48" s="600"/>
      <c r="AJ48" s="187">
        <v>4</v>
      </c>
      <c r="AK48" s="187">
        <v>1416.000000000005</v>
      </c>
      <c r="AL48" s="187">
        <v>354.00000000000125</v>
      </c>
      <c r="AM48" s="463">
        <f t="shared" si="15"/>
        <v>23</v>
      </c>
      <c r="AN48" s="600"/>
      <c r="AO48" s="187">
        <v>4</v>
      </c>
      <c r="AP48" s="187">
        <v>2564.9999999999577</v>
      </c>
      <c r="AQ48" s="187">
        <v>641.24999999998943</v>
      </c>
      <c r="AR48" s="463">
        <f t="shared" si="16"/>
        <v>20</v>
      </c>
      <c r="AS48" s="600"/>
      <c r="AT48" s="187">
        <v>4</v>
      </c>
      <c r="AU48" s="187">
        <v>2520.0000000000091</v>
      </c>
      <c r="AV48" s="187">
        <v>630.00000000000227</v>
      </c>
      <c r="AW48" s="463">
        <f t="shared" si="17"/>
        <v>22</v>
      </c>
      <c r="AX48" s="600"/>
    </row>
    <row r="49" spans="2:50">
      <c r="B49" s="613"/>
      <c r="C49" s="336">
        <v>8</v>
      </c>
      <c r="D49" s="378" t="s">
        <v>612</v>
      </c>
      <c r="E49" s="378">
        <v>4</v>
      </c>
      <c r="F49" s="187">
        <v>3600</v>
      </c>
      <c r="G49" s="187">
        <v>900</v>
      </c>
      <c r="H49" s="600"/>
      <c r="I49" s="204">
        <f t="shared" si="18"/>
        <v>4</v>
      </c>
      <c r="J49" s="204">
        <f t="shared" si="19"/>
        <v>2344.4285714285552</v>
      </c>
      <c r="K49" s="205">
        <f t="shared" si="20"/>
        <v>586.1071428571388</v>
      </c>
      <c r="L49" s="585"/>
      <c r="M49" s="204">
        <f>RANK(K49, K$42:$K$71)</f>
        <v>22</v>
      </c>
      <c r="N49" s="592"/>
      <c r="O49" s="592"/>
      <c r="P49" s="187">
        <f>'[1]（５-1）品群別人時生產性（18℃-飯糰）'!P14</f>
        <v>4</v>
      </c>
      <c r="Q49" s="187">
        <f>'[1]（５-1）品群別人時生產性（18℃-飯糰）'!Q14</f>
        <v>2399.9999999999445</v>
      </c>
      <c r="R49" s="187">
        <f>'[1]（５-1）品群別人時生產性（18℃-飯糰）'!R14</f>
        <v>599.99999999998613</v>
      </c>
      <c r="S49" s="336">
        <f t="shared" si="11"/>
        <v>19</v>
      </c>
      <c r="T49" s="600"/>
      <c r="U49" s="187">
        <v>4</v>
      </c>
      <c r="V49" s="187">
        <v>1695.0000000000059</v>
      </c>
      <c r="W49" s="187">
        <v>423.75000000000148</v>
      </c>
      <c r="X49" s="463">
        <f t="shared" si="12"/>
        <v>24</v>
      </c>
      <c r="Y49" s="600"/>
      <c r="Z49" s="187">
        <v>4</v>
      </c>
      <c r="AA49" s="187">
        <v>2249.9999999999181</v>
      </c>
      <c r="AB49" s="187">
        <v>562.49999999997954</v>
      </c>
      <c r="AC49" s="463">
        <f t="shared" si="13"/>
        <v>22</v>
      </c>
      <c r="AD49" s="600"/>
      <c r="AE49" s="187">
        <v>4</v>
      </c>
      <c r="AF49" s="187">
        <v>1460.0000000000052</v>
      </c>
      <c r="AG49" s="187">
        <v>365.00000000000131</v>
      </c>
      <c r="AH49" s="463">
        <f t="shared" si="14"/>
        <v>23</v>
      </c>
      <c r="AI49" s="600"/>
      <c r="AJ49" s="187">
        <v>4</v>
      </c>
      <c r="AK49" s="187">
        <v>2955.999999999995</v>
      </c>
      <c r="AL49" s="187">
        <v>738.99999999999875</v>
      </c>
      <c r="AM49" s="463">
        <f t="shared" si="15"/>
        <v>11</v>
      </c>
      <c r="AN49" s="600"/>
      <c r="AO49" s="187">
        <v>4</v>
      </c>
      <c r="AP49" s="187">
        <v>2320.0000000000082</v>
      </c>
      <c r="AQ49" s="187">
        <v>580.00000000000205</v>
      </c>
      <c r="AR49" s="463">
        <f t="shared" si="16"/>
        <v>22</v>
      </c>
      <c r="AS49" s="600"/>
      <c r="AT49" s="187">
        <v>4</v>
      </c>
      <c r="AU49" s="187">
        <v>3330.0000000000118</v>
      </c>
      <c r="AV49" s="187">
        <v>832.50000000000296</v>
      </c>
      <c r="AW49" s="463">
        <f t="shared" si="17"/>
        <v>8</v>
      </c>
      <c r="AX49" s="600"/>
    </row>
    <row r="50" spans="2:50">
      <c r="B50" s="613"/>
      <c r="C50" s="336">
        <v>9</v>
      </c>
      <c r="D50" s="378" t="s">
        <v>370</v>
      </c>
      <c r="E50" s="378">
        <v>4</v>
      </c>
      <c r="F50" s="187">
        <v>3300</v>
      </c>
      <c r="G50" s="187">
        <v>825</v>
      </c>
      <c r="H50" s="600"/>
      <c r="I50" s="204">
        <f t="shared" si="18"/>
        <v>4</v>
      </c>
      <c r="J50" s="204">
        <f t="shared" si="19"/>
        <v>2515.9795918367349</v>
      </c>
      <c r="K50" s="205">
        <f t="shared" si="20"/>
        <v>628.99489795918373</v>
      </c>
      <c r="L50" s="585"/>
      <c r="M50" s="204">
        <f>RANK(K50, K$42:$K$71)</f>
        <v>20</v>
      </c>
      <c r="N50" s="592"/>
      <c r="O50" s="592"/>
      <c r="P50" s="187">
        <f>'[1]（５-1）品群別人時生產性（18℃-飯糰）'!P15</f>
        <v>4</v>
      </c>
      <c r="Q50" s="187">
        <f>'[1]（５-1）品群別人時生產性（18℃-飯糰）'!Q15</f>
        <v>1934.9999999999991</v>
      </c>
      <c r="R50" s="187">
        <f>'[1]（５-1）品群別人時生產性（18℃-飯糰）'!R15</f>
        <v>483.74999999999977</v>
      </c>
      <c r="S50" s="336">
        <f t="shared" si="11"/>
        <v>24</v>
      </c>
      <c r="T50" s="600"/>
      <c r="U50" s="187">
        <v>4</v>
      </c>
      <c r="V50" s="187">
        <v>2508.0000000000023</v>
      </c>
      <c r="W50" s="187">
        <v>627.00000000000057</v>
      </c>
      <c r="X50" s="463">
        <f t="shared" si="12"/>
        <v>21</v>
      </c>
      <c r="Y50" s="600"/>
      <c r="Z50" s="187">
        <v>4</v>
      </c>
      <c r="AA50" s="187">
        <v>2597.9999999999991</v>
      </c>
      <c r="AB50" s="187">
        <v>649.49999999999977</v>
      </c>
      <c r="AC50" s="463">
        <f t="shared" si="13"/>
        <v>14</v>
      </c>
      <c r="AD50" s="600"/>
      <c r="AE50" s="187">
        <v>4</v>
      </c>
      <c r="AF50" s="187">
        <v>2609.9999999999991</v>
      </c>
      <c r="AG50" s="187">
        <v>652.49999999999977</v>
      </c>
      <c r="AH50" s="463">
        <f t="shared" si="14"/>
        <v>14</v>
      </c>
      <c r="AI50" s="600"/>
      <c r="AJ50" s="187">
        <v>4</v>
      </c>
      <c r="AK50" s="187">
        <v>2657.9999999999991</v>
      </c>
      <c r="AL50" s="187">
        <v>664.49999999999977</v>
      </c>
      <c r="AM50" s="463">
        <f t="shared" si="15"/>
        <v>19</v>
      </c>
      <c r="AN50" s="600"/>
      <c r="AO50" s="187">
        <v>4</v>
      </c>
      <c r="AP50" s="187">
        <v>2620.0000000000023</v>
      </c>
      <c r="AQ50" s="187">
        <v>655.00000000000057</v>
      </c>
      <c r="AR50" s="463">
        <f t="shared" si="16"/>
        <v>19</v>
      </c>
      <c r="AS50" s="600"/>
      <c r="AT50" s="187">
        <v>4</v>
      </c>
      <c r="AU50" s="187">
        <v>2682.8571428571449</v>
      </c>
      <c r="AV50" s="187">
        <v>670.71428571428623</v>
      </c>
      <c r="AW50" s="463">
        <f t="shared" si="17"/>
        <v>19</v>
      </c>
      <c r="AX50" s="600"/>
    </row>
    <row r="51" spans="2:50">
      <c r="B51" s="613"/>
      <c r="C51" s="336">
        <v>10</v>
      </c>
      <c r="D51" s="378" t="s">
        <v>371</v>
      </c>
      <c r="E51" s="378">
        <v>3</v>
      </c>
      <c r="F51" s="187">
        <v>3300</v>
      </c>
      <c r="G51" s="187">
        <v>1100</v>
      </c>
      <c r="H51" s="600"/>
      <c r="I51" s="204">
        <f t="shared" si="18"/>
        <v>3</v>
      </c>
      <c r="J51" s="204">
        <f t="shared" si="19"/>
        <v>2663.1428571428564</v>
      </c>
      <c r="K51" s="205">
        <f t="shared" si="20"/>
        <v>887.71428571428567</v>
      </c>
      <c r="L51" s="585"/>
      <c r="M51" s="204">
        <f>RANK(K51, K$42:$K$71)</f>
        <v>7</v>
      </c>
      <c r="N51" s="592"/>
      <c r="O51" s="592"/>
      <c r="P51" s="187">
        <f>'[1]（５-1）品群別人時生產性（18℃-飯糰）'!P16</f>
        <v>3</v>
      </c>
      <c r="Q51" s="187">
        <f>'[1]（５-1）品群別人時生產性（18℃-飯糰）'!Q16</f>
        <v>2412.0000000000014</v>
      </c>
      <c r="R51" s="187">
        <f>'[1]（５-1）品群別人時生產性（18℃-飯糰）'!R16</f>
        <v>804.00000000000045</v>
      </c>
      <c r="S51" s="336">
        <f t="shared" si="11"/>
        <v>6</v>
      </c>
      <c r="T51" s="600"/>
      <c r="U51" s="187">
        <v>3</v>
      </c>
      <c r="V51" s="187">
        <v>2695.1351351351359</v>
      </c>
      <c r="W51" s="187">
        <v>898.37837837837867</v>
      </c>
      <c r="X51" s="463">
        <f t="shared" si="12"/>
        <v>3</v>
      </c>
      <c r="Y51" s="600"/>
      <c r="Z51" s="187">
        <v>3</v>
      </c>
      <c r="AA51" s="187">
        <v>2639.9999999999986</v>
      </c>
      <c r="AB51" s="187">
        <v>879.99999999999955</v>
      </c>
      <c r="AC51" s="463">
        <f t="shared" si="13"/>
        <v>4</v>
      </c>
      <c r="AD51" s="600"/>
      <c r="AE51" s="187">
        <v>3</v>
      </c>
      <c r="AF51" s="187">
        <v>2631.9999999999986</v>
      </c>
      <c r="AG51" s="187">
        <v>877.33333333333292</v>
      </c>
      <c r="AH51" s="463">
        <f t="shared" si="14"/>
        <v>5</v>
      </c>
      <c r="AI51" s="600"/>
      <c r="AJ51" s="187">
        <v>3</v>
      </c>
      <c r="AK51" s="187">
        <v>2617.9999999999986</v>
      </c>
      <c r="AL51" s="187">
        <v>872.66666666666617</v>
      </c>
      <c r="AM51" s="463">
        <f t="shared" si="15"/>
        <v>7</v>
      </c>
      <c r="AN51" s="600"/>
      <c r="AO51" s="187">
        <v>3</v>
      </c>
      <c r="AP51" s="187">
        <v>2764.8648648648659</v>
      </c>
      <c r="AQ51" s="187">
        <v>921.62162162162201</v>
      </c>
      <c r="AR51" s="463">
        <f t="shared" si="16"/>
        <v>6</v>
      </c>
      <c r="AS51" s="600"/>
      <c r="AT51" s="187">
        <v>3</v>
      </c>
      <c r="AU51" s="187">
        <v>2880.0000000000005</v>
      </c>
      <c r="AV51" s="187">
        <v>960.00000000000011</v>
      </c>
      <c r="AW51" s="463">
        <f t="shared" si="17"/>
        <v>3</v>
      </c>
      <c r="AX51" s="600"/>
    </row>
    <row r="52" spans="2:50">
      <c r="B52" s="613"/>
      <c r="C52" s="336">
        <v>11</v>
      </c>
      <c r="D52" s="378" t="s">
        <v>372</v>
      </c>
      <c r="E52" s="378">
        <v>3</v>
      </c>
      <c r="F52" s="187">
        <v>3300</v>
      </c>
      <c r="G52" s="187">
        <v>1100</v>
      </c>
      <c r="H52" s="600"/>
      <c r="I52" s="204">
        <f t="shared" si="18"/>
        <v>3</v>
      </c>
      <c r="J52" s="204">
        <f t="shared" si="19"/>
        <v>2713.5668450306939</v>
      </c>
      <c r="K52" s="205">
        <f t="shared" si="20"/>
        <v>904.52228167689771</v>
      </c>
      <c r="L52" s="585"/>
      <c r="M52" s="204">
        <f>RANK(K52, K$42:$K$71)</f>
        <v>3</v>
      </c>
      <c r="N52" s="592"/>
      <c r="O52" s="592"/>
      <c r="P52" s="187">
        <f>'[1]（５-1）品群別人時生產性（18℃-飯糰）'!P17</f>
        <v>3</v>
      </c>
      <c r="Q52" s="187">
        <f>'[1]（５-1）品群別人時生產性（18℃-飯糰）'!Q17</f>
        <v>2497.333333333333</v>
      </c>
      <c r="R52" s="187">
        <f>'[1]（５-1）品群別人時生產性（18℃-飯糰）'!R17</f>
        <v>832.44444444444434</v>
      </c>
      <c r="S52" s="336">
        <f t="shared" si="11"/>
        <v>4</v>
      </c>
      <c r="T52" s="600"/>
      <c r="U52" s="187">
        <v>3</v>
      </c>
      <c r="V52" s="187">
        <v>2797.4999999999932</v>
      </c>
      <c r="W52" s="187">
        <v>932.49999999999773</v>
      </c>
      <c r="X52" s="463">
        <f t="shared" si="12"/>
        <v>1</v>
      </c>
      <c r="Y52" s="600"/>
      <c r="Z52" s="187">
        <v>3</v>
      </c>
      <c r="AA52" s="187">
        <v>2561.1428571428546</v>
      </c>
      <c r="AB52" s="187">
        <v>853.71428571428487</v>
      </c>
      <c r="AC52" s="463">
        <f t="shared" si="13"/>
        <v>6</v>
      </c>
      <c r="AD52" s="600"/>
      <c r="AE52" s="187">
        <v>3</v>
      </c>
      <c r="AF52" s="187">
        <v>2745.0000000000032</v>
      </c>
      <c r="AG52" s="187">
        <v>915.00000000000102</v>
      </c>
      <c r="AH52" s="463">
        <f t="shared" si="14"/>
        <v>2</v>
      </c>
      <c r="AI52" s="600"/>
      <c r="AJ52" s="187">
        <v>3</v>
      </c>
      <c r="AK52" s="187">
        <v>2784.3749999999964</v>
      </c>
      <c r="AL52" s="187">
        <v>928.12499999999875</v>
      </c>
      <c r="AM52" s="463">
        <f t="shared" si="15"/>
        <v>1</v>
      </c>
      <c r="AN52" s="600"/>
      <c r="AO52" s="187">
        <v>3</v>
      </c>
      <c r="AP52" s="187">
        <v>2863.902439024389</v>
      </c>
      <c r="AQ52" s="187">
        <v>954.63414634146295</v>
      </c>
      <c r="AR52" s="463">
        <f t="shared" si="16"/>
        <v>4</v>
      </c>
      <c r="AS52" s="600"/>
      <c r="AT52" s="187">
        <v>3</v>
      </c>
      <c r="AU52" s="187">
        <v>2745.7142857142849</v>
      </c>
      <c r="AV52" s="187">
        <v>915.23809523809496</v>
      </c>
      <c r="AW52" s="463">
        <f t="shared" si="17"/>
        <v>5</v>
      </c>
      <c r="AX52" s="600"/>
    </row>
    <row r="53" spans="2:50">
      <c r="B53" s="613"/>
      <c r="C53" s="336">
        <v>12</v>
      </c>
      <c r="D53" s="378" t="s">
        <v>373</v>
      </c>
      <c r="E53" s="378">
        <v>4</v>
      </c>
      <c r="F53" s="187">
        <v>3300</v>
      </c>
      <c r="G53" s="187">
        <v>825</v>
      </c>
      <c r="H53" s="600"/>
      <c r="I53" s="204">
        <f t="shared" si="18"/>
        <v>4</v>
      </c>
      <c r="J53" s="204">
        <f t="shared" si="19"/>
        <v>2574.7226890756306</v>
      </c>
      <c r="K53" s="205">
        <f t="shared" si="20"/>
        <v>643.68067226890764</v>
      </c>
      <c r="L53" s="585"/>
      <c r="M53" s="204">
        <f>RANK(K53, K$42:$K$71)</f>
        <v>18</v>
      </c>
      <c r="N53" s="592"/>
      <c r="O53" s="592"/>
      <c r="P53" s="187">
        <f>'[1]（５-1）品群別人時生產性（18℃-飯糰）'!P18</f>
        <v>4</v>
      </c>
      <c r="Q53" s="187">
        <f>'[1]（５-1）品群別人時生產性（18℃-飯糰）'!Q18</f>
        <v>2587.2000000000007</v>
      </c>
      <c r="R53" s="187">
        <f>'[1]（５-1）品群別人時生產性（18℃-飯糰）'!R18</f>
        <v>646.80000000000018</v>
      </c>
      <c r="S53" s="336">
        <f t="shared" si="11"/>
        <v>16</v>
      </c>
      <c r="T53" s="600"/>
      <c r="U53" s="187">
        <v>4</v>
      </c>
      <c r="V53" s="187">
        <v>2553.6000000000004</v>
      </c>
      <c r="W53" s="187">
        <v>638.40000000000009</v>
      </c>
      <c r="X53" s="463">
        <f t="shared" si="12"/>
        <v>19</v>
      </c>
      <c r="Y53" s="600"/>
      <c r="Z53" s="187">
        <v>4</v>
      </c>
      <c r="AA53" s="187">
        <v>2309.9999999999945</v>
      </c>
      <c r="AB53" s="187">
        <v>577.49999999999864</v>
      </c>
      <c r="AC53" s="463">
        <f t="shared" si="13"/>
        <v>19</v>
      </c>
      <c r="AD53" s="600"/>
      <c r="AE53" s="187">
        <v>4</v>
      </c>
      <c r="AF53" s="187">
        <v>2363.9999999999941</v>
      </c>
      <c r="AG53" s="187">
        <v>590.99999999999852</v>
      </c>
      <c r="AH53" s="463">
        <f t="shared" si="14"/>
        <v>16</v>
      </c>
      <c r="AI53" s="600"/>
      <c r="AJ53" s="187">
        <v>4</v>
      </c>
      <c r="AK53" s="187">
        <v>2707.0588235294085</v>
      </c>
      <c r="AL53" s="187">
        <v>676.76470588235213</v>
      </c>
      <c r="AM53" s="463">
        <f t="shared" si="15"/>
        <v>15</v>
      </c>
      <c r="AN53" s="600"/>
      <c r="AO53" s="187">
        <v>4</v>
      </c>
      <c r="AP53" s="187">
        <v>2731.2000000000053</v>
      </c>
      <c r="AQ53" s="187">
        <v>682.80000000000132</v>
      </c>
      <c r="AR53" s="463">
        <f t="shared" si="16"/>
        <v>18</v>
      </c>
      <c r="AS53" s="600"/>
      <c r="AT53" s="187">
        <v>4</v>
      </c>
      <c r="AU53" s="187">
        <v>2770.0000000000055</v>
      </c>
      <c r="AV53" s="187">
        <v>692.50000000000136</v>
      </c>
      <c r="AW53" s="463">
        <f t="shared" si="17"/>
        <v>18</v>
      </c>
      <c r="AX53" s="600"/>
    </row>
    <row r="54" spans="2:50">
      <c r="B54" s="613"/>
      <c r="C54" s="336">
        <v>13</v>
      </c>
      <c r="D54" s="378" t="s">
        <v>426</v>
      </c>
      <c r="E54" s="378">
        <v>4</v>
      </c>
      <c r="F54" s="187">
        <v>2500</v>
      </c>
      <c r="G54" s="187">
        <v>625</v>
      </c>
      <c r="H54" s="600"/>
      <c r="I54" s="204">
        <f t="shared" si="18"/>
        <v>4</v>
      </c>
      <c r="J54" s="204">
        <f t="shared" si="19"/>
        <v>2669.8713208360268</v>
      </c>
      <c r="K54" s="205">
        <f t="shared" si="20"/>
        <v>667.46783020900671</v>
      </c>
      <c r="L54" s="585"/>
      <c r="M54" s="204">
        <f>RANK(K54, K$42:$K$71)</f>
        <v>15</v>
      </c>
      <c r="N54" s="592"/>
      <c r="O54" s="592"/>
      <c r="P54" s="187">
        <f>'[1]（５-1）品群別人時生產性（18℃-飯糰）'!P19</f>
        <v>4</v>
      </c>
      <c r="Q54" s="187">
        <f>'[1]（５-1）品群別人時生產性（18℃-飯糰）'!Q19</f>
        <v>2417.9999999999991</v>
      </c>
      <c r="R54" s="187">
        <f>'[1]（５-1）品群別人時生產性（18℃-飯糰）'!R19</f>
        <v>604.49999999999977</v>
      </c>
      <c r="S54" s="336">
        <f t="shared" si="11"/>
        <v>17</v>
      </c>
      <c r="T54" s="600"/>
      <c r="U54" s="187">
        <v>4</v>
      </c>
      <c r="V54" s="187">
        <v>2808.0000000000059</v>
      </c>
      <c r="W54" s="187">
        <v>702.00000000000148</v>
      </c>
      <c r="X54" s="463">
        <f t="shared" si="12"/>
        <v>15</v>
      </c>
      <c r="Y54" s="600"/>
      <c r="Z54" s="187">
        <v>4</v>
      </c>
      <c r="AA54" s="187">
        <v>2735.2941176470554</v>
      </c>
      <c r="AB54" s="187">
        <v>683.82352941176384</v>
      </c>
      <c r="AC54" s="463">
        <f t="shared" si="13"/>
        <v>11</v>
      </c>
      <c r="AD54" s="600"/>
      <c r="AE54" s="187">
        <v>4</v>
      </c>
      <c r="AF54" s="187">
        <v>2417.9999999999991</v>
      </c>
      <c r="AG54" s="187">
        <v>604.49999999999977</v>
      </c>
      <c r="AH54" s="463">
        <f t="shared" si="14"/>
        <v>15</v>
      </c>
      <c r="AI54" s="600"/>
      <c r="AJ54" s="187">
        <v>4</v>
      </c>
      <c r="AK54" s="187">
        <v>2696.6666666666642</v>
      </c>
      <c r="AL54" s="187">
        <v>674.16666666666606</v>
      </c>
      <c r="AM54" s="463">
        <f t="shared" si="15"/>
        <v>16</v>
      </c>
      <c r="AN54" s="600"/>
      <c r="AO54" s="187">
        <v>4</v>
      </c>
      <c r="AP54" s="187">
        <v>2831.5384615384673</v>
      </c>
      <c r="AQ54" s="187">
        <v>707.88461538461684</v>
      </c>
      <c r="AR54" s="463">
        <f t="shared" si="16"/>
        <v>17</v>
      </c>
      <c r="AS54" s="600"/>
      <c r="AT54" s="187">
        <v>4</v>
      </c>
      <c r="AU54" s="187">
        <v>2781.5999999999967</v>
      </c>
      <c r="AV54" s="187">
        <v>695.39999999999918</v>
      </c>
      <c r="AW54" s="463">
        <f t="shared" si="17"/>
        <v>14</v>
      </c>
      <c r="AX54" s="600"/>
    </row>
    <row r="55" spans="2:50">
      <c r="B55" s="613"/>
      <c r="C55" s="336">
        <v>14</v>
      </c>
      <c r="D55" s="378" t="s">
        <v>374</v>
      </c>
      <c r="E55" s="378">
        <v>3</v>
      </c>
      <c r="F55" s="187">
        <v>3300</v>
      </c>
      <c r="G55" s="187">
        <v>1100</v>
      </c>
      <c r="H55" s="600"/>
      <c r="I55" s="204">
        <f t="shared" si="18"/>
        <v>3</v>
      </c>
      <c r="J55" s="204">
        <f t="shared" si="19"/>
        <v>2144.3333333333326</v>
      </c>
      <c r="K55" s="205">
        <f t="shared" si="20"/>
        <v>714.7777777777776</v>
      </c>
      <c r="L55" s="585"/>
      <c r="M55" s="204">
        <f>RANK(K55, K$42:$K$71)</f>
        <v>13</v>
      </c>
      <c r="N55" s="592"/>
      <c r="O55" s="592"/>
      <c r="P55" s="187">
        <f>'[1]（５-1）品群別人時生產性（18℃-飯糰）'!P20</f>
        <v>3</v>
      </c>
      <c r="Q55" s="187">
        <f>'[1]（５-1）品群別人時生產性（18℃-飯糰）'!Q20</f>
        <v>1813.3333333333396</v>
      </c>
      <c r="R55" s="187">
        <f>'[1]（５-1）品群別人時生產性（18℃-飯糰）'!R20</f>
        <v>604.4444444444465</v>
      </c>
      <c r="S55" s="336">
        <f t="shared" si="11"/>
        <v>18</v>
      </c>
      <c r="T55" s="600"/>
      <c r="U55" s="187">
        <v>3</v>
      </c>
      <c r="V55" s="187">
        <v>1904.9999999999975</v>
      </c>
      <c r="W55" s="187">
        <v>634.9999999999992</v>
      </c>
      <c r="X55" s="463">
        <f t="shared" si="12"/>
        <v>20</v>
      </c>
      <c r="Y55" s="600"/>
      <c r="Z55" s="187">
        <v>3</v>
      </c>
      <c r="AA55" s="187">
        <v>1740.0000000000061</v>
      </c>
      <c r="AB55" s="187">
        <v>580.00000000000205</v>
      </c>
      <c r="AC55" s="463">
        <f t="shared" si="13"/>
        <v>18</v>
      </c>
      <c r="AD55" s="600"/>
      <c r="AE55" s="187">
        <v>3</v>
      </c>
      <c r="AF55" s="187">
        <v>1751.9999999999923</v>
      </c>
      <c r="AG55" s="187">
        <v>583.99999999999739</v>
      </c>
      <c r="AH55" s="463">
        <f t="shared" si="14"/>
        <v>18</v>
      </c>
      <c r="AI55" s="600"/>
      <c r="AJ55" s="187">
        <v>3</v>
      </c>
      <c r="AK55" s="187">
        <v>2660.0000000000095</v>
      </c>
      <c r="AL55" s="187">
        <v>886.66666666666981</v>
      </c>
      <c r="AM55" s="463">
        <f t="shared" si="15"/>
        <v>6</v>
      </c>
      <c r="AN55" s="600"/>
      <c r="AO55" s="187">
        <v>3</v>
      </c>
      <c r="AP55" s="187">
        <v>2640.0000000000095</v>
      </c>
      <c r="AQ55" s="187">
        <v>880.00000000000318</v>
      </c>
      <c r="AR55" s="463">
        <f t="shared" si="16"/>
        <v>7</v>
      </c>
      <c r="AS55" s="600"/>
      <c r="AT55" s="187">
        <v>3</v>
      </c>
      <c r="AU55" s="187">
        <v>2499.9999999999754</v>
      </c>
      <c r="AV55" s="187">
        <v>833.33333333332519</v>
      </c>
      <c r="AW55" s="463">
        <f t="shared" si="17"/>
        <v>7</v>
      </c>
      <c r="AX55" s="600"/>
    </row>
    <row r="56" spans="2:50">
      <c r="B56" s="613"/>
      <c r="C56" s="336">
        <v>15</v>
      </c>
      <c r="D56" s="378" t="s">
        <v>375</v>
      </c>
      <c r="E56" s="378">
        <v>4</v>
      </c>
      <c r="F56" s="187">
        <v>3300</v>
      </c>
      <c r="G56" s="187">
        <v>825</v>
      </c>
      <c r="H56" s="600"/>
      <c r="I56" s="204">
        <f t="shared" si="18"/>
        <v>4</v>
      </c>
      <c r="J56" s="204">
        <f t="shared" si="19"/>
        <v>2595.9669089333834</v>
      </c>
      <c r="K56" s="205">
        <f t="shared" si="20"/>
        <v>648.99172723334584</v>
      </c>
      <c r="L56" s="585"/>
      <c r="M56" s="204">
        <f>RANK(K56, K$42:$K$71)</f>
        <v>17</v>
      </c>
      <c r="N56" s="592"/>
      <c r="O56" s="592"/>
      <c r="P56" s="187">
        <f>'[1]（５-1）品群別人時生產性（18℃-飯糰）'!P21</f>
        <v>4</v>
      </c>
      <c r="Q56" s="187">
        <f>'[1]（５-1）品群別人時生產性（18℃-飯糰）'!Q21</f>
        <v>2393.9999999999977</v>
      </c>
      <c r="R56" s="187">
        <f>'[1]（５-1）品群別人時生產性（18℃-飯糰）'!R21</f>
        <v>598.49999999999943</v>
      </c>
      <c r="S56" s="336">
        <f t="shared" si="11"/>
        <v>20</v>
      </c>
      <c r="T56" s="600"/>
      <c r="U56" s="187">
        <v>4</v>
      </c>
      <c r="V56" s="187">
        <v>2762.9999999999986</v>
      </c>
      <c r="W56" s="187">
        <v>690.74999999999966</v>
      </c>
      <c r="X56" s="463">
        <f t="shared" si="12"/>
        <v>16</v>
      </c>
      <c r="Y56" s="600"/>
      <c r="Z56" s="187">
        <v>4</v>
      </c>
      <c r="AA56" s="187">
        <v>2541.5094339622615</v>
      </c>
      <c r="AB56" s="187">
        <v>635.37735849056537</v>
      </c>
      <c r="AC56" s="463">
        <f t="shared" si="13"/>
        <v>16</v>
      </c>
      <c r="AD56" s="600"/>
      <c r="AE56" s="187">
        <v>4</v>
      </c>
      <c r="AF56" s="187">
        <v>2164.9999999999991</v>
      </c>
      <c r="AG56" s="187">
        <v>541.24999999999977</v>
      </c>
      <c r="AH56" s="463">
        <f t="shared" si="14"/>
        <v>20</v>
      </c>
      <c r="AI56" s="600"/>
      <c r="AJ56" s="187">
        <v>4</v>
      </c>
      <c r="AK56" s="187">
        <v>2683.7500000000009</v>
      </c>
      <c r="AL56" s="187">
        <v>670.93750000000023</v>
      </c>
      <c r="AM56" s="463">
        <f t="shared" si="15"/>
        <v>18</v>
      </c>
      <c r="AN56" s="600"/>
      <c r="AO56" s="187">
        <v>4</v>
      </c>
      <c r="AP56" s="187">
        <v>2848.571428571428</v>
      </c>
      <c r="AQ56" s="187">
        <v>712.142857142857</v>
      </c>
      <c r="AR56" s="463">
        <f t="shared" si="16"/>
        <v>16</v>
      </c>
      <c r="AS56" s="600"/>
      <c r="AT56" s="187">
        <v>4</v>
      </c>
      <c r="AU56" s="187">
        <v>2775.9374999999995</v>
      </c>
      <c r="AV56" s="187">
        <v>693.98437499999989</v>
      </c>
      <c r="AW56" s="463">
        <f t="shared" si="17"/>
        <v>16</v>
      </c>
      <c r="AX56" s="600"/>
    </row>
    <row r="57" spans="2:50">
      <c r="B57" s="613"/>
      <c r="C57" s="336">
        <v>16</v>
      </c>
      <c r="D57" s="378" t="s">
        <v>376</v>
      </c>
      <c r="E57" s="378">
        <v>4</v>
      </c>
      <c r="F57" s="187">
        <v>3300</v>
      </c>
      <c r="G57" s="187">
        <v>825</v>
      </c>
      <c r="H57" s="600"/>
      <c r="I57" s="204">
        <f t="shared" si="18"/>
        <v>4</v>
      </c>
      <c r="J57" s="204">
        <f t="shared" si="19"/>
        <v>2669.6776875415676</v>
      </c>
      <c r="K57" s="205">
        <f t="shared" si="20"/>
        <v>667.4194218853919</v>
      </c>
      <c r="L57" s="585"/>
      <c r="M57" s="204">
        <f>RANK(K57, K$42:$K$71)</f>
        <v>16</v>
      </c>
      <c r="N57" s="592"/>
      <c r="O57" s="592"/>
      <c r="P57" s="187">
        <f>'[1]（５-1）品群別人時生產性（18℃-飯糰）'!P22</f>
        <v>4</v>
      </c>
      <c r="Q57" s="187">
        <f>'[1]（５-1）品群別人時生產性（18℃-飯糰）'!Q22</f>
        <v>2362.4999999999991</v>
      </c>
      <c r="R57" s="187">
        <f>'[1]（５-1）品群別人時生產性（18℃-飯糰）'!R22</f>
        <v>590.62499999999977</v>
      </c>
      <c r="S57" s="336">
        <f t="shared" si="11"/>
        <v>21</v>
      </c>
      <c r="T57" s="600"/>
      <c r="U57" s="187">
        <v>4</v>
      </c>
      <c r="V57" s="187">
        <v>2669.1428571428578</v>
      </c>
      <c r="W57" s="187">
        <v>667.28571428571445</v>
      </c>
      <c r="X57" s="463">
        <f t="shared" si="12"/>
        <v>18</v>
      </c>
      <c r="Y57" s="600"/>
      <c r="Z57" s="187">
        <v>4</v>
      </c>
      <c r="AA57" s="187">
        <v>2535.9999999999986</v>
      </c>
      <c r="AB57" s="187">
        <v>633.99999999999966</v>
      </c>
      <c r="AC57" s="463">
        <f t="shared" si="13"/>
        <v>17</v>
      </c>
      <c r="AD57" s="600"/>
      <c r="AE57" s="187">
        <v>4</v>
      </c>
      <c r="AF57" s="187">
        <v>2690.1818181818162</v>
      </c>
      <c r="AG57" s="187">
        <v>672.54545454545405</v>
      </c>
      <c r="AH57" s="463">
        <f t="shared" si="14"/>
        <v>13</v>
      </c>
      <c r="AI57" s="600"/>
      <c r="AJ57" s="187">
        <v>4</v>
      </c>
      <c r="AK57" s="187">
        <v>2798.490566037729</v>
      </c>
      <c r="AL57" s="187">
        <v>699.62264150943224</v>
      </c>
      <c r="AM57" s="463">
        <f t="shared" si="15"/>
        <v>13</v>
      </c>
      <c r="AN57" s="600"/>
      <c r="AO57" s="187">
        <v>4</v>
      </c>
      <c r="AP57" s="187">
        <v>2859.428571428572</v>
      </c>
      <c r="AQ57" s="187">
        <v>714.857142857143</v>
      </c>
      <c r="AR57" s="463">
        <f t="shared" si="16"/>
        <v>15</v>
      </c>
      <c r="AS57" s="600"/>
      <c r="AT57" s="187">
        <v>4</v>
      </c>
      <c r="AU57" s="187">
        <v>2772.0000000000005</v>
      </c>
      <c r="AV57" s="187">
        <v>693.00000000000011</v>
      </c>
      <c r="AW57" s="463">
        <f t="shared" si="17"/>
        <v>17</v>
      </c>
      <c r="AX57" s="600"/>
    </row>
    <row r="58" spans="2:50">
      <c r="B58" s="613"/>
      <c r="C58" s="336">
        <v>17</v>
      </c>
      <c r="D58" s="378" t="s">
        <v>469</v>
      </c>
      <c r="E58" s="378">
        <v>3</v>
      </c>
      <c r="F58" s="187">
        <v>2700</v>
      </c>
      <c r="G58" s="187">
        <v>900</v>
      </c>
      <c r="H58" s="600"/>
      <c r="I58" s="204">
        <f t="shared" si="18"/>
        <v>3</v>
      </c>
      <c r="J58" s="204">
        <f t="shared" si="19"/>
        <v>2669.5999999999985</v>
      </c>
      <c r="K58" s="205">
        <f t="shared" si="20"/>
        <v>889.86666666666622</v>
      </c>
      <c r="L58" s="585"/>
      <c r="M58" s="204">
        <f>RANK(K58, K$42:$K$71)</f>
        <v>4</v>
      </c>
      <c r="N58" s="592"/>
      <c r="O58" s="592"/>
      <c r="P58" s="187">
        <f>'[1]（５-1）品群別人時生產性（18℃-飯糰）'!P23</f>
        <v>3</v>
      </c>
      <c r="Q58" s="187">
        <f>'[1]（５-1）品群別人時生產性（18℃-飯糰）'!Q23</f>
        <v>2610.8571428571404</v>
      </c>
      <c r="R58" s="187">
        <f>'[1]（５-1）品群別人時生產性（18℃-飯糰）'!R23</f>
        <v>870.28571428571342</v>
      </c>
      <c r="S58" s="336">
        <f t="shared" si="11"/>
        <v>3</v>
      </c>
      <c r="T58" s="600"/>
      <c r="U58" s="187">
        <v>3</v>
      </c>
      <c r="V58" s="187">
        <v>2513.1428571428546</v>
      </c>
      <c r="W58" s="187">
        <v>837.71428571428487</v>
      </c>
      <c r="X58" s="463">
        <f t="shared" si="12"/>
        <v>6</v>
      </c>
      <c r="Y58" s="600"/>
      <c r="Z58" s="187">
        <v>3</v>
      </c>
      <c r="AA58" s="187">
        <v>2884.8000000000006</v>
      </c>
      <c r="AB58" s="187">
        <v>961.60000000000025</v>
      </c>
      <c r="AC58" s="463">
        <f t="shared" si="13"/>
        <v>1</v>
      </c>
      <c r="AD58" s="600"/>
      <c r="AE58" s="187"/>
      <c r="AF58" s="187"/>
      <c r="AG58" s="187"/>
      <c r="AH58" s="463" t="e">
        <f t="shared" si="14"/>
        <v>#N/A</v>
      </c>
      <c r="AI58" s="600"/>
      <c r="AJ58" s="187"/>
      <c r="AK58" s="187"/>
      <c r="AL58" s="187"/>
      <c r="AM58" s="463" t="e">
        <f t="shared" si="15"/>
        <v>#N/A</v>
      </c>
      <c r="AN58" s="600"/>
      <c r="AO58" s="187"/>
      <c r="AP58" s="187"/>
      <c r="AQ58" s="187"/>
      <c r="AR58" s="463" t="e">
        <f t="shared" si="16"/>
        <v>#N/A</v>
      </c>
      <c r="AS58" s="600"/>
      <c r="AT58" s="187"/>
      <c r="AU58" s="187"/>
      <c r="AV58" s="187"/>
      <c r="AW58" s="463" t="e">
        <f t="shared" si="17"/>
        <v>#N/A</v>
      </c>
      <c r="AX58" s="600"/>
    </row>
    <row r="59" spans="2:50">
      <c r="B59" s="613"/>
      <c r="C59" s="336">
        <v>18</v>
      </c>
      <c r="D59" s="378" t="s">
        <v>377</v>
      </c>
      <c r="E59" s="378">
        <v>4</v>
      </c>
      <c r="F59" s="187">
        <v>3600</v>
      </c>
      <c r="G59" s="187">
        <v>900</v>
      </c>
      <c r="H59" s="600"/>
      <c r="I59" s="204">
        <f t="shared" si="18"/>
        <v>4</v>
      </c>
      <c r="J59" s="204">
        <f t="shared" si="19"/>
        <v>2809.7142857142767</v>
      </c>
      <c r="K59" s="205">
        <f t="shared" si="20"/>
        <v>702.42857142856917</v>
      </c>
      <c r="L59" s="585"/>
      <c r="M59" s="204">
        <f>RANK(K59, K$42:$K$71)</f>
        <v>14</v>
      </c>
      <c r="N59" s="592"/>
      <c r="O59" s="592"/>
      <c r="P59" s="187">
        <f>'[1]（５-1）品群別人時生產性（18℃-飯糰）'!P24</f>
        <v>4</v>
      </c>
      <c r="Q59" s="187">
        <f>'[1]（５-1）品群別人時生產性（18℃-飯糰）'!Q24</f>
        <v>2865.5999999999917</v>
      </c>
      <c r="R59" s="187">
        <f>'[1]（５-1）品群別人時生產性（18℃-飯糰）'!R24</f>
        <v>716.39999999999793</v>
      </c>
      <c r="S59" s="336">
        <f t="shared" si="11"/>
        <v>13</v>
      </c>
      <c r="T59" s="600"/>
      <c r="U59" s="187">
        <v>4</v>
      </c>
      <c r="V59" s="187">
        <v>2687.9999999999923</v>
      </c>
      <c r="W59" s="187">
        <v>671.99999999999807</v>
      </c>
      <c r="X59" s="463">
        <f t="shared" si="12"/>
        <v>17</v>
      </c>
      <c r="Y59" s="600"/>
      <c r="Z59" s="187">
        <v>4</v>
      </c>
      <c r="AA59" s="187">
        <v>2558.3999999999928</v>
      </c>
      <c r="AB59" s="187">
        <v>639.5999999999982</v>
      </c>
      <c r="AC59" s="463">
        <f t="shared" si="13"/>
        <v>15</v>
      </c>
      <c r="AD59" s="600"/>
      <c r="AE59" s="187">
        <v>4</v>
      </c>
      <c r="AF59" s="187">
        <v>3095.9999999999864</v>
      </c>
      <c r="AG59" s="187">
        <v>773.99999999999659</v>
      </c>
      <c r="AH59" s="463">
        <f t="shared" si="14"/>
        <v>9</v>
      </c>
      <c r="AI59" s="600"/>
      <c r="AJ59" s="187">
        <v>4</v>
      </c>
      <c r="AK59" s="187">
        <v>2750.3999999999919</v>
      </c>
      <c r="AL59" s="187">
        <v>687.59999999999798</v>
      </c>
      <c r="AM59" s="463">
        <f t="shared" si="15"/>
        <v>14</v>
      </c>
      <c r="AN59" s="600"/>
      <c r="AO59" s="187">
        <v>4</v>
      </c>
      <c r="AP59" s="187">
        <v>2932.7999999999915</v>
      </c>
      <c r="AQ59" s="187">
        <v>733.19999999999789</v>
      </c>
      <c r="AR59" s="463">
        <f t="shared" si="16"/>
        <v>14</v>
      </c>
      <c r="AS59" s="600"/>
      <c r="AT59" s="187">
        <v>4</v>
      </c>
      <c r="AU59" s="187">
        <v>2776.799999999992</v>
      </c>
      <c r="AV59" s="187">
        <v>694.199999999998</v>
      </c>
      <c r="AW59" s="463">
        <f t="shared" si="17"/>
        <v>15</v>
      </c>
      <c r="AX59" s="600"/>
    </row>
    <row r="60" spans="2:50">
      <c r="B60" s="613"/>
      <c r="C60" s="336">
        <v>19</v>
      </c>
      <c r="D60" s="378" t="s">
        <v>378</v>
      </c>
      <c r="E60" s="378">
        <v>4</v>
      </c>
      <c r="F60" s="187">
        <v>3000</v>
      </c>
      <c r="G60" s="187">
        <v>750</v>
      </c>
      <c r="H60" s="600"/>
      <c r="I60" s="204">
        <f t="shared" si="18"/>
        <v>3</v>
      </c>
      <c r="J60" s="204">
        <f t="shared" si="19"/>
        <v>2248.3428571428512</v>
      </c>
      <c r="K60" s="205">
        <f t="shared" si="20"/>
        <v>749.4476190476172</v>
      </c>
      <c r="L60" s="585"/>
      <c r="M60" s="204">
        <f>RANK(K60, K$42:$K$71)</f>
        <v>12</v>
      </c>
      <c r="N60" s="592"/>
      <c r="O60" s="592"/>
      <c r="P60" s="187">
        <f>'[1]（５-1）品群別人時生產性（18℃-飯糰）'!P25</f>
        <v>3</v>
      </c>
      <c r="Q60" s="187">
        <f>'[1]（５-1）品群別人時生產性（18℃-飯糰）'!Q25</f>
        <v>2320.7999999999938</v>
      </c>
      <c r="R60" s="187">
        <f>'[1]（５-1）品群別人時生產性（18℃-飯糰）'!R25</f>
        <v>773.59999999999798</v>
      </c>
      <c r="S60" s="336">
        <f t="shared" si="11"/>
        <v>8</v>
      </c>
      <c r="T60" s="600"/>
      <c r="U60" s="187">
        <v>3</v>
      </c>
      <c r="V60" s="187">
        <v>2109.599999999994</v>
      </c>
      <c r="W60" s="187">
        <v>703.199999999998</v>
      </c>
      <c r="X60" s="463">
        <f t="shared" si="12"/>
        <v>14</v>
      </c>
      <c r="Y60" s="600"/>
      <c r="Z60" s="187">
        <v>3</v>
      </c>
      <c r="AA60" s="187">
        <v>2333.9999999999895</v>
      </c>
      <c r="AB60" s="187">
        <v>777.99999999999648</v>
      </c>
      <c r="AC60" s="463">
        <f t="shared" si="13"/>
        <v>9</v>
      </c>
      <c r="AD60" s="600"/>
      <c r="AE60" s="187">
        <v>3</v>
      </c>
      <c r="AF60" s="187">
        <v>2333.9999999999895</v>
      </c>
      <c r="AG60" s="187">
        <v>777.99999999999648</v>
      </c>
      <c r="AH60" s="463">
        <f t="shared" si="14"/>
        <v>8</v>
      </c>
      <c r="AI60" s="600"/>
      <c r="AJ60" s="187">
        <v>3</v>
      </c>
      <c r="AK60" s="187">
        <v>2157.5999999999935</v>
      </c>
      <c r="AL60" s="187">
        <v>719.19999999999789</v>
      </c>
      <c r="AM60" s="463">
        <f t="shared" si="15"/>
        <v>12</v>
      </c>
      <c r="AN60" s="600"/>
      <c r="AO60" s="187">
        <v>3</v>
      </c>
      <c r="AP60" s="187">
        <v>2498.3999999999928</v>
      </c>
      <c r="AQ60" s="187">
        <v>832.79999999999757</v>
      </c>
      <c r="AR60" s="463">
        <f t="shared" si="16"/>
        <v>10</v>
      </c>
      <c r="AS60" s="600"/>
      <c r="AT60" s="187">
        <v>3</v>
      </c>
      <c r="AU60" s="187">
        <v>1984.000000000007</v>
      </c>
      <c r="AV60" s="187">
        <v>661.33333333333564</v>
      </c>
      <c r="AW60" s="463">
        <f t="shared" si="17"/>
        <v>20</v>
      </c>
      <c r="AX60" s="600"/>
    </row>
    <row r="61" spans="2:50">
      <c r="B61" s="613"/>
      <c r="C61" s="336">
        <v>20</v>
      </c>
      <c r="D61" s="378" t="s">
        <v>379</v>
      </c>
      <c r="E61" s="378">
        <v>4</v>
      </c>
      <c r="F61" s="187">
        <v>3000</v>
      </c>
      <c r="G61" s="187">
        <v>750</v>
      </c>
      <c r="H61" s="600"/>
      <c r="I61" s="465">
        <f t="shared" ref="I61:I65" si="21">AVERAGE(P61,U61,Z61,AE61,AJ61,AO61,AT61)</f>
        <v>4</v>
      </c>
      <c r="J61" s="465">
        <f t="shared" ref="J61:J65" si="22">AVERAGE(Q61,V61,AA61,AF61,AK61,AP61,AU61)</f>
        <v>2131.0952380952303</v>
      </c>
      <c r="K61" s="205">
        <f t="shared" ref="K61:K65" si="23">AVERAGE(R61,W61,AB61,AG61,AL61,AQ61,AV61)</f>
        <v>532.77380952380759</v>
      </c>
      <c r="L61" s="585"/>
      <c r="M61" s="204">
        <f>RANK(K61, K$42:$K$71)</f>
        <v>24</v>
      </c>
      <c r="N61" s="592"/>
      <c r="O61" s="592"/>
      <c r="P61" s="187">
        <f>'[1]（５-1）品群別人時生產性（18℃-飯糰）'!P26</f>
        <v>4</v>
      </c>
      <c r="Q61" s="187">
        <f>'[1]（５-1）品群別人時生產性（18℃-飯糰）'!Q26</f>
        <v>2231.99999999999</v>
      </c>
      <c r="R61" s="187">
        <f>'[1]（５-1）品群別人時生產性（18℃-飯糰）'!R26</f>
        <v>557.9999999999975</v>
      </c>
      <c r="S61" s="336">
        <f t="shared" si="11"/>
        <v>22</v>
      </c>
      <c r="T61" s="600"/>
      <c r="U61" s="187">
        <v>4</v>
      </c>
      <c r="V61" s="187">
        <v>2006.9999999999911</v>
      </c>
      <c r="W61" s="187">
        <v>501.74999999999778</v>
      </c>
      <c r="X61" s="463">
        <f t="shared" si="12"/>
        <v>23</v>
      </c>
      <c r="Y61" s="600"/>
      <c r="Z61" s="187">
        <v>4</v>
      </c>
      <c r="AA61" s="187">
        <v>1973.333333333323</v>
      </c>
      <c r="AB61" s="187">
        <v>493.33333333333076</v>
      </c>
      <c r="AC61" s="463">
        <f t="shared" si="13"/>
        <v>23</v>
      </c>
      <c r="AD61" s="600"/>
      <c r="AE61" s="187">
        <v>4</v>
      </c>
      <c r="AF61" s="187">
        <v>1973.333333333323</v>
      </c>
      <c r="AG61" s="187">
        <v>493.33333333333076</v>
      </c>
      <c r="AH61" s="463">
        <f t="shared" si="14"/>
        <v>21</v>
      </c>
      <c r="AI61" s="600"/>
      <c r="AJ61" s="187">
        <v>4</v>
      </c>
      <c r="AK61" s="187">
        <v>2072.9999999999909</v>
      </c>
      <c r="AL61" s="187">
        <v>518.24999999999773</v>
      </c>
      <c r="AM61" s="463">
        <f t="shared" si="15"/>
        <v>21</v>
      </c>
      <c r="AN61" s="600"/>
      <c r="AO61" s="187">
        <v>4</v>
      </c>
      <c r="AP61" s="187">
        <v>2384.9999999999895</v>
      </c>
      <c r="AQ61" s="187">
        <v>596.24999999999739</v>
      </c>
      <c r="AR61" s="463">
        <f t="shared" si="16"/>
        <v>21</v>
      </c>
      <c r="AS61" s="600"/>
      <c r="AT61" s="187">
        <v>4</v>
      </c>
      <c r="AU61" s="187">
        <v>2274.0000000000082</v>
      </c>
      <c r="AV61" s="187">
        <v>568.50000000000205</v>
      </c>
      <c r="AW61" s="463">
        <f t="shared" si="17"/>
        <v>23</v>
      </c>
      <c r="AX61" s="600"/>
    </row>
    <row r="62" spans="2:50">
      <c r="B62" s="613"/>
      <c r="C62" s="336">
        <v>21</v>
      </c>
      <c r="D62" s="378" t="s">
        <v>380</v>
      </c>
      <c r="E62" s="378">
        <v>4</v>
      </c>
      <c r="F62" s="187">
        <v>3600</v>
      </c>
      <c r="G62" s="187">
        <v>900</v>
      </c>
      <c r="H62" s="600"/>
      <c r="I62" s="465">
        <f t="shared" si="21"/>
        <v>4</v>
      </c>
      <c r="J62" s="465">
        <f t="shared" si="22"/>
        <v>2465.7142857142899</v>
      </c>
      <c r="K62" s="205">
        <f t="shared" si="23"/>
        <v>616.42857142857247</v>
      </c>
      <c r="L62" s="585"/>
      <c r="M62" s="204">
        <f>RANK(K62, K$42:$K$71)</f>
        <v>21</v>
      </c>
      <c r="N62" s="592"/>
      <c r="O62" s="592"/>
      <c r="P62" s="336">
        <f>'[1]（５-1）品群別人時生產性（18℃-飯糰）'!P27</f>
        <v>4</v>
      </c>
      <c r="Q62" s="187">
        <f>'[1]（５-1）品群別人時生產性（18℃-飯糰）'!Q27</f>
        <v>2589.0000000000091</v>
      </c>
      <c r="R62" s="337">
        <f>'[1]（５-1）品群別人時生產性（18℃-飯糰）'!R27</f>
        <v>647.25000000000227</v>
      </c>
      <c r="S62" s="336">
        <f t="shared" si="11"/>
        <v>15</v>
      </c>
      <c r="T62" s="600"/>
      <c r="U62" s="463">
        <v>4</v>
      </c>
      <c r="V62" s="187">
        <v>3163.9999999999773</v>
      </c>
      <c r="W62" s="464">
        <v>790.99999999999432</v>
      </c>
      <c r="X62" s="463">
        <f t="shared" si="12"/>
        <v>8</v>
      </c>
      <c r="Y62" s="600"/>
      <c r="Z62" s="463">
        <v>4</v>
      </c>
      <c r="AA62" s="187">
        <v>2256.0000000000082</v>
      </c>
      <c r="AB62" s="464">
        <v>564.00000000000205</v>
      </c>
      <c r="AC62" s="463">
        <f t="shared" si="13"/>
        <v>20</v>
      </c>
      <c r="AD62" s="600"/>
      <c r="AE62" s="463">
        <v>4</v>
      </c>
      <c r="AF62" s="187">
        <v>2256.0000000000082</v>
      </c>
      <c r="AG62" s="464">
        <v>564.00000000000205</v>
      </c>
      <c r="AH62" s="463">
        <f t="shared" si="14"/>
        <v>19</v>
      </c>
      <c r="AI62" s="600"/>
      <c r="AJ62" s="463">
        <v>4</v>
      </c>
      <c r="AK62" s="187">
        <v>2394.0000000000086</v>
      </c>
      <c r="AL62" s="464">
        <v>598.50000000000216</v>
      </c>
      <c r="AM62" s="463">
        <f t="shared" si="15"/>
        <v>20</v>
      </c>
      <c r="AN62" s="600"/>
      <c r="AO62" s="463">
        <v>4</v>
      </c>
      <c r="AP62" s="187">
        <v>2000.000000000007</v>
      </c>
      <c r="AQ62" s="464">
        <v>500.00000000000176</v>
      </c>
      <c r="AR62" s="463">
        <f t="shared" si="16"/>
        <v>23</v>
      </c>
      <c r="AS62" s="600"/>
      <c r="AT62" s="463">
        <v>4</v>
      </c>
      <c r="AU62" s="187">
        <v>2601.0000000000091</v>
      </c>
      <c r="AV62" s="464">
        <v>650.25000000000227</v>
      </c>
      <c r="AW62" s="463">
        <f t="shared" si="17"/>
        <v>21</v>
      </c>
      <c r="AX62" s="600"/>
    </row>
    <row r="63" spans="2:50">
      <c r="B63" s="613"/>
      <c r="C63" s="336">
        <v>22</v>
      </c>
      <c r="D63" s="378" t="s">
        <v>625</v>
      </c>
      <c r="E63" s="378">
        <v>4</v>
      </c>
      <c r="F63" s="187">
        <v>3000</v>
      </c>
      <c r="G63" s="187">
        <v>750</v>
      </c>
      <c r="H63" s="600"/>
      <c r="I63" s="465">
        <f t="shared" si="21"/>
        <v>4</v>
      </c>
      <c r="J63" s="465">
        <f t="shared" si="22"/>
        <v>2526.4693877551081</v>
      </c>
      <c r="K63" s="205">
        <f t="shared" si="23"/>
        <v>631.61734693877702</v>
      </c>
      <c r="L63" s="585"/>
      <c r="M63" s="204">
        <f>RANK(K63, K$42:$K$71)</f>
        <v>19</v>
      </c>
      <c r="N63" s="592"/>
      <c r="O63" s="592"/>
      <c r="P63" s="336">
        <f>'[1]（５-1）品群別人時生產性（18℃-飯糰）'!P28</f>
        <v>4</v>
      </c>
      <c r="Q63" s="187">
        <f>'[1]（５-1）品群別人時生產性（18℃-飯糰）'!Q28</f>
        <v>2750.00000000001</v>
      </c>
      <c r="R63" s="337">
        <f>'[1]（５-1）品群別人時生產性（18℃-飯糰）'!R28</f>
        <v>687.5000000000025</v>
      </c>
      <c r="S63" s="336">
        <f t="shared" si="11"/>
        <v>14</v>
      </c>
      <c r="T63" s="600"/>
      <c r="U63" s="463">
        <v>4</v>
      </c>
      <c r="V63" s="187">
        <v>2946.0000000000105</v>
      </c>
      <c r="W63" s="464">
        <v>736.50000000000261</v>
      </c>
      <c r="X63" s="463">
        <f t="shared" si="12"/>
        <v>12</v>
      </c>
      <c r="Y63" s="600"/>
      <c r="Z63" s="463">
        <v>4</v>
      </c>
      <c r="AA63" s="187">
        <v>2250.0000000000082</v>
      </c>
      <c r="AB63" s="464">
        <v>562.50000000000205</v>
      </c>
      <c r="AC63" s="463">
        <f t="shared" si="13"/>
        <v>21</v>
      </c>
      <c r="AD63" s="600"/>
      <c r="AE63" s="463">
        <v>4</v>
      </c>
      <c r="AF63" s="187">
        <v>1894.285714285721</v>
      </c>
      <c r="AG63" s="464">
        <v>473.57142857143026</v>
      </c>
      <c r="AH63" s="463">
        <f t="shared" si="14"/>
        <v>22</v>
      </c>
      <c r="AI63" s="600"/>
      <c r="AJ63" s="463">
        <v>4</v>
      </c>
      <c r="AK63" s="187">
        <v>1859.9999999999852</v>
      </c>
      <c r="AL63" s="464">
        <v>464.99999999999631</v>
      </c>
      <c r="AM63" s="463">
        <f t="shared" si="15"/>
        <v>22</v>
      </c>
      <c r="AN63" s="600"/>
      <c r="AO63" s="463">
        <v>4</v>
      </c>
      <c r="AP63" s="187">
        <v>2940.00000000001</v>
      </c>
      <c r="AQ63" s="464">
        <v>735.0000000000025</v>
      </c>
      <c r="AR63" s="463">
        <f t="shared" si="16"/>
        <v>13</v>
      </c>
      <c r="AS63" s="600"/>
      <c r="AT63" s="463">
        <v>4</v>
      </c>
      <c r="AU63" s="187">
        <v>3045.0000000000105</v>
      </c>
      <c r="AV63" s="464">
        <v>761.25000000000261</v>
      </c>
      <c r="AW63" s="463">
        <f t="shared" si="17"/>
        <v>13</v>
      </c>
      <c r="AX63" s="600"/>
    </row>
    <row r="64" spans="2:50">
      <c r="B64" s="613"/>
      <c r="C64" s="336">
        <v>23</v>
      </c>
      <c r="D64" s="378" t="s">
        <v>663</v>
      </c>
      <c r="E64" s="378">
        <v>4</v>
      </c>
      <c r="F64" s="187">
        <v>3300</v>
      </c>
      <c r="G64" s="187">
        <v>825</v>
      </c>
      <c r="H64" s="600"/>
      <c r="I64" s="465">
        <f t="shared" si="21"/>
        <v>3</v>
      </c>
      <c r="J64" s="465">
        <f t="shared" si="22"/>
        <v>2664.4368159760365</v>
      </c>
      <c r="K64" s="205">
        <f t="shared" si="23"/>
        <v>888.14560532534517</v>
      </c>
      <c r="L64" s="585"/>
      <c r="M64" s="204">
        <f>RANK(K64, K$42:$K$71)</f>
        <v>5</v>
      </c>
      <c r="N64" s="592"/>
      <c r="O64" s="592"/>
      <c r="P64" s="463">
        <f>'[1]（５-1）品群別人時生產性（18℃-飯糰）'!P29</f>
        <v>3</v>
      </c>
      <c r="Q64" s="187">
        <f>'[1]（５-1）品群別人時生產性（18℃-飯糰）'!Q29</f>
        <v>2403.6923076923049</v>
      </c>
      <c r="R64" s="464">
        <f>'[1]（５-1）品群別人時生產性（18℃-飯糰）'!R29</f>
        <v>801.23076923076826</v>
      </c>
      <c r="S64" s="336">
        <f t="shared" si="11"/>
        <v>7</v>
      </c>
      <c r="T64" s="600"/>
      <c r="U64" s="463">
        <v>3</v>
      </c>
      <c r="V64" s="187">
        <v>2575.0000000000023</v>
      </c>
      <c r="W64" s="464">
        <v>858.33333333333405</v>
      </c>
      <c r="X64" s="463">
        <f t="shared" si="12"/>
        <v>5</v>
      </c>
      <c r="Y64" s="600"/>
      <c r="Z64" s="463">
        <v>3</v>
      </c>
      <c r="AA64" s="187">
        <v>2773.9534883720926</v>
      </c>
      <c r="AB64" s="464">
        <v>924.65116279069753</v>
      </c>
      <c r="AC64" s="463">
        <f t="shared" si="13"/>
        <v>2</v>
      </c>
      <c r="AD64" s="600"/>
      <c r="AE64" s="463">
        <v>3</v>
      </c>
      <c r="AF64" s="187">
        <v>2688</v>
      </c>
      <c r="AG64" s="464">
        <v>896</v>
      </c>
      <c r="AH64" s="463">
        <f t="shared" si="14"/>
        <v>3</v>
      </c>
      <c r="AI64" s="600"/>
      <c r="AJ64" s="463">
        <v>3</v>
      </c>
      <c r="AK64" s="187">
        <v>2681.3333333333335</v>
      </c>
      <c r="AL64" s="464">
        <v>893.77777777777783</v>
      </c>
      <c r="AM64" s="463">
        <f t="shared" si="15"/>
        <v>5</v>
      </c>
      <c r="AN64" s="600"/>
      <c r="AO64" s="463">
        <v>3</v>
      </c>
      <c r="AP64" s="187">
        <v>2770.1694915254261</v>
      </c>
      <c r="AQ64" s="464">
        <v>923.38983050847537</v>
      </c>
      <c r="AR64" s="463">
        <f t="shared" si="16"/>
        <v>5</v>
      </c>
      <c r="AS64" s="600"/>
      <c r="AT64" s="463">
        <v>3</v>
      </c>
      <c r="AU64" s="187">
        <v>2758.9090909090928</v>
      </c>
      <c r="AV64" s="464">
        <v>919.63636363636431</v>
      </c>
      <c r="AW64" s="463">
        <f t="shared" si="17"/>
        <v>4</v>
      </c>
      <c r="AX64" s="600"/>
    </row>
    <row r="65" spans="2:50">
      <c r="B65" s="613"/>
      <c r="C65" s="336">
        <v>24</v>
      </c>
      <c r="D65" s="378" t="s">
        <v>764</v>
      </c>
      <c r="E65" s="378">
        <v>3</v>
      </c>
      <c r="F65" s="187">
        <v>3000</v>
      </c>
      <c r="G65" s="187">
        <v>1000</v>
      </c>
      <c r="H65" s="600"/>
      <c r="I65" s="465">
        <f t="shared" si="21"/>
        <v>3</v>
      </c>
      <c r="J65" s="465">
        <f t="shared" si="22"/>
        <v>2780.4525902668734</v>
      </c>
      <c r="K65" s="205">
        <f t="shared" si="23"/>
        <v>926.81753008895794</v>
      </c>
      <c r="L65" s="585"/>
      <c r="M65" s="204">
        <f>RANK(K65, K$42:$K$71)</f>
        <v>1</v>
      </c>
      <c r="N65" s="592"/>
      <c r="O65" s="592"/>
      <c r="P65" s="463">
        <f>'[1]（５-1）品群別人時生產性（18℃-飯糰）'!P30</f>
        <v>3</v>
      </c>
      <c r="Q65" s="187">
        <f>'[1]（５-1）品群別人時生產性（18℃-飯糰）'!Q30</f>
        <v>2611.5000000000041</v>
      </c>
      <c r="R65" s="464">
        <f>'[1]（５-1）品群別人時生產性（18℃-飯糰）'!R30</f>
        <v>870.50000000000136</v>
      </c>
      <c r="S65" s="336">
        <f t="shared" si="11"/>
        <v>2</v>
      </c>
      <c r="T65" s="600"/>
      <c r="U65" s="463">
        <v>3</v>
      </c>
      <c r="V65" s="187">
        <v>2748.7999999999979</v>
      </c>
      <c r="W65" s="464">
        <v>916.26666666666597</v>
      </c>
      <c r="X65" s="463">
        <f t="shared" si="12"/>
        <v>2</v>
      </c>
      <c r="Y65" s="600"/>
      <c r="Z65" s="463">
        <v>3</v>
      </c>
      <c r="AA65" s="187">
        <v>2765.9999999999973</v>
      </c>
      <c r="AB65" s="464">
        <v>921.99999999999909</v>
      </c>
      <c r="AC65" s="463">
        <f t="shared" si="13"/>
        <v>3</v>
      </c>
      <c r="AD65" s="600"/>
      <c r="AE65" s="463">
        <v>3</v>
      </c>
      <c r="AF65" s="187">
        <v>2857.846153846157</v>
      </c>
      <c r="AG65" s="464">
        <v>952.61538461538566</v>
      </c>
      <c r="AH65" s="463">
        <f t="shared" si="14"/>
        <v>1</v>
      </c>
      <c r="AI65" s="600"/>
      <c r="AJ65" s="463">
        <v>3</v>
      </c>
      <c r="AK65" s="187">
        <v>2732.3076923076819</v>
      </c>
      <c r="AL65" s="464">
        <v>910.76923076922731</v>
      </c>
      <c r="AM65" s="463">
        <f t="shared" si="15"/>
        <v>3</v>
      </c>
      <c r="AN65" s="600"/>
      <c r="AO65" s="463">
        <v>3</v>
      </c>
      <c r="AP65" s="187">
        <v>3032.9999999999945</v>
      </c>
      <c r="AQ65" s="464">
        <v>1010.9999999999982</v>
      </c>
      <c r="AR65" s="463">
        <f t="shared" si="16"/>
        <v>2</v>
      </c>
      <c r="AS65" s="600"/>
      <c r="AT65" s="463">
        <v>3</v>
      </c>
      <c r="AU65" s="187">
        <v>2713.7142857142831</v>
      </c>
      <c r="AV65" s="464">
        <v>904.57142857142765</v>
      </c>
      <c r="AW65" s="463">
        <f t="shared" si="17"/>
        <v>6</v>
      </c>
      <c r="AX65" s="600"/>
    </row>
    <row r="66" spans="2:50">
      <c r="B66" s="613"/>
      <c r="C66" s="336">
        <v>25</v>
      </c>
      <c r="D66" s="378"/>
      <c r="E66" s="378"/>
      <c r="F66" s="187"/>
      <c r="G66" s="187"/>
      <c r="H66" s="600"/>
      <c r="I66" s="207"/>
      <c r="J66" s="207"/>
      <c r="K66" s="207"/>
      <c r="L66" s="585"/>
      <c r="M66" s="204" t="e">
        <f>RANK(K66, K$42:$K$71)</f>
        <v>#N/A</v>
      </c>
      <c r="N66" s="592"/>
      <c r="O66" s="592"/>
      <c r="P66" s="463"/>
      <c r="Q66" s="187"/>
      <c r="R66" s="464"/>
      <c r="S66" s="336" t="e">
        <f t="shared" si="11"/>
        <v>#N/A</v>
      </c>
      <c r="T66" s="600"/>
      <c r="U66" s="463"/>
      <c r="V66" s="187"/>
      <c r="W66" s="464"/>
      <c r="X66" s="463" t="e">
        <f t="shared" si="12"/>
        <v>#N/A</v>
      </c>
      <c r="Y66" s="600"/>
      <c r="Z66" s="463"/>
      <c r="AA66" s="187"/>
      <c r="AB66" s="464"/>
      <c r="AC66" s="463" t="e">
        <f t="shared" si="13"/>
        <v>#N/A</v>
      </c>
      <c r="AD66" s="600"/>
      <c r="AE66" s="463"/>
      <c r="AF66" s="187"/>
      <c r="AG66" s="464"/>
      <c r="AH66" s="463" t="e">
        <f t="shared" si="14"/>
        <v>#N/A</v>
      </c>
      <c r="AI66" s="600"/>
      <c r="AJ66" s="463"/>
      <c r="AK66" s="187"/>
      <c r="AL66" s="464"/>
      <c r="AM66" s="463" t="e">
        <f t="shared" si="15"/>
        <v>#N/A</v>
      </c>
      <c r="AN66" s="600"/>
      <c r="AO66" s="463"/>
      <c r="AP66" s="187"/>
      <c r="AQ66" s="464"/>
      <c r="AR66" s="463" t="e">
        <f t="shared" si="16"/>
        <v>#N/A</v>
      </c>
      <c r="AS66" s="600"/>
      <c r="AT66" s="463"/>
      <c r="AU66" s="187"/>
      <c r="AV66" s="464"/>
      <c r="AW66" s="463" t="e">
        <f t="shared" si="17"/>
        <v>#N/A</v>
      </c>
      <c r="AX66" s="600"/>
    </row>
    <row r="67" spans="2:50">
      <c r="B67" s="613"/>
      <c r="C67" s="336">
        <v>26</v>
      </c>
      <c r="D67" s="378"/>
      <c r="E67" s="378"/>
      <c r="F67" s="187"/>
      <c r="G67" s="187"/>
      <c r="H67" s="600"/>
      <c r="I67" s="207"/>
      <c r="J67" s="207"/>
      <c r="K67" s="207"/>
      <c r="L67" s="585"/>
      <c r="M67" s="204" t="e">
        <f>RANK(K67, K$42:$K$71)</f>
        <v>#N/A</v>
      </c>
      <c r="N67" s="592"/>
      <c r="O67" s="592"/>
      <c r="P67" s="463"/>
      <c r="Q67" s="187"/>
      <c r="R67" s="464"/>
      <c r="S67" s="336" t="e">
        <f t="shared" si="11"/>
        <v>#N/A</v>
      </c>
      <c r="T67" s="600"/>
      <c r="U67" s="463"/>
      <c r="V67" s="187"/>
      <c r="W67" s="464"/>
      <c r="X67" s="463" t="e">
        <f t="shared" si="12"/>
        <v>#N/A</v>
      </c>
      <c r="Y67" s="600"/>
      <c r="Z67" s="463"/>
      <c r="AA67" s="187"/>
      <c r="AB67" s="464"/>
      <c r="AC67" s="463" t="e">
        <f t="shared" si="13"/>
        <v>#N/A</v>
      </c>
      <c r="AD67" s="600"/>
      <c r="AE67" s="463"/>
      <c r="AF67" s="187"/>
      <c r="AG67" s="464"/>
      <c r="AH67" s="463" t="e">
        <f t="shared" si="14"/>
        <v>#N/A</v>
      </c>
      <c r="AI67" s="600"/>
      <c r="AJ67" s="463"/>
      <c r="AK67" s="187"/>
      <c r="AL67" s="464"/>
      <c r="AM67" s="463" t="e">
        <f t="shared" si="15"/>
        <v>#N/A</v>
      </c>
      <c r="AN67" s="600"/>
      <c r="AO67" s="463"/>
      <c r="AP67" s="187"/>
      <c r="AQ67" s="464"/>
      <c r="AR67" s="463" t="e">
        <f t="shared" si="16"/>
        <v>#N/A</v>
      </c>
      <c r="AS67" s="600"/>
      <c r="AT67" s="463"/>
      <c r="AU67" s="187"/>
      <c r="AV67" s="464"/>
      <c r="AW67" s="463" t="e">
        <f t="shared" si="17"/>
        <v>#N/A</v>
      </c>
      <c r="AX67" s="600"/>
    </row>
    <row r="68" spans="2:50">
      <c r="B68" s="613"/>
      <c r="C68" s="336">
        <v>27</v>
      </c>
      <c r="D68" s="378"/>
      <c r="E68" s="378"/>
      <c r="F68" s="187"/>
      <c r="G68" s="187"/>
      <c r="H68" s="600"/>
      <c r="I68" s="207"/>
      <c r="J68" s="207"/>
      <c r="K68" s="207"/>
      <c r="L68" s="585"/>
      <c r="M68" s="204" t="e">
        <f>RANK(K68, K$42:$K$71)</f>
        <v>#N/A</v>
      </c>
      <c r="N68" s="592"/>
      <c r="O68" s="592"/>
      <c r="P68" s="463"/>
      <c r="Q68" s="187"/>
      <c r="R68" s="464"/>
      <c r="S68" s="336" t="e">
        <f t="shared" si="11"/>
        <v>#N/A</v>
      </c>
      <c r="T68" s="600"/>
      <c r="U68" s="463"/>
      <c r="V68" s="187"/>
      <c r="W68" s="464"/>
      <c r="X68" s="463" t="e">
        <f t="shared" si="12"/>
        <v>#N/A</v>
      </c>
      <c r="Y68" s="600"/>
      <c r="Z68" s="463"/>
      <c r="AA68" s="187"/>
      <c r="AB68" s="464"/>
      <c r="AC68" s="463" t="e">
        <f t="shared" si="13"/>
        <v>#N/A</v>
      </c>
      <c r="AD68" s="600"/>
      <c r="AE68" s="463"/>
      <c r="AF68" s="187"/>
      <c r="AG68" s="464"/>
      <c r="AH68" s="463" t="e">
        <f t="shared" si="14"/>
        <v>#N/A</v>
      </c>
      <c r="AI68" s="600"/>
      <c r="AJ68" s="463"/>
      <c r="AK68" s="187"/>
      <c r="AL68" s="464"/>
      <c r="AM68" s="463" t="e">
        <f t="shared" si="15"/>
        <v>#N/A</v>
      </c>
      <c r="AN68" s="600"/>
      <c r="AO68" s="463"/>
      <c r="AP68" s="187"/>
      <c r="AQ68" s="464"/>
      <c r="AR68" s="463" t="e">
        <f t="shared" si="16"/>
        <v>#N/A</v>
      </c>
      <c r="AS68" s="600"/>
      <c r="AT68" s="463"/>
      <c r="AU68" s="187"/>
      <c r="AV68" s="464"/>
      <c r="AW68" s="463" t="e">
        <f t="shared" si="17"/>
        <v>#N/A</v>
      </c>
      <c r="AX68" s="600"/>
    </row>
    <row r="69" spans="2:50">
      <c r="B69" s="613"/>
      <c r="C69" s="336">
        <v>28</v>
      </c>
      <c r="D69" s="378"/>
      <c r="E69" s="378"/>
      <c r="F69" s="187"/>
      <c r="G69" s="187"/>
      <c r="H69" s="600"/>
      <c r="I69" s="207"/>
      <c r="J69" s="207"/>
      <c r="K69" s="207"/>
      <c r="L69" s="585"/>
      <c r="M69" s="204" t="e">
        <f>RANK(K69, K$42:$K$71)</f>
        <v>#N/A</v>
      </c>
      <c r="N69" s="592"/>
      <c r="O69" s="592"/>
      <c r="P69" s="463"/>
      <c r="Q69" s="187"/>
      <c r="R69" s="464"/>
      <c r="S69" s="336" t="e">
        <f t="shared" si="11"/>
        <v>#N/A</v>
      </c>
      <c r="T69" s="600"/>
      <c r="U69" s="463"/>
      <c r="V69" s="187"/>
      <c r="W69" s="464"/>
      <c r="X69" s="463" t="e">
        <f t="shared" si="12"/>
        <v>#N/A</v>
      </c>
      <c r="Y69" s="600"/>
      <c r="Z69" s="463"/>
      <c r="AA69" s="187"/>
      <c r="AB69" s="464"/>
      <c r="AC69" s="463" t="e">
        <f t="shared" si="13"/>
        <v>#N/A</v>
      </c>
      <c r="AD69" s="600"/>
      <c r="AE69" s="463"/>
      <c r="AF69" s="187"/>
      <c r="AG69" s="464"/>
      <c r="AH69" s="463" t="e">
        <f t="shared" si="14"/>
        <v>#N/A</v>
      </c>
      <c r="AI69" s="600"/>
      <c r="AJ69" s="463"/>
      <c r="AK69" s="187"/>
      <c r="AL69" s="464"/>
      <c r="AM69" s="463" t="e">
        <f t="shared" si="15"/>
        <v>#N/A</v>
      </c>
      <c r="AN69" s="600"/>
      <c r="AO69" s="463"/>
      <c r="AP69" s="187"/>
      <c r="AQ69" s="464"/>
      <c r="AR69" s="463" t="e">
        <f t="shared" si="16"/>
        <v>#N/A</v>
      </c>
      <c r="AS69" s="600"/>
      <c r="AT69" s="463"/>
      <c r="AU69" s="187"/>
      <c r="AV69" s="464"/>
      <c r="AW69" s="463" t="e">
        <f t="shared" si="17"/>
        <v>#N/A</v>
      </c>
      <c r="AX69" s="600"/>
    </row>
    <row r="70" spans="2:50">
      <c r="B70" s="613"/>
      <c r="C70" s="336">
        <v>29</v>
      </c>
      <c r="D70" s="378"/>
      <c r="E70" s="378"/>
      <c r="F70" s="187"/>
      <c r="G70" s="187"/>
      <c r="H70" s="600"/>
      <c r="I70" s="207"/>
      <c r="J70" s="207"/>
      <c r="K70" s="207"/>
      <c r="L70" s="585"/>
      <c r="M70" s="204" t="e">
        <f>RANK(K70, K$42:$K$71)</f>
        <v>#N/A</v>
      </c>
      <c r="N70" s="592"/>
      <c r="O70" s="592"/>
      <c r="P70" s="463"/>
      <c r="Q70" s="187"/>
      <c r="R70" s="464"/>
      <c r="S70" s="336" t="e">
        <f t="shared" si="11"/>
        <v>#N/A</v>
      </c>
      <c r="T70" s="600"/>
      <c r="U70" s="463"/>
      <c r="V70" s="187"/>
      <c r="W70" s="464"/>
      <c r="X70" s="463" t="e">
        <f t="shared" si="12"/>
        <v>#N/A</v>
      </c>
      <c r="Y70" s="600"/>
      <c r="Z70" s="463"/>
      <c r="AA70" s="187"/>
      <c r="AB70" s="464"/>
      <c r="AC70" s="463" t="e">
        <f t="shared" si="13"/>
        <v>#N/A</v>
      </c>
      <c r="AD70" s="600"/>
      <c r="AE70" s="463"/>
      <c r="AF70" s="187"/>
      <c r="AG70" s="464"/>
      <c r="AH70" s="463" t="e">
        <f t="shared" si="14"/>
        <v>#N/A</v>
      </c>
      <c r="AI70" s="600"/>
      <c r="AJ70" s="463"/>
      <c r="AK70" s="187"/>
      <c r="AL70" s="464"/>
      <c r="AM70" s="463" t="e">
        <f t="shared" si="15"/>
        <v>#N/A</v>
      </c>
      <c r="AN70" s="600"/>
      <c r="AO70" s="463"/>
      <c r="AP70" s="187"/>
      <c r="AQ70" s="464"/>
      <c r="AR70" s="463" t="e">
        <f t="shared" si="16"/>
        <v>#N/A</v>
      </c>
      <c r="AS70" s="600"/>
      <c r="AT70" s="463"/>
      <c r="AU70" s="187"/>
      <c r="AV70" s="464"/>
      <c r="AW70" s="463" t="e">
        <f t="shared" si="17"/>
        <v>#N/A</v>
      </c>
      <c r="AX70" s="600"/>
    </row>
    <row r="71" spans="2:50">
      <c r="B71" s="614"/>
      <c r="C71" s="336">
        <v>30</v>
      </c>
      <c r="D71" s="378"/>
      <c r="E71" s="378"/>
      <c r="F71" s="187"/>
      <c r="G71" s="187"/>
      <c r="H71" s="601"/>
      <c r="I71" s="207"/>
      <c r="J71" s="207"/>
      <c r="K71" s="207"/>
      <c r="L71" s="586"/>
      <c r="M71" s="204" t="e">
        <f>RANK(K71, K$42:$K$71)</f>
        <v>#N/A</v>
      </c>
      <c r="N71" s="593"/>
      <c r="O71" s="593"/>
      <c r="P71" s="463"/>
      <c r="Q71" s="187"/>
      <c r="R71" s="464"/>
      <c r="S71" s="336" t="e">
        <f t="shared" si="11"/>
        <v>#N/A</v>
      </c>
      <c r="T71" s="601"/>
      <c r="U71" s="463"/>
      <c r="V71" s="187"/>
      <c r="W71" s="464"/>
      <c r="X71" s="463" t="e">
        <f t="shared" si="12"/>
        <v>#N/A</v>
      </c>
      <c r="Y71" s="601"/>
      <c r="Z71" s="463"/>
      <c r="AA71" s="187"/>
      <c r="AB71" s="464"/>
      <c r="AC71" s="463" t="e">
        <f t="shared" si="13"/>
        <v>#N/A</v>
      </c>
      <c r="AD71" s="601"/>
      <c r="AE71" s="463"/>
      <c r="AF71" s="187"/>
      <c r="AG71" s="464"/>
      <c r="AH71" s="463" t="e">
        <f t="shared" si="14"/>
        <v>#N/A</v>
      </c>
      <c r="AI71" s="601"/>
      <c r="AJ71" s="463"/>
      <c r="AK71" s="187"/>
      <c r="AL71" s="464"/>
      <c r="AM71" s="463" t="e">
        <f t="shared" si="15"/>
        <v>#N/A</v>
      </c>
      <c r="AN71" s="601"/>
      <c r="AO71" s="463"/>
      <c r="AP71" s="187"/>
      <c r="AQ71" s="464"/>
      <c r="AR71" s="463" t="e">
        <f t="shared" si="16"/>
        <v>#N/A</v>
      </c>
      <c r="AS71" s="601"/>
      <c r="AT71" s="463"/>
      <c r="AU71" s="187"/>
      <c r="AV71" s="464"/>
      <c r="AW71" s="463" t="e">
        <f t="shared" si="17"/>
        <v>#N/A</v>
      </c>
      <c r="AX71" s="601"/>
    </row>
    <row r="72" spans="2:50" ht="15.75">
      <c r="B72" s="615" t="s">
        <v>163</v>
      </c>
      <c r="C72" s="616"/>
      <c r="D72" s="616"/>
      <c r="E72" s="616"/>
      <c r="F72" s="616"/>
      <c r="G72" s="616"/>
      <c r="H72" s="616"/>
      <c r="I72" s="213"/>
      <c r="J72" s="208"/>
      <c r="K72" s="213"/>
      <c r="L72" s="213"/>
      <c r="M72" s="209"/>
      <c r="N72" s="591" t="s">
        <v>156</v>
      </c>
      <c r="O72" s="591" t="s">
        <v>155</v>
      </c>
      <c r="P72" s="597">
        <f>P37+7</f>
        <v>45944</v>
      </c>
      <c r="Q72" s="598"/>
      <c r="R72" s="598"/>
      <c r="S72" s="598"/>
      <c r="T72" s="598"/>
      <c r="U72" s="594">
        <f>P72+1</f>
        <v>45945</v>
      </c>
      <c r="V72" s="595"/>
      <c r="W72" s="595"/>
      <c r="X72" s="595"/>
      <c r="Y72" s="596"/>
      <c r="Z72" s="594">
        <f>U72+1</f>
        <v>45946</v>
      </c>
      <c r="AA72" s="595"/>
      <c r="AB72" s="595"/>
      <c r="AC72" s="595"/>
      <c r="AD72" s="596"/>
      <c r="AE72" s="594">
        <f>Z72+1</f>
        <v>45947</v>
      </c>
      <c r="AF72" s="595"/>
      <c r="AG72" s="595"/>
      <c r="AH72" s="595"/>
      <c r="AI72" s="596"/>
      <c r="AJ72" s="594">
        <f>AE72+1</f>
        <v>45948</v>
      </c>
      <c r="AK72" s="595"/>
      <c r="AL72" s="595"/>
      <c r="AM72" s="595"/>
      <c r="AN72" s="596"/>
      <c r="AO72" s="594">
        <f>AJ72+1</f>
        <v>45949</v>
      </c>
      <c r="AP72" s="595"/>
      <c r="AQ72" s="595"/>
      <c r="AR72" s="595"/>
      <c r="AS72" s="596"/>
      <c r="AT72" s="594">
        <f>AO72+1</f>
        <v>45950</v>
      </c>
      <c r="AU72" s="595"/>
      <c r="AV72" s="595"/>
      <c r="AW72" s="595"/>
      <c r="AX72" s="596"/>
    </row>
    <row r="73" spans="2:50" ht="15.75">
      <c r="B73" s="605"/>
      <c r="C73" s="605"/>
      <c r="D73" s="605"/>
      <c r="E73" s="605"/>
      <c r="F73" s="605"/>
      <c r="G73" s="605"/>
      <c r="H73" s="605"/>
      <c r="I73" s="210"/>
      <c r="J73" s="210"/>
      <c r="K73" s="210"/>
      <c r="L73" s="210"/>
      <c r="M73" s="211"/>
      <c r="N73" s="593"/>
      <c r="O73" s="593"/>
      <c r="P73" s="597" t="s">
        <v>336</v>
      </c>
      <c r="Q73" s="598"/>
      <c r="R73" s="598"/>
      <c r="S73" s="598"/>
      <c r="T73" s="598"/>
      <c r="U73" s="597" t="s">
        <v>337</v>
      </c>
      <c r="V73" s="598"/>
      <c r="W73" s="598"/>
      <c r="X73" s="598"/>
      <c r="Y73" s="598"/>
      <c r="Z73" s="597" t="s">
        <v>338</v>
      </c>
      <c r="AA73" s="598"/>
      <c r="AB73" s="598"/>
      <c r="AC73" s="598"/>
      <c r="AD73" s="598"/>
      <c r="AE73" s="597" t="s">
        <v>339</v>
      </c>
      <c r="AF73" s="598"/>
      <c r="AG73" s="598"/>
      <c r="AH73" s="598"/>
      <c r="AI73" s="598"/>
      <c r="AJ73" s="597" t="s">
        <v>340</v>
      </c>
      <c r="AK73" s="598"/>
      <c r="AL73" s="598"/>
      <c r="AM73" s="598"/>
      <c r="AN73" s="598"/>
      <c r="AO73" s="597" t="s">
        <v>341</v>
      </c>
      <c r="AP73" s="598"/>
      <c r="AQ73" s="598"/>
      <c r="AR73" s="598"/>
      <c r="AS73" s="598"/>
      <c r="AT73" s="597" t="s">
        <v>342</v>
      </c>
      <c r="AU73" s="598"/>
      <c r="AV73" s="598"/>
      <c r="AW73" s="598"/>
      <c r="AX73" s="598"/>
    </row>
    <row r="74" spans="2:50">
      <c r="B74" s="591" t="s">
        <v>627</v>
      </c>
      <c r="C74" s="606" t="s">
        <v>628</v>
      </c>
      <c r="D74" s="609"/>
      <c r="E74" s="587" t="s">
        <v>629</v>
      </c>
      <c r="F74" s="588"/>
      <c r="G74" s="589"/>
      <c r="H74" s="591" t="s">
        <v>630</v>
      </c>
      <c r="I74" s="578" t="s">
        <v>631</v>
      </c>
      <c r="J74" s="579"/>
      <c r="K74" s="580"/>
      <c r="L74" s="581" t="s">
        <v>630</v>
      </c>
      <c r="M74" s="581" t="s">
        <v>632</v>
      </c>
      <c r="N74" s="591"/>
      <c r="O74" s="591" t="s">
        <v>633</v>
      </c>
      <c r="P74" s="587" t="s">
        <v>634</v>
      </c>
      <c r="Q74" s="588"/>
      <c r="R74" s="588"/>
      <c r="S74" s="589"/>
      <c r="T74" s="591" t="s">
        <v>630</v>
      </c>
      <c r="U74" s="587" t="s">
        <v>634</v>
      </c>
      <c r="V74" s="588"/>
      <c r="W74" s="588"/>
      <c r="X74" s="589"/>
      <c r="Y74" s="591" t="s">
        <v>630</v>
      </c>
      <c r="Z74" s="587" t="s">
        <v>634</v>
      </c>
      <c r="AA74" s="588"/>
      <c r="AB74" s="588"/>
      <c r="AC74" s="589"/>
      <c r="AD74" s="591" t="s">
        <v>630</v>
      </c>
      <c r="AE74" s="587" t="s">
        <v>634</v>
      </c>
      <c r="AF74" s="588"/>
      <c r="AG74" s="588"/>
      <c r="AH74" s="589"/>
      <c r="AI74" s="591" t="s">
        <v>630</v>
      </c>
      <c r="AJ74" s="587" t="s">
        <v>634</v>
      </c>
      <c r="AK74" s="588"/>
      <c r="AL74" s="588"/>
      <c r="AM74" s="589"/>
      <c r="AN74" s="591" t="s">
        <v>630</v>
      </c>
      <c r="AO74" s="587" t="s">
        <v>634</v>
      </c>
      <c r="AP74" s="588"/>
      <c r="AQ74" s="588"/>
      <c r="AR74" s="589"/>
      <c r="AS74" s="591" t="s">
        <v>630</v>
      </c>
      <c r="AT74" s="587" t="s">
        <v>634</v>
      </c>
      <c r="AU74" s="588"/>
      <c r="AV74" s="588"/>
      <c r="AW74" s="589"/>
      <c r="AX74" s="591" t="s">
        <v>630</v>
      </c>
    </row>
    <row r="75" spans="2:50">
      <c r="B75" s="592"/>
      <c r="C75" s="607"/>
      <c r="D75" s="610"/>
      <c r="E75" s="587" t="s">
        <v>635</v>
      </c>
      <c r="F75" s="588"/>
      <c r="G75" s="589"/>
      <c r="H75" s="592"/>
      <c r="I75" s="578" t="s">
        <v>635</v>
      </c>
      <c r="J75" s="579"/>
      <c r="K75" s="580"/>
      <c r="L75" s="582"/>
      <c r="M75" s="582"/>
      <c r="N75" s="592"/>
      <c r="O75" s="592"/>
      <c r="P75" s="587" t="s">
        <v>636</v>
      </c>
      <c r="Q75" s="588"/>
      <c r="R75" s="588"/>
      <c r="S75" s="589"/>
      <c r="T75" s="592"/>
      <c r="U75" s="587" t="s">
        <v>636</v>
      </c>
      <c r="V75" s="588"/>
      <c r="W75" s="588"/>
      <c r="X75" s="589"/>
      <c r="Y75" s="592"/>
      <c r="Z75" s="587" t="s">
        <v>636</v>
      </c>
      <c r="AA75" s="588"/>
      <c r="AB75" s="588"/>
      <c r="AC75" s="589"/>
      <c r="AD75" s="592"/>
      <c r="AE75" s="587" t="s">
        <v>636</v>
      </c>
      <c r="AF75" s="588"/>
      <c r="AG75" s="588"/>
      <c r="AH75" s="589"/>
      <c r="AI75" s="592"/>
      <c r="AJ75" s="587" t="s">
        <v>636</v>
      </c>
      <c r="AK75" s="588"/>
      <c r="AL75" s="588"/>
      <c r="AM75" s="589"/>
      <c r="AN75" s="592"/>
      <c r="AO75" s="587" t="s">
        <v>636</v>
      </c>
      <c r="AP75" s="588"/>
      <c r="AQ75" s="588"/>
      <c r="AR75" s="589"/>
      <c r="AS75" s="592"/>
      <c r="AT75" s="587" t="s">
        <v>636</v>
      </c>
      <c r="AU75" s="588"/>
      <c r="AV75" s="588"/>
      <c r="AW75" s="589"/>
      <c r="AX75" s="592"/>
    </row>
    <row r="76" spans="2:50">
      <c r="B76" s="593"/>
      <c r="C76" s="608"/>
      <c r="D76" s="611"/>
      <c r="E76" s="339" t="s">
        <v>637</v>
      </c>
      <c r="F76" s="339" t="s">
        <v>638</v>
      </c>
      <c r="G76" s="339" t="s">
        <v>639</v>
      </c>
      <c r="H76" s="593"/>
      <c r="I76" s="338" t="s">
        <v>637</v>
      </c>
      <c r="J76" s="338" t="s">
        <v>638</v>
      </c>
      <c r="K76" s="338" t="s">
        <v>639</v>
      </c>
      <c r="L76" s="583"/>
      <c r="M76" s="583"/>
      <c r="N76" s="592"/>
      <c r="O76" s="592"/>
      <c r="P76" s="339" t="s">
        <v>637</v>
      </c>
      <c r="Q76" s="339" t="s">
        <v>638</v>
      </c>
      <c r="R76" s="339" t="s">
        <v>639</v>
      </c>
      <c r="S76" s="339" t="s">
        <v>632</v>
      </c>
      <c r="T76" s="593"/>
      <c r="U76" s="339" t="s">
        <v>637</v>
      </c>
      <c r="V76" s="339" t="s">
        <v>638</v>
      </c>
      <c r="W76" s="339" t="s">
        <v>639</v>
      </c>
      <c r="X76" s="339" t="s">
        <v>632</v>
      </c>
      <c r="Y76" s="593"/>
      <c r="Z76" s="339" t="s">
        <v>637</v>
      </c>
      <c r="AA76" s="339" t="s">
        <v>638</v>
      </c>
      <c r="AB76" s="339" t="s">
        <v>639</v>
      </c>
      <c r="AC76" s="339" t="s">
        <v>632</v>
      </c>
      <c r="AD76" s="593"/>
      <c r="AE76" s="339" t="s">
        <v>637</v>
      </c>
      <c r="AF76" s="339" t="s">
        <v>638</v>
      </c>
      <c r="AG76" s="339" t="s">
        <v>639</v>
      </c>
      <c r="AH76" s="339" t="s">
        <v>632</v>
      </c>
      <c r="AI76" s="593"/>
      <c r="AJ76" s="339" t="s">
        <v>637</v>
      </c>
      <c r="AK76" s="339" t="s">
        <v>638</v>
      </c>
      <c r="AL76" s="339" t="s">
        <v>639</v>
      </c>
      <c r="AM76" s="339" t="s">
        <v>632</v>
      </c>
      <c r="AN76" s="593"/>
      <c r="AO76" s="339" t="s">
        <v>637</v>
      </c>
      <c r="AP76" s="339" t="s">
        <v>638</v>
      </c>
      <c r="AQ76" s="339" t="s">
        <v>639</v>
      </c>
      <c r="AR76" s="339" t="s">
        <v>632</v>
      </c>
      <c r="AS76" s="593"/>
      <c r="AT76" s="339" t="s">
        <v>637</v>
      </c>
      <c r="AU76" s="339" t="s">
        <v>638</v>
      </c>
      <c r="AV76" s="339" t="s">
        <v>639</v>
      </c>
      <c r="AW76" s="339" t="s">
        <v>632</v>
      </c>
      <c r="AX76" s="593"/>
    </row>
    <row r="77" spans="2:50">
      <c r="B77" s="612" t="s">
        <v>150</v>
      </c>
      <c r="C77" s="340">
        <v>1</v>
      </c>
      <c r="D77" s="340" t="s">
        <v>365</v>
      </c>
      <c r="E77" s="340">
        <v>4</v>
      </c>
      <c r="F77" s="340">
        <v>2200</v>
      </c>
      <c r="G77" s="340">
        <v>550</v>
      </c>
      <c r="H77" s="599">
        <f>AVERAGE(G77:G106)</f>
        <v>887.15277777777783</v>
      </c>
      <c r="I77" s="204">
        <f>AVERAGE(P77,U77,Z77,AE77,AJ77,AO77,AT77)</f>
        <v>4</v>
      </c>
      <c r="J77" s="204">
        <f>AVERAGE(Q77,V77,AA77,AF77,AK77,AP77,AU77)</f>
        <v>3180.2771744632523</v>
      </c>
      <c r="K77" s="205">
        <f>AVERAGE(R77,W77,AB77,AG77,AL77,AQ77,AV77)</f>
        <v>795.06929361581308</v>
      </c>
      <c r="L77" s="584">
        <f>IFERROR(AVERAGE(K77:K106),"-")</f>
        <v>794.33214082906477</v>
      </c>
      <c r="M77" s="204">
        <f>RANK(K77, K$77:$K$106)</f>
        <v>9</v>
      </c>
      <c r="N77" s="592"/>
      <c r="O77" s="592"/>
      <c r="P77" s="187">
        <v>4</v>
      </c>
      <c r="Q77" s="187">
        <v>3138.400000000001</v>
      </c>
      <c r="R77" s="187">
        <v>784.60000000000025</v>
      </c>
      <c r="S77" s="340">
        <f>RANK(R77, R$77:R$106)</f>
        <v>9</v>
      </c>
      <c r="T77" s="599">
        <f>AVERAGE(R77:R106)</f>
        <v>749.3681502587757</v>
      </c>
      <c r="U77" s="187">
        <v>4</v>
      </c>
      <c r="V77" s="187">
        <v>3279.166666666667</v>
      </c>
      <c r="W77" s="187">
        <v>819.79166666666674</v>
      </c>
      <c r="X77" s="346">
        <f>RANK(W77, W$77:W$106)</f>
        <v>10</v>
      </c>
      <c r="Y77" s="599">
        <f>AVERAGE(W77:W106)</f>
        <v>815.71541621142899</v>
      </c>
      <c r="Z77" s="187">
        <v>4</v>
      </c>
      <c r="AA77" s="187">
        <v>3292.2857142857147</v>
      </c>
      <c r="AB77" s="187">
        <v>823.07142857142867</v>
      </c>
      <c r="AC77" s="346">
        <f>RANK(AB77, AB$77:AB$106)</f>
        <v>8</v>
      </c>
      <c r="AD77" s="599">
        <f>AVERAGE(AB77:AB106)</f>
        <v>787.34765540037597</v>
      </c>
      <c r="AE77" s="187">
        <v>4</v>
      </c>
      <c r="AF77" s="187">
        <v>3190.344827586207</v>
      </c>
      <c r="AG77" s="187">
        <v>797.58620689655174</v>
      </c>
      <c r="AH77" s="346">
        <f>RANK(AG77, AG$77:AG$106)</f>
        <v>11</v>
      </c>
      <c r="AI77" s="599">
        <f>AVERAGE(AG77:AG106)</f>
        <v>801.22953086866255</v>
      </c>
      <c r="AJ77" s="187">
        <v>4</v>
      </c>
      <c r="AK77" s="187">
        <v>3073.4482758620693</v>
      </c>
      <c r="AL77" s="187">
        <v>768.36206896551732</v>
      </c>
      <c r="AM77" s="346">
        <f>RANK(AL77, AL$77:AL$106)</f>
        <v>13</v>
      </c>
      <c r="AN77" s="599">
        <f>AVERAGE(AL77:AL106)</f>
        <v>787.58486499551827</v>
      </c>
      <c r="AO77" s="187">
        <v>4</v>
      </c>
      <c r="AP77" s="187">
        <v>3070.400000000001</v>
      </c>
      <c r="AQ77" s="187">
        <v>767.60000000000025</v>
      </c>
      <c r="AR77" s="346">
        <f>RANK(AQ77, AQ$77:AQ$106)</f>
        <v>16</v>
      </c>
      <c r="AS77" s="599">
        <f>AVERAGE(AQ77:AQ106)</f>
        <v>803.82307006936219</v>
      </c>
      <c r="AT77" s="187">
        <v>4</v>
      </c>
      <c r="AU77" s="187">
        <v>3217.8947368421063</v>
      </c>
      <c r="AV77" s="187">
        <v>804.47368421052659</v>
      </c>
      <c r="AW77" s="346">
        <f>RANK(AV77, AV$77:AV$106)</f>
        <v>10</v>
      </c>
      <c r="AX77" s="599">
        <f>AVERAGE(AV77:AV106)</f>
        <v>812.01174780882309</v>
      </c>
    </row>
    <row r="78" spans="2:50">
      <c r="B78" s="613"/>
      <c r="C78" s="340">
        <v>2</v>
      </c>
      <c r="D78" s="340" t="s">
        <v>366</v>
      </c>
      <c r="E78" s="340">
        <v>3</v>
      </c>
      <c r="F78" s="340">
        <v>2700</v>
      </c>
      <c r="G78" s="340">
        <v>900</v>
      </c>
      <c r="H78" s="600"/>
      <c r="I78" s="204">
        <f t="shared" ref="I78:I95" si="24">AVERAGE(P78,U78,Z78,AE78,AJ78,AO78,AT78)</f>
        <v>3</v>
      </c>
      <c r="J78" s="204">
        <f t="shared" ref="J78:J95" si="25">AVERAGE(Q78,V78,AA78,AF78,AK78,AP78,AU78)</f>
        <v>2703.9902541902525</v>
      </c>
      <c r="K78" s="205">
        <f t="shared" ref="K78:K95" si="26">AVERAGE(R78,W78,AB78,AG78,AL78,AQ78,AV78)</f>
        <v>901.3300847300842</v>
      </c>
      <c r="L78" s="585"/>
      <c r="M78" s="204">
        <f>RANK(K78, K$77:$K$106)</f>
        <v>7</v>
      </c>
      <c r="N78" s="592"/>
      <c r="O78" s="592"/>
      <c r="P78" s="187">
        <v>3</v>
      </c>
      <c r="Q78" s="187">
        <v>2034.9999999999986</v>
      </c>
      <c r="R78" s="187">
        <v>678.33333333333292</v>
      </c>
      <c r="S78" s="346">
        <f t="shared" ref="S78:S106" si="27">RANK(R78, R$77:R$106)</f>
        <v>18</v>
      </c>
      <c r="T78" s="600"/>
      <c r="U78" s="187">
        <v>3</v>
      </c>
      <c r="V78" s="187">
        <v>2859.2307692307663</v>
      </c>
      <c r="W78" s="187">
        <v>953.07692307692207</v>
      </c>
      <c r="X78" s="346">
        <f t="shared" ref="X78:X106" si="28">RANK(W78, W$77:W$106)</f>
        <v>2</v>
      </c>
      <c r="Y78" s="600"/>
      <c r="Z78" s="187">
        <v>3</v>
      </c>
      <c r="AA78" s="187">
        <v>2887.1999999999966</v>
      </c>
      <c r="AB78" s="187">
        <v>962.39999999999884</v>
      </c>
      <c r="AC78" s="346">
        <f t="shared" ref="AC78:AC106" si="29">RANK(AB78, AB$77:AB$106)</f>
        <v>2</v>
      </c>
      <c r="AD78" s="600"/>
      <c r="AE78" s="187">
        <v>3</v>
      </c>
      <c r="AF78" s="187">
        <v>2768.181818181818</v>
      </c>
      <c r="AG78" s="187">
        <v>922.72727272727263</v>
      </c>
      <c r="AH78" s="346">
        <f t="shared" ref="AH78:AH106" si="30">RANK(AG78, AG$77:AG$106)</f>
        <v>5</v>
      </c>
      <c r="AI78" s="600"/>
      <c r="AJ78" s="187">
        <v>3</v>
      </c>
      <c r="AK78" s="187">
        <v>2716.3636363636365</v>
      </c>
      <c r="AL78" s="187">
        <v>905.4545454545455</v>
      </c>
      <c r="AM78" s="346">
        <f t="shared" ref="AM78:AM106" si="31">RANK(AL78, AL$77:AL$106)</f>
        <v>8</v>
      </c>
      <c r="AN78" s="600"/>
      <c r="AO78" s="187">
        <v>3</v>
      </c>
      <c r="AP78" s="187">
        <v>2755.555555555557</v>
      </c>
      <c r="AQ78" s="187">
        <v>918.51851851851904</v>
      </c>
      <c r="AR78" s="346">
        <f t="shared" ref="AR78:AR106" si="32">RANK(AQ78, AQ$77:AQ$106)</f>
        <v>5</v>
      </c>
      <c r="AS78" s="600"/>
      <c r="AT78" s="187">
        <v>3</v>
      </c>
      <c r="AU78" s="187">
        <v>2906.3999999999965</v>
      </c>
      <c r="AV78" s="187">
        <v>968.79999999999882</v>
      </c>
      <c r="AW78" s="346">
        <f t="shared" ref="AW78:AW106" si="33">RANK(AV78, AV$77:AV$106)</f>
        <v>3</v>
      </c>
      <c r="AX78" s="600"/>
    </row>
    <row r="79" spans="2:50">
      <c r="B79" s="613"/>
      <c r="C79" s="340">
        <v>3</v>
      </c>
      <c r="D79" s="340" t="s">
        <v>350</v>
      </c>
      <c r="E79" s="340">
        <v>4</v>
      </c>
      <c r="F79" s="340">
        <v>3600</v>
      </c>
      <c r="G79" s="340">
        <v>900</v>
      </c>
      <c r="H79" s="600"/>
      <c r="I79" s="204">
        <f t="shared" si="24"/>
        <v>4</v>
      </c>
      <c r="J79" s="204">
        <f t="shared" si="25"/>
        <v>3122.8850818463466</v>
      </c>
      <c r="K79" s="205">
        <f t="shared" si="26"/>
        <v>780.72127046158664</v>
      </c>
      <c r="L79" s="585"/>
      <c r="M79" s="204">
        <f>RANK(K79, K$77:$K$106)</f>
        <v>13</v>
      </c>
      <c r="N79" s="592"/>
      <c r="O79" s="592"/>
      <c r="P79" s="187">
        <v>4</v>
      </c>
      <c r="Q79" s="187">
        <v>2967.5000000000009</v>
      </c>
      <c r="R79" s="187">
        <v>741.87500000000023</v>
      </c>
      <c r="S79" s="346">
        <f t="shared" si="27"/>
        <v>12</v>
      </c>
      <c r="T79" s="600"/>
      <c r="U79" s="187">
        <v>4</v>
      </c>
      <c r="V79" s="187">
        <v>3185.4545454545569</v>
      </c>
      <c r="W79" s="187">
        <v>796.36363636363922</v>
      </c>
      <c r="X79" s="346">
        <f t="shared" si="28"/>
        <v>12</v>
      </c>
      <c r="Y79" s="600"/>
      <c r="Z79" s="187">
        <v>4</v>
      </c>
      <c r="AA79" s="187">
        <v>3222.8571428571545</v>
      </c>
      <c r="AB79" s="187">
        <v>805.71428571428862</v>
      </c>
      <c r="AC79" s="346">
        <f t="shared" si="29"/>
        <v>10</v>
      </c>
      <c r="AD79" s="600"/>
      <c r="AE79" s="187">
        <v>4</v>
      </c>
      <c r="AF79" s="187">
        <v>3072.6315789473661</v>
      </c>
      <c r="AG79" s="187">
        <v>768.15789473684151</v>
      </c>
      <c r="AH79" s="346">
        <f t="shared" si="30"/>
        <v>14</v>
      </c>
      <c r="AI79" s="600"/>
      <c r="AJ79" s="187">
        <v>4</v>
      </c>
      <c r="AK79" s="187">
        <v>3073.3333333333308</v>
      </c>
      <c r="AL79" s="187">
        <v>768.33333333333269</v>
      </c>
      <c r="AM79" s="346">
        <f t="shared" si="31"/>
        <v>14</v>
      </c>
      <c r="AN79" s="600"/>
      <c r="AO79" s="187">
        <v>4</v>
      </c>
      <c r="AP79" s="187">
        <v>3114.782608695652</v>
      </c>
      <c r="AQ79" s="187">
        <v>778.695652173913</v>
      </c>
      <c r="AR79" s="346">
        <f t="shared" si="32"/>
        <v>13</v>
      </c>
      <c r="AS79" s="600"/>
      <c r="AT79" s="187">
        <v>4</v>
      </c>
      <c r="AU79" s="187">
        <v>3223.6363636363635</v>
      </c>
      <c r="AV79" s="187">
        <v>805.90909090909088</v>
      </c>
      <c r="AW79" s="346">
        <f t="shared" si="33"/>
        <v>9</v>
      </c>
      <c r="AX79" s="600"/>
    </row>
    <row r="80" spans="2:50">
      <c r="B80" s="613"/>
      <c r="C80" s="340">
        <v>4</v>
      </c>
      <c r="D80" s="340" t="s">
        <v>368</v>
      </c>
      <c r="E80" s="340">
        <v>3</v>
      </c>
      <c r="F80" s="340">
        <v>3600</v>
      </c>
      <c r="G80" s="340">
        <v>1200</v>
      </c>
      <c r="H80" s="600"/>
      <c r="I80" s="204">
        <f t="shared" si="24"/>
        <v>3</v>
      </c>
      <c r="J80" s="204">
        <f t="shared" si="25"/>
        <v>3068.639455782311</v>
      </c>
      <c r="K80" s="205">
        <f t="shared" si="26"/>
        <v>1022.8798185941035</v>
      </c>
      <c r="L80" s="585"/>
      <c r="M80" s="204">
        <f>RANK(K80, K$77:$K$106)</f>
        <v>1</v>
      </c>
      <c r="N80" s="592"/>
      <c r="O80" s="592"/>
      <c r="P80" s="187">
        <v>3</v>
      </c>
      <c r="Q80" s="187">
        <v>2789.9999999999991</v>
      </c>
      <c r="R80" s="187">
        <v>929.99999999999966</v>
      </c>
      <c r="S80" s="346">
        <f t="shared" si="27"/>
        <v>1</v>
      </c>
      <c r="T80" s="600"/>
      <c r="U80" s="187">
        <v>3</v>
      </c>
      <c r="V80" s="187">
        <v>3140.0000000000114</v>
      </c>
      <c r="W80" s="187">
        <v>1046.6666666666704</v>
      </c>
      <c r="X80" s="346">
        <f t="shared" si="28"/>
        <v>1</v>
      </c>
      <c r="Y80" s="600"/>
      <c r="Z80" s="187">
        <v>3</v>
      </c>
      <c r="AA80" s="187">
        <v>3013.3333333333312</v>
      </c>
      <c r="AB80" s="187">
        <v>1004.4444444444438</v>
      </c>
      <c r="AC80" s="346">
        <f t="shared" si="29"/>
        <v>1</v>
      </c>
      <c r="AD80" s="600"/>
      <c r="AE80" s="187">
        <v>3</v>
      </c>
      <c r="AF80" s="187">
        <v>3059.9999999999764</v>
      </c>
      <c r="AG80" s="187">
        <v>1019.9999999999922</v>
      </c>
      <c r="AH80" s="346">
        <f t="shared" si="30"/>
        <v>1</v>
      </c>
      <c r="AI80" s="600"/>
      <c r="AJ80" s="187">
        <v>3</v>
      </c>
      <c r="AK80" s="187">
        <v>3017.1428571428332</v>
      </c>
      <c r="AL80" s="187">
        <v>1005.7142857142777</v>
      </c>
      <c r="AM80" s="346">
        <f t="shared" si="31"/>
        <v>1</v>
      </c>
      <c r="AN80" s="600"/>
      <c r="AO80" s="187">
        <v>3</v>
      </c>
      <c r="AP80" s="187">
        <v>3233.3333333333449</v>
      </c>
      <c r="AQ80" s="187">
        <v>1077.7777777777817</v>
      </c>
      <c r="AR80" s="346">
        <f t="shared" si="32"/>
        <v>1</v>
      </c>
      <c r="AS80" s="600"/>
      <c r="AT80" s="187">
        <v>3</v>
      </c>
      <c r="AU80" s="187">
        <v>3226.6666666666783</v>
      </c>
      <c r="AV80" s="187">
        <v>1075.5555555555595</v>
      </c>
      <c r="AW80" s="346">
        <f t="shared" si="33"/>
        <v>1</v>
      </c>
      <c r="AX80" s="600"/>
    </row>
    <row r="81" spans="2:50">
      <c r="B81" s="613"/>
      <c r="C81" s="340">
        <v>5</v>
      </c>
      <c r="D81" s="340" t="s">
        <v>369</v>
      </c>
      <c r="E81" s="340">
        <v>3</v>
      </c>
      <c r="F81" s="340">
        <v>3600</v>
      </c>
      <c r="G81" s="340">
        <v>1200</v>
      </c>
      <c r="H81" s="600"/>
      <c r="I81" s="204">
        <f t="shared" si="24"/>
        <v>4</v>
      </c>
      <c r="J81" s="204">
        <f t="shared" si="25"/>
        <v>3137.1230295816772</v>
      </c>
      <c r="K81" s="205">
        <f t="shared" si="26"/>
        <v>784.2807573954193</v>
      </c>
      <c r="L81" s="585"/>
      <c r="M81" s="204">
        <f>RANK(K81, K$77:$K$106)</f>
        <v>11</v>
      </c>
      <c r="N81" s="592"/>
      <c r="O81" s="592"/>
      <c r="P81" s="187">
        <v>4</v>
      </c>
      <c r="Q81" s="187">
        <v>3255.4285714285684</v>
      </c>
      <c r="R81" s="187">
        <v>813.85714285714209</v>
      </c>
      <c r="S81" s="346">
        <f t="shared" si="27"/>
        <v>8</v>
      </c>
      <c r="T81" s="600"/>
      <c r="U81" s="187">
        <v>4</v>
      </c>
      <c r="V81" s="187">
        <v>3137.8378378378484</v>
      </c>
      <c r="W81" s="187">
        <v>784.4594594594621</v>
      </c>
      <c r="X81" s="346">
        <f t="shared" si="28"/>
        <v>15</v>
      </c>
      <c r="Y81" s="600"/>
      <c r="Z81" s="187">
        <v>4</v>
      </c>
      <c r="AA81" s="187">
        <v>3137.1428571428542</v>
      </c>
      <c r="AB81" s="187">
        <v>784.28571428571354</v>
      </c>
      <c r="AC81" s="346">
        <f t="shared" si="29"/>
        <v>13</v>
      </c>
      <c r="AD81" s="600"/>
      <c r="AE81" s="187">
        <v>4</v>
      </c>
      <c r="AF81" s="187">
        <v>2998.0000000000027</v>
      </c>
      <c r="AG81" s="187">
        <v>749.50000000000068</v>
      </c>
      <c r="AH81" s="346">
        <f t="shared" si="30"/>
        <v>17</v>
      </c>
      <c r="AI81" s="600"/>
      <c r="AJ81" s="187">
        <v>4</v>
      </c>
      <c r="AK81" s="187">
        <v>3113.5714285714221</v>
      </c>
      <c r="AL81" s="187">
        <v>778.39285714285552</v>
      </c>
      <c r="AM81" s="346">
        <f t="shared" si="31"/>
        <v>12</v>
      </c>
      <c r="AN81" s="600"/>
      <c r="AO81" s="187">
        <v>4</v>
      </c>
      <c r="AP81" s="187">
        <v>3199.4594594594569</v>
      </c>
      <c r="AQ81" s="187">
        <v>799.86486486486422</v>
      </c>
      <c r="AR81" s="346">
        <f t="shared" si="32"/>
        <v>10</v>
      </c>
      <c r="AS81" s="600"/>
      <c r="AT81" s="187">
        <v>4</v>
      </c>
      <c r="AU81" s="187">
        <v>3118.4210526315837</v>
      </c>
      <c r="AV81" s="187">
        <v>779.60526315789593</v>
      </c>
      <c r="AW81" s="346">
        <f t="shared" si="33"/>
        <v>14</v>
      </c>
      <c r="AX81" s="600"/>
    </row>
    <row r="82" spans="2:50">
      <c r="B82" s="613"/>
      <c r="C82" s="340">
        <v>6</v>
      </c>
      <c r="D82" s="340" t="s">
        <v>367</v>
      </c>
      <c r="E82" s="340">
        <v>4</v>
      </c>
      <c r="F82" s="340">
        <v>3600</v>
      </c>
      <c r="G82" s="340">
        <v>900</v>
      </c>
      <c r="H82" s="600"/>
      <c r="I82" s="204">
        <f t="shared" si="24"/>
        <v>4</v>
      </c>
      <c r="J82" s="204">
        <f t="shared" si="25"/>
        <v>3057.9987995198094</v>
      </c>
      <c r="K82" s="205">
        <f t="shared" si="26"/>
        <v>764.49969987995235</v>
      </c>
      <c r="L82" s="585"/>
      <c r="M82" s="204">
        <f>RANK(K82, K$77:$K$106)</f>
        <v>14</v>
      </c>
      <c r="N82" s="592"/>
      <c r="O82" s="592"/>
      <c r="P82" s="187">
        <v>4</v>
      </c>
      <c r="Q82" s="187">
        <v>2756.9999999999991</v>
      </c>
      <c r="R82" s="187">
        <v>689.24999999999977</v>
      </c>
      <c r="S82" s="346">
        <f t="shared" si="27"/>
        <v>14</v>
      </c>
      <c r="T82" s="600"/>
      <c r="U82" s="187">
        <v>4</v>
      </c>
      <c r="V82" s="187">
        <v>3139.9999999999977</v>
      </c>
      <c r="W82" s="187">
        <v>784.99999999999943</v>
      </c>
      <c r="X82" s="346">
        <f t="shared" si="28"/>
        <v>14</v>
      </c>
      <c r="Y82" s="600"/>
      <c r="Z82" s="187">
        <v>4</v>
      </c>
      <c r="AA82" s="187">
        <v>3204.7058823529524</v>
      </c>
      <c r="AB82" s="187">
        <v>801.17647058823809</v>
      </c>
      <c r="AC82" s="346">
        <f t="shared" si="29"/>
        <v>11</v>
      </c>
      <c r="AD82" s="600"/>
      <c r="AE82" s="187">
        <v>4</v>
      </c>
      <c r="AF82" s="187">
        <v>3021.4285714285825</v>
      </c>
      <c r="AG82" s="187">
        <v>755.35714285714562</v>
      </c>
      <c r="AH82" s="346">
        <f t="shared" si="30"/>
        <v>16</v>
      </c>
      <c r="AI82" s="600"/>
      <c r="AJ82" s="187">
        <v>4</v>
      </c>
      <c r="AK82" s="187">
        <v>3012.8571428571368</v>
      </c>
      <c r="AL82" s="187">
        <v>753.21428571428419</v>
      </c>
      <c r="AM82" s="346">
        <f t="shared" si="31"/>
        <v>15</v>
      </c>
      <c r="AN82" s="600"/>
      <c r="AO82" s="187">
        <v>4</v>
      </c>
      <c r="AP82" s="187">
        <v>3116.6666666666642</v>
      </c>
      <c r="AQ82" s="187">
        <v>779.16666666666606</v>
      </c>
      <c r="AR82" s="346">
        <f t="shared" si="32"/>
        <v>12</v>
      </c>
      <c r="AS82" s="600"/>
      <c r="AT82" s="187">
        <v>4</v>
      </c>
      <c r="AU82" s="187">
        <v>3153.3333333333308</v>
      </c>
      <c r="AV82" s="187">
        <v>788.33333333333269</v>
      </c>
      <c r="AW82" s="346">
        <f t="shared" si="33"/>
        <v>13</v>
      </c>
      <c r="AX82" s="600"/>
    </row>
    <row r="83" spans="2:50">
      <c r="B83" s="613"/>
      <c r="C83" s="340">
        <v>7</v>
      </c>
      <c r="D83" s="340" t="s">
        <v>614</v>
      </c>
      <c r="E83" s="340">
        <v>4</v>
      </c>
      <c r="F83" s="340">
        <v>3600</v>
      </c>
      <c r="G83" s="340">
        <v>900</v>
      </c>
      <c r="H83" s="600"/>
      <c r="I83" s="204">
        <f t="shared" si="24"/>
        <v>4</v>
      </c>
      <c r="J83" s="204">
        <f t="shared" si="25"/>
        <v>3148.6468500443671</v>
      </c>
      <c r="K83" s="205">
        <f t="shared" si="26"/>
        <v>787.16171251109176</v>
      </c>
      <c r="L83" s="585"/>
      <c r="M83" s="204">
        <f>RANK(K83, K$77:$K$106)</f>
        <v>10</v>
      </c>
      <c r="N83" s="592"/>
      <c r="O83" s="592"/>
      <c r="P83" s="187">
        <v>4</v>
      </c>
      <c r="Q83" s="187">
        <v>3014.0000000000109</v>
      </c>
      <c r="R83" s="187">
        <v>753.50000000000273</v>
      </c>
      <c r="S83" s="346">
        <f t="shared" si="27"/>
        <v>10</v>
      </c>
      <c r="T83" s="600"/>
      <c r="U83" s="187">
        <v>4</v>
      </c>
      <c r="V83" s="187">
        <v>3255.0000000000027</v>
      </c>
      <c r="W83" s="187">
        <v>813.75000000000068</v>
      </c>
      <c r="X83" s="346">
        <f t="shared" si="28"/>
        <v>11</v>
      </c>
      <c r="Y83" s="600"/>
      <c r="Z83" s="187">
        <v>4</v>
      </c>
      <c r="AA83" s="187">
        <v>3124.2857142857165</v>
      </c>
      <c r="AB83" s="187">
        <v>781.07142857142912</v>
      </c>
      <c r="AC83" s="346">
        <f t="shared" si="29"/>
        <v>15</v>
      </c>
      <c r="AD83" s="600"/>
      <c r="AE83" s="187">
        <v>4</v>
      </c>
      <c r="AF83" s="187">
        <v>3190.0000000000009</v>
      </c>
      <c r="AG83" s="187">
        <v>797.50000000000023</v>
      </c>
      <c r="AH83" s="346">
        <f t="shared" si="30"/>
        <v>12</v>
      </c>
      <c r="AI83" s="600"/>
      <c r="AJ83" s="187">
        <v>4</v>
      </c>
      <c r="AK83" s="187">
        <v>3166.9565217391196</v>
      </c>
      <c r="AL83" s="187">
        <v>791.7391304347799</v>
      </c>
      <c r="AM83" s="346">
        <f t="shared" si="31"/>
        <v>11</v>
      </c>
      <c r="AN83" s="600"/>
      <c r="AO83" s="187">
        <v>4</v>
      </c>
      <c r="AP83" s="187">
        <v>3106.0000000000027</v>
      </c>
      <c r="AQ83" s="187">
        <v>776.50000000000068</v>
      </c>
      <c r="AR83" s="346">
        <f t="shared" si="32"/>
        <v>15</v>
      </c>
      <c r="AS83" s="600"/>
      <c r="AT83" s="187">
        <v>4</v>
      </c>
      <c r="AU83" s="187">
        <v>3184.2857142857165</v>
      </c>
      <c r="AV83" s="187">
        <v>796.07142857142912</v>
      </c>
      <c r="AW83" s="346">
        <f t="shared" si="33"/>
        <v>11</v>
      </c>
      <c r="AX83" s="600"/>
    </row>
    <row r="84" spans="2:50">
      <c r="B84" s="613"/>
      <c r="C84" s="340">
        <v>8</v>
      </c>
      <c r="D84" s="340" t="s">
        <v>612</v>
      </c>
      <c r="E84" s="340">
        <v>4</v>
      </c>
      <c r="F84" s="340">
        <v>3600</v>
      </c>
      <c r="G84" s="340">
        <v>900</v>
      </c>
      <c r="H84" s="600"/>
      <c r="I84" s="204">
        <f t="shared" si="24"/>
        <v>4</v>
      </c>
      <c r="J84" s="204">
        <f t="shared" si="25"/>
        <v>3123.2008592910847</v>
      </c>
      <c r="K84" s="205">
        <f t="shared" si="26"/>
        <v>780.80021482277118</v>
      </c>
      <c r="L84" s="585"/>
      <c r="M84" s="204">
        <f>RANK(K84, K$77:$K$106)</f>
        <v>12</v>
      </c>
      <c r="N84" s="592"/>
      <c r="O84" s="592"/>
      <c r="P84" s="187">
        <v>4</v>
      </c>
      <c r="Q84" s="187">
        <v>2987.9999999999991</v>
      </c>
      <c r="R84" s="187">
        <v>746.99999999999977</v>
      </c>
      <c r="S84" s="346">
        <f t="shared" si="27"/>
        <v>11</v>
      </c>
      <c r="T84" s="600"/>
      <c r="U84" s="187">
        <v>4</v>
      </c>
      <c r="V84" s="187">
        <v>3151.5789473684058</v>
      </c>
      <c r="W84" s="187">
        <v>787.89473684210145</v>
      </c>
      <c r="X84" s="346">
        <f t="shared" si="28"/>
        <v>13</v>
      </c>
      <c r="Y84" s="600"/>
      <c r="Z84" s="187">
        <v>4</v>
      </c>
      <c r="AA84" s="187">
        <v>3203.3333333333312</v>
      </c>
      <c r="AB84" s="187">
        <v>800.8333333333328</v>
      </c>
      <c r="AC84" s="346">
        <f t="shared" si="29"/>
        <v>12</v>
      </c>
      <c r="AD84" s="600"/>
      <c r="AE84" s="187">
        <v>4</v>
      </c>
      <c r="AF84" s="187">
        <v>3031.9999999999945</v>
      </c>
      <c r="AG84" s="187">
        <v>757.99999999999864</v>
      </c>
      <c r="AH84" s="346">
        <f t="shared" si="30"/>
        <v>15</v>
      </c>
      <c r="AI84" s="600"/>
      <c r="AJ84" s="187">
        <v>4</v>
      </c>
      <c r="AK84" s="187">
        <v>3197.1428571428687</v>
      </c>
      <c r="AL84" s="187">
        <v>799.28571428571718</v>
      </c>
      <c r="AM84" s="346">
        <f t="shared" si="31"/>
        <v>10</v>
      </c>
      <c r="AN84" s="600"/>
      <c r="AO84" s="187">
        <v>4</v>
      </c>
      <c r="AP84" s="187">
        <v>3113.6842105263136</v>
      </c>
      <c r="AQ84" s="187">
        <v>778.42105263157839</v>
      </c>
      <c r="AR84" s="346">
        <f t="shared" si="32"/>
        <v>14</v>
      </c>
      <c r="AS84" s="600"/>
      <c r="AT84" s="187">
        <v>4</v>
      </c>
      <c r="AU84" s="187">
        <v>3176.6666666666779</v>
      </c>
      <c r="AV84" s="187">
        <v>794.16666666666947</v>
      </c>
      <c r="AW84" s="346">
        <f t="shared" si="33"/>
        <v>12</v>
      </c>
      <c r="AX84" s="600"/>
    </row>
    <row r="85" spans="2:50">
      <c r="B85" s="613"/>
      <c r="C85" s="340">
        <v>9</v>
      </c>
      <c r="D85" s="340" t="s">
        <v>370</v>
      </c>
      <c r="E85" s="340">
        <v>4</v>
      </c>
      <c r="F85" s="340">
        <v>3300</v>
      </c>
      <c r="G85" s="340">
        <v>825</v>
      </c>
      <c r="H85" s="600"/>
      <c r="I85" s="204">
        <f t="shared" si="24"/>
        <v>4</v>
      </c>
      <c r="J85" s="204">
        <f t="shared" si="25"/>
        <v>2720.4675324675341</v>
      </c>
      <c r="K85" s="205">
        <f t="shared" si="26"/>
        <v>680.11688311688351</v>
      </c>
      <c r="L85" s="585"/>
      <c r="M85" s="204">
        <f>RANK(K85, K$77:$K$106)</f>
        <v>23</v>
      </c>
      <c r="N85" s="592"/>
      <c r="O85" s="592"/>
      <c r="P85" s="187">
        <v>4</v>
      </c>
      <c r="Q85" s="187">
        <v>2720.0000000000027</v>
      </c>
      <c r="R85" s="187">
        <v>680.00000000000068</v>
      </c>
      <c r="S85" s="346">
        <f t="shared" si="27"/>
        <v>17</v>
      </c>
      <c r="T85" s="600"/>
      <c r="U85" s="187">
        <v>4</v>
      </c>
      <c r="V85" s="187">
        <v>2828.0000000000027</v>
      </c>
      <c r="W85" s="187">
        <v>707.00000000000068</v>
      </c>
      <c r="X85" s="346">
        <f t="shared" si="28"/>
        <v>20</v>
      </c>
      <c r="Y85" s="600"/>
      <c r="Z85" s="187">
        <v>4</v>
      </c>
      <c r="AA85" s="187">
        <v>2728.0000000000027</v>
      </c>
      <c r="AB85" s="187">
        <v>682.00000000000068</v>
      </c>
      <c r="AC85" s="346">
        <f t="shared" si="29"/>
        <v>21</v>
      </c>
      <c r="AD85" s="600"/>
      <c r="AE85" s="187">
        <v>4</v>
      </c>
      <c r="AF85" s="187">
        <v>2705.4545454545455</v>
      </c>
      <c r="AG85" s="187">
        <v>676.36363636363637</v>
      </c>
      <c r="AH85" s="346">
        <f t="shared" si="30"/>
        <v>21</v>
      </c>
      <c r="AI85" s="600"/>
      <c r="AJ85" s="187">
        <v>4</v>
      </c>
      <c r="AK85" s="187">
        <v>2601.818181818182</v>
      </c>
      <c r="AL85" s="187">
        <v>650.4545454545455</v>
      </c>
      <c r="AM85" s="346">
        <f t="shared" si="31"/>
        <v>21</v>
      </c>
      <c r="AN85" s="600"/>
      <c r="AO85" s="187">
        <v>4</v>
      </c>
      <c r="AP85" s="187">
        <v>2724.0000000000023</v>
      </c>
      <c r="AQ85" s="187">
        <v>681.00000000000057</v>
      </c>
      <c r="AR85" s="346">
        <f t="shared" si="32"/>
        <v>23</v>
      </c>
      <c r="AS85" s="600"/>
      <c r="AT85" s="187">
        <v>4</v>
      </c>
      <c r="AU85" s="187">
        <v>2736.0000000000027</v>
      </c>
      <c r="AV85" s="187">
        <v>684.00000000000068</v>
      </c>
      <c r="AW85" s="346">
        <f t="shared" si="33"/>
        <v>22</v>
      </c>
      <c r="AX85" s="600"/>
    </row>
    <row r="86" spans="2:50">
      <c r="B86" s="613"/>
      <c r="C86" s="340">
        <v>10</v>
      </c>
      <c r="D86" s="340" t="s">
        <v>371</v>
      </c>
      <c r="E86" s="340">
        <v>3</v>
      </c>
      <c r="F86" s="340">
        <v>3300</v>
      </c>
      <c r="G86" s="340">
        <v>1100</v>
      </c>
      <c r="H86" s="600"/>
      <c r="I86" s="204">
        <f t="shared" si="24"/>
        <v>3</v>
      </c>
      <c r="J86" s="204">
        <f t="shared" si="25"/>
        <v>2731.3213426516845</v>
      </c>
      <c r="K86" s="205">
        <f t="shared" si="26"/>
        <v>910.44044755056143</v>
      </c>
      <c r="L86" s="585"/>
      <c r="M86" s="204">
        <f>RANK(K86, K$77:$K$106)</f>
        <v>6</v>
      </c>
      <c r="N86" s="592"/>
      <c r="O86" s="592"/>
      <c r="P86" s="187">
        <v>3</v>
      </c>
      <c r="Q86" s="187">
        <v>2691.891891891893</v>
      </c>
      <c r="R86" s="187">
        <v>897.29729729729763</v>
      </c>
      <c r="S86" s="346">
        <f t="shared" si="27"/>
        <v>2</v>
      </c>
      <c r="T86" s="600"/>
      <c r="U86" s="187">
        <v>3</v>
      </c>
      <c r="V86" s="187">
        <v>2737.8947368421063</v>
      </c>
      <c r="W86" s="187">
        <v>912.63157894736878</v>
      </c>
      <c r="X86" s="346">
        <f t="shared" si="28"/>
        <v>7</v>
      </c>
      <c r="Y86" s="600"/>
      <c r="Z86" s="187">
        <v>3</v>
      </c>
      <c r="AA86" s="187">
        <v>2840.5714285714294</v>
      </c>
      <c r="AB86" s="187">
        <v>946.85714285714312</v>
      </c>
      <c r="AC86" s="346">
        <f t="shared" si="29"/>
        <v>4</v>
      </c>
      <c r="AD86" s="600"/>
      <c r="AE86" s="187">
        <v>3</v>
      </c>
      <c r="AF86" s="187">
        <v>2734.8387096774186</v>
      </c>
      <c r="AG86" s="187">
        <v>911.61290322580624</v>
      </c>
      <c r="AH86" s="346">
        <f t="shared" si="30"/>
        <v>7</v>
      </c>
      <c r="AI86" s="600"/>
      <c r="AJ86" s="187">
        <v>3</v>
      </c>
      <c r="AK86" s="187">
        <v>2735.9999999999986</v>
      </c>
      <c r="AL86" s="187">
        <v>911.99999999999955</v>
      </c>
      <c r="AM86" s="346">
        <f t="shared" si="31"/>
        <v>6</v>
      </c>
      <c r="AN86" s="600"/>
      <c r="AO86" s="187">
        <v>3</v>
      </c>
      <c r="AP86" s="187">
        <v>2637.0000000000014</v>
      </c>
      <c r="AQ86" s="187">
        <v>879.00000000000045</v>
      </c>
      <c r="AR86" s="346">
        <f t="shared" si="32"/>
        <v>7</v>
      </c>
      <c r="AS86" s="600"/>
      <c r="AT86" s="187">
        <v>3</v>
      </c>
      <c r="AU86" s="187">
        <v>2741.0526315789452</v>
      </c>
      <c r="AV86" s="187">
        <v>913.68421052631504</v>
      </c>
      <c r="AW86" s="346">
        <f t="shared" si="33"/>
        <v>7</v>
      </c>
      <c r="AX86" s="600"/>
    </row>
    <row r="87" spans="2:50">
      <c r="B87" s="613"/>
      <c r="C87" s="340">
        <v>11</v>
      </c>
      <c r="D87" s="340" t="s">
        <v>372</v>
      </c>
      <c r="E87" s="340">
        <v>3</v>
      </c>
      <c r="F87" s="340">
        <v>3300</v>
      </c>
      <c r="G87" s="340">
        <v>1100</v>
      </c>
      <c r="H87" s="600"/>
      <c r="I87" s="204">
        <f t="shared" si="24"/>
        <v>3</v>
      </c>
      <c r="J87" s="204">
        <f t="shared" si="25"/>
        <v>2744.2751223110822</v>
      </c>
      <c r="K87" s="205">
        <f t="shared" si="26"/>
        <v>914.758374103694</v>
      </c>
      <c r="L87" s="585"/>
      <c r="M87" s="204">
        <f>RANK(K87, K$77:$K$106)</f>
        <v>5</v>
      </c>
      <c r="N87" s="592"/>
      <c r="O87" s="592"/>
      <c r="P87" s="187">
        <v>3</v>
      </c>
      <c r="Q87" s="187">
        <v>2586.666666666667</v>
      </c>
      <c r="R87" s="187">
        <v>862.22222222222229</v>
      </c>
      <c r="S87" s="346">
        <f t="shared" si="27"/>
        <v>7</v>
      </c>
      <c r="T87" s="600"/>
      <c r="U87" s="187">
        <v>3</v>
      </c>
      <c r="V87" s="187">
        <v>2801.4285714285706</v>
      </c>
      <c r="W87" s="187">
        <v>933.80952380952351</v>
      </c>
      <c r="X87" s="346">
        <f t="shared" si="28"/>
        <v>5</v>
      </c>
      <c r="Y87" s="600"/>
      <c r="Z87" s="187">
        <v>3</v>
      </c>
      <c r="AA87" s="187">
        <v>2739.9999999999991</v>
      </c>
      <c r="AB87" s="187">
        <v>913.33333333333303</v>
      </c>
      <c r="AC87" s="346">
        <f t="shared" si="29"/>
        <v>6</v>
      </c>
      <c r="AD87" s="600"/>
      <c r="AE87" s="187">
        <v>3</v>
      </c>
      <c r="AF87" s="187">
        <v>2784.7058823529446</v>
      </c>
      <c r="AG87" s="187">
        <v>928.23529411764821</v>
      </c>
      <c r="AH87" s="346">
        <f t="shared" si="30"/>
        <v>4</v>
      </c>
      <c r="AI87" s="600"/>
      <c r="AJ87" s="187">
        <v>3</v>
      </c>
      <c r="AK87" s="187">
        <v>2743.6363636363667</v>
      </c>
      <c r="AL87" s="187">
        <v>914.54545454545553</v>
      </c>
      <c r="AM87" s="346">
        <f t="shared" si="31"/>
        <v>5</v>
      </c>
      <c r="AN87" s="600"/>
      <c r="AO87" s="187">
        <v>3</v>
      </c>
      <c r="AP87" s="187">
        <v>2793.4883720930229</v>
      </c>
      <c r="AQ87" s="187">
        <v>931.16279069767427</v>
      </c>
      <c r="AR87" s="346">
        <f t="shared" si="32"/>
        <v>3</v>
      </c>
      <c r="AS87" s="600"/>
      <c r="AT87" s="187">
        <v>3</v>
      </c>
      <c r="AU87" s="187">
        <v>2760.0000000000023</v>
      </c>
      <c r="AV87" s="187">
        <v>920.0000000000008</v>
      </c>
      <c r="AW87" s="346">
        <f t="shared" si="33"/>
        <v>6</v>
      </c>
      <c r="AX87" s="600"/>
    </row>
    <row r="88" spans="2:50">
      <c r="B88" s="613"/>
      <c r="C88" s="340">
        <v>12</v>
      </c>
      <c r="D88" s="340" t="s">
        <v>426</v>
      </c>
      <c r="E88" s="340">
        <v>4</v>
      </c>
      <c r="F88" s="340">
        <v>2500</v>
      </c>
      <c r="G88" s="340">
        <v>625</v>
      </c>
      <c r="H88" s="600"/>
      <c r="I88" s="204">
        <f t="shared" si="24"/>
        <v>4</v>
      </c>
      <c r="J88" s="204">
        <f t="shared" si="25"/>
        <v>2759.4571428571435</v>
      </c>
      <c r="K88" s="205">
        <f t="shared" si="26"/>
        <v>689.86428571428587</v>
      </c>
      <c r="L88" s="585"/>
      <c r="M88" s="204">
        <f>RANK(K88, K$77:$K$106)</f>
        <v>20</v>
      </c>
      <c r="N88" s="592"/>
      <c r="O88" s="592"/>
      <c r="P88" s="187">
        <v>4</v>
      </c>
      <c r="Q88" s="187">
        <v>2664.0000000000055</v>
      </c>
      <c r="R88" s="187">
        <v>666.00000000000136</v>
      </c>
      <c r="S88" s="346">
        <f t="shared" si="27"/>
        <v>20</v>
      </c>
      <c r="T88" s="600"/>
      <c r="U88" s="187">
        <v>4</v>
      </c>
      <c r="V88" s="187">
        <v>2857.4999999999959</v>
      </c>
      <c r="W88" s="187">
        <v>714.37499999999898</v>
      </c>
      <c r="X88" s="346">
        <f t="shared" si="28"/>
        <v>18</v>
      </c>
      <c r="Y88" s="600"/>
      <c r="Z88" s="187">
        <v>4</v>
      </c>
      <c r="AA88" s="187">
        <v>2745.000000000005</v>
      </c>
      <c r="AB88" s="187">
        <v>686.25000000000125</v>
      </c>
      <c r="AC88" s="346">
        <f t="shared" si="29"/>
        <v>20</v>
      </c>
      <c r="AD88" s="600"/>
      <c r="AE88" s="187">
        <v>4</v>
      </c>
      <c r="AF88" s="187">
        <v>2718.9473684210452</v>
      </c>
      <c r="AG88" s="187">
        <v>679.7368421052613</v>
      </c>
      <c r="AH88" s="346">
        <f t="shared" si="30"/>
        <v>20</v>
      </c>
      <c r="AI88" s="600"/>
      <c r="AJ88" s="187">
        <v>4</v>
      </c>
      <c r="AK88" s="187">
        <v>2681.0526315789402</v>
      </c>
      <c r="AL88" s="187">
        <v>670.26315789473506</v>
      </c>
      <c r="AM88" s="346">
        <f t="shared" si="31"/>
        <v>19</v>
      </c>
      <c r="AN88" s="600"/>
      <c r="AO88" s="187">
        <v>4</v>
      </c>
      <c r="AP88" s="187">
        <v>2827.2000000000057</v>
      </c>
      <c r="AQ88" s="187">
        <v>706.80000000000143</v>
      </c>
      <c r="AR88" s="346">
        <f t="shared" si="32"/>
        <v>19</v>
      </c>
      <c r="AS88" s="600"/>
      <c r="AT88" s="187">
        <v>4</v>
      </c>
      <c r="AU88" s="187">
        <v>2822.5000000000055</v>
      </c>
      <c r="AV88" s="187">
        <v>705.62500000000136</v>
      </c>
      <c r="AW88" s="346">
        <f t="shared" si="33"/>
        <v>19</v>
      </c>
      <c r="AX88" s="600"/>
    </row>
    <row r="89" spans="2:50">
      <c r="B89" s="613"/>
      <c r="C89" s="340">
        <v>13</v>
      </c>
      <c r="D89" s="340" t="s">
        <v>374</v>
      </c>
      <c r="E89" s="340">
        <v>3</v>
      </c>
      <c r="F89" s="340">
        <v>3300</v>
      </c>
      <c r="G89" s="340">
        <v>1100</v>
      </c>
      <c r="H89" s="600"/>
      <c r="I89" s="204">
        <f t="shared" si="24"/>
        <v>3</v>
      </c>
      <c r="J89" s="204">
        <f t="shared" si="25"/>
        <v>2669.6428571428605</v>
      </c>
      <c r="K89" s="205">
        <f t="shared" si="26"/>
        <v>889.88095238095366</v>
      </c>
      <c r="L89" s="585"/>
      <c r="M89" s="204">
        <f>RANK(K89, K$77:$K$106)</f>
        <v>8</v>
      </c>
      <c r="N89" s="592"/>
      <c r="O89" s="592"/>
      <c r="P89" s="187">
        <v>3</v>
      </c>
      <c r="Q89" s="187">
        <v>2690.0000000000095</v>
      </c>
      <c r="R89" s="187">
        <v>896.66666666666981</v>
      </c>
      <c r="S89" s="346">
        <f t="shared" si="27"/>
        <v>3</v>
      </c>
      <c r="T89" s="600"/>
      <c r="U89" s="187">
        <v>3</v>
      </c>
      <c r="V89" s="187">
        <v>2709.9999999999736</v>
      </c>
      <c r="W89" s="187">
        <v>903.3333333333245</v>
      </c>
      <c r="X89" s="346">
        <f t="shared" si="28"/>
        <v>8</v>
      </c>
      <c r="Y89" s="600"/>
      <c r="Z89" s="187">
        <v>3</v>
      </c>
      <c r="AA89" s="187">
        <v>2570.0000000000091</v>
      </c>
      <c r="AB89" s="187">
        <v>856.6666666666697</v>
      </c>
      <c r="AC89" s="346">
        <f t="shared" si="29"/>
        <v>7</v>
      </c>
      <c r="AD89" s="600"/>
      <c r="AE89" s="187">
        <v>3</v>
      </c>
      <c r="AF89" s="187">
        <v>2625.0000000000095</v>
      </c>
      <c r="AG89" s="187">
        <v>875.00000000000318</v>
      </c>
      <c r="AH89" s="346">
        <f t="shared" si="30"/>
        <v>8</v>
      </c>
      <c r="AI89" s="600"/>
      <c r="AJ89" s="187">
        <v>3</v>
      </c>
      <c r="AK89" s="187">
        <v>2980.0000000000105</v>
      </c>
      <c r="AL89" s="187">
        <v>993.33333333333678</v>
      </c>
      <c r="AM89" s="346">
        <f t="shared" si="31"/>
        <v>2</v>
      </c>
      <c r="AN89" s="600"/>
      <c r="AO89" s="187">
        <v>3</v>
      </c>
      <c r="AP89" s="187">
        <v>2442.8571428571513</v>
      </c>
      <c r="AQ89" s="187">
        <v>814.28571428571706</v>
      </c>
      <c r="AR89" s="346">
        <f t="shared" si="32"/>
        <v>9</v>
      </c>
      <c r="AS89" s="600"/>
      <c r="AT89" s="187"/>
      <c r="AU89" s="187"/>
      <c r="AV89" s="187"/>
      <c r="AW89" s="346" t="e">
        <f t="shared" si="33"/>
        <v>#N/A</v>
      </c>
      <c r="AX89" s="600"/>
    </row>
    <row r="90" spans="2:50">
      <c r="B90" s="613"/>
      <c r="C90" s="340">
        <v>14</v>
      </c>
      <c r="D90" s="340" t="s">
        <v>375</v>
      </c>
      <c r="E90" s="340">
        <v>4</v>
      </c>
      <c r="F90" s="340">
        <v>3300</v>
      </c>
      <c r="G90" s="340">
        <v>825</v>
      </c>
      <c r="H90" s="600"/>
      <c r="I90" s="204">
        <f t="shared" si="24"/>
        <v>4</v>
      </c>
      <c r="J90" s="204">
        <f t="shared" si="25"/>
        <v>2867.424343542832</v>
      </c>
      <c r="K90" s="205">
        <f t="shared" si="26"/>
        <v>716.85608588570801</v>
      </c>
      <c r="L90" s="585"/>
      <c r="M90" s="204">
        <f>RANK(K90, K$77:$K$106)</f>
        <v>19</v>
      </c>
      <c r="N90" s="592"/>
      <c r="O90" s="592"/>
      <c r="P90" s="187">
        <v>4</v>
      </c>
      <c r="Q90" s="187">
        <v>2736.923076923078</v>
      </c>
      <c r="R90" s="187">
        <v>684.23076923076951</v>
      </c>
      <c r="S90" s="346">
        <f t="shared" si="27"/>
        <v>16</v>
      </c>
      <c r="T90" s="600"/>
      <c r="U90" s="187">
        <v>4</v>
      </c>
      <c r="V90" s="187">
        <v>2778.4615384615395</v>
      </c>
      <c r="W90" s="187">
        <v>694.61538461538487</v>
      </c>
      <c r="X90" s="346">
        <f t="shared" si="28"/>
        <v>23</v>
      </c>
      <c r="Y90" s="600"/>
      <c r="Z90" s="187">
        <v>4</v>
      </c>
      <c r="AA90" s="187">
        <v>2796.7741935483882</v>
      </c>
      <c r="AB90" s="187">
        <v>699.19354838709705</v>
      </c>
      <c r="AC90" s="346">
        <f t="shared" si="29"/>
        <v>18</v>
      </c>
      <c r="AD90" s="600"/>
      <c r="AE90" s="187">
        <v>4</v>
      </c>
      <c r="AF90" s="187">
        <v>2780.3999999999987</v>
      </c>
      <c r="AG90" s="187">
        <v>695.09999999999968</v>
      </c>
      <c r="AH90" s="346">
        <f t="shared" si="30"/>
        <v>19</v>
      </c>
      <c r="AI90" s="600"/>
      <c r="AJ90" s="187">
        <v>4</v>
      </c>
      <c r="AK90" s="187">
        <v>3376.4999999999955</v>
      </c>
      <c r="AL90" s="187">
        <v>844.12499999999886</v>
      </c>
      <c r="AM90" s="346">
        <f t="shared" si="31"/>
        <v>9</v>
      </c>
      <c r="AN90" s="600"/>
      <c r="AO90" s="187">
        <v>4</v>
      </c>
      <c r="AP90" s="187">
        <v>2765.3731343283598</v>
      </c>
      <c r="AQ90" s="187">
        <v>691.34328358208995</v>
      </c>
      <c r="AR90" s="346">
        <f t="shared" si="32"/>
        <v>21</v>
      </c>
      <c r="AS90" s="600"/>
      <c r="AT90" s="187">
        <v>4</v>
      </c>
      <c r="AU90" s="187">
        <v>2837.5384615384628</v>
      </c>
      <c r="AV90" s="187">
        <v>709.3846153846157</v>
      </c>
      <c r="AW90" s="346">
        <f t="shared" si="33"/>
        <v>18</v>
      </c>
      <c r="AX90" s="600"/>
    </row>
    <row r="91" spans="2:50">
      <c r="B91" s="613"/>
      <c r="C91" s="340">
        <v>15</v>
      </c>
      <c r="D91" s="340" t="s">
        <v>376</v>
      </c>
      <c r="E91" s="340">
        <v>4</v>
      </c>
      <c r="F91" s="340">
        <v>3300</v>
      </c>
      <c r="G91" s="340">
        <v>825</v>
      </c>
      <c r="H91" s="600"/>
      <c r="I91" s="204">
        <f t="shared" si="24"/>
        <v>4</v>
      </c>
      <c r="J91" s="204">
        <f t="shared" si="25"/>
        <v>2742.257043357883</v>
      </c>
      <c r="K91" s="205">
        <f t="shared" si="26"/>
        <v>685.56426083947076</v>
      </c>
      <c r="L91" s="585"/>
      <c r="M91" s="204">
        <f>RANK(K91, K$77:$K$106)</f>
        <v>22</v>
      </c>
      <c r="N91" s="592"/>
      <c r="O91" s="592"/>
      <c r="P91" s="187">
        <v>4</v>
      </c>
      <c r="Q91" s="187">
        <v>2748.8571428571436</v>
      </c>
      <c r="R91" s="187">
        <v>687.21428571428589</v>
      </c>
      <c r="S91" s="346">
        <f t="shared" si="27"/>
        <v>15</v>
      </c>
      <c r="T91" s="600"/>
      <c r="U91" s="187">
        <v>4</v>
      </c>
      <c r="V91" s="187">
        <v>2809.7142857142862</v>
      </c>
      <c r="W91" s="187">
        <v>702.42857142857156</v>
      </c>
      <c r="X91" s="346">
        <f t="shared" si="28"/>
        <v>22</v>
      </c>
      <c r="Y91" s="600"/>
      <c r="Z91" s="187">
        <v>4</v>
      </c>
      <c r="AA91" s="187">
        <v>2800.588235294118</v>
      </c>
      <c r="AB91" s="187">
        <v>700.14705882352951</v>
      </c>
      <c r="AC91" s="346">
        <f t="shared" si="29"/>
        <v>17</v>
      </c>
      <c r="AD91" s="600"/>
      <c r="AE91" s="187">
        <v>4</v>
      </c>
      <c r="AF91" s="187">
        <v>2619.9999999999986</v>
      </c>
      <c r="AG91" s="187">
        <v>654.99999999999966</v>
      </c>
      <c r="AH91" s="346">
        <f t="shared" si="30"/>
        <v>23</v>
      </c>
      <c r="AI91" s="600"/>
      <c r="AJ91" s="187">
        <v>4</v>
      </c>
      <c r="AK91" s="187">
        <v>2576.9999999999991</v>
      </c>
      <c r="AL91" s="187">
        <v>644.24999999999977</v>
      </c>
      <c r="AM91" s="346">
        <f t="shared" si="31"/>
        <v>22</v>
      </c>
      <c r="AN91" s="600"/>
      <c r="AO91" s="187">
        <v>4</v>
      </c>
      <c r="AP91" s="187">
        <v>2772.9729729729711</v>
      </c>
      <c r="AQ91" s="187">
        <v>693.24324324324277</v>
      </c>
      <c r="AR91" s="346">
        <f t="shared" si="32"/>
        <v>20</v>
      </c>
      <c r="AS91" s="600"/>
      <c r="AT91" s="187">
        <v>4</v>
      </c>
      <c r="AU91" s="187">
        <v>2866.6666666666647</v>
      </c>
      <c r="AV91" s="187">
        <v>716.66666666666617</v>
      </c>
      <c r="AW91" s="346">
        <f t="shared" si="33"/>
        <v>16</v>
      </c>
      <c r="AX91" s="600"/>
    </row>
    <row r="92" spans="2:50">
      <c r="B92" s="613"/>
      <c r="C92" s="340">
        <v>16</v>
      </c>
      <c r="D92" s="340" t="s">
        <v>787</v>
      </c>
      <c r="E92" s="340">
        <v>3</v>
      </c>
      <c r="F92" s="340">
        <v>2800</v>
      </c>
      <c r="G92" s="340">
        <v>933.33333333333337</v>
      </c>
      <c r="H92" s="600"/>
      <c r="I92" s="204">
        <f t="shared" si="24"/>
        <v>3</v>
      </c>
      <c r="J92" s="204">
        <f t="shared" si="25"/>
        <v>2771.5890538033404</v>
      </c>
      <c r="K92" s="205">
        <f t="shared" si="26"/>
        <v>923.86301793444659</v>
      </c>
      <c r="L92" s="585"/>
      <c r="M92" s="204">
        <f>RANK(K92, K$77:$K$106)</f>
        <v>2</v>
      </c>
      <c r="N92" s="592"/>
      <c r="O92" s="592"/>
      <c r="P92" s="187">
        <v>3</v>
      </c>
      <c r="Q92" s="187">
        <v>2674.6666666666665</v>
      </c>
      <c r="R92" s="187">
        <v>891.55555555555554</v>
      </c>
      <c r="S92" s="346">
        <f t="shared" si="27"/>
        <v>4</v>
      </c>
      <c r="T92" s="600"/>
      <c r="U92" s="187">
        <v>3</v>
      </c>
      <c r="V92" s="187">
        <v>2814.0000000000023</v>
      </c>
      <c r="W92" s="187">
        <v>938.0000000000008</v>
      </c>
      <c r="X92" s="346">
        <f t="shared" si="28"/>
        <v>4</v>
      </c>
      <c r="Y92" s="600"/>
      <c r="Z92" s="187">
        <v>3</v>
      </c>
      <c r="AA92" s="187">
        <v>2865.0000000000023</v>
      </c>
      <c r="AB92" s="187">
        <v>955.0000000000008</v>
      </c>
      <c r="AC92" s="346">
        <f t="shared" si="29"/>
        <v>3</v>
      </c>
      <c r="AD92" s="600"/>
      <c r="AE92" s="187">
        <v>3</v>
      </c>
      <c r="AF92" s="187">
        <v>2736.6233766233777</v>
      </c>
      <c r="AG92" s="187">
        <v>912.20779220779252</v>
      </c>
      <c r="AH92" s="346">
        <f t="shared" si="30"/>
        <v>6</v>
      </c>
      <c r="AI92" s="600"/>
      <c r="AJ92" s="187">
        <v>3</v>
      </c>
      <c r="AK92" s="187">
        <v>2731.9999999999977</v>
      </c>
      <c r="AL92" s="187">
        <v>910.66666666666595</v>
      </c>
      <c r="AM92" s="346">
        <f t="shared" si="31"/>
        <v>7</v>
      </c>
      <c r="AN92" s="600"/>
      <c r="AO92" s="187">
        <v>3</v>
      </c>
      <c r="AP92" s="187">
        <v>2733.3333333333335</v>
      </c>
      <c r="AQ92" s="187">
        <v>911.1111111111112</v>
      </c>
      <c r="AR92" s="346">
        <f t="shared" si="32"/>
        <v>6</v>
      </c>
      <c r="AS92" s="600"/>
      <c r="AT92" s="187">
        <v>3</v>
      </c>
      <c r="AU92" s="187">
        <v>2845.4999999999991</v>
      </c>
      <c r="AV92" s="187">
        <v>948.49999999999966</v>
      </c>
      <c r="AW92" s="346">
        <f t="shared" si="33"/>
        <v>4</v>
      </c>
      <c r="AX92" s="600"/>
    </row>
    <row r="93" spans="2:50">
      <c r="B93" s="613"/>
      <c r="C93" s="340">
        <v>17</v>
      </c>
      <c r="D93" s="340" t="s">
        <v>788</v>
      </c>
      <c r="E93" s="340">
        <v>4</v>
      </c>
      <c r="F93" s="340">
        <v>2800</v>
      </c>
      <c r="G93" s="340">
        <v>700</v>
      </c>
      <c r="H93" s="600"/>
      <c r="I93" s="204">
        <f t="shared" si="24"/>
        <v>4</v>
      </c>
      <c r="J93" s="204">
        <f t="shared" si="25"/>
        <v>2755.7617168180113</v>
      </c>
      <c r="K93" s="205">
        <f t="shared" si="26"/>
        <v>688.94042920450283</v>
      </c>
      <c r="L93" s="585"/>
      <c r="M93" s="204">
        <f>RANK(K93, K$77:$K$106)</f>
        <v>21</v>
      </c>
      <c r="N93" s="592"/>
      <c r="O93" s="592"/>
      <c r="P93" s="187">
        <v>4</v>
      </c>
      <c r="Q93" s="187">
        <v>2676</v>
      </c>
      <c r="R93" s="187">
        <v>669</v>
      </c>
      <c r="S93" s="346">
        <f t="shared" si="27"/>
        <v>19</v>
      </c>
      <c r="T93" s="600"/>
      <c r="U93" s="187">
        <v>4</v>
      </c>
      <c r="V93" s="187">
        <v>2814.9999999999986</v>
      </c>
      <c r="W93" s="187">
        <v>703.74999999999966</v>
      </c>
      <c r="X93" s="346">
        <f t="shared" si="28"/>
        <v>21</v>
      </c>
      <c r="Y93" s="600"/>
      <c r="Z93" s="187">
        <v>4</v>
      </c>
      <c r="AA93" s="187">
        <v>2792.0689655172437</v>
      </c>
      <c r="AB93" s="187">
        <v>698.01724137931092</v>
      </c>
      <c r="AC93" s="346">
        <f t="shared" si="29"/>
        <v>19</v>
      </c>
      <c r="AD93" s="600"/>
      <c r="AE93" s="187">
        <v>4</v>
      </c>
      <c r="AF93" s="187">
        <v>2680.4999999999991</v>
      </c>
      <c r="AG93" s="187">
        <v>670.12499999999977</v>
      </c>
      <c r="AH93" s="346">
        <f t="shared" si="30"/>
        <v>22</v>
      </c>
      <c r="AI93" s="600"/>
      <c r="AJ93" s="187">
        <v>4</v>
      </c>
      <c r="AK93" s="187">
        <v>2772.0000000000009</v>
      </c>
      <c r="AL93" s="187">
        <v>693.00000000000023</v>
      </c>
      <c r="AM93" s="346">
        <f t="shared" si="31"/>
        <v>17</v>
      </c>
      <c r="AN93" s="600"/>
      <c r="AO93" s="187">
        <v>4</v>
      </c>
      <c r="AP93" s="187">
        <v>2750.6666666666665</v>
      </c>
      <c r="AQ93" s="187">
        <v>687.66666666666663</v>
      </c>
      <c r="AR93" s="346">
        <f t="shared" si="32"/>
        <v>22</v>
      </c>
      <c r="AS93" s="600"/>
      <c r="AT93" s="187">
        <v>4</v>
      </c>
      <c r="AU93" s="187">
        <v>2804.0963855421678</v>
      </c>
      <c r="AV93" s="187">
        <v>701.02409638554195</v>
      </c>
      <c r="AW93" s="346">
        <f t="shared" si="33"/>
        <v>20</v>
      </c>
      <c r="AX93" s="600"/>
    </row>
    <row r="94" spans="2:50">
      <c r="B94" s="613"/>
      <c r="C94" s="340">
        <v>18</v>
      </c>
      <c r="D94" s="340" t="s">
        <v>377</v>
      </c>
      <c r="E94" s="340">
        <v>4</v>
      </c>
      <c r="F94" s="340">
        <v>3600</v>
      </c>
      <c r="G94" s="340">
        <v>900</v>
      </c>
      <c r="H94" s="600"/>
      <c r="I94" s="204">
        <f t="shared" si="24"/>
        <v>4</v>
      </c>
      <c r="J94" s="204">
        <f t="shared" si="25"/>
        <v>2881.6285714285646</v>
      </c>
      <c r="K94" s="205">
        <f t="shared" si="26"/>
        <v>720.40714285714114</v>
      </c>
      <c r="L94" s="585"/>
      <c r="M94" s="204">
        <f>RANK(K94, K$77:$K$106)</f>
        <v>18</v>
      </c>
      <c r="N94" s="592"/>
      <c r="O94" s="592"/>
      <c r="P94" s="187">
        <v>4</v>
      </c>
      <c r="Q94" s="187">
        <v>2502.0000000000086</v>
      </c>
      <c r="R94" s="187">
        <v>625.50000000000216</v>
      </c>
      <c r="S94" s="346">
        <f t="shared" si="27"/>
        <v>23</v>
      </c>
      <c r="T94" s="600"/>
      <c r="U94" s="187">
        <v>4</v>
      </c>
      <c r="V94" s="187">
        <v>2983.1999999999916</v>
      </c>
      <c r="W94" s="187">
        <v>745.79999999999791</v>
      </c>
      <c r="X94" s="346">
        <f t="shared" si="28"/>
        <v>17</v>
      </c>
      <c r="Y94" s="600"/>
      <c r="Z94" s="187">
        <v>4</v>
      </c>
      <c r="AA94" s="187">
        <v>2884.799999999992</v>
      </c>
      <c r="AB94" s="187">
        <v>721.199999999998</v>
      </c>
      <c r="AC94" s="346">
        <f t="shared" si="29"/>
        <v>16</v>
      </c>
      <c r="AD94" s="600"/>
      <c r="AE94" s="187">
        <v>4</v>
      </c>
      <c r="AF94" s="187">
        <v>3218.9999999999859</v>
      </c>
      <c r="AG94" s="187">
        <v>804.74999999999648</v>
      </c>
      <c r="AH94" s="346">
        <f t="shared" si="30"/>
        <v>10</v>
      </c>
      <c r="AI94" s="600"/>
      <c r="AJ94" s="187">
        <v>4</v>
      </c>
      <c r="AK94" s="187">
        <v>2716.7999999999925</v>
      </c>
      <c r="AL94" s="187">
        <v>679.19999999999811</v>
      </c>
      <c r="AM94" s="346">
        <f t="shared" si="31"/>
        <v>18</v>
      </c>
      <c r="AN94" s="600"/>
      <c r="AO94" s="187">
        <v>4</v>
      </c>
      <c r="AP94" s="187">
        <v>3002.3999999999915</v>
      </c>
      <c r="AQ94" s="187">
        <v>750.59999999999786</v>
      </c>
      <c r="AR94" s="346">
        <f t="shared" si="32"/>
        <v>17</v>
      </c>
      <c r="AS94" s="600"/>
      <c r="AT94" s="187">
        <v>4</v>
      </c>
      <c r="AU94" s="187">
        <v>2863.1999999999916</v>
      </c>
      <c r="AV94" s="187">
        <v>715.79999999999791</v>
      </c>
      <c r="AW94" s="346">
        <f t="shared" si="33"/>
        <v>17</v>
      </c>
      <c r="AX94" s="600"/>
    </row>
    <row r="95" spans="2:50">
      <c r="B95" s="613"/>
      <c r="C95" s="340">
        <v>19</v>
      </c>
      <c r="D95" s="340" t="s">
        <v>378</v>
      </c>
      <c r="E95" s="340">
        <v>4</v>
      </c>
      <c r="F95" s="340">
        <v>3000</v>
      </c>
      <c r="G95" s="340">
        <v>750</v>
      </c>
      <c r="H95" s="600"/>
      <c r="I95" s="204">
        <f t="shared" si="24"/>
        <v>3</v>
      </c>
      <c r="J95" s="204">
        <f t="shared" si="25"/>
        <v>2252.8979591836746</v>
      </c>
      <c r="K95" s="205">
        <f t="shared" si="26"/>
        <v>750.96598639455806</v>
      </c>
      <c r="L95" s="585"/>
      <c r="M95" s="204">
        <f>RANK(K95, K$77:$K$106)</f>
        <v>15</v>
      </c>
      <c r="N95" s="592"/>
      <c r="O95" s="592"/>
      <c r="P95" s="187">
        <v>3</v>
      </c>
      <c r="Q95" s="187">
        <v>2158.0000000000077</v>
      </c>
      <c r="R95" s="187">
        <v>719.33333333333587</v>
      </c>
      <c r="S95" s="346">
        <f t="shared" si="27"/>
        <v>13</v>
      </c>
      <c r="T95" s="600"/>
      <c r="U95" s="187">
        <v>3</v>
      </c>
      <c r="V95" s="187">
        <v>2284.2857142857097</v>
      </c>
      <c r="W95" s="187">
        <v>761.42857142856985</v>
      </c>
      <c r="X95" s="346">
        <f t="shared" si="28"/>
        <v>16</v>
      </c>
      <c r="Y95" s="600"/>
      <c r="Z95" s="187">
        <v>3</v>
      </c>
      <c r="AA95" s="187">
        <v>2010.0000000000073</v>
      </c>
      <c r="AB95" s="187">
        <v>670.00000000000239</v>
      </c>
      <c r="AC95" s="346">
        <f t="shared" si="29"/>
        <v>22</v>
      </c>
      <c r="AD95" s="600"/>
      <c r="AE95" s="187">
        <v>3</v>
      </c>
      <c r="AF95" s="187">
        <v>2561.9999999999886</v>
      </c>
      <c r="AG95" s="187">
        <v>853.99999999999625</v>
      </c>
      <c r="AH95" s="346">
        <f t="shared" si="30"/>
        <v>9</v>
      </c>
      <c r="AI95" s="600"/>
      <c r="AJ95" s="187">
        <v>3</v>
      </c>
      <c r="AK95" s="187">
        <v>1994.0000000000068</v>
      </c>
      <c r="AL95" s="187">
        <v>664.6666666666689</v>
      </c>
      <c r="AM95" s="346">
        <f t="shared" si="31"/>
        <v>20</v>
      </c>
      <c r="AN95" s="600"/>
      <c r="AO95" s="187">
        <v>3</v>
      </c>
      <c r="AP95" s="187">
        <v>2242.0000000000082</v>
      </c>
      <c r="AQ95" s="187">
        <v>747.3333333333361</v>
      </c>
      <c r="AR95" s="346">
        <f t="shared" si="32"/>
        <v>18</v>
      </c>
      <c r="AS95" s="600"/>
      <c r="AT95" s="187">
        <v>3</v>
      </c>
      <c r="AU95" s="187">
        <v>2519.9999999999927</v>
      </c>
      <c r="AV95" s="187">
        <v>839.99999999999761</v>
      </c>
      <c r="AW95" s="346">
        <f t="shared" si="33"/>
        <v>8</v>
      </c>
      <c r="AX95" s="600"/>
    </row>
    <row r="96" spans="2:50">
      <c r="B96" s="613"/>
      <c r="C96" s="340">
        <v>20</v>
      </c>
      <c r="D96" s="340" t="s">
        <v>379</v>
      </c>
      <c r="E96" s="340">
        <v>4</v>
      </c>
      <c r="F96" s="340">
        <v>3000</v>
      </c>
      <c r="G96" s="340">
        <v>750</v>
      </c>
      <c r="H96" s="600"/>
      <c r="I96" s="204">
        <f t="shared" ref="I96:K98" si="34">AVERAGE(P96,U96,Z96,AE96,AJ96,AO96,AT96)</f>
        <v>4</v>
      </c>
      <c r="J96" s="204">
        <f t="shared" si="34"/>
        <v>2336.207792207801</v>
      </c>
      <c r="K96" s="205">
        <f t="shared" si="34"/>
        <v>584.05194805195026</v>
      </c>
      <c r="L96" s="585"/>
      <c r="M96" s="204">
        <f>RANK(K96, K$77:$K$106)</f>
        <v>24</v>
      </c>
      <c r="N96" s="592"/>
      <c r="O96" s="592"/>
      <c r="P96" s="187">
        <v>4</v>
      </c>
      <c r="Q96" s="187">
        <v>2049.6000000000204</v>
      </c>
      <c r="R96" s="187">
        <v>512.40000000000509</v>
      </c>
      <c r="S96" s="346">
        <f t="shared" si="27"/>
        <v>24</v>
      </c>
      <c r="T96" s="600"/>
      <c r="U96" s="187">
        <v>4</v>
      </c>
      <c r="V96" s="187">
        <v>2574.0000000000091</v>
      </c>
      <c r="W96" s="187">
        <v>643.50000000000227</v>
      </c>
      <c r="X96" s="346">
        <f t="shared" si="28"/>
        <v>24</v>
      </c>
      <c r="Y96" s="600"/>
      <c r="Z96" s="187">
        <v>4</v>
      </c>
      <c r="AA96" s="187">
        <v>1886.4000000000187</v>
      </c>
      <c r="AB96" s="187">
        <v>471.60000000000468</v>
      </c>
      <c r="AC96" s="346">
        <f t="shared" si="29"/>
        <v>24</v>
      </c>
      <c r="AD96" s="600"/>
      <c r="AE96" s="187">
        <v>4</v>
      </c>
      <c r="AF96" s="187">
        <v>2608.0000000000091</v>
      </c>
      <c r="AG96" s="187">
        <v>652.00000000000227</v>
      </c>
      <c r="AH96" s="346">
        <f t="shared" si="30"/>
        <v>24</v>
      </c>
      <c r="AI96" s="600"/>
      <c r="AJ96" s="187">
        <v>4</v>
      </c>
      <c r="AK96" s="187">
        <v>2304.0000000000082</v>
      </c>
      <c r="AL96" s="187">
        <v>576.00000000000205</v>
      </c>
      <c r="AM96" s="346">
        <f t="shared" si="31"/>
        <v>24</v>
      </c>
      <c r="AN96" s="600"/>
      <c r="AO96" s="187">
        <v>4</v>
      </c>
      <c r="AP96" s="187">
        <v>2345.4545454545537</v>
      </c>
      <c r="AQ96" s="187">
        <v>586.36363636363842</v>
      </c>
      <c r="AR96" s="346">
        <f t="shared" si="32"/>
        <v>24</v>
      </c>
      <c r="AS96" s="600"/>
      <c r="AT96" s="187">
        <v>4</v>
      </c>
      <c r="AU96" s="187">
        <v>2585.9999999999886</v>
      </c>
      <c r="AV96" s="187">
        <v>646.49999999999716</v>
      </c>
      <c r="AW96" s="346">
        <f t="shared" si="33"/>
        <v>23</v>
      </c>
      <c r="AX96" s="600"/>
    </row>
    <row r="97" spans="2:50">
      <c r="B97" s="613"/>
      <c r="C97" s="340">
        <v>21</v>
      </c>
      <c r="D97" s="340" t="s">
        <v>380</v>
      </c>
      <c r="E97" s="340">
        <v>4</v>
      </c>
      <c r="F97" s="340">
        <v>3600</v>
      </c>
      <c r="G97" s="340">
        <v>900</v>
      </c>
      <c r="H97" s="600"/>
      <c r="I97" s="204">
        <f t="shared" si="34"/>
        <v>4</v>
      </c>
      <c r="J97" s="204">
        <f t="shared" si="34"/>
        <v>2900.3403361344513</v>
      </c>
      <c r="K97" s="205">
        <f t="shared" si="34"/>
        <v>725.08508403361282</v>
      </c>
      <c r="L97" s="585"/>
      <c r="M97" s="204">
        <f>RANK(K97, K$77:$K$106)</f>
        <v>16</v>
      </c>
      <c r="N97" s="592"/>
      <c r="O97" s="592"/>
      <c r="P97" s="378">
        <v>4</v>
      </c>
      <c r="Q97" s="187">
        <v>2600.9999999999886</v>
      </c>
      <c r="R97" s="379">
        <v>650.24999999999716</v>
      </c>
      <c r="S97" s="346">
        <f t="shared" si="27"/>
        <v>21</v>
      </c>
      <c r="T97" s="600"/>
      <c r="U97" s="468">
        <v>4</v>
      </c>
      <c r="V97" s="187">
        <v>3383.9999999999759</v>
      </c>
      <c r="W97" s="469">
        <v>845.99999999999397</v>
      </c>
      <c r="X97" s="346">
        <f t="shared" si="28"/>
        <v>9</v>
      </c>
      <c r="Y97" s="600"/>
      <c r="Z97" s="468">
        <v>4</v>
      </c>
      <c r="AA97" s="187">
        <v>2418.0000000000086</v>
      </c>
      <c r="AB97" s="469">
        <v>604.50000000000216</v>
      </c>
      <c r="AC97" s="346">
        <f t="shared" si="29"/>
        <v>23</v>
      </c>
      <c r="AD97" s="600"/>
      <c r="AE97" s="468">
        <v>4</v>
      </c>
      <c r="AF97" s="187">
        <v>3128.0000000000109</v>
      </c>
      <c r="AG97" s="469">
        <v>782.00000000000273</v>
      </c>
      <c r="AH97" s="346">
        <f t="shared" si="30"/>
        <v>13</v>
      </c>
      <c r="AI97" s="600"/>
      <c r="AJ97" s="468">
        <v>4</v>
      </c>
      <c r="AK97" s="187">
        <v>2418.0000000000086</v>
      </c>
      <c r="AL97" s="469">
        <v>604.50000000000216</v>
      </c>
      <c r="AM97" s="346">
        <f t="shared" si="31"/>
        <v>23</v>
      </c>
      <c r="AN97" s="600"/>
      <c r="AO97" s="468">
        <v>4</v>
      </c>
      <c r="AP97" s="187">
        <v>3307.5000000000118</v>
      </c>
      <c r="AQ97" s="469">
        <v>826.87500000000296</v>
      </c>
      <c r="AR97" s="346">
        <f t="shared" si="32"/>
        <v>8</v>
      </c>
      <c r="AS97" s="600"/>
      <c r="AT97" s="468">
        <v>4</v>
      </c>
      <c r="AU97" s="187">
        <v>3045.8823529411584</v>
      </c>
      <c r="AV97" s="469">
        <v>761.4705882352896</v>
      </c>
      <c r="AW97" s="346">
        <f t="shared" si="33"/>
        <v>15</v>
      </c>
      <c r="AX97" s="600"/>
    </row>
    <row r="98" spans="2:50">
      <c r="B98" s="613"/>
      <c r="C98" s="340">
        <v>22</v>
      </c>
      <c r="D98" s="340" t="s">
        <v>625</v>
      </c>
      <c r="E98" s="340">
        <v>4</v>
      </c>
      <c r="F98" s="340">
        <v>3000</v>
      </c>
      <c r="G98" s="340">
        <v>750</v>
      </c>
      <c r="H98" s="600"/>
      <c r="I98" s="204">
        <f t="shared" si="34"/>
        <v>4</v>
      </c>
      <c r="J98" s="204">
        <f t="shared" si="34"/>
        <v>2895.9591836734585</v>
      </c>
      <c r="K98" s="205">
        <f t="shared" si="34"/>
        <v>723.98979591836462</v>
      </c>
      <c r="L98" s="585"/>
      <c r="M98" s="204">
        <f>RANK(K98, K$77:$K$106)</f>
        <v>17</v>
      </c>
      <c r="N98" s="592"/>
      <c r="O98" s="592"/>
      <c r="P98" s="378">
        <v>4</v>
      </c>
      <c r="Q98" s="187">
        <v>2594.9999999999832</v>
      </c>
      <c r="R98" s="379">
        <v>648.74999999999579</v>
      </c>
      <c r="S98" s="346">
        <f t="shared" si="27"/>
        <v>22</v>
      </c>
      <c r="T98" s="600"/>
      <c r="U98" s="468">
        <v>4</v>
      </c>
      <c r="V98" s="187">
        <v>2845.714285714263</v>
      </c>
      <c r="W98" s="469">
        <v>711.42857142856576</v>
      </c>
      <c r="X98" s="346">
        <f t="shared" si="28"/>
        <v>19</v>
      </c>
      <c r="Y98" s="600"/>
      <c r="Z98" s="468">
        <v>4</v>
      </c>
      <c r="AA98" s="187">
        <v>3130.0000000000109</v>
      </c>
      <c r="AB98" s="469">
        <v>782.50000000000273</v>
      </c>
      <c r="AC98" s="346">
        <f t="shared" si="29"/>
        <v>14</v>
      </c>
      <c r="AD98" s="600"/>
      <c r="AE98" s="468">
        <v>4</v>
      </c>
      <c r="AF98" s="187">
        <v>2795.999999999965</v>
      </c>
      <c r="AG98" s="469">
        <v>698.99999999999125</v>
      </c>
      <c r="AH98" s="346">
        <f t="shared" si="30"/>
        <v>18</v>
      </c>
      <c r="AI98" s="600"/>
      <c r="AJ98" s="468">
        <v>4</v>
      </c>
      <c r="AK98" s="187">
        <v>2925.00000000001</v>
      </c>
      <c r="AL98" s="469">
        <v>731.2500000000025</v>
      </c>
      <c r="AM98" s="346">
        <f t="shared" si="31"/>
        <v>16</v>
      </c>
      <c r="AN98" s="600"/>
      <c r="AO98" s="468">
        <v>4</v>
      </c>
      <c r="AP98" s="187">
        <v>3189.9999999999686</v>
      </c>
      <c r="AQ98" s="469">
        <v>797.49999999999216</v>
      </c>
      <c r="AR98" s="346">
        <f t="shared" si="32"/>
        <v>11</v>
      </c>
      <c r="AS98" s="600"/>
      <c r="AT98" s="468">
        <v>4</v>
      </c>
      <c r="AU98" s="187">
        <v>2790.00000000001</v>
      </c>
      <c r="AV98" s="469">
        <v>697.5000000000025</v>
      </c>
      <c r="AW98" s="346">
        <f t="shared" si="33"/>
        <v>21</v>
      </c>
      <c r="AX98" s="600"/>
    </row>
    <row r="99" spans="2:50">
      <c r="B99" s="613"/>
      <c r="C99" s="340">
        <v>23</v>
      </c>
      <c r="D99" s="340" t="s">
        <v>663</v>
      </c>
      <c r="E99" s="340">
        <v>4</v>
      </c>
      <c r="F99" s="340">
        <v>3300</v>
      </c>
      <c r="G99" s="340">
        <v>825</v>
      </c>
      <c r="H99" s="600"/>
      <c r="I99" s="470">
        <f t="shared" ref="I99:I100" si="35">AVERAGE(P99,U99,Z99,AE99,AJ99,AO99,AT99)</f>
        <v>3</v>
      </c>
      <c r="J99" s="470">
        <f t="shared" ref="J99:J100" si="36">AVERAGE(Q99,V99,AA99,AF99,AK99,AP99,AU99)</f>
        <v>2758.0248008838093</v>
      </c>
      <c r="K99" s="205">
        <f t="shared" ref="K99:K100" si="37">AVERAGE(R99,W99,AB99,AG99,AL99,AQ99,AV99)</f>
        <v>919.3416002946027</v>
      </c>
      <c r="L99" s="585"/>
      <c r="M99" s="204">
        <f>RANK(K99, K$77:$K$106)</f>
        <v>4</v>
      </c>
      <c r="N99" s="592"/>
      <c r="O99" s="592"/>
      <c r="P99" s="378">
        <v>3</v>
      </c>
      <c r="Q99" s="378">
        <v>2628.0000000000014</v>
      </c>
      <c r="R99" s="379">
        <v>876.00000000000045</v>
      </c>
      <c r="S99" s="346">
        <f t="shared" si="27"/>
        <v>6</v>
      </c>
      <c r="T99" s="600"/>
      <c r="U99" s="468">
        <v>3</v>
      </c>
      <c r="V99" s="187">
        <v>2782.352941176463</v>
      </c>
      <c r="W99" s="469">
        <v>927.45098039215429</v>
      </c>
      <c r="X99" s="346">
        <f t="shared" si="28"/>
        <v>6</v>
      </c>
      <c r="Y99" s="600"/>
      <c r="Z99" s="468">
        <v>3</v>
      </c>
      <c r="AA99" s="187">
        <v>2780.816326530613</v>
      </c>
      <c r="AB99" s="469">
        <v>926.93877551020432</v>
      </c>
      <c r="AC99" s="346">
        <f t="shared" si="29"/>
        <v>5</v>
      </c>
      <c r="AD99" s="600"/>
      <c r="AE99" s="468">
        <v>3</v>
      </c>
      <c r="AF99" s="187">
        <v>2793.4883720930229</v>
      </c>
      <c r="AG99" s="469">
        <v>931.16279069767427</v>
      </c>
      <c r="AH99" s="346">
        <f t="shared" si="30"/>
        <v>3</v>
      </c>
      <c r="AI99" s="600"/>
      <c r="AJ99" s="468">
        <v>3</v>
      </c>
      <c r="AK99" s="187">
        <v>2752.8571428571477</v>
      </c>
      <c r="AL99" s="469">
        <v>917.61904761904918</v>
      </c>
      <c r="AM99" s="346">
        <f t="shared" si="31"/>
        <v>4</v>
      </c>
      <c r="AN99" s="600"/>
      <c r="AO99" s="468">
        <v>3</v>
      </c>
      <c r="AP99" s="187">
        <v>2787.0588235294126</v>
      </c>
      <c r="AQ99" s="469">
        <v>929.01960784313758</v>
      </c>
      <c r="AR99" s="346">
        <f t="shared" si="32"/>
        <v>4</v>
      </c>
      <c r="AS99" s="600"/>
      <c r="AT99" s="468">
        <v>3</v>
      </c>
      <c r="AU99" s="468">
        <v>2781.6000000000008</v>
      </c>
      <c r="AV99" s="469">
        <v>927.20000000000027</v>
      </c>
      <c r="AW99" s="346">
        <f t="shared" si="33"/>
        <v>5</v>
      </c>
      <c r="AX99" s="600"/>
    </row>
    <row r="100" spans="2:50">
      <c r="B100" s="613"/>
      <c r="C100" s="340">
        <v>24</v>
      </c>
      <c r="D100" s="340" t="s">
        <v>764</v>
      </c>
      <c r="E100" s="340">
        <v>3</v>
      </c>
      <c r="F100" s="340">
        <v>2800</v>
      </c>
      <c r="G100" s="340">
        <v>933.33333333333337</v>
      </c>
      <c r="H100" s="600"/>
      <c r="I100" s="470">
        <f t="shared" si="35"/>
        <v>3</v>
      </c>
      <c r="J100" s="470">
        <f t="shared" si="36"/>
        <v>2769.3067008179773</v>
      </c>
      <c r="K100" s="205">
        <f t="shared" si="37"/>
        <v>923.10223360599241</v>
      </c>
      <c r="L100" s="585"/>
      <c r="M100" s="204">
        <f>RANK(K100, K$77:$K$106)</f>
        <v>3</v>
      </c>
      <c r="N100" s="592"/>
      <c r="O100" s="592"/>
      <c r="P100" s="378">
        <v>3</v>
      </c>
      <c r="Q100" s="378">
        <v>2639.9999999999973</v>
      </c>
      <c r="R100" s="378">
        <v>879.99999999999909</v>
      </c>
      <c r="S100" s="346">
        <f t="shared" si="27"/>
        <v>5</v>
      </c>
      <c r="T100" s="600"/>
      <c r="U100" s="468">
        <v>3</v>
      </c>
      <c r="V100" s="187">
        <v>2833.8461538461424</v>
      </c>
      <c r="W100" s="469">
        <v>944.61538461538078</v>
      </c>
      <c r="X100" s="346">
        <f t="shared" si="28"/>
        <v>3</v>
      </c>
      <c r="Y100" s="600"/>
      <c r="Z100" s="468">
        <v>3</v>
      </c>
      <c r="AA100" s="187">
        <v>2457.4285714285688</v>
      </c>
      <c r="AB100" s="469">
        <v>819.14285714285631</v>
      </c>
      <c r="AC100" s="346">
        <f t="shared" si="29"/>
        <v>9</v>
      </c>
      <c r="AD100" s="600"/>
      <c r="AE100" s="468">
        <v>3</v>
      </c>
      <c r="AF100" s="187">
        <v>2803.1578947368444</v>
      </c>
      <c r="AG100" s="469">
        <v>934.38596491228145</v>
      </c>
      <c r="AH100" s="346">
        <f t="shared" si="30"/>
        <v>2</v>
      </c>
      <c r="AI100" s="600"/>
      <c r="AJ100" s="468">
        <v>3</v>
      </c>
      <c r="AK100" s="187">
        <v>2776.999999999995</v>
      </c>
      <c r="AL100" s="469">
        <v>925.66666666666504</v>
      </c>
      <c r="AM100" s="346">
        <f t="shared" si="31"/>
        <v>3</v>
      </c>
      <c r="AN100" s="600"/>
      <c r="AO100" s="468">
        <v>3</v>
      </c>
      <c r="AP100" s="187">
        <v>2945.7142857142885</v>
      </c>
      <c r="AQ100" s="469">
        <v>981.90476190476284</v>
      </c>
      <c r="AR100" s="346">
        <f t="shared" si="32"/>
        <v>2</v>
      </c>
      <c r="AS100" s="600"/>
      <c r="AT100" s="468">
        <v>3</v>
      </c>
      <c r="AU100" s="468">
        <v>2928.0000000000032</v>
      </c>
      <c r="AV100" s="468">
        <v>976.00000000000102</v>
      </c>
      <c r="AW100" s="346">
        <f t="shared" si="33"/>
        <v>2</v>
      </c>
      <c r="AX100" s="600"/>
    </row>
    <row r="101" spans="2:50">
      <c r="B101" s="613"/>
      <c r="C101" s="340">
        <v>25</v>
      </c>
      <c r="D101" s="340"/>
      <c r="E101" s="340"/>
      <c r="F101" s="340"/>
      <c r="G101" s="340"/>
      <c r="H101" s="600"/>
      <c r="I101" s="207"/>
      <c r="J101" s="207"/>
      <c r="K101" s="207"/>
      <c r="L101" s="585"/>
      <c r="M101" s="204" t="e">
        <f>RANK(K101, K$77:$K$106)</f>
        <v>#N/A</v>
      </c>
      <c r="N101" s="592"/>
      <c r="O101" s="592"/>
      <c r="P101" s="378"/>
      <c r="Q101" s="378"/>
      <c r="R101" s="378"/>
      <c r="S101" s="346" t="e">
        <f t="shared" si="27"/>
        <v>#N/A</v>
      </c>
      <c r="T101" s="600"/>
      <c r="U101" s="378"/>
      <c r="V101" s="378"/>
      <c r="W101" s="378"/>
      <c r="X101" s="346" t="e">
        <f t="shared" si="28"/>
        <v>#N/A</v>
      </c>
      <c r="Y101" s="600"/>
      <c r="Z101" s="378"/>
      <c r="AA101" s="378"/>
      <c r="AB101" s="378"/>
      <c r="AC101" s="346" t="e">
        <f t="shared" si="29"/>
        <v>#N/A</v>
      </c>
      <c r="AD101" s="600"/>
      <c r="AE101" s="378"/>
      <c r="AF101" s="378"/>
      <c r="AG101" s="378"/>
      <c r="AH101" s="346" t="e">
        <f t="shared" si="30"/>
        <v>#N/A</v>
      </c>
      <c r="AI101" s="600"/>
      <c r="AJ101" s="378"/>
      <c r="AK101" s="378"/>
      <c r="AL101" s="378"/>
      <c r="AM101" s="346" t="e">
        <f t="shared" si="31"/>
        <v>#N/A</v>
      </c>
      <c r="AN101" s="600"/>
      <c r="AO101" s="378"/>
      <c r="AP101" s="378"/>
      <c r="AQ101" s="378"/>
      <c r="AR101" s="346" t="e">
        <f t="shared" si="32"/>
        <v>#N/A</v>
      </c>
      <c r="AS101" s="600"/>
      <c r="AT101" s="378"/>
      <c r="AU101" s="378"/>
      <c r="AV101" s="378"/>
      <c r="AW101" s="346" t="e">
        <f t="shared" si="33"/>
        <v>#N/A</v>
      </c>
      <c r="AX101" s="600"/>
    </row>
    <row r="102" spans="2:50">
      <c r="B102" s="613"/>
      <c r="C102" s="340">
        <v>26</v>
      </c>
      <c r="D102" s="340"/>
      <c r="E102" s="340"/>
      <c r="F102" s="340"/>
      <c r="G102" s="340"/>
      <c r="H102" s="600"/>
      <c r="I102" s="207"/>
      <c r="J102" s="207"/>
      <c r="K102" s="207"/>
      <c r="L102" s="585"/>
      <c r="M102" s="204" t="e">
        <f>RANK(K102, K$77:$K$106)</f>
        <v>#N/A</v>
      </c>
      <c r="N102" s="592"/>
      <c r="O102" s="592"/>
      <c r="P102" s="378"/>
      <c r="Q102" s="378"/>
      <c r="R102" s="378"/>
      <c r="S102" s="346" t="e">
        <f t="shared" si="27"/>
        <v>#N/A</v>
      </c>
      <c r="T102" s="600"/>
      <c r="U102" s="378"/>
      <c r="V102" s="378"/>
      <c r="W102" s="378"/>
      <c r="X102" s="346" t="e">
        <f t="shared" si="28"/>
        <v>#N/A</v>
      </c>
      <c r="Y102" s="600"/>
      <c r="Z102" s="378"/>
      <c r="AA102" s="378"/>
      <c r="AB102" s="378"/>
      <c r="AC102" s="346" t="e">
        <f t="shared" si="29"/>
        <v>#N/A</v>
      </c>
      <c r="AD102" s="600"/>
      <c r="AE102" s="378"/>
      <c r="AF102" s="378"/>
      <c r="AG102" s="378"/>
      <c r="AH102" s="346" t="e">
        <f t="shared" si="30"/>
        <v>#N/A</v>
      </c>
      <c r="AI102" s="600"/>
      <c r="AJ102" s="378"/>
      <c r="AK102" s="378"/>
      <c r="AL102" s="378"/>
      <c r="AM102" s="346" t="e">
        <f t="shared" si="31"/>
        <v>#N/A</v>
      </c>
      <c r="AN102" s="600"/>
      <c r="AO102" s="378"/>
      <c r="AP102" s="378"/>
      <c r="AQ102" s="378"/>
      <c r="AR102" s="346" t="e">
        <f t="shared" si="32"/>
        <v>#N/A</v>
      </c>
      <c r="AS102" s="600"/>
      <c r="AT102" s="378"/>
      <c r="AU102" s="378"/>
      <c r="AV102" s="378"/>
      <c r="AW102" s="346" t="e">
        <f t="shared" si="33"/>
        <v>#N/A</v>
      </c>
      <c r="AX102" s="600"/>
    </row>
    <row r="103" spans="2:50">
      <c r="B103" s="613"/>
      <c r="C103" s="340">
        <v>27</v>
      </c>
      <c r="D103" s="340"/>
      <c r="E103" s="340"/>
      <c r="F103" s="340"/>
      <c r="G103" s="340"/>
      <c r="H103" s="600"/>
      <c r="I103" s="207"/>
      <c r="J103" s="207"/>
      <c r="K103" s="207"/>
      <c r="L103" s="585"/>
      <c r="M103" s="204" t="e">
        <f>RANK(K103, K$77:$K$106)</f>
        <v>#N/A</v>
      </c>
      <c r="N103" s="592"/>
      <c r="O103" s="592"/>
      <c r="P103" s="378"/>
      <c r="Q103" s="378"/>
      <c r="R103" s="378"/>
      <c r="S103" s="346" t="e">
        <f t="shared" si="27"/>
        <v>#N/A</v>
      </c>
      <c r="T103" s="600"/>
      <c r="U103" s="378"/>
      <c r="V103" s="378"/>
      <c r="W103" s="378"/>
      <c r="X103" s="346" t="e">
        <f t="shared" si="28"/>
        <v>#N/A</v>
      </c>
      <c r="Y103" s="600"/>
      <c r="Z103" s="378"/>
      <c r="AA103" s="378"/>
      <c r="AB103" s="378"/>
      <c r="AC103" s="346" t="e">
        <f t="shared" si="29"/>
        <v>#N/A</v>
      </c>
      <c r="AD103" s="600"/>
      <c r="AE103" s="378"/>
      <c r="AF103" s="378"/>
      <c r="AG103" s="378"/>
      <c r="AH103" s="346" t="e">
        <f t="shared" si="30"/>
        <v>#N/A</v>
      </c>
      <c r="AI103" s="600"/>
      <c r="AJ103" s="378"/>
      <c r="AK103" s="378"/>
      <c r="AL103" s="378"/>
      <c r="AM103" s="346" t="e">
        <f t="shared" si="31"/>
        <v>#N/A</v>
      </c>
      <c r="AN103" s="600"/>
      <c r="AO103" s="378"/>
      <c r="AP103" s="378"/>
      <c r="AQ103" s="378"/>
      <c r="AR103" s="346" t="e">
        <f t="shared" si="32"/>
        <v>#N/A</v>
      </c>
      <c r="AS103" s="600"/>
      <c r="AT103" s="378"/>
      <c r="AU103" s="378"/>
      <c r="AV103" s="378"/>
      <c r="AW103" s="346" t="e">
        <f t="shared" si="33"/>
        <v>#N/A</v>
      </c>
      <c r="AX103" s="600"/>
    </row>
    <row r="104" spans="2:50">
      <c r="B104" s="613"/>
      <c r="C104" s="340">
        <v>28</v>
      </c>
      <c r="D104" s="340"/>
      <c r="E104" s="340"/>
      <c r="F104" s="340"/>
      <c r="G104" s="340"/>
      <c r="H104" s="600"/>
      <c r="I104" s="207"/>
      <c r="J104" s="207"/>
      <c r="K104" s="207"/>
      <c r="L104" s="585"/>
      <c r="M104" s="204" t="e">
        <f>RANK(K104, K$77:$K$106)</f>
        <v>#N/A</v>
      </c>
      <c r="N104" s="592"/>
      <c r="O104" s="592"/>
      <c r="P104" s="378"/>
      <c r="Q104" s="378"/>
      <c r="R104" s="378"/>
      <c r="S104" s="346" t="e">
        <f t="shared" si="27"/>
        <v>#N/A</v>
      </c>
      <c r="T104" s="600"/>
      <c r="U104" s="378"/>
      <c r="V104" s="378"/>
      <c r="W104" s="378"/>
      <c r="X104" s="346" t="e">
        <f t="shared" si="28"/>
        <v>#N/A</v>
      </c>
      <c r="Y104" s="600"/>
      <c r="Z104" s="378"/>
      <c r="AA104" s="378"/>
      <c r="AB104" s="378"/>
      <c r="AC104" s="346" t="e">
        <f t="shared" si="29"/>
        <v>#N/A</v>
      </c>
      <c r="AD104" s="600"/>
      <c r="AE104" s="378"/>
      <c r="AF104" s="378"/>
      <c r="AG104" s="378"/>
      <c r="AH104" s="346" t="e">
        <f t="shared" si="30"/>
        <v>#N/A</v>
      </c>
      <c r="AI104" s="600"/>
      <c r="AJ104" s="378"/>
      <c r="AK104" s="378"/>
      <c r="AL104" s="378"/>
      <c r="AM104" s="346" t="e">
        <f t="shared" si="31"/>
        <v>#N/A</v>
      </c>
      <c r="AN104" s="600"/>
      <c r="AO104" s="378"/>
      <c r="AP104" s="378"/>
      <c r="AQ104" s="378"/>
      <c r="AR104" s="346" t="e">
        <f t="shared" si="32"/>
        <v>#N/A</v>
      </c>
      <c r="AS104" s="600"/>
      <c r="AT104" s="378"/>
      <c r="AU104" s="378"/>
      <c r="AV104" s="378"/>
      <c r="AW104" s="346" t="e">
        <f t="shared" si="33"/>
        <v>#N/A</v>
      </c>
      <c r="AX104" s="600"/>
    </row>
    <row r="105" spans="2:50">
      <c r="B105" s="613"/>
      <c r="C105" s="340">
        <v>29</v>
      </c>
      <c r="D105" s="340"/>
      <c r="E105" s="340"/>
      <c r="F105" s="340"/>
      <c r="G105" s="340"/>
      <c r="H105" s="600"/>
      <c r="I105" s="207"/>
      <c r="J105" s="207"/>
      <c r="K105" s="207"/>
      <c r="L105" s="585"/>
      <c r="M105" s="204" t="e">
        <f>RANK(K105, K$77:$K$106)</f>
        <v>#N/A</v>
      </c>
      <c r="N105" s="592"/>
      <c r="O105" s="592"/>
      <c r="P105" s="378"/>
      <c r="Q105" s="378"/>
      <c r="R105" s="378"/>
      <c r="S105" s="346" t="e">
        <f t="shared" si="27"/>
        <v>#N/A</v>
      </c>
      <c r="T105" s="600"/>
      <c r="U105" s="378"/>
      <c r="V105" s="378"/>
      <c r="W105" s="378"/>
      <c r="X105" s="346" t="e">
        <f t="shared" si="28"/>
        <v>#N/A</v>
      </c>
      <c r="Y105" s="600"/>
      <c r="Z105" s="378"/>
      <c r="AA105" s="378"/>
      <c r="AB105" s="378"/>
      <c r="AC105" s="346" t="e">
        <f t="shared" si="29"/>
        <v>#N/A</v>
      </c>
      <c r="AD105" s="600"/>
      <c r="AE105" s="378"/>
      <c r="AF105" s="378"/>
      <c r="AG105" s="378"/>
      <c r="AH105" s="346" t="e">
        <f t="shared" si="30"/>
        <v>#N/A</v>
      </c>
      <c r="AI105" s="600"/>
      <c r="AJ105" s="378"/>
      <c r="AK105" s="378"/>
      <c r="AL105" s="378"/>
      <c r="AM105" s="346" t="e">
        <f t="shared" si="31"/>
        <v>#N/A</v>
      </c>
      <c r="AN105" s="600"/>
      <c r="AO105" s="378"/>
      <c r="AP105" s="378"/>
      <c r="AQ105" s="378"/>
      <c r="AR105" s="346" t="e">
        <f t="shared" si="32"/>
        <v>#N/A</v>
      </c>
      <c r="AS105" s="600"/>
      <c r="AT105" s="378"/>
      <c r="AU105" s="378"/>
      <c r="AV105" s="378"/>
      <c r="AW105" s="346" t="e">
        <f t="shared" si="33"/>
        <v>#N/A</v>
      </c>
      <c r="AX105" s="600"/>
    </row>
    <row r="106" spans="2:50">
      <c r="B106" s="614"/>
      <c r="C106" s="340">
        <v>30</v>
      </c>
      <c r="D106" s="340"/>
      <c r="E106" s="340"/>
      <c r="F106" s="340"/>
      <c r="G106" s="340"/>
      <c r="H106" s="601"/>
      <c r="I106" s="207"/>
      <c r="J106" s="207"/>
      <c r="K106" s="207"/>
      <c r="L106" s="586"/>
      <c r="M106" s="204" t="e">
        <f>RANK(K106, K$77:$K$106)</f>
        <v>#N/A</v>
      </c>
      <c r="N106" s="593"/>
      <c r="O106" s="593"/>
      <c r="P106" s="378"/>
      <c r="Q106" s="378"/>
      <c r="R106" s="378"/>
      <c r="S106" s="346" t="e">
        <f t="shared" si="27"/>
        <v>#N/A</v>
      </c>
      <c r="T106" s="601"/>
      <c r="U106" s="378"/>
      <c r="V106" s="378"/>
      <c r="W106" s="378"/>
      <c r="X106" s="346" t="e">
        <f t="shared" si="28"/>
        <v>#N/A</v>
      </c>
      <c r="Y106" s="601"/>
      <c r="Z106" s="378"/>
      <c r="AA106" s="378"/>
      <c r="AB106" s="378"/>
      <c r="AC106" s="346" t="e">
        <f t="shared" si="29"/>
        <v>#N/A</v>
      </c>
      <c r="AD106" s="601"/>
      <c r="AE106" s="378"/>
      <c r="AF106" s="378"/>
      <c r="AG106" s="378"/>
      <c r="AH106" s="346" t="e">
        <f t="shared" si="30"/>
        <v>#N/A</v>
      </c>
      <c r="AI106" s="601"/>
      <c r="AJ106" s="378"/>
      <c r="AK106" s="378"/>
      <c r="AL106" s="378"/>
      <c r="AM106" s="346" t="e">
        <f t="shared" si="31"/>
        <v>#N/A</v>
      </c>
      <c r="AN106" s="601"/>
      <c r="AO106" s="378"/>
      <c r="AP106" s="378"/>
      <c r="AQ106" s="378"/>
      <c r="AR106" s="346" t="e">
        <f t="shared" si="32"/>
        <v>#N/A</v>
      </c>
      <c r="AS106" s="601"/>
      <c r="AT106" s="378"/>
      <c r="AU106" s="378"/>
      <c r="AV106" s="378"/>
      <c r="AW106" s="346" t="e">
        <f t="shared" si="33"/>
        <v>#N/A</v>
      </c>
      <c r="AX106" s="601"/>
    </row>
    <row r="107" spans="2:50" ht="15.75">
      <c r="B107" s="602" t="s">
        <v>163</v>
      </c>
      <c r="C107" s="603"/>
      <c r="D107" s="603"/>
      <c r="E107" s="603"/>
      <c r="F107" s="603"/>
      <c r="G107" s="603"/>
      <c r="H107" s="604"/>
      <c r="I107" s="213"/>
      <c r="J107" s="213"/>
      <c r="K107" s="213"/>
      <c r="L107" s="213"/>
      <c r="M107" s="212"/>
      <c r="N107" s="591" t="s">
        <v>156</v>
      </c>
      <c r="O107" s="591" t="s">
        <v>155</v>
      </c>
      <c r="P107" s="597">
        <f>P72+7</f>
        <v>45951</v>
      </c>
      <c r="Q107" s="598"/>
      <c r="R107" s="598"/>
      <c r="S107" s="598"/>
      <c r="T107" s="598"/>
      <c r="U107" s="594">
        <f>P107+1</f>
        <v>45952</v>
      </c>
      <c r="V107" s="595"/>
      <c r="W107" s="595"/>
      <c r="X107" s="595"/>
      <c r="Y107" s="596"/>
      <c r="Z107" s="594">
        <f>U107+1</f>
        <v>45953</v>
      </c>
      <c r="AA107" s="595"/>
      <c r="AB107" s="595"/>
      <c r="AC107" s="595"/>
      <c r="AD107" s="596"/>
      <c r="AE107" s="594">
        <f>Z107+1</f>
        <v>45954</v>
      </c>
      <c r="AF107" s="595"/>
      <c r="AG107" s="595"/>
      <c r="AH107" s="595"/>
      <c r="AI107" s="596"/>
      <c r="AJ107" s="594">
        <f>AE107+1</f>
        <v>45955</v>
      </c>
      <c r="AK107" s="595"/>
      <c r="AL107" s="595"/>
      <c r="AM107" s="595"/>
      <c r="AN107" s="596"/>
      <c r="AO107" s="594">
        <f>AJ107+1</f>
        <v>45956</v>
      </c>
      <c r="AP107" s="595"/>
      <c r="AQ107" s="595"/>
      <c r="AR107" s="595"/>
      <c r="AS107" s="596"/>
      <c r="AT107" s="594">
        <f>AO107+1</f>
        <v>45957</v>
      </c>
      <c r="AU107" s="595"/>
      <c r="AV107" s="595"/>
      <c r="AW107" s="595"/>
      <c r="AX107" s="596"/>
    </row>
    <row r="108" spans="2:50" ht="15.75">
      <c r="B108" s="605"/>
      <c r="C108" s="605"/>
      <c r="D108" s="605"/>
      <c r="E108" s="605"/>
      <c r="F108" s="605"/>
      <c r="G108" s="605"/>
      <c r="H108" s="605"/>
      <c r="I108" s="210"/>
      <c r="J108" s="210"/>
      <c r="K108" s="210"/>
      <c r="L108" s="210"/>
      <c r="M108" s="211"/>
      <c r="N108" s="593"/>
      <c r="O108" s="593"/>
      <c r="P108" s="597" t="s">
        <v>336</v>
      </c>
      <c r="Q108" s="598"/>
      <c r="R108" s="598"/>
      <c r="S108" s="598"/>
      <c r="T108" s="598"/>
      <c r="U108" s="597" t="s">
        <v>337</v>
      </c>
      <c r="V108" s="598"/>
      <c r="W108" s="598"/>
      <c r="X108" s="598"/>
      <c r="Y108" s="598"/>
      <c r="Z108" s="597" t="s">
        <v>338</v>
      </c>
      <c r="AA108" s="598"/>
      <c r="AB108" s="598"/>
      <c r="AC108" s="598"/>
      <c r="AD108" s="598"/>
      <c r="AE108" s="597" t="s">
        <v>339</v>
      </c>
      <c r="AF108" s="598"/>
      <c r="AG108" s="598"/>
      <c r="AH108" s="598"/>
      <c r="AI108" s="598"/>
      <c r="AJ108" s="597" t="s">
        <v>340</v>
      </c>
      <c r="AK108" s="598"/>
      <c r="AL108" s="598"/>
      <c r="AM108" s="598"/>
      <c r="AN108" s="598"/>
      <c r="AO108" s="597" t="s">
        <v>341</v>
      </c>
      <c r="AP108" s="598"/>
      <c r="AQ108" s="598"/>
      <c r="AR108" s="598"/>
      <c r="AS108" s="598"/>
      <c r="AT108" s="597" t="s">
        <v>342</v>
      </c>
      <c r="AU108" s="598"/>
      <c r="AV108" s="598"/>
      <c r="AW108" s="598"/>
      <c r="AX108" s="598"/>
    </row>
    <row r="109" spans="2:50">
      <c r="B109" s="590" t="s">
        <v>444</v>
      </c>
      <c r="C109" s="590" t="s">
        <v>454</v>
      </c>
      <c r="D109" s="590"/>
      <c r="E109" s="590" t="s">
        <v>445</v>
      </c>
      <c r="F109" s="590"/>
      <c r="G109" s="590"/>
      <c r="H109" s="606" t="s">
        <v>441</v>
      </c>
      <c r="I109" s="574" t="s">
        <v>446</v>
      </c>
      <c r="J109" s="574"/>
      <c r="K109" s="574"/>
      <c r="L109" s="575" t="s">
        <v>441</v>
      </c>
      <c r="M109" s="581" t="s">
        <v>442</v>
      </c>
      <c r="N109" s="590"/>
      <c r="O109" s="590" t="s">
        <v>447</v>
      </c>
      <c r="P109" s="587" t="s">
        <v>443</v>
      </c>
      <c r="Q109" s="588"/>
      <c r="R109" s="588"/>
      <c r="S109" s="589"/>
      <c r="T109" s="590" t="s">
        <v>441</v>
      </c>
      <c r="U109" s="587" t="s">
        <v>443</v>
      </c>
      <c r="V109" s="588"/>
      <c r="W109" s="588"/>
      <c r="X109" s="589"/>
      <c r="Y109" s="590" t="s">
        <v>441</v>
      </c>
      <c r="Z109" s="587" t="s">
        <v>443</v>
      </c>
      <c r="AA109" s="588"/>
      <c r="AB109" s="588"/>
      <c r="AC109" s="589"/>
      <c r="AD109" s="590" t="s">
        <v>441</v>
      </c>
      <c r="AE109" s="587" t="s">
        <v>443</v>
      </c>
      <c r="AF109" s="588"/>
      <c r="AG109" s="588"/>
      <c r="AH109" s="589"/>
      <c r="AI109" s="590" t="s">
        <v>441</v>
      </c>
      <c r="AJ109" s="587" t="s">
        <v>443</v>
      </c>
      <c r="AK109" s="588"/>
      <c r="AL109" s="588"/>
      <c r="AM109" s="589"/>
      <c r="AN109" s="590" t="s">
        <v>441</v>
      </c>
      <c r="AO109" s="587" t="s">
        <v>443</v>
      </c>
      <c r="AP109" s="588"/>
      <c r="AQ109" s="588"/>
      <c r="AR109" s="589"/>
      <c r="AS109" s="590" t="s">
        <v>441</v>
      </c>
      <c r="AT109" s="587" t="s">
        <v>443</v>
      </c>
      <c r="AU109" s="588"/>
      <c r="AV109" s="588"/>
      <c r="AW109" s="589"/>
      <c r="AX109" s="590" t="s">
        <v>441</v>
      </c>
    </row>
    <row r="110" spans="2:50">
      <c r="B110" s="590"/>
      <c r="C110" s="590"/>
      <c r="D110" s="590"/>
      <c r="E110" s="590" t="s">
        <v>448</v>
      </c>
      <c r="F110" s="590"/>
      <c r="G110" s="590"/>
      <c r="H110" s="607"/>
      <c r="I110" s="574" t="s">
        <v>448</v>
      </c>
      <c r="J110" s="574"/>
      <c r="K110" s="574"/>
      <c r="L110" s="576"/>
      <c r="M110" s="582"/>
      <c r="N110" s="590"/>
      <c r="O110" s="590"/>
      <c r="P110" s="587" t="s">
        <v>449</v>
      </c>
      <c r="Q110" s="588"/>
      <c r="R110" s="588"/>
      <c r="S110" s="589"/>
      <c r="T110" s="590"/>
      <c r="U110" s="587" t="s">
        <v>449</v>
      </c>
      <c r="V110" s="588"/>
      <c r="W110" s="588"/>
      <c r="X110" s="589"/>
      <c r="Y110" s="590"/>
      <c r="Z110" s="587" t="s">
        <v>449</v>
      </c>
      <c r="AA110" s="588"/>
      <c r="AB110" s="588"/>
      <c r="AC110" s="589"/>
      <c r="AD110" s="590"/>
      <c r="AE110" s="587" t="s">
        <v>449</v>
      </c>
      <c r="AF110" s="588"/>
      <c r="AG110" s="588"/>
      <c r="AH110" s="589"/>
      <c r="AI110" s="590"/>
      <c r="AJ110" s="587" t="s">
        <v>449</v>
      </c>
      <c r="AK110" s="588"/>
      <c r="AL110" s="588"/>
      <c r="AM110" s="589"/>
      <c r="AN110" s="590"/>
      <c r="AO110" s="587" t="s">
        <v>449</v>
      </c>
      <c r="AP110" s="588"/>
      <c r="AQ110" s="588"/>
      <c r="AR110" s="589"/>
      <c r="AS110" s="590"/>
      <c r="AT110" s="587" t="s">
        <v>449</v>
      </c>
      <c r="AU110" s="588"/>
      <c r="AV110" s="588"/>
      <c r="AW110" s="589"/>
      <c r="AX110" s="590"/>
    </row>
    <row r="111" spans="2:50">
      <c r="B111" s="590"/>
      <c r="C111" s="590"/>
      <c r="D111" s="590"/>
      <c r="E111" s="318" t="s">
        <v>450</v>
      </c>
      <c r="F111" s="318" t="s">
        <v>451</v>
      </c>
      <c r="G111" s="318" t="s">
        <v>452</v>
      </c>
      <c r="H111" s="608"/>
      <c r="I111" s="317" t="s">
        <v>450</v>
      </c>
      <c r="J111" s="317" t="s">
        <v>451</v>
      </c>
      <c r="K111" s="317" t="s">
        <v>452</v>
      </c>
      <c r="L111" s="577"/>
      <c r="M111" s="583"/>
      <c r="N111" s="590"/>
      <c r="O111" s="590"/>
      <c r="P111" s="318" t="s">
        <v>450</v>
      </c>
      <c r="Q111" s="318" t="s">
        <v>451</v>
      </c>
      <c r="R111" s="318" t="s">
        <v>452</v>
      </c>
      <c r="S111" s="318" t="s">
        <v>442</v>
      </c>
      <c r="T111" s="590"/>
      <c r="U111" s="318" t="s">
        <v>450</v>
      </c>
      <c r="V111" s="318" t="s">
        <v>451</v>
      </c>
      <c r="W111" s="318" t="s">
        <v>452</v>
      </c>
      <c r="X111" s="318" t="s">
        <v>442</v>
      </c>
      <c r="Y111" s="590"/>
      <c r="Z111" s="318" t="s">
        <v>450</v>
      </c>
      <c r="AA111" s="318" t="s">
        <v>451</v>
      </c>
      <c r="AB111" s="318" t="s">
        <v>452</v>
      </c>
      <c r="AC111" s="318" t="s">
        <v>442</v>
      </c>
      <c r="AD111" s="590"/>
      <c r="AE111" s="318" t="s">
        <v>450</v>
      </c>
      <c r="AF111" s="318" t="s">
        <v>451</v>
      </c>
      <c r="AG111" s="318" t="s">
        <v>452</v>
      </c>
      <c r="AH111" s="318" t="s">
        <v>442</v>
      </c>
      <c r="AI111" s="590"/>
      <c r="AJ111" s="318" t="s">
        <v>450</v>
      </c>
      <c r="AK111" s="318" t="s">
        <v>451</v>
      </c>
      <c r="AL111" s="318" t="s">
        <v>452</v>
      </c>
      <c r="AM111" s="318" t="s">
        <v>442</v>
      </c>
      <c r="AN111" s="590"/>
      <c r="AO111" s="318" t="s">
        <v>450</v>
      </c>
      <c r="AP111" s="318" t="s">
        <v>451</v>
      </c>
      <c r="AQ111" s="318" t="s">
        <v>452</v>
      </c>
      <c r="AR111" s="318" t="s">
        <v>442</v>
      </c>
      <c r="AS111" s="590"/>
      <c r="AT111" s="318" t="s">
        <v>450</v>
      </c>
      <c r="AU111" s="318" t="s">
        <v>451</v>
      </c>
      <c r="AV111" s="318" t="s">
        <v>452</v>
      </c>
      <c r="AW111" s="318" t="s">
        <v>442</v>
      </c>
      <c r="AX111" s="590"/>
    </row>
    <row r="112" spans="2:50">
      <c r="B112" s="598" t="s">
        <v>150</v>
      </c>
      <c r="C112" s="319">
        <v>1</v>
      </c>
      <c r="D112" s="319" t="s">
        <v>365</v>
      </c>
      <c r="E112" s="319">
        <v>4</v>
      </c>
      <c r="F112" s="319">
        <v>2200</v>
      </c>
      <c r="G112" s="319">
        <v>550</v>
      </c>
      <c r="H112" s="599">
        <f>AVERAGE(G112:G141)</f>
        <v>877.89855072463774</v>
      </c>
      <c r="I112" s="204">
        <f>AVERAGE(P112,U112,Z112,AE112,AJ112,AO112,AT112)</f>
        <v>4</v>
      </c>
      <c r="J112" s="204">
        <f>AVERAGE(Q112,V112,AA112,AF112,AK112,AP112,AU112)</f>
        <v>3227.3974264025414</v>
      </c>
      <c r="K112" s="205">
        <f>AVERAGE(R112,W112,AB112,AG112,AL112,AQ112,AV112)</f>
        <v>806.84935660063536</v>
      </c>
      <c r="L112" s="571">
        <f>IFERROR(AVERAGE(K112:K141),"-")</f>
        <v>788.79160816810054</v>
      </c>
      <c r="M112" s="204">
        <f>RANK(K112, K$112:$K$141)</f>
        <v>8</v>
      </c>
      <c r="N112" s="590"/>
      <c r="O112" s="590"/>
      <c r="P112" s="187">
        <v>4</v>
      </c>
      <c r="Q112" s="187">
        <v>3187.2972972972984</v>
      </c>
      <c r="R112" s="187">
        <v>796.82432432432461</v>
      </c>
      <c r="S112" s="319">
        <f>RANK(R112, R$112:R$141)</f>
        <v>12</v>
      </c>
      <c r="T112" s="599">
        <f>AVERAGE(R112:R141)</f>
        <v>772.62335867291893</v>
      </c>
      <c r="U112" s="187">
        <v>4</v>
      </c>
      <c r="V112" s="187">
        <v>3191.6666666666674</v>
      </c>
      <c r="W112" s="187">
        <v>797.91666666666686</v>
      </c>
      <c r="X112" s="351">
        <f>RANK(W112, W$112:W$141)</f>
        <v>10</v>
      </c>
      <c r="Y112" s="599">
        <f>AVERAGE(W112:W141)</f>
        <v>798.75574661047085</v>
      </c>
      <c r="Z112" s="187">
        <v>4</v>
      </c>
      <c r="AA112" s="187">
        <v>3299.9999999999995</v>
      </c>
      <c r="AB112" s="187">
        <v>824.99999999999989</v>
      </c>
      <c r="AC112" s="351">
        <f>RANK(AB112, AB$112:AB$141)</f>
        <v>8</v>
      </c>
      <c r="AD112" s="599">
        <f>AVERAGE(AB112:AB141)</f>
        <v>779.40126354088466</v>
      </c>
      <c r="AE112" s="187">
        <v>4</v>
      </c>
      <c r="AF112" s="187">
        <v>3189.9999999999995</v>
      </c>
      <c r="AG112" s="187">
        <v>797.49999999999989</v>
      </c>
      <c r="AH112" s="351">
        <f>RANK(AG112, AG$112:AG$141)</f>
        <v>9</v>
      </c>
      <c r="AI112" s="599">
        <f>AVERAGE(AG112:AG141)</f>
        <v>780.50956269069798</v>
      </c>
      <c r="AJ112" s="187">
        <v>4</v>
      </c>
      <c r="AK112" s="187">
        <v>3247.0588235294103</v>
      </c>
      <c r="AL112" s="187">
        <v>811.76470588235259</v>
      </c>
      <c r="AM112" s="351">
        <f>RANK(AL112, AL$112:AL$141)</f>
        <v>9</v>
      </c>
      <c r="AN112" s="599">
        <f>AVERAGE(AL112:AL141)</f>
        <v>807.48113216829279</v>
      </c>
      <c r="AO112" s="187">
        <v>4</v>
      </c>
      <c r="AP112" s="187">
        <v>3173.913043478261</v>
      </c>
      <c r="AQ112" s="187">
        <v>793.47826086956525</v>
      </c>
      <c r="AR112" s="351">
        <f>RANK(AQ112, AQ$112:AQ$141)</f>
        <v>10</v>
      </c>
      <c r="AS112" s="599">
        <f>AVERAGE(AQ112:AQ141)</f>
        <v>808.34560970456323</v>
      </c>
      <c r="AT112" s="187">
        <v>4</v>
      </c>
      <c r="AU112" s="187">
        <v>3301.8461538461529</v>
      </c>
      <c r="AV112" s="187">
        <v>825.46153846153823</v>
      </c>
      <c r="AW112" s="351">
        <f>RANK(AV112, AV$112:AV$141)</f>
        <v>10</v>
      </c>
      <c r="AX112" s="599">
        <f>AVERAGE(AV112:AV141)</f>
        <v>774.42458378887511</v>
      </c>
    </row>
    <row r="113" spans="2:50">
      <c r="B113" s="598"/>
      <c r="C113" s="319">
        <v>2</v>
      </c>
      <c r="D113" s="319" t="s">
        <v>366</v>
      </c>
      <c r="E113" s="319">
        <v>3</v>
      </c>
      <c r="F113" s="319">
        <v>2700</v>
      </c>
      <c r="G113" s="319">
        <v>900</v>
      </c>
      <c r="H113" s="600"/>
      <c r="I113" s="204">
        <f t="shared" ref="I113:I131" si="38">AVERAGE(P113,U113,Z113,AE113,AJ113,AO113,AT113)</f>
        <v>3</v>
      </c>
      <c r="J113" s="204">
        <f t="shared" ref="J113:J131" si="39">AVERAGE(Q113,V113,AA113,AF113,AK113,AP113,AU113)</f>
        <v>2780.33956043956</v>
      </c>
      <c r="K113" s="205">
        <f t="shared" ref="K113:K131" si="40">AVERAGE(R113,W113,AB113,AG113,AL113,AQ113,AV113)</f>
        <v>926.77985347985327</v>
      </c>
      <c r="L113" s="572"/>
      <c r="M113" s="204">
        <f>RANK(K113, K$112:$K$141)</f>
        <v>4</v>
      </c>
      <c r="N113" s="590"/>
      <c r="O113" s="590"/>
      <c r="P113" s="187">
        <v>3</v>
      </c>
      <c r="Q113" s="187">
        <v>2776.1538461538476</v>
      </c>
      <c r="R113" s="187">
        <v>925.38461538461581</v>
      </c>
      <c r="S113" s="351">
        <f t="shared" ref="S113:S141" si="41">RANK(R113, R$112:R$141)</f>
        <v>2</v>
      </c>
      <c r="T113" s="600"/>
      <c r="U113" s="187">
        <v>3</v>
      </c>
      <c r="V113" s="187">
        <v>2766.9230769230785</v>
      </c>
      <c r="W113" s="187">
        <v>922.30769230769283</v>
      </c>
      <c r="X113" s="351">
        <f t="shared" ref="X113:X141" si="42">RANK(W113, W$112:W$141)</f>
        <v>5</v>
      </c>
      <c r="Y113" s="600"/>
      <c r="Z113" s="187">
        <v>3</v>
      </c>
      <c r="AA113" s="187">
        <v>2909.9999999999991</v>
      </c>
      <c r="AB113" s="187">
        <v>969.99999999999966</v>
      </c>
      <c r="AC113" s="351">
        <f t="shared" ref="AC113:AC141" si="43">RANK(AB113, AB$112:AB$141)</f>
        <v>2</v>
      </c>
      <c r="AD113" s="600"/>
      <c r="AE113" s="187">
        <v>3</v>
      </c>
      <c r="AF113" s="187">
        <v>2651.9999999999991</v>
      </c>
      <c r="AG113" s="187">
        <v>883.99999999999966</v>
      </c>
      <c r="AH113" s="351">
        <f t="shared" ref="AH113:AH141" si="44">RANK(AG113, AG$112:AG$141)</f>
        <v>7</v>
      </c>
      <c r="AI113" s="600"/>
      <c r="AJ113" s="187">
        <v>3</v>
      </c>
      <c r="AK113" s="187">
        <v>2693.9999999999991</v>
      </c>
      <c r="AL113" s="187">
        <v>897.99999999999966</v>
      </c>
      <c r="AM113" s="351">
        <f t="shared" ref="AM113:AM141" si="45">RANK(AL113, AL$112:AL$141)</f>
        <v>7</v>
      </c>
      <c r="AN113" s="600"/>
      <c r="AO113" s="187">
        <v>3</v>
      </c>
      <c r="AP113" s="187">
        <v>2800.8000000000006</v>
      </c>
      <c r="AQ113" s="187">
        <v>933.60000000000025</v>
      </c>
      <c r="AR113" s="351">
        <f t="shared" ref="AR113:AR141" si="46">RANK(AQ113, AQ$112:AQ$141)</f>
        <v>3</v>
      </c>
      <c r="AS113" s="600"/>
      <c r="AT113" s="187">
        <v>3</v>
      </c>
      <c r="AU113" s="187">
        <v>2862.4999999999959</v>
      </c>
      <c r="AV113" s="187">
        <v>954.16666666666526</v>
      </c>
      <c r="AW113" s="351">
        <f t="shared" ref="AW113:AW141" si="47">RANK(AV113, AV$112:AV$141)</f>
        <v>2</v>
      </c>
      <c r="AX113" s="600"/>
    </row>
    <row r="114" spans="2:50">
      <c r="B114" s="598"/>
      <c r="C114" s="319">
        <v>3</v>
      </c>
      <c r="D114" s="319" t="s">
        <v>350</v>
      </c>
      <c r="E114" s="319">
        <v>4</v>
      </c>
      <c r="F114" s="319">
        <v>3600</v>
      </c>
      <c r="G114" s="319">
        <v>900</v>
      </c>
      <c r="H114" s="600"/>
      <c r="I114" s="204">
        <f t="shared" si="38"/>
        <v>4</v>
      </c>
      <c r="J114" s="204">
        <f t="shared" si="39"/>
        <v>3196.996753246754</v>
      </c>
      <c r="K114" s="205">
        <f t="shared" si="40"/>
        <v>799.2491883116885</v>
      </c>
      <c r="L114" s="572"/>
      <c r="M114" s="204">
        <f>RANK(K114, K$112:$K$141)</f>
        <v>9</v>
      </c>
      <c r="N114" s="590"/>
      <c r="O114" s="590"/>
      <c r="P114" s="187">
        <v>4</v>
      </c>
      <c r="Q114" s="187">
        <v>3193.6363636363635</v>
      </c>
      <c r="R114" s="187">
        <v>798.40909090909088</v>
      </c>
      <c r="S114" s="351">
        <f t="shared" si="41"/>
        <v>10</v>
      </c>
      <c r="T114" s="600"/>
      <c r="U114" s="187">
        <v>4</v>
      </c>
      <c r="V114" s="187">
        <v>3133.6363636363749</v>
      </c>
      <c r="W114" s="187">
        <v>783.40909090909372</v>
      </c>
      <c r="X114" s="351">
        <f t="shared" si="42"/>
        <v>12</v>
      </c>
      <c r="Y114" s="600"/>
      <c r="Z114" s="187">
        <v>4</v>
      </c>
      <c r="AA114" s="187">
        <v>3101.2499999999959</v>
      </c>
      <c r="AB114" s="187">
        <v>775.31249999999898</v>
      </c>
      <c r="AC114" s="351">
        <f t="shared" si="43"/>
        <v>11</v>
      </c>
      <c r="AD114" s="600"/>
      <c r="AE114" s="187">
        <v>4</v>
      </c>
      <c r="AF114" s="187">
        <v>3187.9999999999945</v>
      </c>
      <c r="AG114" s="187">
        <v>796.99999999999864</v>
      </c>
      <c r="AH114" s="351">
        <f t="shared" si="44"/>
        <v>10</v>
      </c>
      <c r="AI114" s="600"/>
      <c r="AJ114" s="187">
        <v>4</v>
      </c>
      <c r="AK114" s="187">
        <v>3195.9999999999945</v>
      </c>
      <c r="AL114" s="187">
        <v>798.99999999999864</v>
      </c>
      <c r="AM114" s="351">
        <f t="shared" si="45"/>
        <v>10</v>
      </c>
      <c r="AN114" s="600"/>
      <c r="AO114" s="187">
        <v>4</v>
      </c>
      <c r="AP114" s="187">
        <v>3155.4545454545569</v>
      </c>
      <c r="AQ114" s="187">
        <v>788.86363636363922</v>
      </c>
      <c r="AR114" s="351">
        <f t="shared" si="46"/>
        <v>11</v>
      </c>
      <c r="AS114" s="600"/>
      <c r="AT114" s="187">
        <v>4</v>
      </c>
      <c r="AU114" s="187">
        <v>3410.9999999999986</v>
      </c>
      <c r="AV114" s="187">
        <v>852.74999999999966</v>
      </c>
      <c r="AW114" s="351">
        <f t="shared" si="47"/>
        <v>8</v>
      </c>
      <c r="AX114" s="600"/>
    </row>
    <row r="115" spans="2:50">
      <c r="B115" s="598"/>
      <c r="C115" s="319">
        <v>4</v>
      </c>
      <c r="D115" s="319" t="s">
        <v>368</v>
      </c>
      <c r="E115" s="319">
        <v>3</v>
      </c>
      <c r="F115" s="319">
        <v>3600</v>
      </c>
      <c r="G115" s="319">
        <v>1200</v>
      </c>
      <c r="H115" s="600"/>
      <c r="I115" s="204">
        <f t="shared" si="38"/>
        <v>3</v>
      </c>
      <c r="J115" s="204">
        <f t="shared" si="39"/>
        <v>3418.8435374149535</v>
      </c>
      <c r="K115" s="205">
        <f t="shared" si="40"/>
        <v>1139.6145124716511</v>
      </c>
      <c r="L115" s="572"/>
      <c r="M115" s="204">
        <f>RANK(K115, K$112:$K$141)</f>
        <v>1</v>
      </c>
      <c r="N115" s="590"/>
      <c r="O115" s="590"/>
      <c r="P115" s="187">
        <v>3</v>
      </c>
      <c r="Q115" s="187">
        <v>3246.6666666666783</v>
      </c>
      <c r="R115" s="187">
        <v>1082.222222222226</v>
      </c>
      <c r="S115" s="351">
        <f t="shared" si="41"/>
        <v>1</v>
      </c>
      <c r="T115" s="600"/>
      <c r="U115" s="187">
        <v>3</v>
      </c>
      <c r="V115" s="187">
        <v>3570.0000000000127</v>
      </c>
      <c r="W115" s="187">
        <v>1190.0000000000043</v>
      </c>
      <c r="X115" s="351">
        <f t="shared" si="42"/>
        <v>1</v>
      </c>
      <c r="Y115" s="600"/>
      <c r="Z115" s="187">
        <v>3</v>
      </c>
      <c r="AA115" s="187">
        <v>3579.999999999965</v>
      </c>
      <c r="AB115" s="187">
        <v>1193.3333333333217</v>
      </c>
      <c r="AC115" s="351">
        <f t="shared" si="43"/>
        <v>1</v>
      </c>
      <c r="AD115" s="600"/>
      <c r="AE115" s="187">
        <v>3</v>
      </c>
      <c r="AF115" s="187">
        <v>3259.9999999999682</v>
      </c>
      <c r="AG115" s="187">
        <v>1086.6666666666561</v>
      </c>
      <c r="AH115" s="351">
        <f t="shared" si="44"/>
        <v>1</v>
      </c>
      <c r="AI115" s="600"/>
      <c r="AJ115" s="187">
        <v>3</v>
      </c>
      <c r="AK115" s="187">
        <v>3159.9999999999691</v>
      </c>
      <c r="AL115" s="187">
        <v>1053.333333333323</v>
      </c>
      <c r="AM115" s="351">
        <f t="shared" si="45"/>
        <v>1</v>
      </c>
      <c r="AN115" s="600"/>
      <c r="AO115" s="187">
        <v>3</v>
      </c>
      <c r="AP115" s="187">
        <v>4028.5714285714198</v>
      </c>
      <c r="AQ115" s="187">
        <v>1342.8571428571399</v>
      </c>
      <c r="AR115" s="351">
        <f t="shared" si="46"/>
        <v>1</v>
      </c>
      <c r="AS115" s="600"/>
      <c r="AT115" s="187">
        <v>3</v>
      </c>
      <c r="AU115" s="187">
        <v>3086.6666666666642</v>
      </c>
      <c r="AV115" s="187">
        <v>1028.888888888888</v>
      </c>
      <c r="AW115" s="351">
        <f t="shared" si="47"/>
        <v>1</v>
      </c>
      <c r="AX115" s="600"/>
    </row>
    <row r="116" spans="2:50">
      <c r="B116" s="598"/>
      <c r="C116" s="319">
        <v>5</v>
      </c>
      <c r="D116" s="319" t="s">
        <v>369</v>
      </c>
      <c r="E116" s="319">
        <v>3</v>
      </c>
      <c r="F116" s="319">
        <v>3600</v>
      </c>
      <c r="G116" s="319">
        <v>1200</v>
      </c>
      <c r="H116" s="600"/>
      <c r="I116" s="204">
        <f t="shared" si="38"/>
        <v>4</v>
      </c>
      <c r="J116" s="204">
        <f t="shared" si="39"/>
        <v>3164.1646258503392</v>
      </c>
      <c r="K116" s="205">
        <f t="shared" si="40"/>
        <v>791.04115646258481</v>
      </c>
      <c r="L116" s="572"/>
      <c r="M116" s="204">
        <f>RANK(K116, K$112:$K$141)</f>
        <v>11</v>
      </c>
      <c r="N116" s="590"/>
      <c r="O116" s="590"/>
      <c r="P116" s="187">
        <v>4</v>
      </c>
      <c r="Q116" s="187">
        <v>3198.3333333333376</v>
      </c>
      <c r="R116" s="187">
        <v>799.58333333333439</v>
      </c>
      <c r="S116" s="351">
        <f t="shared" si="41"/>
        <v>8</v>
      </c>
      <c r="T116" s="600"/>
      <c r="U116" s="187">
        <v>4</v>
      </c>
      <c r="V116" s="187">
        <v>3262.285714285711</v>
      </c>
      <c r="W116" s="187">
        <v>815.57142857142776</v>
      </c>
      <c r="X116" s="351">
        <f t="shared" si="42"/>
        <v>8</v>
      </c>
      <c r="Y116" s="600"/>
      <c r="Z116" s="187">
        <v>4</v>
      </c>
      <c r="AA116" s="187">
        <v>3086.6666666666683</v>
      </c>
      <c r="AB116" s="187">
        <v>771.66666666666708</v>
      </c>
      <c r="AC116" s="351">
        <f t="shared" si="43"/>
        <v>13</v>
      </c>
      <c r="AD116" s="600"/>
      <c r="AE116" s="187">
        <v>4</v>
      </c>
      <c r="AF116" s="187">
        <v>3095.9999999999909</v>
      </c>
      <c r="AG116" s="187">
        <v>773.99999999999773</v>
      </c>
      <c r="AH116" s="351">
        <f t="shared" si="44"/>
        <v>13</v>
      </c>
      <c r="AI116" s="600"/>
      <c r="AJ116" s="187">
        <v>4</v>
      </c>
      <c r="AK116" s="187">
        <v>3139.2000000000007</v>
      </c>
      <c r="AL116" s="187">
        <v>784.80000000000018</v>
      </c>
      <c r="AM116" s="351">
        <f t="shared" si="45"/>
        <v>12</v>
      </c>
      <c r="AN116" s="600"/>
      <c r="AO116" s="187">
        <v>4</v>
      </c>
      <c r="AP116" s="187">
        <v>3126.6666666666711</v>
      </c>
      <c r="AQ116" s="187">
        <v>781.66666666666777</v>
      </c>
      <c r="AR116" s="351">
        <f t="shared" si="46"/>
        <v>12</v>
      </c>
      <c r="AS116" s="600"/>
      <c r="AT116" s="187">
        <v>4</v>
      </c>
      <c r="AU116" s="187">
        <v>3239.9999999999964</v>
      </c>
      <c r="AV116" s="187">
        <v>809.99999999999909</v>
      </c>
      <c r="AW116" s="351">
        <f t="shared" si="47"/>
        <v>11</v>
      </c>
      <c r="AX116" s="600"/>
    </row>
    <row r="117" spans="2:50">
      <c r="B117" s="598"/>
      <c r="C117" s="319">
        <v>6</v>
      </c>
      <c r="D117" s="319" t="s">
        <v>367</v>
      </c>
      <c r="E117" s="319">
        <v>4</v>
      </c>
      <c r="F117" s="319">
        <v>3600</v>
      </c>
      <c r="G117" s="319">
        <v>900</v>
      </c>
      <c r="H117" s="600"/>
      <c r="I117" s="204">
        <f t="shared" si="38"/>
        <v>4</v>
      </c>
      <c r="J117" s="204">
        <f t="shared" si="39"/>
        <v>3082.2969187675053</v>
      </c>
      <c r="K117" s="205">
        <f t="shared" si="40"/>
        <v>770.57422969187633</v>
      </c>
      <c r="L117" s="572"/>
      <c r="M117" s="204">
        <f>RANK(K117, K$112:$K$141)</f>
        <v>13</v>
      </c>
      <c r="N117" s="590"/>
      <c r="O117" s="590"/>
      <c r="P117" s="187">
        <v>4</v>
      </c>
      <c r="Q117" s="187">
        <v>3079.9999999999977</v>
      </c>
      <c r="R117" s="187">
        <v>769.99999999999943</v>
      </c>
      <c r="S117" s="351">
        <f t="shared" si="41"/>
        <v>13</v>
      </c>
      <c r="T117" s="600"/>
      <c r="U117" s="187">
        <v>4</v>
      </c>
      <c r="V117" s="187">
        <v>3215.2941176470549</v>
      </c>
      <c r="W117" s="187">
        <v>803.82352941176373</v>
      </c>
      <c r="X117" s="351">
        <f t="shared" si="42"/>
        <v>9</v>
      </c>
      <c r="Y117" s="600"/>
      <c r="Z117" s="187">
        <v>4</v>
      </c>
      <c r="AA117" s="187">
        <v>3104.99999999999</v>
      </c>
      <c r="AB117" s="187">
        <v>776.2499999999975</v>
      </c>
      <c r="AC117" s="351">
        <f t="shared" si="43"/>
        <v>10</v>
      </c>
      <c r="AD117" s="600"/>
      <c r="AE117" s="187">
        <v>4</v>
      </c>
      <c r="AF117" s="187">
        <v>3014.9999999999905</v>
      </c>
      <c r="AG117" s="187">
        <v>753.74999999999761</v>
      </c>
      <c r="AH117" s="351">
        <f t="shared" si="44"/>
        <v>15</v>
      </c>
      <c r="AI117" s="600"/>
      <c r="AJ117" s="187">
        <v>4</v>
      </c>
      <c r="AK117" s="187">
        <v>2979.9999999999909</v>
      </c>
      <c r="AL117" s="187">
        <v>744.99999999999773</v>
      </c>
      <c r="AM117" s="351">
        <f t="shared" si="45"/>
        <v>16</v>
      </c>
      <c r="AN117" s="600"/>
      <c r="AO117" s="187">
        <v>4</v>
      </c>
      <c r="AP117" s="187">
        <v>3046.6666666666774</v>
      </c>
      <c r="AQ117" s="187">
        <v>761.66666666666936</v>
      </c>
      <c r="AR117" s="351">
        <f t="shared" si="46"/>
        <v>15</v>
      </c>
      <c r="AS117" s="600"/>
      <c r="AT117" s="187">
        <v>4</v>
      </c>
      <c r="AU117" s="187">
        <v>3134.1176470588343</v>
      </c>
      <c r="AV117" s="187">
        <v>783.52941176470858</v>
      </c>
      <c r="AW117" s="351">
        <f t="shared" si="47"/>
        <v>13</v>
      </c>
      <c r="AX117" s="600"/>
    </row>
    <row r="118" spans="2:50">
      <c r="B118" s="598"/>
      <c r="C118" s="319">
        <v>7</v>
      </c>
      <c r="D118" s="319" t="s">
        <v>614</v>
      </c>
      <c r="E118" s="319">
        <v>4</v>
      </c>
      <c r="F118" s="319">
        <v>3600</v>
      </c>
      <c r="G118" s="319">
        <v>900</v>
      </c>
      <c r="H118" s="600"/>
      <c r="I118" s="204">
        <f t="shared" si="38"/>
        <v>4</v>
      </c>
      <c r="J118" s="204">
        <f t="shared" si="39"/>
        <v>3172.6362278244665</v>
      </c>
      <c r="K118" s="205">
        <f t="shared" si="40"/>
        <v>793.15905695611661</v>
      </c>
      <c r="L118" s="572"/>
      <c r="M118" s="204">
        <f>RANK(K118, K$112:$K$141)</f>
        <v>10</v>
      </c>
      <c r="N118" s="590"/>
      <c r="O118" s="590"/>
      <c r="P118" s="187">
        <v>4</v>
      </c>
      <c r="Q118" s="187">
        <v>3195.555555555567</v>
      </c>
      <c r="R118" s="187">
        <v>798.88888888889176</v>
      </c>
      <c r="S118" s="351">
        <f t="shared" si="41"/>
        <v>9</v>
      </c>
      <c r="T118" s="600"/>
      <c r="U118" s="187">
        <v>4</v>
      </c>
      <c r="V118" s="187">
        <v>3140.0000000000018</v>
      </c>
      <c r="W118" s="187">
        <v>785.00000000000045</v>
      </c>
      <c r="X118" s="351">
        <f t="shared" si="42"/>
        <v>11</v>
      </c>
      <c r="Y118" s="600"/>
      <c r="Z118" s="187">
        <v>4</v>
      </c>
      <c r="AA118" s="187">
        <v>3086.9999999999991</v>
      </c>
      <c r="AB118" s="187">
        <v>771.74999999999977</v>
      </c>
      <c r="AC118" s="351">
        <f t="shared" si="43"/>
        <v>12</v>
      </c>
      <c r="AD118" s="600"/>
      <c r="AE118" s="187">
        <v>4</v>
      </c>
      <c r="AF118" s="187">
        <v>3193.3333333333308</v>
      </c>
      <c r="AG118" s="187">
        <v>798.33333333333269</v>
      </c>
      <c r="AH118" s="351">
        <f t="shared" si="44"/>
        <v>8</v>
      </c>
      <c r="AI118" s="600"/>
      <c r="AJ118" s="187">
        <v>4</v>
      </c>
      <c r="AK118" s="187">
        <v>3331.764705882365</v>
      </c>
      <c r="AL118" s="187">
        <v>832.94117647059124</v>
      </c>
      <c r="AM118" s="351">
        <f t="shared" si="45"/>
        <v>8</v>
      </c>
      <c r="AN118" s="600"/>
      <c r="AO118" s="187">
        <v>4</v>
      </c>
      <c r="AP118" s="187">
        <v>3100.0000000000014</v>
      </c>
      <c r="AQ118" s="187">
        <v>775.00000000000034</v>
      </c>
      <c r="AR118" s="351">
        <f t="shared" si="46"/>
        <v>13</v>
      </c>
      <c r="AS118" s="600"/>
      <c r="AT118" s="187">
        <v>4</v>
      </c>
      <c r="AU118" s="187">
        <v>3160.8000000000006</v>
      </c>
      <c r="AV118" s="187">
        <v>790.20000000000016</v>
      </c>
      <c r="AW118" s="351">
        <f t="shared" si="47"/>
        <v>12</v>
      </c>
      <c r="AX118" s="600"/>
    </row>
    <row r="119" spans="2:50">
      <c r="B119" s="598"/>
      <c r="C119" s="319">
        <v>8</v>
      </c>
      <c r="D119" s="319" t="s">
        <v>612</v>
      </c>
      <c r="E119" s="319">
        <v>4</v>
      </c>
      <c r="F119" s="319">
        <v>3600</v>
      </c>
      <c r="G119" s="319">
        <v>900</v>
      </c>
      <c r="H119" s="600"/>
      <c r="I119" s="204">
        <f t="shared" si="38"/>
        <v>4</v>
      </c>
      <c r="J119" s="204">
        <f t="shared" si="39"/>
        <v>3098.1186656480827</v>
      </c>
      <c r="K119" s="205">
        <f t="shared" si="40"/>
        <v>774.52966641202067</v>
      </c>
      <c r="L119" s="572"/>
      <c r="M119" s="204">
        <f>RANK(K119, K$112:$K$141)</f>
        <v>12</v>
      </c>
      <c r="N119" s="590"/>
      <c r="O119" s="590"/>
      <c r="P119" s="187">
        <v>4</v>
      </c>
      <c r="Q119" s="187">
        <v>3036.6666666666642</v>
      </c>
      <c r="R119" s="187">
        <v>759.16666666666606</v>
      </c>
      <c r="S119" s="351">
        <f t="shared" si="41"/>
        <v>14</v>
      </c>
      <c r="T119" s="600"/>
      <c r="U119" s="187">
        <v>4</v>
      </c>
      <c r="V119" s="187">
        <v>3026.6666666666642</v>
      </c>
      <c r="W119" s="187">
        <v>756.66666666666606</v>
      </c>
      <c r="X119" s="351">
        <f t="shared" si="42"/>
        <v>15</v>
      </c>
      <c r="Y119" s="600"/>
      <c r="Z119" s="187">
        <v>4</v>
      </c>
      <c r="AA119" s="187">
        <v>3081.8181818181929</v>
      </c>
      <c r="AB119" s="187">
        <v>770.45454545454822</v>
      </c>
      <c r="AC119" s="351">
        <f t="shared" si="43"/>
        <v>14</v>
      </c>
      <c r="AD119" s="600"/>
      <c r="AE119" s="187">
        <v>4</v>
      </c>
      <c r="AF119" s="187">
        <v>3174.0000000000114</v>
      </c>
      <c r="AG119" s="187">
        <v>793.50000000000284</v>
      </c>
      <c r="AH119" s="351">
        <f t="shared" si="44"/>
        <v>11</v>
      </c>
      <c r="AI119" s="600"/>
      <c r="AJ119" s="187">
        <v>4</v>
      </c>
      <c r="AK119" s="187">
        <v>2989.0909090909199</v>
      </c>
      <c r="AL119" s="187">
        <v>747.27272727272998</v>
      </c>
      <c r="AM119" s="351">
        <f t="shared" si="45"/>
        <v>15</v>
      </c>
      <c r="AN119" s="600"/>
      <c r="AO119" s="187">
        <v>4</v>
      </c>
      <c r="AP119" s="187">
        <v>3070.5882352941139</v>
      </c>
      <c r="AQ119" s="187">
        <v>767.64705882352848</v>
      </c>
      <c r="AR119" s="351">
        <f t="shared" si="46"/>
        <v>14</v>
      </c>
      <c r="AS119" s="600"/>
      <c r="AT119" s="187">
        <v>4</v>
      </c>
      <c r="AU119" s="187">
        <v>3308.0000000000118</v>
      </c>
      <c r="AV119" s="187">
        <v>827.00000000000296</v>
      </c>
      <c r="AW119" s="351">
        <f t="shared" si="47"/>
        <v>9</v>
      </c>
      <c r="AX119" s="600"/>
    </row>
    <row r="120" spans="2:50">
      <c r="B120" s="598"/>
      <c r="C120" s="319">
        <v>9</v>
      </c>
      <c r="D120" s="319" t="s">
        <v>370</v>
      </c>
      <c r="E120" s="319">
        <v>4</v>
      </c>
      <c r="F120" s="319">
        <v>3300</v>
      </c>
      <c r="G120" s="319">
        <v>825</v>
      </c>
      <c r="H120" s="600"/>
      <c r="I120" s="204">
        <f t="shared" si="38"/>
        <v>4</v>
      </c>
      <c r="J120" s="204">
        <f t="shared" si="39"/>
        <v>2716.1684981684989</v>
      </c>
      <c r="K120" s="205">
        <f t="shared" si="40"/>
        <v>679.04212454212472</v>
      </c>
      <c r="L120" s="572"/>
      <c r="M120" s="204">
        <f>RANK(K120, K$112:$K$141)</f>
        <v>20</v>
      </c>
      <c r="N120" s="590"/>
      <c r="O120" s="590"/>
      <c r="P120" s="187">
        <v>4</v>
      </c>
      <c r="Q120" s="187">
        <v>2664.0000000000023</v>
      </c>
      <c r="R120" s="187">
        <v>666.00000000000057</v>
      </c>
      <c r="S120" s="351">
        <f t="shared" si="41"/>
        <v>19</v>
      </c>
      <c r="T120" s="600"/>
      <c r="U120" s="187">
        <v>4</v>
      </c>
      <c r="V120" s="187">
        <v>2524.0000000000023</v>
      </c>
      <c r="W120" s="187">
        <v>631.00000000000057</v>
      </c>
      <c r="X120" s="351">
        <f t="shared" si="42"/>
        <v>22</v>
      </c>
      <c r="Y120" s="600"/>
      <c r="Z120" s="187">
        <v>4</v>
      </c>
      <c r="AA120" s="187">
        <v>2591.9999999999991</v>
      </c>
      <c r="AB120" s="187">
        <v>647.99999999999977</v>
      </c>
      <c r="AC120" s="351">
        <f t="shared" si="43"/>
        <v>18</v>
      </c>
      <c r="AD120" s="600"/>
      <c r="AE120" s="187">
        <v>4</v>
      </c>
      <c r="AF120" s="187">
        <v>2693.3333333333312</v>
      </c>
      <c r="AG120" s="187">
        <v>673.3333333333328</v>
      </c>
      <c r="AH120" s="351">
        <f t="shared" si="44"/>
        <v>18</v>
      </c>
      <c r="AI120" s="600"/>
      <c r="AJ120" s="187">
        <v>4</v>
      </c>
      <c r="AK120" s="187">
        <v>3029.9999999999964</v>
      </c>
      <c r="AL120" s="187">
        <v>757.49999999999909</v>
      </c>
      <c r="AM120" s="351">
        <f t="shared" si="45"/>
        <v>14</v>
      </c>
      <c r="AN120" s="600"/>
      <c r="AO120" s="187">
        <v>4</v>
      </c>
      <c r="AP120" s="187">
        <v>2616.0000000000027</v>
      </c>
      <c r="AQ120" s="187">
        <v>654.00000000000068</v>
      </c>
      <c r="AR120" s="351">
        <f t="shared" si="46"/>
        <v>22</v>
      </c>
      <c r="AS120" s="600"/>
      <c r="AT120" s="187">
        <v>4</v>
      </c>
      <c r="AU120" s="187">
        <v>2893.8461538461552</v>
      </c>
      <c r="AV120" s="187">
        <v>723.46153846153879</v>
      </c>
      <c r="AW120" s="351">
        <f t="shared" si="47"/>
        <v>16</v>
      </c>
      <c r="AX120" s="600"/>
    </row>
    <row r="121" spans="2:50">
      <c r="B121" s="598"/>
      <c r="C121" s="319">
        <v>10</v>
      </c>
      <c r="D121" s="319" t="s">
        <v>371</v>
      </c>
      <c r="E121" s="319">
        <v>3</v>
      </c>
      <c r="F121" s="319">
        <v>3300</v>
      </c>
      <c r="G121" s="319">
        <v>1100</v>
      </c>
      <c r="H121" s="600"/>
      <c r="I121" s="204">
        <f t="shared" si="38"/>
        <v>3</v>
      </c>
      <c r="J121" s="204">
        <f t="shared" si="39"/>
        <v>2786.4880186308751</v>
      </c>
      <c r="K121" s="205">
        <f t="shared" si="40"/>
        <v>928.829339543625</v>
      </c>
      <c r="L121" s="572"/>
      <c r="M121" s="204">
        <f>RANK(K121, K$112:$K$141)</f>
        <v>3</v>
      </c>
      <c r="N121" s="590"/>
      <c r="O121" s="590"/>
      <c r="P121" s="187">
        <v>3</v>
      </c>
      <c r="Q121" s="187">
        <v>2763.2432432432411</v>
      </c>
      <c r="R121" s="187">
        <v>921.08108108108036</v>
      </c>
      <c r="S121" s="351">
        <f t="shared" si="41"/>
        <v>3</v>
      </c>
      <c r="T121" s="600"/>
      <c r="U121" s="187">
        <v>3</v>
      </c>
      <c r="V121" s="187">
        <v>2743.7837837837819</v>
      </c>
      <c r="W121" s="187">
        <v>914.59459459459401</v>
      </c>
      <c r="X121" s="351">
        <f t="shared" si="42"/>
        <v>6</v>
      </c>
      <c r="Y121" s="600"/>
      <c r="Z121" s="187">
        <v>3</v>
      </c>
      <c r="AA121" s="187">
        <v>2890.7142857142835</v>
      </c>
      <c r="AB121" s="187">
        <v>963.57142857142787</v>
      </c>
      <c r="AC121" s="351">
        <f t="shared" si="43"/>
        <v>3</v>
      </c>
      <c r="AD121" s="600"/>
      <c r="AE121" s="187">
        <v>3</v>
      </c>
      <c r="AF121" s="187">
        <v>2781.4285714285734</v>
      </c>
      <c r="AG121" s="187">
        <v>927.14285714285779</v>
      </c>
      <c r="AH121" s="351">
        <f t="shared" si="44"/>
        <v>2</v>
      </c>
      <c r="AI121" s="600"/>
      <c r="AJ121" s="187">
        <v>3</v>
      </c>
      <c r="AK121" s="187">
        <v>2824.4444444444457</v>
      </c>
      <c r="AL121" s="187">
        <v>941.48148148148186</v>
      </c>
      <c r="AM121" s="351">
        <f t="shared" si="45"/>
        <v>4</v>
      </c>
      <c r="AN121" s="600"/>
      <c r="AO121" s="187">
        <v>3</v>
      </c>
      <c r="AP121" s="187">
        <v>2755.1351351351332</v>
      </c>
      <c r="AQ121" s="187">
        <v>918.37837837837776</v>
      </c>
      <c r="AR121" s="351">
        <f t="shared" si="46"/>
        <v>5</v>
      </c>
      <c r="AS121" s="600"/>
      <c r="AT121" s="187">
        <v>3</v>
      </c>
      <c r="AU121" s="187">
        <v>2746.666666666667</v>
      </c>
      <c r="AV121" s="187">
        <v>915.55555555555566</v>
      </c>
      <c r="AW121" s="351">
        <f t="shared" si="47"/>
        <v>6</v>
      </c>
      <c r="AX121" s="600"/>
    </row>
    <row r="122" spans="2:50">
      <c r="B122" s="598"/>
      <c r="C122" s="319">
        <v>11</v>
      </c>
      <c r="D122" s="319" t="s">
        <v>372</v>
      </c>
      <c r="E122" s="319">
        <v>3</v>
      </c>
      <c r="F122" s="319">
        <v>3300</v>
      </c>
      <c r="G122" s="319">
        <v>1100</v>
      </c>
      <c r="H122" s="600"/>
      <c r="I122" s="204">
        <f t="shared" si="38"/>
        <v>3</v>
      </c>
      <c r="J122" s="204">
        <f t="shared" si="39"/>
        <v>2796.381891391215</v>
      </c>
      <c r="K122" s="205">
        <f t="shared" si="40"/>
        <v>932.12729713040505</v>
      </c>
      <c r="L122" s="572"/>
      <c r="M122" s="204">
        <f>RANK(K122, K$112:$K$141)</f>
        <v>2</v>
      </c>
      <c r="N122" s="590"/>
      <c r="O122" s="590"/>
      <c r="P122" s="187">
        <v>3</v>
      </c>
      <c r="Q122" s="187">
        <v>2746.0465116279065</v>
      </c>
      <c r="R122" s="187">
        <v>915.34883720930213</v>
      </c>
      <c r="S122" s="351">
        <f t="shared" si="41"/>
        <v>4</v>
      </c>
      <c r="T122" s="600"/>
      <c r="U122" s="187">
        <v>3</v>
      </c>
      <c r="V122" s="187">
        <v>2777.1428571428564</v>
      </c>
      <c r="W122" s="187">
        <v>925.71428571428544</v>
      </c>
      <c r="X122" s="351">
        <f t="shared" si="42"/>
        <v>3</v>
      </c>
      <c r="Y122" s="600"/>
      <c r="Z122" s="187">
        <v>3</v>
      </c>
      <c r="AA122" s="187">
        <v>2881.9354838709669</v>
      </c>
      <c r="AB122" s="187">
        <v>960.64516129032233</v>
      </c>
      <c r="AC122" s="351">
        <f t="shared" si="43"/>
        <v>4</v>
      </c>
      <c r="AD122" s="600"/>
      <c r="AE122" s="187">
        <v>3</v>
      </c>
      <c r="AF122" s="187">
        <v>2773.5483870967769</v>
      </c>
      <c r="AG122" s="187">
        <v>924.51612903225896</v>
      </c>
      <c r="AH122" s="351">
        <f t="shared" si="44"/>
        <v>3</v>
      </c>
      <c r="AI122" s="600"/>
      <c r="AJ122" s="187">
        <v>3</v>
      </c>
      <c r="AK122" s="187">
        <v>2841.9999999999986</v>
      </c>
      <c r="AL122" s="187">
        <v>947.33333333333292</v>
      </c>
      <c r="AM122" s="351">
        <f t="shared" si="45"/>
        <v>3</v>
      </c>
      <c r="AN122" s="600"/>
      <c r="AO122" s="187">
        <v>3</v>
      </c>
      <c r="AP122" s="187">
        <v>2739.9999999999991</v>
      </c>
      <c r="AQ122" s="187">
        <v>913.33333333333303</v>
      </c>
      <c r="AR122" s="351">
        <f t="shared" si="46"/>
        <v>6</v>
      </c>
      <c r="AS122" s="600"/>
      <c r="AT122" s="187">
        <v>3</v>
      </c>
      <c r="AU122" s="187">
        <v>2814.0000000000018</v>
      </c>
      <c r="AV122" s="187">
        <v>938.00000000000057</v>
      </c>
      <c r="AW122" s="351">
        <f t="shared" si="47"/>
        <v>4</v>
      </c>
      <c r="AX122" s="600"/>
    </row>
    <row r="123" spans="2:50">
      <c r="B123" s="598"/>
      <c r="C123" s="319">
        <v>12</v>
      </c>
      <c r="D123" s="319" t="s">
        <v>426</v>
      </c>
      <c r="E123" s="319">
        <v>4</v>
      </c>
      <c r="F123" s="319">
        <v>2500</v>
      </c>
      <c r="G123" s="319">
        <v>625</v>
      </c>
      <c r="H123" s="600"/>
      <c r="I123" s="204">
        <f t="shared" si="38"/>
        <v>4</v>
      </c>
      <c r="J123" s="204">
        <f t="shared" si="39"/>
        <v>2462.1586427342017</v>
      </c>
      <c r="K123" s="205">
        <f t="shared" si="40"/>
        <v>615.53966068355044</v>
      </c>
      <c r="L123" s="572"/>
      <c r="M123" s="204">
        <f>RANK(K123, K$112:$K$141)</f>
        <v>22</v>
      </c>
      <c r="N123" s="590"/>
      <c r="O123" s="590"/>
      <c r="P123" s="187">
        <v>4</v>
      </c>
      <c r="Q123" s="187">
        <v>2704.8000000000056</v>
      </c>
      <c r="R123" s="187">
        <v>676.20000000000141</v>
      </c>
      <c r="S123" s="351">
        <f t="shared" si="41"/>
        <v>18</v>
      </c>
      <c r="T123" s="600"/>
      <c r="U123" s="187">
        <v>4</v>
      </c>
      <c r="V123" s="187">
        <v>2618.4000000000051</v>
      </c>
      <c r="W123" s="187">
        <v>654.60000000000127</v>
      </c>
      <c r="X123" s="351">
        <f t="shared" si="42"/>
        <v>21</v>
      </c>
      <c r="Y123" s="600"/>
      <c r="Z123" s="187">
        <v>4</v>
      </c>
      <c r="AA123" s="187">
        <v>3141.4285714285647</v>
      </c>
      <c r="AB123" s="187">
        <v>785.35714285714118</v>
      </c>
      <c r="AC123" s="351">
        <f t="shared" si="43"/>
        <v>9</v>
      </c>
      <c r="AD123" s="600"/>
      <c r="AE123" s="187">
        <v>4</v>
      </c>
      <c r="AF123" s="187">
        <v>2639.9999999999955</v>
      </c>
      <c r="AG123" s="187">
        <v>659.99999999999886</v>
      </c>
      <c r="AH123" s="351">
        <f t="shared" si="44"/>
        <v>20</v>
      </c>
      <c r="AI123" s="600"/>
      <c r="AJ123" s="187">
        <v>4</v>
      </c>
      <c r="AK123" s="187">
        <v>2679.999999999995</v>
      </c>
      <c r="AL123" s="187">
        <v>669.99999999999875</v>
      </c>
      <c r="AM123" s="351">
        <f t="shared" si="45"/>
        <v>22</v>
      </c>
      <c r="AN123" s="600"/>
      <c r="AO123" s="187">
        <v>4</v>
      </c>
      <c r="AP123" s="187">
        <v>2690.0000000000055</v>
      </c>
      <c r="AQ123" s="187">
        <v>672.50000000000136</v>
      </c>
      <c r="AR123" s="351">
        <f t="shared" si="46"/>
        <v>20</v>
      </c>
      <c r="AS123" s="600"/>
      <c r="AT123" s="187">
        <v>4</v>
      </c>
      <c r="AU123" s="187">
        <v>760.48192771084268</v>
      </c>
      <c r="AV123" s="187">
        <v>190.12048192771067</v>
      </c>
      <c r="AW123" s="351">
        <f t="shared" si="47"/>
        <v>23</v>
      </c>
      <c r="AX123" s="600"/>
    </row>
    <row r="124" spans="2:50">
      <c r="B124" s="598"/>
      <c r="C124" s="319">
        <v>13</v>
      </c>
      <c r="D124" s="319" t="s">
        <v>375</v>
      </c>
      <c r="E124" s="319">
        <v>4</v>
      </c>
      <c r="F124" s="319">
        <v>3300</v>
      </c>
      <c r="G124" s="319">
        <v>825</v>
      </c>
      <c r="H124" s="600"/>
      <c r="I124" s="204">
        <f t="shared" si="38"/>
        <v>4</v>
      </c>
      <c r="J124" s="204">
        <f t="shared" si="39"/>
        <v>2799.9463144382498</v>
      </c>
      <c r="K124" s="205">
        <f t="shared" si="40"/>
        <v>699.98657860956246</v>
      </c>
      <c r="L124" s="572"/>
      <c r="M124" s="204">
        <f>RANK(K124, K$112:$K$141)</f>
        <v>16</v>
      </c>
      <c r="N124" s="590"/>
      <c r="O124" s="590"/>
      <c r="P124" s="187">
        <v>4</v>
      </c>
      <c r="Q124" s="187">
        <v>2769.0909090909104</v>
      </c>
      <c r="R124" s="187">
        <v>692.27272727272759</v>
      </c>
      <c r="S124" s="351">
        <f t="shared" si="41"/>
        <v>15</v>
      </c>
      <c r="T124" s="600"/>
      <c r="U124" s="187">
        <v>4</v>
      </c>
      <c r="V124" s="187">
        <v>2754.4615384615399</v>
      </c>
      <c r="W124" s="187">
        <v>688.61538461538498</v>
      </c>
      <c r="X124" s="351">
        <f t="shared" si="42"/>
        <v>20</v>
      </c>
      <c r="Y124" s="600"/>
      <c r="Z124" s="187">
        <v>4</v>
      </c>
      <c r="AA124" s="187">
        <v>2838.7499999999982</v>
      </c>
      <c r="AB124" s="187">
        <v>709.68749999999955</v>
      </c>
      <c r="AC124" s="351">
        <f t="shared" si="43"/>
        <v>16</v>
      </c>
      <c r="AD124" s="600"/>
      <c r="AE124" s="187">
        <v>4</v>
      </c>
      <c r="AF124" s="187">
        <v>2839.9999999999973</v>
      </c>
      <c r="AG124" s="187">
        <v>709.99999999999932</v>
      </c>
      <c r="AH124" s="351">
        <f t="shared" si="44"/>
        <v>16</v>
      </c>
      <c r="AI124" s="600"/>
      <c r="AJ124" s="187">
        <v>4</v>
      </c>
      <c r="AK124" s="187">
        <v>2762.6666666666642</v>
      </c>
      <c r="AL124" s="187">
        <v>690.66666666666606</v>
      </c>
      <c r="AM124" s="351">
        <f t="shared" si="45"/>
        <v>21</v>
      </c>
      <c r="AN124" s="600"/>
      <c r="AO124" s="187">
        <v>4</v>
      </c>
      <c r="AP124" s="187">
        <v>2790.4615384615399</v>
      </c>
      <c r="AQ124" s="187">
        <v>697.61538461538498</v>
      </c>
      <c r="AR124" s="351">
        <f t="shared" si="46"/>
        <v>17</v>
      </c>
      <c r="AS124" s="600"/>
      <c r="AT124" s="187">
        <v>4</v>
      </c>
      <c r="AU124" s="187">
        <v>2844.193548387098</v>
      </c>
      <c r="AV124" s="187">
        <v>711.04838709677449</v>
      </c>
      <c r="AW124" s="351">
        <f t="shared" si="47"/>
        <v>18</v>
      </c>
      <c r="AX124" s="600"/>
    </row>
    <row r="125" spans="2:50">
      <c r="B125" s="598"/>
      <c r="C125" s="319">
        <v>14</v>
      </c>
      <c r="D125" s="319" t="s">
        <v>376</v>
      </c>
      <c r="E125" s="319">
        <v>4</v>
      </c>
      <c r="F125" s="319">
        <v>3300</v>
      </c>
      <c r="G125" s="319">
        <v>825</v>
      </c>
      <c r="H125" s="600"/>
      <c r="I125" s="204">
        <f t="shared" si="38"/>
        <v>4</v>
      </c>
      <c r="J125" s="204">
        <f t="shared" si="39"/>
        <v>2767.0981564176009</v>
      </c>
      <c r="K125" s="205">
        <f t="shared" si="40"/>
        <v>691.77453910440022</v>
      </c>
      <c r="L125" s="572"/>
      <c r="M125" s="204">
        <f>RANK(K125, K$112:$K$141)</f>
        <v>18</v>
      </c>
      <c r="N125" s="590"/>
      <c r="O125" s="590"/>
      <c r="P125" s="187">
        <v>4</v>
      </c>
      <c r="Q125" s="187">
        <v>2728.8000000000011</v>
      </c>
      <c r="R125" s="187">
        <v>682.20000000000027</v>
      </c>
      <c r="S125" s="351">
        <f t="shared" si="41"/>
        <v>17</v>
      </c>
      <c r="T125" s="600"/>
      <c r="U125" s="187">
        <v>4</v>
      </c>
      <c r="V125" s="187">
        <v>2800.5633802816874</v>
      </c>
      <c r="W125" s="187">
        <v>700.14084507042185</v>
      </c>
      <c r="X125" s="351">
        <f t="shared" si="42"/>
        <v>18</v>
      </c>
      <c r="Y125" s="600"/>
      <c r="Z125" s="187">
        <v>4</v>
      </c>
      <c r="AA125" s="187">
        <v>2826.5454545454563</v>
      </c>
      <c r="AB125" s="187">
        <v>706.63636363636408</v>
      </c>
      <c r="AC125" s="351">
        <f t="shared" si="43"/>
        <v>17</v>
      </c>
      <c r="AD125" s="600"/>
      <c r="AE125" s="187">
        <v>4</v>
      </c>
      <c r="AF125" s="187">
        <v>2637.8181818181802</v>
      </c>
      <c r="AG125" s="187">
        <v>659.45454545454504</v>
      </c>
      <c r="AH125" s="351">
        <f t="shared" si="44"/>
        <v>21</v>
      </c>
      <c r="AI125" s="600"/>
      <c r="AJ125" s="187">
        <v>4</v>
      </c>
      <c r="AK125" s="187">
        <v>2775.5999999999963</v>
      </c>
      <c r="AL125" s="187">
        <v>693.89999999999907</v>
      </c>
      <c r="AM125" s="351">
        <f t="shared" si="45"/>
        <v>20</v>
      </c>
      <c r="AN125" s="600"/>
      <c r="AO125" s="187">
        <v>4</v>
      </c>
      <c r="AP125" s="187">
        <v>2764.9315068493129</v>
      </c>
      <c r="AQ125" s="187">
        <v>691.23287671232822</v>
      </c>
      <c r="AR125" s="351">
        <f t="shared" si="46"/>
        <v>18</v>
      </c>
      <c r="AS125" s="600"/>
      <c r="AT125" s="187">
        <v>4</v>
      </c>
      <c r="AU125" s="187">
        <v>2835.428571428572</v>
      </c>
      <c r="AV125" s="187">
        <v>708.857142857143</v>
      </c>
      <c r="AW125" s="351">
        <f t="shared" si="47"/>
        <v>19</v>
      </c>
      <c r="AX125" s="600"/>
    </row>
    <row r="126" spans="2:50">
      <c r="B126" s="598"/>
      <c r="C126" s="319">
        <v>15</v>
      </c>
      <c r="D126" s="319" t="s">
        <v>787</v>
      </c>
      <c r="E126" s="319">
        <v>3</v>
      </c>
      <c r="F126" s="319">
        <v>2800</v>
      </c>
      <c r="G126" s="319">
        <v>933.33333333333337</v>
      </c>
      <c r="H126" s="600"/>
      <c r="I126" s="204">
        <f t="shared" si="38"/>
        <v>3</v>
      </c>
      <c r="J126" s="204">
        <f t="shared" si="39"/>
        <v>2762.8957627486425</v>
      </c>
      <c r="K126" s="205">
        <f t="shared" si="40"/>
        <v>920.96525424954757</v>
      </c>
      <c r="L126" s="572"/>
      <c r="M126" s="204">
        <f>RANK(K126, K$112:$K$141)</f>
        <v>6</v>
      </c>
      <c r="N126" s="590"/>
      <c r="O126" s="590"/>
      <c r="P126" s="187">
        <v>3</v>
      </c>
      <c r="Q126" s="187">
        <v>2648</v>
      </c>
      <c r="R126" s="187">
        <v>882.66666666666663</v>
      </c>
      <c r="S126" s="351">
        <f t="shared" si="41"/>
        <v>6</v>
      </c>
      <c r="T126" s="600"/>
      <c r="U126" s="187">
        <v>3</v>
      </c>
      <c r="V126" s="187">
        <v>2768.0487804878039</v>
      </c>
      <c r="W126" s="187">
        <v>922.68292682926801</v>
      </c>
      <c r="X126" s="351">
        <f t="shared" si="42"/>
        <v>4</v>
      </c>
      <c r="Y126" s="600"/>
      <c r="Z126" s="187">
        <v>3</v>
      </c>
      <c r="AA126" s="187">
        <v>2863.5483870967732</v>
      </c>
      <c r="AB126" s="187">
        <v>954.51612903225771</v>
      </c>
      <c r="AC126" s="351">
        <f t="shared" si="43"/>
        <v>5</v>
      </c>
      <c r="AD126" s="600"/>
      <c r="AE126" s="187">
        <v>3</v>
      </c>
      <c r="AF126" s="187">
        <v>2714.7692307692273</v>
      </c>
      <c r="AG126" s="187">
        <v>904.92307692307577</v>
      </c>
      <c r="AH126" s="351">
        <f t="shared" si="44"/>
        <v>6</v>
      </c>
      <c r="AI126" s="600"/>
      <c r="AJ126" s="187">
        <v>3</v>
      </c>
      <c r="AK126" s="187">
        <v>2780.6896551724121</v>
      </c>
      <c r="AL126" s="187">
        <v>926.89655172413734</v>
      </c>
      <c r="AM126" s="351">
        <f t="shared" si="45"/>
        <v>5</v>
      </c>
      <c r="AN126" s="600"/>
      <c r="AO126" s="187">
        <v>3</v>
      </c>
      <c r="AP126" s="187">
        <v>2779.5000000000014</v>
      </c>
      <c r="AQ126" s="187">
        <v>926.50000000000045</v>
      </c>
      <c r="AR126" s="351">
        <f t="shared" si="46"/>
        <v>4</v>
      </c>
      <c r="AS126" s="600"/>
      <c r="AT126" s="187">
        <v>3</v>
      </c>
      <c r="AU126" s="187">
        <v>2785.714285714284</v>
      </c>
      <c r="AV126" s="187">
        <v>928.57142857142799</v>
      </c>
      <c r="AW126" s="351">
        <f t="shared" si="47"/>
        <v>5</v>
      </c>
      <c r="AX126" s="600"/>
    </row>
    <row r="127" spans="2:50">
      <c r="B127" s="598"/>
      <c r="C127" s="319">
        <v>16</v>
      </c>
      <c r="D127" s="319" t="s">
        <v>788</v>
      </c>
      <c r="E127" s="319">
        <v>4</v>
      </c>
      <c r="F127" s="319">
        <v>2800</v>
      </c>
      <c r="G127" s="319">
        <v>700</v>
      </c>
      <c r="H127" s="600"/>
      <c r="I127" s="204">
        <f t="shared" si="38"/>
        <v>4</v>
      </c>
      <c r="J127" s="204">
        <f t="shared" si="39"/>
        <v>2775.7384086501729</v>
      </c>
      <c r="K127" s="205">
        <f t="shared" si="40"/>
        <v>693.93460216254323</v>
      </c>
      <c r="L127" s="572"/>
      <c r="M127" s="204">
        <f>RANK(K127, K$112:$K$141)</f>
        <v>17</v>
      </c>
      <c r="N127" s="590"/>
      <c r="O127" s="590"/>
      <c r="P127" s="187">
        <v>4</v>
      </c>
      <c r="Q127" s="187">
        <v>2734</v>
      </c>
      <c r="R127" s="187">
        <v>683.5</v>
      </c>
      <c r="S127" s="351">
        <f t="shared" si="41"/>
        <v>16</v>
      </c>
      <c r="T127" s="600"/>
      <c r="U127" s="187">
        <v>4</v>
      </c>
      <c r="V127" s="187">
        <v>2800.2352941176437</v>
      </c>
      <c r="W127" s="187">
        <v>700.05882352941092</v>
      </c>
      <c r="X127" s="351">
        <f t="shared" si="42"/>
        <v>19</v>
      </c>
      <c r="Y127" s="600"/>
      <c r="Z127" s="187">
        <v>4</v>
      </c>
      <c r="AA127" s="187">
        <v>2848.6153846153811</v>
      </c>
      <c r="AB127" s="187">
        <v>712.15384615384528</v>
      </c>
      <c r="AC127" s="351">
        <f t="shared" si="43"/>
        <v>15</v>
      </c>
      <c r="AD127" s="600"/>
      <c r="AE127" s="187">
        <v>4</v>
      </c>
      <c r="AF127" s="187">
        <v>2646.0000000000005</v>
      </c>
      <c r="AG127" s="187">
        <v>661.50000000000011</v>
      </c>
      <c r="AH127" s="351">
        <f t="shared" si="44"/>
        <v>19</v>
      </c>
      <c r="AI127" s="600"/>
      <c r="AJ127" s="187">
        <v>4</v>
      </c>
      <c r="AK127" s="187">
        <v>2831.0000000000027</v>
      </c>
      <c r="AL127" s="187">
        <v>707.75000000000068</v>
      </c>
      <c r="AM127" s="351">
        <f t="shared" si="45"/>
        <v>19</v>
      </c>
      <c r="AN127" s="600"/>
      <c r="AO127" s="187">
        <v>4</v>
      </c>
      <c r="AP127" s="187">
        <v>2706.818181818182</v>
      </c>
      <c r="AQ127" s="187">
        <v>676.7045454545455</v>
      </c>
      <c r="AR127" s="351">
        <f t="shared" si="46"/>
        <v>19</v>
      </c>
      <c r="AS127" s="600"/>
      <c r="AT127" s="187">
        <v>4</v>
      </c>
      <c r="AU127" s="187">
        <v>2863.4999999999986</v>
      </c>
      <c r="AV127" s="187">
        <v>715.87499999999966</v>
      </c>
      <c r="AW127" s="351">
        <f t="shared" si="47"/>
        <v>17</v>
      </c>
      <c r="AX127" s="600"/>
    </row>
    <row r="128" spans="2:50">
      <c r="B128" s="598"/>
      <c r="C128" s="319">
        <v>17</v>
      </c>
      <c r="D128" s="319" t="s">
        <v>377</v>
      </c>
      <c r="E128" s="319">
        <v>4</v>
      </c>
      <c r="F128" s="319">
        <v>3600</v>
      </c>
      <c r="G128" s="319">
        <v>900</v>
      </c>
      <c r="H128" s="600"/>
      <c r="I128" s="204">
        <f t="shared" si="38"/>
        <v>4</v>
      </c>
      <c r="J128" s="204">
        <f t="shared" si="39"/>
        <v>2746.6150197628453</v>
      </c>
      <c r="K128" s="205">
        <f t="shared" si="40"/>
        <v>686.65375494071134</v>
      </c>
      <c r="L128" s="572"/>
      <c r="M128" s="204">
        <f>RANK(K128, K$112:$K$141)</f>
        <v>19</v>
      </c>
      <c r="N128" s="590"/>
      <c r="O128" s="590"/>
      <c r="P128" s="187">
        <v>4</v>
      </c>
      <c r="Q128" s="187">
        <v>2430.0000000000086</v>
      </c>
      <c r="R128" s="187">
        <v>607.50000000000216</v>
      </c>
      <c r="S128" s="351">
        <f t="shared" si="41"/>
        <v>22</v>
      </c>
      <c r="T128" s="600"/>
      <c r="U128" s="187">
        <v>4</v>
      </c>
      <c r="V128" s="187">
        <v>3021.8181818181929</v>
      </c>
      <c r="W128" s="187">
        <v>755.45454545454822</v>
      </c>
      <c r="X128" s="351">
        <f t="shared" si="42"/>
        <v>17</v>
      </c>
      <c r="Y128" s="600"/>
      <c r="Z128" s="187">
        <v>4</v>
      </c>
      <c r="AA128" s="187">
        <v>2536.7999999999929</v>
      </c>
      <c r="AB128" s="187">
        <v>634.19999999999823</v>
      </c>
      <c r="AC128" s="351">
        <f t="shared" si="43"/>
        <v>19</v>
      </c>
      <c r="AD128" s="600"/>
      <c r="AE128" s="187">
        <v>4</v>
      </c>
      <c r="AF128" s="187">
        <v>2450.3999999999928</v>
      </c>
      <c r="AG128" s="187">
        <v>612.5999999999982</v>
      </c>
      <c r="AH128" s="351">
        <f t="shared" si="44"/>
        <v>22</v>
      </c>
      <c r="AI128" s="600"/>
      <c r="AJ128" s="187">
        <v>4</v>
      </c>
      <c r="AK128" s="187">
        <v>3185.9999999999859</v>
      </c>
      <c r="AL128" s="187">
        <v>796.49999999999648</v>
      </c>
      <c r="AM128" s="351">
        <f t="shared" si="45"/>
        <v>11</v>
      </c>
      <c r="AN128" s="600"/>
      <c r="AO128" s="187">
        <v>4</v>
      </c>
      <c r="AP128" s="187">
        <v>3026.0869565217499</v>
      </c>
      <c r="AQ128" s="187">
        <v>756.52173913043748</v>
      </c>
      <c r="AR128" s="351">
        <f t="shared" si="46"/>
        <v>16</v>
      </c>
      <c r="AS128" s="600"/>
      <c r="AT128" s="187">
        <v>4</v>
      </c>
      <c r="AU128" s="187">
        <v>2575.199999999993</v>
      </c>
      <c r="AV128" s="187">
        <v>643.79999999999825</v>
      </c>
      <c r="AW128" s="351">
        <f t="shared" si="47"/>
        <v>20</v>
      </c>
      <c r="AX128" s="600"/>
    </row>
    <row r="129" spans="2:50">
      <c r="B129" s="598"/>
      <c r="C129" s="319">
        <v>18</v>
      </c>
      <c r="D129" s="319" t="s">
        <v>378</v>
      </c>
      <c r="E129" s="319">
        <v>4</v>
      </c>
      <c r="F129" s="319">
        <v>3000</v>
      </c>
      <c r="G129" s="319">
        <v>750</v>
      </c>
      <c r="H129" s="600"/>
      <c r="I129" s="204">
        <f t="shared" si="38"/>
        <v>3</v>
      </c>
      <c r="J129" s="204">
        <f t="shared" si="39"/>
        <v>2219.2111801242249</v>
      </c>
      <c r="K129" s="205">
        <f t="shared" si="40"/>
        <v>739.73706004140809</v>
      </c>
      <c r="L129" s="572"/>
      <c r="M129" s="204">
        <f>RANK(K129, K$112:$K$141)</f>
        <v>14</v>
      </c>
      <c r="N129" s="590"/>
      <c r="O129" s="590"/>
      <c r="P129" s="187">
        <v>3</v>
      </c>
      <c r="Q129" s="187">
        <v>1980.0000000000068</v>
      </c>
      <c r="R129" s="187">
        <v>660.00000000000227</v>
      </c>
      <c r="S129" s="351">
        <f t="shared" si="41"/>
        <v>20</v>
      </c>
      <c r="T129" s="600"/>
      <c r="U129" s="187">
        <v>3</v>
      </c>
      <c r="V129" s="187">
        <v>2311.3043478260952</v>
      </c>
      <c r="W129" s="187">
        <v>770.43478260869836</v>
      </c>
      <c r="X129" s="351">
        <f t="shared" si="42"/>
        <v>13</v>
      </c>
      <c r="Y129" s="600"/>
      <c r="Z129" s="187">
        <v>3</v>
      </c>
      <c r="AA129" s="187">
        <v>1895.9999999999945</v>
      </c>
      <c r="AB129" s="187">
        <v>631.99999999999818</v>
      </c>
      <c r="AC129" s="351">
        <f t="shared" si="43"/>
        <v>20</v>
      </c>
      <c r="AD129" s="600"/>
      <c r="AE129" s="187">
        <v>3</v>
      </c>
      <c r="AF129" s="187">
        <v>2324.99999999999</v>
      </c>
      <c r="AG129" s="187">
        <v>774.9999999999967</v>
      </c>
      <c r="AH129" s="351">
        <f t="shared" si="44"/>
        <v>12</v>
      </c>
      <c r="AI129" s="600"/>
      <c r="AJ129" s="187">
        <v>3</v>
      </c>
      <c r="AK129" s="187">
        <v>2332.1739130434862</v>
      </c>
      <c r="AL129" s="187">
        <v>777.39130434782874</v>
      </c>
      <c r="AM129" s="351">
        <f t="shared" si="45"/>
        <v>13</v>
      </c>
      <c r="AN129" s="600"/>
      <c r="AO129" s="187">
        <v>3</v>
      </c>
      <c r="AP129" s="187">
        <v>2440.0000000000086</v>
      </c>
      <c r="AQ129" s="187">
        <v>813.33333333333621</v>
      </c>
      <c r="AR129" s="351">
        <f t="shared" si="46"/>
        <v>8</v>
      </c>
      <c r="AS129" s="600"/>
      <c r="AT129" s="187">
        <v>3</v>
      </c>
      <c r="AU129" s="187">
        <v>2249.99999999999</v>
      </c>
      <c r="AV129" s="187">
        <v>749.9999999999967</v>
      </c>
      <c r="AW129" s="351">
        <f t="shared" si="47"/>
        <v>15</v>
      </c>
      <c r="AX129" s="600"/>
    </row>
    <row r="130" spans="2:50">
      <c r="B130" s="598"/>
      <c r="C130" s="319">
        <v>19</v>
      </c>
      <c r="D130" s="319" t="s">
        <v>379</v>
      </c>
      <c r="E130" s="319">
        <v>4</v>
      </c>
      <c r="F130" s="319">
        <v>3000</v>
      </c>
      <c r="G130" s="319">
        <v>750</v>
      </c>
      <c r="H130" s="600"/>
      <c r="I130" s="204">
        <f t="shared" si="38"/>
        <v>4</v>
      </c>
      <c r="J130" s="204">
        <f t="shared" si="39"/>
        <v>2100.0861726508829</v>
      </c>
      <c r="K130" s="205">
        <f t="shared" si="40"/>
        <v>525.02154316272072</v>
      </c>
      <c r="L130" s="572"/>
      <c r="M130" s="204">
        <f>RANK(K130, K$112:$K$141)</f>
        <v>23</v>
      </c>
      <c r="N130" s="590"/>
      <c r="O130" s="590"/>
      <c r="P130" s="187">
        <v>4</v>
      </c>
      <c r="Q130" s="187">
        <v>1886.4000000000187</v>
      </c>
      <c r="R130" s="187">
        <v>471.60000000000468</v>
      </c>
      <c r="S130" s="351">
        <f t="shared" si="41"/>
        <v>23</v>
      </c>
      <c r="T130" s="600"/>
      <c r="U130" s="187">
        <v>4</v>
      </c>
      <c r="V130" s="187">
        <v>1906.3636363636294</v>
      </c>
      <c r="W130" s="187">
        <v>476.59090909090736</v>
      </c>
      <c r="X130" s="351">
        <f t="shared" si="42"/>
        <v>23</v>
      </c>
      <c r="Y130" s="600"/>
      <c r="Z130" s="187">
        <v>4</v>
      </c>
      <c r="AA130" s="187">
        <v>1910.9999999999916</v>
      </c>
      <c r="AB130" s="187">
        <v>477.7499999999979</v>
      </c>
      <c r="AC130" s="351">
        <f t="shared" si="43"/>
        <v>23</v>
      </c>
      <c r="AD130" s="600"/>
      <c r="AE130" s="187">
        <v>4</v>
      </c>
      <c r="AF130" s="187">
        <v>1878.0000000000066</v>
      </c>
      <c r="AG130" s="187">
        <v>469.50000000000165</v>
      </c>
      <c r="AH130" s="351">
        <f t="shared" si="44"/>
        <v>23</v>
      </c>
      <c r="AI130" s="600"/>
      <c r="AJ130" s="187">
        <v>4</v>
      </c>
      <c r="AK130" s="187">
        <v>2495.2941176470677</v>
      </c>
      <c r="AL130" s="187">
        <v>623.82352941176691</v>
      </c>
      <c r="AM130" s="351">
        <f t="shared" si="45"/>
        <v>23</v>
      </c>
      <c r="AN130" s="600"/>
      <c r="AO130" s="187">
        <v>4</v>
      </c>
      <c r="AP130" s="187">
        <v>2421.0000000000086</v>
      </c>
      <c r="AQ130" s="187">
        <v>605.25000000000216</v>
      </c>
      <c r="AR130" s="351">
        <f t="shared" si="46"/>
        <v>23</v>
      </c>
      <c r="AS130" s="600"/>
      <c r="AT130" s="187">
        <v>4</v>
      </c>
      <c r="AU130" s="187">
        <v>2202.5454545454559</v>
      </c>
      <c r="AV130" s="187">
        <v>550.63636363636397</v>
      </c>
      <c r="AW130" s="351">
        <f t="shared" si="47"/>
        <v>22</v>
      </c>
      <c r="AX130" s="600"/>
    </row>
    <row r="131" spans="2:50">
      <c r="B131" s="598"/>
      <c r="C131" s="319">
        <v>20</v>
      </c>
      <c r="D131" s="319" t="s">
        <v>380</v>
      </c>
      <c r="E131" s="319">
        <v>4</v>
      </c>
      <c r="F131" s="319">
        <v>3600</v>
      </c>
      <c r="G131" s="319">
        <v>900</v>
      </c>
      <c r="H131" s="600"/>
      <c r="I131" s="204">
        <f t="shared" si="38"/>
        <v>4</v>
      </c>
      <c r="J131" s="204">
        <f t="shared" si="39"/>
        <v>2706.1428571428664</v>
      </c>
      <c r="K131" s="205">
        <f t="shared" si="40"/>
        <v>676.53571428571661</v>
      </c>
      <c r="L131" s="572"/>
      <c r="M131" s="204">
        <f>RANK(K131, K$112:$K$141)</f>
        <v>21</v>
      </c>
      <c r="N131" s="590"/>
      <c r="O131" s="590"/>
      <c r="P131" s="187">
        <v>4</v>
      </c>
      <c r="Q131" s="187">
        <v>2526.0000000000091</v>
      </c>
      <c r="R131" s="187">
        <v>631.50000000000227</v>
      </c>
      <c r="S131" s="351">
        <f t="shared" si="41"/>
        <v>21</v>
      </c>
      <c r="T131" s="600"/>
      <c r="U131" s="187">
        <v>4</v>
      </c>
      <c r="V131" s="187">
        <v>3024.0000000000105</v>
      </c>
      <c r="W131" s="187">
        <v>756.00000000000261</v>
      </c>
      <c r="X131" s="351">
        <f t="shared" si="42"/>
        <v>16</v>
      </c>
      <c r="Y131" s="600"/>
      <c r="Z131" s="187">
        <v>4</v>
      </c>
      <c r="AA131" s="187">
        <v>2130.0000000000077</v>
      </c>
      <c r="AB131" s="187">
        <v>532.50000000000193</v>
      </c>
      <c r="AC131" s="351">
        <f t="shared" si="43"/>
        <v>22</v>
      </c>
      <c r="AD131" s="600"/>
      <c r="AE131" s="187">
        <v>4</v>
      </c>
      <c r="AF131" s="187">
        <v>2800.00000000001</v>
      </c>
      <c r="AG131" s="187">
        <v>700.0000000000025</v>
      </c>
      <c r="AH131" s="351">
        <f t="shared" si="44"/>
        <v>17</v>
      </c>
      <c r="AI131" s="600"/>
      <c r="AJ131" s="187">
        <v>4</v>
      </c>
      <c r="AK131" s="187">
        <v>2952.0000000000105</v>
      </c>
      <c r="AL131" s="187">
        <v>738.00000000000261</v>
      </c>
      <c r="AM131" s="351">
        <f t="shared" si="45"/>
        <v>17</v>
      </c>
      <c r="AN131" s="600"/>
      <c r="AO131" s="187">
        <v>4</v>
      </c>
      <c r="AP131" s="187">
        <v>3204.0000000000114</v>
      </c>
      <c r="AQ131" s="187">
        <v>801.00000000000284</v>
      </c>
      <c r="AR131" s="351">
        <f t="shared" si="46"/>
        <v>9</v>
      </c>
      <c r="AS131" s="600"/>
      <c r="AT131" s="187">
        <v>4</v>
      </c>
      <c r="AU131" s="187">
        <v>2307.0000000000082</v>
      </c>
      <c r="AV131" s="187">
        <v>576.75000000000205</v>
      </c>
      <c r="AW131" s="351">
        <f t="shared" si="47"/>
        <v>21</v>
      </c>
      <c r="AX131" s="600"/>
    </row>
    <row r="132" spans="2:50">
      <c r="B132" s="598"/>
      <c r="C132" s="319">
        <v>21</v>
      </c>
      <c r="D132" s="319" t="s">
        <v>625</v>
      </c>
      <c r="E132" s="319">
        <v>4</v>
      </c>
      <c r="F132" s="319">
        <v>3000</v>
      </c>
      <c r="G132" s="319">
        <v>750</v>
      </c>
      <c r="H132" s="600"/>
      <c r="I132" s="204">
        <f t="shared" ref="I132:K134" si="48">AVERAGE(P132,U132,Z132,AE132,AJ132,AO132,AT132)</f>
        <v>4</v>
      </c>
      <c r="J132" s="204">
        <f t="shared" si="48"/>
        <v>2871.9999999999986</v>
      </c>
      <c r="K132" s="205">
        <f t="shared" si="48"/>
        <v>717.99999999999966</v>
      </c>
      <c r="L132" s="572"/>
      <c r="M132" s="204">
        <f>RANK(K132, K$112:$K$141)</f>
        <v>15</v>
      </c>
      <c r="N132" s="590"/>
      <c r="O132" s="590"/>
      <c r="P132" s="378">
        <v>4</v>
      </c>
      <c r="Q132" s="187">
        <v>3191.99999999996</v>
      </c>
      <c r="R132" s="379">
        <v>797.99999999999</v>
      </c>
      <c r="S132" s="351">
        <f t="shared" si="41"/>
        <v>11</v>
      </c>
      <c r="T132" s="600"/>
      <c r="U132" s="472">
        <v>4</v>
      </c>
      <c r="V132" s="187">
        <v>3047.9999999999623</v>
      </c>
      <c r="W132" s="473">
        <v>761.99999999999056</v>
      </c>
      <c r="X132" s="351">
        <f t="shared" si="42"/>
        <v>14</v>
      </c>
      <c r="Y132" s="600"/>
      <c r="Z132" s="472">
        <v>4</v>
      </c>
      <c r="AA132" s="187">
        <v>2200.0000000000664</v>
      </c>
      <c r="AB132" s="473">
        <v>550.0000000000166</v>
      </c>
      <c r="AC132" s="351">
        <f t="shared" si="43"/>
        <v>21</v>
      </c>
      <c r="AD132" s="600"/>
      <c r="AE132" s="472">
        <v>4</v>
      </c>
      <c r="AF132" s="187">
        <v>3060.0000000000109</v>
      </c>
      <c r="AG132" s="473">
        <v>765.00000000000273</v>
      </c>
      <c r="AH132" s="351">
        <f t="shared" si="44"/>
        <v>14</v>
      </c>
      <c r="AI132" s="600"/>
      <c r="AJ132" s="472">
        <v>4</v>
      </c>
      <c r="AK132" s="187">
        <v>2940.00000000001</v>
      </c>
      <c r="AL132" s="473">
        <v>735.0000000000025</v>
      </c>
      <c r="AM132" s="351">
        <f t="shared" si="45"/>
        <v>18</v>
      </c>
      <c r="AN132" s="600"/>
      <c r="AO132" s="472">
        <v>4</v>
      </c>
      <c r="AP132" s="187">
        <v>2663.9999999999673</v>
      </c>
      <c r="AQ132" s="473">
        <v>665.99999999999181</v>
      </c>
      <c r="AR132" s="351">
        <f t="shared" si="46"/>
        <v>21</v>
      </c>
      <c r="AS132" s="600"/>
      <c r="AT132" s="472">
        <v>4</v>
      </c>
      <c r="AU132" s="187">
        <v>3000.0000000000105</v>
      </c>
      <c r="AV132" s="473">
        <v>750.00000000000261</v>
      </c>
      <c r="AW132" s="351">
        <f t="shared" si="47"/>
        <v>14</v>
      </c>
      <c r="AX132" s="600"/>
    </row>
    <row r="133" spans="2:50">
      <c r="B133" s="598"/>
      <c r="C133" s="319">
        <v>22</v>
      </c>
      <c r="D133" s="319" t="s">
        <v>663</v>
      </c>
      <c r="E133" s="319">
        <v>4</v>
      </c>
      <c r="F133" s="319">
        <v>3300</v>
      </c>
      <c r="G133" s="319">
        <v>825</v>
      </c>
      <c r="H133" s="600"/>
      <c r="I133" s="204">
        <f t="shared" si="48"/>
        <v>3</v>
      </c>
      <c r="J133" s="204">
        <f t="shared" si="48"/>
        <v>2721.689166829522</v>
      </c>
      <c r="K133" s="205">
        <f t="shared" si="48"/>
        <v>907.22972227650746</v>
      </c>
      <c r="L133" s="572"/>
      <c r="M133" s="204">
        <f>RANK(K133, K$112:$K$141)</f>
        <v>7</v>
      </c>
      <c r="N133" s="590"/>
      <c r="O133" s="590"/>
      <c r="P133" s="378">
        <v>3</v>
      </c>
      <c r="Q133" s="187">
        <v>2658.8235294117658</v>
      </c>
      <c r="R133" s="379">
        <v>886.27450980392189</v>
      </c>
      <c r="S133" s="351">
        <f t="shared" si="41"/>
        <v>5</v>
      </c>
      <c r="T133" s="600"/>
      <c r="U133" s="472">
        <v>3</v>
      </c>
      <c r="V133" s="187">
        <v>2624.4000000000051</v>
      </c>
      <c r="W133" s="473">
        <v>874.80000000000166</v>
      </c>
      <c r="X133" s="351">
        <f t="shared" si="42"/>
        <v>7</v>
      </c>
      <c r="Y133" s="600"/>
      <c r="Z133" s="472">
        <v>3</v>
      </c>
      <c r="AA133" s="187">
        <v>2853.3333333333308</v>
      </c>
      <c r="AB133" s="473">
        <v>951.11111111111029</v>
      </c>
      <c r="AC133" s="351">
        <f t="shared" si="43"/>
        <v>6</v>
      </c>
      <c r="AD133" s="600"/>
      <c r="AE133" s="472">
        <v>3</v>
      </c>
      <c r="AF133" s="187">
        <v>2747.9999999999973</v>
      </c>
      <c r="AG133" s="473">
        <v>915.99999999999909</v>
      </c>
      <c r="AH133" s="351">
        <f t="shared" si="44"/>
        <v>4</v>
      </c>
      <c r="AI133" s="600"/>
      <c r="AJ133" s="472">
        <v>3</v>
      </c>
      <c r="AK133" s="187">
        <v>2770.5882352941139</v>
      </c>
      <c r="AL133" s="473">
        <v>923.52941176470461</v>
      </c>
      <c r="AM133" s="351">
        <f t="shared" si="45"/>
        <v>6</v>
      </c>
      <c r="AN133" s="600"/>
      <c r="AO133" s="472">
        <v>3</v>
      </c>
      <c r="AP133" s="187">
        <v>2540.3999999999969</v>
      </c>
      <c r="AQ133" s="473">
        <v>846.79999999999893</v>
      </c>
      <c r="AR133" s="351">
        <f t="shared" si="46"/>
        <v>7</v>
      </c>
      <c r="AS133" s="600"/>
      <c r="AT133" s="472">
        <v>3</v>
      </c>
      <c r="AU133" s="187">
        <v>2856.2790697674463</v>
      </c>
      <c r="AV133" s="473">
        <v>952.09302325581541</v>
      </c>
      <c r="AW133" s="351">
        <f t="shared" si="47"/>
        <v>3</v>
      </c>
      <c r="AX133" s="600"/>
    </row>
    <row r="134" spans="2:50">
      <c r="B134" s="598"/>
      <c r="C134" s="319">
        <v>23</v>
      </c>
      <c r="D134" s="319" t="s">
        <v>764</v>
      </c>
      <c r="E134" s="319">
        <v>3</v>
      </c>
      <c r="F134" s="319">
        <v>2800</v>
      </c>
      <c r="G134" s="319">
        <v>933.33333333333337</v>
      </c>
      <c r="H134" s="600"/>
      <c r="I134" s="204">
        <f t="shared" si="48"/>
        <v>3</v>
      </c>
      <c r="J134" s="204">
        <f t="shared" si="48"/>
        <v>2775.0983302411869</v>
      </c>
      <c r="K134" s="205">
        <f t="shared" si="48"/>
        <v>925.03277674706226</v>
      </c>
      <c r="L134" s="572"/>
      <c r="M134" s="204">
        <f>RANK(K134, K$112:$K$141)</f>
        <v>5</v>
      </c>
      <c r="N134" s="590"/>
      <c r="O134" s="590"/>
      <c r="P134" s="378">
        <v>3</v>
      </c>
      <c r="Q134" s="378">
        <v>2597.1428571428546</v>
      </c>
      <c r="R134" s="379">
        <v>865.71428571428487</v>
      </c>
      <c r="S134" s="351">
        <f t="shared" si="41"/>
        <v>7</v>
      </c>
      <c r="T134" s="600"/>
      <c r="U134" s="472">
        <v>3</v>
      </c>
      <c r="V134" s="472">
        <v>2952.0000000000018</v>
      </c>
      <c r="W134" s="473">
        <v>984.00000000000057</v>
      </c>
      <c r="X134" s="351">
        <f t="shared" si="42"/>
        <v>2</v>
      </c>
      <c r="Y134" s="600"/>
      <c r="Z134" s="472">
        <v>3</v>
      </c>
      <c r="AA134" s="472">
        <v>2562.9999999999955</v>
      </c>
      <c r="AB134" s="473">
        <v>854.33333333333178</v>
      </c>
      <c r="AC134" s="351">
        <f t="shared" si="43"/>
        <v>7</v>
      </c>
      <c r="AD134" s="600"/>
      <c r="AE134" s="472">
        <v>3</v>
      </c>
      <c r="AF134" s="472">
        <v>2724.0000000000018</v>
      </c>
      <c r="AG134" s="473">
        <v>908.00000000000057</v>
      </c>
      <c r="AH134" s="351">
        <f t="shared" si="44"/>
        <v>5</v>
      </c>
      <c r="AI134" s="600"/>
      <c r="AJ134" s="472">
        <v>3</v>
      </c>
      <c r="AK134" s="472">
        <v>2910.5454545454568</v>
      </c>
      <c r="AL134" s="473">
        <v>970.18181818181893</v>
      </c>
      <c r="AM134" s="351">
        <f t="shared" si="45"/>
        <v>2</v>
      </c>
      <c r="AN134" s="600"/>
      <c r="AO134" s="472">
        <v>3</v>
      </c>
      <c r="AP134" s="472">
        <v>3024.0000000000018</v>
      </c>
      <c r="AQ134" s="473">
        <v>1008.0000000000006</v>
      </c>
      <c r="AR134" s="351">
        <f t="shared" si="46"/>
        <v>2</v>
      </c>
      <c r="AS134" s="600"/>
      <c r="AT134" s="472">
        <v>3</v>
      </c>
      <c r="AU134" s="472">
        <v>2654.9999999999955</v>
      </c>
      <c r="AV134" s="473">
        <v>884.99999999999852</v>
      </c>
      <c r="AW134" s="351">
        <f t="shared" si="47"/>
        <v>7</v>
      </c>
      <c r="AX134" s="600"/>
    </row>
    <row r="135" spans="2:50">
      <c r="B135" s="598"/>
      <c r="C135" s="319">
        <v>24</v>
      </c>
      <c r="D135" s="319"/>
      <c r="E135" s="319"/>
      <c r="F135" s="319"/>
      <c r="G135" s="319"/>
      <c r="H135" s="600"/>
      <c r="I135" s="207"/>
      <c r="J135" s="207"/>
      <c r="K135" s="207"/>
      <c r="L135" s="572"/>
      <c r="M135" s="204" t="e">
        <f>RANK(K135, K$112:$K$141)</f>
        <v>#N/A</v>
      </c>
      <c r="N135" s="590"/>
      <c r="O135" s="590"/>
      <c r="P135" s="378"/>
      <c r="Q135" s="378"/>
      <c r="R135" s="378"/>
      <c r="S135" s="351" t="e">
        <f t="shared" si="41"/>
        <v>#N/A</v>
      </c>
      <c r="T135" s="600"/>
      <c r="U135" s="378"/>
      <c r="V135" s="378"/>
      <c r="W135" s="378"/>
      <c r="X135" s="351" t="e">
        <f t="shared" si="42"/>
        <v>#N/A</v>
      </c>
      <c r="Y135" s="600"/>
      <c r="Z135" s="378"/>
      <c r="AA135" s="378"/>
      <c r="AB135" s="378"/>
      <c r="AC135" s="351" t="e">
        <f t="shared" si="43"/>
        <v>#N/A</v>
      </c>
      <c r="AD135" s="600"/>
      <c r="AE135" s="378"/>
      <c r="AF135" s="378"/>
      <c r="AG135" s="378"/>
      <c r="AH135" s="351" t="e">
        <f t="shared" si="44"/>
        <v>#N/A</v>
      </c>
      <c r="AI135" s="600"/>
      <c r="AJ135" s="378"/>
      <c r="AK135" s="378"/>
      <c r="AL135" s="378"/>
      <c r="AM135" s="351" t="e">
        <f t="shared" si="45"/>
        <v>#N/A</v>
      </c>
      <c r="AN135" s="600"/>
      <c r="AO135" s="378"/>
      <c r="AP135" s="378"/>
      <c r="AQ135" s="378"/>
      <c r="AR135" s="351" t="e">
        <f t="shared" si="46"/>
        <v>#N/A</v>
      </c>
      <c r="AS135" s="600"/>
      <c r="AT135" s="378"/>
      <c r="AU135" s="378"/>
      <c r="AV135" s="378"/>
      <c r="AW135" s="351" t="e">
        <f t="shared" si="47"/>
        <v>#N/A</v>
      </c>
      <c r="AX135" s="600"/>
    </row>
    <row r="136" spans="2:50">
      <c r="B136" s="598"/>
      <c r="C136" s="319">
        <v>25</v>
      </c>
      <c r="D136" s="319"/>
      <c r="E136" s="319"/>
      <c r="F136" s="319"/>
      <c r="G136" s="319"/>
      <c r="H136" s="600"/>
      <c r="I136" s="207"/>
      <c r="J136" s="207"/>
      <c r="K136" s="207"/>
      <c r="L136" s="572"/>
      <c r="M136" s="204" t="e">
        <f>RANK(K136, K$112:$K$141)</f>
        <v>#N/A</v>
      </c>
      <c r="N136" s="590"/>
      <c r="O136" s="590"/>
      <c r="P136" s="378"/>
      <c r="Q136" s="378"/>
      <c r="R136" s="378"/>
      <c r="S136" s="351" t="e">
        <f t="shared" si="41"/>
        <v>#N/A</v>
      </c>
      <c r="T136" s="600"/>
      <c r="U136" s="378"/>
      <c r="V136" s="378"/>
      <c r="W136" s="378"/>
      <c r="X136" s="351" t="e">
        <f t="shared" si="42"/>
        <v>#N/A</v>
      </c>
      <c r="Y136" s="600"/>
      <c r="Z136" s="378"/>
      <c r="AA136" s="378"/>
      <c r="AB136" s="378"/>
      <c r="AC136" s="351" t="e">
        <f t="shared" si="43"/>
        <v>#N/A</v>
      </c>
      <c r="AD136" s="600"/>
      <c r="AE136" s="378"/>
      <c r="AF136" s="378"/>
      <c r="AG136" s="378"/>
      <c r="AH136" s="351" t="e">
        <f t="shared" si="44"/>
        <v>#N/A</v>
      </c>
      <c r="AI136" s="600"/>
      <c r="AJ136" s="378"/>
      <c r="AK136" s="378"/>
      <c r="AL136" s="378"/>
      <c r="AM136" s="351" t="e">
        <f t="shared" si="45"/>
        <v>#N/A</v>
      </c>
      <c r="AN136" s="600"/>
      <c r="AO136" s="378"/>
      <c r="AP136" s="378"/>
      <c r="AQ136" s="378"/>
      <c r="AR136" s="351" t="e">
        <f t="shared" si="46"/>
        <v>#N/A</v>
      </c>
      <c r="AS136" s="600"/>
      <c r="AT136" s="378"/>
      <c r="AU136" s="378"/>
      <c r="AV136" s="378"/>
      <c r="AW136" s="351" t="e">
        <f t="shared" si="47"/>
        <v>#N/A</v>
      </c>
      <c r="AX136" s="600"/>
    </row>
    <row r="137" spans="2:50">
      <c r="B137" s="598"/>
      <c r="C137" s="319">
        <v>26</v>
      </c>
      <c r="D137" s="319"/>
      <c r="E137" s="319"/>
      <c r="F137" s="319"/>
      <c r="G137" s="319"/>
      <c r="H137" s="600"/>
      <c r="I137" s="207"/>
      <c r="J137" s="207"/>
      <c r="K137" s="207"/>
      <c r="L137" s="572"/>
      <c r="M137" s="204" t="e">
        <f>RANK(K137, K$112:$K$141)</f>
        <v>#N/A</v>
      </c>
      <c r="N137" s="590"/>
      <c r="O137" s="590"/>
      <c r="P137" s="378"/>
      <c r="Q137" s="378"/>
      <c r="R137" s="378"/>
      <c r="S137" s="351" t="e">
        <f t="shared" si="41"/>
        <v>#N/A</v>
      </c>
      <c r="T137" s="600"/>
      <c r="U137" s="378"/>
      <c r="V137" s="378"/>
      <c r="W137" s="378"/>
      <c r="X137" s="351" t="e">
        <f t="shared" si="42"/>
        <v>#N/A</v>
      </c>
      <c r="Y137" s="600"/>
      <c r="Z137" s="378"/>
      <c r="AA137" s="378"/>
      <c r="AB137" s="378"/>
      <c r="AC137" s="351" t="e">
        <f t="shared" si="43"/>
        <v>#N/A</v>
      </c>
      <c r="AD137" s="600"/>
      <c r="AE137" s="378"/>
      <c r="AF137" s="378"/>
      <c r="AG137" s="378"/>
      <c r="AH137" s="351" t="e">
        <f t="shared" si="44"/>
        <v>#N/A</v>
      </c>
      <c r="AI137" s="600"/>
      <c r="AJ137" s="378"/>
      <c r="AK137" s="378"/>
      <c r="AL137" s="378"/>
      <c r="AM137" s="351" t="e">
        <f t="shared" si="45"/>
        <v>#N/A</v>
      </c>
      <c r="AN137" s="600"/>
      <c r="AO137" s="378"/>
      <c r="AP137" s="378"/>
      <c r="AQ137" s="378"/>
      <c r="AR137" s="351" t="e">
        <f t="shared" si="46"/>
        <v>#N/A</v>
      </c>
      <c r="AS137" s="600"/>
      <c r="AT137" s="378"/>
      <c r="AU137" s="378"/>
      <c r="AV137" s="378"/>
      <c r="AW137" s="351" t="e">
        <f t="shared" si="47"/>
        <v>#N/A</v>
      </c>
      <c r="AX137" s="600"/>
    </row>
    <row r="138" spans="2:50">
      <c r="B138" s="598"/>
      <c r="C138" s="319">
        <v>27</v>
      </c>
      <c r="D138" s="319"/>
      <c r="E138" s="319"/>
      <c r="F138" s="319"/>
      <c r="G138" s="319"/>
      <c r="H138" s="600"/>
      <c r="I138" s="207"/>
      <c r="J138" s="207"/>
      <c r="K138" s="207"/>
      <c r="L138" s="572"/>
      <c r="M138" s="204" t="e">
        <f>RANK(K138, K$112:$K$141)</f>
        <v>#N/A</v>
      </c>
      <c r="N138" s="590"/>
      <c r="O138" s="590"/>
      <c r="P138" s="378"/>
      <c r="Q138" s="378"/>
      <c r="R138" s="378"/>
      <c r="S138" s="351" t="e">
        <f t="shared" si="41"/>
        <v>#N/A</v>
      </c>
      <c r="T138" s="600"/>
      <c r="U138" s="378"/>
      <c r="V138" s="378"/>
      <c r="W138" s="378"/>
      <c r="X138" s="351" t="e">
        <f t="shared" si="42"/>
        <v>#N/A</v>
      </c>
      <c r="Y138" s="600"/>
      <c r="Z138" s="378"/>
      <c r="AA138" s="378"/>
      <c r="AB138" s="378"/>
      <c r="AC138" s="351" t="e">
        <f t="shared" si="43"/>
        <v>#N/A</v>
      </c>
      <c r="AD138" s="600"/>
      <c r="AE138" s="378"/>
      <c r="AF138" s="378"/>
      <c r="AG138" s="378"/>
      <c r="AH138" s="351" t="e">
        <f t="shared" si="44"/>
        <v>#N/A</v>
      </c>
      <c r="AI138" s="600"/>
      <c r="AJ138" s="378"/>
      <c r="AK138" s="378"/>
      <c r="AL138" s="378"/>
      <c r="AM138" s="351" t="e">
        <f t="shared" si="45"/>
        <v>#N/A</v>
      </c>
      <c r="AN138" s="600"/>
      <c r="AO138" s="378"/>
      <c r="AP138" s="378"/>
      <c r="AQ138" s="378"/>
      <c r="AR138" s="351" t="e">
        <f t="shared" si="46"/>
        <v>#N/A</v>
      </c>
      <c r="AS138" s="600"/>
      <c r="AT138" s="378"/>
      <c r="AU138" s="378"/>
      <c r="AV138" s="378"/>
      <c r="AW138" s="351" t="e">
        <f t="shared" si="47"/>
        <v>#N/A</v>
      </c>
      <c r="AX138" s="600"/>
    </row>
    <row r="139" spans="2:50">
      <c r="B139" s="598"/>
      <c r="C139" s="319">
        <v>28</v>
      </c>
      <c r="D139" s="319"/>
      <c r="E139" s="319"/>
      <c r="F139" s="319"/>
      <c r="G139" s="319"/>
      <c r="H139" s="600"/>
      <c r="I139" s="207"/>
      <c r="J139" s="207"/>
      <c r="K139" s="207"/>
      <c r="L139" s="572"/>
      <c r="M139" s="204" t="e">
        <f>RANK(K139, K$112:$K$141)</f>
        <v>#N/A</v>
      </c>
      <c r="N139" s="590"/>
      <c r="O139" s="590"/>
      <c r="P139" s="378"/>
      <c r="Q139" s="378"/>
      <c r="R139" s="378"/>
      <c r="S139" s="351" t="e">
        <f t="shared" si="41"/>
        <v>#N/A</v>
      </c>
      <c r="T139" s="600"/>
      <c r="U139" s="378"/>
      <c r="V139" s="378"/>
      <c r="W139" s="378"/>
      <c r="X139" s="351" t="e">
        <f t="shared" si="42"/>
        <v>#N/A</v>
      </c>
      <c r="Y139" s="600"/>
      <c r="Z139" s="378"/>
      <c r="AA139" s="378"/>
      <c r="AB139" s="378"/>
      <c r="AC139" s="351" t="e">
        <f t="shared" si="43"/>
        <v>#N/A</v>
      </c>
      <c r="AD139" s="600"/>
      <c r="AE139" s="378"/>
      <c r="AF139" s="378"/>
      <c r="AG139" s="378"/>
      <c r="AH139" s="351" t="e">
        <f t="shared" si="44"/>
        <v>#N/A</v>
      </c>
      <c r="AI139" s="600"/>
      <c r="AJ139" s="378"/>
      <c r="AK139" s="378"/>
      <c r="AL139" s="378"/>
      <c r="AM139" s="351" t="e">
        <f t="shared" si="45"/>
        <v>#N/A</v>
      </c>
      <c r="AN139" s="600"/>
      <c r="AO139" s="378"/>
      <c r="AP139" s="378"/>
      <c r="AQ139" s="378"/>
      <c r="AR139" s="351" t="e">
        <f t="shared" si="46"/>
        <v>#N/A</v>
      </c>
      <c r="AS139" s="600"/>
      <c r="AT139" s="378"/>
      <c r="AU139" s="378"/>
      <c r="AV139" s="378"/>
      <c r="AW139" s="351" t="e">
        <f t="shared" si="47"/>
        <v>#N/A</v>
      </c>
      <c r="AX139" s="600"/>
    </row>
    <row r="140" spans="2:50">
      <c r="B140" s="598"/>
      <c r="C140" s="319">
        <v>29</v>
      </c>
      <c r="D140" s="319"/>
      <c r="E140" s="319"/>
      <c r="F140" s="319"/>
      <c r="G140" s="319"/>
      <c r="H140" s="600"/>
      <c r="I140" s="207"/>
      <c r="J140" s="207"/>
      <c r="K140" s="207"/>
      <c r="L140" s="572"/>
      <c r="M140" s="204" t="e">
        <f>RANK(K140, K$112:$K$141)</f>
        <v>#N/A</v>
      </c>
      <c r="N140" s="590"/>
      <c r="O140" s="590"/>
      <c r="P140" s="378"/>
      <c r="Q140" s="378"/>
      <c r="R140" s="378"/>
      <c r="S140" s="351" t="e">
        <f t="shared" si="41"/>
        <v>#N/A</v>
      </c>
      <c r="T140" s="600"/>
      <c r="U140" s="378"/>
      <c r="V140" s="378"/>
      <c r="W140" s="378"/>
      <c r="X140" s="351" t="e">
        <f t="shared" si="42"/>
        <v>#N/A</v>
      </c>
      <c r="Y140" s="600"/>
      <c r="Z140" s="378"/>
      <c r="AA140" s="378"/>
      <c r="AB140" s="378"/>
      <c r="AC140" s="351" t="e">
        <f t="shared" si="43"/>
        <v>#N/A</v>
      </c>
      <c r="AD140" s="600"/>
      <c r="AE140" s="378"/>
      <c r="AF140" s="378"/>
      <c r="AG140" s="378"/>
      <c r="AH140" s="351" t="e">
        <f t="shared" si="44"/>
        <v>#N/A</v>
      </c>
      <c r="AI140" s="600"/>
      <c r="AJ140" s="378"/>
      <c r="AK140" s="378"/>
      <c r="AL140" s="378"/>
      <c r="AM140" s="351" t="e">
        <f t="shared" si="45"/>
        <v>#N/A</v>
      </c>
      <c r="AN140" s="600"/>
      <c r="AO140" s="378"/>
      <c r="AP140" s="378"/>
      <c r="AQ140" s="378"/>
      <c r="AR140" s="351" t="e">
        <f t="shared" si="46"/>
        <v>#N/A</v>
      </c>
      <c r="AS140" s="600"/>
      <c r="AT140" s="378"/>
      <c r="AU140" s="378"/>
      <c r="AV140" s="378"/>
      <c r="AW140" s="351" t="e">
        <f t="shared" si="47"/>
        <v>#N/A</v>
      </c>
      <c r="AX140" s="600"/>
    </row>
    <row r="141" spans="2:50">
      <c r="B141" s="598"/>
      <c r="C141" s="319">
        <v>30</v>
      </c>
      <c r="D141" s="319"/>
      <c r="E141" s="319"/>
      <c r="F141" s="319"/>
      <c r="G141" s="319"/>
      <c r="H141" s="601"/>
      <c r="I141" s="207"/>
      <c r="J141" s="207"/>
      <c r="K141" s="207"/>
      <c r="L141" s="573"/>
      <c r="M141" s="204" t="e">
        <f>RANK(K141, K$112:$K$141)</f>
        <v>#N/A</v>
      </c>
      <c r="N141" s="590"/>
      <c r="O141" s="590"/>
      <c r="P141" s="378"/>
      <c r="Q141" s="378"/>
      <c r="R141" s="378"/>
      <c r="S141" s="351" t="e">
        <f t="shared" si="41"/>
        <v>#N/A</v>
      </c>
      <c r="T141" s="601"/>
      <c r="U141" s="378"/>
      <c r="V141" s="378"/>
      <c r="W141" s="378"/>
      <c r="X141" s="351" t="e">
        <f t="shared" si="42"/>
        <v>#N/A</v>
      </c>
      <c r="Y141" s="601"/>
      <c r="Z141" s="378"/>
      <c r="AA141" s="378"/>
      <c r="AB141" s="378"/>
      <c r="AC141" s="351" t="e">
        <f t="shared" si="43"/>
        <v>#N/A</v>
      </c>
      <c r="AD141" s="601"/>
      <c r="AE141" s="378"/>
      <c r="AF141" s="378"/>
      <c r="AG141" s="378"/>
      <c r="AH141" s="351" t="e">
        <f t="shared" si="44"/>
        <v>#N/A</v>
      </c>
      <c r="AI141" s="601"/>
      <c r="AJ141" s="378"/>
      <c r="AK141" s="378"/>
      <c r="AL141" s="378"/>
      <c r="AM141" s="351" t="e">
        <f t="shared" si="45"/>
        <v>#N/A</v>
      </c>
      <c r="AN141" s="601"/>
      <c r="AO141" s="378"/>
      <c r="AP141" s="378"/>
      <c r="AQ141" s="378"/>
      <c r="AR141" s="351" t="e">
        <f t="shared" si="46"/>
        <v>#N/A</v>
      </c>
      <c r="AS141" s="601"/>
      <c r="AT141" s="378"/>
      <c r="AU141" s="378"/>
      <c r="AV141" s="378"/>
      <c r="AW141" s="351" t="e">
        <f t="shared" si="47"/>
        <v>#N/A</v>
      </c>
      <c r="AX141" s="601"/>
    </row>
    <row r="142" spans="2:50" ht="15.75">
      <c r="B142" s="602" t="s">
        <v>163</v>
      </c>
      <c r="C142" s="603"/>
      <c r="D142" s="603"/>
      <c r="E142" s="603"/>
      <c r="F142" s="603"/>
      <c r="G142" s="603"/>
      <c r="H142" s="604"/>
      <c r="I142" s="213"/>
      <c r="J142" s="213"/>
      <c r="K142" s="213"/>
      <c r="L142" s="213"/>
      <c r="M142" s="212"/>
      <c r="N142" s="591" t="s">
        <v>156</v>
      </c>
      <c r="O142" s="591" t="s">
        <v>155</v>
      </c>
      <c r="P142" s="597">
        <f>P107+7</f>
        <v>45958</v>
      </c>
      <c r="Q142" s="598"/>
      <c r="R142" s="598"/>
      <c r="S142" s="598"/>
      <c r="T142" s="598"/>
      <c r="U142" s="594">
        <f>P142+1</f>
        <v>45959</v>
      </c>
      <c r="V142" s="595"/>
      <c r="W142" s="595"/>
      <c r="X142" s="595"/>
      <c r="Y142" s="596"/>
      <c r="Z142" s="594">
        <f>U142+1</f>
        <v>45960</v>
      </c>
      <c r="AA142" s="595"/>
      <c r="AB142" s="595"/>
      <c r="AC142" s="595"/>
      <c r="AD142" s="596"/>
      <c r="AE142" s="594">
        <f>Z142+1</f>
        <v>45961</v>
      </c>
      <c r="AF142" s="595"/>
      <c r="AG142" s="595"/>
      <c r="AH142" s="595"/>
      <c r="AI142" s="596"/>
      <c r="AJ142" s="594">
        <f>AE142+1</f>
        <v>45962</v>
      </c>
      <c r="AK142" s="595"/>
      <c r="AL142" s="595"/>
      <c r="AM142" s="595"/>
      <c r="AN142" s="596"/>
      <c r="AO142" s="594">
        <f>AJ142+1</f>
        <v>45963</v>
      </c>
      <c r="AP142" s="595"/>
      <c r="AQ142" s="595"/>
      <c r="AR142" s="595"/>
      <c r="AS142" s="596"/>
      <c r="AT142" s="594">
        <f>AO142+1</f>
        <v>45964</v>
      </c>
      <c r="AU142" s="595"/>
      <c r="AV142" s="595"/>
      <c r="AW142" s="595"/>
      <c r="AX142" s="596"/>
    </row>
    <row r="143" spans="2:50" ht="15.75">
      <c r="B143" s="605"/>
      <c r="C143" s="605"/>
      <c r="D143" s="605"/>
      <c r="E143" s="605"/>
      <c r="F143" s="605"/>
      <c r="G143" s="605"/>
      <c r="H143" s="605"/>
      <c r="I143" s="210"/>
      <c r="J143" s="210"/>
      <c r="K143" s="210"/>
      <c r="L143" s="210"/>
      <c r="M143" s="211"/>
      <c r="N143" s="593"/>
      <c r="O143" s="593"/>
      <c r="P143" s="597" t="s">
        <v>336</v>
      </c>
      <c r="Q143" s="598"/>
      <c r="R143" s="598"/>
      <c r="S143" s="598"/>
      <c r="T143" s="598"/>
      <c r="U143" s="597" t="s">
        <v>337</v>
      </c>
      <c r="V143" s="598"/>
      <c r="W143" s="598"/>
      <c r="X143" s="598"/>
      <c r="Y143" s="598"/>
      <c r="Z143" s="597" t="s">
        <v>338</v>
      </c>
      <c r="AA143" s="598"/>
      <c r="AB143" s="598"/>
      <c r="AC143" s="598"/>
      <c r="AD143" s="598"/>
      <c r="AE143" s="597" t="s">
        <v>339</v>
      </c>
      <c r="AF143" s="598"/>
      <c r="AG143" s="598"/>
      <c r="AH143" s="598"/>
      <c r="AI143" s="598"/>
      <c r="AJ143" s="597" t="s">
        <v>340</v>
      </c>
      <c r="AK143" s="598"/>
      <c r="AL143" s="598"/>
      <c r="AM143" s="598"/>
      <c r="AN143" s="598"/>
      <c r="AO143" s="597" t="s">
        <v>341</v>
      </c>
      <c r="AP143" s="598"/>
      <c r="AQ143" s="598"/>
      <c r="AR143" s="598"/>
      <c r="AS143" s="598"/>
      <c r="AT143" s="597" t="s">
        <v>342</v>
      </c>
      <c r="AU143" s="598"/>
      <c r="AV143" s="598"/>
      <c r="AW143" s="598"/>
      <c r="AX143" s="598"/>
    </row>
    <row r="144" spans="2:50">
      <c r="B144" s="590" t="s">
        <v>476</v>
      </c>
      <c r="C144" s="590" t="s">
        <v>477</v>
      </c>
      <c r="D144" s="590"/>
      <c r="E144" s="590" t="s">
        <v>478</v>
      </c>
      <c r="F144" s="590"/>
      <c r="G144" s="590"/>
      <c r="H144" s="606" t="s">
        <v>479</v>
      </c>
      <c r="I144" s="574" t="s">
        <v>480</v>
      </c>
      <c r="J144" s="574"/>
      <c r="K144" s="574"/>
      <c r="L144" s="575" t="s">
        <v>479</v>
      </c>
      <c r="M144" s="581" t="s">
        <v>481</v>
      </c>
      <c r="N144" s="590"/>
      <c r="O144" s="590" t="s">
        <v>482</v>
      </c>
      <c r="P144" s="587" t="s">
        <v>483</v>
      </c>
      <c r="Q144" s="588"/>
      <c r="R144" s="588"/>
      <c r="S144" s="589"/>
      <c r="T144" s="590" t="s">
        <v>479</v>
      </c>
      <c r="U144" s="587" t="s">
        <v>483</v>
      </c>
      <c r="V144" s="588"/>
      <c r="W144" s="588"/>
      <c r="X144" s="589"/>
      <c r="Y144" s="590" t="s">
        <v>479</v>
      </c>
      <c r="Z144" s="587" t="s">
        <v>483</v>
      </c>
      <c r="AA144" s="588"/>
      <c r="AB144" s="588"/>
      <c r="AC144" s="589"/>
      <c r="AD144" s="590" t="s">
        <v>479</v>
      </c>
      <c r="AE144" s="587" t="s">
        <v>483</v>
      </c>
      <c r="AF144" s="588"/>
      <c r="AG144" s="588"/>
      <c r="AH144" s="589"/>
      <c r="AI144" s="590" t="s">
        <v>479</v>
      </c>
      <c r="AJ144" s="587" t="s">
        <v>483</v>
      </c>
      <c r="AK144" s="588"/>
      <c r="AL144" s="588"/>
      <c r="AM144" s="589"/>
      <c r="AN144" s="590" t="s">
        <v>479</v>
      </c>
      <c r="AO144" s="587" t="s">
        <v>483</v>
      </c>
      <c r="AP144" s="588"/>
      <c r="AQ144" s="588"/>
      <c r="AR144" s="589"/>
      <c r="AS144" s="590" t="s">
        <v>479</v>
      </c>
      <c r="AT144" s="587" t="s">
        <v>483</v>
      </c>
      <c r="AU144" s="588"/>
      <c r="AV144" s="588"/>
      <c r="AW144" s="589"/>
      <c r="AX144" s="590" t="s">
        <v>479</v>
      </c>
    </row>
    <row r="145" spans="2:50">
      <c r="B145" s="590"/>
      <c r="C145" s="590"/>
      <c r="D145" s="590"/>
      <c r="E145" s="590" t="s">
        <v>484</v>
      </c>
      <c r="F145" s="590"/>
      <c r="G145" s="590"/>
      <c r="H145" s="607"/>
      <c r="I145" s="574" t="s">
        <v>484</v>
      </c>
      <c r="J145" s="574"/>
      <c r="K145" s="574"/>
      <c r="L145" s="576"/>
      <c r="M145" s="582"/>
      <c r="N145" s="590"/>
      <c r="O145" s="590"/>
      <c r="P145" s="587" t="s">
        <v>485</v>
      </c>
      <c r="Q145" s="588"/>
      <c r="R145" s="588"/>
      <c r="S145" s="589"/>
      <c r="T145" s="590"/>
      <c r="U145" s="587" t="s">
        <v>485</v>
      </c>
      <c r="V145" s="588"/>
      <c r="W145" s="588"/>
      <c r="X145" s="589"/>
      <c r="Y145" s="590"/>
      <c r="Z145" s="587" t="s">
        <v>485</v>
      </c>
      <c r="AA145" s="588"/>
      <c r="AB145" s="588"/>
      <c r="AC145" s="589"/>
      <c r="AD145" s="590"/>
      <c r="AE145" s="587" t="s">
        <v>485</v>
      </c>
      <c r="AF145" s="588"/>
      <c r="AG145" s="588"/>
      <c r="AH145" s="589"/>
      <c r="AI145" s="590"/>
      <c r="AJ145" s="587" t="s">
        <v>485</v>
      </c>
      <c r="AK145" s="588"/>
      <c r="AL145" s="588"/>
      <c r="AM145" s="589"/>
      <c r="AN145" s="590"/>
      <c r="AO145" s="587" t="s">
        <v>485</v>
      </c>
      <c r="AP145" s="588"/>
      <c r="AQ145" s="588"/>
      <c r="AR145" s="589"/>
      <c r="AS145" s="590"/>
      <c r="AT145" s="587" t="s">
        <v>485</v>
      </c>
      <c r="AU145" s="588"/>
      <c r="AV145" s="588"/>
      <c r="AW145" s="589"/>
      <c r="AX145" s="590"/>
    </row>
    <row r="146" spans="2:50">
      <c r="B146" s="590"/>
      <c r="C146" s="590"/>
      <c r="D146" s="590"/>
      <c r="E146" s="307" t="s">
        <v>486</v>
      </c>
      <c r="F146" s="307" t="s">
        <v>487</v>
      </c>
      <c r="G146" s="307" t="s">
        <v>488</v>
      </c>
      <c r="H146" s="608"/>
      <c r="I146" s="309" t="s">
        <v>486</v>
      </c>
      <c r="J146" s="309" t="s">
        <v>487</v>
      </c>
      <c r="K146" s="309" t="s">
        <v>488</v>
      </c>
      <c r="L146" s="577"/>
      <c r="M146" s="583"/>
      <c r="N146" s="590"/>
      <c r="O146" s="590"/>
      <c r="P146" s="307" t="s">
        <v>486</v>
      </c>
      <c r="Q146" s="307" t="s">
        <v>487</v>
      </c>
      <c r="R146" s="307" t="s">
        <v>488</v>
      </c>
      <c r="S146" s="307" t="s">
        <v>481</v>
      </c>
      <c r="T146" s="590"/>
      <c r="U146" s="307" t="s">
        <v>486</v>
      </c>
      <c r="V146" s="307" t="s">
        <v>487</v>
      </c>
      <c r="W146" s="307" t="s">
        <v>488</v>
      </c>
      <c r="X146" s="307" t="s">
        <v>481</v>
      </c>
      <c r="Y146" s="590"/>
      <c r="Z146" s="307" t="s">
        <v>486</v>
      </c>
      <c r="AA146" s="307" t="s">
        <v>487</v>
      </c>
      <c r="AB146" s="307" t="s">
        <v>488</v>
      </c>
      <c r="AC146" s="307" t="s">
        <v>481</v>
      </c>
      <c r="AD146" s="590"/>
      <c r="AE146" s="307" t="s">
        <v>486</v>
      </c>
      <c r="AF146" s="307" t="s">
        <v>487</v>
      </c>
      <c r="AG146" s="307" t="s">
        <v>488</v>
      </c>
      <c r="AH146" s="307" t="s">
        <v>481</v>
      </c>
      <c r="AI146" s="590"/>
      <c r="AJ146" s="307" t="s">
        <v>486</v>
      </c>
      <c r="AK146" s="307" t="s">
        <v>487</v>
      </c>
      <c r="AL146" s="307" t="s">
        <v>488</v>
      </c>
      <c r="AM146" s="307" t="s">
        <v>481</v>
      </c>
      <c r="AN146" s="590"/>
      <c r="AO146" s="307" t="s">
        <v>486</v>
      </c>
      <c r="AP146" s="307" t="s">
        <v>487</v>
      </c>
      <c r="AQ146" s="307" t="s">
        <v>488</v>
      </c>
      <c r="AR146" s="307" t="s">
        <v>481</v>
      </c>
      <c r="AS146" s="590"/>
      <c r="AT146" s="307" t="s">
        <v>486</v>
      </c>
      <c r="AU146" s="307" t="s">
        <v>487</v>
      </c>
      <c r="AV146" s="307" t="s">
        <v>488</v>
      </c>
      <c r="AW146" s="307" t="s">
        <v>481</v>
      </c>
      <c r="AX146" s="590"/>
    </row>
    <row r="147" spans="2:50">
      <c r="B147" s="598" t="s">
        <v>150</v>
      </c>
      <c r="C147" s="306">
        <v>1</v>
      </c>
      <c r="D147" s="306" t="s">
        <v>365</v>
      </c>
      <c r="E147" s="306">
        <v>4</v>
      </c>
      <c r="F147" s="306">
        <v>2200</v>
      </c>
      <c r="G147" s="306">
        <v>550</v>
      </c>
      <c r="H147" s="599">
        <f>AVERAGE(G147:G176)</f>
        <v>846.52777777777783</v>
      </c>
      <c r="I147" s="204">
        <f>AVERAGE(P147,U147,Z147,AE147,AJ147,AO147,AT147)</f>
        <v>4</v>
      </c>
      <c r="J147" s="204">
        <f>AVERAGE(Q147,V147,AA147,AF147,AK147,AP147,AU147)</f>
        <v>3187.3727538336711</v>
      </c>
      <c r="K147" s="205">
        <f>AVERAGE(R147,W147,AB147,AG147,AL147,AQ147,AV147)</f>
        <v>796.84318845841779</v>
      </c>
      <c r="L147" s="571">
        <f>IFERROR(AVERAGE(K147:K176),"-")</f>
        <v>763.95984082355528</v>
      </c>
      <c r="M147" s="204">
        <f>RANK(K147, K$147:$K$176)</f>
        <v>8</v>
      </c>
      <c r="N147" s="590"/>
      <c r="O147" s="590"/>
      <c r="P147" s="187">
        <v>4</v>
      </c>
      <c r="Q147" s="187">
        <v>3179.1044776119406</v>
      </c>
      <c r="R147" s="187">
        <v>794.77611940298516</v>
      </c>
      <c r="S147" s="306">
        <f>RANK(R147, R$147:R$176)</f>
        <v>9</v>
      </c>
      <c r="T147" s="599">
        <f>AVERAGE(R147:R176)</f>
        <v>767.09069828474082</v>
      </c>
      <c r="U147" s="187">
        <v>4</v>
      </c>
      <c r="V147" s="187">
        <v>3191.8181818181815</v>
      </c>
      <c r="W147" s="187">
        <v>797.95454545454538</v>
      </c>
      <c r="X147" s="306">
        <f>RANK(W147, W$147:W$176)</f>
        <v>10</v>
      </c>
      <c r="Y147" s="599">
        <f>AVERAGE(W147:W176)</f>
        <v>767.01950649348919</v>
      </c>
      <c r="Z147" s="187">
        <v>4</v>
      </c>
      <c r="AA147" s="187">
        <v>3307.2413793103451</v>
      </c>
      <c r="AB147" s="187">
        <v>826.81034482758628</v>
      </c>
      <c r="AC147" s="306">
        <f>RANK(AB147, AB$147:AB$176)</f>
        <v>8</v>
      </c>
      <c r="AD147" s="599">
        <f>AVERAGE(AB147:AB176)</f>
        <v>765.1506819917621</v>
      </c>
      <c r="AE147" s="187">
        <v>4</v>
      </c>
      <c r="AF147" s="187">
        <v>3201.5999999999985</v>
      </c>
      <c r="AG147" s="187">
        <v>800.39999999999964</v>
      </c>
      <c r="AH147" s="306">
        <f>RANK(AG147, AG$147:AG$176)</f>
        <v>10</v>
      </c>
      <c r="AI147" s="599">
        <f>AVERAGE(AG147:AG176)</f>
        <v>765.49794848224622</v>
      </c>
      <c r="AJ147" s="187">
        <v>4</v>
      </c>
      <c r="AK147" s="187">
        <v>3173.7499999999982</v>
      </c>
      <c r="AL147" s="187">
        <v>793.43749999999955</v>
      </c>
      <c r="AM147" s="306">
        <f>RANK(AL147, AL$147:AL$176)</f>
        <v>9</v>
      </c>
      <c r="AN147" s="599">
        <f>AVERAGE(AL147:AL176)</f>
        <v>751.20267653207861</v>
      </c>
      <c r="AO147" s="187">
        <v>4</v>
      </c>
      <c r="AP147" s="187">
        <v>3166.6666666666661</v>
      </c>
      <c r="AQ147" s="187">
        <v>791.66666666666652</v>
      </c>
      <c r="AR147" s="306">
        <f>RANK(AQ147, AQ$147:AQ$176)</f>
        <v>10</v>
      </c>
      <c r="AS147" s="599">
        <f>AVERAGE(AQ147:AQ176)</f>
        <v>770.81574200644013</v>
      </c>
      <c r="AT147" s="187">
        <v>4</v>
      </c>
      <c r="AU147" s="187">
        <v>3091.4285714285706</v>
      </c>
      <c r="AV147" s="187">
        <v>772.85714285714266</v>
      </c>
      <c r="AW147" s="306">
        <f>RANK(AV147, AV$147:AV$176)</f>
        <v>11</v>
      </c>
      <c r="AX147" s="599">
        <f>AVERAGE(AV147:AV176)</f>
        <v>791.83185384295018</v>
      </c>
    </row>
    <row r="148" spans="2:50">
      <c r="B148" s="598"/>
      <c r="C148" s="306">
        <v>2</v>
      </c>
      <c r="D148" s="306" t="s">
        <v>366</v>
      </c>
      <c r="E148" s="306">
        <v>3</v>
      </c>
      <c r="F148" s="306">
        <v>2700</v>
      </c>
      <c r="G148" s="306">
        <v>900</v>
      </c>
      <c r="H148" s="600"/>
      <c r="I148" s="204">
        <f t="shared" ref="I148:I156" si="49">AVERAGE(P148,U148,Z148,AE148,AJ148,AO148,AT148)</f>
        <v>3</v>
      </c>
      <c r="J148" s="204">
        <f t="shared" ref="J148:J156" si="50">AVERAGE(Q148,V148,AA148,AF148,AK148,AP148,AU148)</f>
        <v>2782.7083271419656</v>
      </c>
      <c r="K148" s="205">
        <f t="shared" ref="K148:K156" si="51">AVERAGE(R148,W148,AB148,AG148,AL148,AQ148,AV148)</f>
        <v>927.56944238065523</v>
      </c>
      <c r="L148" s="572"/>
      <c r="M148" s="204">
        <f>RANK(K148, K$147:$K$176)</f>
        <v>3</v>
      </c>
      <c r="N148" s="590"/>
      <c r="O148" s="590"/>
      <c r="P148" s="187">
        <v>3</v>
      </c>
      <c r="Q148" s="187">
        <v>2760.0000000000009</v>
      </c>
      <c r="R148" s="187">
        <v>920.00000000000034</v>
      </c>
      <c r="S148" s="306">
        <f t="shared" ref="S148:S176" si="52">RANK(R148, R$147:R$176)</f>
        <v>6</v>
      </c>
      <c r="T148" s="600"/>
      <c r="U148" s="187">
        <v>3</v>
      </c>
      <c r="V148" s="187">
        <v>2775.0000000000009</v>
      </c>
      <c r="W148" s="187">
        <v>925.00000000000034</v>
      </c>
      <c r="X148" s="306">
        <f t="shared" ref="X148:X176" si="53">RANK(W148, W$147:W$176)</f>
        <v>5</v>
      </c>
      <c r="Y148" s="600"/>
      <c r="Z148" s="187">
        <v>3</v>
      </c>
      <c r="AA148" s="187">
        <v>2920.909090909091</v>
      </c>
      <c r="AB148" s="187">
        <v>973.63636363636363</v>
      </c>
      <c r="AC148" s="306">
        <f t="shared" ref="AC148:AC176" si="54">RANK(AB148, AB$147:AB$176)</f>
        <v>2</v>
      </c>
      <c r="AD148" s="600"/>
      <c r="AE148" s="187">
        <v>3</v>
      </c>
      <c r="AF148" s="187">
        <v>2848.4210526315769</v>
      </c>
      <c r="AG148" s="187">
        <v>949.47368421052568</v>
      </c>
      <c r="AH148" s="306">
        <f t="shared" ref="AH148:AH176" si="55">RANK(AG148, AG$147:AG$176)</f>
        <v>3</v>
      </c>
      <c r="AI148" s="600"/>
      <c r="AJ148" s="187">
        <v>3</v>
      </c>
      <c r="AK148" s="187">
        <v>2734.7368421052611</v>
      </c>
      <c r="AL148" s="187">
        <v>911.57894736842036</v>
      </c>
      <c r="AM148" s="306">
        <f t="shared" ref="AM148:AM176" si="56">RANK(AL148, AL$147:AL$176)</f>
        <v>6</v>
      </c>
      <c r="AN148" s="600"/>
      <c r="AO148" s="187">
        <v>3</v>
      </c>
      <c r="AP148" s="187">
        <v>2742.5000000000009</v>
      </c>
      <c r="AQ148" s="187">
        <v>914.16666666666697</v>
      </c>
      <c r="AR148" s="306">
        <f t="shared" ref="AR148:AR176" si="57">RANK(AQ148, AQ$147:AQ$176)</f>
        <v>6</v>
      </c>
      <c r="AS148" s="600"/>
      <c r="AT148" s="187">
        <v>3</v>
      </c>
      <c r="AU148" s="187">
        <v>2697.391304347826</v>
      </c>
      <c r="AV148" s="187">
        <v>899.13043478260863</v>
      </c>
      <c r="AW148" s="306">
        <f t="shared" ref="AW148:AW176" si="58">RANK(AV148, AV$147:AV$176)</f>
        <v>6</v>
      </c>
      <c r="AX148" s="600"/>
    </row>
    <row r="149" spans="2:50">
      <c r="B149" s="598"/>
      <c r="C149" s="306">
        <v>3</v>
      </c>
      <c r="D149" s="306" t="s">
        <v>350</v>
      </c>
      <c r="E149" s="306">
        <v>4</v>
      </c>
      <c r="F149" s="306">
        <v>3600</v>
      </c>
      <c r="G149" s="306">
        <v>900</v>
      </c>
      <c r="H149" s="600"/>
      <c r="I149" s="204">
        <f t="shared" si="49"/>
        <v>4</v>
      </c>
      <c r="J149" s="204">
        <f t="shared" si="50"/>
        <v>3151.1326530612228</v>
      </c>
      <c r="K149" s="205">
        <f t="shared" si="51"/>
        <v>787.78316326530569</v>
      </c>
      <c r="L149" s="572"/>
      <c r="M149" s="204">
        <f>RANK(K149, K$147:$K$176)</f>
        <v>9</v>
      </c>
      <c r="N149" s="590"/>
      <c r="O149" s="590"/>
      <c r="P149" s="187">
        <v>4</v>
      </c>
      <c r="Q149" s="187">
        <v>3125.7142857142849</v>
      </c>
      <c r="R149" s="187">
        <v>781.42857142857122</v>
      </c>
      <c r="S149" s="306">
        <f t="shared" si="52"/>
        <v>12</v>
      </c>
      <c r="T149" s="600"/>
      <c r="U149" s="187">
        <v>4</v>
      </c>
      <c r="V149" s="187">
        <v>3065.7142857142849</v>
      </c>
      <c r="W149" s="187">
        <v>766.42857142857122</v>
      </c>
      <c r="X149" s="306">
        <f t="shared" si="53"/>
        <v>14</v>
      </c>
      <c r="Y149" s="600"/>
      <c r="Z149" s="187">
        <v>4</v>
      </c>
      <c r="AA149" s="187">
        <v>3086.9999999999991</v>
      </c>
      <c r="AB149" s="187">
        <v>771.74999999999977</v>
      </c>
      <c r="AC149" s="306">
        <f t="shared" si="54"/>
        <v>13</v>
      </c>
      <c r="AD149" s="600"/>
      <c r="AE149" s="187">
        <v>4</v>
      </c>
      <c r="AF149" s="187">
        <v>3411.9999999999941</v>
      </c>
      <c r="AG149" s="187">
        <v>852.99999999999852</v>
      </c>
      <c r="AH149" s="306">
        <f t="shared" si="55"/>
        <v>8</v>
      </c>
      <c r="AI149" s="600"/>
      <c r="AJ149" s="187">
        <v>4</v>
      </c>
      <c r="AK149" s="187">
        <v>3142.4999999999959</v>
      </c>
      <c r="AL149" s="187">
        <v>785.62499999999898</v>
      </c>
      <c r="AM149" s="306">
        <f t="shared" si="56"/>
        <v>10</v>
      </c>
      <c r="AN149" s="600"/>
      <c r="AO149" s="187">
        <v>4</v>
      </c>
      <c r="AP149" s="187">
        <v>3059.9999999999991</v>
      </c>
      <c r="AQ149" s="187">
        <v>764.99999999999977</v>
      </c>
      <c r="AR149" s="306">
        <f t="shared" si="57"/>
        <v>14</v>
      </c>
      <c r="AS149" s="600"/>
      <c r="AT149" s="187">
        <v>4</v>
      </c>
      <c r="AU149" s="187">
        <v>3164.9999999999986</v>
      </c>
      <c r="AV149" s="187">
        <v>791.24999999999966</v>
      </c>
      <c r="AW149" s="306">
        <f t="shared" si="58"/>
        <v>8</v>
      </c>
      <c r="AX149" s="600"/>
    </row>
    <row r="150" spans="2:50">
      <c r="B150" s="598"/>
      <c r="C150" s="306">
        <v>4</v>
      </c>
      <c r="D150" s="306" t="s">
        <v>368</v>
      </c>
      <c r="E150" s="306">
        <v>3</v>
      </c>
      <c r="F150" s="306">
        <v>3600</v>
      </c>
      <c r="G150" s="306">
        <v>1200</v>
      </c>
      <c r="H150" s="600"/>
      <c r="I150" s="204">
        <f t="shared" si="49"/>
        <v>3</v>
      </c>
      <c r="J150" s="204">
        <f t="shared" si="50"/>
        <v>3111.9047619047597</v>
      </c>
      <c r="K150" s="205">
        <f t="shared" si="51"/>
        <v>1037.3015873015866</v>
      </c>
      <c r="L150" s="572"/>
      <c r="M150" s="204">
        <f>RANK(K150, K$147:$K$176)</f>
        <v>1</v>
      </c>
      <c r="N150" s="590"/>
      <c r="O150" s="590"/>
      <c r="P150" s="187">
        <v>3</v>
      </c>
      <c r="Q150" s="187">
        <v>3079.9999999999977</v>
      </c>
      <c r="R150" s="187">
        <v>1026.6666666666658</v>
      </c>
      <c r="S150" s="306">
        <f t="shared" si="52"/>
        <v>1</v>
      </c>
      <c r="T150" s="600"/>
      <c r="U150" s="187">
        <v>3</v>
      </c>
      <c r="V150" s="187">
        <v>2966.6666666666642</v>
      </c>
      <c r="W150" s="187">
        <v>988.88888888888812</v>
      </c>
      <c r="X150" s="306">
        <f t="shared" si="53"/>
        <v>1</v>
      </c>
      <c r="Y150" s="600"/>
      <c r="Z150" s="187">
        <v>3</v>
      </c>
      <c r="AA150" s="187">
        <v>3642.8571428571145</v>
      </c>
      <c r="AB150" s="187">
        <v>1214.2857142857049</v>
      </c>
      <c r="AC150" s="306">
        <f t="shared" si="54"/>
        <v>1</v>
      </c>
      <c r="AD150" s="600"/>
      <c r="AE150" s="187">
        <v>3</v>
      </c>
      <c r="AF150" s="187">
        <v>3370.0000000000118</v>
      </c>
      <c r="AG150" s="187">
        <v>1123.3333333333374</v>
      </c>
      <c r="AH150" s="306">
        <f t="shared" si="55"/>
        <v>1</v>
      </c>
      <c r="AI150" s="600"/>
      <c r="AJ150" s="187">
        <v>3</v>
      </c>
      <c r="AK150" s="187">
        <v>2777.1428571428669</v>
      </c>
      <c r="AL150" s="187">
        <v>925.71428571428896</v>
      </c>
      <c r="AM150" s="306">
        <f t="shared" si="56"/>
        <v>5</v>
      </c>
      <c r="AN150" s="600"/>
      <c r="AO150" s="187">
        <v>3</v>
      </c>
      <c r="AP150" s="187">
        <v>2953.3333333333312</v>
      </c>
      <c r="AQ150" s="187">
        <v>984.44444444444377</v>
      </c>
      <c r="AR150" s="306">
        <f t="shared" si="57"/>
        <v>2</v>
      </c>
      <c r="AS150" s="600"/>
      <c r="AT150" s="187">
        <v>3</v>
      </c>
      <c r="AU150" s="187">
        <v>2993.3333333333312</v>
      </c>
      <c r="AV150" s="187">
        <v>997.77777777777703</v>
      </c>
      <c r="AW150" s="306">
        <f t="shared" si="58"/>
        <v>1</v>
      </c>
      <c r="AX150" s="600"/>
    </row>
    <row r="151" spans="2:50">
      <c r="B151" s="598"/>
      <c r="C151" s="306">
        <v>5</v>
      </c>
      <c r="D151" s="306" t="s">
        <v>369</v>
      </c>
      <c r="E151" s="306">
        <v>3</v>
      </c>
      <c r="F151" s="306">
        <v>3600</v>
      </c>
      <c r="G151" s="306">
        <v>1200</v>
      </c>
      <c r="H151" s="600"/>
      <c r="I151" s="204">
        <f t="shared" si="49"/>
        <v>4</v>
      </c>
      <c r="J151" s="204">
        <f t="shared" si="50"/>
        <v>3129.915091421185</v>
      </c>
      <c r="K151" s="205">
        <f t="shared" si="51"/>
        <v>782.47877285529626</v>
      </c>
      <c r="L151" s="572"/>
      <c r="M151" s="204">
        <f>RANK(K151, K$147:$K$176)</f>
        <v>10</v>
      </c>
      <c r="N151" s="590"/>
      <c r="O151" s="590"/>
      <c r="P151" s="187">
        <v>4</v>
      </c>
      <c r="Q151" s="187">
        <v>3113.142857142861</v>
      </c>
      <c r="R151" s="187">
        <v>778.28571428571524</v>
      </c>
      <c r="S151" s="306">
        <f t="shared" si="52"/>
        <v>13</v>
      </c>
      <c r="T151" s="600"/>
      <c r="U151" s="187">
        <v>4</v>
      </c>
      <c r="V151" s="187">
        <v>3075.4285714285752</v>
      </c>
      <c r="W151" s="187">
        <v>768.8571428571438</v>
      </c>
      <c r="X151" s="306">
        <f t="shared" si="53"/>
        <v>13</v>
      </c>
      <c r="Y151" s="600"/>
      <c r="Z151" s="187">
        <v>4</v>
      </c>
      <c r="AA151" s="187">
        <v>3174.3750000000036</v>
      </c>
      <c r="AB151" s="187">
        <v>793.59375000000091</v>
      </c>
      <c r="AC151" s="306">
        <f t="shared" si="54"/>
        <v>11</v>
      </c>
      <c r="AD151" s="600"/>
      <c r="AE151" s="187">
        <v>4</v>
      </c>
      <c r="AF151" s="187">
        <v>3186.9230769230685</v>
      </c>
      <c r="AG151" s="187">
        <v>796.73076923076712</v>
      </c>
      <c r="AH151" s="306">
        <f t="shared" si="55"/>
        <v>11</v>
      </c>
      <c r="AI151" s="600"/>
      <c r="AJ151" s="187">
        <v>4</v>
      </c>
      <c r="AK151" s="187">
        <v>3187.2000000000007</v>
      </c>
      <c r="AL151" s="187">
        <v>796.80000000000018</v>
      </c>
      <c r="AM151" s="306">
        <f t="shared" si="56"/>
        <v>8</v>
      </c>
      <c r="AN151" s="600"/>
      <c r="AO151" s="187">
        <v>4</v>
      </c>
      <c r="AP151" s="187">
        <v>3151.7647058823568</v>
      </c>
      <c r="AQ151" s="187">
        <v>787.9411764705892</v>
      </c>
      <c r="AR151" s="306">
        <f t="shared" si="57"/>
        <v>11</v>
      </c>
      <c r="AS151" s="600"/>
      <c r="AT151" s="187">
        <v>4</v>
      </c>
      <c r="AU151" s="187">
        <v>3020.5714285714257</v>
      </c>
      <c r="AV151" s="187">
        <v>755.14285714285643</v>
      </c>
      <c r="AW151" s="306">
        <f t="shared" si="58"/>
        <v>14</v>
      </c>
      <c r="AX151" s="600"/>
    </row>
    <row r="152" spans="2:50">
      <c r="B152" s="598"/>
      <c r="C152" s="306">
        <v>6</v>
      </c>
      <c r="D152" s="306" t="s">
        <v>367</v>
      </c>
      <c r="E152" s="306">
        <v>4</v>
      </c>
      <c r="F152" s="306">
        <v>3600</v>
      </c>
      <c r="G152" s="306">
        <v>900</v>
      </c>
      <c r="H152" s="600"/>
      <c r="I152" s="204">
        <f t="shared" si="49"/>
        <v>4</v>
      </c>
      <c r="J152" s="204">
        <f t="shared" si="50"/>
        <v>3128.2500000000059</v>
      </c>
      <c r="K152" s="205">
        <f t="shared" si="51"/>
        <v>782.06250000000148</v>
      </c>
      <c r="L152" s="572"/>
      <c r="M152" s="204">
        <f>RANK(K152, K$147:$K$176)</f>
        <v>11</v>
      </c>
      <c r="N152" s="590"/>
      <c r="O152" s="590"/>
      <c r="P152" s="187">
        <v>4</v>
      </c>
      <c r="Q152" s="187">
        <v>3153.7500000000109</v>
      </c>
      <c r="R152" s="187">
        <v>788.43750000000273</v>
      </c>
      <c r="S152" s="306">
        <f t="shared" si="52"/>
        <v>10</v>
      </c>
      <c r="T152" s="600"/>
      <c r="U152" s="187">
        <v>4</v>
      </c>
      <c r="V152" s="187">
        <v>3165.0000000000109</v>
      </c>
      <c r="W152" s="187">
        <v>791.25000000000273</v>
      </c>
      <c r="X152" s="306">
        <f t="shared" si="53"/>
        <v>12</v>
      </c>
      <c r="Y152" s="600"/>
      <c r="Z152" s="187">
        <v>4</v>
      </c>
      <c r="AA152" s="187">
        <v>3223.9999999999941</v>
      </c>
      <c r="AB152" s="187">
        <v>805.99999999999852</v>
      </c>
      <c r="AC152" s="306">
        <f t="shared" si="54"/>
        <v>10</v>
      </c>
      <c r="AD152" s="600"/>
      <c r="AE152" s="187">
        <v>4</v>
      </c>
      <c r="AF152" s="187">
        <v>3144.99999999999</v>
      </c>
      <c r="AG152" s="187">
        <v>786.2499999999975</v>
      </c>
      <c r="AH152" s="306">
        <f t="shared" si="55"/>
        <v>12</v>
      </c>
      <c r="AI152" s="600"/>
      <c r="AJ152" s="187">
        <v>4</v>
      </c>
      <c r="AK152" s="187">
        <v>3060.0000000000109</v>
      </c>
      <c r="AL152" s="187">
        <v>765.00000000000273</v>
      </c>
      <c r="AM152" s="306">
        <f t="shared" si="56"/>
        <v>12</v>
      </c>
      <c r="AN152" s="600"/>
      <c r="AO152" s="187">
        <v>4</v>
      </c>
      <c r="AP152" s="187">
        <v>3063.7500000000109</v>
      </c>
      <c r="AQ152" s="187">
        <v>765.93750000000273</v>
      </c>
      <c r="AR152" s="306">
        <f t="shared" si="57"/>
        <v>13</v>
      </c>
      <c r="AS152" s="600"/>
      <c r="AT152" s="187">
        <v>4</v>
      </c>
      <c r="AU152" s="187">
        <v>3086.2500000000109</v>
      </c>
      <c r="AV152" s="187">
        <v>771.56250000000273</v>
      </c>
      <c r="AW152" s="306">
        <f t="shared" si="58"/>
        <v>12</v>
      </c>
      <c r="AX152" s="600"/>
    </row>
    <row r="153" spans="2:50">
      <c r="B153" s="598"/>
      <c r="C153" s="306">
        <v>7</v>
      </c>
      <c r="D153" s="306" t="s">
        <v>614</v>
      </c>
      <c r="E153" s="306">
        <v>4</v>
      </c>
      <c r="F153" s="306">
        <v>3600</v>
      </c>
      <c r="G153" s="306">
        <v>900</v>
      </c>
      <c r="H153" s="600"/>
      <c r="I153" s="204">
        <f t="shared" si="49"/>
        <v>4</v>
      </c>
      <c r="J153" s="204">
        <f t="shared" si="50"/>
        <v>3115.345131603714</v>
      </c>
      <c r="K153" s="205">
        <f t="shared" si="51"/>
        <v>778.8362829009285</v>
      </c>
      <c r="L153" s="572"/>
      <c r="M153" s="204">
        <f>RANK(K153, K$147:$K$176)</f>
        <v>13</v>
      </c>
      <c r="N153" s="590"/>
      <c r="O153" s="590"/>
      <c r="P153" s="187">
        <v>4</v>
      </c>
      <c r="Q153" s="187">
        <v>3105.0000000000009</v>
      </c>
      <c r="R153" s="187">
        <v>776.25000000000023</v>
      </c>
      <c r="S153" s="306">
        <f t="shared" si="52"/>
        <v>15</v>
      </c>
      <c r="T153" s="600"/>
      <c r="U153" s="187">
        <v>4</v>
      </c>
      <c r="V153" s="187">
        <v>3198.260869565217</v>
      </c>
      <c r="W153" s="187">
        <v>799.56521739130426</v>
      </c>
      <c r="X153" s="306">
        <f t="shared" si="53"/>
        <v>9</v>
      </c>
      <c r="Y153" s="600"/>
      <c r="Z153" s="187">
        <v>4</v>
      </c>
      <c r="AA153" s="187">
        <v>3141.8181818181702</v>
      </c>
      <c r="AB153" s="187">
        <v>785.45454545454254</v>
      </c>
      <c r="AC153" s="306">
        <f t="shared" si="54"/>
        <v>12</v>
      </c>
      <c r="AD153" s="600"/>
      <c r="AE153" s="187">
        <v>4</v>
      </c>
      <c r="AF153" s="187">
        <v>3066.3157894736951</v>
      </c>
      <c r="AG153" s="187">
        <v>766.57894736842377</v>
      </c>
      <c r="AH153" s="306">
        <f t="shared" si="55"/>
        <v>14</v>
      </c>
      <c r="AI153" s="600"/>
      <c r="AJ153" s="187">
        <v>4</v>
      </c>
      <c r="AK153" s="187">
        <v>3073.3333333333444</v>
      </c>
      <c r="AL153" s="187">
        <v>768.3333333333361</v>
      </c>
      <c r="AM153" s="306">
        <f t="shared" si="56"/>
        <v>11</v>
      </c>
      <c r="AN153" s="600"/>
      <c r="AO153" s="187">
        <v>4</v>
      </c>
      <c r="AP153" s="187">
        <v>3140.8695652173915</v>
      </c>
      <c r="AQ153" s="187">
        <v>785.21739130434787</v>
      </c>
      <c r="AR153" s="306">
        <f t="shared" si="57"/>
        <v>12</v>
      </c>
      <c r="AS153" s="600"/>
      <c r="AT153" s="187">
        <v>4</v>
      </c>
      <c r="AU153" s="187">
        <v>3081.818181818182</v>
      </c>
      <c r="AV153" s="187">
        <v>770.4545454545455</v>
      </c>
      <c r="AW153" s="306">
        <f t="shared" si="58"/>
        <v>13</v>
      </c>
      <c r="AX153" s="600"/>
    </row>
    <row r="154" spans="2:50">
      <c r="B154" s="598"/>
      <c r="C154" s="306">
        <v>8</v>
      </c>
      <c r="D154" s="306" t="s">
        <v>612</v>
      </c>
      <c r="E154" s="306">
        <v>4</v>
      </c>
      <c r="F154" s="306">
        <v>3600</v>
      </c>
      <c r="G154" s="306">
        <v>900</v>
      </c>
      <c r="H154" s="600"/>
      <c r="I154" s="204">
        <f t="shared" si="49"/>
        <v>4</v>
      </c>
      <c r="J154" s="204">
        <f t="shared" si="50"/>
        <v>3126.9713143998897</v>
      </c>
      <c r="K154" s="205">
        <f t="shared" si="51"/>
        <v>781.74282859997243</v>
      </c>
      <c r="L154" s="572"/>
      <c r="M154" s="204">
        <f>RANK(K154, K$147:$K$176)</f>
        <v>12</v>
      </c>
      <c r="N154" s="590"/>
      <c r="O154" s="590"/>
      <c r="P154" s="187">
        <v>4</v>
      </c>
      <c r="Q154" s="187">
        <v>3107.9999999999941</v>
      </c>
      <c r="R154" s="187">
        <v>776.99999999999852</v>
      </c>
      <c r="S154" s="306">
        <f t="shared" si="52"/>
        <v>14</v>
      </c>
      <c r="T154" s="600"/>
      <c r="U154" s="187">
        <v>4</v>
      </c>
      <c r="V154" s="187">
        <v>3035.9999999999945</v>
      </c>
      <c r="W154" s="187">
        <v>758.99999999999864</v>
      </c>
      <c r="X154" s="306">
        <f t="shared" si="53"/>
        <v>15</v>
      </c>
      <c r="Y154" s="600"/>
      <c r="Z154" s="187">
        <v>4</v>
      </c>
      <c r="AA154" s="187">
        <v>3460.0000000000123</v>
      </c>
      <c r="AB154" s="187">
        <v>865.00000000000307</v>
      </c>
      <c r="AC154" s="306">
        <f t="shared" si="54"/>
        <v>7</v>
      </c>
      <c r="AD154" s="600"/>
      <c r="AE154" s="187">
        <v>4</v>
      </c>
      <c r="AF154" s="187">
        <v>3130.9090909091019</v>
      </c>
      <c r="AG154" s="187">
        <v>782.72727272727548</v>
      </c>
      <c r="AH154" s="306">
        <f t="shared" si="55"/>
        <v>13</v>
      </c>
      <c r="AI154" s="600"/>
      <c r="AJ154" s="187">
        <v>4</v>
      </c>
      <c r="AK154" s="187">
        <v>3024.0000000000105</v>
      </c>
      <c r="AL154" s="187">
        <v>756.00000000000261</v>
      </c>
      <c r="AM154" s="306">
        <f t="shared" si="56"/>
        <v>13</v>
      </c>
      <c r="AN154" s="600"/>
      <c r="AO154" s="187">
        <v>4</v>
      </c>
      <c r="AP154" s="187">
        <v>2991.428571428582</v>
      </c>
      <c r="AQ154" s="187">
        <v>747.8571428571455</v>
      </c>
      <c r="AR154" s="306">
        <f t="shared" si="57"/>
        <v>15</v>
      </c>
      <c r="AS154" s="600"/>
      <c r="AT154" s="187">
        <v>4</v>
      </c>
      <c r="AU154" s="187">
        <v>3138.4615384615304</v>
      </c>
      <c r="AV154" s="187">
        <v>784.6153846153826</v>
      </c>
      <c r="AW154" s="306">
        <f t="shared" si="58"/>
        <v>10</v>
      </c>
      <c r="AX154" s="600"/>
    </row>
    <row r="155" spans="2:50">
      <c r="B155" s="598"/>
      <c r="C155" s="306">
        <v>9</v>
      </c>
      <c r="D155" s="306" t="s">
        <v>370</v>
      </c>
      <c r="E155" s="306">
        <v>4</v>
      </c>
      <c r="F155" s="306">
        <v>3300</v>
      </c>
      <c r="G155" s="306">
        <v>825</v>
      </c>
      <c r="H155" s="600"/>
      <c r="I155" s="204">
        <f t="shared" si="49"/>
        <v>4</v>
      </c>
      <c r="J155" s="204">
        <f t="shared" si="50"/>
        <v>2696.2448979591854</v>
      </c>
      <c r="K155" s="205">
        <f t="shared" si="51"/>
        <v>674.06122448979636</v>
      </c>
      <c r="L155" s="572"/>
      <c r="M155" s="204">
        <f>RANK(K155, K$147:$K$176)</f>
        <v>22</v>
      </c>
      <c r="N155" s="590"/>
      <c r="O155" s="590"/>
      <c r="P155" s="187">
        <v>4</v>
      </c>
      <c r="Q155" s="187">
        <v>2696.0000000000023</v>
      </c>
      <c r="R155" s="187">
        <v>674.00000000000057</v>
      </c>
      <c r="S155" s="306">
        <f t="shared" si="52"/>
        <v>20</v>
      </c>
      <c r="T155" s="600"/>
      <c r="U155" s="187">
        <v>4</v>
      </c>
      <c r="V155" s="187">
        <v>2688.0000000000023</v>
      </c>
      <c r="W155" s="187">
        <v>672.00000000000057</v>
      </c>
      <c r="X155" s="306">
        <f t="shared" si="53"/>
        <v>22</v>
      </c>
      <c r="Y155" s="600"/>
      <c r="Z155" s="187">
        <v>4</v>
      </c>
      <c r="AA155" s="187">
        <v>2802.8571428571449</v>
      </c>
      <c r="AB155" s="187">
        <v>700.71428571428623</v>
      </c>
      <c r="AC155" s="306">
        <f t="shared" si="54"/>
        <v>16</v>
      </c>
      <c r="AD155" s="600"/>
      <c r="AE155" s="187">
        <v>4</v>
      </c>
      <c r="AF155" s="187">
        <v>2741.9999999999991</v>
      </c>
      <c r="AG155" s="187">
        <v>685.49999999999977</v>
      </c>
      <c r="AH155" s="306">
        <f t="shared" si="55"/>
        <v>20</v>
      </c>
      <c r="AI155" s="600"/>
      <c r="AJ155" s="187">
        <v>4</v>
      </c>
      <c r="AK155" s="187">
        <v>2531.9999999999991</v>
      </c>
      <c r="AL155" s="187">
        <v>632.99999999999977</v>
      </c>
      <c r="AM155" s="306">
        <f t="shared" si="56"/>
        <v>19</v>
      </c>
      <c r="AN155" s="600"/>
      <c r="AO155" s="187">
        <v>4</v>
      </c>
      <c r="AP155" s="187">
        <v>2734.2857142857165</v>
      </c>
      <c r="AQ155" s="187">
        <v>683.57142857142912</v>
      </c>
      <c r="AR155" s="306">
        <f t="shared" si="57"/>
        <v>21</v>
      </c>
      <c r="AS155" s="600"/>
      <c r="AT155" s="187">
        <v>4</v>
      </c>
      <c r="AU155" s="187">
        <v>2678.5714285714303</v>
      </c>
      <c r="AV155" s="187">
        <v>669.64285714285757</v>
      </c>
      <c r="AW155" s="306">
        <f t="shared" si="58"/>
        <v>21</v>
      </c>
      <c r="AX155" s="600"/>
    </row>
    <row r="156" spans="2:50">
      <c r="B156" s="598"/>
      <c r="C156" s="306">
        <v>10</v>
      </c>
      <c r="D156" s="306" t="s">
        <v>371</v>
      </c>
      <c r="E156" s="306">
        <v>3</v>
      </c>
      <c r="F156" s="306">
        <v>3300</v>
      </c>
      <c r="G156" s="306">
        <v>1100</v>
      </c>
      <c r="H156" s="600"/>
      <c r="I156" s="204">
        <f t="shared" si="49"/>
        <v>3</v>
      </c>
      <c r="J156" s="204">
        <f t="shared" si="50"/>
        <v>2774.5592903828197</v>
      </c>
      <c r="K156" s="205">
        <f t="shared" si="51"/>
        <v>924.85309679427314</v>
      </c>
      <c r="L156" s="572"/>
      <c r="M156" s="204">
        <f>RANK(K156, K$147:$K$176)</f>
        <v>5</v>
      </c>
      <c r="N156" s="590"/>
      <c r="O156" s="590"/>
      <c r="P156" s="187">
        <v>3</v>
      </c>
      <c r="Q156" s="187">
        <v>2765.1428571428542</v>
      </c>
      <c r="R156" s="187">
        <v>921.71428571428476</v>
      </c>
      <c r="S156" s="306">
        <f t="shared" si="52"/>
        <v>5</v>
      </c>
      <c r="T156" s="600"/>
      <c r="U156" s="187">
        <v>3</v>
      </c>
      <c r="V156" s="187">
        <v>2789.1428571428542</v>
      </c>
      <c r="W156" s="187">
        <v>929.71428571428476</v>
      </c>
      <c r="X156" s="306">
        <f t="shared" si="53"/>
        <v>3</v>
      </c>
      <c r="Y156" s="600"/>
      <c r="Z156" s="187">
        <v>3</v>
      </c>
      <c r="AA156" s="187">
        <v>2721.1764705882388</v>
      </c>
      <c r="AB156" s="187">
        <v>907.05882352941296</v>
      </c>
      <c r="AC156" s="306">
        <f t="shared" si="54"/>
        <v>6</v>
      </c>
      <c r="AD156" s="600"/>
      <c r="AE156" s="187">
        <v>3</v>
      </c>
      <c r="AF156" s="187">
        <v>2805.0000000000023</v>
      </c>
      <c r="AG156" s="187">
        <v>935.0000000000008</v>
      </c>
      <c r="AH156" s="306">
        <f t="shared" si="55"/>
        <v>4</v>
      </c>
      <c r="AI156" s="600"/>
      <c r="AJ156" s="187">
        <v>3</v>
      </c>
      <c r="AK156" s="187">
        <v>2784.4444444444462</v>
      </c>
      <c r="AL156" s="187">
        <v>928.14814814814872</v>
      </c>
      <c r="AM156" s="306">
        <f t="shared" si="56"/>
        <v>4</v>
      </c>
      <c r="AN156" s="600"/>
      <c r="AO156" s="187">
        <v>3</v>
      </c>
      <c r="AP156" s="187">
        <v>2761.7142857142862</v>
      </c>
      <c r="AQ156" s="187">
        <v>920.57142857142878</v>
      </c>
      <c r="AR156" s="306">
        <f t="shared" si="57"/>
        <v>4</v>
      </c>
      <c r="AS156" s="600"/>
      <c r="AT156" s="187">
        <v>3</v>
      </c>
      <c r="AU156" s="187">
        <v>2795.2941176470554</v>
      </c>
      <c r="AV156" s="187">
        <v>931.76470588235179</v>
      </c>
      <c r="AW156" s="306">
        <f t="shared" si="58"/>
        <v>3</v>
      </c>
      <c r="AX156" s="600"/>
    </row>
    <row r="157" spans="2:50">
      <c r="B157" s="598"/>
      <c r="C157" s="306">
        <v>11</v>
      </c>
      <c r="D157" s="306" t="s">
        <v>372</v>
      </c>
      <c r="E157" s="306">
        <v>3</v>
      </c>
      <c r="F157" s="306">
        <v>3300</v>
      </c>
      <c r="G157" s="306">
        <v>1100</v>
      </c>
      <c r="H157" s="600"/>
      <c r="I157" s="204">
        <f t="shared" ref="I157:I166" si="59">AVERAGE(P157,U157,Z157,AE157,AJ157,AO157,AT157)</f>
        <v>3</v>
      </c>
      <c r="J157" s="204">
        <f t="shared" ref="J157:J166" si="60">AVERAGE(Q157,V157,AA157,AF157,AK157,AP157,AU157)</f>
        <v>2780.7838344076963</v>
      </c>
      <c r="K157" s="205">
        <f t="shared" ref="K157:K166" si="61">AVERAGE(R157,W157,AB157,AG157,AL157,AQ157,AV157)</f>
        <v>926.92794480256543</v>
      </c>
      <c r="L157" s="572"/>
      <c r="M157" s="204">
        <f>RANK(K157, K$147:$K$176)</f>
        <v>4</v>
      </c>
      <c r="N157" s="590"/>
      <c r="O157" s="590"/>
      <c r="P157" s="187">
        <v>3</v>
      </c>
      <c r="Q157" s="187">
        <v>2776.0975609756088</v>
      </c>
      <c r="R157" s="187">
        <v>925.36585365853625</v>
      </c>
      <c r="S157" s="306">
        <f t="shared" si="52"/>
        <v>4</v>
      </c>
      <c r="T157" s="600"/>
      <c r="U157" s="187">
        <v>3</v>
      </c>
      <c r="V157" s="187">
        <v>2762.8571428571418</v>
      </c>
      <c r="W157" s="187">
        <v>920.95238095238062</v>
      </c>
      <c r="X157" s="306">
        <f t="shared" si="53"/>
        <v>7</v>
      </c>
      <c r="Y157" s="600"/>
      <c r="Z157" s="187">
        <v>3</v>
      </c>
      <c r="AA157" s="187">
        <v>2775.3846153846198</v>
      </c>
      <c r="AB157" s="187">
        <v>925.12820512820656</v>
      </c>
      <c r="AC157" s="306">
        <f t="shared" si="54"/>
        <v>4</v>
      </c>
      <c r="AD157" s="600"/>
      <c r="AE157" s="187">
        <v>3</v>
      </c>
      <c r="AF157" s="187">
        <v>2872.2580645161279</v>
      </c>
      <c r="AG157" s="187">
        <v>957.4193548387093</v>
      </c>
      <c r="AH157" s="306">
        <f t="shared" si="55"/>
        <v>2</v>
      </c>
      <c r="AI157" s="600"/>
      <c r="AJ157" s="187">
        <v>3</v>
      </c>
      <c r="AK157" s="187">
        <v>2787.0967741935474</v>
      </c>
      <c r="AL157" s="187">
        <v>929.03225806451576</v>
      </c>
      <c r="AM157" s="306">
        <f t="shared" si="56"/>
        <v>3</v>
      </c>
      <c r="AN157" s="600"/>
      <c r="AO157" s="187">
        <v>3</v>
      </c>
      <c r="AP157" s="187">
        <v>2748.2926829268285</v>
      </c>
      <c r="AQ157" s="187">
        <v>916.09756097560955</v>
      </c>
      <c r="AR157" s="306">
        <f t="shared" si="57"/>
        <v>5</v>
      </c>
      <c r="AS157" s="600"/>
      <c r="AT157" s="187">
        <v>3</v>
      </c>
      <c r="AU157" s="187">
        <v>2743.4999999999991</v>
      </c>
      <c r="AV157" s="187">
        <v>914.49999999999966</v>
      </c>
      <c r="AW157" s="306">
        <f t="shared" si="58"/>
        <v>5</v>
      </c>
      <c r="AX157" s="600"/>
    </row>
    <row r="158" spans="2:50">
      <c r="B158" s="598"/>
      <c r="C158" s="306">
        <v>12</v>
      </c>
      <c r="D158" s="306" t="s">
        <v>426</v>
      </c>
      <c r="E158" s="306">
        <v>4</v>
      </c>
      <c r="F158" s="306">
        <v>2500</v>
      </c>
      <c r="G158" s="306">
        <v>625</v>
      </c>
      <c r="H158" s="600"/>
      <c r="I158" s="204">
        <f t="shared" si="59"/>
        <v>4</v>
      </c>
      <c r="J158" s="204">
        <f t="shared" si="60"/>
        <v>2762.8849721706861</v>
      </c>
      <c r="K158" s="205">
        <f t="shared" si="61"/>
        <v>690.72124304267152</v>
      </c>
      <c r="L158" s="572"/>
      <c r="M158" s="204">
        <f>RANK(K158, K$147:$K$176)</f>
        <v>20</v>
      </c>
      <c r="N158" s="590"/>
      <c r="O158" s="590"/>
      <c r="P158" s="187">
        <v>4</v>
      </c>
      <c r="Q158" s="187">
        <v>2680.909090909091</v>
      </c>
      <c r="R158" s="187">
        <v>670.22727272727275</v>
      </c>
      <c r="S158" s="306">
        <f t="shared" si="52"/>
        <v>21</v>
      </c>
      <c r="T158" s="600"/>
      <c r="U158" s="187">
        <v>4</v>
      </c>
      <c r="V158" s="187">
        <v>2780.000000000005</v>
      </c>
      <c r="W158" s="187">
        <v>695.00000000000125</v>
      </c>
      <c r="X158" s="306">
        <f t="shared" si="53"/>
        <v>20</v>
      </c>
      <c r="Y158" s="600"/>
      <c r="Z158" s="187">
        <v>4</v>
      </c>
      <c r="AA158" s="187">
        <v>2694.2857142857083</v>
      </c>
      <c r="AB158" s="187">
        <v>673.57142857142708</v>
      </c>
      <c r="AC158" s="306">
        <f t="shared" si="54"/>
        <v>20</v>
      </c>
      <c r="AD158" s="600"/>
      <c r="AE158" s="187">
        <v>4</v>
      </c>
      <c r="AF158" s="187">
        <v>2895.999999999995</v>
      </c>
      <c r="AG158" s="187">
        <v>723.99999999999875</v>
      </c>
      <c r="AH158" s="306">
        <f t="shared" si="55"/>
        <v>15</v>
      </c>
      <c r="AI158" s="600"/>
      <c r="AJ158" s="187">
        <v>4</v>
      </c>
      <c r="AK158" s="187">
        <v>2723.9999999999955</v>
      </c>
      <c r="AL158" s="187">
        <v>680.99999999999886</v>
      </c>
      <c r="AM158" s="306">
        <f t="shared" si="56"/>
        <v>18</v>
      </c>
      <c r="AN158" s="600"/>
      <c r="AO158" s="187">
        <v>4</v>
      </c>
      <c r="AP158" s="187">
        <v>2850.0000000000045</v>
      </c>
      <c r="AQ158" s="187">
        <v>712.50000000000114</v>
      </c>
      <c r="AR158" s="306">
        <f t="shared" si="57"/>
        <v>17</v>
      </c>
      <c r="AS158" s="600"/>
      <c r="AT158" s="187">
        <v>4</v>
      </c>
      <c r="AU158" s="187">
        <v>2715.0000000000041</v>
      </c>
      <c r="AV158" s="187">
        <v>678.75000000000102</v>
      </c>
      <c r="AW158" s="306">
        <f t="shared" si="58"/>
        <v>19</v>
      </c>
      <c r="AX158" s="600"/>
    </row>
    <row r="159" spans="2:50">
      <c r="B159" s="598"/>
      <c r="C159" s="306">
        <v>13</v>
      </c>
      <c r="D159" s="306" t="s">
        <v>375</v>
      </c>
      <c r="E159" s="306">
        <v>4</v>
      </c>
      <c r="F159" s="306">
        <v>3300</v>
      </c>
      <c r="G159" s="306">
        <v>825</v>
      </c>
      <c r="H159" s="600"/>
      <c r="I159" s="204">
        <f t="shared" si="59"/>
        <v>4</v>
      </c>
      <c r="J159" s="204">
        <f t="shared" si="60"/>
        <v>2783.2323369601613</v>
      </c>
      <c r="K159" s="205">
        <f t="shared" si="61"/>
        <v>695.80808424004033</v>
      </c>
      <c r="L159" s="572"/>
      <c r="M159" s="204">
        <f>RANK(K159, K$147:$K$176)</f>
        <v>18</v>
      </c>
      <c r="N159" s="590"/>
      <c r="O159" s="590"/>
      <c r="P159" s="187">
        <v>4</v>
      </c>
      <c r="Q159" s="187">
        <v>2773.333333333333</v>
      </c>
      <c r="R159" s="187">
        <v>693.33333333333326</v>
      </c>
      <c r="S159" s="306">
        <f t="shared" si="52"/>
        <v>18</v>
      </c>
      <c r="T159" s="600"/>
      <c r="U159" s="187">
        <v>4</v>
      </c>
      <c r="V159" s="187">
        <v>2790.9677419354848</v>
      </c>
      <c r="W159" s="187">
        <v>697.7419354838712</v>
      </c>
      <c r="X159" s="306">
        <f t="shared" si="53"/>
        <v>17</v>
      </c>
      <c r="Y159" s="600"/>
      <c r="Z159" s="187">
        <v>4</v>
      </c>
      <c r="AA159" s="187">
        <v>2713.0000000000005</v>
      </c>
      <c r="AB159" s="187">
        <v>678.25000000000011</v>
      </c>
      <c r="AC159" s="306">
        <f t="shared" si="54"/>
        <v>19</v>
      </c>
      <c r="AD159" s="600"/>
      <c r="AE159" s="187">
        <v>4</v>
      </c>
      <c r="AF159" s="187">
        <v>2846.808510638296</v>
      </c>
      <c r="AG159" s="187">
        <v>711.70212765957399</v>
      </c>
      <c r="AH159" s="306">
        <f t="shared" si="55"/>
        <v>17</v>
      </c>
      <c r="AI159" s="600"/>
      <c r="AJ159" s="187">
        <v>4</v>
      </c>
      <c r="AK159" s="187">
        <v>2773.0434782608677</v>
      </c>
      <c r="AL159" s="187">
        <v>693.26086956521692</v>
      </c>
      <c r="AM159" s="306">
        <f t="shared" si="56"/>
        <v>17</v>
      </c>
      <c r="AN159" s="600"/>
      <c r="AO159" s="187">
        <v>4</v>
      </c>
      <c r="AP159" s="187">
        <v>2786.1290322580653</v>
      </c>
      <c r="AQ159" s="187">
        <v>696.53225806451633</v>
      </c>
      <c r="AR159" s="306">
        <f t="shared" si="57"/>
        <v>18</v>
      </c>
      <c r="AS159" s="600"/>
      <c r="AT159" s="187">
        <v>4</v>
      </c>
      <c r="AU159" s="187">
        <v>2799.3442622950829</v>
      </c>
      <c r="AV159" s="187">
        <v>699.83606557377072</v>
      </c>
      <c r="AW159" s="306">
        <f t="shared" si="58"/>
        <v>17</v>
      </c>
      <c r="AX159" s="600"/>
    </row>
    <row r="160" spans="2:50">
      <c r="B160" s="598"/>
      <c r="C160" s="306">
        <v>14</v>
      </c>
      <c r="D160" s="306" t="s">
        <v>376</v>
      </c>
      <c r="E160" s="306">
        <v>4</v>
      </c>
      <c r="F160" s="306">
        <v>3300</v>
      </c>
      <c r="G160" s="306">
        <v>825</v>
      </c>
      <c r="H160" s="600"/>
      <c r="I160" s="204">
        <f t="shared" si="59"/>
        <v>4</v>
      </c>
      <c r="J160" s="204">
        <f t="shared" si="60"/>
        <v>2781.534978653543</v>
      </c>
      <c r="K160" s="205">
        <f t="shared" si="61"/>
        <v>695.38374466338576</v>
      </c>
      <c r="L160" s="572"/>
      <c r="M160" s="204">
        <f>RANK(K160, K$147:$K$176)</f>
        <v>19</v>
      </c>
      <c r="N160" s="590"/>
      <c r="O160" s="590"/>
      <c r="P160" s="187">
        <v>4</v>
      </c>
      <c r="Q160" s="187">
        <v>2796.1764705882388</v>
      </c>
      <c r="R160" s="187">
        <v>699.04411764705969</v>
      </c>
      <c r="S160" s="306">
        <f t="shared" si="52"/>
        <v>16</v>
      </c>
      <c r="T160" s="600"/>
      <c r="U160" s="187">
        <v>4</v>
      </c>
      <c r="V160" s="187">
        <v>2782.6086956521772</v>
      </c>
      <c r="W160" s="187">
        <v>695.65217391304429</v>
      </c>
      <c r="X160" s="306">
        <f t="shared" si="53"/>
        <v>19</v>
      </c>
      <c r="Y160" s="600"/>
      <c r="Z160" s="187">
        <v>4</v>
      </c>
      <c r="AA160" s="187">
        <v>2789.5384615384646</v>
      </c>
      <c r="AB160" s="187">
        <v>697.38461538461615</v>
      </c>
      <c r="AC160" s="306">
        <f t="shared" si="54"/>
        <v>17</v>
      </c>
      <c r="AD160" s="600"/>
      <c r="AE160" s="187">
        <v>4</v>
      </c>
      <c r="AF160" s="187">
        <v>2833.5849056603788</v>
      </c>
      <c r="AG160" s="187">
        <v>708.3962264150947</v>
      </c>
      <c r="AH160" s="306">
        <f t="shared" si="55"/>
        <v>18</v>
      </c>
      <c r="AI160" s="600"/>
      <c r="AJ160" s="187">
        <v>4</v>
      </c>
      <c r="AK160" s="187">
        <v>2799.9999999999968</v>
      </c>
      <c r="AL160" s="187">
        <v>699.9999999999992</v>
      </c>
      <c r="AM160" s="306">
        <f t="shared" si="56"/>
        <v>15</v>
      </c>
      <c r="AN160" s="600"/>
      <c r="AO160" s="187">
        <v>4</v>
      </c>
      <c r="AP160" s="187">
        <v>2769.7058823529414</v>
      </c>
      <c r="AQ160" s="187">
        <v>692.42647058823536</v>
      </c>
      <c r="AR160" s="306">
        <f t="shared" si="57"/>
        <v>20</v>
      </c>
      <c r="AS160" s="600"/>
      <c r="AT160" s="187">
        <v>4</v>
      </c>
      <c r="AU160" s="187">
        <v>2699.1304347826058</v>
      </c>
      <c r="AV160" s="187">
        <v>674.78260869565145</v>
      </c>
      <c r="AW160" s="306">
        <f t="shared" si="58"/>
        <v>20</v>
      </c>
      <c r="AX160" s="600"/>
    </row>
    <row r="161" spans="2:50">
      <c r="B161" s="598"/>
      <c r="C161" s="306">
        <v>15</v>
      </c>
      <c r="D161" s="306" t="s">
        <v>787</v>
      </c>
      <c r="E161" s="306">
        <v>3</v>
      </c>
      <c r="F161" s="306">
        <v>2800</v>
      </c>
      <c r="G161" s="306">
        <v>933.33333333333337</v>
      </c>
      <c r="H161" s="600"/>
      <c r="I161" s="204">
        <f t="shared" si="59"/>
        <v>3</v>
      </c>
      <c r="J161" s="204">
        <f t="shared" si="60"/>
        <v>2784.5272290978892</v>
      </c>
      <c r="K161" s="205">
        <f t="shared" si="61"/>
        <v>928.17574303262961</v>
      </c>
      <c r="L161" s="572"/>
      <c r="M161" s="204">
        <f>RANK(K161, K$147:$K$176)</f>
        <v>2</v>
      </c>
      <c r="N161" s="590"/>
      <c r="O161" s="590"/>
      <c r="P161" s="187">
        <v>3</v>
      </c>
      <c r="Q161" s="187">
        <v>2788.8000000000011</v>
      </c>
      <c r="R161" s="187">
        <v>929.60000000000036</v>
      </c>
      <c r="S161" s="306">
        <f t="shared" ref="S161:S175" si="62">RANK(R161, R$147:R$176)</f>
        <v>3</v>
      </c>
      <c r="T161" s="600"/>
      <c r="U161" s="187">
        <v>3</v>
      </c>
      <c r="V161" s="187">
        <v>2768.8000000000011</v>
      </c>
      <c r="W161" s="187">
        <v>922.93333333333374</v>
      </c>
      <c r="X161" s="306">
        <f t="shared" ref="X161:X175" si="63">RANK(W161, W$147:W$176)</f>
        <v>6</v>
      </c>
      <c r="Y161" s="600"/>
      <c r="Z161" s="187">
        <v>3</v>
      </c>
      <c r="AA161" s="187">
        <v>2778.5454545454477</v>
      </c>
      <c r="AB161" s="187">
        <v>926.18181818181586</v>
      </c>
      <c r="AC161" s="306">
        <f t="shared" ref="AC161:AC175" si="64">RANK(AB161, AB$147:AB$176)</f>
        <v>3</v>
      </c>
      <c r="AD161" s="600"/>
      <c r="AE161" s="187">
        <v>3</v>
      </c>
      <c r="AF161" s="187">
        <v>2800.8510638297876</v>
      </c>
      <c r="AG161" s="187">
        <v>933.61702127659589</v>
      </c>
      <c r="AH161" s="306">
        <f t="shared" ref="AH161:AH175" si="65">RANK(AG161, AG$147:AG$176)</f>
        <v>5</v>
      </c>
      <c r="AI161" s="600"/>
      <c r="AJ161" s="187">
        <v>3</v>
      </c>
      <c r="AK161" s="187">
        <v>2799.5744680851067</v>
      </c>
      <c r="AL161" s="187">
        <v>933.19148936170222</v>
      </c>
      <c r="AM161" s="306">
        <f t="shared" ref="AM161:AM175" si="66">RANK(AL161, AL$147:AL$176)</f>
        <v>2</v>
      </c>
      <c r="AN161" s="600"/>
      <c r="AO161" s="187">
        <v>3</v>
      </c>
      <c r="AP161" s="187">
        <v>2784.2105263157878</v>
      </c>
      <c r="AQ161" s="187">
        <v>928.07017543859592</v>
      </c>
      <c r="AR161" s="306">
        <f t="shared" ref="AR161:AR175" si="67">RANK(AQ161, AQ$147:AQ$176)</f>
        <v>3</v>
      </c>
      <c r="AS161" s="600"/>
      <c r="AT161" s="187">
        <v>3</v>
      </c>
      <c r="AU161" s="187">
        <v>2770.9090909090924</v>
      </c>
      <c r="AV161" s="187">
        <v>923.63636363636408</v>
      </c>
      <c r="AW161" s="306">
        <f t="shared" ref="AW161:AW175" si="68">RANK(AV161, AV$147:AV$176)</f>
        <v>4</v>
      </c>
      <c r="AX161" s="600"/>
    </row>
    <row r="162" spans="2:50">
      <c r="B162" s="598"/>
      <c r="C162" s="306">
        <v>16</v>
      </c>
      <c r="D162" s="306" t="s">
        <v>788</v>
      </c>
      <c r="E162" s="306">
        <v>4</v>
      </c>
      <c r="F162" s="306">
        <v>2800</v>
      </c>
      <c r="G162" s="306">
        <v>700</v>
      </c>
      <c r="H162" s="600"/>
      <c r="I162" s="204">
        <f t="shared" si="59"/>
        <v>4</v>
      </c>
      <c r="J162" s="204">
        <f t="shared" si="60"/>
        <v>2850.3340607869882</v>
      </c>
      <c r="K162" s="205">
        <f t="shared" si="61"/>
        <v>712.58351519674704</v>
      </c>
      <c r="L162" s="572"/>
      <c r="M162" s="204">
        <f>RANK(K162, K$147:$K$176)</f>
        <v>17</v>
      </c>
      <c r="N162" s="590"/>
      <c r="O162" s="590"/>
      <c r="P162" s="187">
        <v>4</v>
      </c>
      <c r="Q162" s="187">
        <v>2724.2857142857192</v>
      </c>
      <c r="R162" s="187">
        <v>681.07142857142981</v>
      </c>
      <c r="S162" s="306">
        <f t="shared" si="62"/>
        <v>19</v>
      </c>
      <c r="T162" s="600"/>
      <c r="U162" s="187">
        <v>4</v>
      </c>
      <c r="V162" s="187">
        <v>2783.9999999999991</v>
      </c>
      <c r="W162" s="187">
        <v>695.99999999999977</v>
      </c>
      <c r="X162" s="306">
        <f t="shared" si="63"/>
        <v>18</v>
      </c>
      <c r="Y162" s="600"/>
      <c r="Z162" s="187">
        <v>4</v>
      </c>
      <c r="AA162" s="187">
        <v>2759.0163934426255</v>
      </c>
      <c r="AB162" s="187">
        <v>689.75409836065637</v>
      </c>
      <c r="AC162" s="306">
        <f t="shared" si="64"/>
        <v>18</v>
      </c>
      <c r="AD162" s="600"/>
      <c r="AE162" s="187">
        <v>4</v>
      </c>
      <c r="AF162" s="187">
        <v>3236.5384615384583</v>
      </c>
      <c r="AG162" s="187">
        <v>809.13461538461456</v>
      </c>
      <c r="AH162" s="306">
        <f t="shared" si="65"/>
        <v>9</v>
      </c>
      <c r="AI162" s="600"/>
      <c r="AJ162" s="187">
        <v>4</v>
      </c>
      <c r="AK162" s="187">
        <v>2883.6000000000008</v>
      </c>
      <c r="AL162" s="187">
        <v>720.9000000000002</v>
      </c>
      <c r="AM162" s="306">
        <f t="shared" si="66"/>
        <v>14</v>
      </c>
      <c r="AN162" s="600"/>
      <c r="AO162" s="187">
        <v>4</v>
      </c>
      <c r="AP162" s="187">
        <v>2780.3076923076951</v>
      </c>
      <c r="AQ162" s="187">
        <v>695.07692307692378</v>
      </c>
      <c r="AR162" s="306">
        <f t="shared" si="67"/>
        <v>19</v>
      </c>
      <c r="AS162" s="600"/>
      <c r="AT162" s="187">
        <v>4</v>
      </c>
      <c r="AU162" s="187">
        <v>2784.5901639344215</v>
      </c>
      <c r="AV162" s="187">
        <v>696.14754098360538</v>
      </c>
      <c r="AW162" s="306">
        <f t="shared" si="68"/>
        <v>18</v>
      </c>
      <c r="AX162" s="600"/>
    </row>
    <row r="163" spans="2:50">
      <c r="B163" s="598"/>
      <c r="C163" s="306">
        <v>17</v>
      </c>
      <c r="D163" s="306" t="s">
        <v>377</v>
      </c>
      <c r="E163" s="306">
        <v>4</v>
      </c>
      <c r="F163" s="306">
        <v>3600</v>
      </c>
      <c r="G163" s="306">
        <v>900</v>
      </c>
      <c r="H163" s="600"/>
      <c r="I163" s="204">
        <f t="shared" si="59"/>
        <v>4</v>
      </c>
      <c r="J163" s="204">
        <f t="shared" si="60"/>
        <v>2874.9648624667193</v>
      </c>
      <c r="K163" s="205">
        <f t="shared" si="61"/>
        <v>718.74121561667982</v>
      </c>
      <c r="L163" s="572"/>
      <c r="M163" s="204">
        <f>RANK(K163, K$147:$K$176)</f>
        <v>16</v>
      </c>
      <c r="N163" s="590"/>
      <c r="O163" s="590"/>
      <c r="P163" s="187">
        <v>4</v>
      </c>
      <c r="Q163" s="187">
        <v>2774.3999999999919</v>
      </c>
      <c r="R163" s="187">
        <v>693.59999999999798</v>
      </c>
      <c r="S163" s="306">
        <f t="shared" si="62"/>
        <v>17</v>
      </c>
      <c r="T163" s="600"/>
      <c r="U163" s="187">
        <v>4</v>
      </c>
      <c r="V163" s="187">
        <v>2994.7826086956629</v>
      </c>
      <c r="W163" s="187">
        <v>748.69565217391573</v>
      </c>
      <c r="X163" s="306">
        <f t="shared" si="63"/>
        <v>16</v>
      </c>
      <c r="Y163" s="600"/>
      <c r="Z163" s="187">
        <v>4</v>
      </c>
      <c r="AA163" s="187">
        <v>2671.1999999999925</v>
      </c>
      <c r="AB163" s="187">
        <v>667.79999999999814</v>
      </c>
      <c r="AC163" s="306">
        <f t="shared" si="64"/>
        <v>21</v>
      </c>
      <c r="AD163" s="600"/>
      <c r="AE163" s="187">
        <v>4</v>
      </c>
      <c r="AF163" s="187">
        <v>2855.9999999999918</v>
      </c>
      <c r="AG163" s="187">
        <v>713.99999999999795</v>
      </c>
      <c r="AH163" s="306">
        <f t="shared" si="65"/>
        <v>16</v>
      </c>
      <c r="AI163" s="600"/>
      <c r="AJ163" s="187">
        <v>4</v>
      </c>
      <c r="AK163" s="187">
        <v>2512.7999999999929</v>
      </c>
      <c r="AL163" s="187">
        <v>628.19999999999823</v>
      </c>
      <c r="AM163" s="306">
        <f t="shared" si="66"/>
        <v>20</v>
      </c>
      <c r="AN163" s="600"/>
      <c r="AO163" s="187">
        <v>4</v>
      </c>
      <c r="AP163" s="187">
        <v>3168.5714285714157</v>
      </c>
      <c r="AQ163" s="187">
        <v>792.14285714285393</v>
      </c>
      <c r="AR163" s="306">
        <f t="shared" si="67"/>
        <v>9</v>
      </c>
      <c r="AS163" s="600"/>
      <c r="AT163" s="187">
        <v>4</v>
      </c>
      <c r="AU163" s="187">
        <v>3146.9999999999859</v>
      </c>
      <c r="AV163" s="187">
        <v>786.74999999999648</v>
      </c>
      <c r="AW163" s="306">
        <f t="shared" si="68"/>
        <v>9</v>
      </c>
      <c r="AX163" s="600"/>
    </row>
    <row r="164" spans="2:50">
      <c r="B164" s="598"/>
      <c r="C164" s="306">
        <v>18</v>
      </c>
      <c r="D164" s="306" t="s">
        <v>379</v>
      </c>
      <c r="E164" s="306">
        <v>4</v>
      </c>
      <c r="F164" s="306">
        <v>3000</v>
      </c>
      <c r="G164" s="306">
        <v>750</v>
      </c>
      <c r="H164" s="600"/>
      <c r="I164" s="204">
        <f t="shared" si="59"/>
        <v>3</v>
      </c>
      <c r="J164" s="204">
        <f t="shared" si="60"/>
        <v>2240.2499999999941</v>
      </c>
      <c r="K164" s="205">
        <f t="shared" si="61"/>
        <v>746.74999999999807</v>
      </c>
      <c r="L164" s="572"/>
      <c r="M164" s="204">
        <f>RANK(K164, K$147:$K$176)</f>
        <v>14</v>
      </c>
      <c r="N164" s="590"/>
      <c r="O164" s="590"/>
      <c r="P164" s="187">
        <v>3</v>
      </c>
      <c r="Q164" s="187">
        <v>2360.9999999999895</v>
      </c>
      <c r="R164" s="187">
        <v>786.99999999999648</v>
      </c>
      <c r="S164" s="306">
        <f t="shared" si="62"/>
        <v>11</v>
      </c>
      <c r="T164" s="600"/>
      <c r="U164" s="187">
        <v>3</v>
      </c>
      <c r="V164" s="187">
        <v>2384.9999999999895</v>
      </c>
      <c r="W164" s="187">
        <v>794.99999999999648</v>
      </c>
      <c r="X164" s="306">
        <f t="shared" si="63"/>
        <v>11</v>
      </c>
      <c r="Y164" s="600"/>
      <c r="Z164" s="187">
        <v>3</v>
      </c>
      <c r="AA164" s="187">
        <v>2156.9999999999905</v>
      </c>
      <c r="AB164" s="187">
        <v>718.99999999999682</v>
      </c>
      <c r="AC164" s="306">
        <f t="shared" si="64"/>
        <v>15</v>
      </c>
      <c r="AD164" s="600"/>
      <c r="AE164" s="187">
        <v>3</v>
      </c>
      <c r="AF164" s="187">
        <v>2058.0000000000073</v>
      </c>
      <c r="AG164" s="187">
        <v>686.00000000000239</v>
      </c>
      <c r="AH164" s="306">
        <f t="shared" si="65"/>
        <v>19</v>
      </c>
      <c r="AI164" s="600"/>
      <c r="AJ164" s="187"/>
      <c r="AK164" s="187"/>
      <c r="AL164" s="187"/>
      <c r="AM164" s="306" t="e">
        <f t="shared" si="66"/>
        <v>#N/A</v>
      </c>
      <c r="AN164" s="600"/>
      <c r="AO164" s="187"/>
      <c r="AP164" s="187"/>
      <c r="AQ164" s="187"/>
      <c r="AR164" s="306" t="e">
        <f t="shared" si="67"/>
        <v>#N/A</v>
      </c>
      <c r="AS164" s="600"/>
      <c r="AT164" s="187"/>
      <c r="AU164" s="187"/>
      <c r="AV164" s="187"/>
      <c r="AW164" s="306" t="e">
        <f t="shared" si="68"/>
        <v>#N/A</v>
      </c>
      <c r="AX164" s="600"/>
    </row>
    <row r="165" spans="2:50">
      <c r="B165" s="598"/>
      <c r="C165" s="306">
        <v>19</v>
      </c>
      <c r="D165" s="306" t="s">
        <v>380</v>
      </c>
      <c r="E165" s="306">
        <v>4</v>
      </c>
      <c r="F165" s="306">
        <v>3600</v>
      </c>
      <c r="G165" s="306">
        <v>900</v>
      </c>
      <c r="H165" s="600"/>
      <c r="I165" s="204">
        <f t="shared" si="59"/>
        <v>4</v>
      </c>
      <c r="J165" s="204">
        <f t="shared" si="60"/>
        <v>2714.7142857142912</v>
      </c>
      <c r="K165" s="205">
        <f t="shared" si="61"/>
        <v>678.67857142857281</v>
      </c>
      <c r="L165" s="572"/>
      <c r="M165" s="204">
        <f>RANK(K165, K$147:$K$176)</f>
        <v>21</v>
      </c>
      <c r="N165" s="590"/>
      <c r="O165" s="590"/>
      <c r="P165" s="187">
        <v>4</v>
      </c>
      <c r="Q165" s="187">
        <v>2421.0000000000086</v>
      </c>
      <c r="R165" s="187">
        <v>605.25000000000216</v>
      </c>
      <c r="S165" s="306">
        <f t="shared" si="62"/>
        <v>23</v>
      </c>
      <c r="T165" s="600"/>
      <c r="U165" s="187">
        <v>4</v>
      </c>
      <c r="V165" s="187">
        <v>3200.0000000000114</v>
      </c>
      <c r="W165" s="187">
        <v>800.00000000000284</v>
      </c>
      <c r="X165" s="306">
        <f t="shared" si="63"/>
        <v>8</v>
      </c>
      <c r="Y165" s="600"/>
      <c r="Z165" s="187">
        <v>4</v>
      </c>
      <c r="AA165" s="187">
        <v>2262.0000000000077</v>
      </c>
      <c r="AB165" s="187">
        <v>565.50000000000193</v>
      </c>
      <c r="AC165" s="306">
        <f t="shared" si="64"/>
        <v>22</v>
      </c>
      <c r="AD165" s="600"/>
      <c r="AE165" s="187">
        <v>4</v>
      </c>
      <c r="AF165" s="187">
        <v>2563.9999999999818</v>
      </c>
      <c r="AG165" s="187">
        <v>640.99999999999545</v>
      </c>
      <c r="AH165" s="306">
        <f t="shared" si="65"/>
        <v>21</v>
      </c>
      <c r="AI165" s="600"/>
      <c r="AJ165" s="187">
        <v>4</v>
      </c>
      <c r="AK165" s="187">
        <v>2788.00000000001</v>
      </c>
      <c r="AL165" s="187">
        <v>697.0000000000025</v>
      </c>
      <c r="AM165" s="306">
        <f t="shared" si="66"/>
        <v>16</v>
      </c>
      <c r="AN165" s="600"/>
      <c r="AO165" s="187">
        <v>4</v>
      </c>
      <c r="AP165" s="187">
        <v>2920.0000000000105</v>
      </c>
      <c r="AQ165" s="187">
        <v>730.00000000000261</v>
      </c>
      <c r="AR165" s="306">
        <f t="shared" si="67"/>
        <v>16</v>
      </c>
      <c r="AS165" s="600"/>
      <c r="AT165" s="187">
        <v>4</v>
      </c>
      <c r="AU165" s="187">
        <v>2848.00000000001</v>
      </c>
      <c r="AV165" s="187">
        <v>712.0000000000025</v>
      </c>
      <c r="AW165" s="306">
        <f t="shared" si="68"/>
        <v>15</v>
      </c>
      <c r="AX165" s="600"/>
    </row>
    <row r="166" spans="2:50">
      <c r="B166" s="598"/>
      <c r="C166" s="306">
        <v>20</v>
      </c>
      <c r="D166" s="306" t="s">
        <v>625</v>
      </c>
      <c r="E166" s="306">
        <v>4</v>
      </c>
      <c r="F166" s="306">
        <v>3000</v>
      </c>
      <c r="G166" s="306">
        <v>750</v>
      </c>
      <c r="H166" s="600"/>
      <c r="I166" s="204">
        <f t="shared" si="59"/>
        <v>4</v>
      </c>
      <c r="J166" s="204">
        <f t="shared" si="60"/>
        <v>2915.0000000000182</v>
      </c>
      <c r="K166" s="205">
        <f t="shared" si="61"/>
        <v>728.75000000000455</v>
      </c>
      <c r="L166" s="572"/>
      <c r="M166" s="204">
        <f>RANK(K166, K$147:$K$176)</f>
        <v>15</v>
      </c>
      <c r="N166" s="590"/>
      <c r="O166" s="590"/>
      <c r="P166" s="187">
        <v>4</v>
      </c>
      <c r="Q166" s="187">
        <v>3840.000000000116</v>
      </c>
      <c r="R166" s="187">
        <v>960.00000000002899</v>
      </c>
      <c r="S166" s="306">
        <f t="shared" si="62"/>
        <v>2</v>
      </c>
      <c r="T166" s="600"/>
      <c r="U166" s="187">
        <v>4</v>
      </c>
      <c r="V166" s="187">
        <v>2775.00000000001</v>
      </c>
      <c r="W166" s="187">
        <v>693.7500000000025</v>
      </c>
      <c r="X166" s="306">
        <f t="shared" si="63"/>
        <v>21</v>
      </c>
      <c r="Y166" s="600"/>
      <c r="Z166" s="187">
        <v>4</v>
      </c>
      <c r="AA166" s="187">
        <v>3080.0000000000109</v>
      </c>
      <c r="AB166" s="187">
        <v>770.00000000000273</v>
      </c>
      <c r="AC166" s="306">
        <f t="shared" si="64"/>
        <v>14</v>
      </c>
      <c r="AD166" s="600"/>
      <c r="AE166" s="187">
        <v>4</v>
      </c>
      <c r="AF166" s="187">
        <v>2179.99999999995</v>
      </c>
      <c r="AG166" s="187">
        <v>544.99999999998749</v>
      </c>
      <c r="AH166" s="306">
        <f t="shared" si="65"/>
        <v>22</v>
      </c>
      <c r="AI166" s="600"/>
      <c r="AJ166" s="187">
        <v>4</v>
      </c>
      <c r="AK166" s="187">
        <v>2490.0000000000091</v>
      </c>
      <c r="AL166" s="187">
        <v>622.50000000000227</v>
      </c>
      <c r="AM166" s="306">
        <f t="shared" si="66"/>
        <v>21</v>
      </c>
      <c r="AN166" s="600"/>
      <c r="AO166" s="187">
        <v>4</v>
      </c>
      <c r="AP166" s="187">
        <v>3200.0000000000964</v>
      </c>
      <c r="AQ166" s="187">
        <v>800.0000000000241</v>
      </c>
      <c r="AR166" s="306">
        <f t="shared" si="67"/>
        <v>8</v>
      </c>
      <c r="AS166" s="600"/>
      <c r="AT166" s="187">
        <v>4</v>
      </c>
      <c r="AU166" s="187">
        <v>2839.9999999999345</v>
      </c>
      <c r="AV166" s="187">
        <v>709.99999999998363</v>
      </c>
      <c r="AW166" s="306">
        <f t="shared" si="68"/>
        <v>16</v>
      </c>
      <c r="AX166" s="600"/>
    </row>
    <row r="167" spans="2:50">
      <c r="B167" s="598"/>
      <c r="C167" s="306">
        <v>21</v>
      </c>
      <c r="D167" s="306" t="s">
        <v>663</v>
      </c>
      <c r="E167" s="306">
        <v>4</v>
      </c>
      <c r="F167" s="306">
        <v>3300</v>
      </c>
      <c r="G167" s="306">
        <v>825</v>
      </c>
      <c r="H167" s="600"/>
      <c r="I167" s="204">
        <f t="shared" ref="I167:I169" si="69">AVERAGE(P167,U167,Z167,AE167,AJ167,AO167,AT167)</f>
        <v>3</v>
      </c>
      <c r="J167" s="204">
        <f t="shared" ref="J167:J169" si="70">AVERAGE(Q167,V167,AA167,AF167,AK167,AP167,AU167)</f>
        <v>2741.7628306079305</v>
      </c>
      <c r="K167" s="205">
        <f t="shared" ref="K167:K169" si="71">AVERAGE(R167,W167,AB167,AG167,AL167,AQ167,AV167)</f>
        <v>913.9209435359769</v>
      </c>
      <c r="L167" s="572"/>
      <c r="M167" s="204">
        <f>RANK(K167, K$147:$K$176)</f>
        <v>7</v>
      </c>
      <c r="N167" s="590"/>
      <c r="O167" s="590"/>
      <c r="P167" s="187">
        <v>3</v>
      </c>
      <c r="Q167" s="187">
        <v>2753.0232558139528</v>
      </c>
      <c r="R167" s="187">
        <v>917.6744186046509</v>
      </c>
      <c r="S167" s="306">
        <f t="shared" si="62"/>
        <v>7</v>
      </c>
      <c r="T167" s="600"/>
      <c r="U167" s="187">
        <v>3</v>
      </c>
      <c r="V167" s="187">
        <v>2775.7142857142903</v>
      </c>
      <c r="W167" s="187">
        <v>925.23809523809678</v>
      </c>
      <c r="X167" s="306">
        <f t="shared" si="63"/>
        <v>4</v>
      </c>
      <c r="Y167" s="600"/>
      <c r="Z167" s="187">
        <v>3</v>
      </c>
      <c r="AA167" s="187">
        <v>2750.9999999999991</v>
      </c>
      <c r="AB167" s="187">
        <v>916.99999999999966</v>
      </c>
      <c r="AC167" s="306">
        <f t="shared" si="64"/>
        <v>5</v>
      </c>
      <c r="AD167" s="600"/>
      <c r="AE167" s="187">
        <v>3</v>
      </c>
      <c r="AF167" s="187">
        <v>2792.7272727272689</v>
      </c>
      <c r="AG167" s="187">
        <v>930.90909090908963</v>
      </c>
      <c r="AH167" s="306">
        <f t="shared" si="65"/>
        <v>6</v>
      </c>
      <c r="AI167" s="600"/>
      <c r="AJ167" s="187">
        <v>3</v>
      </c>
      <c r="AK167" s="187">
        <v>2731.8750000000032</v>
      </c>
      <c r="AL167" s="187">
        <v>910.62500000000102</v>
      </c>
      <c r="AM167" s="306">
        <f t="shared" si="66"/>
        <v>7</v>
      </c>
      <c r="AN167" s="600"/>
      <c r="AO167" s="187">
        <v>3</v>
      </c>
      <c r="AP167" s="187">
        <v>2723.9999999999932</v>
      </c>
      <c r="AQ167" s="187">
        <v>907.99999999999773</v>
      </c>
      <c r="AR167" s="306">
        <f t="shared" si="67"/>
        <v>7</v>
      </c>
      <c r="AS167" s="600"/>
      <c r="AT167" s="187">
        <v>3</v>
      </c>
      <c r="AU167" s="187">
        <v>2664.0000000000041</v>
      </c>
      <c r="AV167" s="187">
        <v>888.00000000000136</v>
      </c>
      <c r="AW167" s="306">
        <f t="shared" si="68"/>
        <v>7</v>
      </c>
      <c r="AX167" s="600"/>
    </row>
    <row r="168" spans="2:50">
      <c r="B168" s="598"/>
      <c r="C168" s="306">
        <v>22</v>
      </c>
      <c r="D168" s="306" t="s">
        <v>764</v>
      </c>
      <c r="E168" s="306">
        <v>3</v>
      </c>
      <c r="F168" s="306">
        <v>2800</v>
      </c>
      <c r="G168" s="306">
        <v>933.33333333333337</v>
      </c>
      <c r="H168" s="600"/>
      <c r="I168" s="204">
        <f t="shared" si="69"/>
        <v>3</v>
      </c>
      <c r="J168" s="204">
        <f t="shared" si="70"/>
        <v>2751.6415584415622</v>
      </c>
      <c r="K168" s="205">
        <f t="shared" si="71"/>
        <v>917.21385281385403</v>
      </c>
      <c r="L168" s="572"/>
      <c r="M168" s="204">
        <f>RANK(K168, K$147:$K$176)</f>
        <v>6</v>
      </c>
      <c r="N168" s="590"/>
      <c r="O168" s="590"/>
      <c r="P168" s="187">
        <v>3</v>
      </c>
      <c r="Q168" s="187">
        <v>2601.9999999999955</v>
      </c>
      <c r="R168" s="187">
        <v>867.33333333333178</v>
      </c>
      <c r="S168" s="306">
        <f t="shared" si="62"/>
        <v>8</v>
      </c>
      <c r="T168" s="600"/>
      <c r="U168" s="187">
        <v>3</v>
      </c>
      <c r="V168" s="187">
        <v>2816.7272727272743</v>
      </c>
      <c r="W168" s="187">
        <v>938.90909090909145</v>
      </c>
      <c r="X168" s="306">
        <f t="shared" si="63"/>
        <v>2</v>
      </c>
      <c r="Y168" s="600"/>
      <c r="Z168" s="187">
        <v>3</v>
      </c>
      <c r="AA168" s="187">
        <v>2447.9999999999955</v>
      </c>
      <c r="AB168" s="187">
        <v>815.99999999999852</v>
      </c>
      <c r="AC168" s="306">
        <f t="shared" si="64"/>
        <v>9</v>
      </c>
      <c r="AD168" s="600"/>
      <c r="AE168" s="187">
        <v>3</v>
      </c>
      <c r="AF168" s="187">
        <v>2644.3636363636379</v>
      </c>
      <c r="AG168" s="187">
        <v>881.45454545454595</v>
      </c>
      <c r="AH168" s="306">
        <f t="shared" si="65"/>
        <v>7</v>
      </c>
      <c r="AI168" s="600"/>
      <c r="AJ168" s="187">
        <v>3</v>
      </c>
      <c r="AK168" s="187">
        <v>2869.2000000000103</v>
      </c>
      <c r="AL168" s="187">
        <v>956.40000000000339</v>
      </c>
      <c r="AM168" s="306">
        <f t="shared" si="66"/>
        <v>1</v>
      </c>
      <c r="AN168" s="600"/>
      <c r="AO168" s="187">
        <v>3</v>
      </c>
      <c r="AP168" s="187">
        <v>2966.4000000000106</v>
      </c>
      <c r="AQ168" s="187">
        <v>988.80000000000348</v>
      </c>
      <c r="AR168" s="306">
        <f t="shared" si="67"/>
        <v>1</v>
      </c>
      <c r="AS168" s="600"/>
      <c r="AT168" s="187">
        <v>3</v>
      </c>
      <c r="AU168" s="187">
        <v>2914.8000000000106</v>
      </c>
      <c r="AV168" s="187">
        <v>971.60000000000355</v>
      </c>
      <c r="AW168" s="306">
        <f t="shared" si="68"/>
        <v>2</v>
      </c>
      <c r="AX168" s="600"/>
    </row>
    <row r="169" spans="2:50">
      <c r="B169" s="598"/>
      <c r="C169" s="306">
        <v>23</v>
      </c>
      <c r="D169" s="306" t="s">
        <v>815</v>
      </c>
      <c r="E169" s="306">
        <v>4</v>
      </c>
      <c r="F169" s="306">
        <v>3000</v>
      </c>
      <c r="G169" s="306">
        <v>750</v>
      </c>
      <c r="H169" s="600"/>
      <c r="I169" s="204">
        <f t="shared" si="69"/>
        <v>4</v>
      </c>
      <c r="J169" s="204">
        <f t="shared" si="70"/>
        <v>2335.1297318927545</v>
      </c>
      <c r="K169" s="205">
        <f t="shared" si="71"/>
        <v>583.78243297318863</v>
      </c>
      <c r="L169" s="572"/>
      <c r="M169" s="204">
        <f>RANK(K169, K$147:$K$176)</f>
        <v>23</v>
      </c>
      <c r="N169" s="590"/>
      <c r="O169" s="590"/>
      <c r="P169" s="187">
        <v>4</v>
      </c>
      <c r="Q169" s="187">
        <v>2467.333333333333</v>
      </c>
      <c r="R169" s="187">
        <v>616.83333333333326</v>
      </c>
      <c r="S169" s="306">
        <f t="shared" si="62"/>
        <v>22</v>
      </c>
      <c r="T169" s="600"/>
      <c r="U169" s="187">
        <v>4</v>
      </c>
      <c r="V169" s="187">
        <v>2230.799999999997</v>
      </c>
      <c r="W169" s="187">
        <v>557.69999999999925</v>
      </c>
      <c r="X169" s="306">
        <f t="shared" si="63"/>
        <v>23</v>
      </c>
      <c r="Y169" s="600"/>
      <c r="Z169" s="187">
        <v>4</v>
      </c>
      <c r="AA169" s="187">
        <v>2198.117647058823</v>
      </c>
      <c r="AB169" s="187">
        <v>549.52941176470574</v>
      </c>
      <c r="AC169" s="306">
        <f t="shared" si="64"/>
        <v>23</v>
      </c>
      <c r="AD169" s="600"/>
      <c r="AE169" s="187">
        <v>4</v>
      </c>
      <c r="AF169" s="187">
        <v>2100.8571428571404</v>
      </c>
      <c r="AG169" s="187">
        <v>525.2142857142851</v>
      </c>
      <c r="AH169" s="306">
        <f t="shared" si="65"/>
        <v>23</v>
      </c>
      <c r="AI169" s="600"/>
      <c r="AJ169" s="187">
        <v>4</v>
      </c>
      <c r="AK169" s="187">
        <v>2472</v>
      </c>
      <c r="AL169" s="187">
        <v>618</v>
      </c>
      <c r="AM169" s="306">
        <f t="shared" si="66"/>
        <v>22</v>
      </c>
      <c r="AN169" s="600"/>
      <c r="AO169" s="187">
        <v>4</v>
      </c>
      <c r="AP169" s="187">
        <v>2396.3999999999933</v>
      </c>
      <c r="AQ169" s="187">
        <v>599.09999999999832</v>
      </c>
      <c r="AR169" s="306">
        <f t="shared" si="67"/>
        <v>22</v>
      </c>
      <c r="AS169" s="600"/>
      <c r="AT169" s="187">
        <v>4</v>
      </c>
      <c r="AU169" s="187">
        <v>2480.3999999999928</v>
      </c>
      <c r="AV169" s="187">
        <v>620.0999999999982</v>
      </c>
      <c r="AW169" s="306">
        <f t="shared" si="68"/>
        <v>22</v>
      </c>
      <c r="AX169" s="600"/>
    </row>
    <row r="170" spans="2:50">
      <c r="B170" s="598"/>
      <c r="C170" s="306">
        <v>24</v>
      </c>
      <c r="D170" s="306" t="s">
        <v>816</v>
      </c>
      <c r="E170" s="306">
        <v>12</v>
      </c>
      <c r="F170" s="306">
        <v>1500</v>
      </c>
      <c r="G170" s="306">
        <v>125</v>
      </c>
      <c r="H170" s="600"/>
      <c r="I170" s="494">
        <f t="shared" ref="I170" si="72">AVERAGE(P170,U170,Z170,AE170,AJ170,AO170,AT170)</f>
        <v>12</v>
      </c>
      <c r="J170" s="494">
        <f t="shared" ref="J170" si="73">AVERAGE(Q170,V170,AA170,AF170,AK170,AP170,AU170)</f>
        <v>1488.8016164734315</v>
      </c>
      <c r="K170" s="205">
        <f t="shared" ref="K170" si="74">AVERAGE(R170,W170,AB170,AG170,AL170,AQ170,AV170)</f>
        <v>124.06680137278596</v>
      </c>
      <c r="L170" s="572"/>
      <c r="M170" s="204">
        <f>RANK(K170, K$147:$K$176)</f>
        <v>24</v>
      </c>
      <c r="N170" s="590"/>
      <c r="O170" s="590"/>
      <c r="P170" s="187">
        <v>12</v>
      </c>
      <c r="Q170" s="187">
        <v>1503.4177215189882</v>
      </c>
      <c r="R170" s="187">
        <v>125.28481012658234</v>
      </c>
      <c r="S170" s="306">
        <f t="shared" si="62"/>
        <v>24</v>
      </c>
      <c r="T170" s="600"/>
      <c r="U170" s="187">
        <v>12</v>
      </c>
      <c r="V170" s="187">
        <v>1466.8421052631579</v>
      </c>
      <c r="W170" s="187">
        <v>122.23684210526316</v>
      </c>
      <c r="X170" s="306">
        <f t="shared" si="63"/>
        <v>24</v>
      </c>
      <c r="Y170" s="600"/>
      <c r="Z170" s="187">
        <v>12</v>
      </c>
      <c r="AA170" s="187">
        <v>1490.5555555555552</v>
      </c>
      <c r="AB170" s="187">
        <v>124.21296296296293</v>
      </c>
      <c r="AC170" s="306">
        <f t="shared" si="64"/>
        <v>24</v>
      </c>
      <c r="AD170" s="600"/>
      <c r="AE170" s="187">
        <v>12</v>
      </c>
      <c r="AF170" s="187">
        <v>1501.3138686131385</v>
      </c>
      <c r="AG170" s="187">
        <v>125.10948905109488</v>
      </c>
      <c r="AH170" s="306">
        <f t="shared" si="65"/>
        <v>24</v>
      </c>
      <c r="AI170" s="600"/>
      <c r="AJ170" s="187">
        <v>12</v>
      </c>
      <c r="AK170" s="187">
        <v>1486.9767441860463</v>
      </c>
      <c r="AL170" s="187">
        <v>123.91472868217052</v>
      </c>
      <c r="AM170" s="306">
        <f t="shared" si="66"/>
        <v>23</v>
      </c>
      <c r="AN170" s="600"/>
      <c r="AO170" s="187">
        <v>12</v>
      </c>
      <c r="AP170" s="187">
        <v>1483.703703703703</v>
      </c>
      <c r="AQ170" s="187">
        <v>123.64197530864192</v>
      </c>
      <c r="AR170" s="306">
        <f t="shared" si="67"/>
        <v>23</v>
      </c>
      <c r="AS170" s="600"/>
      <c r="AT170" s="187"/>
      <c r="AU170" s="187"/>
      <c r="AV170" s="187"/>
      <c r="AW170" s="306" t="e">
        <f t="shared" si="68"/>
        <v>#N/A</v>
      </c>
      <c r="AX170" s="600"/>
    </row>
    <row r="171" spans="2:50">
      <c r="B171" s="598"/>
      <c r="C171" s="306">
        <v>25</v>
      </c>
      <c r="D171" s="306"/>
      <c r="E171" s="306"/>
      <c r="F171" s="306"/>
      <c r="G171" s="306"/>
      <c r="H171" s="600"/>
      <c r="I171" s="207"/>
      <c r="J171" s="207"/>
      <c r="K171" s="207"/>
      <c r="L171" s="572"/>
      <c r="M171" s="204" t="e">
        <f>RANK(K171, K$147:$K$176)</f>
        <v>#N/A</v>
      </c>
      <c r="N171" s="590"/>
      <c r="O171" s="590"/>
      <c r="P171" s="378"/>
      <c r="Q171" s="378"/>
      <c r="R171" s="378"/>
      <c r="S171" s="306" t="e">
        <f t="shared" si="62"/>
        <v>#N/A</v>
      </c>
      <c r="T171" s="600"/>
      <c r="U171" s="378"/>
      <c r="V171" s="378"/>
      <c r="W171" s="378"/>
      <c r="X171" s="306" t="e">
        <f t="shared" si="63"/>
        <v>#N/A</v>
      </c>
      <c r="Y171" s="600"/>
      <c r="Z171" s="378"/>
      <c r="AA171" s="378"/>
      <c r="AB171" s="378"/>
      <c r="AC171" s="306" t="e">
        <f t="shared" si="64"/>
        <v>#N/A</v>
      </c>
      <c r="AD171" s="600"/>
      <c r="AE171" s="378"/>
      <c r="AF171" s="378"/>
      <c r="AG171" s="378"/>
      <c r="AH171" s="306" t="e">
        <f t="shared" si="65"/>
        <v>#N/A</v>
      </c>
      <c r="AI171" s="600"/>
      <c r="AJ171" s="378"/>
      <c r="AK171" s="378"/>
      <c r="AL171" s="378"/>
      <c r="AM171" s="306" t="e">
        <f t="shared" si="66"/>
        <v>#N/A</v>
      </c>
      <c r="AN171" s="600"/>
      <c r="AO171" s="378"/>
      <c r="AP171" s="378"/>
      <c r="AQ171" s="378"/>
      <c r="AR171" s="306" t="e">
        <f t="shared" si="67"/>
        <v>#N/A</v>
      </c>
      <c r="AS171" s="600"/>
      <c r="AT171" s="378"/>
      <c r="AU171" s="378"/>
      <c r="AV171" s="378"/>
      <c r="AW171" s="306" t="e">
        <f t="shared" si="68"/>
        <v>#N/A</v>
      </c>
      <c r="AX171" s="600"/>
    </row>
    <row r="172" spans="2:50">
      <c r="B172" s="598"/>
      <c r="C172" s="306">
        <v>26</v>
      </c>
      <c r="D172" s="306"/>
      <c r="E172" s="306"/>
      <c r="F172" s="306"/>
      <c r="G172" s="306"/>
      <c r="H172" s="600"/>
      <c r="I172" s="207"/>
      <c r="J172" s="207"/>
      <c r="K172" s="207"/>
      <c r="L172" s="572"/>
      <c r="M172" s="204" t="e">
        <f>RANK(K172, K$147:$K$176)</f>
        <v>#N/A</v>
      </c>
      <c r="N172" s="590"/>
      <c r="O172" s="590"/>
      <c r="P172" s="378"/>
      <c r="Q172" s="378"/>
      <c r="R172" s="378"/>
      <c r="S172" s="306" t="e">
        <f t="shared" si="62"/>
        <v>#N/A</v>
      </c>
      <c r="T172" s="600"/>
      <c r="U172" s="378"/>
      <c r="V172" s="378"/>
      <c r="W172" s="378"/>
      <c r="X172" s="306" t="e">
        <f t="shared" si="63"/>
        <v>#N/A</v>
      </c>
      <c r="Y172" s="600"/>
      <c r="Z172" s="378"/>
      <c r="AA172" s="378"/>
      <c r="AB172" s="378"/>
      <c r="AC172" s="306" t="e">
        <f t="shared" si="64"/>
        <v>#N/A</v>
      </c>
      <c r="AD172" s="600"/>
      <c r="AE172" s="378"/>
      <c r="AF172" s="378"/>
      <c r="AG172" s="378"/>
      <c r="AH172" s="306" t="e">
        <f t="shared" si="65"/>
        <v>#N/A</v>
      </c>
      <c r="AI172" s="600"/>
      <c r="AJ172" s="378"/>
      <c r="AK172" s="378"/>
      <c r="AL172" s="378"/>
      <c r="AM172" s="306" t="e">
        <f t="shared" si="66"/>
        <v>#N/A</v>
      </c>
      <c r="AN172" s="600"/>
      <c r="AO172" s="378"/>
      <c r="AP172" s="378"/>
      <c r="AQ172" s="378"/>
      <c r="AR172" s="306" t="e">
        <f t="shared" si="67"/>
        <v>#N/A</v>
      </c>
      <c r="AS172" s="600"/>
      <c r="AT172" s="378"/>
      <c r="AU172" s="378"/>
      <c r="AV172" s="378"/>
      <c r="AW172" s="306" t="e">
        <f t="shared" si="68"/>
        <v>#N/A</v>
      </c>
      <c r="AX172" s="600"/>
    </row>
    <row r="173" spans="2:50">
      <c r="B173" s="598"/>
      <c r="C173" s="306">
        <v>27</v>
      </c>
      <c r="D173" s="306"/>
      <c r="E173" s="306"/>
      <c r="F173" s="306"/>
      <c r="G173" s="306"/>
      <c r="H173" s="600"/>
      <c r="I173" s="207"/>
      <c r="J173" s="207"/>
      <c r="K173" s="207"/>
      <c r="L173" s="572"/>
      <c r="M173" s="204" t="e">
        <f>RANK(K173, K$147:$K$176)</f>
        <v>#N/A</v>
      </c>
      <c r="N173" s="590"/>
      <c r="O173" s="590"/>
      <c r="P173" s="378"/>
      <c r="Q173" s="378"/>
      <c r="R173" s="378"/>
      <c r="S173" s="306" t="e">
        <f t="shared" si="62"/>
        <v>#N/A</v>
      </c>
      <c r="T173" s="600"/>
      <c r="U173" s="378"/>
      <c r="V173" s="378"/>
      <c r="W173" s="378"/>
      <c r="X173" s="306" t="e">
        <f t="shared" si="63"/>
        <v>#N/A</v>
      </c>
      <c r="Y173" s="600"/>
      <c r="Z173" s="378"/>
      <c r="AA173" s="378"/>
      <c r="AB173" s="378"/>
      <c r="AC173" s="306" t="e">
        <f t="shared" si="64"/>
        <v>#N/A</v>
      </c>
      <c r="AD173" s="600"/>
      <c r="AE173" s="378"/>
      <c r="AF173" s="378"/>
      <c r="AG173" s="378"/>
      <c r="AH173" s="306" t="e">
        <f t="shared" si="65"/>
        <v>#N/A</v>
      </c>
      <c r="AI173" s="600"/>
      <c r="AJ173" s="378"/>
      <c r="AK173" s="378"/>
      <c r="AL173" s="378"/>
      <c r="AM173" s="306" t="e">
        <f t="shared" si="66"/>
        <v>#N/A</v>
      </c>
      <c r="AN173" s="600"/>
      <c r="AO173" s="378"/>
      <c r="AP173" s="378"/>
      <c r="AQ173" s="378"/>
      <c r="AR173" s="306" t="e">
        <f t="shared" si="67"/>
        <v>#N/A</v>
      </c>
      <c r="AS173" s="600"/>
      <c r="AT173" s="378"/>
      <c r="AU173" s="378"/>
      <c r="AV173" s="378"/>
      <c r="AW173" s="306" t="e">
        <f t="shared" si="68"/>
        <v>#N/A</v>
      </c>
      <c r="AX173" s="600"/>
    </row>
    <row r="174" spans="2:50">
      <c r="B174" s="598"/>
      <c r="C174" s="306">
        <v>28</v>
      </c>
      <c r="D174" s="306"/>
      <c r="E174" s="306"/>
      <c r="F174" s="306"/>
      <c r="G174" s="306"/>
      <c r="H174" s="600"/>
      <c r="I174" s="207"/>
      <c r="J174" s="207"/>
      <c r="K174" s="207"/>
      <c r="L174" s="572"/>
      <c r="M174" s="204" t="e">
        <f>RANK(K174, K$147:$K$176)</f>
        <v>#N/A</v>
      </c>
      <c r="N174" s="590"/>
      <c r="O174" s="590"/>
      <c r="P174" s="378"/>
      <c r="Q174" s="378"/>
      <c r="R174" s="378"/>
      <c r="S174" s="306" t="e">
        <f t="shared" si="62"/>
        <v>#N/A</v>
      </c>
      <c r="T174" s="600"/>
      <c r="U174" s="378"/>
      <c r="V174" s="378"/>
      <c r="W174" s="378"/>
      <c r="X174" s="306" t="e">
        <f t="shared" si="63"/>
        <v>#N/A</v>
      </c>
      <c r="Y174" s="600"/>
      <c r="Z174" s="378"/>
      <c r="AA174" s="378"/>
      <c r="AB174" s="378"/>
      <c r="AC174" s="306" t="e">
        <f t="shared" si="64"/>
        <v>#N/A</v>
      </c>
      <c r="AD174" s="600"/>
      <c r="AE174" s="378"/>
      <c r="AF174" s="378"/>
      <c r="AG174" s="378"/>
      <c r="AH174" s="306" t="e">
        <f t="shared" si="65"/>
        <v>#N/A</v>
      </c>
      <c r="AI174" s="600"/>
      <c r="AJ174" s="378"/>
      <c r="AK174" s="378"/>
      <c r="AL174" s="378"/>
      <c r="AM174" s="306" t="e">
        <f t="shared" si="66"/>
        <v>#N/A</v>
      </c>
      <c r="AN174" s="600"/>
      <c r="AO174" s="378"/>
      <c r="AP174" s="378"/>
      <c r="AQ174" s="378"/>
      <c r="AR174" s="306" t="e">
        <f t="shared" si="67"/>
        <v>#N/A</v>
      </c>
      <c r="AS174" s="600"/>
      <c r="AT174" s="378"/>
      <c r="AU174" s="378"/>
      <c r="AV174" s="378"/>
      <c r="AW174" s="306" t="e">
        <f t="shared" si="68"/>
        <v>#N/A</v>
      </c>
      <c r="AX174" s="600"/>
    </row>
    <row r="175" spans="2:50">
      <c r="B175" s="598"/>
      <c r="C175" s="306">
        <v>29</v>
      </c>
      <c r="D175" s="306"/>
      <c r="E175" s="306"/>
      <c r="F175" s="306"/>
      <c r="G175" s="306"/>
      <c r="H175" s="600"/>
      <c r="I175" s="207"/>
      <c r="J175" s="207"/>
      <c r="K175" s="207"/>
      <c r="L175" s="572"/>
      <c r="M175" s="204" t="e">
        <f>RANK(K175, K$147:$K$176)</f>
        <v>#N/A</v>
      </c>
      <c r="N175" s="590"/>
      <c r="O175" s="590"/>
      <c r="P175" s="378"/>
      <c r="Q175" s="378"/>
      <c r="R175" s="378"/>
      <c r="S175" s="306" t="e">
        <f t="shared" si="62"/>
        <v>#N/A</v>
      </c>
      <c r="T175" s="600"/>
      <c r="U175" s="378"/>
      <c r="V175" s="378"/>
      <c r="W175" s="378"/>
      <c r="X175" s="306" t="e">
        <f t="shared" si="63"/>
        <v>#N/A</v>
      </c>
      <c r="Y175" s="600"/>
      <c r="Z175" s="378"/>
      <c r="AA175" s="378"/>
      <c r="AB175" s="378"/>
      <c r="AC175" s="306" t="e">
        <f t="shared" si="64"/>
        <v>#N/A</v>
      </c>
      <c r="AD175" s="600"/>
      <c r="AE175" s="378"/>
      <c r="AF175" s="378"/>
      <c r="AG175" s="378"/>
      <c r="AH175" s="306" t="e">
        <f t="shared" si="65"/>
        <v>#N/A</v>
      </c>
      <c r="AI175" s="600"/>
      <c r="AJ175" s="378"/>
      <c r="AK175" s="378"/>
      <c r="AL175" s="378"/>
      <c r="AM175" s="306" t="e">
        <f t="shared" si="66"/>
        <v>#N/A</v>
      </c>
      <c r="AN175" s="600"/>
      <c r="AO175" s="378"/>
      <c r="AP175" s="378"/>
      <c r="AQ175" s="378"/>
      <c r="AR175" s="306" t="e">
        <f t="shared" si="67"/>
        <v>#N/A</v>
      </c>
      <c r="AS175" s="600"/>
      <c r="AT175" s="378"/>
      <c r="AU175" s="378"/>
      <c r="AV175" s="378"/>
      <c r="AW175" s="306" t="e">
        <f t="shared" si="68"/>
        <v>#N/A</v>
      </c>
      <c r="AX175" s="600"/>
    </row>
    <row r="176" spans="2:50">
      <c r="B176" s="598"/>
      <c r="C176" s="306">
        <v>30</v>
      </c>
      <c r="D176" s="306"/>
      <c r="E176" s="306"/>
      <c r="F176" s="306"/>
      <c r="G176" s="306"/>
      <c r="H176" s="601"/>
      <c r="I176" s="207"/>
      <c r="J176" s="207"/>
      <c r="K176" s="207"/>
      <c r="L176" s="573"/>
      <c r="M176" s="204" t="e">
        <f>RANK(K176, K$147:$K$176)</f>
        <v>#N/A</v>
      </c>
      <c r="N176" s="590"/>
      <c r="O176" s="590"/>
      <c r="P176" s="378"/>
      <c r="Q176" s="378"/>
      <c r="R176" s="378"/>
      <c r="S176" s="306" t="e">
        <f t="shared" si="52"/>
        <v>#N/A</v>
      </c>
      <c r="T176" s="601"/>
      <c r="U176" s="378"/>
      <c r="V176" s="378"/>
      <c r="W176" s="378"/>
      <c r="X176" s="306" t="e">
        <f t="shared" si="53"/>
        <v>#N/A</v>
      </c>
      <c r="Y176" s="601"/>
      <c r="Z176" s="378"/>
      <c r="AA176" s="378"/>
      <c r="AB176" s="378"/>
      <c r="AC176" s="306" t="e">
        <f t="shared" si="54"/>
        <v>#N/A</v>
      </c>
      <c r="AD176" s="601"/>
      <c r="AE176" s="378"/>
      <c r="AF176" s="378"/>
      <c r="AG176" s="378"/>
      <c r="AH176" s="306" t="e">
        <f t="shared" si="55"/>
        <v>#N/A</v>
      </c>
      <c r="AI176" s="601"/>
      <c r="AJ176" s="378"/>
      <c r="AK176" s="378"/>
      <c r="AL176" s="378"/>
      <c r="AM176" s="306" t="e">
        <f t="shared" si="56"/>
        <v>#N/A</v>
      </c>
      <c r="AN176" s="601"/>
      <c r="AO176" s="378"/>
      <c r="AP176" s="378"/>
      <c r="AQ176" s="378"/>
      <c r="AR176" s="306" t="e">
        <f t="shared" si="57"/>
        <v>#N/A</v>
      </c>
      <c r="AS176" s="601"/>
      <c r="AT176" s="378"/>
      <c r="AU176" s="378"/>
      <c r="AV176" s="378"/>
      <c r="AW176" s="306" t="e">
        <f t="shared" si="58"/>
        <v>#N/A</v>
      </c>
      <c r="AX176" s="601"/>
    </row>
    <row r="177" spans="2:50" ht="15.75">
      <c r="B177" s="602" t="s">
        <v>163</v>
      </c>
      <c r="C177" s="603"/>
      <c r="D177" s="603"/>
      <c r="E177" s="603"/>
      <c r="F177" s="603"/>
      <c r="G177" s="603"/>
      <c r="H177" s="604"/>
      <c r="I177" s="213"/>
      <c r="J177" s="213"/>
      <c r="K177" s="213"/>
      <c r="L177" s="213"/>
      <c r="M177" s="212"/>
      <c r="N177" s="591" t="s">
        <v>156</v>
      </c>
      <c r="O177" s="591" t="s">
        <v>105</v>
      </c>
      <c r="P177" s="597">
        <f>P142+7</f>
        <v>45965</v>
      </c>
      <c r="Q177" s="598"/>
      <c r="R177" s="598"/>
      <c r="S177" s="598"/>
      <c r="T177" s="598"/>
      <c r="U177" s="594">
        <f>P177+1</f>
        <v>45966</v>
      </c>
      <c r="V177" s="595"/>
      <c r="W177" s="595"/>
      <c r="X177" s="595"/>
      <c r="Y177" s="596"/>
      <c r="Z177" s="594">
        <f>U177+1</f>
        <v>45967</v>
      </c>
      <c r="AA177" s="595"/>
      <c r="AB177" s="595"/>
      <c r="AC177" s="595"/>
      <c r="AD177" s="596"/>
      <c r="AE177" s="594">
        <f>Z177+1</f>
        <v>45968</v>
      </c>
      <c r="AF177" s="595"/>
      <c r="AG177" s="595"/>
      <c r="AH177" s="595"/>
      <c r="AI177" s="596"/>
      <c r="AJ177" s="594">
        <f>AE177+1</f>
        <v>45969</v>
      </c>
      <c r="AK177" s="595"/>
      <c r="AL177" s="595"/>
      <c r="AM177" s="595"/>
      <c r="AN177" s="596"/>
      <c r="AO177" s="594">
        <f>AJ177+1</f>
        <v>45970</v>
      </c>
      <c r="AP177" s="595"/>
      <c r="AQ177" s="595"/>
      <c r="AR177" s="595"/>
      <c r="AS177" s="596"/>
      <c r="AT177" s="594">
        <f>AO177+1</f>
        <v>45971</v>
      </c>
      <c r="AU177" s="595"/>
      <c r="AV177" s="595"/>
      <c r="AW177" s="595"/>
      <c r="AX177" s="596"/>
    </row>
    <row r="178" spans="2:50" ht="15.75">
      <c r="B178" s="605"/>
      <c r="C178" s="605"/>
      <c r="D178" s="605"/>
      <c r="E178" s="605"/>
      <c r="F178" s="605"/>
      <c r="G178" s="605"/>
      <c r="H178" s="605"/>
      <c r="I178" s="210"/>
      <c r="J178" s="210"/>
      <c r="K178" s="210"/>
      <c r="L178" s="210"/>
      <c r="M178" s="211"/>
      <c r="N178" s="593"/>
      <c r="O178" s="593"/>
      <c r="P178" s="597" t="s">
        <v>158</v>
      </c>
      <c r="Q178" s="598"/>
      <c r="R178" s="598"/>
      <c r="S178" s="598"/>
      <c r="T178" s="598"/>
      <c r="U178" s="597" t="s">
        <v>114</v>
      </c>
      <c r="V178" s="598"/>
      <c r="W178" s="598"/>
      <c r="X178" s="598"/>
      <c r="Y178" s="598"/>
      <c r="Z178" s="597" t="s">
        <v>159</v>
      </c>
      <c r="AA178" s="598"/>
      <c r="AB178" s="598"/>
      <c r="AC178" s="598"/>
      <c r="AD178" s="598"/>
      <c r="AE178" s="597" t="s">
        <v>157</v>
      </c>
      <c r="AF178" s="598"/>
      <c r="AG178" s="598"/>
      <c r="AH178" s="598"/>
      <c r="AI178" s="598"/>
      <c r="AJ178" s="597" t="s">
        <v>160</v>
      </c>
      <c r="AK178" s="598"/>
      <c r="AL178" s="598"/>
      <c r="AM178" s="598"/>
      <c r="AN178" s="598"/>
      <c r="AO178" s="597" t="s">
        <v>115</v>
      </c>
      <c r="AP178" s="598"/>
      <c r="AQ178" s="598"/>
      <c r="AR178" s="598"/>
      <c r="AS178" s="598"/>
      <c r="AT178" s="597" t="s">
        <v>162</v>
      </c>
      <c r="AU178" s="598"/>
      <c r="AV178" s="598"/>
      <c r="AW178" s="598"/>
      <c r="AX178" s="598"/>
    </row>
    <row r="179" spans="2:50">
      <c r="B179" s="590" t="s">
        <v>154</v>
      </c>
      <c r="C179" s="590" t="s">
        <v>454</v>
      </c>
      <c r="D179" s="590"/>
      <c r="E179" s="590" t="s">
        <v>445</v>
      </c>
      <c r="F179" s="590"/>
      <c r="G179" s="590"/>
      <c r="H179" s="606" t="s">
        <v>441</v>
      </c>
      <c r="I179" s="574" t="s">
        <v>446</v>
      </c>
      <c r="J179" s="574"/>
      <c r="K179" s="574"/>
      <c r="L179" s="575" t="s">
        <v>441</v>
      </c>
      <c r="M179" s="581" t="s">
        <v>442</v>
      </c>
      <c r="N179" s="590"/>
      <c r="O179" s="590" t="s">
        <v>447</v>
      </c>
      <c r="P179" s="587" t="s">
        <v>443</v>
      </c>
      <c r="Q179" s="588"/>
      <c r="R179" s="588"/>
      <c r="S179" s="589"/>
      <c r="T179" s="590" t="s">
        <v>441</v>
      </c>
      <c r="U179" s="587" t="s">
        <v>443</v>
      </c>
      <c r="V179" s="588"/>
      <c r="W179" s="588"/>
      <c r="X179" s="589"/>
      <c r="Y179" s="590" t="s">
        <v>441</v>
      </c>
      <c r="Z179" s="587" t="s">
        <v>443</v>
      </c>
      <c r="AA179" s="588"/>
      <c r="AB179" s="588"/>
      <c r="AC179" s="589"/>
      <c r="AD179" s="590" t="s">
        <v>441</v>
      </c>
      <c r="AE179" s="587" t="s">
        <v>443</v>
      </c>
      <c r="AF179" s="588"/>
      <c r="AG179" s="588"/>
      <c r="AH179" s="589"/>
      <c r="AI179" s="590" t="s">
        <v>441</v>
      </c>
      <c r="AJ179" s="587" t="s">
        <v>443</v>
      </c>
      <c r="AK179" s="588"/>
      <c r="AL179" s="588"/>
      <c r="AM179" s="589"/>
      <c r="AN179" s="590" t="s">
        <v>441</v>
      </c>
      <c r="AO179" s="587" t="s">
        <v>443</v>
      </c>
      <c r="AP179" s="588"/>
      <c r="AQ179" s="588"/>
      <c r="AR179" s="589"/>
      <c r="AS179" s="590" t="s">
        <v>441</v>
      </c>
      <c r="AT179" s="587" t="s">
        <v>443</v>
      </c>
      <c r="AU179" s="588"/>
      <c r="AV179" s="588"/>
      <c r="AW179" s="589"/>
      <c r="AX179" s="590" t="s">
        <v>441</v>
      </c>
    </row>
    <row r="180" spans="2:50">
      <c r="B180" s="590"/>
      <c r="C180" s="590"/>
      <c r="D180" s="590"/>
      <c r="E180" s="590" t="s">
        <v>448</v>
      </c>
      <c r="F180" s="590"/>
      <c r="G180" s="590"/>
      <c r="H180" s="607"/>
      <c r="I180" s="574" t="s">
        <v>448</v>
      </c>
      <c r="J180" s="574"/>
      <c r="K180" s="574"/>
      <c r="L180" s="576"/>
      <c r="M180" s="582"/>
      <c r="N180" s="590"/>
      <c r="O180" s="590"/>
      <c r="P180" s="587" t="s">
        <v>449</v>
      </c>
      <c r="Q180" s="588"/>
      <c r="R180" s="588"/>
      <c r="S180" s="589"/>
      <c r="T180" s="590"/>
      <c r="U180" s="587" t="s">
        <v>449</v>
      </c>
      <c r="V180" s="588"/>
      <c r="W180" s="588"/>
      <c r="X180" s="589"/>
      <c r="Y180" s="590"/>
      <c r="Z180" s="587" t="s">
        <v>449</v>
      </c>
      <c r="AA180" s="588"/>
      <c r="AB180" s="588"/>
      <c r="AC180" s="589"/>
      <c r="AD180" s="590"/>
      <c r="AE180" s="587" t="s">
        <v>449</v>
      </c>
      <c r="AF180" s="588"/>
      <c r="AG180" s="588"/>
      <c r="AH180" s="589"/>
      <c r="AI180" s="590"/>
      <c r="AJ180" s="587" t="s">
        <v>449</v>
      </c>
      <c r="AK180" s="588"/>
      <c r="AL180" s="588"/>
      <c r="AM180" s="589"/>
      <c r="AN180" s="590"/>
      <c r="AO180" s="587" t="s">
        <v>449</v>
      </c>
      <c r="AP180" s="588"/>
      <c r="AQ180" s="588"/>
      <c r="AR180" s="589"/>
      <c r="AS180" s="590"/>
      <c r="AT180" s="587" t="s">
        <v>449</v>
      </c>
      <c r="AU180" s="588"/>
      <c r="AV180" s="588"/>
      <c r="AW180" s="589"/>
      <c r="AX180" s="590"/>
    </row>
    <row r="181" spans="2:50">
      <c r="B181" s="590"/>
      <c r="C181" s="590"/>
      <c r="D181" s="590"/>
      <c r="E181" s="358" t="s">
        <v>450</v>
      </c>
      <c r="F181" s="358" t="s">
        <v>451</v>
      </c>
      <c r="G181" s="358" t="s">
        <v>452</v>
      </c>
      <c r="H181" s="608"/>
      <c r="I181" s="359" t="s">
        <v>450</v>
      </c>
      <c r="J181" s="359" t="s">
        <v>451</v>
      </c>
      <c r="K181" s="359" t="s">
        <v>452</v>
      </c>
      <c r="L181" s="577"/>
      <c r="M181" s="583"/>
      <c r="N181" s="590"/>
      <c r="O181" s="590"/>
      <c r="P181" s="358" t="s">
        <v>450</v>
      </c>
      <c r="Q181" s="358" t="s">
        <v>451</v>
      </c>
      <c r="R181" s="358" t="s">
        <v>452</v>
      </c>
      <c r="S181" s="358" t="s">
        <v>442</v>
      </c>
      <c r="T181" s="590"/>
      <c r="U181" s="358" t="s">
        <v>450</v>
      </c>
      <c r="V181" s="358" t="s">
        <v>451</v>
      </c>
      <c r="W181" s="358" t="s">
        <v>452</v>
      </c>
      <c r="X181" s="358" t="s">
        <v>442</v>
      </c>
      <c r="Y181" s="590"/>
      <c r="Z181" s="358" t="s">
        <v>450</v>
      </c>
      <c r="AA181" s="358" t="s">
        <v>451</v>
      </c>
      <c r="AB181" s="358" t="s">
        <v>452</v>
      </c>
      <c r="AC181" s="358" t="s">
        <v>442</v>
      </c>
      <c r="AD181" s="590"/>
      <c r="AE181" s="358" t="s">
        <v>450</v>
      </c>
      <c r="AF181" s="358" t="s">
        <v>451</v>
      </c>
      <c r="AG181" s="358" t="s">
        <v>452</v>
      </c>
      <c r="AH181" s="358" t="s">
        <v>442</v>
      </c>
      <c r="AI181" s="590"/>
      <c r="AJ181" s="358" t="s">
        <v>450</v>
      </c>
      <c r="AK181" s="358" t="s">
        <v>451</v>
      </c>
      <c r="AL181" s="358" t="s">
        <v>452</v>
      </c>
      <c r="AM181" s="358" t="s">
        <v>442</v>
      </c>
      <c r="AN181" s="590"/>
      <c r="AO181" s="358" t="s">
        <v>450</v>
      </c>
      <c r="AP181" s="358" t="s">
        <v>451</v>
      </c>
      <c r="AQ181" s="358" t="s">
        <v>452</v>
      </c>
      <c r="AR181" s="358" t="s">
        <v>442</v>
      </c>
      <c r="AS181" s="590"/>
      <c r="AT181" s="358" t="s">
        <v>450</v>
      </c>
      <c r="AU181" s="358" t="s">
        <v>451</v>
      </c>
      <c r="AV181" s="358" t="s">
        <v>452</v>
      </c>
      <c r="AW181" s="358" t="s">
        <v>442</v>
      </c>
      <c r="AX181" s="590"/>
    </row>
    <row r="182" spans="2:50">
      <c r="B182" s="598" t="s">
        <v>150</v>
      </c>
      <c r="C182" s="357">
        <v>1</v>
      </c>
      <c r="D182" s="357"/>
      <c r="E182" s="357"/>
      <c r="F182" s="357"/>
      <c r="G182" s="357"/>
      <c r="H182" s="599" t="e">
        <f>AVERAGE(G182:G211)</f>
        <v>#DIV/0!</v>
      </c>
      <c r="I182" s="204" t="e">
        <f>AVERAGE(P182,U182,Z182,AE182,AJ182,AO182,AT182)</f>
        <v>#DIV/0!</v>
      </c>
      <c r="J182" s="204" t="e">
        <f>AVERAGE(Q182,V182,AA182,AF182,AK182,AP182,AU182)</f>
        <v>#DIV/0!</v>
      </c>
      <c r="K182" s="205" t="e">
        <f>AVERAGE(R182,W182,AB182,AG182,AL182,AQ182,AV182)</f>
        <v>#DIV/0!</v>
      </c>
      <c r="L182" s="571" t="str">
        <f>IFERROR(AVERAGE(K182:K211),"-")</f>
        <v>-</v>
      </c>
      <c r="M182" s="204" t="e">
        <f>RANK(K182, K$182:$K$211)</f>
        <v>#DIV/0!</v>
      </c>
      <c r="N182" s="590"/>
      <c r="O182" s="590"/>
      <c r="P182" s="187"/>
      <c r="Q182" s="187"/>
      <c r="R182" s="360"/>
      <c r="S182" s="357" t="e">
        <f>RANK(R182, R$182:R$211)</f>
        <v>#N/A</v>
      </c>
      <c r="T182" s="599" t="e">
        <f>AVERAGE(R182:R211)</f>
        <v>#DIV/0!</v>
      </c>
      <c r="U182" s="187"/>
      <c r="V182" s="187"/>
      <c r="W182" s="360"/>
      <c r="X182" s="378" t="e">
        <f>RANK(W182, W$182:W$211)</f>
        <v>#N/A</v>
      </c>
      <c r="Y182" s="599" t="e">
        <f>AVERAGE(W182:W211)</f>
        <v>#DIV/0!</v>
      </c>
      <c r="Z182" s="187"/>
      <c r="AA182" s="187"/>
      <c r="AB182" s="379"/>
      <c r="AC182" s="378" t="e">
        <f>RANK(AB182, AB$182:AB$211)</f>
        <v>#N/A</v>
      </c>
      <c r="AD182" s="599" t="e">
        <f>AVERAGE(AB182:AB211)</f>
        <v>#DIV/0!</v>
      </c>
      <c r="AE182" s="187"/>
      <c r="AF182" s="187"/>
      <c r="AG182" s="379"/>
      <c r="AH182" s="378" t="e">
        <f>RANK(AG182, AG$182:AG$211)</f>
        <v>#N/A</v>
      </c>
      <c r="AI182" s="599" t="e">
        <f>AVERAGE(AG182:AG211)</f>
        <v>#DIV/0!</v>
      </c>
      <c r="AJ182" s="187"/>
      <c r="AK182" s="187"/>
      <c r="AL182" s="379"/>
      <c r="AM182" s="378" t="e">
        <f>RANK(AL182, AL$182:AL$211)</f>
        <v>#N/A</v>
      </c>
      <c r="AN182" s="599" t="e">
        <f>AVERAGE(AL182:AL211)</f>
        <v>#DIV/0!</v>
      </c>
      <c r="AO182" s="187"/>
      <c r="AP182" s="187"/>
      <c r="AQ182" s="379"/>
      <c r="AR182" s="378" t="e">
        <f>RANK(AQ182, AQ$182:AQ$211)</f>
        <v>#N/A</v>
      </c>
      <c r="AS182" s="599" t="e">
        <f>AVERAGE(AQ182:AQ211)</f>
        <v>#DIV/0!</v>
      </c>
      <c r="AT182" s="187"/>
      <c r="AU182" s="187"/>
      <c r="AV182" s="379"/>
      <c r="AW182" s="378" t="e">
        <f>RANK(AV182, AV$182:AV$211)</f>
        <v>#N/A</v>
      </c>
      <c r="AX182" s="599" t="e">
        <f>AVERAGE(AV182:AV211)</f>
        <v>#DIV/0!</v>
      </c>
    </row>
    <row r="183" spans="2:50">
      <c r="B183" s="598"/>
      <c r="C183" s="357">
        <v>2</v>
      </c>
      <c r="D183" s="357"/>
      <c r="E183" s="357"/>
      <c r="F183" s="357"/>
      <c r="G183" s="357"/>
      <c r="H183" s="600"/>
      <c r="I183" s="204" t="e">
        <f t="shared" ref="I183:I204" si="75">AVERAGE(P183,U183,Z183,AE183,AJ183,AO183,AT183)</f>
        <v>#DIV/0!</v>
      </c>
      <c r="J183" s="204" t="e">
        <f t="shared" ref="J183:J204" si="76">AVERAGE(Q183,V183,AA183,AF183,AK183,AP183,AU183)</f>
        <v>#DIV/0!</v>
      </c>
      <c r="K183" s="205" t="e">
        <f t="shared" ref="K183:K204" si="77">AVERAGE(R183,W183,AB183,AG183,AL183,AQ183,AV183)</f>
        <v>#DIV/0!</v>
      </c>
      <c r="L183" s="572"/>
      <c r="M183" s="204" t="e">
        <f>RANK(K183, K$182:$K$211)</f>
        <v>#DIV/0!</v>
      </c>
      <c r="N183" s="590"/>
      <c r="O183" s="590"/>
      <c r="P183" s="357"/>
      <c r="Q183" s="187"/>
      <c r="R183" s="360"/>
      <c r="S183" s="378" t="e">
        <f t="shared" ref="S183:S211" si="78">RANK(R183, R$182:R$211)</f>
        <v>#N/A</v>
      </c>
      <c r="T183" s="600"/>
      <c r="U183" s="357"/>
      <c r="V183" s="187"/>
      <c r="W183" s="360"/>
      <c r="X183" s="378" t="e">
        <f t="shared" ref="X183:X211" si="79">RANK(W183, W$182:W$211)</f>
        <v>#N/A</v>
      </c>
      <c r="Y183" s="600"/>
      <c r="Z183" s="378"/>
      <c r="AA183" s="187"/>
      <c r="AB183" s="379"/>
      <c r="AC183" s="378" t="e">
        <f t="shared" ref="AC183:AC211" si="80">RANK(AB183, AB$182:AB$211)</f>
        <v>#N/A</v>
      </c>
      <c r="AD183" s="600"/>
      <c r="AE183" s="378"/>
      <c r="AF183" s="187"/>
      <c r="AG183" s="379"/>
      <c r="AH183" s="378" t="e">
        <f t="shared" ref="AH183:AH211" si="81">RANK(AG183, AG$182:AG$211)</f>
        <v>#N/A</v>
      </c>
      <c r="AI183" s="600"/>
      <c r="AJ183" s="378"/>
      <c r="AK183" s="187"/>
      <c r="AL183" s="379"/>
      <c r="AM183" s="378" t="e">
        <f t="shared" ref="AM183:AM211" si="82">RANK(AL183, AL$182:AL$211)</f>
        <v>#N/A</v>
      </c>
      <c r="AN183" s="600"/>
      <c r="AO183" s="378"/>
      <c r="AP183" s="187"/>
      <c r="AQ183" s="379"/>
      <c r="AR183" s="378" t="e">
        <f t="shared" ref="AR183:AR211" si="83">RANK(AQ183, AQ$182:AQ$211)</f>
        <v>#N/A</v>
      </c>
      <c r="AS183" s="600"/>
      <c r="AT183" s="378"/>
      <c r="AU183" s="187"/>
      <c r="AV183" s="379"/>
      <c r="AW183" s="378" t="e">
        <f t="shared" ref="AW183:AW211" si="84">RANK(AV183, AV$182:AV$211)</f>
        <v>#N/A</v>
      </c>
      <c r="AX183" s="600"/>
    </row>
    <row r="184" spans="2:50">
      <c r="B184" s="598"/>
      <c r="C184" s="357">
        <v>3</v>
      </c>
      <c r="D184" s="357"/>
      <c r="E184" s="357"/>
      <c r="F184" s="357"/>
      <c r="G184" s="357"/>
      <c r="H184" s="600"/>
      <c r="I184" s="204" t="e">
        <f t="shared" si="75"/>
        <v>#DIV/0!</v>
      </c>
      <c r="J184" s="204" t="e">
        <f t="shared" si="76"/>
        <v>#DIV/0!</v>
      </c>
      <c r="K184" s="205" t="e">
        <f t="shared" si="77"/>
        <v>#DIV/0!</v>
      </c>
      <c r="L184" s="572"/>
      <c r="M184" s="204" t="e">
        <f>RANK(K184, K$182:$K$211)</f>
        <v>#DIV/0!</v>
      </c>
      <c r="N184" s="590"/>
      <c r="O184" s="590"/>
      <c r="P184" s="357"/>
      <c r="Q184" s="187"/>
      <c r="R184" s="360"/>
      <c r="S184" s="378" t="e">
        <f t="shared" si="78"/>
        <v>#N/A</v>
      </c>
      <c r="T184" s="600"/>
      <c r="U184" s="357"/>
      <c r="V184" s="187"/>
      <c r="W184" s="360"/>
      <c r="X184" s="378" t="e">
        <f t="shared" si="79"/>
        <v>#N/A</v>
      </c>
      <c r="Y184" s="600"/>
      <c r="Z184" s="378"/>
      <c r="AA184" s="187"/>
      <c r="AB184" s="379"/>
      <c r="AC184" s="378" t="e">
        <f t="shared" si="80"/>
        <v>#N/A</v>
      </c>
      <c r="AD184" s="600"/>
      <c r="AE184" s="378"/>
      <c r="AF184" s="187"/>
      <c r="AG184" s="379"/>
      <c r="AH184" s="378" t="e">
        <f t="shared" si="81"/>
        <v>#N/A</v>
      </c>
      <c r="AI184" s="600"/>
      <c r="AJ184" s="378"/>
      <c r="AK184" s="187"/>
      <c r="AL184" s="379"/>
      <c r="AM184" s="378" t="e">
        <f t="shared" si="82"/>
        <v>#N/A</v>
      </c>
      <c r="AN184" s="600"/>
      <c r="AO184" s="378"/>
      <c r="AP184" s="187"/>
      <c r="AQ184" s="379"/>
      <c r="AR184" s="378" t="e">
        <f t="shared" si="83"/>
        <v>#N/A</v>
      </c>
      <c r="AS184" s="600"/>
      <c r="AT184" s="378"/>
      <c r="AU184" s="187"/>
      <c r="AV184" s="379"/>
      <c r="AW184" s="378" t="e">
        <f t="shared" si="84"/>
        <v>#N/A</v>
      </c>
      <c r="AX184" s="600"/>
    </row>
    <row r="185" spans="2:50">
      <c r="B185" s="598"/>
      <c r="C185" s="357">
        <v>4</v>
      </c>
      <c r="D185" s="357"/>
      <c r="E185" s="357"/>
      <c r="F185" s="357"/>
      <c r="G185" s="357"/>
      <c r="H185" s="600"/>
      <c r="I185" s="204" t="e">
        <f t="shared" si="75"/>
        <v>#DIV/0!</v>
      </c>
      <c r="J185" s="204" t="e">
        <f t="shared" si="76"/>
        <v>#DIV/0!</v>
      </c>
      <c r="K185" s="205" t="e">
        <f t="shared" si="77"/>
        <v>#DIV/0!</v>
      </c>
      <c r="L185" s="572"/>
      <c r="M185" s="204" t="e">
        <f>RANK(K185, K$182:$K$211)</f>
        <v>#DIV/0!</v>
      </c>
      <c r="N185" s="590"/>
      <c r="O185" s="590"/>
      <c r="P185" s="357"/>
      <c r="Q185" s="187"/>
      <c r="R185" s="360"/>
      <c r="S185" s="378" t="e">
        <f t="shared" si="78"/>
        <v>#N/A</v>
      </c>
      <c r="T185" s="600"/>
      <c r="U185" s="357"/>
      <c r="V185" s="187"/>
      <c r="W185" s="360"/>
      <c r="X185" s="378" t="e">
        <f t="shared" si="79"/>
        <v>#N/A</v>
      </c>
      <c r="Y185" s="600"/>
      <c r="Z185" s="378"/>
      <c r="AA185" s="187"/>
      <c r="AB185" s="379"/>
      <c r="AC185" s="378" t="e">
        <f t="shared" si="80"/>
        <v>#N/A</v>
      </c>
      <c r="AD185" s="600"/>
      <c r="AE185" s="378"/>
      <c r="AF185" s="187"/>
      <c r="AG185" s="379"/>
      <c r="AH185" s="378" t="e">
        <f t="shared" si="81"/>
        <v>#N/A</v>
      </c>
      <c r="AI185" s="600"/>
      <c r="AJ185" s="378"/>
      <c r="AK185" s="187"/>
      <c r="AL185" s="379"/>
      <c r="AM185" s="378" t="e">
        <f t="shared" si="82"/>
        <v>#N/A</v>
      </c>
      <c r="AN185" s="600"/>
      <c r="AO185" s="378"/>
      <c r="AP185" s="187"/>
      <c r="AQ185" s="379"/>
      <c r="AR185" s="378" t="e">
        <f t="shared" si="83"/>
        <v>#N/A</v>
      </c>
      <c r="AS185" s="600"/>
      <c r="AT185" s="378"/>
      <c r="AU185" s="187"/>
      <c r="AV185" s="379"/>
      <c r="AW185" s="378" t="e">
        <f t="shared" si="84"/>
        <v>#N/A</v>
      </c>
      <c r="AX185" s="600"/>
    </row>
    <row r="186" spans="2:50">
      <c r="B186" s="598"/>
      <c r="C186" s="357">
        <v>5</v>
      </c>
      <c r="D186" s="357"/>
      <c r="E186" s="357"/>
      <c r="F186" s="357"/>
      <c r="G186" s="357"/>
      <c r="H186" s="600"/>
      <c r="I186" s="204" t="e">
        <f t="shared" si="75"/>
        <v>#DIV/0!</v>
      </c>
      <c r="J186" s="204" t="e">
        <f t="shared" si="76"/>
        <v>#DIV/0!</v>
      </c>
      <c r="K186" s="205" t="e">
        <f t="shared" si="77"/>
        <v>#DIV/0!</v>
      </c>
      <c r="L186" s="572"/>
      <c r="M186" s="204" t="e">
        <f>RANK(K186, K$182:$K$211)</f>
        <v>#DIV/0!</v>
      </c>
      <c r="N186" s="590"/>
      <c r="O186" s="590"/>
      <c r="P186" s="357"/>
      <c r="Q186" s="187"/>
      <c r="R186" s="360"/>
      <c r="S186" s="378" t="e">
        <f t="shared" si="78"/>
        <v>#N/A</v>
      </c>
      <c r="T186" s="600"/>
      <c r="U186" s="357"/>
      <c r="V186" s="187"/>
      <c r="W186" s="360"/>
      <c r="X186" s="378" t="e">
        <f t="shared" si="79"/>
        <v>#N/A</v>
      </c>
      <c r="Y186" s="600"/>
      <c r="Z186" s="378"/>
      <c r="AA186" s="187"/>
      <c r="AB186" s="379"/>
      <c r="AC186" s="378" t="e">
        <f t="shared" si="80"/>
        <v>#N/A</v>
      </c>
      <c r="AD186" s="600"/>
      <c r="AE186" s="378"/>
      <c r="AF186" s="187"/>
      <c r="AG186" s="379"/>
      <c r="AH186" s="378" t="e">
        <f t="shared" si="81"/>
        <v>#N/A</v>
      </c>
      <c r="AI186" s="600"/>
      <c r="AJ186" s="378"/>
      <c r="AK186" s="187"/>
      <c r="AL186" s="379"/>
      <c r="AM186" s="378" t="e">
        <f t="shared" si="82"/>
        <v>#N/A</v>
      </c>
      <c r="AN186" s="600"/>
      <c r="AO186" s="378"/>
      <c r="AP186" s="187"/>
      <c r="AQ186" s="379"/>
      <c r="AR186" s="378" t="e">
        <f t="shared" si="83"/>
        <v>#N/A</v>
      </c>
      <c r="AS186" s="600"/>
      <c r="AT186" s="378"/>
      <c r="AU186" s="187"/>
      <c r="AV186" s="379"/>
      <c r="AW186" s="378" t="e">
        <f t="shared" si="84"/>
        <v>#N/A</v>
      </c>
      <c r="AX186" s="600"/>
    </row>
    <row r="187" spans="2:50">
      <c r="B187" s="598"/>
      <c r="C187" s="357">
        <v>6</v>
      </c>
      <c r="D187" s="357"/>
      <c r="E187" s="357"/>
      <c r="F187" s="357"/>
      <c r="G187" s="357"/>
      <c r="H187" s="600"/>
      <c r="I187" s="204" t="e">
        <f t="shared" si="75"/>
        <v>#DIV/0!</v>
      </c>
      <c r="J187" s="204" t="e">
        <f t="shared" si="76"/>
        <v>#DIV/0!</v>
      </c>
      <c r="K187" s="205" t="e">
        <f t="shared" si="77"/>
        <v>#DIV/0!</v>
      </c>
      <c r="L187" s="572"/>
      <c r="M187" s="204" t="e">
        <f>RANK(K187, K$182:$K$211)</f>
        <v>#DIV/0!</v>
      </c>
      <c r="N187" s="590"/>
      <c r="O187" s="590"/>
      <c r="P187" s="357"/>
      <c r="Q187" s="187"/>
      <c r="R187" s="360"/>
      <c r="S187" s="378" t="e">
        <f t="shared" si="78"/>
        <v>#N/A</v>
      </c>
      <c r="T187" s="600"/>
      <c r="U187" s="357"/>
      <c r="V187" s="187"/>
      <c r="W187" s="360"/>
      <c r="X187" s="378" t="e">
        <f t="shared" si="79"/>
        <v>#N/A</v>
      </c>
      <c r="Y187" s="600"/>
      <c r="Z187" s="378"/>
      <c r="AA187" s="187"/>
      <c r="AB187" s="379"/>
      <c r="AC187" s="378" t="e">
        <f t="shared" si="80"/>
        <v>#N/A</v>
      </c>
      <c r="AD187" s="600"/>
      <c r="AE187" s="378"/>
      <c r="AF187" s="187"/>
      <c r="AG187" s="379"/>
      <c r="AH187" s="378" t="e">
        <f t="shared" si="81"/>
        <v>#N/A</v>
      </c>
      <c r="AI187" s="600"/>
      <c r="AJ187" s="378"/>
      <c r="AK187" s="187"/>
      <c r="AL187" s="379"/>
      <c r="AM187" s="378" t="e">
        <f t="shared" si="82"/>
        <v>#N/A</v>
      </c>
      <c r="AN187" s="600"/>
      <c r="AO187" s="378"/>
      <c r="AP187" s="187"/>
      <c r="AQ187" s="379"/>
      <c r="AR187" s="378" t="e">
        <f t="shared" si="83"/>
        <v>#N/A</v>
      </c>
      <c r="AS187" s="600"/>
      <c r="AT187" s="378"/>
      <c r="AU187" s="187"/>
      <c r="AV187" s="379"/>
      <c r="AW187" s="378" t="e">
        <f t="shared" si="84"/>
        <v>#N/A</v>
      </c>
      <c r="AX187" s="600"/>
    </row>
    <row r="188" spans="2:50">
      <c r="B188" s="598"/>
      <c r="C188" s="357">
        <v>7</v>
      </c>
      <c r="D188" s="357"/>
      <c r="E188" s="357"/>
      <c r="F188" s="357"/>
      <c r="G188" s="357"/>
      <c r="H188" s="600"/>
      <c r="I188" s="204" t="e">
        <f t="shared" si="75"/>
        <v>#DIV/0!</v>
      </c>
      <c r="J188" s="204" t="e">
        <f t="shared" si="76"/>
        <v>#DIV/0!</v>
      </c>
      <c r="K188" s="205" t="e">
        <f t="shared" si="77"/>
        <v>#DIV/0!</v>
      </c>
      <c r="L188" s="572"/>
      <c r="M188" s="204" t="e">
        <f>RANK(K188, K$182:$K$211)</f>
        <v>#DIV/0!</v>
      </c>
      <c r="N188" s="590"/>
      <c r="O188" s="590"/>
      <c r="P188" s="357"/>
      <c r="Q188" s="187"/>
      <c r="R188" s="360"/>
      <c r="S188" s="378" t="e">
        <f t="shared" si="78"/>
        <v>#N/A</v>
      </c>
      <c r="T188" s="600"/>
      <c r="U188" s="357"/>
      <c r="V188" s="187"/>
      <c r="W188" s="360"/>
      <c r="X188" s="378" t="e">
        <f t="shared" si="79"/>
        <v>#N/A</v>
      </c>
      <c r="Y188" s="600"/>
      <c r="Z188" s="378"/>
      <c r="AA188" s="187"/>
      <c r="AB188" s="379"/>
      <c r="AC188" s="378" t="e">
        <f t="shared" si="80"/>
        <v>#N/A</v>
      </c>
      <c r="AD188" s="600"/>
      <c r="AE188" s="378"/>
      <c r="AF188" s="187"/>
      <c r="AG188" s="379"/>
      <c r="AH188" s="378" t="e">
        <f t="shared" si="81"/>
        <v>#N/A</v>
      </c>
      <c r="AI188" s="600"/>
      <c r="AJ188" s="378"/>
      <c r="AK188" s="187"/>
      <c r="AL188" s="379"/>
      <c r="AM188" s="378" t="e">
        <f t="shared" si="82"/>
        <v>#N/A</v>
      </c>
      <c r="AN188" s="600"/>
      <c r="AO188" s="378"/>
      <c r="AP188" s="187"/>
      <c r="AQ188" s="379"/>
      <c r="AR188" s="378" t="e">
        <f t="shared" si="83"/>
        <v>#N/A</v>
      </c>
      <c r="AS188" s="600"/>
      <c r="AT188" s="378"/>
      <c r="AU188" s="187"/>
      <c r="AV188" s="379"/>
      <c r="AW188" s="378" t="e">
        <f t="shared" si="84"/>
        <v>#N/A</v>
      </c>
      <c r="AX188" s="600"/>
    </row>
    <row r="189" spans="2:50">
      <c r="B189" s="598"/>
      <c r="C189" s="357">
        <v>8</v>
      </c>
      <c r="D189" s="357"/>
      <c r="E189" s="357"/>
      <c r="F189" s="357"/>
      <c r="G189" s="357"/>
      <c r="H189" s="600"/>
      <c r="I189" s="204" t="e">
        <f t="shared" si="75"/>
        <v>#DIV/0!</v>
      </c>
      <c r="J189" s="204" t="e">
        <f t="shared" si="76"/>
        <v>#DIV/0!</v>
      </c>
      <c r="K189" s="205" t="e">
        <f t="shared" si="77"/>
        <v>#DIV/0!</v>
      </c>
      <c r="L189" s="572"/>
      <c r="M189" s="204" t="e">
        <f>RANK(K189, K$182:$K$211)</f>
        <v>#DIV/0!</v>
      </c>
      <c r="N189" s="590"/>
      <c r="O189" s="590"/>
      <c r="P189" s="357"/>
      <c r="Q189" s="187"/>
      <c r="R189" s="360"/>
      <c r="S189" s="378" t="e">
        <f t="shared" si="78"/>
        <v>#N/A</v>
      </c>
      <c r="T189" s="600"/>
      <c r="U189" s="357"/>
      <c r="V189" s="187"/>
      <c r="W189" s="360"/>
      <c r="X189" s="378" t="e">
        <f t="shared" si="79"/>
        <v>#N/A</v>
      </c>
      <c r="Y189" s="600"/>
      <c r="Z189" s="378"/>
      <c r="AA189" s="187"/>
      <c r="AB189" s="379"/>
      <c r="AC189" s="378" t="e">
        <f t="shared" si="80"/>
        <v>#N/A</v>
      </c>
      <c r="AD189" s="600"/>
      <c r="AE189" s="378"/>
      <c r="AF189" s="187"/>
      <c r="AG189" s="379"/>
      <c r="AH189" s="378" t="e">
        <f t="shared" si="81"/>
        <v>#N/A</v>
      </c>
      <c r="AI189" s="600"/>
      <c r="AJ189" s="378"/>
      <c r="AK189" s="187"/>
      <c r="AL189" s="379"/>
      <c r="AM189" s="378" t="e">
        <f t="shared" si="82"/>
        <v>#N/A</v>
      </c>
      <c r="AN189" s="600"/>
      <c r="AO189" s="378"/>
      <c r="AP189" s="187"/>
      <c r="AQ189" s="379"/>
      <c r="AR189" s="378" t="e">
        <f t="shared" si="83"/>
        <v>#N/A</v>
      </c>
      <c r="AS189" s="600"/>
      <c r="AT189" s="378"/>
      <c r="AU189" s="187"/>
      <c r="AV189" s="379"/>
      <c r="AW189" s="378" t="e">
        <f t="shared" si="84"/>
        <v>#N/A</v>
      </c>
      <c r="AX189" s="600"/>
    </row>
    <row r="190" spans="2:50">
      <c r="B190" s="598"/>
      <c r="C190" s="357">
        <v>9</v>
      </c>
      <c r="D190" s="357"/>
      <c r="E190" s="357"/>
      <c r="F190" s="357"/>
      <c r="G190" s="357"/>
      <c r="H190" s="600"/>
      <c r="I190" s="204" t="e">
        <f t="shared" si="75"/>
        <v>#DIV/0!</v>
      </c>
      <c r="J190" s="204" t="e">
        <f t="shared" si="76"/>
        <v>#DIV/0!</v>
      </c>
      <c r="K190" s="205" t="e">
        <f t="shared" si="77"/>
        <v>#DIV/0!</v>
      </c>
      <c r="L190" s="572"/>
      <c r="M190" s="204" t="e">
        <f>RANK(K190, K$182:$K$211)</f>
        <v>#DIV/0!</v>
      </c>
      <c r="N190" s="590"/>
      <c r="O190" s="590"/>
      <c r="P190" s="357"/>
      <c r="Q190" s="187"/>
      <c r="R190" s="360"/>
      <c r="S190" s="378" t="e">
        <f t="shared" si="78"/>
        <v>#N/A</v>
      </c>
      <c r="T190" s="600"/>
      <c r="U190" s="357"/>
      <c r="V190" s="187"/>
      <c r="W190" s="360"/>
      <c r="X190" s="378" t="e">
        <f t="shared" si="79"/>
        <v>#N/A</v>
      </c>
      <c r="Y190" s="600"/>
      <c r="Z190" s="378"/>
      <c r="AA190" s="187"/>
      <c r="AB190" s="379"/>
      <c r="AC190" s="378" t="e">
        <f t="shared" si="80"/>
        <v>#N/A</v>
      </c>
      <c r="AD190" s="600"/>
      <c r="AE190" s="378"/>
      <c r="AF190" s="187"/>
      <c r="AG190" s="379"/>
      <c r="AH190" s="378" t="e">
        <f t="shared" si="81"/>
        <v>#N/A</v>
      </c>
      <c r="AI190" s="600"/>
      <c r="AJ190" s="378"/>
      <c r="AK190" s="187"/>
      <c r="AL190" s="379"/>
      <c r="AM190" s="378" t="e">
        <f t="shared" si="82"/>
        <v>#N/A</v>
      </c>
      <c r="AN190" s="600"/>
      <c r="AO190" s="378"/>
      <c r="AP190" s="187"/>
      <c r="AQ190" s="379"/>
      <c r="AR190" s="378" t="e">
        <f t="shared" si="83"/>
        <v>#N/A</v>
      </c>
      <c r="AS190" s="600"/>
      <c r="AT190" s="378"/>
      <c r="AU190" s="187"/>
      <c r="AV190" s="379"/>
      <c r="AW190" s="378" t="e">
        <f t="shared" si="84"/>
        <v>#N/A</v>
      </c>
      <c r="AX190" s="600"/>
    </row>
    <row r="191" spans="2:50">
      <c r="B191" s="598"/>
      <c r="C191" s="357">
        <v>10</v>
      </c>
      <c r="D191" s="357"/>
      <c r="E191" s="357"/>
      <c r="F191" s="357"/>
      <c r="G191" s="357"/>
      <c r="H191" s="600"/>
      <c r="I191" s="204" t="e">
        <f t="shared" si="75"/>
        <v>#DIV/0!</v>
      </c>
      <c r="J191" s="204" t="e">
        <f t="shared" si="76"/>
        <v>#DIV/0!</v>
      </c>
      <c r="K191" s="205" t="e">
        <f t="shared" si="77"/>
        <v>#DIV/0!</v>
      </c>
      <c r="L191" s="572"/>
      <c r="M191" s="204" t="e">
        <f>RANK(K191, K$182:$K$211)</f>
        <v>#DIV/0!</v>
      </c>
      <c r="N191" s="590"/>
      <c r="O191" s="590"/>
      <c r="P191" s="357"/>
      <c r="Q191" s="187"/>
      <c r="R191" s="360"/>
      <c r="S191" s="378" t="e">
        <f t="shared" si="78"/>
        <v>#N/A</v>
      </c>
      <c r="T191" s="600"/>
      <c r="U191" s="357"/>
      <c r="V191" s="187"/>
      <c r="W191" s="360"/>
      <c r="X191" s="378" t="e">
        <f t="shared" si="79"/>
        <v>#N/A</v>
      </c>
      <c r="Y191" s="600"/>
      <c r="Z191" s="378"/>
      <c r="AA191" s="187"/>
      <c r="AB191" s="379"/>
      <c r="AC191" s="378" t="e">
        <f t="shared" si="80"/>
        <v>#N/A</v>
      </c>
      <c r="AD191" s="600"/>
      <c r="AE191" s="378"/>
      <c r="AF191" s="187"/>
      <c r="AG191" s="379"/>
      <c r="AH191" s="378" t="e">
        <f t="shared" si="81"/>
        <v>#N/A</v>
      </c>
      <c r="AI191" s="600"/>
      <c r="AJ191" s="378"/>
      <c r="AK191" s="187"/>
      <c r="AL191" s="379"/>
      <c r="AM191" s="378" t="e">
        <f t="shared" si="82"/>
        <v>#N/A</v>
      </c>
      <c r="AN191" s="600"/>
      <c r="AO191" s="378"/>
      <c r="AP191" s="187"/>
      <c r="AQ191" s="379"/>
      <c r="AR191" s="378" t="e">
        <f t="shared" si="83"/>
        <v>#N/A</v>
      </c>
      <c r="AS191" s="600"/>
      <c r="AT191" s="378"/>
      <c r="AU191" s="187"/>
      <c r="AV191" s="379"/>
      <c r="AW191" s="378" t="e">
        <f t="shared" si="84"/>
        <v>#N/A</v>
      </c>
      <c r="AX191" s="600"/>
    </row>
    <row r="192" spans="2:50">
      <c r="B192" s="598"/>
      <c r="C192" s="357">
        <v>11</v>
      </c>
      <c r="D192" s="357"/>
      <c r="E192" s="357"/>
      <c r="F192" s="357"/>
      <c r="G192" s="357"/>
      <c r="H192" s="600"/>
      <c r="I192" s="204" t="e">
        <f t="shared" si="75"/>
        <v>#DIV/0!</v>
      </c>
      <c r="J192" s="204" t="e">
        <f t="shared" si="76"/>
        <v>#DIV/0!</v>
      </c>
      <c r="K192" s="205" t="e">
        <f t="shared" si="77"/>
        <v>#DIV/0!</v>
      </c>
      <c r="L192" s="572"/>
      <c r="M192" s="204" t="e">
        <f>RANK(K192, K$182:$K$211)</f>
        <v>#DIV/0!</v>
      </c>
      <c r="N192" s="590"/>
      <c r="O192" s="590"/>
      <c r="P192" s="357"/>
      <c r="Q192" s="187"/>
      <c r="R192" s="360"/>
      <c r="S192" s="378" t="e">
        <f t="shared" si="78"/>
        <v>#N/A</v>
      </c>
      <c r="T192" s="600"/>
      <c r="U192" s="357"/>
      <c r="V192" s="187"/>
      <c r="W192" s="360"/>
      <c r="X192" s="378" t="e">
        <f t="shared" si="79"/>
        <v>#N/A</v>
      </c>
      <c r="Y192" s="600"/>
      <c r="Z192" s="378"/>
      <c r="AA192" s="187"/>
      <c r="AB192" s="379"/>
      <c r="AC192" s="378" t="e">
        <f t="shared" si="80"/>
        <v>#N/A</v>
      </c>
      <c r="AD192" s="600"/>
      <c r="AE192" s="378"/>
      <c r="AF192" s="187"/>
      <c r="AG192" s="379"/>
      <c r="AH192" s="378" t="e">
        <f t="shared" si="81"/>
        <v>#N/A</v>
      </c>
      <c r="AI192" s="600"/>
      <c r="AJ192" s="378"/>
      <c r="AK192" s="187"/>
      <c r="AL192" s="379"/>
      <c r="AM192" s="378" t="e">
        <f t="shared" si="82"/>
        <v>#N/A</v>
      </c>
      <c r="AN192" s="600"/>
      <c r="AO192" s="378"/>
      <c r="AP192" s="187"/>
      <c r="AQ192" s="379"/>
      <c r="AR192" s="378" t="e">
        <f t="shared" si="83"/>
        <v>#N/A</v>
      </c>
      <c r="AS192" s="600"/>
      <c r="AT192" s="378"/>
      <c r="AU192" s="187"/>
      <c r="AV192" s="379"/>
      <c r="AW192" s="378" t="e">
        <f t="shared" si="84"/>
        <v>#N/A</v>
      </c>
      <c r="AX192" s="600"/>
    </row>
    <row r="193" spans="2:50">
      <c r="B193" s="598"/>
      <c r="C193" s="357">
        <v>12</v>
      </c>
      <c r="D193" s="357"/>
      <c r="E193" s="357"/>
      <c r="F193" s="357"/>
      <c r="G193" s="357"/>
      <c r="H193" s="600"/>
      <c r="I193" s="204" t="e">
        <f t="shared" si="75"/>
        <v>#DIV/0!</v>
      </c>
      <c r="J193" s="204" t="e">
        <f t="shared" si="76"/>
        <v>#DIV/0!</v>
      </c>
      <c r="K193" s="205" t="e">
        <f t="shared" si="77"/>
        <v>#DIV/0!</v>
      </c>
      <c r="L193" s="572"/>
      <c r="M193" s="204" t="e">
        <f>RANK(K193, K$182:$K$211)</f>
        <v>#DIV/0!</v>
      </c>
      <c r="N193" s="590"/>
      <c r="O193" s="590"/>
      <c r="P193" s="357"/>
      <c r="Q193" s="187"/>
      <c r="R193" s="360"/>
      <c r="S193" s="378" t="e">
        <f t="shared" si="78"/>
        <v>#N/A</v>
      </c>
      <c r="T193" s="600"/>
      <c r="U193" s="357"/>
      <c r="V193" s="187"/>
      <c r="W193" s="360"/>
      <c r="X193" s="378" t="e">
        <f t="shared" si="79"/>
        <v>#N/A</v>
      </c>
      <c r="Y193" s="600"/>
      <c r="Z193" s="378"/>
      <c r="AA193" s="187"/>
      <c r="AB193" s="379"/>
      <c r="AC193" s="378" t="e">
        <f t="shared" si="80"/>
        <v>#N/A</v>
      </c>
      <c r="AD193" s="600"/>
      <c r="AE193" s="378"/>
      <c r="AF193" s="187"/>
      <c r="AG193" s="379"/>
      <c r="AH193" s="378" t="e">
        <f t="shared" si="81"/>
        <v>#N/A</v>
      </c>
      <c r="AI193" s="600"/>
      <c r="AJ193" s="378"/>
      <c r="AK193" s="187"/>
      <c r="AL193" s="379"/>
      <c r="AM193" s="378" t="e">
        <f t="shared" si="82"/>
        <v>#N/A</v>
      </c>
      <c r="AN193" s="600"/>
      <c r="AO193" s="378"/>
      <c r="AP193" s="187"/>
      <c r="AQ193" s="379"/>
      <c r="AR193" s="378" t="e">
        <f t="shared" si="83"/>
        <v>#N/A</v>
      </c>
      <c r="AS193" s="600"/>
      <c r="AT193" s="378"/>
      <c r="AU193" s="187"/>
      <c r="AV193" s="379"/>
      <c r="AW193" s="378" t="e">
        <f t="shared" si="84"/>
        <v>#N/A</v>
      </c>
      <c r="AX193" s="600"/>
    </row>
    <row r="194" spans="2:50">
      <c r="B194" s="598"/>
      <c r="C194" s="357">
        <v>13</v>
      </c>
      <c r="D194" s="357"/>
      <c r="E194" s="357"/>
      <c r="F194" s="357"/>
      <c r="G194" s="357"/>
      <c r="H194" s="600"/>
      <c r="I194" s="204" t="e">
        <f t="shared" si="75"/>
        <v>#DIV/0!</v>
      </c>
      <c r="J194" s="204" t="e">
        <f t="shared" si="76"/>
        <v>#DIV/0!</v>
      </c>
      <c r="K194" s="205" t="e">
        <f t="shared" si="77"/>
        <v>#DIV/0!</v>
      </c>
      <c r="L194" s="572"/>
      <c r="M194" s="204" t="e">
        <f>RANK(K194, K$182:$K$211)</f>
        <v>#DIV/0!</v>
      </c>
      <c r="N194" s="590"/>
      <c r="O194" s="590"/>
      <c r="P194" s="357"/>
      <c r="Q194" s="187"/>
      <c r="R194" s="360"/>
      <c r="S194" s="378" t="e">
        <f t="shared" si="78"/>
        <v>#N/A</v>
      </c>
      <c r="T194" s="600"/>
      <c r="U194" s="357"/>
      <c r="V194" s="187"/>
      <c r="W194" s="360"/>
      <c r="X194" s="378" t="e">
        <f t="shared" si="79"/>
        <v>#N/A</v>
      </c>
      <c r="Y194" s="600"/>
      <c r="Z194" s="378"/>
      <c r="AA194" s="187"/>
      <c r="AB194" s="379"/>
      <c r="AC194" s="378" t="e">
        <f t="shared" si="80"/>
        <v>#N/A</v>
      </c>
      <c r="AD194" s="600"/>
      <c r="AE194" s="378"/>
      <c r="AF194" s="187"/>
      <c r="AG194" s="379"/>
      <c r="AH194" s="378" t="e">
        <f t="shared" si="81"/>
        <v>#N/A</v>
      </c>
      <c r="AI194" s="600"/>
      <c r="AJ194" s="378"/>
      <c r="AK194" s="187"/>
      <c r="AL194" s="379"/>
      <c r="AM194" s="378" t="e">
        <f t="shared" si="82"/>
        <v>#N/A</v>
      </c>
      <c r="AN194" s="600"/>
      <c r="AO194" s="378"/>
      <c r="AP194" s="187"/>
      <c r="AQ194" s="379"/>
      <c r="AR194" s="378" t="e">
        <f t="shared" si="83"/>
        <v>#N/A</v>
      </c>
      <c r="AS194" s="600"/>
      <c r="AT194" s="378"/>
      <c r="AU194" s="187"/>
      <c r="AV194" s="379"/>
      <c r="AW194" s="378" t="e">
        <f t="shared" si="84"/>
        <v>#N/A</v>
      </c>
      <c r="AX194" s="600"/>
    </row>
    <row r="195" spans="2:50">
      <c r="B195" s="598"/>
      <c r="C195" s="357">
        <v>14</v>
      </c>
      <c r="D195" s="357"/>
      <c r="E195" s="357"/>
      <c r="F195" s="357"/>
      <c r="G195" s="357"/>
      <c r="H195" s="600"/>
      <c r="I195" s="204" t="e">
        <f t="shared" si="75"/>
        <v>#DIV/0!</v>
      </c>
      <c r="J195" s="204" t="e">
        <f t="shared" si="76"/>
        <v>#DIV/0!</v>
      </c>
      <c r="K195" s="205" t="e">
        <f t="shared" si="77"/>
        <v>#DIV/0!</v>
      </c>
      <c r="L195" s="572"/>
      <c r="M195" s="204" t="e">
        <f>RANK(K195, K$182:$K$211)</f>
        <v>#DIV/0!</v>
      </c>
      <c r="N195" s="590"/>
      <c r="O195" s="590"/>
      <c r="P195" s="357"/>
      <c r="Q195" s="187"/>
      <c r="R195" s="360"/>
      <c r="S195" s="378" t="e">
        <f t="shared" si="78"/>
        <v>#N/A</v>
      </c>
      <c r="T195" s="600"/>
      <c r="U195" s="357"/>
      <c r="V195" s="187"/>
      <c r="W195" s="360"/>
      <c r="X195" s="378" t="e">
        <f t="shared" si="79"/>
        <v>#N/A</v>
      </c>
      <c r="Y195" s="600"/>
      <c r="Z195" s="378"/>
      <c r="AA195" s="187"/>
      <c r="AB195" s="379"/>
      <c r="AC195" s="378" t="e">
        <f t="shared" si="80"/>
        <v>#N/A</v>
      </c>
      <c r="AD195" s="600"/>
      <c r="AE195" s="378"/>
      <c r="AF195" s="187"/>
      <c r="AG195" s="379"/>
      <c r="AH195" s="378" t="e">
        <f t="shared" si="81"/>
        <v>#N/A</v>
      </c>
      <c r="AI195" s="600"/>
      <c r="AJ195" s="378"/>
      <c r="AK195" s="187"/>
      <c r="AL195" s="379"/>
      <c r="AM195" s="378" t="e">
        <f t="shared" si="82"/>
        <v>#N/A</v>
      </c>
      <c r="AN195" s="600"/>
      <c r="AO195" s="378"/>
      <c r="AP195" s="187"/>
      <c r="AQ195" s="379"/>
      <c r="AR195" s="378" t="e">
        <f t="shared" si="83"/>
        <v>#N/A</v>
      </c>
      <c r="AS195" s="600"/>
      <c r="AT195" s="378"/>
      <c r="AU195" s="187"/>
      <c r="AV195" s="379"/>
      <c r="AW195" s="378" t="e">
        <f t="shared" si="84"/>
        <v>#N/A</v>
      </c>
      <c r="AX195" s="600"/>
    </row>
    <row r="196" spans="2:50">
      <c r="B196" s="598"/>
      <c r="C196" s="357">
        <v>15</v>
      </c>
      <c r="D196" s="357"/>
      <c r="E196" s="357"/>
      <c r="F196" s="357"/>
      <c r="G196" s="357"/>
      <c r="H196" s="600"/>
      <c r="I196" s="204" t="e">
        <f t="shared" si="75"/>
        <v>#DIV/0!</v>
      </c>
      <c r="J196" s="204" t="e">
        <f t="shared" si="76"/>
        <v>#DIV/0!</v>
      </c>
      <c r="K196" s="205" t="e">
        <f t="shared" si="77"/>
        <v>#DIV/0!</v>
      </c>
      <c r="L196" s="572"/>
      <c r="M196" s="204" t="e">
        <f>RANK(K196, K$182:$K$211)</f>
        <v>#DIV/0!</v>
      </c>
      <c r="N196" s="590"/>
      <c r="O196" s="590"/>
      <c r="P196" s="357"/>
      <c r="Q196" s="187"/>
      <c r="R196" s="360"/>
      <c r="S196" s="378" t="e">
        <f t="shared" si="78"/>
        <v>#N/A</v>
      </c>
      <c r="T196" s="600"/>
      <c r="U196" s="357"/>
      <c r="V196" s="187"/>
      <c r="W196" s="360"/>
      <c r="X196" s="378" t="e">
        <f t="shared" si="79"/>
        <v>#N/A</v>
      </c>
      <c r="Y196" s="600"/>
      <c r="Z196" s="378"/>
      <c r="AA196" s="187"/>
      <c r="AB196" s="379"/>
      <c r="AC196" s="378" t="e">
        <f t="shared" si="80"/>
        <v>#N/A</v>
      </c>
      <c r="AD196" s="600"/>
      <c r="AE196" s="378"/>
      <c r="AF196" s="187"/>
      <c r="AG196" s="379"/>
      <c r="AH196" s="378" t="e">
        <f t="shared" si="81"/>
        <v>#N/A</v>
      </c>
      <c r="AI196" s="600"/>
      <c r="AJ196" s="378"/>
      <c r="AK196" s="187"/>
      <c r="AL196" s="379"/>
      <c r="AM196" s="378" t="e">
        <f t="shared" si="82"/>
        <v>#N/A</v>
      </c>
      <c r="AN196" s="600"/>
      <c r="AO196" s="378"/>
      <c r="AP196" s="187"/>
      <c r="AQ196" s="379"/>
      <c r="AR196" s="378" t="e">
        <f t="shared" si="83"/>
        <v>#N/A</v>
      </c>
      <c r="AS196" s="600"/>
      <c r="AT196" s="378"/>
      <c r="AU196" s="187"/>
      <c r="AV196" s="379"/>
      <c r="AW196" s="378" t="e">
        <f t="shared" si="84"/>
        <v>#N/A</v>
      </c>
      <c r="AX196" s="600"/>
    </row>
    <row r="197" spans="2:50">
      <c r="B197" s="598"/>
      <c r="C197" s="357">
        <v>16</v>
      </c>
      <c r="D197" s="357"/>
      <c r="E197" s="357"/>
      <c r="F197" s="357"/>
      <c r="G197" s="357"/>
      <c r="H197" s="600"/>
      <c r="I197" s="204" t="e">
        <f t="shared" si="75"/>
        <v>#DIV/0!</v>
      </c>
      <c r="J197" s="204" t="e">
        <f t="shared" si="76"/>
        <v>#DIV/0!</v>
      </c>
      <c r="K197" s="205" t="e">
        <f t="shared" si="77"/>
        <v>#DIV/0!</v>
      </c>
      <c r="L197" s="572"/>
      <c r="M197" s="204" t="e">
        <f>RANK(K197, K$182:$K$211)</f>
        <v>#DIV/0!</v>
      </c>
      <c r="N197" s="590"/>
      <c r="O197" s="590"/>
      <c r="P197" s="357"/>
      <c r="Q197" s="187"/>
      <c r="R197" s="360"/>
      <c r="S197" s="378" t="e">
        <f t="shared" si="78"/>
        <v>#N/A</v>
      </c>
      <c r="T197" s="600"/>
      <c r="U197" s="357"/>
      <c r="V197" s="187"/>
      <c r="W197" s="360"/>
      <c r="X197" s="378" t="e">
        <f t="shared" si="79"/>
        <v>#N/A</v>
      </c>
      <c r="Y197" s="600"/>
      <c r="Z197" s="378"/>
      <c r="AA197" s="187"/>
      <c r="AB197" s="379"/>
      <c r="AC197" s="378" t="e">
        <f t="shared" si="80"/>
        <v>#N/A</v>
      </c>
      <c r="AD197" s="600"/>
      <c r="AE197" s="378"/>
      <c r="AF197" s="187"/>
      <c r="AG197" s="379"/>
      <c r="AH197" s="378" t="e">
        <f t="shared" si="81"/>
        <v>#N/A</v>
      </c>
      <c r="AI197" s="600"/>
      <c r="AJ197" s="378"/>
      <c r="AK197" s="187"/>
      <c r="AL197" s="379"/>
      <c r="AM197" s="378" t="e">
        <f t="shared" si="82"/>
        <v>#N/A</v>
      </c>
      <c r="AN197" s="600"/>
      <c r="AO197" s="378"/>
      <c r="AP197" s="187"/>
      <c r="AQ197" s="379"/>
      <c r="AR197" s="378" t="e">
        <f t="shared" si="83"/>
        <v>#N/A</v>
      </c>
      <c r="AS197" s="600"/>
      <c r="AT197" s="378"/>
      <c r="AU197" s="187"/>
      <c r="AV197" s="379"/>
      <c r="AW197" s="378" t="e">
        <f t="shared" si="84"/>
        <v>#N/A</v>
      </c>
      <c r="AX197" s="600"/>
    </row>
    <row r="198" spans="2:50">
      <c r="B198" s="598"/>
      <c r="C198" s="357">
        <v>17</v>
      </c>
      <c r="D198" s="357"/>
      <c r="E198" s="357"/>
      <c r="F198" s="357"/>
      <c r="G198" s="357"/>
      <c r="H198" s="600"/>
      <c r="I198" s="204" t="e">
        <f t="shared" si="75"/>
        <v>#DIV/0!</v>
      </c>
      <c r="J198" s="204" t="e">
        <f t="shared" si="76"/>
        <v>#DIV/0!</v>
      </c>
      <c r="K198" s="205" t="e">
        <f t="shared" si="77"/>
        <v>#DIV/0!</v>
      </c>
      <c r="L198" s="572"/>
      <c r="M198" s="204" t="e">
        <f>RANK(K198, K$182:$K$211)</f>
        <v>#DIV/0!</v>
      </c>
      <c r="N198" s="590"/>
      <c r="O198" s="590"/>
      <c r="P198" s="357"/>
      <c r="Q198" s="187"/>
      <c r="R198" s="360"/>
      <c r="S198" s="378" t="e">
        <f t="shared" si="78"/>
        <v>#N/A</v>
      </c>
      <c r="T198" s="600"/>
      <c r="U198" s="357"/>
      <c r="V198" s="187"/>
      <c r="W198" s="360"/>
      <c r="X198" s="378" t="e">
        <f t="shared" si="79"/>
        <v>#N/A</v>
      </c>
      <c r="Y198" s="600"/>
      <c r="Z198" s="378"/>
      <c r="AA198" s="187"/>
      <c r="AB198" s="379"/>
      <c r="AC198" s="378" t="e">
        <f t="shared" si="80"/>
        <v>#N/A</v>
      </c>
      <c r="AD198" s="600"/>
      <c r="AE198" s="378"/>
      <c r="AF198" s="187"/>
      <c r="AG198" s="379"/>
      <c r="AH198" s="378" t="e">
        <f t="shared" si="81"/>
        <v>#N/A</v>
      </c>
      <c r="AI198" s="600"/>
      <c r="AJ198" s="378"/>
      <c r="AK198" s="187"/>
      <c r="AL198" s="379"/>
      <c r="AM198" s="378" t="e">
        <f t="shared" si="82"/>
        <v>#N/A</v>
      </c>
      <c r="AN198" s="600"/>
      <c r="AO198" s="378"/>
      <c r="AP198" s="187"/>
      <c r="AQ198" s="379"/>
      <c r="AR198" s="378" t="e">
        <f t="shared" si="83"/>
        <v>#N/A</v>
      </c>
      <c r="AS198" s="600"/>
      <c r="AT198" s="378"/>
      <c r="AU198" s="187"/>
      <c r="AV198" s="379"/>
      <c r="AW198" s="378" t="e">
        <f t="shared" si="84"/>
        <v>#N/A</v>
      </c>
      <c r="AX198" s="600"/>
    </row>
    <row r="199" spans="2:50">
      <c r="B199" s="598"/>
      <c r="C199" s="357">
        <v>18</v>
      </c>
      <c r="D199" s="357"/>
      <c r="E199" s="357"/>
      <c r="F199" s="357"/>
      <c r="G199" s="357"/>
      <c r="H199" s="600"/>
      <c r="I199" s="204" t="e">
        <f t="shared" si="75"/>
        <v>#DIV/0!</v>
      </c>
      <c r="J199" s="204" t="e">
        <f t="shared" si="76"/>
        <v>#DIV/0!</v>
      </c>
      <c r="K199" s="205" t="e">
        <f t="shared" si="77"/>
        <v>#DIV/0!</v>
      </c>
      <c r="L199" s="572"/>
      <c r="M199" s="204" t="e">
        <f>RANK(K199, K$182:$K$211)</f>
        <v>#DIV/0!</v>
      </c>
      <c r="N199" s="590"/>
      <c r="O199" s="590"/>
      <c r="P199" s="357"/>
      <c r="Q199" s="187"/>
      <c r="R199" s="360"/>
      <c r="S199" s="378" t="e">
        <f t="shared" si="78"/>
        <v>#N/A</v>
      </c>
      <c r="T199" s="600"/>
      <c r="U199" s="357"/>
      <c r="V199" s="187"/>
      <c r="W199" s="360"/>
      <c r="X199" s="378" t="e">
        <f t="shared" si="79"/>
        <v>#N/A</v>
      </c>
      <c r="Y199" s="600"/>
      <c r="Z199" s="378"/>
      <c r="AA199" s="187"/>
      <c r="AB199" s="379"/>
      <c r="AC199" s="378" t="e">
        <f t="shared" si="80"/>
        <v>#N/A</v>
      </c>
      <c r="AD199" s="600"/>
      <c r="AE199" s="378"/>
      <c r="AF199" s="187"/>
      <c r="AG199" s="379"/>
      <c r="AH199" s="378" t="e">
        <f t="shared" si="81"/>
        <v>#N/A</v>
      </c>
      <c r="AI199" s="600"/>
      <c r="AJ199" s="378"/>
      <c r="AK199" s="187"/>
      <c r="AL199" s="379"/>
      <c r="AM199" s="378" t="e">
        <f t="shared" si="82"/>
        <v>#N/A</v>
      </c>
      <c r="AN199" s="600"/>
      <c r="AO199" s="378"/>
      <c r="AP199" s="187"/>
      <c r="AQ199" s="379"/>
      <c r="AR199" s="378" t="e">
        <f t="shared" si="83"/>
        <v>#N/A</v>
      </c>
      <c r="AS199" s="600"/>
      <c r="AT199" s="378"/>
      <c r="AU199" s="187"/>
      <c r="AV199" s="379"/>
      <c r="AW199" s="378" t="e">
        <f t="shared" si="84"/>
        <v>#N/A</v>
      </c>
      <c r="AX199" s="600"/>
    </row>
    <row r="200" spans="2:50">
      <c r="B200" s="598"/>
      <c r="C200" s="357">
        <v>19</v>
      </c>
      <c r="D200" s="357"/>
      <c r="E200" s="357"/>
      <c r="F200" s="357"/>
      <c r="G200" s="357"/>
      <c r="H200" s="600"/>
      <c r="I200" s="204" t="e">
        <f t="shared" si="75"/>
        <v>#DIV/0!</v>
      </c>
      <c r="J200" s="204" t="e">
        <f t="shared" si="76"/>
        <v>#DIV/0!</v>
      </c>
      <c r="K200" s="205" t="e">
        <f t="shared" si="77"/>
        <v>#DIV/0!</v>
      </c>
      <c r="L200" s="572"/>
      <c r="M200" s="204" t="e">
        <f>RANK(K200, K$182:$K$211)</f>
        <v>#DIV/0!</v>
      </c>
      <c r="N200" s="590"/>
      <c r="O200" s="590"/>
      <c r="P200" s="357"/>
      <c r="Q200" s="187"/>
      <c r="R200" s="360"/>
      <c r="S200" s="378" t="e">
        <f t="shared" si="78"/>
        <v>#N/A</v>
      </c>
      <c r="T200" s="600"/>
      <c r="U200" s="357"/>
      <c r="V200" s="187"/>
      <c r="W200" s="360"/>
      <c r="X200" s="378" t="e">
        <f t="shared" si="79"/>
        <v>#N/A</v>
      </c>
      <c r="Y200" s="600"/>
      <c r="Z200" s="378"/>
      <c r="AA200" s="187"/>
      <c r="AB200" s="379"/>
      <c r="AC200" s="378" t="e">
        <f t="shared" si="80"/>
        <v>#N/A</v>
      </c>
      <c r="AD200" s="600"/>
      <c r="AE200" s="378"/>
      <c r="AF200" s="187"/>
      <c r="AG200" s="379"/>
      <c r="AH200" s="378" t="e">
        <f t="shared" si="81"/>
        <v>#N/A</v>
      </c>
      <c r="AI200" s="600"/>
      <c r="AJ200" s="378"/>
      <c r="AK200" s="187"/>
      <c r="AL200" s="379"/>
      <c r="AM200" s="378" t="e">
        <f t="shared" si="82"/>
        <v>#N/A</v>
      </c>
      <c r="AN200" s="600"/>
      <c r="AO200" s="378"/>
      <c r="AP200" s="187"/>
      <c r="AQ200" s="379"/>
      <c r="AR200" s="378" t="e">
        <f t="shared" si="83"/>
        <v>#N/A</v>
      </c>
      <c r="AS200" s="600"/>
      <c r="AT200" s="378"/>
      <c r="AU200" s="187"/>
      <c r="AV200" s="379"/>
      <c r="AW200" s="378" t="e">
        <f t="shared" si="84"/>
        <v>#N/A</v>
      </c>
      <c r="AX200" s="600"/>
    </row>
    <row r="201" spans="2:50">
      <c r="B201" s="598"/>
      <c r="C201" s="357">
        <v>20</v>
      </c>
      <c r="D201" s="357"/>
      <c r="E201" s="357"/>
      <c r="F201" s="357"/>
      <c r="G201" s="357"/>
      <c r="H201" s="600"/>
      <c r="I201" s="204" t="e">
        <f t="shared" si="75"/>
        <v>#DIV/0!</v>
      </c>
      <c r="J201" s="204" t="e">
        <f t="shared" si="76"/>
        <v>#DIV/0!</v>
      </c>
      <c r="K201" s="205" t="e">
        <f t="shared" si="77"/>
        <v>#DIV/0!</v>
      </c>
      <c r="L201" s="572"/>
      <c r="M201" s="204" t="e">
        <f>RANK(K201, K$182:$K$211)</f>
        <v>#DIV/0!</v>
      </c>
      <c r="N201" s="590"/>
      <c r="O201" s="590"/>
      <c r="P201" s="357"/>
      <c r="Q201" s="187"/>
      <c r="R201" s="360"/>
      <c r="S201" s="378" t="e">
        <f t="shared" si="78"/>
        <v>#N/A</v>
      </c>
      <c r="T201" s="600"/>
      <c r="U201" s="357"/>
      <c r="V201" s="187"/>
      <c r="W201" s="360"/>
      <c r="X201" s="378" t="e">
        <f t="shared" si="79"/>
        <v>#N/A</v>
      </c>
      <c r="Y201" s="600"/>
      <c r="Z201" s="378"/>
      <c r="AA201" s="187"/>
      <c r="AB201" s="379"/>
      <c r="AC201" s="378" t="e">
        <f t="shared" si="80"/>
        <v>#N/A</v>
      </c>
      <c r="AD201" s="600"/>
      <c r="AE201" s="378"/>
      <c r="AF201" s="187"/>
      <c r="AG201" s="379"/>
      <c r="AH201" s="378" t="e">
        <f t="shared" si="81"/>
        <v>#N/A</v>
      </c>
      <c r="AI201" s="600"/>
      <c r="AJ201" s="378"/>
      <c r="AK201" s="187"/>
      <c r="AL201" s="379"/>
      <c r="AM201" s="378" t="e">
        <f t="shared" si="82"/>
        <v>#N/A</v>
      </c>
      <c r="AN201" s="600"/>
      <c r="AO201" s="378"/>
      <c r="AP201" s="187"/>
      <c r="AQ201" s="379"/>
      <c r="AR201" s="378" t="e">
        <f t="shared" si="83"/>
        <v>#N/A</v>
      </c>
      <c r="AS201" s="600"/>
      <c r="AT201" s="378"/>
      <c r="AU201" s="187"/>
      <c r="AV201" s="379"/>
      <c r="AW201" s="378" t="e">
        <f t="shared" si="84"/>
        <v>#N/A</v>
      </c>
      <c r="AX201" s="600"/>
    </row>
    <row r="202" spans="2:50">
      <c r="B202" s="598"/>
      <c r="C202" s="357">
        <v>21</v>
      </c>
      <c r="D202" s="357"/>
      <c r="E202" s="357"/>
      <c r="F202" s="357"/>
      <c r="G202" s="357"/>
      <c r="H202" s="600"/>
      <c r="I202" s="204" t="e">
        <f t="shared" si="75"/>
        <v>#DIV/0!</v>
      </c>
      <c r="J202" s="204" t="e">
        <f t="shared" si="76"/>
        <v>#DIV/0!</v>
      </c>
      <c r="K202" s="205" t="e">
        <f t="shared" si="77"/>
        <v>#DIV/0!</v>
      </c>
      <c r="L202" s="572"/>
      <c r="M202" s="204" t="e">
        <f>RANK(K202, K$182:$K$211)</f>
        <v>#DIV/0!</v>
      </c>
      <c r="N202" s="590"/>
      <c r="O202" s="590"/>
      <c r="P202" s="357"/>
      <c r="Q202" s="187"/>
      <c r="R202" s="360"/>
      <c r="S202" s="378" t="e">
        <f t="shared" si="78"/>
        <v>#N/A</v>
      </c>
      <c r="T202" s="600"/>
      <c r="U202" s="357"/>
      <c r="V202" s="187"/>
      <c r="W202" s="360"/>
      <c r="X202" s="378" t="e">
        <f t="shared" si="79"/>
        <v>#N/A</v>
      </c>
      <c r="Y202" s="600"/>
      <c r="Z202" s="378"/>
      <c r="AA202" s="187"/>
      <c r="AB202" s="379"/>
      <c r="AC202" s="378" t="e">
        <f t="shared" si="80"/>
        <v>#N/A</v>
      </c>
      <c r="AD202" s="600"/>
      <c r="AE202" s="378"/>
      <c r="AF202" s="187"/>
      <c r="AG202" s="379"/>
      <c r="AH202" s="378" t="e">
        <f t="shared" si="81"/>
        <v>#N/A</v>
      </c>
      <c r="AI202" s="600"/>
      <c r="AJ202" s="378"/>
      <c r="AK202" s="187"/>
      <c r="AL202" s="379"/>
      <c r="AM202" s="378" t="e">
        <f t="shared" si="82"/>
        <v>#N/A</v>
      </c>
      <c r="AN202" s="600"/>
      <c r="AO202" s="378"/>
      <c r="AP202" s="187"/>
      <c r="AQ202" s="379"/>
      <c r="AR202" s="378" t="e">
        <f t="shared" si="83"/>
        <v>#N/A</v>
      </c>
      <c r="AS202" s="600"/>
      <c r="AT202" s="378"/>
      <c r="AU202" s="187"/>
      <c r="AV202" s="379"/>
      <c r="AW202" s="378" t="e">
        <f t="shared" si="84"/>
        <v>#N/A</v>
      </c>
      <c r="AX202" s="600"/>
    </row>
    <row r="203" spans="2:50">
      <c r="B203" s="598"/>
      <c r="C203" s="357">
        <v>22</v>
      </c>
      <c r="D203" s="357"/>
      <c r="E203" s="357"/>
      <c r="F203" s="357"/>
      <c r="G203" s="357"/>
      <c r="H203" s="600"/>
      <c r="I203" s="204" t="e">
        <f t="shared" si="75"/>
        <v>#DIV/0!</v>
      </c>
      <c r="J203" s="204" t="e">
        <f t="shared" si="76"/>
        <v>#DIV/0!</v>
      </c>
      <c r="K203" s="205" t="e">
        <f t="shared" si="77"/>
        <v>#DIV/0!</v>
      </c>
      <c r="L203" s="572"/>
      <c r="M203" s="204" t="e">
        <f>RANK(K203, K$182:$K$211)</f>
        <v>#DIV/0!</v>
      </c>
      <c r="N203" s="590"/>
      <c r="O203" s="590"/>
      <c r="P203" s="357"/>
      <c r="Q203" s="187"/>
      <c r="R203" s="360"/>
      <c r="S203" s="378" t="e">
        <f t="shared" si="78"/>
        <v>#N/A</v>
      </c>
      <c r="T203" s="600"/>
      <c r="U203" s="357"/>
      <c r="V203" s="187"/>
      <c r="W203" s="360"/>
      <c r="X203" s="378" t="e">
        <f t="shared" si="79"/>
        <v>#N/A</v>
      </c>
      <c r="Y203" s="600"/>
      <c r="Z203" s="378"/>
      <c r="AA203" s="187"/>
      <c r="AB203" s="379"/>
      <c r="AC203" s="378" t="e">
        <f t="shared" si="80"/>
        <v>#N/A</v>
      </c>
      <c r="AD203" s="600"/>
      <c r="AE203" s="378"/>
      <c r="AF203" s="187"/>
      <c r="AG203" s="379"/>
      <c r="AH203" s="378" t="e">
        <f t="shared" si="81"/>
        <v>#N/A</v>
      </c>
      <c r="AI203" s="600"/>
      <c r="AJ203" s="378"/>
      <c r="AK203" s="187"/>
      <c r="AL203" s="379"/>
      <c r="AM203" s="378" t="e">
        <f t="shared" si="82"/>
        <v>#N/A</v>
      </c>
      <c r="AN203" s="600"/>
      <c r="AO203" s="378"/>
      <c r="AP203" s="187"/>
      <c r="AQ203" s="379"/>
      <c r="AR203" s="378" t="e">
        <f t="shared" si="83"/>
        <v>#N/A</v>
      </c>
      <c r="AS203" s="600"/>
      <c r="AT203" s="378"/>
      <c r="AU203" s="187"/>
      <c r="AV203" s="379"/>
      <c r="AW203" s="378" t="e">
        <f t="shared" si="84"/>
        <v>#N/A</v>
      </c>
      <c r="AX203" s="600"/>
    </row>
    <row r="204" spans="2:50">
      <c r="B204" s="598"/>
      <c r="C204" s="357">
        <v>23</v>
      </c>
      <c r="D204" s="357"/>
      <c r="E204" s="357"/>
      <c r="F204" s="357"/>
      <c r="G204" s="357"/>
      <c r="H204" s="600"/>
      <c r="I204" s="204" t="e">
        <f t="shared" si="75"/>
        <v>#DIV/0!</v>
      </c>
      <c r="J204" s="204" t="e">
        <f t="shared" si="76"/>
        <v>#DIV/0!</v>
      </c>
      <c r="K204" s="205" t="e">
        <f t="shared" si="77"/>
        <v>#DIV/0!</v>
      </c>
      <c r="L204" s="572"/>
      <c r="M204" s="204" t="e">
        <f>RANK(K204, K$182:$K$211)</f>
        <v>#DIV/0!</v>
      </c>
      <c r="N204" s="590"/>
      <c r="O204" s="590"/>
      <c r="P204" s="357"/>
      <c r="Q204" s="187"/>
      <c r="R204" s="360"/>
      <c r="S204" s="378" t="e">
        <f t="shared" si="78"/>
        <v>#N/A</v>
      </c>
      <c r="T204" s="600"/>
      <c r="U204" s="357"/>
      <c r="V204" s="187"/>
      <c r="W204" s="360"/>
      <c r="X204" s="378" t="e">
        <f t="shared" si="79"/>
        <v>#N/A</v>
      </c>
      <c r="Y204" s="600"/>
      <c r="Z204" s="378"/>
      <c r="AA204" s="187"/>
      <c r="AB204" s="379"/>
      <c r="AC204" s="378" t="e">
        <f t="shared" si="80"/>
        <v>#N/A</v>
      </c>
      <c r="AD204" s="600"/>
      <c r="AE204" s="378"/>
      <c r="AF204" s="187"/>
      <c r="AG204" s="379"/>
      <c r="AH204" s="378" t="e">
        <f t="shared" si="81"/>
        <v>#N/A</v>
      </c>
      <c r="AI204" s="600"/>
      <c r="AJ204" s="378"/>
      <c r="AK204" s="187"/>
      <c r="AL204" s="379"/>
      <c r="AM204" s="378" t="e">
        <f t="shared" si="82"/>
        <v>#N/A</v>
      </c>
      <c r="AN204" s="600"/>
      <c r="AO204" s="378"/>
      <c r="AP204" s="187"/>
      <c r="AQ204" s="379"/>
      <c r="AR204" s="378" t="e">
        <f t="shared" si="83"/>
        <v>#N/A</v>
      </c>
      <c r="AS204" s="600"/>
      <c r="AT204" s="378"/>
      <c r="AU204" s="187"/>
      <c r="AV204" s="379"/>
      <c r="AW204" s="378" t="e">
        <f t="shared" si="84"/>
        <v>#N/A</v>
      </c>
      <c r="AX204" s="600"/>
    </row>
    <row r="205" spans="2:50">
      <c r="B205" s="598"/>
      <c r="C205" s="357">
        <v>24</v>
      </c>
      <c r="D205" s="357"/>
      <c r="E205" s="357"/>
      <c r="F205" s="357"/>
      <c r="G205" s="357"/>
      <c r="H205" s="600"/>
      <c r="I205" s="207"/>
      <c r="J205" s="207"/>
      <c r="K205" s="207"/>
      <c r="L205" s="572"/>
      <c r="M205" s="204" t="e">
        <f>RANK(K205, K$182:$K$211)</f>
        <v>#DIV/0!</v>
      </c>
      <c r="N205" s="590"/>
      <c r="O205" s="590"/>
      <c r="P205" s="357"/>
      <c r="Q205" s="187"/>
      <c r="R205" s="360"/>
      <c r="S205" s="378" t="e">
        <f t="shared" si="78"/>
        <v>#N/A</v>
      </c>
      <c r="T205" s="600"/>
      <c r="U205" s="357"/>
      <c r="V205" s="357"/>
      <c r="W205" s="357"/>
      <c r="X205" s="378" t="e">
        <f t="shared" si="79"/>
        <v>#N/A</v>
      </c>
      <c r="Y205" s="600"/>
      <c r="Z205" s="378"/>
      <c r="AA205" s="378"/>
      <c r="AB205" s="378"/>
      <c r="AC205" s="378" t="e">
        <f t="shared" si="80"/>
        <v>#N/A</v>
      </c>
      <c r="AD205" s="600"/>
      <c r="AE205" s="378"/>
      <c r="AF205" s="378"/>
      <c r="AG205" s="378"/>
      <c r="AH205" s="378" t="e">
        <f t="shared" si="81"/>
        <v>#N/A</v>
      </c>
      <c r="AI205" s="600"/>
      <c r="AJ205" s="378"/>
      <c r="AK205" s="378"/>
      <c r="AL205" s="378"/>
      <c r="AM205" s="378" t="e">
        <f t="shared" si="82"/>
        <v>#N/A</v>
      </c>
      <c r="AN205" s="600"/>
      <c r="AO205" s="378"/>
      <c r="AP205" s="378"/>
      <c r="AQ205" s="378"/>
      <c r="AR205" s="378" t="e">
        <f t="shared" si="83"/>
        <v>#N/A</v>
      </c>
      <c r="AS205" s="600"/>
      <c r="AT205" s="378"/>
      <c r="AU205" s="378"/>
      <c r="AV205" s="378"/>
      <c r="AW205" s="378" t="e">
        <f t="shared" si="84"/>
        <v>#N/A</v>
      </c>
      <c r="AX205" s="600"/>
    </row>
    <row r="206" spans="2:50">
      <c r="B206" s="598"/>
      <c r="C206" s="357">
        <v>25</v>
      </c>
      <c r="D206" s="357"/>
      <c r="E206" s="357"/>
      <c r="F206" s="357"/>
      <c r="G206" s="357"/>
      <c r="H206" s="600"/>
      <c r="I206" s="207"/>
      <c r="J206" s="207"/>
      <c r="K206" s="207"/>
      <c r="L206" s="572"/>
      <c r="M206" s="204" t="e">
        <f>RANK(K206, K$182:$K$211)</f>
        <v>#DIV/0!</v>
      </c>
      <c r="N206" s="590"/>
      <c r="O206" s="590"/>
      <c r="P206" s="357"/>
      <c r="Q206" s="357"/>
      <c r="R206" s="357"/>
      <c r="S206" s="378" t="e">
        <f t="shared" si="78"/>
        <v>#N/A</v>
      </c>
      <c r="T206" s="600"/>
      <c r="U206" s="357"/>
      <c r="V206" s="357"/>
      <c r="W206" s="357"/>
      <c r="X206" s="378" t="e">
        <f t="shared" si="79"/>
        <v>#N/A</v>
      </c>
      <c r="Y206" s="600"/>
      <c r="Z206" s="378"/>
      <c r="AA206" s="378"/>
      <c r="AB206" s="378"/>
      <c r="AC206" s="378" t="e">
        <f t="shared" si="80"/>
        <v>#N/A</v>
      </c>
      <c r="AD206" s="600"/>
      <c r="AE206" s="378"/>
      <c r="AF206" s="378"/>
      <c r="AG206" s="378"/>
      <c r="AH206" s="378" t="e">
        <f t="shared" si="81"/>
        <v>#N/A</v>
      </c>
      <c r="AI206" s="600"/>
      <c r="AJ206" s="378"/>
      <c r="AK206" s="378"/>
      <c r="AL206" s="378"/>
      <c r="AM206" s="378" t="e">
        <f t="shared" si="82"/>
        <v>#N/A</v>
      </c>
      <c r="AN206" s="600"/>
      <c r="AO206" s="378"/>
      <c r="AP206" s="378"/>
      <c r="AQ206" s="378"/>
      <c r="AR206" s="378" t="e">
        <f t="shared" si="83"/>
        <v>#N/A</v>
      </c>
      <c r="AS206" s="600"/>
      <c r="AT206" s="378"/>
      <c r="AU206" s="378"/>
      <c r="AV206" s="378"/>
      <c r="AW206" s="378" t="e">
        <f t="shared" si="84"/>
        <v>#N/A</v>
      </c>
      <c r="AX206" s="600"/>
    </row>
    <row r="207" spans="2:50">
      <c r="B207" s="598"/>
      <c r="C207" s="357">
        <v>26</v>
      </c>
      <c r="D207" s="357"/>
      <c r="E207" s="357"/>
      <c r="F207" s="357"/>
      <c r="G207" s="357"/>
      <c r="H207" s="600"/>
      <c r="I207" s="207"/>
      <c r="J207" s="207"/>
      <c r="K207" s="207"/>
      <c r="L207" s="572"/>
      <c r="M207" s="204" t="e">
        <f>RANK(K207, K$182:$K$211)</f>
        <v>#DIV/0!</v>
      </c>
      <c r="N207" s="590"/>
      <c r="O207" s="590"/>
      <c r="P207" s="357"/>
      <c r="Q207" s="357"/>
      <c r="R207" s="357"/>
      <c r="S207" s="378" t="e">
        <f t="shared" si="78"/>
        <v>#N/A</v>
      </c>
      <c r="T207" s="600"/>
      <c r="U207" s="357"/>
      <c r="V207" s="357"/>
      <c r="W207" s="357"/>
      <c r="X207" s="378" t="e">
        <f t="shared" si="79"/>
        <v>#N/A</v>
      </c>
      <c r="Y207" s="600"/>
      <c r="Z207" s="378"/>
      <c r="AA207" s="378"/>
      <c r="AB207" s="378"/>
      <c r="AC207" s="378" t="e">
        <f t="shared" si="80"/>
        <v>#N/A</v>
      </c>
      <c r="AD207" s="600"/>
      <c r="AE207" s="378"/>
      <c r="AF207" s="378"/>
      <c r="AG207" s="378"/>
      <c r="AH207" s="378" t="e">
        <f t="shared" si="81"/>
        <v>#N/A</v>
      </c>
      <c r="AI207" s="600"/>
      <c r="AJ207" s="378"/>
      <c r="AK207" s="378"/>
      <c r="AL207" s="378"/>
      <c r="AM207" s="378" t="e">
        <f t="shared" si="82"/>
        <v>#N/A</v>
      </c>
      <c r="AN207" s="600"/>
      <c r="AO207" s="378"/>
      <c r="AP207" s="378"/>
      <c r="AQ207" s="378"/>
      <c r="AR207" s="378" t="e">
        <f t="shared" si="83"/>
        <v>#N/A</v>
      </c>
      <c r="AS207" s="600"/>
      <c r="AT207" s="378"/>
      <c r="AU207" s="378"/>
      <c r="AV207" s="378"/>
      <c r="AW207" s="378" t="e">
        <f t="shared" si="84"/>
        <v>#N/A</v>
      </c>
      <c r="AX207" s="600"/>
    </row>
    <row r="208" spans="2:50">
      <c r="B208" s="598"/>
      <c r="C208" s="357">
        <v>27</v>
      </c>
      <c r="D208" s="357"/>
      <c r="E208" s="357"/>
      <c r="F208" s="357"/>
      <c r="G208" s="357"/>
      <c r="H208" s="600"/>
      <c r="I208" s="207"/>
      <c r="J208" s="207"/>
      <c r="K208" s="207"/>
      <c r="L208" s="572"/>
      <c r="M208" s="204" t="e">
        <f>RANK(K208, K$182:$K$211)</f>
        <v>#DIV/0!</v>
      </c>
      <c r="N208" s="590"/>
      <c r="O208" s="590"/>
      <c r="P208" s="357"/>
      <c r="Q208" s="357"/>
      <c r="R208" s="357"/>
      <c r="S208" s="378" t="e">
        <f t="shared" si="78"/>
        <v>#N/A</v>
      </c>
      <c r="T208" s="600"/>
      <c r="U208" s="357"/>
      <c r="V208" s="357"/>
      <c r="W208" s="357"/>
      <c r="X208" s="378" t="e">
        <f t="shared" si="79"/>
        <v>#N/A</v>
      </c>
      <c r="Y208" s="600"/>
      <c r="Z208" s="378"/>
      <c r="AA208" s="378"/>
      <c r="AB208" s="378"/>
      <c r="AC208" s="378" t="e">
        <f t="shared" si="80"/>
        <v>#N/A</v>
      </c>
      <c r="AD208" s="600"/>
      <c r="AE208" s="378"/>
      <c r="AF208" s="378"/>
      <c r="AG208" s="378"/>
      <c r="AH208" s="378" t="e">
        <f t="shared" si="81"/>
        <v>#N/A</v>
      </c>
      <c r="AI208" s="600"/>
      <c r="AJ208" s="378"/>
      <c r="AK208" s="378"/>
      <c r="AL208" s="378"/>
      <c r="AM208" s="378" t="e">
        <f t="shared" si="82"/>
        <v>#N/A</v>
      </c>
      <c r="AN208" s="600"/>
      <c r="AO208" s="378"/>
      <c r="AP208" s="378"/>
      <c r="AQ208" s="378"/>
      <c r="AR208" s="378" t="e">
        <f t="shared" si="83"/>
        <v>#N/A</v>
      </c>
      <c r="AS208" s="600"/>
      <c r="AT208" s="378"/>
      <c r="AU208" s="378"/>
      <c r="AV208" s="378"/>
      <c r="AW208" s="378" t="e">
        <f t="shared" si="84"/>
        <v>#N/A</v>
      </c>
      <c r="AX208" s="600"/>
    </row>
    <row r="209" spans="2:50">
      <c r="B209" s="598"/>
      <c r="C209" s="357">
        <v>28</v>
      </c>
      <c r="D209" s="357"/>
      <c r="E209" s="357"/>
      <c r="F209" s="357"/>
      <c r="G209" s="357"/>
      <c r="H209" s="600"/>
      <c r="I209" s="207"/>
      <c r="J209" s="207"/>
      <c r="K209" s="207"/>
      <c r="L209" s="572"/>
      <c r="M209" s="204" t="e">
        <f>RANK(K209, K$182:$K$211)</f>
        <v>#DIV/0!</v>
      </c>
      <c r="N209" s="590"/>
      <c r="O209" s="590"/>
      <c r="P209" s="357"/>
      <c r="Q209" s="357"/>
      <c r="R209" s="357"/>
      <c r="S209" s="378" t="e">
        <f t="shared" si="78"/>
        <v>#N/A</v>
      </c>
      <c r="T209" s="600"/>
      <c r="U209" s="357"/>
      <c r="V209" s="357"/>
      <c r="W209" s="357"/>
      <c r="X209" s="378" t="e">
        <f t="shared" si="79"/>
        <v>#N/A</v>
      </c>
      <c r="Y209" s="600"/>
      <c r="Z209" s="378"/>
      <c r="AA209" s="378"/>
      <c r="AB209" s="378"/>
      <c r="AC209" s="378" t="e">
        <f t="shared" si="80"/>
        <v>#N/A</v>
      </c>
      <c r="AD209" s="600"/>
      <c r="AE209" s="378"/>
      <c r="AF209" s="378"/>
      <c r="AG209" s="378"/>
      <c r="AH209" s="378" t="e">
        <f t="shared" si="81"/>
        <v>#N/A</v>
      </c>
      <c r="AI209" s="600"/>
      <c r="AJ209" s="378"/>
      <c r="AK209" s="378"/>
      <c r="AL209" s="378"/>
      <c r="AM209" s="378" t="e">
        <f t="shared" si="82"/>
        <v>#N/A</v>
      </c>
      <c r="AN209" s="600"/>
      <c r="AO209" s="378"/>
      <c r="AP209" s="378"/>
      <c r="AQ209" s="378"/>
      <c r="AR209" s="378" t="e">
        <f t="shared" si="83"/>
        <v>#N/A</v>
      </c>
      <c r="AS209" s="600"/>
      <c r="AT209" s="378"/>
      <c r="AU209" s="378"/>
      <c r="AV209" s="378"/>
      <c r="AW209" s="378" t="e">
        <f t="shared" si="84"/>
        <v>#N/A</v>
      </c>
      <c r="AX209" s="600"/>
    </row>
    <row r="210" spans="2:50">
      <c r="B210" s="598"/>
      <c r="C210" s="357">
        <v>29</v>
      </c>
      <c r="D210" s="357"/>
      <c r="E210" s="357"/>
      <c r="F210" s="357"/>
      <c r="G210" s="357"/>
      <c r="H210" s="600"/>
      <c r="I210" s="207"/>
      <c r="J210" s="207"/>
      <c r="K210" s="207"/>
      <c r="L210" s="572"/>
      <c r="M210" s="204" t="e">
        <f>RANK(K210, K$182:$K$211)</f>
        <v>#DIV/0!</v>
      </c>
      <c r="N210" s="590"/>
      <c r="O210" s="590"/>
      <c r="P210" s="357"/>
      <c r="Q210" s="357"/>
      <c r="R210" s="357"/>
      <c r="S210" s="378" t="e">
        <f t="shared" si="78"/>
        <v>#N/A</v>
      </c>
      <c r="T210" s="600"/>
      <c r="U210" s="357"/>
      <c r="V210" s="357"/>
      <c r="W210" s="357"/>
      <c r="X210" s="378" t="e">
        <f t="shared" si="79"/>
        <v>#N/A</v>
      </c>
      <c r="Y210" s="600"/>
      <c r="Z210" s="378"/>
      <c r="AA210" s="378"/>
      <c r="AB210" s="378"/>
      <c r="AC210" s="378" t="e">
        <f t="shared" si="80"/>
        <v>#N/A</v>
      </c>
      <c r="AD210" s="600"/>
      <c r="AE210" s="378"/>
      <c r="AF210" s="378"/>
      <c r="AG210" s="378"/>
      <c r="AH210" s="378" t="e">
        <f t="shared" si="81"/>
        <v>#N/A</v>
      </c>
      <c r="AI210" s="600"/>
      <c r="AJ210" s="378"/>
      <c r="AK210" s="378"/>
      <c r="AL210" s="378"/>
      <c r="AM210" s="378" t="e">
        <f t="shared" si="82"/>
        <v>#N/A</v>
      </c>
      <c r="AN210" s="600"/>
      <c r="AO210" s="378"/>
      <c r="AP210" s="378"/>
      <c r="AQ210" s="378"/>
      <c r="AR210" s="378" t="e">
        <f t="shared" si="83"/>
        <v>#N/A</v>
      </c>
      <c r="AS210" s="600"/>
      <c r="AT210" s="378"/>
      <c r="AU210" s="378"/>
      <c r="AV210" s="378"/>
      <c r="AW210" s="378" t="e">
        <f t="shared" si="84"/>
        <v>#N/A</v>
      </c>
      <c r="AX210" s="600"/>
    </row>
    <row r="211" spans="2:50">
      <c r="B211" s="598"/>
      <c r="C211" s="357">
        <v>30</v>
      </c>
      <c r="D211" s="357"/>
      <c r="E211" s="357"/>
      <c r="F211" s="357"/>
      <c r="G211" s="357"/>
      <c r="H211" s="601"/>
      <c r="I211" s="207"/>
      <c r="J211" s="207"/>
      <c r="K211" s="207"/>
      <c r="L211" s="573"/>
      <c r="M211" s="204" t="e">
        <f>RANK(K211, K$182:$K$211)</f>
        <v>#DIV/0!</v>
      </c>
      <c r="N211" s="590"/>
      <c r="O211" s="590"/>
      <c r="P211" s="357"/>
      <c r="Q211" s="357"/>
      <c r="R211" s="357"/>
      <c r="S211" s="378" t="e">
        <f t="shared" si="78"/>
        <v>#N/A</v>
      </c>
      <c r="T211" s="601"/>
      <c r="U211" s="357"/>
      <c r="V211" s="357"/>
      <c r="W211" s="357"/>
      <c r="X211" s="378" t="e">
        <f t="shared" si="79"/>
        <v>#N/A</v>
      </c>
      <c r="Y211" s="601"/>
      <c r="Z211" s="378"/>
      <c r="AA211" s="378"/>
      <c r="AB211" s="378"/>
      <c r="AC211" s="378" t="e">
        <f t="shared" si="80"/>
        <v>#N/A</v>
      </c>
      <c r="AD211" s="601"/>
      <c r="AE211" s="378"/>
      <c r="AF211" s="378"/>
      <c r="AG211" s="378"/>
      <c r="AH211" s="378" t="e">
        <f t="shared" si="81"/>
        <v>#N/A</v>
      </c>
      <c r="AI211" s="601"/>
      <c r="AJ211" s="378"/>
      <c r="AK211" s="378"/>
      <c r="AL211" s="378"/>
      <c r="AM211" s="378" t="e">
        <f t="shared" si="82"/>
        <v>#N/A</v>
      </c>
      <c r="AN211" s="601"/>
      <c r="AO211" s="378"/>
      <c r="AP211" s="378"/>
      <c r="AQ211" s="378"/>
      <c r="AR211" s="378" t="e">
        <f t="shared" si="83"/>
        <v>#N/A</v>
      </c>
      <c r="AS211" s="601"/>
      <c r="AT211" s="378"/>
      <c r="AU211" s="378"/>
      <c r="AV211" s="378"/>
      <c r="AW211" s="378" t="e">
        <f t="shared" si="84"/>
        <v>#N/A</v>
      </c>
      <c r="AX211" s="601"/>
    </row>
    <row r="213" spans="2:50" ht="15.75">
      <c r="B213" s="623" t="s">
        <v>668</v>
      </c>
      <c r="C213" s="624"/>
      <c r="D213" s="624"/>
      <c r="E213" s="624"/>
      <c r="F213" s="624"/>
      <c r="G213" s="624"/>
      <c r="H213" s="625"/>
      <c r="I213" s="361"/>
      <c r="J213" s="361"/>
      <c r="K213" s="361"/>
      <c r="L213" s="361"/>
      <c r="M213" s="362"/>
    </row>
    <row r="214" spans="2:50" ht="15.75">
      <c r="B214" s="626"/>
      <c r="C214" s="626"/>
      <c r="D214" s="626"/>
      <c r="E214" s="626"/>
      <c r="F214" s="626"/>
      <c r="G214" s="626"/>
      <c r="H214" s="626"/>
      <c r="I214" s="363"/>
      <c r="J214" s="363"/>
      <c r="K214" s="363"/>
      <c r="L214" s="363"/>
      <c r="M214" s="364"/>
    </row>
    <row r="215" spans="2:50">
      <c r="B215" s="590" t="s">
        <v>669</v>
      </c>
      <c r="C215" s="590" t="s">
        <v>670</v>
      </c>
      <c r="D215" s="590"/>
      <c r="E215" s="590" t="s">
        <v>671</v>
      </c>
      <c r="F215" s="590"/>
      <c r="G215" s="590"/>
      <c r="H215" s="590" t="s">
        <v>672</v>
      </c>
      <c r="I215" s="627" t="s">
        <v>673</v>
      </c>
      <c r="J215" s="627"/>
      <c r="K215" s="627"/>
      <c r="L215" s="627" t="s">
        <v>672</v>
      </c>
      <c r="M215" s="627" t="s">
        <v>674</v>
      </c>
    </row>
    <row r="216" spans="2:50">
      <c r="B216" s="590"/>
      <c r="C216" s="590"/>
      <c r="D216" s="590"/>
      <c r="E216" s="590" t="s">
        <v>675</v>
      </c>
      <c r="F216" s="590"/>
      <c r="G216" s="590"/>
      <c r="H216" s="590"/>
      <c r="I216" s="627" t="s">
        <v>675</v>
      </c>
      <c r="J216" s="627"/>
      <c r="K216" s="627"/>
      <c r="L216" s="627"/>
      <c r="M216" s="627"/>
    </row>
    <row r="217" spans="2:50">
      <c r="B217" s="590"/>
      <c r="C217" s="590"/>
      <c r="D217" s="590"/>
      <c r="E217" s="358" t="s">
        <v>676</v>
      </c>
      <c r="F217" s="358" t="s">
        <v>677</v>
      </c>
      <c r="G217" s="358" t="s">
        <v>678</v>
      </c>
      <c r="H217" s="590"/>
      <c r="I217" s="365" t="s">
        <v>676</v>
      </c>
      <c r="J217" s="365" t="s">
        <v>677</v>
      </c>
      <c r="K217" s="365" t="s">
        <v>678</v>
      </c>
      <c r="L217" s="627"/>
      <c r="M217" s="627"/>
    </row>
    <row r="218" spans="2:50">
      <c r="B218" s="628" t="s">
        <v>679</v>
      </c>
      <c r="C218" s="357">
        <v>1</v>
      </c>
      <c r="D218" s="357"/>
      <c r="E218" s="357"/>
      <c r="F218" s="357"/>
      <c r="G218" s="357"/>
      <c r="H218" s="629" t="e">
        <f>AVERAGE(G218:G247)</f>
        <v>#DIV/0!</v>
      </c>
      <c r="I218" s="204" t="e">
        <f t="shared" ref="I218:K240" si="85">AVERAGEIF($D$7:$D$211,$D218,I$7:I$211)</f>
        <v>#DIV/0!</v>
      </c>
      <c r="J218" s="204" t="e">
        <f t="shared" si="85"/>
        <v>#DIV/0!</v>
      </c>
      <c r="K218" s="204" t="e">
        <f>AVERAGEIF($D$7:$D$211,$D218,K$7:K$211)</f>
        <v>#DIV/0!</v>
      </c>
      <c r="L218" s="630" t="e">
        <f>AVERAGE(K218:K247)</f>
        <v>#DIV/0!</v>
      </c>
      <c r="M218" s="204" t="e">
        <f>RANK(K218, K$218:$K$247)</f>
        <v>#DIV/0!</v>
      </c>
    </row>
    <row r="219" spans="2:50">
      <c r="B219" s="598"/>
      <c r="C219" s="357">
        <v>2</v>
      </c>
      <c r="D219" s="357"/>
      <c r="E219" s="357"/>
      <c r="F219" s="357"/>
      <c r="G219" s="357"/>
      <c r="H219" s="629"/>
      <c r="I219" s="204" t="e">
        <f t="shared" si="85"/>
        <v>#DIV/0!</v>
      </c>
      <c r="J219" s="204" t="e">
        <f t="shared" si="85"/>
        <v>#DIV/0!</v>
      </c>
      <c r="K219" s="204" t="e">
        <f t="shared" si="85"/>
        <v>#DIV/0!</v>
      </c>
      <c r="L219" s="630"/>
      <c r="M219" s="204" t="e">
        <f>RANK(K219, K$218:$K$247)</f>
        <v>#DIV/0!</v>
      </c>
    </row>
    <row r="220" spans="2:50">
      <c r="B220" s="598"/>
      <c r="C220" s="357">
        <v>3</v>
      </c>
      <c r="D220" s="357"/>
      <c r="E220" s="357"/>
      <c r="F220" s="357"/>
      <c r="G220" s="357"/>
      <c r="H220" s="629"/>
      <c r="I220" s="204" t="e">
        <f t="shared" si="85"/>
        <v>#DIV/0!</v>
      </c>
      <c r="J220" s="204" t="e">
        <f t="shared" si="85"/>
        <v>#DIV/0!</v>
      </c>
      <c r="K220" s="204" t="e">
        <f t="shared" si="85"/>
        <v>#DIV/0!</v>
      </c>
      <c r="L220" s="630"/>
      <c r="M220" s="204" t="e">
        <f>RANK(K220, K$218:$K$247)</f>
        <v>#DIV/0!</v>
      </c>
    </row>
    <row r="221" spans="2:50">
      <c r="B221" s="598"/>
      <c r="C221" s="357">
        <v>4</v>
      </c>
      <c r="D221" s="357"/>
      <c r="E221" s="357"/>
      <c r="F221" s="357"/>
      <c r="G221" s="357"/>
      <c r="H221" s="629"/>
      <c r="I221" s="204" t="e">
        <f t="shared" si="85"/>
        <v>#DIV/0!</v>
      </c>
      <c r="J221" s="204" t="e">
        <f t="shared" si="85"/>
        <v>#DIV/0!</v>
      </c>
      <c r="K221" s="204" t="e">
        <f t="shared" si="85"/>
        <v>#DIV/0!</v>
      </c>
      <c r="L221" s="630"/>
      <c r="M221" s="204" t="e">
        <f>RANK(K221, K$218:$K$247)</f>
        <v>#DIV/0!</v>
      </c>
    </row>
    <row r="222" spans="2:50">
      <c r="B222" s="598"/>
      <c r="C222" s="357">
        <v>5</v>
      </c>
      <c r="D222" s="357"/>
      <c r="E222" s="357"/>
      <c r="F222" s="357"/>
      <c r="G222" s="357"/>
      <c r="H222" s="629"/>
      <c r="I222" s="204" t="e">
        <f t="shared" si="85"/>
        <v>#DIV/0!</v>
      </c>
      <c r="J222" s="204" t="e">
        <f t="shared" si="85"/>
        <v>#DIV/0!</v>
      </c>
      <c r="K222" s="204" t="e">
        <f t="shared" si="85"/>
        <v>#DIV/0!</v>
      </c>
      <c r="L222" s="630"/>
      <c r="M222" s="204" t="e">
        <f>RANK(K222, K$218:$K$247)</f>
        <v>#DIV/0!</v>
      </c>
    </row>
    <row r="223" spans="2:50">
      <c r="B223" s="598"/>
      <c r="C223" s="357">
        <v>6</v>
      </c>
      <c r="D223" s="357"/>
      <c r="E223" s="357"/>
      <c r="F223" s="357"/>
      <c r="G223" s="357"/>
      <c r="H223" s="629"/>
      <c r="I223" s="204" t="e">
        <f t="shared" si="85"/>
        <v>#DIV/0!</v>
      </c>
      <c r="J223" s="204" t="e">
        <f t="shared" si="85"/>
        <v>#DIV/0!</v>
      </c>
      <c r="K223" s="204" t="e">
        <f t="shared" si="85"/>
        <v>#DIV/0!</v>
      </c>
      <c r="L223" s="630"/>
      <c r="M223" s="204" t="e">
        <f>RANK(K223, K$218:$K$247)</f>
        <v>#DIV/0!</v>
      </c>
    </row>
    <row r="224" spans="2:50">
      <c r="B224" s="598"/>
      <c r="C224" s="357">
        <v>7</v>
      </c>
      <c r="D224" s="357"/>
      <c r="E224" s="357"/>
      <c r="F224" s="357"/>
      <c r="G224" s="357"/>
      <c r="H224" s="629"/>
      <c r="I224" s="204" t="e">
        <f t="shared" si="85"/>
        <v>#DIV/0!</v>
      </c>
      <c r="J224" s="204" t="e">
        <f t="shared" si="85"/>
        <v>#DIV/0!</v>
      </c>
      <c r="K224" s="204" t="e">
        <f t="shared" si="85"/>
        <v>#DIV/0!</v>
      </c>
      <c r="L224" s="630"/>
      <c r="M224" s="204" t="e">
        <f>RANK(K224, K$218:$K$247)</f>
        <v>#DIV/0!</v>
      </c>
    </row>
    <row r="225" spans="2:13">
      <c r="B225" s="598"/>
      <c r="C225" s="357">
        <v>8</v>
      </c>
      <c r="D225" s="357"/>
      <c r="E225" s="357"/>
      <c r="F225" s="357"/>
      <c r="G225" s="357"/>
      <c r="H225" s="629"/>
      <c r="I225" s="204" t="e">
        <f t="shared" si="85"/>
        <v>#DIV/0!</v>
      </c>
      <c r="J225" s="204" t="e">
        <f t="shared" si="85"/>
        <v>#DIV/0!</v>
      </c>
      <c r="K225" s="204" t="e">
        <f t="shared" si="85"/>
        <v>#DIV/0!</v>
      </c>
      <c r="L225" s="630"/>
      <c r="M225" s="204" t="e">
        <f>RANK(K225, K$218:$K$247)</f>
        <v>#DIV/0!</v>
      </c>
    </row>
    <row r="226" spans="2:13">
      <c r="B226" s="598"/>
      <c r="C226" s="357">
        <v>9</v>
      </c>
      <c r="D226" s="357"/>
      <c r="E226" s="357"/>
      <c r="F226" s="357"/>
      <c r="G226" s="357"/>
      <c r="H226" s="629"/>
      <c r="I226" s="204" t="e">
        <f t="shared" si="85"/>
        <v>#DIV/0!</v>
      </c>
      <c r="J226" s="204" t="e">
        <f t="shared" si="85"/>
        <v>#DIV/0!</v>
      </c>
      <c r="K226" s="204" t="e">
        <f t="shared" si="85"/>
        <v>#DIV/0!</v>
      </c>
      <c r="L226" s="630"/>
      <c r="M226" s="204" t="e">
        <f>RANK(K226, K$218:$K$247)</f>
        <v>#DIV/0!</v>
      </c>
    </row>
    <row r="227" spans="2:13">
      <c r="B227" s="598"/>
      <c r="C227" s="357">
        <v>10</v>
      </c>
      <c r="D227" s="357"/>
      <c r="E227" s="357"/>
      <c r="F227" s="357"/>
      <c r="G227" s="357"/>
      <c r="H227" s="629"/>
      <c r="I227" s="204" t="e">
        <f t="shared" si="85"/>
        <v>#DIV/0!</v>
      </c>
      <c r="J227" s="204" t="e">
        <f t="shared" si="85"/>
        <v>#DIV/0!</v>
      </c>
      <c r="K227" s="204" t="e">
        <f t="shared" si="85"/>
        <v>#DIV/0!</v>
      </c>
      <c r="L227" s="630"/>
      <c r="M227" s="204" t="e">
        <f>RANK(K227, K$218:$K$247)</f>
        <v>#DIV/0!</v>
      </c>
    </row>
    <row r="228" spans="2:13">
      <c r="B228" s="598"/>
      <c r="C228" s="357">
        <v>11</v>
      </c>
      <c r="D228" s="357"/>
      <c r="E228" s="357"/>
      <c r="F228" s="357"/>
      <c r="G228" s="357"/>
      <c r="H228" s="629"/>
      <c r="I228" s="204" t="e">
        <f t="shared" si="85"/>
        <v>#DIV/0!</v>
      </c>
      <c r="J228" s="204" t="e">
        <f t="shared" si="85"/>
        <v>#DIV/0!</v>
      </c>
      <c r="K228" s="204" t="e">
        <f t="shared" si="85"/>
        <v>#DIV/0!</v>
      </c>
      <c r="L228" s="630"/>
      <c r="M228" s="204" t="e">
        <f>RANK(K228, K$218:$K$247)</f>
        <v>#DIV/0!</v>
      </c>
    </row>
    <row r="229" spans="2:13">
      <c r="B229" s="598"/>
      <c r="C229" s="357">
        <v>12</v>
      </c>
      <c r="D229" s="357"/>
      <c r="E229" s="357"/>
      <c r="F229" s="357"/>
      <c r="G229" s="357"/>
      <c r="H229" s="629"/>
      <c r="I229" s="204" t="e">
        <f t="shared" si="85"/>
        <v>#DIV/0!</v>
      </c>
      <c r="J229" s="204" t="e">
        <f t="shared" si="85"/>
        <v>#DIV/0!</v>
      </c>
      <c r="K229" s="204" t="e">
        <f t="shared" si="85"/>
        <v>#DIV/0!</v>
      </c>
      <c r="L229" s="630"/>
      <c r="M229" s="204" t="e">
        <f>RANK(K229, K$218:$K$247)</f>
        <v>#DIV/0!</v>
      </c>
    </row>
    <row r="230" spans="2:13">
      <c r="B230" s="598"/>
      <c r="C230" s="357">
        <v>13</v>
      </c>
      <c r="D230" s="357"/>
      <c r="E230" s="357"/>
      <c r="F230" s="357"/>
      <c r="G230" s="357"/>
      <c r="H230" s="629"/>
      <c r="I230" s="204" t="e">
        <f t="shared" si="85"/>
        <v>#DIV/0!</v>
      </c>
      <c r="J230" s="204" t="e">
        <f t="shared" si="85"/>
        <v>#DIV/0!</v>
      </c>
      <c r="K230" s="204" t="e">
        <f t="shared" si="85"/>
        <v>#DIV/0!</v>
      </c>
      <c r="L230" s="630"/>
      <c r="M230" s="204" t="e">
        <f>RANK(K230, K$218:$K$247)</f>
        <v>#DIV/0!</v>
      </c>
    </row>
    <row r="231" spans="2:13">
      <c r="B231" s="598"/>
      <c r="C231" s="357">
        <v>14</v>
      </c>
      <c r="D231" s="357"/>
      <c r="E231" s="357"/>
      <c r="F231" s="357"/>
      <c r="G231" s="357"/>
      <c r="H231" s="629"/>
      <c r="I231" s="204" t="e">
        <f t="shared" si="85"/>
        <v>#DIV/0!</v>
      </c>
      <c r="J231" s="204" t="e">
        <f t="shared" si="85"/>
        <v>#DIV/0!</v>
      </c>
      <c r="K231" s="204" t="e">
        <f t="shared" si="85"/>
        <v>#DIV/0!</v>
      </c>
      <c r="L231" s="630"/>
      <c r="M231" s="204" t="e">
        <f>RANK(K231, K$218:$K$247)</f>
        <v>#DIV/0!</v>
      </c>
    </row>
    <row r="232" spans="2:13">
      <c r="B232" s="598"/>
      <c r="C232" s="357">
        <v>15</v>
      </c>
      <c r="D232" s="357"/>
      <c r="E232" s="357"/>
      <c r="F232" s="357"/>
      <c r="G232" s="357"/>
      <c r="H232" s="629"/>
      <c r="I232" s="204" t="e">
        <f t="shared" si="85"/>
        <v>#DIV/0!</v>
      </c>
      <c r="J232" s="204" t="e">
        <f t="shared" si="85"/>
        <v>#DIV/0!</v>
      </c>
      <c r="K232" s="204" t="e">
        <f t="shared" si="85"/>
        <v>#DIV/0!</v>
      </c>
      <c r="L232" s="630"/>
      <c r="M232" s="204" t="e">
        <f>RANK(K232, K$218:$K$247)</f>
        <v>#DIV/0!</v>
      </c>
    </row>
    <row r="233" spans="2:13">
      <c r="B233" s="598"/>
      <c r="C233" s="357">
        <v>16</v>
      </c>
      <c r="D233" s="357"/>
      <c r="E233" s="357"/>
      <c r="F233" s="357"/>
      <c r="G233" s="357"/>
      <c r="H233" s="629"/>
      <c r="I233" s="204" t="e">
        <f t="shared" si="85"/>
        <v>#DIV/0!</v>
      </c>
      <c r="J233" s="204" t="e">
        <f t="shared" si="85"/>
        <v>#DIV/0!</v>
      </c>
      <c r="K233" s="204" t="e">
        <f t="shared" si="85"/>
        <v>#DIV/0!</v>
      </c>
      <c r="L233" s="630"/>
      <c r="M233" s="204" t="e">
        <f>RANK(K233, K$218:$K$247)</f>
        <v>#DIV/0!</v>
      </c>
    </row>
    <row r="234" spans="2:13">
      <c r="B234" s="598"/>
      <c r="C234" s="357">
        <v>17</v>
      </c>
      <c r="D234" s="357"/>
      <c r="E234" s="357"/>
      <c r="F234" s="357"/>
      <c r="G234" s="357"/>
      <c r="H234" s="629"/>
      <c r="I234" s="204" t="e">
        <f t="shared" si="85"/>
        <v>#DIV/0!</v>
      </c>
      <c r="J234" s="204" t="e">
        <f t="shared" si="85"/>
        <v>#DIV/0!</v>
      </c>
      <c r="K234" s="204" t="e">
        <f t="shared" si="85"/>
        <v>#DIV/0!</v>
      </c>
      <c r="L234" s="630"/>
      <c r="M234" s="204" t="e">
        <f>RANK(K234, K$218:$K$247)</f>
        <v>#DIV/0!</v>
      </c>
    </row>
    <row r="235" spans="2:13">
      <c r="B235" s="598"/>
      <c r="C235" s="357">
        <v>18</v>
      </c>
      <c r="D235" s="357"/>
      <c r="E235" s="357"/>
      <c r="F235" s="357"/>
      <c r="G235" s="357"/>
      <c r="H235" s="629"/>
      <c r="I235" s="204" t="e">
        <f t="shared" si="85"/>
        <v>#DIV/0!</v>
      </c>
      <c r="J235" s="204" t="e">
        <f t="shared" si="85"/>
        <v>#DIV/0!</v>
      </c>
      <c r="K235" s="204" t="e">
        <f t="shared" si="85"/>
        <v>#DIV/0!</v>
      </c>
      <c r="L235" s="630"/>
      <c r="M235" s="204" t="e">
        <f>RANK(K235, K$218:$K$247)</f>
        <v>#DIV/0!</v>
      </c>
    </row>
    <row r="236" spans="2:13">
      <c r="B236" s="598"/>
      <c r="C236" s="357">
        <v>19</v>
      </c>
      <c r="D236" s="357"/>
      <c r="E236" s="357"/>
      <c r="F236" s="357"/>
      <c r="G236" s="357"/>
      <c r="H236" s="629"/>
      <c r="I236" s="204" t="e">
        <f t="shared" si="85"/>
        <v>#DIV/0!</v>
      </c>
      <c r="J236" s="204" t="e">
        <f t="shared" si="85"/>
        <v>#DIV/0!</v>
      </c>
      <c r="K236" s="204" t="e">
        <f t="shared" si="85"/>
        <v>#DIV/0!</v>
      </c>
      <c r="L236" s="630"/>
      <c r="M236" s="204" t="e">
        <f>RANK(K236, K$218:$K$247)</f>
        <v>#DIV/0!</v>
      </c>
    </row>
    <row r="237" spans="2:13">
      <c r="B237" s="598"/>
      <c r="C237" s="357">
        <v>20</v>
      </c>
      <c r="D237" s="357"/>
      <c r="E237" s="357"/>
      <c r="F237" s="357"/>
      <c r="G237" s="357"/>
      <c r="H237" s="629"/>
      <c r="I237" s="204" t="e">
        <f t="shared" si="85"/>
        <v>#DIV/0!</v>
      </c>
      <c r="J237" s="204" t="e">
        <f t="shared" si="85"/>
        <v>#DIV/0!</v>
      </c>
      <c r="K237" s="204" t="e">
        <f t="shared" si="85"/>
        <v>#DIV/0!</v>
      </c>
      <c r="L237" s="630"/>
      <c r="M237" s="204" t="e">
        <f>RANK(K237, K$218:$K$247)</f>
        <v>#DIV/0!</v>
      </c>
    </row>
    <row r="238" spans="2:13">
      <c r="B238" s="598"/>
      <c r="C238" s="357">
        <v>21</v>
      </c>
      <c r="D238" s="357"/>
      <c r="E238" s="357"/>
      <c r="F238" s="357"/>
      <c r="G238" s="357"/>
      <c r="H238" s="629"/>
      <c r="I238" s="204" t="e">
        <f t="shared" si="85"/>
        <v>#DIV/0!</v>
      </c>
      <c r="J238" s="204" t="e">
        <f t="shared" si="85"/>
        <v>#DIV/0!</v>
      </c>
      <c r="K238" s="204" t="e">
        <f t="shared" si="85"/>
        <v>#DIV/0!</v>
      </c>
      <c r="L238" s="630"/>
      <c r="M238" s="204" t="e">
        <f>RANK(K238, K$218:$K$247)</f>
        <v>#DIV/0!</v>
      </c>
    </row>
    <row r="239" spans="2:13">
      <c r="B239" s="598"/>
      <c r="C239" s="357">
        <v>22</v>
      </c>
      <c r="D239" s="357"/>
      <c r="E239" s="357"/>
      <c r="F239" s="357"/>
      <c r="G239" s="357"/>
      <c r="H239" s="629"/>
      <c r="I239" s="204" t="e">
        <f t="shared" si="85"/>
        <v>#DIV/0!</v>
      </c>
      <c r="J239" s="204" t="e">
        <f t="shared" si="85"/>
        <v>#DIV/0!</v>
      </c>
      <c r="K239" s="204" t="e">
        <f t="shared" si="85"/>
        <v>#DIV/0!</v>
      </c>
      <c r="L239" s="630"/>
      <c r="M239" s="204" t="e">
        <f>RANK(K239, K$218:$K$247)</f>
        <v>#DIV/0!</v>
      </c>
    </row>
    <row r="240" spans="2:13">
      <c r="B240" s="598"/>
      <c r="C240" s="357">
        <v>23</v>
      </c>
      <c r="D240" s="357"/>
      <c r="E240" s="357"/>
      <c r="F240" s="357"/>
      <c r="G240" s="357"/>
      <c r="H240" s="629"/>
      <c r="I240" s="204" t="e">
        <f t="shared" si="85"/>
        <v>#DIV/0!</v>
      </c>
      <c r="J240" s="204" t="e">
        <f t="shared" si="85"/>
        <v>#DIV/0!</v>
      </c>
      <c r="K240" s="204" t="e">
        <f t="shared" si="85"/>
        <v>#DIV/0!</v>
      </c>
      <c r="L240" s="630"/>
      <c r="M240" s="204" t="e">
        <f>RANK(K240, K$218:$K$247)</f>
        <v>#DIV/0!</v>
      </c>
    </row>
    <row r="241" spans="2:13">
      <c r="B241" s="598"/>
      <c r="C241" s="357">
        <v>24</v>
      </c>
      <c r="D241" s="357"/>
      <c r="E241" s="357"/>
      <c r="F241" s="357"/>
      <c r="G241" s="357"/>
      <c r="H241" s="629"/>
      <c r="I241" s="204"/>
      <c r="J241" s="204"/>
      <c r="K241" s="204"/>
      <c r="L241" s="630"/>
      <c r="M241" s="204" t="e">
        <f>RANK(K241, K$218:$K$247)</f>
        <v>#DIV/0!</v>
      </c>
    </row>
    <row r="242" spans="2:13">
      <c r="B242" s="598"/>
      <c r="C242" s="357">
        <v>25</v>
      </c>
      <c r="D242" s="357"/>
      <c r="E242" s="357"/>
      <c r="F242" s="357"/>
      <c r="G242" s="357"/>
      <c r="H242" s="629"/>
      <c r="I242" s="204"/>
      <c r="J242" s="204"/>
      <c r="K242" s="204"/>
      <c r="L242" s="630"/>
      <c r="M242" s="204" t="e">
        <f>RANK(K242, K$218:$K$247)</f>
        <v>#DIV/0!</v>
      </c>
    </row>
    <row r="243" spans="2:13">
      <c r="B243" s="598"/>
      <c r="C243" s="357">
        <v>26</v>
      </c>
      <c r="D243" s="357"/>
      <c r="E243" s="357"/>
      <c r="F243" s="357"/>
      <c r="G243" s="357"/>
      <c r="H243" s="629"/>
      <c r="I243" s="204"/>
      <c r="J243" s="204"/>
      <c r="K243" s="204"/>
      <c r="L243" s="630"/>
      <c r="M243" s="204" t="e">
        <f>RANK(K243, K$218:$K$247)</f>
        <v>#DIV/0!</v>
      </c>
    </row>
    <row r="244" spans="2:13">
      <c r="B244" s="598"/>
      <c r="C244" s="357">
        <v>27</v>
      </c>
      <c r="D244" s="357"/>
      <c r="E244" s="357"/>
      <c r="F244" s="357"/>
      <c r="G244" s="357"/>
      <c r="H244" s="629"/>
      <c r="I244" s="204"/>
      <c r="J244" s="204"/>
      <c r="K244" s="204"/>
      <c r="L244" s="630"/>
      <c r="M244" s="204" t="e">
        <f>RANK(K244, K$218:$K$247)</f>
        <v>#DIV/0!</v>
      </c>
    </row>
    <row r="245" spans="2:13">
      <c r="B245" s="598"/>
      <c r="C245" s="357">
        <v>28</v>
      </c>
      <c r="D245" s="357"/>
      <c r="E245" s="357"/>
      <c r="F245" s="357"/>
      <c r="G245" s="357"/>
      <c r="H245" s="629"/>
      <c r="I245" s="204"/>
      <c r="J245" s="204"/>
      <c r="K245" s="204"/>
      <c r="L245" s="630"/>
      <c r="M245" s="204" t="e">
        <f>RANK(K245, K$218:$K$247)</f>
        <v>#DIV/0!</v>
      </c>
    </row>
    <row r="246" spans="2:13">
      <c r="B246" s="598"/>
      <c r="C246" s="357">
        <v>29</v>
      </c>
      <c r="D246" s="357"/>
      <c r="E246" s="357"/>
      <c r="F246" s="357"/>
      <c r="G246" s="357"/>
      <c r="H246" s="629"/>
      <c r="I246" s="204"/>
      <c r="J246" s="204"/>
      <c r="K246" s="204"/>
      <c r="L246" s="630"/>
      <c r="M246" s="204" t="e">
        <f>RANK(K246, K$218:$K$247)</f>
        <v>#DIV/0!</v>
      </c>
    </row>
    <row r="247" spans="2:13">
      <c r="B247" s="598"/>
      <c r="C247" s="357">
        <v>30</v>
      </c>
      <c r="D247" s="357"/>
      <c r="E247" s="357"/>
      <c r="F247" s="357"/>
      <c r="G247" s="357"/>
      <c r="H247" s="629"/>
      <c r="I247" s="204"/>
      <c r="J247" s="204"/>
      <c r="K247" s="204"/>
      <c r="L247" s="630"/>
      <c r="M247" s="204" t="e">
        <f>RANK(K247, K$218:$K$247)</f>
        <v>#DIV/0!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sqref="A1:L2"/>
      <selection pane="topRight" activeCell="AB10" sqref="AB10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6" t="s">
        <v>332</v>
      </c>
      <c r="C1" s="225">
        <f>AVERAGE(L7,L27,L47,L67,L87,L107)</f>
        <v>196.68274369649492</v>
      </c>
    </row>
    <row r="2" spans="1:54" ht="15.75">
      <c r="A2" s="81"/>
      <c r="B2" s="602" t="s">
        <v>163</v>
      </c>
      <c r="C2" s="602"/>
      <c r="D2" s="602"/>
      <c r="E2" s="602"/>
      <c r="F2" s="602"/>
      <c r="G2" s="602"/>
      <c r="H2" s="602"/>
      <c r="I2" s="320"/>
      <c r="J2" s="320"/>
      <c r="K2" s="320"/>
      <c r="L2" s="320"/>
      <c r="M2" s="202"/>
      <c r="N2" s="591" t="s">
        <v>156</v>
      </c>
      <c r="O2" s="591" t="s">
        <v>155</v>
      </c>
      <c r="P2" s="637">
        <v>45930</v>
      </c>
      <c r="Q2" s="638"/>
      <c r="R2" s="638"/>
      <c r="S2" s="638"/>
      <c r="T2" s="639"/>
      <c r="U2" s="597">
        <f>P2+1</f>
        <v>45931</v>
      </c>
      <c r="V2" s="598"/>
      <c r="W2" s="598"/>
      <c r="X2" s="598"/>
      <c r="Y2" s="598"/>
      <c r="Z2" s="597">
        <f>U2+1</f>
        <v>45932</v>
      </c>
      <c r="AA2" s="598"/>
      <c r="AB2" s="598"/>
      <c r="AC2" s="598"/>
      <c r="AD2" s="598"/>
      <c r="AE2" s="597">
        <f>Z2+1</f>
        <v>45933</v>
      </c>
      <c r="AF2" s="598"/>
      <c r="AG2" s="598"/>
      <c r="AH2" s="598"/>
      <c r="AI2" s="598"/>
      <c r="AJ2" s="597">
        <f>AE2+1</f>
        <v>45934</v>
      </c>
      <c r="AK2" s="598"/>
      <c r="AL2" s="598"/>
      <c r="AM2" s="598"/>
      <c r="AN2" s="598"/>
      <c r="AO2" s="597">
        <f>AJ2+1</f>
        <v>45935</v>
      </c>
      <c r="AP2" s="598"/>
      <c r="AQ2" s="598"/>
      <c r="AR2" s="598"/>
      <c r="AS2" s="598"/>
      <c r="AT2" s="597">
        <f>AO2+1</f>
        <v>45936</v>
      </c>
      <c r="AU2" s="598"/>
      <c r="AV2" s="598"/>
      <c r="AW2" s="598"/>
      <c r="AX2" s="598"/>
    </row>
    <row r="3" spans="1:54" ht="15.75">
      <c r="A3" s="81"/>
      <c r="B3" s="622"/>
      <c r="C3" s="622"/>
      <c r="D3" s="622"/>
      <c r="E3" s="622"/>
      <c r="F3" s="622"/>
      <c r="G3" s="622"/>
      <c r="H3" s="622"/>
      <c r="I3" s="321"/>
      <c r="J3" s="321"/>
      <c r="K3" s="321"/>
      <c r="L3" s="321"/>
      <c r="M3" s="203"/>
      <c r="N3" s="593"/>
      <c r="O3" s="593"/>
      <c r="P3" s="597" t="s">
        <v>158</v>
      </c>
      <c r="Q3" s="598"/>
      <c r="R3" s="598"/>
      <c r="S3" s="598"/>
      <c r="T3" s="598"/>
      <c r="U3" s="597" t="s">
        <v>114</v>
      </c>
      <c r="V3" s="598"/>
      <c r="W3" s="598"/>
      <c r="X3" s="598"/>
      <c r="Y3" s="598"/>
      <c r="Z3" s="597" t="s">
        <v>159</v>
      </c>
      <c r="AA3" s="598"/>
      <c r="AB3" s="598"/>
      <c r="AC3" s="598"/>
      <c r="AD3" s="598"/>
      <c r="AE3" s="597" t="s">
        <v>157</v>
      </c>
      <c r="AF3" s="598"/>
      <c r="AG3" s="598"/>
      <c r="AH3" s="598"/>
      <c r="AI3" s="598"/>
      <c r="AJ3" s="597" t="s">
        <v>160</v>
      </c>
      <c r="AK3" s="598"/>
      <c r="AL3" s="598"/>
      <c r="AM3" s="598"/>
      <c r="AN3" s="598"/>
      <c r="AO3" s="597" t="s">
        <v>115</v>
      </c>
      <c r="AP3" s="598"/>
      <c r="AQ3" s="598"/>
      <c r="AR3" s="598"/>
      <c r="AS3" s="598"/>
      <c r="AT3" s="597" t="s">
        <v>162</v>
      </c>
      <c r="AU3" s="598"/>
      <c r="AV3" s="598"/>
      <c r="AW3" s="598"/>
      <c r="AX3" s="598"/>
    </row>
    <row r="4" spans="1:54" ht="14.25">
      <c r="A4" s="81"/>
      <c r="B4" s="590" t="s">
        <v>527</v>
      </c>
      <c r="C4" s="590" t="s">
        <v>528</v>
      </c>
      <c r="D4" s="590"/>
      <c r="E4" s="590" t="s">
        <v>529</v>
      </c>
      <c r="F4" s="590"/>
      <c r="G4" s="590"/>
      <c r="H4" s="606" t="s">
        <v>530</v>
      </c>
      <c r="I4" s="574" t="s">
        <v>531</v>
      </c>
      <c r="J4" s="574"/>
      <c r="K4" s="574"/>
      <c r="L4" s="575" t="s">
        <v>530</v>
      </c>
      <c r="M4" s="581" t="s">
        <v>532</v>
      </c>
      <c r="N4" s="590"/>
      <c r="O4" s="590" t="s">
        <v>533</v>
      </c>
      <c r="P4" s="587" t="s">
        <v>443</v>
      </c>
      <c r="Q4" s="588"/>
      <c r="R4" s="588"/>
      <c r="S4" s="589"/>
      <c r="T4" s="590" t="s">
        <v>441</v>
      </c>
      <c r="U4" s="587" t="s">
        <v>443</v>
      </c>
      <c r="V4" s="588"/>
      <c r="W4" s="588"/>
      <c r="X4" s="589"/>
      <c r="Y4" s="590" t="s">
        <v>441</v>
      </c>
      <c r="Z4" s="587" t="s">
        <v>443</v>
      </c>
      <c r="AA4" s="588"/>
      <c r="AB4" s="588"/>
      <c r="AC4" s="589"/>
      <c r="AD4" s="590" t="s">
        <v>441</v>
      </c>
      <c r="AE4" s="587" t="s">
        <v>443</v>
      </c>
      <c r="AF4" s="588"/>
      <c r="AG4" s="588"/>
      <c r="AH4" s="589"/>
      <c r="AI4" s="590" t="s">
        <v>441</v>
      </c>
      <c r="AJ4" s="587" t="s">
        <v>443</v>
      </c>
      <c r="AK4" s="588"/>
      <c r="AL4" s="588"/>
      <c r="AM4" s="589"/>
      <c r="AN4" s="590" t="s">
        <v>441</v>
      </c>
      <c r="AO4" s="587" t="s">
        <v>443</v>
      </c>
      <c r="AP4" s="588"/>
      <c r="AQ4" s="588"/>
      <c r="AR4" s="589"/>
      <c r="AS4" s="590" t="s">
        <v>441</v>
      </c>
      <c r="AT4" s="587" t="s">
        <v>443</v>
      </c>
      <c r="AU4" s="588"/>
      <c r="AV4" s="588"/>
      <c r="AW4" s="589"/>
      <c r="AX4" s="590" t="s">
        <v>441</v>
      </c>
    </row>
    <row r="5" spans="1:54" ht="14.25">
      <c r="A5" s="81"/>
      <c r="B5" s="590"/>
      <c r="C5" s="590"/>
      <c r="D5" s="590"/>
      <c r="E5" s="590" t="s">
        <v>535</v>
      </c>
      <c r="F5" s="590"/>
      <c r="G5" s="590"/>
      <c r="H5" s="607"/>
      <c r="I5" s="574" t="s">
        <v>535</v>
      </c>
      <c r="J5" s="574"/>
      <c r="K5" s="574"/>
      <c r="L5" s="576"/>
      <c r="M5" s="582"/>
      <c r="N5" s="590"/>
      <c r="O5" s="590"/>
      <c r="P5" s="587" t="s">
        <v>449</v>
      </c>
      <c r="Q5" s="588"/>
      <c r="R5" s="588"/>
      <c r="S5" s="589"/>
      <c r="T5" s="590"/>
      <c r="U5" s="587" t="s">
        <v>449</v>
      </c>
      <c r="V5" s="588"/>
      <c r="W5" s="588"/>
      <c r="X5" s="589"/>
      <c r="Y5" s="590"/>
      <c r="Z5" s="587" t="s">
        <v>449</v>
      </c>
      <c r="AA5" s="588"/>
      <c r="AB5" s="588"/>
      <c r="AC5" s="589"/>
      <c r="AD5" s="590"/>
      <c r="AE5" s="587" t="s">
        <v>449</v>
      </c>
      <c r="AF5" s="588"/>
      <c r="AG5" s="588"/>
      <c r="AH5" s="589"/>
      <c r="AI5" s="590"/>
      <c r="AJ5" s="587" t="s">
        <v>449</v>
      </c>
      <c r="AK5" s="588"/>
      <c r="AL5" s="588"/>
      <c r="AM5" s="589"/>
      <c r="AN5" s="590"/>
      <c r="AO5" s="587" t="s">
        <v>449</v>
      </c>
      <c r="AP5" s="588"/>
      <c r="AQ5" s="588"/>
      <c r="AR5" s="589"/>
      <c r="AS5" s="590"/>
      <c r="AT5" s="587" t="s">
        <v>449</v>
      </c>
      <c r="AU5" s="588"/>
      <c r="AV5" s="588"/>
      <c r="AW5" s="589"/>
      <c r="AX5" s="590"/>
    </row>
    <row r="6" spans="1:54" ht="14.25">
      <c r="A6" s="79"/>
      <c r="B6" s="590"/>
      <c r="C6" s="590"/>
      <c r="D6" s="590"/>
      <c r="E6" s="331" t="s">
        <v>537</v>
      </c>
      <c r="F6" s="331" t="s">
        <v>538</v>
      </c>
      <c r="G6" s="331" t="s">
        <v>539</v>
      </c>
      <c r="H6" s="608"/>
      <c r="I6" s="332" t="s">
        <v>537</v>
      </c>
      <c r="J6" s="332" t="s">
        <v>538</v>
      </c>
      <c r="K6" s="332" t="s">
        <v>539</v>
      </c>
      <c r="L6" s="577"/>
      <c r="M6" s="583"/>
      <c r="N6" s="590"/>
      <c r="O6" s="590"/>
      <c r="P6" s="377" t="s">
        <v>450</v>
      </c>
      <c r="Q6" s="377" t="s">
        <v>451</v>
      </c>
      <c r="R6" s="377" t="s">
        <v>452</v>
      </c>
      <c r="S6" s="377" t="s">
        <v>442</v>
      </c>
      <c r="T6" s="590"/>
      <c r="U6" s="377" t="s">
        <v>450</v>
      </c>
      <c r="V6" s="377" t="s">
        <v>451</v>
      </c>
      <c r="W6" s="377" t="s">
        <v>452</v>
      </c>
      <c r="X6" s="377" t="s">
        <v>442</v>
      </c>
      <c r="Y6" s="590"/>
      <c r="Z6" s="377" t="s">
        <v>450</v>
      </c>
      <c r="AA6" s="377" t="s">
        <v>451</v>
      </c>
      <c r="AB6" s="377" t="s">
        <v>452</v>
      </c>
      <c r="AC6" s="377" t="s">
        <v>442</v>
      </c>
      <c r="AD6" s="590"/>
      <c r="AE6" s="377" t="s">
        <v>450</v>
      </c>
      <c r="AF6" s="377" t="s">
        <v>451</v>
      </c>
      <c r="AG6" s="377" t="s">
        <v>452</v>
      </c>
      <c r="AH6" s="377" t="s">
        <v>442</v>
      </c>
      <c r="AI6" s="590"/>
      <c r="AJ6" s="377" t="s">
        <v>450</v>
      </c>
      <c r="AK6" s="377" t="s">
        <v>451</v>
      </c>
      <c r="AL6" s="377" t="s">
        <v>452</v>
      </c>
      <c r="AM6" s="377" t="s">
        <v>442</v>
      </c>
      <c r="AN6" s="590"/>
      <c r="AO6" s="377" t="s">
        <v>450</v>
      </c>
      <c r="AP6" s="377" t="s">
        <v>451</v>
      </c>
      <c r="AQ6" s="377" t="s">
        <v>452</v>
      </c>
      <c r="AR6" s="377" t="s">
        <v>442</v>
      </c>
      <c r="AS6" s="590"/>
      <c r="AT6" s="377" t="s">
        <v>450</v>
      </c>
      <c r="AU6" s="377" t="s">
        <v>451</v>
      </c>
      <c r="AV6" s="377" t="s">
        <v>452</v>
      </c>
      <c r="AW6" s="377" t="s">
        <v>442</v>
      </c>
      <c r="AX6" s="590"/>
    </row>
    <row r="7" spans="1:54" ht="14.25">
      <c r="A7" s="81"/>
      <c r="B7" s="631" t="s">
        <v>540</v>
      </c>
      <c r="C7" s="330">
        <v>1</v>
      </c>
      <c r="D7" s="378" t="s">
        <v>381</v>
      </c>
      <c r="E7" s="378">
        <v>10</v>
      </c>
      <c r="F7" s="378">
        <v>1500</v>
      </c>
      <c r="G7" s="378">
        <v>150</v>
      </c>
      <c r="H7" s="632">
        <f>AVERAGE(G7:G21)</f>
        <v>198.57142857142858</v>
      </c>
      <c r="I7" s="204">
        <f>AVERAGE(P7,U7,Z7,AE7,AJ7,AO7,AT7)</f>
        <v>10</v>
      </c>
      <c r="J7" s="204">
        <f>AVERAGE(Q7,V7,AA7,AF7,AK7,AP7,AU7)</f>
        <v>1482.5428571428561</v>
      </c>
      <c r="K7" s="205">
        <f>AVERAGE(R7,W7,AB7,AG7,AL7,AQ7,AV7)</f>
        <v>148.25428571428557</v>
      </c>
      <c r="L7" s="571">
        <f>IFERROR(AVERAGE(K7:K21),"-")</f>
        <v>205.67640977899146</v>
      </c>
      <c r="M7" s="206">
        <f>RANK(K7, K$7:$K$21)</f>
        <v>4</v>
      </c>
      <c r="N7" s="590"/>
      <c r="O7" s="590"/>
      <c r="P7" s="187">
        <v>10</v>
      </c>
      <c r="Q7" s="187">
        <v>1551.9999999999973</v>
      </c>
      <c r="R7" s="379">
        <v>155.19999999999973</v>
      </c>
      <c r="S7" s="378">
        <f>RANK(R7, R$7:R$21)</f>
        <v>4</v>
      </c>
      <c r="T7" s="629">
        <f>AVERAGE(R7:R21)</f>
        <v>214.49265306122444</v>
      </c>
      <c r="U7" s="187">
        <v>10</v>
      </c>
      <c r="V7" s="187">
        <v>1552.0000000000016</v>
      </c>
      <c r="W7" s="379">
        <v>155.20000000000016</v>
      </c>
      <c r="X7" s="378">
        <f>RANK(W7, W$7:W$21)</f>
        <v>4</v>
      </c>
      <c r="Y7" s="629">
        <f>AVERAGE(W7:W21)</f>
        <v>220.13509803921576</v>
      </c>
      <c r="Z7" s="187">
        <v>10</v>
      </c>
      <c r="AA7" s="187">
        <v>1455.9999999999973</v>
      </c>
      <c r="AB7" s="379">
        <v>145.59999999999974</v>
      </c>
      <c r="AC7" s="378">
        <f>RANK(AB7, AB$7:AB$21)</f>
        <v>4</v>
      </c>
      <c r="AD7" s="629">
        <f>AVERAGE(AB7:AB21)</f>
        <v>216.22166666666658</v>
      </c>
      <c r="AE7" s="187">
        <v>10</v>
      </c>
      <c r="AF7" s="187">
        <v>1382.399999999996</v>
      </c>
      <c r="AG7" s="379">
        <v>138.23999999999961</v>
      </c>
      <c r="AH7" s="378">
        <f>RANK(AG7, AG$7:AG$21)</f>
        <v>6</v>
      </c>
      <c r="AI7" s="629">
        <f>AVERAGE(AG7:AG21)</f>
        <v>207.33304214000762</v>
      </c>
      <c r="AJ7" s="187">
        <v>10</v>
      </c>
      <c r="AK7" s="187">
        <v>1334.3999999999962</v>
      </c>
      <c r="AL7" s="379">
        <v>133.43999999999963</v>
      </c>
      <c r="AM7" s="378">
        <f>RANK(AL7, AL$7:AL$21)</f>
        <v>6</v>
      </c>
      <c r="AN7" s="629">
        <f>AVERAGE(AL7:AL21)</f>
        <v>221.81314814814809</v>
      </c>
      <c r="AO7" s="187">
        <v>10</v>
      </c>
      <c r="AP7" s="187">
        <v>1641.0000000000059</v>
      </c>
      <c r="AQ7" s="379">
        <v>164.10000000000059</v>
      </c>
      <c r="AR7" s="378">
        <f>RANK(AQ7, AQ$7:AQ$21)</f>
        <v>4</v>
      </c>
      <c r="AS7" s="629">
        <f>AVERAGE(AQ7:AQ21)</f>
        <v>214.012962962963</v>
      </c>
      <c r="AT7" s="187">
        <v>10</v>
      </c>
      <c r="AU7" s="187">
        <v>1459.9999999999973</v>
      </c>
      <c r="AV7" s="379">
        <v>145.99999999999972</v>
      </c>
      <c r="AW7" s="378">
        <f>RANK(AV7, AV$7:AV$21)</f>
        <v>6</v>
      </c>
      <c r="AX7" s="629">
        <f>AVERAGE(AV7:AV21)</f>
        <v>214.33333333333334</v>
      </c>
      <c r="AZ7" s="381" t="e">
        <f>RANK(AX7, $K$7:AX$21)</f>
        <v>#N/A</v>
      </c>
      <c r="BB7" s="378" t="e">
        <f>RANK(BA7, BA$7:BA$21)</f>
        <v>#N/A</v>
      </c>
    </row>
    <row r="8" spans="1:54" ht="15" customHeight="1">
      <c r="A8" s="81"/>
      <c r="B8" s="598"/>
      <c r="C8" s="330">
        <v>2</v>
      </c>
      <c r="D8" s="378" t="s">
        <v>382</v>
      </c>
      <c r="E8" s="378">
        <v>15</v>
      </c>
      <c r="F8" s="378">
        <v>1800</v>
      </c>
      <c r="G8" s="378">
        <v>120</v>
      </c>
      <c r="H8" s="633"/>
      <c r="I8" s="204">
        <f t="shared" ref="I8:K13" si="0">AVERAGE(P8,U8,Z8,AE8,AJ8,AO8,AT8)</f>
        <v>12</v>
      </c>
      <c r="J8" s="204">
        <f t="shared" si="0"/>
        <v>1734.6666666666656</v>
      </c>
      <c r="K8" s="205">
        <f t="shared" si="0"/>
        <v>144.55555555555546</v>
      </c>
      <c r="L8" s="572"/>
      <c r="M8" s="206">
        <f>RANK(K8, K$7:$K$21)</f>
        <v>6</v>
      </c>
      <c r="N8" s="590"/>
      <c r="O8" s="590"/>
      <c r="P8" s="378">
        <v>12</v>
      </c>
      <c r="Q8" s="187">
        <v>1796.3999999999949</v>
      </c>
      <c r="R8" s="379">
        <v>149.69999999999956</v>
      </c>
      <c r="S8" s="378">
        <f t="shared" ref="S8:S21" si="1">RANK(R8, R$7:R$21)</f>
        <v>6</v>
      </c>
      <c r="T8" s="629"/>
      <c r="U8" s="378">
        <v>12</v>
      </c>
      <c r="V8" s="187">
        <v>1743.5999999999979</v>
      </c>
      <c r="W8" s="379">
        <v>145.29999999999981</v>
      </c>
      <c r="X8" s="378">
        <f t="shared" ref="X8:X21" si="2">RANK(W8, W$7:W$21)</f>
        <v>6</v>
      </c>
      <c r="Y8" s="629"/>
      <c r="Z8" s="378">
        <v>12</v>
      </c>
      <c r="AA8" s="187">
        <v>1700.3999999999978</v>
      </c>
      <c r="AB8" s="379">
        <v>141.69999999999982</v>
      </c>
      <c r="AC8" s="378">
        <f t="shared" ref="AC8:AC21" si="3">RANK(AB8, AB$7:AB$21)</f>
        <v>5</v>
      </c>
      <c r="AD8" s="629"/>
      <c r="AE8" s="378">
        <v>12</v>
      </c>
      <c r="AF8" s="187">
        <v>1724</v>
      </c>
      <c r="AG8" s="379">
        <v>143.66666666666666</v>
      </c>
      <c r="AH8" s="378">
        <f t="shared" ref="AH8:AH21" si="4">RANK(AG8, AG$7:AG$21)</f>
        <v>4</v>
      </c>
      <c r="AI8" s="629"/>
      <c r="AJ8" s="378">
        <v>12</v>
      </c>
      <c r="AK8" s="187">
        <v>1709.3333333333333</v>
      </c>
      <c r="AL8" s="379">
        <v>142.44444444444443</v>
      </c>
      <c r="AM8" s="378">
        <f t="shared" ref="AM8:AM21" si="5">RANK(AL8, AL$7:AL$21)</f>
        <v>5</v>
      </c>
      <c r="AN8" s="629"/>
      <c r="AO8" s="378">
        <v>12</v>
      </c>
      <c r="AP8" s="187">
        <v>1689.3333333333333</v>
      </c>
      <c r="AQ8" s="379">
        <v>140.77777777777777</v>
      </c>
      <c r="AR8" s="378">
        <f t="shared" ref="AR8:AR21" si="6">RANK(AQ8, AQ$7:AQ$21)</f>
        <v>5</v>
      </c>
      <c r="AS8" s="629"/>
      <c r="AT8" s="378">
        <v>12</v>
      </c>
      <c r="AU8" s="187">
        <v>1779.6000000000004</v>
      </c>
      <c r="AV8" s="379">
        <v>148.30000000000004</v>
      </c>
      <c r="AW8" s="378">
        <f t="shared" ref="AW8:AW21" si="7">RANK(AV8, AV$7:AV$21)</f>
        <v>5</v>
      </c>
      <c r="AX8" s="629"/>
      <c r="AZ8" s="381" t="e">
        <f>RANK(AX8, $K$7:AX$21)</f>
        <v>#N/A</v>
      </c>
      <c r="BB8" s="378" t="e">
        <f t="shared" ref="BB8:BB21" si="8">RANK(BA8, BA$7:BA$21)</f>
        <v>#N/A</v>
      </c>
    </row>
    <row r="9" spans="1:54" ht="14.25">
      <c r="A9" s="81"/>
      <c r="B9" s="598"/>
      <c r="C9" s="330">
        <v>3</v>
      </c>
      <c r="D9" s="378" t="s">
        <v>383</v>
      </c>
      <c r="E9" s="378">
        <v>15</v>
      </c>
      <c r="F9" s="378">
        <v>1800</v>
      </c>
      <c r="G9" s="378">
        <v>120</v>
      </c>
      <c r="H9" s="633"/>
      <c r="I9" s="204">
        <f t="shared" si="0"/>
        <v>12</v>
      </c>
      <c r="J9" s="204">
        <f t="shared" si="0"/>
        <v>1747.7238095238085</v>
      </c>
      <c r="K9" s="205">
        <f t="shared" si="0"/>
        <v>145.64365079365072</v>
      </c>
      <c r="L9" s="572"/>
      <c r="M9" s="206">
        <f>RANK(K9, K$7:$K$21)</f>
        <v>5</v>
      </c>
      <c r="N9" s="590"/>
      <c r="O9" s="590"/>
      <c r="P9" s="378">
        <v>12</v>
      </c>
      <c r="Q9" s="187">
        <v>1809.5999999999949</v>
      </c>
      <c r="R9" s="379">
        <v>150.79999999999959</v>
      </c>
      <c r="S9" s="378">
        <f t="shared" si="1"/>
        <v>5</v>
      </c>
      <c r="T9" s="629"/>
      <c r="U9" s="378">
        <v>12</v>
      </c>
      <c r="V9" s="187">
        <v>1764.0000000000005</v>
      </c>
      <c r="W9" s="379">
        <v>147.00000000000003</v>
      </c>
      <c r="X9" s="378">
        <f t="shared" si="2"/>
        <v>5</v>
      </c>
      <c r="Y9" s="629"/>
      <c r="Z9" s="378">
        <v>12</v>
      </c>
      <c r="AA9" s="187">
        <v>1679.999999999998</v>
      </c>
      <c r="AB9" s="379">
        <v>139.99999999999983</v>
      </c>
      <c r="AC9" s="378">
        <f t="shared" si="3"/>
        <v>6</v>
      </c>
      <c r="AD9" s="629"/>
      <c r="AE9" s="378">
        <v>12</v>
      </c>
      <c r="AF9" s="187">
        <v>1674.6666666666667</v>
      </c>
      <c r="AG9" s="379">
        <v>139.55555555555557</v>
      </c>
      <c r="AH9" s="378">
        <f t="shared" si="4"/>
        <v>5</v>
      </c>
      <c r="AI9" s="629"/>
      <c r="AJ9" s="378">
        <v>12</v>
      </c>
      <c r="AK9" s="187">
        <v>1868.9999999999993</v>
      </c>
      <c r="AL9" s="379">
        <v>155.74999999999994</v>
      </c>
      <c r="AM9" s="378">
        <f t="shared" si="5"/>
        <v>4</v>
      </c>
      <c r="AN9" s="629"/>
      <c r="AO9" s="378">
        <v>12</v>
      </c>
      <c r="AP9" s="187">
        <v>1656</v>
      </c>
      <c r="AQ9" s="379">
        <v>138</v>
      </c>
      <c r="AR9" s="378">
        <f t="shared" si="6"/>
        <v>6</v>
      </c>
      <c r="AS9" s="629"/>
      <c r="AT9" s="378">
        <v>12</v>
      </c>
      <c r="AU9" s="187">
        <v>1780.8000000000004</v>
      </c>
      <c r="AV9" s="379">
        <v>148.40000000000003</v>
      </c>
      <c r="AW9" s="378">
        <f t="shared" si="7"/>
        <v>4</v>
      </c>
      <c r="AX9" s="629"/>
      <c r="AZ9" s="381" t="e">
        <f>RANK(AX9, $K$7:AX$21)</f>
        <v>#N/A</v>
      </c>
      <c r="BB9" s="378" t="e">
        <f t="shared" si="8"/>
        <v>#N/A</v>
      </c>
    </row>
    <row r="10" spans="1:54" ht="14.25">
      <c r="A10" s="81"/>
      <c r="B10" s="598"/>
      <c r="C10" s="330">
        <v>4</v>
      </c>
      <c r="D10" s="378" t="s">
        <v>384</v>
      </c>
      <c r="E10" s="378">
        <v>6</v>
      </c>
      <c r="F10" s="378">
        <v>1500</v>
      </c>
      <c r="G10" s="378">
        <v>250</v>
      </c>
      <c r="H10" s="633"/>
      <c r="I10" s="204">
        <f t="shared" si="0"/>
        <v>5</v>
      </c>
      <c r="J10" s="204">
        <f t="shared" si="0"/>
        <v>1427.7142857142867</v>
      </c>
      <c r="K10" s="205">
        <f t="shared" si="0"/>
        <v>285.54285714285732</v>
      </c>
      <c r="L10" s="572"/>
      <c r="M10" s="206">
        <f>RANK(K10, K$7:$K$21)</f>
        <v>3</v>
      </c>
      <c r="N10" s="590"/>
      <c r="O10" s="590"/>
      <c r="P10" s="378">
        <v>5</v>
      </c>
      <c r="Q10" s="187">
        <v>1478.9999999999995</v>
      </c>
      <c r="R10" s="379">
        <v>295.7999999999999</v>
      </c>
      <c r="S10" s="378">
        <f t="shared" si="1"/>
        <v>3</v>
      </c>
      <c r="T10" s="629"/>
      <c r="U10" s="378">
        <v>5</v>
      </c>
      <c r="V10" s="187">
        <v>1470.0000000000023</v>
      </c>
      <c r="W10" s="379">
        <v>294.00000000000045</v>
      </c>
      <c r="X10" s="378">
        <f t="shared" si="2"/>
        <v>1</v>
      </c>
      <c r="Y10" s="629"/>
      <c r="Z10" s="378">
        <v>5</v>
      </c>
      <c r="AA10" s="187">
        <v>1364.9999999999995</v>
      </c>
      <c r="AB10" s="379">
        <v>272.99999999999989</v>
      </c>
      <c r="AC10" s="378">
        <f t="shared" si="3"/>
        <v>3</v>
      </c>
      <c r="AD10" s="629"/>
      <c r="AE10" s="378">
        <v>5</v>
      </c>
      <c r="AF10" s="187">
        <v>1248.0000000000011</v>
      </c>
      <c r="AG10" s="379">
        <v>249.60000000000022</v>
      </c>
      <c r="AH10" s="378">
        <f t="shared" si="4"/>
        <v>3</v>
      </c>
      <c r="AI10" s="629"/>
      <c r="AJ10" s="378">
        <v>5</v>
      </c>
      <c r="AK10" s="187">
        <v>1480.0000000000005</v>
      </c>
      <c r="AL10" s="379">
        <v>296.00000000000011</v>
      </c>
      <c r="AM10" s="378">
        <f t="shared" si="5"/>
        <v>3</v>
      </c>
      <c r="AN10" s="629"/>
      <c r="AO10" s="378">
        <v>5</v>
      </c>
      <c r="AP10" s="187">
        <v>1244.0000000000011</v>
      </c>
      <c r="AQ10" s="379">
        <v>248.80000000000024</v>
      </c>
      <c r="AR10" s="378">
        <f t="shared" si="6"/>
        <v>3</v>
      </c>
      <c r="AS10" s="629"/>
      <c r="AT10" s="378">
        <v>5</v>
      </c>
      <c r="AU10" s="187">
        <v>1708.0000000000016</v>
      </c>
      <c r="AV10" s="379">
        <v>341.60000000000031</v>
      </c>
      <c r="AW10" s="378">
        <f t="shared" si="7"/>
        <v>1</v>
      </c>
      <c r="AX10" s="629"/>
      <c r="AZ10" s="381" t="e">
        <f>RANK(AX10, $K$7:AX$21)</f>
        <v>#N/A</v>
      </c>
      <c r="BB10" s="378" t="e">
        <f t="shared" si="8"/>
        <v>#N/A</v>
      </c>
    </row>
    <row r="11" spans="1:54" ht="14.25">
      <c r="A11" s="81"/>
      <c r="B11" s="598"/>
      <c r="C11" s="330">
        <v>5</v>
      </c>
      <c r="D11" s="378" t="s">
        <v>691</v>
      </c>
      <c r="E11" s="378">
        <v>5</v>
      </c>
      <c r="F11" s="378">
        <v>1500</v>
      </c>
      <c r="G11" s="378">
        <v>300</v>
      </c>
      <c r="H11" s="633"/>
      <c r="I11" s="204">
        <f t="shared" si="0"/>
        <v>5</v>
      </c>
      <c r="J11" s="204">
        <f t="shared" si="0"/>
        <v>1441.265407292861</v>
      </c>
      <c r="K11" s="205">
        <f t="shared" si="0"/>
        <v>288.25308145857218</v>
      </c>
      <c r="L11" s="572"/>
      <c r="M11" s="206">
        <f>RANK(K11, K$7:$K$21)</f>
        <v>2</v>
      </c>
      <c r="N11" s="590"/>
      <c r="O11" s="590"/>
      <c r="P11" s="378">
        <v>5</v>
      </c>
      <c r="Q11" s="187">
        <v>1556.1428571428578</v>
      </c>
      <c r="R11" s="379">
        <v>311.22857142857157</v>
      </c>
      <c r="S11" s="378">
        <f t="shared" si="1"/>
        <v>1</v>
      </c>
      <c r="T11" s="629"/>
      <c r="U11" s="378">
        <v>5</v>
      </c>
      <c r="V11" s="187">
        <v>1458.3529411764703</v>
      </c>
      <c r="W11" s="379">
        <v>291.67058823529408</v>
      </c>
      <c r="X11" s="378">
        <f t="shared" si="2"/>
        <v>2</v>
      </c>
      <c r="Y11" s="629"/>
      <c r="Z11" s="378">
        <v>5</v>
      </c>
      <c r="AA11" s="187">
        <v>1494.75</v>
      </c>
      <c r="AB11" s="379">
        <v>298.95</v>
      </c>
      <c r="AC11" s="378">
        <f t="shared" si="3"/>
        <v>1</v>
      </c>
      <c r="AD11" s="629"/>
      <c r="AE11" s="378">
        <v>5</v>
      </c>
      <c r="AF11" s="187">
        <v>1373.3898305084754</v>
      </c>
      <c r="AG11" s="379">
        <v>274.67796610169506</v>
      </c>
      <c r="AH11" s="378">
        <f t="shared" si="4"/>
        <v>2</v>
      </c>
      <c r="AI11" s="629"/>
      <c r="AJ11" s="378">
        <v>5</v>
      </c>
      <c r="AK11" s="187">
        <v>1527.2222222222219</v>
      </c>
      <c r="AL11" s="379">
        <v>305.4444444444444</v>
      </c>
      <c r="AM11" s="378">
        <f t="shared" si="5"/>
        <v>1</v>
      </c>
      <c r="AN11" s="629"/>
      <c r="AO11" s="378">
        <v>5</v>
      </c>
      <c r="AP11" s="187">
        <v>1471</v>
      </c>
      <c r="AQ11" s="379">
        <v>294.2</v>
      </c>
      <c r="AR11" s="378">
        <f t="shared" si="6"/>
        <v>2</v>
      </c>
      <c r="AS11" s="629"/>
      <c r="AT11" s="378">
        <v>5</v>
      </c>
      <c r="AU11" s="187">
        <v>1208.0000000000007</v>
      </c>
      <c r="AV11" s="379">
        <v>241.60000000000014</v>
      </c>
      <c r="AW11" s="378">
        <f t="shared" si="7"/>
        <v>3</v>
      </c>
      <c r="AX11" s="629"/>
      <c r="AZ11" s="381" t="e">
        <f>RANK(AX11, $K$7:AX$21)</f>
        <v>#N/A</v>
      </c>
      <c r="BB11" s="378" t="e">
        <f t="shared" si="8"/>
        <v>#N/A</v>
      </c>
    </row>
    <row r="12" spans="1:54" ht="14.25">
      <c r="A12" s="81"/>
      <c r="B12" s="598"/>
      <c r="C12" s="330">
        <v>6</v>
      </c>
      <c r="D12" s="378" t="s">
        <v>659</v>
      </c>
      <c r="E12" s="378">
        <v>5</v>
      </c>
      <c r="F12" s="378">
        <v>1500</v>
      </c>
      <c r="G12" s="378">
        <v>300</v>
      </c>
      <c r="H12" s="633"/>
      <c r="I12" s="204">
        <f t="shared" si="0"/>
        <v>5</v>
      </c>
      <c r="J12" s="204">
        <f t="shared" si="0"/>
        <v>1459.4271889400916</v>
      </c>
      <c r="K12" s="205">
        <f t="shared" si="0"/>
        <v>291.88543778801829</v>
      </c>
      <c r="L12" s="572"/>
      <c r="M12" s="206">
        <f>RANK(K12, K$7:$K$21)</f>
        <v>1</v>
      </c>
      <c r="N12" s="590"/>
      <c r="O12" s="590"/>
      <c r="P12" s="378">
        <v>5</v>
      </c>
      <c r="Q12" s="187">
        <v>1515.6000000000006</v>
      </c>
      <c r="R12" s="379">
        <v>303.12000000000012</v>
      </c>
      <c r="S12" s="378">
        <f t="shared" si="1"/>
        <v>2</v>
      </c>
      <c r="T12" s="629"/>
      <c r="U12" s="378">
        <v>5</v>
      </c>
      <c r="V12" s="187">
        <v>1438.2000000000003</v>
      </c>
      <c r="W12" s="379">
        <v>287.64000000000004</v>
      </c>
      <c r="X12" s="378">
        <f t="shared" si="2"/>
        <v>3</v>
      </c>
      <c r="Y12" s="629"/>
      <c r="Z12" s="378">
        <v>5</v>
      </c>
      <c r="AA12" s="187">
        <v>1490.4000000000005</v>
      </c>
      <c r="AB12" s="379">
        <v>298.0800000000001</v>
      </c>
      <c r="AC12" s="378">
        <f t="shared" si="3"/>
        <v>2</v>
      </c>
      <c r="AD12" s="629"/>
      <c r="AE12" s="378">
        <v>5</v>
      </c>
      <c r="AF12" s="187">
        <v>1491.2903225806429</v>
      </c>
      <c r="AG12" s="379">
        <v>298.25806451612857</v>
      </c>
      <c r="AH12" s="378">
        <f t="shared" si="4"/>
        <v>1</v>
      </c>
      <c r="AI12" s="629"/>
      <c r="AJ12" s="378">
        <v>5</v>
      </c>
      <c r="AK12" s="187">
        <v>1488.9999999999993</v>
      </c>
      <c r="AL12" s="379">
        <v>297.79999999999984</v>
      </c>
      <c r="AM12" s="378">
        <f t="shared" si="5"/>
        <v>2</v>
      </c>
      <c r="AN12" s="629"/>
      <c r="AO12" s="378">
        <v>5</v>
      </c>
      <c r="AP12" s="187">
        <v>1490.9999999999973</v>
      </c>
      <c r="AQ12" s="379">
        <v>298.19999999999948</v>
      </c>
      <c r="AR12" s="378">
        <f t="shared" si="6"/>
        <v>1</v>
      </c>
      <c r="AS12" s="629"/>
      <c r="AT12" s="378">
        <v>5</v>
      </c>
      <c r="AU12" s="187">
        <v>1300.4999999999995</v>
      </c>
      <c r="AV12" s="379">
        <v>260.09999999999991</v>
      </c>
      <c r="AW12" s="378">
        <f t="shared" si="7"/>
        <v>2</v>
      </c>
      <c r="AX12" s="629"/>
      <c r="AZ12" s="381" t="e">
        <f>RANK(AX12, $K$7:AX$21)</f>
        <v>#N/A</v>
      </c>
      <c r="BB12" s="378" t="e">
        <f t="shared" si="8"/>
        <v>#N/A</v>
      </c>
    </row>
    <row r="13" spans="1:54" ht="14.25">
      <c r="A13" s="81"/>
      <c r="B13" s="598"/>
      <c r="C13" s="330">
        <v>7</v>
      </c>
      <c r="D13" s="378" t="s">
        <v>470</v>
      </c>
      <c r="E13" s="378">
        <v>10</v>
      </c>
      <c r="F13" s="378">
        <v>1500</v>
      </c>
      <c r="G13" s="378">
        <v>150</v>
      </c>
      <c r="H13" s="633"/>
      <c r="I13" s="204">
        <f t="shared" si="0"/>
        <v>10</v>
      </c>
      <c r="J13" s="204">
        <f t="shared" si="0"/>
        <v>1356.0000000000048</v>
      </c>
      <c r="K13" s="205">
        <f t="shared" si="0"/>
        <v>135.60000000000048</v>
      </c>
      <c r="L13" s="572"/>
      <c r="M13" s="206">
        <f>RANK(K13, K$7:$K$21)</f>
        <v>7</v>
      </c>
      <c r="N13" s="590"/>
      <c r="O13" s="590"/>
      <c r="P13" s="378">
        <v>10</v>
      </c>
      <c r="Q13" s="187">
        <v>1356.0000000000048</v>
      </c>
      <c r="R13" s="379">
        <v>135.60000000000048</v>
      </c>
      <c r="S13" s="378">
        <f t="shared" si="1"/>
        <v>7</v>
      </c>
      <c r="T13" s="629"/>
      <c r="U13" s="378"/>
      <c r="V13" s="187"/>
      <c r="W13" s="379"/>
      <c r="X13" s="378" t="e">
        <f t="shared" si="2"/>
        <v>#N/A</v>
      </c>
      <c r="Y13" s="629"/>
      <c r="Z13" s="378"/>
      <c r="AA13" s="187"/>
      <c r="AB13" s="379"/>
      <c r="AC13" s="378" t="e">
        <f t="shared" si="3"/>
        <v>#N/A</v>
      </c>
      <c r="AD13" s="629"/>
      <c r="AE13" s="378"/>
      <c r="AF13" s="187"/>
      <c r="AG13" s="379"/>
      <c r="AH13" s="378" t="e">
        <f t="shared" si="4"/>
        <v>#N/A</v>
      </c>
      <c r="AI13" s="629"/>
      <c r="AJ13" s="378"/>
      <c r="AK13" s="187"/>
      <c r="AL13" s="379"/>
      <c r="AM13" s="378" t="e">
        <f t="shared" si="5"/>
        <v>#N/A</v>
      </c>
      <c r="AN13" s="629"/>
      <c r="AO13" s="378"/>
      <c r="AP13" s="187"/>
      <c r="AQ13" s="379"/>
      <c r="AR13" s="378" t="e">
        <f t="shared" si="6"/>
        <v>#N/A</v>
      </c>
      <c r="AS13" s="629"/>
      <c r="AT13" s="378"/>
      <c r="AU13" s="187"/>
      <c r="AV13" s="379"/>
      <c r="AW13" s="378" t="e">
        <f t="shared" si="7"/>
        <v>#N/A</v>
      </c>
      <c r="AX13" s="629"/>
      <c r="AZ13" s="381" t="e">
        <f>RANK(AX13, $K$7:AX$21)</f>
        <v>#N/A</v>
      </c>
      <c r="BB13" s="378" t="e">
        <f t="shared" si="8"/>
        <v>#N/A</v>
      </c>
    </row>
    <row r="14" spans="1:54" ht="14.25">
      <c r="A14" s="81"/>
      <c r="B14" s="598"/>
      <c r="C14" s="330">
        <v>8</v>
      </c>
      <c r="D14" s="330"/>
      <c r="E14" s="330"/>
      <c r="F14" s="330"/>
      <c r="G14" s="330"/>
      <c r="H14" s="633"/>
      <c r="I14" s="204"/>
      <c r="J14" s="204"/>
      <c r="K14" s="205"/>
      <c r="L14" s="572"/>
      <c r="M14" s="206" t="e">
        <f>RANK(K14, K$7:$K$21)</f>
        <v>#N/A</v>
      </c>
      <c r="N14" s="590"/>
      <c r="O14" s="590"/>
      <c r="P14" s="378"/>
      <c r="Q14" s="187"/>
      <c r="R14" s="379"/>
      <c r="S14" s="378" t="e">
        <f t="shared" si="1"/>
        <v>#N/A</v>
      </c>
      <c r="T14" s="629"/>
      <c r="U14" s="378"/>
      <c r="V14" s="187"/>
      <c r="W14" s="379"/>
      <c r="X14" s="378" t="e">
        <f t="shared" si="2"/>
        <v>#N/A</v>
      </c>
      <c r="Y14" s="629"/>
      <c r="Z14" s="378"/>
      <c r="AA14" s="187"/>
      <c r="AB14" s="379"/>
      <c r="AC14" s="378" t="e">
        <f t="shared" si="3"/>
        <v>#N/A</v>
      </c>
      <c r="AD14" s="629"/>
      <c r="AE14" s="378"/>
      <c r="AF14" s="187"/>
      <c r="AG14" s="379"/>
      <c r="AH14" s="378" t="e">
        <f t="shared" si="4"/>
        <v>#N/A</v>
      </c>
      <c r="AI14" s="629"/>
      <c r="AJ14" s="378"/>
      <c r="AK14" s="187"/>
      <c r="AL14" s="379"/>
      <c r="AM14" s="378" t="e">
        <f t="shared" si="5"/>
        <v>#N/A</v>
      </c>
      <c r="AN14" s="629"/>
      <c r="AO14" s="378"/>
      <c r="AP14" s="187"/>
      <c r="AQ14" s="379"/>
      <c r="AR14" s="378" t="e">
        <f t="shared" si="6"/>
        <v>#N/A</v>
      </c>
      <c r="AS14" s="629"/>
      <c r="AT14" s="378"/>
      <c r="AU14" s="187"/>
      <c r="AV14" s="379"/>
      <c r="AW14" s="378" t="e">
        <f t="shared" si="7"/>
        <v>#N/A</v>
      </c>
      <c r="AX14" s="629"/>
      <c r="AZ14" s="381" t="e">
        <f>RANK(AX14, $K$7:AX$21)</f>
        <v>#N/A</v>
      </c>
      <c r="BB14" s="378" t="e">
        <f t="shared" si="8"/>
        <v>#N/A</v>
      </c>
    </row>
    <row r="15" spans="1:54" ht="14.25">
      <c r="A15" s="81"/>
      <c r="B15" s="598"/>
      <c r="C15" s="330">
        <v>9</v>
      </c>
      <c r="D15" s="330"/>
      <c r="E15" s="330"/>
      <c r="F15" s="330"/>
      <c r="G15" s="330"/>
      <c r="H15" s="633"/>
      <c r="I15" s="204"/>
      <c r="J15" s="204"/>
      <c r="K15" s="205"/>
      <c r="L15" s="572"/>
      <c r="M15" s="206" t="e">
        <f>RANK(K15, K$7:$K$21)</f>
        <v>#N/A</v>
      </c>
      <c r="N15" s="590"/>
      <c r="O15" s="590"/>
      <c r="P15" s="378"/>
      <c r="Q15" s="187"/>
      <c r="R15" s="379"/>
      <c r="S15" s="378" t="e">
        <f t="shared" si="1"/>
        <v>#N/A</v>
      </c>
      <c r="T15" s="629"/>
      <c r="U15" s="378"/>
      <c r="V15" s="187"/>
      <c r="W15" s="379"/>
      <c r="X15" s="378" t="e">
        <f t="shared" si="2"/>
        <v>#N/A</v>
      </c>
      <c r="Y15" s="629"/>
      <c r="Z15" s="378"/>
      <c r="AA15" s="187"/>
      <c r="AB15" s="379"/>
      <c r="AC15" s="378" t="e">
        <f t="shared" si="3"/>
        <v>#N/A</v>
      </c>
      <c r="AD15" s="629"/>
      <c r="AE15" s="378"/>
      <c r="AF15" s="187"/>
      <c r="AG15" s="379"/>
      <c r="AH15" s="378" t="e">
        <f t="shared" si="4"/>
        <v>#N/A</v>
      </c>
      <c r="AI15" s="629"/>
      <c r="AJ15" s="378"/>
      <c r="AK15" s="187"/>
      <c r="AL15" s="379"/>
      <c r="AM15" s="378" t="e">
        <f t="shared" si="5"/>
        <v>#N/A</v>
      </c>
      <c r="AN15" s="629"/>
      <c r="AO15" s="378"/>
      <c r="AP15" s="187"/>
      <c r="AQ15" s="379"/>
      <c r="AR15" s="378" t="e">
        <f t="shared" si="6"/>
        <v>#N/A</v>
      </c>
      <c r="AS15" s="629"/>
      <c r="AT15" s="378"/>
      <c r="AU15" s="187"/>
      <c r="AV15" s="379"/>
      <c r="AW15" s="378" t="e">
        <f t="shared" si="7"/>
        <v>#N/A</v>
      </c>
      <c r="AX15" s="629"/>
      <c r="AZ15" s="381" t="e">
        <f>RANK(AX15, $K$7:AX$21)</f>
        <v>#N/A</v>
      </c>
      <c r="BB15" s="378" t="e">
        <f t="shared" si="8"/>
        <v>#N/A</v>
      </c>
    </row>
    <row r="16" spans="1:54" ht="14.25">
      <c r="A16" s="81"/>
      <c r="B16" s="598"/>
      <c r="C16" s="330">
        <v>10</v>
      </c>
      <c r="D16" s="330"/>
      <c r="E16" s="330"/>
      <c r="F16" s="330"/>
      <c r="G16" s="330"/>
      <c r="H16" s="633"/>
      <c r="I16" s="204"/>
      <c r="J16" s="204"/>
      <c r="K16" s="205"/>
      <c r="L16" s="572"/>
      <c r="M16" s="206" t="e">
        <f>RANK(K16, K$7:$K$21)</f>
        <v>#N/A</v>
      </c>
      <c r="N16" s="590"/>
      <c r="O16" s="590"/>
      <c r="P16" s="378"/>
      <c r="Q16" s="187"/>
      <c r="R16" s="379"/>
      <c r="S16" s="378" t="e">
        <f t="shared" si="1"/>
        <v>#N/A</v>
      </c>
      <c r="T16" s="629"/>
      <c r="U16" s="378"/>
      <c r="V16" s="187"/>
      <c r="W16" s="379"/>
      <c r="X16" s="378" t="e">
        <f t="shared" si="2"/>
        <v>#N/A</v>
      </c>
      <c r="Y16" s="629"/>
      <c r="Z16" s="378"/>
      <c r="AA16" s="187"/>
      <c r="AB16" s="379"/>
      <c r="AC16" s="378" t="e">
        <f t="shared" si="3"/>
        <v>#N/A</v>
      </c>
      <c r="AD16" s="629"/>
      <c r="AE16" s="378"/>
      <c r="AF16" s="187"/>
      <c r="AG16" s="379"/>
      <c r="AH16" s="378" t="e">
        <f t="shared" si="4"/>
        <v>#N/A</v>
      </c>
      <c r="AI16" s="629"/>
      <c r="AJ16" s="378"/>
      <c r="AK16" s="187"/>
      <c r="AL16" s="379"/>
      <c r="AM16" s="378" t="e">
        <f t="shared" si="5"/>
        <v>#N/A</v>
      </c>
      <c r="AN16" s="629"/>
      <c r="AO16" s="378"/>
      <c r="AP16" s="187"/>
      <c r="AQ16" s="379"/>
      <c r="AR16" s="378" t="e">
        <f t="shared" si="6"/>
        <v>#N/A</v>
      </c>
      <c r="AS16" s="629"/>
      <c r="AT16" s="378"/>
      <c r="AU16" s="187"/>
      <c r="AV16" s="379"/>
      <c r="AW16" s="378" t="e">
        <f t="shared" si="7"/>
        <v>#N/A</v>
      </c>
      <c r="AX16" s="629"/>
      <c r="AZ16" s="381" t="e">
        <f>RANK(AX16, $K$7:AX$21)</f>
        <v>#N/A</v>
      </c>
      <c r="BB16" s="378" t="e">
        <f t="shared" si="8"/>
        <v>#N/A</v>
      </c>
    </row>
    <row r="17" spans="2:54">
      <c r="B17" s="598"/>
      <c r="C17" s="330">
        <v>11</v>
      </c>
      <c r="D17" s="330"/>
      <c r="E17" s="330"/>
      <c r="F17" s="330"/>
      <c r="G17" s="330"/>
      <c r="H17" s="633"/>
      <c r="I17" s="207"/>
      <c r="J17" s="207"/>
      <c r="K17" s="207"/>
      <c r="L17" s="572"/>
      <c r="M17" s="206" t="e">
        <f>RANK(K17, K$7:$K$21)</f>
        <v>#N/A</v>
      </c>
      <c r="N17" s="590"/>
      <c r="O17" s="590"/>
      <c r="P17" s="378"/>
      <c r="Q17" s="378"/>
      <c r="R17" s="378"/>
      <c r="S17" s="378" t="e">
        <f t="shared" si="1"/>
        <v>#N/A</v>
      </c>
      <c r="T17" s="629"/>
      <c r="U17" s="378"/>
      <c r="V17" s="378"/>
      <c r="W17" s="378"/>
      <c r="X17" s="378" t="e">
        <f t="shared" si="2"/>
        <v>#N/A</v>
      </c>
      <c r="Y17" s="629"/>
      <c r="Z17" s="378"/>
      <c r="AA17" s="378"/>
      <c r="AB17" s="378"/>
      <c r="AC17" s="378" t="e">
        <f t="shared" si="3"/>
        <v>#N/A</v>
      </c>
      <c r="AD17" s="629"/>
      <c r="AE17" s="378"/>
      <c r="AF17" s="378"/>
      <c r="AG17" s="378"/>
      <c r="AH17" s="378" t="e">
        <f t="shared" si="4"/>
        <v>#N/A</v>
      </c>
      <c r="AI17" s="629"/>
      <c r="AJ17" s="378"/>
      <c r="AK17" s="378"/>
      <c r="AL17" s="378"/>
      <c r="AM17" s="378" t="e">
        <f t="shared" si="5"/>
        <v>#N/A</v>
      </c>
      <c r="AN17" s="629"/>
      <c r="AO17" s="378"/>
      <c r="AP17" s="378"/>
      <c r="AQ17" s="378"/>
      <c r="AR17" s="378" t="e">
        <f t="shared" si="6"/>
        <v>#N/A</v>
      </c>
      <c r="AS17" s="629"/>
      <c r="AT17" s="378"/>
      <c r="AU17" s="378"/>
      <c r="AV17" s="378"/>
      <c r="AW17" s="378" t="e">
        <f t="shared" si="7"/>
        <v>#N/A</v>
      </c>
      <c r="AX17" s="629"/>
      <c r="AZ17" s="381" t="e">
        <f>RANK(AX17, $K$7:AX$21)</f>
        <v>#N/A</v>
      </c>
      <c r="BB17" s="378" t="e">
        <f t="shared" si="8"/>
        <v>#N/A</v>
      </c>
    </row>
    <row r="18" spans="2:54">
      <c r="B18" s="598"/>
      <c r="C18" s="330">
        <v>12</v>
      </c>
      <c r="D18" s="330"/>
      <c r="E18" s="330"/>
      <c r="F18" s="330"/>
      <c r="G18" s="330"/>
      <c r="H18" s="633"/>
      <c r="I18" s="207"/>
      <c r="J18" s="207"/>
      <c r="K18" s="207"/>
      <c r="L18" s="572"/>
      <c r="M18" s="206" t="e">
        <f>RANK(K18, K$7:$K$21)</f>
        <v>#N/A</v>
      </c>
      <c r="N18" s="590"/>
      <c r="O18" s="590"/>
      <c r="P18" s="378"/>
      <c r="Q18" s="378"/>
      <c r="R18" s="378"/>
      <c r="S18" s="378" t="e">
        <f t="shared" si="1"/>
        <v>#N/A</v>
      </c>
      <c r="T18" s="629"/>
      <c r="U18" s="378"/>
      <c r="V18" s="378"/>
      <c r="W18" s="378"/>
      <c r="X18" s="378" t="e">
        <f t="shared" si="2"/>
        <v>#N/A</v>
      </c>
      <c r="Y18" s="629"/>
      <c r="Z18" s="378"/>
      <c r="AA18" s="378"/>
      <c r="AB18" s="378"/>
      <c r="AC18" s="378" t="e">
        <f t="shared" si="3"/>
        <v>#N/A</v>
      </c>
      <c r="AD18" s="629"/>
      <c r="AE18" s="378"/>
      <c r="AF18" s="378"/>
      <c r="AG18" s="378"/>
      <c r="AH18" s="378" t="e">
        <f t="shared" si="4"/>
        <v>#N/A</v>
      </c>
      <c r="AI18" s="629"/>
      <c r="AJ18" s="378"/>
      <c r="AK18" s="378"/>
      <c r="AL18" s="378"/>
      <c r="AM18" s="378" t="e">
        <f t="shared" si="5"/>
        <v>#N/A</v>
      </c>
      <c r="AN18" s="629"/>
      <c r="AO18" s="378"/>
      <c r="AP18" s="378"/>
      <c r="AQ18" s="378"/>
      <c r="AR18" s="378" t="e">
        <f t="shared" si="6"/>
        <v>#N/A</v>
      </c>
      <c r="AS18" s="629"/>
      <c r="AT18" s="378"/>
      <c r="AU18" s="378"/>
      <c r="AV18" s="378"/>
      <c r="AW18" s="378" t="e">
        <f t="shared" si="7"/>
        <v>#N/A</v>
      </c>
      <c r="AX18" s="629"/>
      <c r="AZ18" s="381" t="e">
        <f>RANK(AX18, $K$7:AX$21)</f>
        <v>#N/A</v>
      </c>
      <c r="BB18" s="378" t="e">
        <f t="shared" si="8"/>
        <v>#N/A</v>
      </c>
    </row>
    <row r="19" spans="2:54">
      <c r="B19" s="598"/>
      <c r="C19" s="330">
        <v>13</v>
      </c>
      <c r="D19" s="330"/>
      <c r="E19" s="330"/>
      <c r="F19" s="330"/>
      <c r="G19" s="330"/>
      <c r="H19" s="633"/>
      <c r="I19" s="207"/>
      <c r="J19" s="207"/>
      <c r="K19" s="207"/>
      <c r="L19" s="572"/>
      <c r="M19" s="206" t="e">
        <f>RANK(K19, K$7:$K$21)</f>
        <v>#N/A</v>
      </c>
      <c r="N19" s="590"/>
      <c r="O19" s="590"/>
      <c r="P19" s="378"/>
      <c r="Q19" s="378"/>
      <c r="R19" s="378"/>
      <c r="S19" s="378" t="e">
        <f t="shared" si="1"/>
        <v>#N/A</v>
      </c>
      <c r="T19" s="629"/>
      <c r="U19" s="378"/>
      <c r="V19" s="378"/>
      <c r="W19" s="378"/>
      <c r="X19" s="378" t="e">
        <f t="shared" si="2"/>
        <v>#N/A</v>
      </c>
      <c r="Y19" s="629"/>
      <c r="Z19" s="378"/>
      <c r="AA19" s="378"/>
      <c r="AB19" s="378"/>
      <c r="AC19" s="378" t="e">
        <f t="shared" si="3"/>
        <v>#N/A</v>
      </c>
      <c r="AD19" s="629"/>
      <c r="AE19" s="378"/>
      <c r="AF19" s="378"/>
      <c r="AG19" s="378"/>
      <c r="AH19" s="378" t="e">
        <f t="shared" si="4"/>
        <v>#N/A</v>
      </c>
      <c r="AI19" s="629"/>
      <c r="AJ19" s="378"/>
      <c r="AK19" s="378"/>
      <c r="AL19" s="378"/>
      <c r="AM19" s="378" t="e">
        <f t="shared" si="5"/>
        <v>#N/A</v>
      </c>
      <c r="AN19" s="629"/>
      <c r="AO19" s="378"/>
      <c r="AP19" s="378"/>
      <c r="AQ19" s="378"/>
      <c r="AR19" s="378" t="e">
        <f t="shared" si="6"/>
        <v>#N/A</v>
      </c>
      <c r="AS19" s="629"/>
      <c r="AT19" s="378"/>
      <c r="AU19" s="378"/>
      <c r="AV19" s="378"/>
      <c r="AW19" s="378" t="e">
        <f t="shared" si="7"/>
        <v>#N/A</v>
      </c>
      <c r="AX19" s="629"/>
      <c r="AZ19" s="381" t="e">
        <f>RANK(AX19, $K$7:AX$21)</f>
        <v>#N/A</v>
      </c>
      <c r="BB19" s="378" t="e">
        <f t="shared" si="8"/>
        <v>#N/A</v>
      </c>
    </row>
    <row r="20" spans="2:54">
      <c r="B20" s="598"/>
      <c r="C20" s="330">
        <v>14</v>
      </c>
      <c r="D20" s="330"/>
      <c r="E20" s="330"/>
      <c r="F20" s="330"/>
      <c r="G20" s="330"/>
      <c r="H20" s="633"/>
      <c r="I20" s="207"/>
      <c r="J20" s="207"/>
      <c r="K20" s="207"/>
      <c r="L20" s="572"/>
      <c r="M20" s="206" t="e">
        <f>RANK(K20, K$7:$K$21)</f>
        <v>#N/A</v>
      </c>
      <c r="N20" s="590"/>
      <c r="O20" s="590"/>
      <c r="P20" s="378"/>
      <c r="Q20" s="378"/>
      <c r="R20" s="378"/>
      <c r="S20" s="378" t="e">
        <f t="shared" si="1"/>
        <v>#N/A</v>
      </c>
      <c r="T20" s="629"/>
      <c r="U20" s="378"/>
      <c r="V20" s="378"/>
      <c r="W20" s="378"/>
      <c r="X20" s="378" t="e">
        <f t="shared" si="2"/>
        <v>#N/A</v>
      </c>
      <c r="Y20" s="629"/>
      <c r="Z20" s="378"/>
      <c r="AA20" s="378"/>
      <c r="AB20" s="378"/>
      <c r="AC20" s="378" t="e">
        <f t="shared" si="3"/>
        <v>#N/A</v>
      </c>
      <c r="AD20" s="629"/>
      <c r="AE20" s="378"/>
      <c r="AF20" s="378"/>
      <c r="AG20" s="378"/>
      <c r="AH20" s="378" t="e">
        <f t="shared" si="4"/>
        <v>#N/A</v>
      </c>
      <c r="AI20" s="629"/>
      <c r="AJ20" s="378"/>
      <c r="AK20" s="378"/>
      <c r="AL20" s="378"/>
      <c r="AM20" s="378" t="e">
        <f t="shared" si="5"/>
        <v>#N/A</v>
      </c>
      <c r="AN20" s="629"/>
      <c r="AO20" s="378"/>
      <c r="AP20" s="378"/>
      <c r="AQ20" s="378"/>
      <c r="AR20" s="378" t="e">
        <f t="shared" si="6"/>
        <v>#N/A</v>
      </c>
      <c r="AS20" s="629"/>
      <c r="AT20" s="378"/>
      <c r="AU20" s="378"/>
      <c r="AV20" s="378"/>
      <c r="AW20" s="378" t="e">
        <f t="shared" si="7"/>
        <v>#N/A</v>
      </c>
      <c r="AX20" s="629"/>
      <c r="AZ20" s="381" t="e">
        <f>RANK(AX20, $K$7:AX$21)</f>
        <v>#N/A</v>
      </c>
      <c r="BB20" s="378" t="e">
        <f t="shared" si="8"/>
        <v>#N/A</v>
      </c>
    </row>
    <row r="21" spans="2:54">
      <c r="B21" s="598"/>
      <c r="C21" s="330">
        <v>15</v>
      </c>
      <c r="D21" s="330"/>
      <c r="E21" s="330"/>
      <c r="F21" s="330"/>
      <c r="G21" s="330"/>
      <c r="H21" s="634"/>
      <c r="I21" s="207"/>
      <c r="J21" s="207"/>
      <c r="K21" s="207"/>
      <c r="L21" s="573"/>
      <c r="M21" s="204" t="e">
        <f>RANK(K21, K$7:$K$21)</f>
        <v>#N/A</v>
      </c>
      <c r="N21" s="590"/>
      <c r="O21" s="590"/>
      <c r="P21" s="378"/>
      <c r="Q21" s="378"/>
      <c r="R21" s="378"/>
      <c r="S21" s="378" t="e">
        <f t="shared" si="1"/>
        <v>#N/A</v>
      </c>
      <c r="T21" s="629"/>
      <c r="U21" s="378"/>
      <c r="V21" s="378"/>
      <c r="W21" s="378"/>
      <c r="X21" s="378" t="e">
        <f t="shared" si="2"/>
        <v>#N/A</v>
      </c>
      <c r="Y21" s="629"/>
      <c r="Z21" s="378"/>
      <c r="AA21" s="378"/>
      <c r="AB21" s="378"/>
      <c r="AC21" s="378" t="e">
        <f t="shared" si="3"/>
        <v>#N/A</v>
      </c>
      <c r="AD21" s="629"/>
      <c r="AE21" s="378"/>
      <c r="AF21" s="378"/>
      <c r="AG21" s="378"/>
      <c r="AH21" s="378" t="e">
        <f t="shared" si="4"/>
        <v>#N/A</v>
      </c>
      <c r="AI21" s="629"/>
      <c r="AJ21" s="378"/>
      <c r="AK21" s="378"/>
      <c r="AL21" s="378"/>
      <c r="AM21" s="378" t="e">
        <f t="shared" si="5"/>
        <v>#N/A</v>
      </c>
      <c r="AN21" s="629"/>
      <c r="AO21" s="378"/>
      <c r="AP21" s="378"/>
      <c r="AQ21" s="378"/>
      <c r="AR21" s="378" t="e">
        <f t="shared" si="6"/>
        <v>#N/A</v>
      </c>
      <c r="AS21" s="629"/>
      <c r="AT21" s="378"/>
      <c r="AU21" s="378"/>
      <c r="AV21" s="378"/>
      <c r="AW21" s="378" t="e">
        <f t="shared" si="7"/>
        <v>#N/A</v>
      </c>
      <c r="AX21" s="629"/>
      <c r="AZ21" s="380" t="e">
        <f>RANK(AX21, $K$7:AX$21)</f>
        <v>#N/A</v>
      </c>
      <c r="BB21" s="378" t="e">
        <f t="shared" si="8"/>
        <v>#N/A</v>
      </c>
    </row>
    <row r="22" spans="2:54" ht="15.75">
      <c r="B22" s="615" t="s">
        <v>163</v>
      </c>
      <c r="C22" s="616"/>
      <c r="D22" s="616"/>
      <c r="E22" s="616"/>
      <c r="F22" s="616"/>
      <c r="G22" s="616"/>
      <c r="H22" s="616"/>
      <c r="I22" s="208"/>
      <c r="J22" s="208"/>
      <c r="K22" s="208"/>
      <c r="L22" s="208"/>
      <c r="M22" s="209"/>
      <c r="N22" s="591" t="s">
        <v>156</v>
      </c>
      <c r="O22" s="591" t="s">
        <v>105</v>
      </c>
      <c r="P22" s="635">
        <f>AT2+1</f>
        <v>45937</v>
      </c>
      <c r="Q22" s="636"/>
      <c r="R22" s="636"/>
      <c r="S22" s="636"/>
      <c r="T22" s="636"/>
      <c r="U22" s="597">
        <f>P22+1</f>
        <v>45938</v>
      </c>
      <c r="V22" s="598"/>
      <c r="W22" s="598"/>
      <c r="X22" s="598"/>
      <c r="Y22" s="598"/>
      <c r="Z22" s="597">
        <f>U22+1</f>
        <v>45939</v>
      </c>
      <c r="AA22" s="598"/>
      <c r="AB22" s="598"/>
      <c r="AC22" s="598"/>
      <c r="AD22" s="598"/>
      <c r="AE22" s="597">
        <f>Z22+1</f>
        <v>45940</v>
      </c>
      <c r="AF22" s="598"/>
      <c r="AG22" s="598"/>
      <c r="AH22" s="598"/>
      <c r="AI22" s="598"/>
      <c r="AJ22" s="597">
        <f>AE22+1</f>
        <v>45941</v>
      </c>
      <c r="AK22" s="598"/>
      <c r="AL22" s="598"/>
      <c r="AM22" s="598"/>
      <c r="AN22" s="598"/>
      <c r="AO22" s="597">
        <f>AJ22+1</f>
        <v>45942</v>
      </c>
      <c r="AP22" s="598"/>
      <c r="AQ22" s="598"/>
      <c r="AR22" s="598"/>
      <c r="AS22" s="598"/>
      <c r="AT22" s="597">
        <f>AO22+1</f>
        <v>45943</v>
      </c>
      <c r="AU22" s="598"/>
      <c r="AV22" s="598"/>
      <c r="AW22" s="598"/>
      <c r="AX22" s="598"/>
    </row>
    <row r="23" spans="2:54" ht="15.75">
      <c r="B23" s="605"/>
      <c r="C23" s="605"/>
      <c r="D23" s="605"/>
      <c r="E23" s="605"/>
      <c r="F23" s="605"/>
      <c r="G23" s="605"/>
      <c r="H23" s="605"/>
      <c r="I23" s="210"/>
      <c r="J23" s="210"/>
      <c r="K23" s="210"/>
      <c r="L23" s="210"/>
      <c r="M23" s="211"/>
      <c r="N23" s="593"/>
      <c r="O23" s="593"/>
      <c r="P23" s="597" t="s">
        <v>336</v>
      </c>
      <c r="Q23" s="598"/>
      <c r="R23" s="598"/>
      <c r="S23" s="598"/>
      <c r="T23" s="598"/>
      <c r="U23" s="597" t="s">
        <v>337</v>
      </c>
      <c r="V23" s="598"/>
      <c r="W23" s="598"/>
      <c r="X23" s="598"/>
      <c r="Y23" s="598"/>
      <c r="Z23" s="597" t="s">
        <v>338</v>
      </c>
      <c r="AA23" s="598"/>
      <c r="AB23" s="598"/>
      <c r="AC23" s="598"/>
      <c r="AD23" s="598"/>
      <c r="AE23" s="597" t="s">
        <v>339</v>
      </c>
      <c r="AF23" s="598"/>
      <c r="AG23" s="598"/>
      <c r="AH23" s="598"/>
      <c r="AI23" s="598"/>
      <c r="AJ23" s="597" t="s">
        <v>340</v>
      </c>
      <c r="AK23" s="598"/>
      <c r="AL23" s="598"/>
      <c r="AM23" s="598"/>
      <c r="AN23" s="598"/>
      <c r="AO23" s="597" t="s">
        <v>341</v>
      </c>
      <c r="AP23" s="598"/>
      <c r="AQ23" s="598"/>
      <c r="AR23" s="598"/>
      <c r="AS23" s="598"/>
      <c r="AT23" s="597" t="s">
        <v>342</v>
      </c>
      <c r="AU23" s="598"/>
      <c r="AV23" s="598"/>
      <c r="AW23" s="598"/>
      <c r="AX23" s="598"/>
    </row>
    <row r="24" spans="2:54">
      <c r="B24" s="590" t="s">
        <v>556</v>
      </c>
      <c r="C24" s="590" t="s">
        <v>454</v>
      </c>
      <c r="D24" s="590"/>
      <c r="E24" s="590" t="s">
        <v>445</v>
      </c>
      <c r="F24" s="590"/>
      <c r="G24" s="590"/>
      <c r="H24" s="606" t="s">
        <v>441</v>
      </c>
      <c r="I24" s="574" t="s">
        <v>446</v>
      </c>
      <c r="J24" s="574"/>
      <c r="K24" s="574"/>
      <c r="L24" s="575" t="s">
        <v>441</v>
      </c>
      <c r="M24" s="581" t="s">
        <v>442</v>
      </c>
      <c r="N24" s="590"/>
      <c r="O24" s="590" t="s">
        <v>557</v>
      </c>
      <c r="P24" s="587" t="s">
        <v>443</v>
      </c>
      <c r="Q24" s="588"/>
      <c r="R24" s="588"/>
      <c r="S24" s="589"/>
      <c r="T24" s="590" t="s">
        <v>441</v>
      </c>
      <c r="U24" s="587" t="s">
        <v>558</v>
      </c>
      <c r="V24" s="588"/>
      <c r="W24" s="588"/>
      <c r="X24" s="589"/>
      <c r="Y24" s="590" t="s">
        <v>441</v>
      </c>
      <c r="Z24" s="587" t="s">
        <v>443</v>
      </c>
      <c r="AA24" s="588"/>
      <c r="AB24" s="588"/>
      <c r="AC24" s="589"/>
      <c r="AD24" s="590" t="s">
        <v>441</v>
      </c>
      <c r="AE24" s="587" t="s">
        <v>443</v>
      </c>
      <c r="AF24" s="588"/>
      <c r="AG24" s="588"/>
      <c r="AH24" s="589"/>
      <c r="AI24" s="590" t="s">
        <v>559</v>
      </c>
      <c r="AJ24" s="587" t="s">
        <v>558</v>
      </c>
      <c r="AK24" s="588"/>
      <c r="AL24" s="588"/>
      <c r="AM24" s="589"/>
      <c r="AN24" s="590" t="s">
        <v>441</v>
      </c>
      <c r="AO24" s="587" t="s">
        <v>443</v>
      </c>
      <c r="AP24" s="588"/>
      <c r="AQ24" s="588"/>
      <c r="AR24" s="589"/>
      <c r="AS24" s="590" t="s">
        <v>441</v>
      </c>
      <c r="AT24" s="587" t="s">
        <v>443</v>
      </c>
      <c r="AU24" s="588"/>
      <c r="AV24" s="588"/>
      <c r="AW24" s="589"/>
      <c r="AX24" s="590" t="s">
        <v>441</v>
      </c>
    </row>
    <row r="25" spans="2:54">
      <c r="B25" s="590"/>
      <c r="C25" s="590"/>
      <c r="D25" s="590"/>
      <c r="E25" s="590" t="s">
        <v>448</v>
      </c>
      <c r="F25" s="590"/>
      <c r="G25" s="590"/>
      <c r="H25" s="607"/>
      <c r="I25" s="574" t="s">
        <v>448</v>
      </c>
      <c r="J25" s="574"/>
      <c r="K25" s="574"/>
      <c r="L25" s="576"/>
      <c r="M25" s="582"/>
      <c r="N25" s="590"/>
      <c r="O25" s="590"/>
      <c r="P25" s="587" t="s">
        <v>449</v>
      </c>
      <c r="Q25" s="588"/>
      <c r="R25" s="588"/>
      <c r="S25" s="589"/>
      <c r="T25" s="590"/>
      <c r="U25" s="587" t="s">
        <v>560</v>
      </c>
      <c r="V25" s="588"/>
      <c r="W25" s="588"/>
      <c r="X25" s="589"/>
      <c r="Y25" s="590"/>
      <c r="Z25" s="587" t="s">
        <v>449</v>
      </c>
      <c r="AA25" s="588"/>
      <c r="AB25" s="588"/>
      <c r="AC25" s="589"/>
      <c r="AD25" s="590"/>
      <c r="AE25" s="587" t="s">
        <v>449</v>
      </c>
      <c r="AF25" s="588"/>
      <c r="AG25" s="588"/>
      <c r="AH25" s="589"/>
      <c r="AI25" s="590"/>
      <c r="AJ25" s="587" t="s">
        <v>449</v>
      </c>
      <c r="AK25" s="588"/>
      <c r="AL25" s="588"/>
      <c r="AM25" s="589"/>
      <c r="AN25" s="590"/>
      <c r="AO25" s="587" t="s">
        <v>560</v>
      </c>
      <c r="AP25" s="588"/>
      <c r="AQ25" s="588"/>
      <c r="AR25" s="589"/>
      <c r="AS25" s="590"/>
      <c r="AT25" s="587" t="s">
        <v>449</v>
      </c>
      <c r="AU25" s="588"/>
      <c r="AV25" s="588"/>
      <c r="AW25" s="589"/>
      <c r="AX25" s="590"/>
    </row>
    <row r="26" spans="2:54">
      <c r="B26" s="590"/>
      <c r="C26" s="590"/>
      <c r="D26" s="590"/>
      <c r="E26" s="335" t="s">
        <v>450</v>
      </c>
      <c r="F26" s="335" t="s">
        <v>451</v>
      </c>
      <c r="G26" s="335" t="s">
        <v>452</v>
      </c>
      <c r="H26" s="608"/>
      <c r="I26" s="334" t="s">
        <v>450</v>
      </c>
      <c r="J26" s="334" t="s">
        <v>451</v>
      </c>
      <c r="K26" s="334" t="s">
        <v>452</v>
      </c>
      <c r="L26" s="577"/>
      <c r="M26" s="583"/>
      <c r="N26" s="590"/>
      <c r="O26" s="590"/>
      <c r="P26" s="335" t="s">
        <v>450</v>
      </c>
      <c r="Q26" s="335" t="s">
        <v>451</v>
      </c>
      <c r="R26" s="335" t="s">
        <v>452</v>
      </c>
      <c r="S26" s="335" t="s">
        <v>561</v>
      </c>
      <c r="T26" s="590"/>
      <c r="U26" s="335" t="s">
        <v>450</v>
      </c>
      <c r="V26" s="335" t="s">
        <v>562</v>
      </c>
      <c r="W26" s="335" t="s">
        <v>563</v>
      </c>
      <c r="X26" s="335" t="s">
        <v>442</v>
      </c>
      <c r="Y26" s="590"/>
      <c r="Z26" s="335" t="s">
        <v>450</v>
      </c>
      <c r="AA26" s="335" t="s">
        <v>451</v>
      </c>
      <c r="AB26" s="335" t="s">
        <v>452</v>
      </c>
      <c r="AC26" s="335" t="s">
        <v>442</v>
      </c>
      <c r="AD26" s="590"/>
      <c r="AE26" s="335" t="s">
        <v>450</v>
      </c>
      <c r="AF26" s="335" t="s">
        <v>451</v>
      </c>
      <c r="AG26" s="335" t="s">
        <v>452</v>
      </c>
      <c r="AH26" s="335" t="s">
        <v>442</v>
      </c>
      <c r="AI26" s="590"/>
      <c r="AJ26" s="335" t="s">
        <v>450</v>
      </c>
      <c r="AK26" s="335" t="s">
        <v>451</v>
      </c>
      <c r="AL26" s="335" t="s">
        <v>452</v>
      </c>
      <c r="AM26" s="335" t="s">
        <v>442</v>
      </c>
      <c r="AN26" s="590"/>
      <c r="AO26" s="335" t="s">
        <v>450</v>
      </c>
      <c r="AP26" s="335" t="s">
        <v>562</v>
      </c>
      <c r="AQ26" s="335" t="s">
        <v>452</v>
      </c>
      <c r="AR26" s="335" t="s">
        <v>442</v>
      </c>
      <c r="AS26" s="590"/>
      <c r="AT26" s="335" t="s">
        <v>450</v>
      </c>
      <c r="AU26" s="335" t="s">
        <v>451</v>
      </c>
      <c r="AV26" s="335" t="s">
        <v>452</v>
      </c>
      <c r="AW26" s="335" t="s">
        <v>442</v>
      </c>
      <c r="AX26" s="590"/>
    </row>
    <row r="27" spans="2:54">
      <c r="B27" s="631" t="s">
        <v>471</v>
      </c>
      <c r="C27" s="336">
        <v>1</v>
      </c>
      <c r="D27" s="346" t="s">
        <v>381</v>
      </c>
      <c r="E27" s="346">
        <v>10</v>
      </c>
      <c r="F27" s="346">
        <v>1500</v>
      </c>
      <c r="G27" s="187">
        <v>150</v>
      </c>
      <c r="H27" s="632">
        <f>AVERAGE(G27:G41)</f>
        <v>206.66666666666666</v>
      </c>
      <c r="I27" s="204">
        <f>AVERAGE(P27,U27,Z27,AE27,AJ27,AO27,AT27)</f>
        <v>10</v>
      </c>
      <c r="J27" s="204">
        <f>AVERAGE(Q27,V27,AA27,AF27,AK27,AP27,AU27)</f>
        <v>1427.1428571428546</v>
      </c>
      <c r="K27" s="205">
        <f>AVERAGE(R27,W27,AB27,AG27,AL27,AQ27,AV27)</f>
        <v>142.71428571428541</v>
      </c>
      <c r="L27" s="571">
        <f>IFERROR(AVERAGE(K27:K41),"-")</f>
        <v>211.90131122141042</v>
      </c>
      <c r="M27" s="206">
        <f>RANK(K27, K$27:$K$41)</f>
        <v>5</v>
      </c>
      <c r="N27" s="590"/>
      <c r="O27" s="590"/>
      <c r="P27" s="187">
        <v>10</v>
      </c>
      <c r="Q27" s="187">
        <v>1439.9999999999975</v>
      </c>
      <c r="R27" s="379">
        <v>143.99999999999974</v>
      </c>
      <c r="S27" s="336">
        <f t="shared" ref="S27:S41" si="9">RANK(R27, R$27:R$41)</f>
        <v>4</v>
      </c>
      <c r="T27" s="629">
        <f>AVERAGE(R27:R41)</f>
        <v>210.75050505050504</v>
      </c>
      <c r="U27" s="187">
        <v>10</v>
      </c>
      <c r="V27" s="187">
        <v>1591.1999999999955</v>
      </c>
      <c r="W27" s="379">
        <v>159.11999999999955</v>
      </c>
      <c r="X27" s="336">
        <f t="shared" ref="X27:X41" si="10">RANK(W27, W$27:W$41)</f>
        <v>4</v>
      </c>
      <c r="Y27" s="629">
        <f>AVERAGE(W27:W41)</f>
        <v>211.25938413611308</v>
      </c>
      <c r="Z27" s="187">
        <v>10</v>
      </c>
      <c r="AA27" s="187">
        <v>1348.7999999999961</v>
      </c>
      <c r="AB27" s="379">
        <v>134.8799999999996</v>
      </c>
      <c r="AC27" s="336">
        <f t="shared" ref="AC27:AC41" si="11">RANK(AB27, AB$27:AB$41)</f>
        <v>6</v>
      </c>
      <c r="AD27" s="629">
        <f>AVERAGE(AB27:AB41)</f>
        <v>204.0830303030302</v>
      </c>
      <c r="AE27" s="187">
        <v>10</v>
      </c>
      <c r="AF27" s="187">
        <v>1283.9999999999964</v>
      </c>
      <c r="AG27" s="379">
        <v>128.39999999999964</v>
      </c>
      <c r="AH27" s="336">
        <f t="shared" ref="AH27:AH41" si="12">RANK(AG27, AG$27:AG$41)</f>
        <v>6</v>
      </c>
      <c r="AI27" s="629">
        <f>AVERAGE(AG27:AG41)</f>
        <v>205.86102693602689</v>
      </c>
      <c r="AJ27" s="187">
        <v>10</v>
      </c>
      <c r="AK27" s="187">
        <v>1655.9999999999995</v>
      </c>
      <c r="AL27" s="379">
        <v>165.59999999999997</v>
      </c>
      <c r="AM27" s="336">
        <f t="shared" ref="AM27:AM41" si="13">RANK(AL27, AL$27:AL$41)</f>
        <v>4</v>
      </c>
      <c r="AN27" s="629">
        <f>AVERAGE(AL27:AL41)</f>
        <v>216.72373737373732</v>
      </c>
      <c r="AO27" s="187">
        <v>10</v>
      </c>
      <c r="AP27" s="187">
        <v>1319.9999999999977</v>
      </c>
      <c r="AQ27" s="379">
        <v>131.99999999999977</v>
      </c>
      <c r="AR27" s="336">
        <f t="shared" ref="AR27:AR41" si="14">RANK(AQ27, AQ$27:AQ$41)</f>
        <v>6</v>
      </c>
      <c r="AS27" s="599">
        <f>AVERAGE(AQ27:AQ41)</f>
        <v>224.6598124098125</v>
      </c>
      <c r="AT27" s="187">
        <v>10</v>
      </c>
      <c r="AU27" s="187">
        <v>1349.9999999999977</v>
      </c>
      <c r="AV27" s="379">
        <v>134.99999999999977</v>
      </c>
      <c r="AW27" s="336">
        <f t="shared" ref="AW27:AW41" si="15">RANK(AV27, AV$27:AV$41)</f>
        <v>5</v>
      </c>
      <c r="AX27" s="599">
        <f>AVERAGE(AV27:AV41)</f>
        <v>209.9716823406479</v>
      </c>
    </row>
    <row r="28" spans="2:54">
      <c r="B28" s="598"/>
      <c r="C28" s="336">
        <v>2</v>
      </c>
      <c r="D28" s="346" t="s">
        <v>382</v>
      </c>
      <c r="E28" s="346">
        <v>15</v>
      </c>
      <c r="F28" s="346">
        <v>1800</v>
      </c>
      <c r="G28" s="187">
        <v>120</v>
      </c>
      <c r="H28" s="633"/>
      <c r="I28" s="204">
        <f t="shared" ref="I28:I32" si="16">AVERAGE(P28,U28,Z28,AE28,AJ28,AO28,AT28)</f>
        <v>12</v>
      </c>
      <c r="J28" s="204">
        <f t="shared" ref="J28:J32" si="17">AVERAGE(Q28,V28,AA28,AF28,AK28,AP28,AU28)</f>
        <v>1689.1458874458872</v>
      </c>
      <c r="K28" s="205">
        <f t="shared" ref="K28:K32" si="18">AVERAGE(R28,W28,AB28,AG28,AL28,AQ28,AV28)</f>
        <v>140.76215728715727</v>
      </c>
      <c r="L28" s="572"/>
      <c r="M28" s="206">
        <f>RANK(K28, K$27:$K$41)</f>
        <v>6</v>
      </c>
      <c r="N28" s="590"/>
      <c r="O28" s="590"/>
      <c r="P28" s="378">
        <v>12</v>
      </c>
      <c r="Q28" s="187">
        <v>1552.3636363636351</v>
      </c>
      <c r="R28" s="379">
        <v>129.36363636363626</v>
      </c>
      <c r="S28" s="336">
        <f t="shared" si="9"/>
        <v>6</v>
      </c>
      <c r="T28" s="629"/>
      <c r="U28" s="378">
        <v>12</v>
      </c>
      <c r="V28" s="187">
        <v>1634.4000000000033</v>
      </c>
      <c r="W28" s="379">
        <v>136.20000000000027</v>
      </c>
      <c r="X28" s="336">
        <f t="shared" si="10"/>
        <v>5</v>
      </c>
      <c r="Y28" s="629"/>
      <c r="Z28" s="378">
        <v>12</v>
      </c>
      <c r="AA28" s="187">
        <v>1849.4999999999955</v>
      </c>
      <c r="AB28" s="379">
        <v>154.12499999999963</v>
      </c>
      <c r="AC28" s="336">
        <f t="shared" si="11"/>
        <v>4</v>
      </c>
      <c r="AD28" s="629"/>
      <c r="AE28" s="378">
        <v>12</v>
      </c>
      <c r="AF28" s="187">
        <v>1690.6666666666665</v>
      </c>
      <c r="AG28" s="379">
        <v>140.88888888888889</v>
      </c>
      <c r="AH28" s="336">
        <f t="shared" si="12"/>
        <v>5</v>
      </c>
      <c r="AI28" s="629"/>
      <c r="AJ28" s="378">
        <v>12</v>
      </c>
      <c r="AK28" s="187">
        <v>1712</v>
      </c>
      <c r="AL28" s="379">
        <v>142.66666666666666</v>
      </c>
      <c r="AM28" s="336">
        <f t="shared" si="13"/>
        <v>6</v>
      </c>
      <c r="AN28" s="629"/>
      <c r="AO28" s="378">
        <v>12</v>
      </c>
      <c r="AP28" s="187">
        <v>1732.3636363636376</v>
      </c>
      <c r="AQ28" s="379">
        <v>144.36363636363646</v>
      </c>
      <c r="AR28" s="336">
        <f t="shared" si="14"/>
        <v>5</v>
      </c>
      <c r="AS28" s="600"/>
      <c r="AT28" s="378">
        <v>12</v>
      </c>
      <c r="AU28" s="187">
        <v>1652.7272727272716</v>
      </c>
      <c r="AV28" s="379">
        <v>137.72727272727263</v>
      </c>
      <c r="AW28" s="336">
        <f t="shared" si="15"/>
        <v>4</v>
      </c>
      <c r="AX28" s="600"/>
    </row>
    <row r="29" spans="2:54">
      <c r="B29" s="598"/>
      <c r="C29" s="336">
        <v>3</v>
      </c>
      <c r="D29" s="346" t="s">
        <v>383</v>
      </c>
      <c r="E29" s="346">
        <v>15</v>
      </c>
      <c r="F29" s="346">
        <v>1800</v>
      </c>
      <c r="G29" s="187">
        <v>120</v>
      </c>
      <c r="H29" s="633"/>
      <c r="I29" s="204">
        <f t="shared" si="16"/>
        <v>12</v>
      </c>
      <c r="J29" s="204">
        <f t="shared" si="17"/>
        <v>1716.6038961038944</v>
      </c>
      <c r="K29" s="205">
        <f t="shared" si="18"/>
        <v>143.05032467532456</v>
      </c>
      <c r="L29" s="572"/>
      <c r="M29" s="206">
        <f>RANK(K29, K$27:$K$41)</f>
        <v>4</v>
      </c>
      <c r="N29" s="590"/>
      <c r="O29" s="590"/>
      <c r="P29" s="378">
        <v>12</v>
      </c>
      <c r="Q29" s="187">
        <v>1575.2727272727284</v>
      </c>
      <c r="R29" s="379">
        <v>131.27272727272737</v>
      </c>
      <c r="S29" s="336">
        <f t="shared" si="9"/>
        <v>5</v>
      </c>
      <c r="T29" s="629"/>
      <c r="U29" s="378">
        <v>12</v>
      </c>
      <c r="V29" s="187">
        <v>1594.7999999999954</v>
      </c>
      <c r="W29" s="379">
        <v>132.89999999999961</v>
      </c>
      <c r="X29" s="336">
        <f t="shared" si="10"/>
        <v>6</v>
      </c>
      <c r="Y29" s="629"/>
      <c r="Z29" s="378">
        <v>12</v>
      </c>
      <c r="AA29" s="187">
        <v>1774.4999999999955</v>
      </c>
      <c r="AB29" s="379">
        <v>147.87499999999963</v>
      </c>
      <c r="AC29" s="336">
        <f t="shared" si="11"/>
        <v>5</v>
      </c>
      <c r="AD29" s="629"/>
      <c r="AE29" s="378">
        <v>12</v>
      </c>
      <c r="AF29" s="187">
        <v>1833.000000000003</v>
      </c>
      <c r="AG29" s="379">
        <v>152.75000000000026</v>
      </c>
      <c r="AH29" s="336">
        <f t="shared" si="12"/>
        <v>4</v>
      </c>
      <c r="AI29" s="629"/>
      <c r="AJ29" s="378">
        <v>12</v>
      </c>
      <c r="AK29" s="187">
        <v>1829.9999999999955</v>
      </c>
      <c r="AL29" s="379">
        <v>152.49999999999963</v>
      </c>
      <c r="AM29" s="336">
        <f t="shared" si="13"/>
        <v>5</v>
      </c>
      <c r="AN29" s="629"/>
      <c r="AO29" s="378">
        <v>12</v>
      </c>
      <c r="AP29" s="187">
        <v>1831.2000000000007</v>
      </c>
      <c r="AQ29" s="379">
        <v>152.60000000000005</v>
      </c>
      <c r="AR29" s="336">
        <f t="shared" si="14"/>
        <v>4</v>
      </c>
      <c r="AS29" s="600"/>
      <c r="AT29" s="378">
        <v>12</v>
      </c>
      <c r="AU29" s="187">
        <v>1577.4545454545444</v>
      </c>
      <c r="AV29" s="379">
        <v>131.45454545454535</v>
      </c>
      <c r="AW29" s="336">
        <f t="shared" si="15"/>
        <v>6</v>
      </c>
      <c r="AX29" s="600"/>
    </row>
    <row r="30" spans="2:54">
      <c r="B30" s="598"/>
      <c r="C30" s="336">
        <v>4</v>
      </c>
      <c r="D30" s="346" t="s">
        <v>384</v>
      </c>
      <c r="E30" s="346">
        <v>6</v>
      </c>
      <c r="F30" s="346">
        <v>1500</v>
      </c>
      <c r="G30" s="187">
        <v>250</v>
      </c>
      <c r="H30" s="633"/>
      <c r="I30" s="204">
        <f t="shared" si="16"/>
        <v>5.1428571428571432</v>
      </c>
      <c r="J30" s="204">
        <f t="shared" si="17"/>
        <v>1345.3095238095252</v>
      </c>
      <c r="K30" s="205">
        <f t="shared" si="18"/>
        <v>262.061904761905</v>
      </c>
      <c r="L30" s="572"/>
      <c r="M30" s="206">
        <f>RANK(K30, K$27:$K$41)</f>
        <v>3</v>
      </c>
      <c r="N30" s="590"/>
      <c r="O30" s="590"/>
      <c r="P30" s="378">
        <v>5</v>
      </c>
      <c r="Q30" s="187">
        <v>1386.6666666666686</v>
      </c>
      <c r="R30" s="379">
        <v>277.33333333333371</v>
      </c>
      <c r="S30" s="336">
        <f t="shared" si="9"/>
        <v>3</v>
      </c>
      <c r="T30" s="629"/>
      <c r="U30" s="378">
        <v>5</v>
      </c>
      <c r="V30" s="187">
        <v>1280.0000000000018</v>
      </c>
      <c r="W30" s="379">
        <v>256.00000000000034</v>
      </c>
      <c r="X30" s="336">
        <f t="shared" si="10"/>
        <v>3</v>
      </c>
      <c r="Y30" s="629"/>
      <c r="Z30" s="378">
        <v>5</v>
      </c>
      <c r="AA30" s="187">
        <v>1240.0000000000011</v>
      </c>
      <c r="AB30" s="379">
        <v>248.00000000000023</v>
      </c>
      <c r="AC30" s="336">
        <f t="shared" si="11"/>
        <v>3</v>
      </c>
      <c r="AD30" s="629"/>
      <c r="AE30" s="378">
        <v>5</v>
      </c>
      <c r="AF30" s="187">
        <v>1320.0000000000011</v>
      </c>
      <c r="AG30" s="379">
        <v>264.00000000000023</v>
      </c>
      <c r="AH30" s="336">
        <f t="shared" si="12"/>
        <v>3</v>
      </c>
      <c r="AI30" s="629"/>
      <c r="AJ30" s="378">
        <v>5</v>
      </c>
      <c r="AK30" s="187">
        <v>1228.0000000000011</v>
      </c>
      <c r="AL30" s="379">
        <v>245.60000000000022</v>
      </c>
      <c r="AM30" s="336">
        <f t="shared" si="13"/>
        <v>3</v>
      </c>
      <c r="AN30" s="629"/>
      <c r="AO30" s="378">
        <v>5</v>
      </c>
      <c r="AP30" s="187">
        <v>1492.5000000000018</v>
      </c>
      <c r="AQ30" s="379">
        <v>298.50000000000034</v>
      </c>
      <c r="AR30" s="336">
        <f t="shared" si="14"/>
        <v>3</v>
      </c>
      <c r="AS30" s="600"/>
      <c r="AT30" s="378">
        <v>6</v>
      </c>
      <c r="AU30" s="187">
        <v>1470.0000000000018</v>
      </c>
      <c r="AV30" s="379">
        <v>245.00000000000031</v>
      </c>
      <c r="AW30" s="336">
        <f t="shared" si="15"/>
        <v>3</v>
      </c>
      <c r="AX30" s="600"/>
    </row>
    <row r="31" spans="2:54">
      <c r="B31" s="598"/>
      <c r="C31" s="336">
        <v>5</v>
      </c>
      <c r="D31" s="346" t="s">
        <v>691</v>
      </c>
      <c r="E31" s="346">
        <v>5</v>
      </c>
      <c r="F31" s="346">
        <v>1500</v>
      </c>
      <c r="G31" s="187">
        <v>300</v>
      </c>
      <c r="H31" s="633"/>
      <c r="I31" s="204">
        <f t="shared" si="16"/>
        <v>5</v>
      </c>
      <c r="J31" s="204">
        <f t="shared" si="17"/>
        <v>1456.5620625480442</v>
      </c>
      <c r="K31" s="205">
        <f t="shared" si="18"/>
        <v>291.31241250960886</v>
      </c>
      <c r="L31" s="572"/>
      <c r="M31" s="206">
        <f>RANK(K31, K$27:$K$41)</f>
        <v>2</v>
      </c>
      <c r="N31" s="590"/>
      <c r="O31" s="590"/>
      <c r="P31" s="378">
        <v>5</v>
      </c>
      <c r="Q31" s="187">
        <v>1413.5</v>
      </c>
      <c r="R31" s="379">
        <v>282.7</v>
      </c>
      <c r="S31" s="336">
        <f t="shared" si="9"/>
        <v>2</v>
      </c>
      <c r="T31" s="629"/>
      <c r="U31" s="378">
        <v>5</v>
      </c>
      <c r="V31" s="187">
        <v>1420.3738317757011</v>
      </c>
      <c r="W31" s="379">
        <v>284.07476635514024</v>
      </c>
      <c r="X31" s="336">
        <f t="shared" si="10"/>
        <v>2</v>
      </c>
      <c r="Y31" s="629"/>
      <c r="Z31" s="378">
        <v>5</v>
      </c>
      <c r="AA31" s="187">
        <v>1339.0909090909095</v>
      </c>
      <c r="AB31" s="379">
        <v>267.81818181818187</v>
      </c>
      <c r="AC31" s="336">
        <f t="shared" si="11"/>
        <v>2</v>
      </c>
      <c r="AD31" s="629"/>
      <c r="AE31" s="378">
        <v>5</v>
      </c>
      <c r="AF31" s="187">
        <v>1387.636363636364</v>
      </c>
      <c r="AG31" s="379">
        <v>277.52727272727282</v>
      </c>
      <c r="AH31" s="336">
        <f t="shared" si="12"/>
        <v>1</v>
      </c>
      <c r="AI31" s="629"/>
      <c r="AJ31" s="378">
        <v>5</v>
      </c>
      <c r="AK31" s="187">
        <v>1547.3333333333342</v>
      </c>
      <c r="AL31" s="379">
        <v>309.46666666666681</v>
      </c>
      <c r="AM31" s="336">
        <f t="shared" si="13"/>
        <v>1</v>
      </c>
      <c r="AN31" s="629"/>
      <c r="AO31" s="378">
        <v>5</v>
      </c>
      <c r="AP31" s="187">
        <v>1572.0000000000009</v>
      </c>
      <c r="AQ31" s="379">
        <v>314.4000000000002</v>
      </c>
      <c r="AR31" s="336">
        <f t="shared" si="14"/>
        <v>1</v>
      </c>
      <c r="AS31" s="600"/>
      <c r="AT31" s="378">
        <v>5</v>
      </c>
      <c r="AU31" s="187">
        <v>1516.0000000000002</v>
      </c>
      <c r="AV31" s="379">
        <v>303.20000000000005</v>
      </c>
      <c r="AW31" s="336">
        <f t="shared" si="15"/>
        <v>2</v>
      </c>
      <c r="AX31" s="600"/>
    </row>
    <row r="32" spans="2:54">
      <c r="B32" s="598"/>
      <c r="C32" s="336">
        <v>6</v>
      </c>
      <c r="D32" s="346" t="s">
        <v>659</v>
      </c>
      <c r="E32" s="346">
        <v>5</v>
      </c>
      <c r="F32" s="346">
        <v>1500</v>
      </c>
      <c r="G32" s="187">
        <v>300</v>
      </c>
      <c r="H32" s="633"/>
      <c r="I32" s="204">
        <f t="shared" si="16"/>
        <v>5</v>
      </c>
      <c r="J32" s="204">
        <f t="shared" si="17"/>
        <v>1457.5339119009063</v>
      </c>
      <c r="K32" s="205">
        <f t="shared" si="18"/>
        <v>291.50678238018133</v>
      </c>
      <c r="L32" s="572"/>
      <c r="M32" s="206">
        <f>RANK(K32, K$27:$K$41)</f>
        <v>1</v>
      </c>
      <c r="N32" s="590"/>
      <c r="O32" s="590"/>
      <c r="P32" s="378">
        <v>5</v>
      </c>
      <c r="Q32" s="187">
        <v>1499.1666666666656</v>
      </c>
      <c r="R32" s="379">
        <v>299.83333333333314</v>
      </c>
      <c r="S32" s="336">
        <f t="shared" si="9"/>
        <v>1</v>
      </c>
      <c r="T32" s="629"/>
      <c r="U32" s="378">
        <v>5</v>
      </c>
      <c r="V32" s="187">
        <v>1496.3076923076919</v>
      </c>
      <c r="W32" s="379">
        <v>299.26153846153841</v>
      </c>
      <c r="X32" s="336">
        <f t="shared" si="10"/>
        <v>1</v>
      </c>
      <c r="Y32" s="629"/>
      <c r="Z32" s="378">
        <v>5</v>
      </c>
      <c r="AA32" s="187">
        <v>1359.0000000000011</v>
      </c>
      <c r="AB32" s="379">
        <v>271.80000000000024</v>
      </c>
      <c r="AC32" s="336">
        <f t="shared" si="11"/>
        <v>1</v>
      </c>
      <c r="AD32" s="629"/>
      <c r="AE32" s="378">
        <v>5</v>
      </c>
      <c r="AF32" s="187">
        <v>1357.9999999999977</v>
      </c>
      <c r="AG32" s="379">
        <v>271.59999999999957</v>
      </c>
      <c r="AH32" s="336">
        <f t="shared" si="12"/>
        <v>2</v>
      </c>
      <c r="AI32" s="629"/>
      <c r="AJ32" s="378">
        <v>5</v>
      </c>
      <c r="AK32" s="187">
        <v>1422.5454545454534</v>
      </c>
      <c r="AL32" s="379">
        <v>284.50909090909067</v>
      </c>
      <c r="AM32" s="336">
        <f t="shared" si="13"/>
        <v>2</v>
      </c>
      <c r="AN32" s="629"/>
      <c r="AO32" s="378">
        <v>5</v>
      </c>
      <c r="AP32" s="187">
        <v>1530.4761904761901</v>
      </c>
      <c r="AQ32" s="379">
        <v>306.09523809523802</v>
      </c>
      <c r="AR32" s="336">
        <f t="shared" si="14"/>
        <v>2</v>
      </c>
      <c r="AS32" s="600"/>
      <c r="AT32" s="378">
        <v>5</v>
      </c>
      <c r="AU32" s="187">
        <v>1537.241379310346</v>
      </c>
      <c r="AV32" s="379">
        <v>307.44827586206918</v>
      </c>
      <c r="AW32" s="336">
        <f t="shared" si="15"/>
        <v>1</v>
      </c>
      <c r="AX32" s="600"/>
    </row>
    <row r="33" spans="2:50">
      <c r="B33" s="598"/>
      <c r="C33" s="336">
        <v>7</v>
      </c>
      <c r="D33" s="346"/>
      <c r="E33" s="346"/>
      <c r="F33" s="346"/>
      <c r="G33" s="187"/>
      <c r="H33" s="633"/>
      <c r="I33" s="204"/>
      <c r="J33" s="204"/>
      <c r="K33" s="205"/>
      <c r="L33" s="572"/>
      <c r="M33" s="206" t="e">
        <f>RANK(K33, K$27:$K$41)</f>
        <v>#N/A</v>
      </c>
      <c r="N33" s="590"/>
      <c r="O33" s="590"/>
      <c r="P33" s="378"/>
      <c r="Q33" s="187"/>
      <c r="R33" s="379"/>
      <c r="S33" s="336" t="e">
        <f t="shared" si="9"/>
        <v>#N/A</v>
      </c>
      <c r="T33" s="629"/>
      <c r="U33" s="378"/>
      <c r="V33" s="187"/>
      <c r="W33" s="379"/>
      <c r="X33" s="336" t="e">
        <f t="shared" si="10"/>
        <v>#N/A</v>
      </c>
      <c r="Y33" s="629"/>
      <c r="Z33" s="378"/>
      <c r="AA33" s="187"/>
      <c r="AB33" s="379"/>
      <c r="AC33" s="336" t="e">
        <f t="shared" si="11"/>
        <v>#N/A</v>
      </c>
      <c r="AD33" s="629"/>
      <c r="AE33" s="378"/>
      <c r="AF33" s="187"/>
      <c r="AG33" s="379"/>
      <c r="AH33" s="336" t="e">
        <f t="shared" si="12"/>
        <v>#N/A</v>
      </c>
      <c r="AI33" s="629"/>
      <c r="AJ33" s="378"/>
      <c r="AK33" s="187"/>
      <c r="AL33" s="379"/>
      <c r="AM33" s="336" t="e">
        <f t="shared" si="13"/>
        <v>#N/A</v>
      </c>
      <c r="AN33" s="629"/>
      <c r="AO33" s="378"/>
      <c r="AP33" s="187"/>
      <c r="AQ33" s="379"/>
      <c r="AR33" s="336" t="e">
        <f t="shared" si="14"/>
        <v>#N/A</v>
      </c>
      <c r="AS33" s="600"/>
      <c r="AT33" s="378"/>
      <c r="AU33" s="187"/>
      <c r="AV33" s="379"/>
      <c r="AW33" s="336" t="e">
        <f t="shared" si="15"/>
        <v>#N/A</v>
      </c>
      <c r="AX33" s="600"/>
    </row>
    <row r="34" spans="2:50">
      <c r="B34" s="598"/>
      <c r="C34" s="336">
        <v>8</v>
      </c>
      <c r="D34" s="346"/>
      <c r="E34" s="346"/>
      <c r="F34" s="346"/>
      <c r="G34" s="187"/>
      <c r="H34" s="633"/>
      <c r="I34" s="204"/>
      <c r="J34" s="204"/>
      <c r="K34" s="205"/>
      <c r="L34" s="572"/>
      <c r="M34" s="206" t="e">
        <f>RANK(K34, K$27:$K$41)</f>
        <v>#N/A</v>
      </c>
      <c r="N34" s="590"/>
      <c r="O34" s="590"/>
      <c r="P34" s="378"/>
      <c r="Q34" s="187"/>
      <c r="R34" s="379"/>
      <c r="S34" s="336" t="e">
        <f t="shared" si="9"/>
        <v>#N/A</v>
      </c>
      <c r="T34" s="629"/>
      <c r="U34" s="378"/>
      <c r="V34" s="187"/>
      <c r="W34" s="379"/>
      <c r="X34" s="336" t="e">
        <f t="shared" si="10"/>
        <v>#N/A</v>
      </c>
      <c r="Y34" s="629"/>
      <c r="Z34" s="378"/>
      <c r="AA34" s="187"/>
      <c r="AB34" s="379"/>
      <c r="AC34" s="336" t="e">
        <f t="shared" si="11"/>
        <v>#N/A</v>
      </c>
      <c r="AD34" s="629"/>
      <c r="AE34" s="378"/>
      <c r="AF34" s="187"/>
      <c r="AG34" s="379"/>
      <c r="AH34" s="336" t="e">
        <f t="shared" si="12"/>
        <v>#N/A</v>
      </c>
      <c r="AI34" s="629"/>
      <c r="AJ34" s="378"/>
      <c r="AK34" s="187"/>
      <c r="AL34" s="379"/>
      <c r="AM34" s="336" t="e">
        <f t="shared" si="13"/>
        <v>#N/A</v>
      </c>
      <c r="AN34" s="629"/>
      <c r="AO34" s="378"/>
      <c r="AP34" s="187"/>
      <c r="AQ34" s="379"/>
      <c r="AR34" s="336" t="e">
        <f t="shared" si="14"/>
        <v>#N/A</v>
      </c>
      <c r="AS34" s="600"/>
      <c r="AT34" s="378"/>
      <c r="AU34" s="187"/>
      <c r="AV34" s="379"/>
      <c r="AW34" s="336" t="e">
        <f t="shared" si="15"/>
        <v>#N/A</v>
      </c>
      <c r="AX34" s="600"/>
    </row>
    <row r="35" spans="2:50">
      <c r="B35" s="598"/>
      <c r="C35" s="336">
        <v>9</v>
      </c>
      <c r="D35" s="346"/>
      <c r="E35" s="346"/>
      <c r="F35" s="346"/>
      <c r="G35" s="187"/>
      <c r="H35" s="633"/>
      <c r="I35" s="204"/>
      <c r="J35" s="204"/>
      <c r="K35" s="205"/>
      <c r="L35" s="572"/>
      <c r="M35" s="206" t="e">
        <f>RANK(K35, K$27:$K$41)</f>
        <v>#N/A</v>
      </c>
      <c r="N35" s="590"/>
      <c r="O35" s="590"/>
      <c r="P35" s="378"/>
      <c r="Q35" s="187"/>
      <c r="R35" s="379"/>
      <c r="S35" s="336" t="e">
        <f t="shared" si="9"/>
        <v>#N/A</v>
      </c>
      <c r="T35" s="629"/>
      <c r="U35" s="378"/>
      <c r="V35" s="187"/>
      <c r="W35" s="379"/>
      <c r="X35" s="336" t="e">
        <f t="shared" si="10"/>
        <v>#N/A</v>
      </c>
      <c r="Y35" s="629"/>
      <c r="Z35" s="378"/>
      <c r="AA35" s="187"/>
      <c r="AB35" s="379"/>
      <c r="AC35" s="336" t="e">
        <f t="shared" si="11"/>
        <v>#N/A</v>
      </c>
      <c r="AD35" s="629"/>
      <c r="AE35" s="378"/>
      <c r="AF35" s="187"/>
      <c r="AG35" s="379"/>
      <c r="AH35" s="336" t="e">
        <f t="shared" si="12"/>
        <v>#N/A</v>
      </c>
      <c r="AI35" s="629"/>
      <c r="AJ35" s="378"/>
      <c r="AK35" s="187"/>
      <c r="AL35" s="379"/>
      <c r="AM35" s="336" t="e">
        <f t="shared" si="13"/>
        <v>#N/A</v>
      </c>
      <c r="AN35" s="629"/>
      <c r="AO35" s="378"/>
      <c r="AP35" s="187"/>
      <c r="AQ35" s="379"/>
      <c r="AR35" s="336" t="e">
        <f t="shared" si="14"/>
        <v>#N/A</v>
      </c>
      <c r="AS35" s="600"/>
      <c r="AT35" s="378"/>
      <c r="AU35" s="187"/>
      <c r="AV35" s="379"/>
      <c r="AW35" s="336" t="e">
        <f t="shared" si="15"/>
        <v>#N/A</v>
      </c>
      <c r="AX35" s="600"/>
    </row>
    <row r="36" spans="2:50">
      <c r="B36" s="598"/>
      <c r="C36" s="336">
        <v>10</v>
      </c>
      <c r="D36" s="346"/>
      <c r="E36" s="346"/>
      <c r="F36" s="346"/>
      <c r="G36" s="187"/>
      <c r="H36" s="633"/>
      <c r="I36" s="204"/>
      <c r="J36" s="204"/>
      <c r="K36" s="205"/>
      <c r="L36" s="572"/>
      <c r="M36" s="206" t="e">
        <f>RANK(K36, K$27:$K$41)</f>
        <v>#N/A</v>
      </c>
      <c r="N36" s="590"/>
      <c r="O36" s="590"/>
      <c r="P36" s="378"/>
      <c r="Q36" s="187"/>
      <c r="R36" s="379"/>
      <c r="S36" s="336" t="e">
        <f t="shared" si="9"/>
        <v>#N/A</v>
      </c>
      <c r="T36" s="629"/>
      <c r="U36" s="378"/>
      <c r="V36" s="187"/>
      <c r="W36" s="379"/>
      <c r="X36" s="336" t="e">
        <f t="shared" si="10"/>
        <v>#N/A</v>
      </c>
      <c r="Y36" s="629"/>
      <c r="Z36" s="378"/>
      <c r="AA36" s="187"/>
      <c r="AB36" s="379"/>
      <c r="AC36" s="336" t="e">
        <f t="shared" si="11"/>
        <v>#N/A</v>
      </c>
      <c r="AD36" s="629"/>
      <c r="AE36" s="378"/>
      <c r="AF36" s="187"/>
      <c r="AG36" s="379"/>
      <c r="AH36" s="336" t="e">
        <f t="shared" si="12"/>
        <v>#N/A</v>
      </c>
      <c r="AI36" s="629"/>
      <c r="AJ36" s="378"/>
      <c r="AK36" s="187"/>
      <c r="AL36" s="379"/>
      <c r="AM36" s="336" t="e">
        <f t="shared" si="13"/>
        <v>#N/A</v>
      </c>
      <c r="AN36" s="629"/>
      <c r="AO36" s="378"/>
      <c r="AP36" s="187"/>
      <c r="AQ36" s="379"/>
      <c r="AR36" s="336" t="e">
        <f t="shared" si="14"/>
        <v>#N/A</v>
      </c>
      <c r="AS36" s="600"/>
      <c r="AT36" s="378"/>
      <c r="AU36" s="187"/>
      <c r="AV36" s="379"/>
      <c r="AW36" s="336" t="e">
        <f t="shared" si="15"/>
        <v>#N/A</v>
      </c>
      <c r="AX36" s="600"/>
    </row>
    <row r="37" spans="2:50">
      <c r="B37" s="598"/>
      <c r="C37" s="336">
        <v>11</v>
      </c>
      <c r="D37" s="346"/>
      <c r="E37" s="346"/>
      <c r="F37" s="346"/>
      <c r="G37" s="187"/>
      <c r="H37" s="633"/>
      <c r="I37" s="207"/>
      <c r="J37" s="207"/>
      <c r="K37" s="207"/>
      <c r="L37" s="572"/>
      <c r="M37" s="206" t="e">
        <f>RANK(K37, K$27:$K$41)</f>
        <v>#N/A</v>
      </c>
      <c r="N37" s="590"/>
      <c r="O37" s="590"/>
      <c r="P37" s="378"/>
      <c r="Q37" s="378"/>
      <c r="R37" s="378"/>
      <c r="S37" s="336" t="e">
        <f t="shared" si="9"/>
        <v>#N/A</v>
      </c>
      <c r="T37" s="629"/>
      <c r="U37" s="378"/>
      <c r="V37" s="378"/>
      <c r="W37" s="378"/>
      <c r="X37" s="336" t="e">
        <f t="shared" si="10"/>
        <v>#N/A</v>
      </c>
      <c r="Y37" s="629"/>
      <c r="Z37" s="378"/>
      <c r="AA37" s="378"/>
      <c r="AB37" s="378"/>
      <c r="AC37" s="336" t="e">
        <f t="shared" si="11"/>
        <v>#N/A</v>
      </c>
      <c r="AD37" s="629"/>
      <c r="AE37" s="378"/>
      <c r="AF37" s="378"/>
      <c r="AG37" s="378"/>
      <c r="AH37" s="336" t="e">
        <f t="shared" si="12"/>
        <v>#N/A</v>
      </c>
      <c r="AI37" s="629"/>
      <c r="AJ37" s="378"/>
      <c r="AK37" s="378"/>
      <c r="AL37" s="378"/>
      <c r="AM37" s="336" t="e">
        <f t="shared" si="13"/>
        <v>#N/A</v>
      </c>
      <c r="AN37" s="629"/>
      <c r="AO37" s="378"/>
      <c r="AP37" s="378"/>
      <c r="AQ37" s="378"/>
      <c r="AR37" s="336" t="e">
        <f t="shared" si="14"/>
        <v>#N/A</v>
      </c>
      <c r="AS37" s="600"/>
      <c r="AT37" s="378"/>
      <c r="AU37" s="378"/>
      <c r="AV37" s="378"/>
      <c r="AW37" s="336" t="e">
        <f t="shared" si="15"/>
        <v>#N/A</v>
      </c>
      <c r="AX37" s="600"/>
    </row>
    <row r="38" spans="2:50">
      <c r="B38" s="598"/>
      <c r="C38" s="336">
        <v>12</v>
      </c>
      <c r="D38" s="346"/>
      <c r="E38" s="346"/>
      <c r="F38" s="346"/>
      <c r="G38" s="187"/>
      <c r="H38" s="633"/>
      <c r="I38" s="207"/>
      <c r="J38" s="207"/>
      <c r="K38" s="207"/>
      <c r="L38" s="572"/>
      <c r="M38" s="206" t="e">
        <f>RANK(K38, K$27:$K$41)</f>
        <v>#N/A</v>
      </c>
      <c r="N38" s="590"/>
      <c r="O38" s="590"/>
      <c r="P38" s="378"/>
      <c r="Q38" s="378"/>
      <c r="R38" s="378"/>
      <c r="S38" s="336" t="e">
        <f t="shared" si="9"/>
        <v>#N/A</v>
      </c>
      <c r="T38" s="629"/>
      <c r="U38" s="378"/>
      <c r="V38" s="378"/>
      <c r="W38" s="378"/>
      <c r="X38" s="336" t="e">
        <f t="shared" si="10"/>
        <v>#N/A</v>
      </c>
      <c r="Y38" s="629"/>
      <c r="Z38" s="378"/>
      <c r="AA38" s="378"/>
      <c r="AB38" s="378"/>
      <c r="AC38" s="336" t="e">
        <f t="shared" si="11"/>
        <v>#N/A</v>
      </c>
      <c r="AD38" s="629"/>
      <c r="AE38" s="378"/>
      <c r="AF38" s="378"/>
      <c r="AG38" s="378"/>
      <c r="AH38" s="336" t="e">
        <f t="shared" si="12"/>
        <v>#N/A</v>
      </c>
      <c r="AI38" s="629"/>
      <c r="AJ38" s="378"/>
      <c r="AK38" s="378"/>
      <c r="AL38" s="378"/>
      <c r="AM38" s="336" t="e">
        <f t="shared" si="13"/>
        <v>#N/A</v>
      </c>
      <c r="AN38" s="629"/>
      <c r="AO38" s="378"/>
      <c r="AP38" s="378"/>
      <c r="AQ38" s="378"/>
      <c r="AR38" s="336" t="e">
        <f t="shared" si="14"/>
        <v>#N/A</v>
      </c>
      <c r="AS38" s="600"/>
      <c r="AT38" s="378"/>
      <c r="AU38" s="378"/>
      <c r="AV38" s="378"/>
      <c r="AW38" s="336" t="e">
        <f t="shared" si="15"/>
        <v>#N/A</v>
      </c>
      <c r="AX38" s="600"/>
    </row>
    <row r="39" spans="2:50">
      <c r="B39" s="598"/>
      <c r="C39" s="336">
        <v>13</v>
      </c>
      <c r="D39" s="346"/>
      <c r="E39" s="346"/>
      <c r="F39" s="346"/>
      <c r="G39" s="187"/>
      <c r="H39" s="633"/>
      <c r="I39" s="207"/>
      <c r="J39" s="207"/>
      <c r="K39" s="207"/>
      <c r="L39" s="572"/>
      <c r="M39" s="206" t="e">
        <f>RANK(K39, K$27:$K$41)</f>
        <v>#N/A</v>
      </c>
      <c r="N39" s="590"/>
      <c r="O39" s="590"/>
      <c r="P39" s="378"/>
      <c r="Q39" s="378"/>
      <c r="R39" s="378"/>
      <c r="S39" s="336" t="e">
        <f t="shared" si="9"/>
        <v>#N/A</v>
      </c>
      <c r="T39" s="629"/>
      <c r="U39" s="378"/>
      <c r="V39" s="378"/>
      <c r="W39" s="378"/>
      <c r="X39" s="336" t="e">
        <f t="shared" si="10"/>
        <v>#N/A</v>
      </c>
      <c r="Y39" s="629"/>
      <c r="Z39" s="378"/>
      <c r="AA39" s="378"/>
      <c r="AB39" s="378"/>
      <c r="AC39" s="336" t="e">
        <f t="shared" si="11"/>
        <v>#N/A</v>
      </c>
      <c r="AD39" s="629"/>
      <c r="AE39" s="378"/>
      <c r="AF39" s="378"/>
      <c r="AG39" s="378"/>
      <c r="AH39" s="336" t="e">
        <f t="shared" si="12"/>
        <v>#N/A</v>
      </c>
      <c r="AI39" s="629"/>
      <c r="AJ39" s="378"/>
      <c r="AK39" s="378"/>
      <c r="AL39" s="378"/>
      <c r="AM39" s="336" t="e">
        <f t="shared" si="13"/>
        <v>#N/A</v>
      </c>
      <c r="AN39" s="629"/>
      <c r="AO39" s="378"/>
      <c r="AP39" s="378"/>
      <c r="AQ39" s="378"/>
      <c r="AR39" s="336" t="e">
        <f t="shared" si="14"/>
        <v>#N/A</v>
      </c>
      <c r="AS39" s="600"/>
      <c r="AT39" s="378"/>
      <c r="AU39" s="378"/>
      <c r="AV39" s="378"/>
      <c r="AW39" s="336" t="e">
        <f t="shared" si="15"/>
        <v>#N/A</v>
      </c>
      <c r="AX39" s="600"/>
    </row>
    <row r="40" spans="2:50">
      <c r="B40" s="598"/>
      <c r="C40" s="336">
        <v>14</v>
      </c>
      <c r="D40" s="346"/>
      <c r="E40" s="346"/>
      <c r="F40" s="346"/>
      <c r="G40" s="187"/>
      <c r="H40" s="633"/>
      <c r="I40" s="207"/>
      <c r="J40" s="207"/>
      <c r="K40" s="207"/>
      <c r="L40" s="572"/>
      <c r="M40" s="206" t="e">
        <f>RANK(K40, K$27:$K$41)</f>
        <v>#N/A</v>
      </c>
      <c r="N40" s="590"/>
      <c r="O40" s="590"/>
      <c r="P40" s="378"/>
      <c r="Q40" s="378"/>
      <c r="R40" s="378"/>
      <c r="S40" s="336" t="e">
        <f t="shared" si="9"/>
        <v>#N/A</v>
      </c>
      <c r="T40" s="629"/>
      <c r="U40" s="378"/>
      <c r="V40" s="378"/>
      <c r="W40" s="378"/>
      <c r="X40" s="336" t="e">
        <f t="shared" si="10"/>
        <v>#N/A</v>
      </c>
      <c r="Y40" s="629"/>
      <c r="Z40" s="378"/>
      <c r="AA40" s="378"/>
      <c r="AB40" s="378"/>
      <c r="AC40" s="336" t="e">
        <f t="shared" si="11"/>
        <v>#N/A</v>
      </c>
      <c r="AD40" s="629"/>
      <c r="AE40" s="378"/>
      <c r="AF40" s="378"/>
      <c r="AG40" s="378"/>
      <c r="AH40" s="336" t="e">
        <f t="shared" si="12"/>
        <v>#N/A</v>
      </c>
      <c r="AI40" s="629"/>
      <c r="AJ40" s="378"/>
      <c r="AK40" s="378"/>
      <c r="AL40" s="378"/>
      <c r="AM40" s="336" t="e">
        <f t="shared" si="13"/>
        <v>#N/A</v>
      </c>
      <c r="AN40" s="629"/>
      <c r="AO40" s="378"/>
      <c r="AP40" s="378"/>
      <c r="AQ40" s="378"/>
      <c r="AR40" s="336" t="e">
        <f t="shared" si="14"/>
        <v>#N/A</v>
      </c>
      <c r="AS40" s="600"/>
      <c r="AT40" s="378"/>
      <c r="AU40" s="378"/>
      <c r="AV40" s="378"/>
      <c r="AW40" s="336" t="e">
        <f t="shared" si="15"/>
        <v>#N/A</v>
      </c>
      <c r="AX40" s="600"/>
    </row>
    <row r="41" spans="2:50">
      <c r="B41" s="598"/>
      <c r="C41" s="336">
        <v>15</v>
      </c>
      <c r="D41" s="346"/>
      <c r="E41" s="346"/>
      <c r="F41" s="346"/>
      <c r="G41" s="346"/>
      <c r="H41" s="634"/>
      <c r="I41" s="207"/>
      <c r="J41" s="207"/>
      <c r="K41" s="207"/>
      <c r="L41" s="573"/>
      <c r="M41" s="204" t="e">
        <f>RANK(K41, K$27:$K$41)</f>
        <v>#N/A</v>
      </c>
      <c r="N41" s="590"/>
      <c r="O41" s="590"/>
      <c r="P41" s="378"/>
      <c r="Q41" s="378"/>
      <c r="R41" s="378"/>
      <c r="S41" s="336" t="e">
        <f t="shared" si="9"/>
        <v>#N/A</v>
      </c>
      <c r="T41" s="629"/>
      <c r="U41" s="378"/>
      <c r="V41" s="378"/>
      <c r="W41" s="378"/>
      <c r="X41" s="336" t="e">
        <f t="shared" si="10"/>
        <v>#N/A</v>
      </c>
      <c r="Y41" s="629"/>
      <c r="Z41" s="378"/>
      <c r="AA41" s="378"/>
      <c r="AB41" s="378"/>
      <c r="AC41" s="336" t="e">
        <f t="shared" si="11"/>
        <v>#N/A</v>
      </c>
      <c r="AD41" s="629"/>
      <c r="AE41" s="378"/>
      <c r="AF41" s="378"/>
      <c r="AG41" s="378"/>
      <c r="AH41" s="336" t="e">
        <f t="shared" si="12"/>
        <v>#N/A</v>
      </c>
      <c r="AI41" s="629"/>
      <c r="AJ41" s="378"/>
      <c r="AK41" s="378"/>
      <c r="AL41" s="378"/>
      <c r="AM41" s="336" t="e">
        <f t="shared" si="13"/>
        <v>#N/A</v>
      </c>
      <c r="AN41" s="629"/>
      <c r="AO41" s="378"/>
      <c r="AP41" s="378"/>
      <c r="AQ41" s="378"/>
      <c r="AR41" s="336" t="e">
        <f t="shared" si="14"/>
        <v>#N/A</v>
      </c>
      <c r="AS41" s="601"/>
      <c r="AT41" s="378"/>
      <c r="AU41" s="378"/>
      <c r="AV41" s="378"/>
      <c r="AW41" s="336" t="e">
        <f t="shared" si="15"/>
        <v>#N/A</v>
      </c>
      <c r="AX41" s="601"/>
    </row>
    <row r="42" spans="2:50" ht="15.75">
      <c r="B42" s="615" t="s">
        <v>163</v>
      </c>
      <c r="C42" s="616"/>
      <c r="D42" s="616"/>
      <c r="E42" s="616"/>
      <c r="F42" s="616"/>
      <c r="G42" s="616"/>
      <c r="H42" s="616"/>
      <c r="I42" s="213"/>
      <c r="J42" s="208"/>
      <c r="K42" s="213"/>
      <c r="L42" s="213"/>
      <c r="M42" s="209"/>
      <c r="N42" s="591" t="s">
        <v>156</v>
      </c>
      <c r="O42" s="591" t="s">
        <v>105</v>
      </c>
      <c r="P42" s="597">
        <f>P22+7</f>
        <v>45944</v>
      </c>
      <c r="Q42" s="598"/>
      <c r="R42" s="598"/>
      <c r="S42" s="598"/>
      <c r="T42" s="598"/>
      <c r="U42" s="594">
        <f>P42+1</f>
        <v>45945</v>
      </c>
      <c r="V42" s="595"/>
      <c r="W42" s="595"/>
      <c r="X42" s="595"/>
      <c r="Y42" s="596"/>
      <c r="Z42" s="594">
        <f>U42+1</f>
        <v>45946</v>
      </c>
      <c r="AA42" s="595"/>
      <c r="AB42" s="595"/>
      <c r="AC42" s="595"/>
      <c r="AD42" s="596"/>
      <c r="AE42" s="594">
        <f>Z42+1</f>
        <v>45947</v>
      </c>
      <c r="AF42" s="595"/>
      <c r="AG42" s="595"/>
      <c r="AH42" s="595"/>
      <c r="AI42" s="596"/>
      <c r="AJ42" s="594">
        <f>AE42+1</f>
        <v>45948</v>
      </c>
      <c r="AK42" s="595"/>
      <c r="AL42" s="595"/>
      <c r="AM42" s="595"/>
      <c r="AN42" s="596"/>
      <c r="AO42" s="594">
        <f>AJ42+1</f>
        <v>45949</v>
      </c>
      <c r="AP42" s="595"/>
      <c r="AQ42" s="595"/>
      <c r="AR42" s="595"/>
      <c r="AS42" s="596"/>
      <c r="AT42" s="594">
        <f>AO42+1</f>
        <v>45950</v>
      </c>
      <c r="AU42" s="595"/>
      <c r="AV42" s="595"/>
      <c r="AW42" s="595"/>
      <c r="AX42" s="596"/>
    </row>
    <row r="43" spans="2:50" ht="15.75">
      <c r="B43" s="605"/>
      <c r="C43" s="605"/>
      <c r="D43" s="605"/>
      <c r="E43" s="605"/>
      <c r="F43" s="605"/>
      <c r="G43" s="605"/>
      <c r="H43" s="605"/>
      <c r="I43" s="210"/>
      <c r="J43" s="210"/>
      <c r="K43" s="210"/>
      <c r="L43" s="210"/>
      <c r="M43" s="211"/>
      <c r="N43" s="593"/>
      <c r="O43" s="593"/>
      <c r="P43" s="597" t="s">
        <v>336</v>
      </c>
      <c r="Q43" s="598"/>
      <c r="R43" s="598"/>
      <c r="S43" s="598"/>
      <c r="T43" s="598"/>
      <c r="U43" s="597" t="s">
        <v>337</v>
      </c>
      <c r="V43" s="598"/>
      <c r="W43" s="598"/>
      <c r="X43" s="598"/>
      <c r="Y43" s="598"/>
      <c r="Z43" s="597" t="s">
        <v>338</v>
      </c>
      <c r="AA43" s="598"/>
      <c r="AB43" s="598"/>
      <c r="AC43" s="598"/>
      <c r="AD43" s="598"/>
      <c r="AE43" s="597" t="s">
        <v>339</v>
      </c>
      <c r="AF43" s="598"/>
      <c r="AG43" s="598"/>
      <c r="AH43" s="598"/>
      <c r="AI43" s="598"/>
      <c r="AJ43" s="597" t="s">
        <v>340</v>
      </c>
      <c r="AK43" s="598"/>
      <c r="AL43" s="598"/>
      <c r="AM43" s="598"/>
      <c r="AN43" s="598"/>
      <c r="AO43" s="597" t="s">
        <v>341</v>
      </c>
      <c r="AP43" s="598"/>
      <c r="AQ43" s="598"/>
      <c r="AR43" s="598"/>
      <c r="AS43" s="598"/>
      <c r="AT43" s="597" t="s">
        <v>342</v>
      </c>
      <c r="AU43" s="598"/>
      <c r="AV43" s="598"/>
      <c r="AW43" s="598"/>
      <c r="AX43" s="598"/>
    </row>
    <row r="44" spans="2:50">
      <c r="B44" s="590" t="s">
        <v>645</v>
      </c>
      <c r="C44" s="590" t="s">
        <v>646</v>
      </c>
      <c r="D44" s="590"/>
      <c r="E44" s="590" t="s">
        <v>647</v>
      </c>
      <c r="F44" s="590"/>
      <c r="G44" s="590"/>
      <c r="H44" s="606" t="s">
        <v>648</v>
      </c>
      <c r="I44" s="574" t="s">
        <v>649</v>
      </c>
      <c r="J44" s="574"/>
      <c r="K44" s="574"/>
      <c r="L44" s="575" t="s">
        <v>648</v>
      </c>
      <c r="M44" s="581" t="s">
        <v>650</v>
      </c>
      <c r="N44" s="590"/>
      <c r="O44" s="590" t="s">
        <v>651</v>
      </c>
      <c r="P44" s="587" t="s">
        <v>652</v>
      </c>
      <c r="Q44" s="588"/>
      <c r="R44" s="588"/>
      <c r="S44" s="589"/>
      <c r="T44" s="590" t="s">
        <v>648</v>
      </c>
      <c r="U44" s="587" t="s">
        <v>652</v>
      </c>
      <c r="V44" s="588"/>
      <c r="W44" s="588"/>
      <c r="X44" s="589"/>
      <c r="Y44" s="590" t="s">
        <v>648</v>
      </c>
      <c r="Z44" s="587" t="s">
        <v>652</v>
      </c>
      <c r="AA44" s="588"/>
      <c r="AB44" s="588"/>
      <c r="AC44" s="589"/>
      <c r="AD44" s="590" t="s">
        <v>648</v>
      </c>
      <c r="AE44" s="587" t="s">
        <v>652</v>
      </c>
      <c r="AF44" s="588"/>
      <c r="AG44" s="588"/>
      <c r="AH44" s="589"/>
      <c r="AI44" s="590" t="s">
        <v>648</v>
      </c>
      <c r="AJ44" s="587" t="s">
        <v>652</v>
      </c>
      <c r="AK44" s="588"/>
      <c r="AL44" s="588"/>
      <c r="AM44" s="589"/>
      <c r="AN44" s="590" t="s">
        <v>648</v>
      </c>
      <c r="AO44" s="587" t="s">
        <v>652</v>
      </c>
      <c r="AP44" s="588"/>
      <c r="AQ44" s="588"/>
      <c r="AR44" s="589"/>
      <c r="AS44" s="590" t="s">
        <v>648</v>
      </c>
      <c r="AT44" s="587" t="s">
        <v>652</v>
      </c>
      <c r="AU44" s="588"/>
      <c r="AV44" s="588"/>
      <c r="AW44" s="589"/>
      <c r="AX44" s="590" t="s">
        <v>648</v>
      </c>
    </row>
    <row r="45" spans="2:50">
      <c r="B45" s="590"/>
      <c r="C45" s="590"/>
      <c r="D45" s="590"/>
      <c r="E45" s="590" t="s">
        <v>653</v>
      </c>
      <c r="F45" s="590"/>
      <c r="G45" s="590"/>
      <c r="H45" s="607"/>
      <c r="I45" s="574" t="s">
        <v>653</v>
      </c>
      <c r="J45" s="574"/>
      <c r="K45" s="574"/>
      <c r="L45" s="576"/>
      <c r="M45" s="582"/>
      <c r="N45" s="590"/>
      <c r="O45" s="590"/>
      <c r="P45" s="587" t="s">
        <v>654</v>
      </c>
      <c r="Q45" s="588"/>
      <c r="R45" s="588"/>
      <c r="S45" s="589"/>
      <c r="T45" s="590"/>
      <c r="U45" s="587" t="s">
        <v>654</v>
      </c>
      <c r="V45" s="588"/>
      <c r="W45" s="588"/>
      <c r="X45" s="589"/>
      <c r="Y45" s="590"/>
      <c r="Z45" s="587" t="s">
        <v>654</v>
      </c>
      <c r="AA45" s="588"/>
      <c r="AB45" s="588"/>
      <c r="AC45" s="589"/>
      <c r="AD45" s="590"/>
      <c r="AE45" s="587" t="s">
        <v>654</v>
      </c>
      <c r="AF45" s="588"/>
      <c r="AG45" s="588"/>
      <c r="AH45" s="589"/>
      <c r="AI45" s="590"/>
      <c r="AJ45" s="587" t="s">
        <v>654</v>
      </c>
      <c r="AK45" s="588"/>
      <c r="AL45" s="588"/>
      <c r="AM45" s="589"/>
      <c r="AN45" s="590"/>
      <c r="AO45" s="587" t="s">
        <v>654</v>
      </c>
      <c r="AP45" s="588"/>
      <c r="AQ45" s="588"/>
      <c r="AR45" s="589"/>
      <c r="AS45" s="590"/>
      <c r="AT45" s="587" t="s">
        <v>654</v>
      </c>
      <c r="AU45" s="588"/>
      <c r="AV45" s="588"/>
      <c r="AW45" s="589"/>
      <c r="AX45" s="590"/>
    </row>
    <row r="46" spans="2:50">
      <c r="B46" s="590"/>
      <c r="C46" s="590"/>
      <c r="D46" s="590"/>
      <c r="E46" s="347" t="s">
        <v>655</v>
      </c>
      <c r="F46" s="347" t="s">
        <v>656</v>
      </c>
      <c r="G46" s="347" t="s">
        <v>657</v>
      </c>
      <c r="H46" s="608"/>
      <c r="I46" s="348" t="s">
        <v>655</v>
      </c>
      <c r="J46" s="348" t="s">
        <v>656</v>
      </c>
      <c r="K46" s="348" t="s">
        <v>657</v>
      </c>
      <c r="L46" s="577"/>
      <c r="M46" s="583"/>
      <c r="N46" s="590"/>
      <c r="O46" s="590"/>
      <c r="P46" s="347" t="s">
        <v>655</v>
      </c>
      <c r="Q46" s="347" t="s">
        <v>656</v>
      </c>
      <c r="R46" s="347" t="s">
        <v>657</v>
      </c>
      <c r="S46" s="347" t="s">
        <v>650</v>
      </c>
      <c r="T46" s="590"/>
      <c r="U46" s="347" t="s">
        <v>655</v>
      </c>
      <c r="V46" s="347" t="s">
        <v>656</v>
      </c>
      <c r="W46" s="347" t="s">
        <v>657</v>
      </c>
      <c r="X46" s="347" t="s">
        <v>650</v>
      </c>
      <c r="Y46" s="590"/>
      <c r="Z46" s="347" t="s">
        <v>655</v>
      </c>
      <c r="AA46" s="347" t="s">
        <v>656</v>
      </c>
      <c r="AB46" s="347" t="s">
        <v>657</v>
      </c>
      <c r="AC46" s="347" t="s">
        <v>650</v>
      </c>
      <c r="AD46" s="590"/>
      <c r="AE46" s="347" t="s">
        <v>655</v>
      </c>
      <c r="AF46" s="347" t="s">
        <v>656</v>
      </c>
      <c r="AG46" s="347" t="s">
        <v>657</v>
      </c>
      <c r="AH46" s="347" t="s">
        <v>650</v>
      </c>
      <c r="AI46" s="590"/>
      <c r="AJ46" s="347" t="s">
        <v>655</v>
      </c>
      <c r="AK46" s="347" t="s">
        <v>656</v>
      </c>
      <c r="AL46" s="347" t="s">
        <v>657</v>
      </c>
      <c r="AM46" s="347" t="s">
        <v>650</v>
      </c>
      <c r="AN46" s="590"/>
      <c r="AO46" s="347" t="s">
        <v>655</v>
      </c>
      <c r="AP46" s="347" t="s">
        <v>656</v>
      </c>
      <c r="AQ46" s="347" t="s">
        <v>657</v>
      </c>
      <c r="AR46" s="347" t="s">
        <v>650</v>
      </c>
      <c r="AS46" s="590"/>
      <c r="AT46" s="347" t="s">
        <v>655</v>
      </c>
      <c r="AU46" s="347" t="s">
        <v>656</v>
      </c>
      <c r="AV46" s="347" t="s">
        <v>657</v>
      </c>
      <c r="AW46" s="347" t="s">
        <v>650</v>
      </c>
      <c r="AX46" s="590"/>
    </row>
    <row r="47" spans="2:50">
      <c r="B47" s="631" t="s">
        <v>658</v>
      </c>
      <c r="C47" s="346">
        <v>1</v>
      </c>
      <c r="D47" s="378" t="s">
        <v>381</v>
      </c>
      <c r="E47" s="378">
        <v>10</v>
      </c>
      <c r="F47" s="378">
        <v>1500</v>
      </c>
      <c r="G47" s="378">
        <v>150</v>
      </c>
      <c r="H47" s="632">
        <f>AVERAGE(G47:G61)</f>
        <v>195.71428571428572</v>
      </c>
      <c r="I47" s="204">
        <f>AVERAGE(P47,U47,Z47,AE47,AJ47,AO47,AT47)</f>
        <v>10</v>
      </c>
      <c r="J47" s="204">
        <f>AVERAGE(Q47,V47,AA47,AF47,AK47,AP47,AU47)</f>
        <v>1492.6000000000001</v>
      </c>
      <c r="K47" s="205">
        <f>AVERAGE(R47,W47,AB47,AG47,AL47,AQ47,AV47)</f>
        <v>149.26</v>
      </c>
      <c r="L47" s="571">
        <f>IFERROR(AVERAGE(K47:K61),"-")</f>
        <v>201.12797589829987</v>
      </c>
      <c r="M47" s="206">
        <f>RANK(K47, K$47:$K$61)</f>
        <v>4</v>
      </c>
      <c r="N47" s="590"/>
      <c r="O47" s="590"/>
      <c r="P47" s="187">
        <v>10</v>
      </c>
      <c r="Q47" s="187">
        <v>1490.3999999999958</v>
      </c>
      <c r="R47" s="379">
        <v>149.03999999999957</v>
      </c>
      <c r="S47" s="346">
        <f>RANK(R47, R$47:R$61)</f>
        <v>6</v>
      </c>
      <c r="T47" s="629">
        <f>AVERAGE(R47:R61)</f>
        <v>203.99915651915654</v>
      </c>
      <c r="U47" s="187">
        <v>10</v>
      </c>
      <c r="V47" s="187">
        <v>1526.4000000000053</v>
      </c>
      <c r="W47" s="469">
        <v>152.64000000000053</v>
      </c>
      <c r="X47" s="346">
        <f>RANK(W47, W$47:W$61)</f>
        <v>4</v>
      </c>
      <c r="Y47" s="629">
        <f>AVERAGE(W47:W61)</f>
        <v>201.01520601270266</v>
      </c>
      <c r="Z47" s="187">
        <v>10</v>
      </c>
      <c r="AA47" s="187">
        <v>1209.999999999998</v>
      </c>
      <c r="AB47" s="469">
        <v>120.9999999999998</v>
      </c>
      <c r="AC47" s="346">
        <f>RANK(AB47, AB$47:AB$61)</f>
        <v>6</v>
      </c>
      <c r="AD47" s="629">
        <f>AVERAGE(AB47:AB61)</f>
        <v>193.78838977349173</v>
      </c>
      <c r="AE47" s="187">
        <v>10</v>
      </c>
      <c r="AF47" s="187">
        <v>1575.0000000000055</v>
      </c>
      <c r="AG47" s="469">
        <v>157.50000000000054</v>
      </c>
      <c r="AH47" s="346">
        <f>RANK(AG47, AG$47:AG$61)</f>
        <v>4</v>
      </c>
      <c r="AI47" s="629">
        <f>AVERAGE(AG47:AG61)</f>
        <v>200.98484911913491</v>
      </c>
      <c r="AJ47" s="187">
        <v>10</v>
      </c>
      <c r="AK47" s="187">
        <v>1584.0000000000057</v>
      </c>
      <c r="AL47" s="469">
        <v>158.40000000000057</v>
      </c>
      <c r="AM47" s="346">
        <f>RANK(AL47, AL$47:AL$61)</f>
        <v>4</v>
      </c>
      <c r="AN47" s="629">
        <f>AVERAGE(AL47:AL61)</f>
        <v>202.72983433862277</v>
      </c>
      <c r="AO47" s="187">
        <v>10</v>
      </c>
      <c r="AP47" s="187">
        <v>1514.3999999999955</v>
      </c>
      <c r="AQ47" s="469">
        <v>151.43999999999954</v>
      </c>
      <c r="AR47" s="346">
        <f>RANK(AQ47, AQ$47:AQ$61)</f>
        <v>4</v>
      </c>
      <c r="AS47" s="599">
        <f>AVERAGE(AQ47:AQ61)</f>
        <v>203.93722767028871</v>
      </c>
      <c r="AT47" s="187">
        <v>10</v>
      </c>
      <c r="AU47" s="187">
        <v>1547.9999999999955</v>
      </c>
      <c r="AV47" s="469">
        <v>154.79999999999956</v>
      </c>
      <c r="AW47" s="346">
        <f>RANK(AV47, AV$47:AV$61)</f>
        <v>5</v>
      </c>
      <c r="AX47" s="599">
        <f>AVERAGE(AV47:AV61)</f>
        <v>201.44116785470163</v>
      </c>
    </row>
    <row r="48" spans="2:50">
      <c r="B48" s="598"/>
      <c r="C48" s="346">
        <v>2</v>
      </c>
      <c r="D48" s="378" t="s">
        <v>382</v>
      </c>
      <c r="E48" s="378">
        <v>15</v>
      </c>
      <c r="F48" s="378">
        <v>1800</v>
      </c>
      <c r="G48" s="378">
        <v>120</v>
      </c>
      <c r="H48" s="633"/>
      <c r="I48" s="204">
        <f t="shared" ref="I48:I53" si="19">AVERAGE(P48,U48,Z48,AE48,AJ48,AO48,AT48)</f>
        <v>12</v>
      </c>
      <c r="J48" s="204">
        <f t="shared" ref="J48:J53" si="20">AVERAGE(Q48,V48,AA48,AF48,AK48,AP48,AU48)</f>
        <v>1776.0398268398271</v>
      </c>
      <c r="K48" s="205">
        <f t="shared" ref="K48:K53" si="21">AVERAGE(R48,W48,AB48,AG48,AL48,AQ48,AV48)</f>
        <v>148.0033189033189</v>
      </c>
      <c r="L48" s="572"/>
      <c r="M48" s="206">
        <f>RANK(K48, K$47:$K$61)</f>
        <v>5</v>
      </c>
      <c r="N48" s="590"/>
      <c r="O48" s="590"/>
      <c r="P48" s="378">
        <v>12</v>
      </c>
      <c r="Q48" s="187">
        <v>1813.2000000000066</v>
      </c>
      <c r="R48" s="379">
        <v>151.10000000000056</v>
      </c>
      <c r="S48" s="346">
        <f t="shared" ref="S48:S61" si="22">RANK(R48, R$47:R$61)</f>
        <v>5</v>
      </c>
      <c r="T48" s="629"/>
      <c r="U48" s="468">
        <v>12</v>
      </c>
      <c r="V48" s="187">
        <v>1819.1999999999978</v>
      </c>
      <c r="W48" s="469">
        <v>151.59999999999982</v>
      </c>
      <c r="X48" s="346">
        <f t="shared" ref="X48:X61" si="23">RANK(W48, W$47:W$61)</f>
        <v>5</v>
      </c>
      <c r="Y48" s="629"/>
      <c r="Z48" s="468">
        <v>12</v>
      </c>
      <c r="AA48" s="187">
        <v>1672.3636363636349</v>
      </c>
      <c r="AB48" s="469">
        <v>139.36363636363623</v>
      </c>
      <c r="AC48" s="346">
        <f t="shared" ref="AC48:AC61" si="24">RANK(AB48, AB$47:AB$61)</f>
        <v>4</v>
      </c>
      <c r="AD48" s="629"/>
      <c r="AE48" s="468">
        <v>12</v>
      </c>
      <c r="AF48" s="187">
        <v>1824</v>
      </c>
      <c r="AG48" s="469">
        <v>152</v>
      </c>
      <c r="AH48" s="346">
        <f t="shared" ref="AH48:AH61" si="25">RANK(AG48, AG$47:AG$61)</f>
        <v>5</v>
      </c>
      <c r="AI48" s="629"/>
      <c r="AJ48" s="468">
        <v>12</v>
      </c>
      <c r="AK48" s="187">
        <v>1725.3333333333335</v>
      </c>
      <c r="AL48" s="469">
        <v>143.7777777777778</v>
      </c>
      <c r="AM48" s="346">
        <f t="shared" ref="AM48:AM61" si="26">RANK(AL48, AL$47:AL$61)</f>
        <v>5</v>
      </c>
      <c r="AN48" s="629"/>
      <c r="AO48" s="468">
        <v>12</v>
      </c>
      <c r="AP48" s="187">
        <v>1813.0909090909076</v>
      </c>
      <c r="AQ48" s="469">
        <v>151.09090909090898</v>
      </c>
      <c r="AR48" s="346">
        <f t="shared" ref="AR48:AR61" si="27">RANK(AQ48, AQ$47:AQ$61)</f>
        <v>5</v>
      </c>
      <c r="AS48" s="600"/>
      <c r="AT48" s="468">
        <v>12</v>
      </c>
      <c r="AU48" s="187">
        <v>1765.0909090909079</v>
      </c>
      <c r="AV48" s="469">
        <v>147.09090909090898</v>
      </c>
      <c r="AW48" s="346">
        <f t="shared" ref="AW48:AW61" si="28">RANK(AV48, AV$47:AV$61)</f>
        <v>6</v>
      </c>
      <c r="AX48" s="600"/>
    </row>
    <row r="49" spans="2:50">
      <c r="B49" s="598"/>
      <c r="C49" s="346">
        <v>3</v>
      </c>
      <c r="D49" s="378" t="s">
        <v>383</v>
      </c>
      <c r="E49" s="378">
        <v>15</v>
      </c>
      <c r="F49" s="378">
        <v>1800</v>
      </c>
      <c r="G49" s="378">
        <v>120</v>
      </c>
      <c r="H49" s="633"/>
      <c r="I49" s="204">
        <f t="shared" si="19"/>
        <v>12</v>
      </c>
      <c r="J49" s="204">
        <f t="shared" si="20"/>
        <v>1761.4995670995675</v>
      </c>
      <c r="K49" s="205">
        <f t="shared" si="21"/>
        <v>146.79163059163065</v>
      </c>
      <c r="L49" s="572"/>
      <c r="M49" s="206">
        <f>RANK(K49, K$47:$K$61)</f>
        <v>6</v>
      </c>
      <c r="N49" s="590"/>
      <c r="O49" s="590"/>
      <c r="P49" s="378">
        <v>12</v>
      </c>
      <c r="Q49" s="187">
        <v>1827.6000000000004</v>
      </c>
      <c r="R49" s="379">
        <v>152.30000000000004</v>
      </c>
      <c r="S49" s="346">
        <f t="shared" si="22"/>
        <v>4</v>
      </c>
      <c r="T49" s="629"/>
      <c r="U49" s="468">
        <v>12</v>
      </c>
      <c r="V49" s="187">
        <v>1794.0000000000005</v>
      </c>
      <c r="W49" s="469">
        <v>149.50000000000003</v>
      </c>
      <c r="X49" s="346">
        <f t="shared" si="23"/>
        <v>6</v>
      </c>
      <c r="Y49" s="629"/>
      <c r="Z49" s="468">
        <v>12</v>
      </c>
      <c r="AA49" s="187">
        <v>1663.6363636363646</v>
      </c>
      <c r="AB49" s="469">
        <v>138.63636363636371</v>
      </c>
      <c r="AC49" s="346">
        <f t="shared" si="24"/>
        <v>5</v>
      </c>
      <c r="AD49" s="629"/>
      <c r="AE49" s="468">
        <v>12</v>
      </c>
      <c r="AF49" s="187">
        <v>1750.6666666666665</v>
      </c>
      <c r="AG49" s="469">
        <v>145.88888888888889</v>
      </c>
      <c r="AH49" s="346">
        <f t="shared" si="25"/>
        <v>6</v>
      </c>
      <c r="AI49" s="629"/>
      <c r="AJ49" s="468">
        <v>12</v>
      </c>
      <c r="AK49" s="187">
        <v>1666.6666666666667</v>
      </c>
      <c r="AL49" s="469">
        <v>138.88888888888889</v>
      </c>
      <c r="AM49" s="346">
        <f t="shared" si="26"/>
        <v>6</v>
      </c>
      <c r="AN49" s="629"/>
      <c r="AO49" s="468">
        <v>12</v>
      </c>
      <c r="AP49" s="187">
        <v>1760.7272727272739</v>
      </c>
      <c r="AQ49" s="469">
        <v>146.72727272727283</v>
      </c>
      <c r="AR49" s="346">
        <f t="shared" si="27"/>
        <v>6</v>
      </c>
      <c r="AS49" s="600"/>
      <c r="AT49" s="468">
        <v>12</v>
      </c>
      <c r="AU49" s="187">
        <v>1867.2000000000005</v>
      </c>
      <c r="AV49" s="469">
        <v>155.60000000000005</v>
      </c>
      <c r="AW49" s="346">
        <f t="shared" si="28"/>
        <v>4</v>
      </c>
      <c r="AX49" s="600"/>
    </row>
    <row r="50" spans="2:50">
      <c r="B50" s="598"/>
      <c r="C50" s="346">
        <v>4</v>
      </c>
      <c r="D50" s="378" t="s">
        <v>789</v>
      </c>
      <c r="E50" s="378">
        <v>5</v>
      </c>
      <c r="F50" s="378">
        <v>1500</v>
      </c>
      <c r="G50" s="378">
        <v>300</v>
      </c>
      <c r="H50" s="633"/>
      <c r="I50" s="204">
        <f t="shared" si="19"/>
        <v>5.4285714285714288</v>
      </c>
      <c r="J50" s="204">
        <f t="shared" si="20"/>
        <v>1508.9447484394116</v>
      </c>
      <c r="K50" s="205">
        <f t="shared" si="21"/>
        <v>279.50807503289042</v>
      </c>
      <c r="L50" s="572"/>
      <c r="M50" s="206">
        <f>RANK(K50, K$47:$K$61)</f>
        <v>3</v>
      </c>
      <c r="N50" s="590"/>
      <c r="O50" s="590"/>
      <c r="P50" s="378">
        <v>5</v>
      </c>
      <c r="Q50" s="187">
        <v>1462.8</v>
      </c>
      <c r="R50" s="379">
        <v>292.56</v>
      </c>
      <c r="S50" s="346">
        <f t="shared" si="22"/>
        <v>2</v>
      </c>
      <c r="T50" s="629"/>
      <c r="U50" s="468">
        <v>6</v>
      </c>
      <c r="V50" s="187">
        <v>1579.7468354430373</v>
      </c>
      <c r="W50" s="469">
        <v>263.2911392405062</v>
      </c>
      <c r="X50" s="346">
        <f t="shared" si="23"/>
        <v>3</v>
      </c>
      <c r="Y50" s="629"/>
      <c r="Z50" s="468">
        <v>6</v>
      </c>
      <c r="AA50" s="187">
        <v>1540.4999999999993</v>
      </c>
      <c r="AB50" s="469">
        <v>256.74999999999989</v>
      </c>
      <c r="AC50" s="346">
        <f t="shared" si="24"/>
        <v>3</v>
      </c>
      <c r="AD50" s="629"/>
      <c r="AE50" s="468">
        <v>5</v>
      </c>
      <c r="AF50" s="187">
        <v>1467.4285714285716</v>
      </c>
      <c r="AG50" s="469">
        <v>293.48571428571432</v>
      </c>
      <c r="AH50" s="346">
        <f t="shared" si="25"/>
        <v>1</v>
      </c>
      <c r="AI50" s="629"/>
      <c r="AJ50" s="468">
        <v>5</v>
      </c>
      <c r="AK50" s="187">
        <v>1489.90099009901</v>
      </c>
      <c r="AL50" s="469">
        <v>297.980198019802</v>
      </c>
      <c r="AM50" s="346">
        <f t="shared" si="26"/>
        <v>2</v>
      </c>
      <c r="AN50" s="629"/>
      <c r="AO50" s="468">
        <v>5</v>
      </c>
      <c r="AP50" s="187">
        <v>1463.5</v>
      </c>
      <c r="AQ50" s="469">
        <v>292.7</v>
      </c>
      <c r="AR50" s="346">
        <f t="shared" si="27"/>
        <v>3</v>
      </c>
      <c r="AS50" s="600"/>
      <c r="AT50" s="468">
        <v>6</v>
      </c>
      <c r="AU50" s="187">
        <v>1558.7368421052629</v>
      </c>
      <c r="AV50" s="469">
        <v>259.78947368421046</v>
      </c>
      <c r="AW50" s="346">
        <f t="shared" si="28"/>
        <v>3</v>
      </c>
      <c r="AX50" s="600"/>
    </row>
    <row r="51" spans="2:50">
      <c r="B51" s="598"/>
      <c r="C51" s="346">
        <v>5</v>
      </c>
      <c r="D51" s="378" t="s">
        <v>691</v>
      </c>
      <c r="E51" s="378">
        <v>5</v>
      </c>
      <c r="F51" s="378">
        <v>1500</v>
      </c>
      <c r="G51" s="378">
        <v>300</v>
      </c>
      <c r="H51" s="633"/>
      <c r="I51" s="204">
        <f t="shared" si="19"/>
        <v>5</v>
      </c>
      <c r="J51" s="204">
        <f t="shared" si="20"/>
        <v>1499.596657124388</v>
      </c>
      <c r="K51" s="205">
        <f t="shared" si="21"/>
        <v>299.91933142487767</v>
      </c>
      <c r="L51" s="572"/>
      <c r="M51" s="206">
        <f>RANK(K51, K$47:$K$61)</f>
        <v>1</v>
      </c>
      <c r="N51" s="590"/>
      <c r="O51" s="590"/>
      <c r="P51" s="378">
        <v>5</v>
      </c>
      <c r="Q51" s="187">
        <v>1513.7999999999993</v>
      </c>
      <c r="R51" s="379">
        <v>302.75999999999988</v>
      </c>
      <c r="S51" s="346">
        <f t="shared" si="22"/>
        <v>1</v>
      </c>
      <c r="T51" s="629"/>
      <c r="U51" s="468">
        <v>5</v>
      </c>
      <c r="V51" s="187">
        <v>1519.4117647058818</v>
      </c>
      <c r="W51" s="469">
        <v>303.88235294117635</v>
      </c>
      <c r="X51" s="346">
        <f t="shared" si="23"/>
        <v>1</v>
      </c>
      <c r="Y51" s="629"/>
      <c r="Z51" s="468">
        <v>5</v>
      </c>
      <c r="AA51" s="187">
        <v>1536.1538461538471</v>
      </c>
      <c r="AB51" s="469">
        <v>307.2307692307694</v>
      </c>
      <c r="AC51" s="346">
        <f t="shared" si="24"/>
        <v>2</v>
      </c>
      <c r="AD51" s="629"/>
      <c r="AE51" s="468">
        <v>5</v>
      </c>
      <c r="AF51" s="187">
        <v>1426.1538461538457</v>
      </c>
      <c r="AG51" s="469">
        <v>285.23076923076917</v>
      </c>
      <c r="AH51" s="346">
        <f t="shared" si="25"/>
        <v>3</v>
      </c>
      <c r="AI51" s="629"/>
      <c r="AJ51" s="468">
        <v>5</v>
      </c>
      <c r="AK51" s="187">
        <v>1480.8000000000004</v>
      </c>
      <c r="AL51" s="469">
        <v>296.16000000000008</v>
      </c>
      <c r="AM51" s="346">
        <f t="shared" si="26"/>
        <v>3</v>
      </c>
      <c r="AN51" s="629"/>
      <c r="AO51" s="468">
        <v>5</v>
      </c>
      <c r="AP51" s="187">
        <v>1500.8571428571431</v>
      </c>
      <c r="AQ51" s="469">
        <v>300.17142857142863</v>
      </c>
      <c r="AR51" s="346">
        <f t="shared" si="27"/>
        <v>1</v>
      </c>
      <c r="AS51" s="600"/>
      <c r="AT51" s="468">
        <v>5</v>
      </c>
      <c r="AU51" s="187">
        <v>1520.0000000000005</v>
      </c>
      <c r="AV51" s="469">
        <v>304.00000000000011</v>
      </c>
      <c r="AW51" s="346">
        <f t="shared" si="28"/>
        <v>1</v>
      </c>
      <c r="AX51" s="600"/>
    </row>
    <row r="52" spans="2:50">
      <c r="B52" s="598"/>
      <c r="C52" s="346">
        <v>6</v>
      </c>
      <c r="D52" s="378" t="s">
        <v>659</v>
      </c>
      <c r="E52" s="378">
        <v>5</v>
      </c>
      <c r="F52" s="378">
        <v>1500</v>
      </c>
      <c r="G52" s="378">
        <v>300</v>
      </c>
      <c r="H52" s="633"/>
      <c r="I52" s="204">
        <f t="shared" si="19"/>
        <v>5</v>
      </c>
      <c r="J52" s="204">
        <f t="shared" si="20"/>
        <v>1492.0985355070447</v>
      </c>
      <c r="K52" s="205">
        <f t="shared" si="21"/>
        <v>298.41970710140902</v>
      </c>
      <c r="L52" s="572"/>
      <c r="M52" s="206">
        <f>RANK(K52, K$47:$K$61)</f>
        <v>2</v>
      </c>
      <c r="N52" s="590"/>
      <c r="O52" s="590"/>
      <c r="P52" s="378">
        <v>5</v>
      </c>
      <c r="Q52" s="187">
        <v>1442.9999999999993</v>
      </c>
      <c r="R52" s="379">
        <v>288.59999999999985</v>
      </c>
      <c r="S52" s="346">
        <f t="shared" si="22"/>
        <v>3</v>
      </c>
      <c r="T52" s="629"/>
      <c r="U52" s="468">
        <v>5</v>
      </c>
      <c r="V52" s="187">
        <v>1505.4545454545464</v>
      </c>
      <c r="W52" s="469">
        <v>301.09090909090929</v>
      </c>
      <c r="X52" s="346">
        <f t="shared" si="23"/>
        <v>2</v>
      </c>
      <c r="Y52" s="629"/>
      <c r="Z52" s="468">
        <v>5</v>
      </c>
      <c r="AA52" s="187">
        <v>1543.199999999998</v>
      </c>
      <c r="AB52" s="469">
        <v>308.63999999999959</v>
      </c>
      <c r="AC52" s="346">
        <f t="shared" si="24"/>
        <v>1</v>
      </c>
      <c r="AD52" s="629"/>
      <c r="AE52" s="468">
        <v>5</v>
      </c>
      <c r="AF52" s="187">
        <v>1443.5999999999983</v>
      </c>
      <c r="AG52" s="469">
        <v>288.71999999999969</v>
      </c>
      <c r="AH52" s="346">
        <f t="shared" si="25"/>
        <v>2</v>
      </c>
      <c r="AI52" s="629"/>
      <c r="AJ52" s="468">
        <v>5</v>
      </c>
      <c r="AK52" s="187">
        <v>1493.6170212765935</v>
      </c>
      <c r="AL52" s="469">
        <v>298.72340425531871</v>
      </c>
      <c r="AM52" s="346">
        <f t="shared" si="26"/>
        <v>1</v>
      </c>
      <c r="AN52" s="629"/>
      <c r="AO52" s="468">
        <v>5</v>
      </c>
      <c r="AP52" s="187">
        <v>1497.8181818181783</v>
      </c>
      <c r="AQ52" s="469">
        <v>299.56363636363568</v>
      </c>
      <c r="AR52" s="346">
        <f t="shared" si="27"/>
        <v>2</v>
      </c>
      <c r="AS52" s="600"/>
      <c r="AT52" s="468">
        <v>5</v>
      </c>
      <c r="AU52" s="187">
        <v>1518.0000000000005</v>
      </c>
      <c r="AV52" s="469">
        <v>303.60000000000008</v>
      </c>
      <c r="AW52" s="346">
        <f t="shared" si="28"/>
        <v>2</v>
      </c>
      <c r="AX52" s="600"/>
    </row>
    <row r="53" spans="2:50">
      <c r="B53" s="598"/>
      <c r="C53" s="346">
        <v>7</v>
      </c>
      <c r="D53" s="378" t="s">
        <v>790</v>
      </c>
      <c r="E53" s="378">
        <v>15</v>
      </c>
      <c r="F53" s="378">
        <v>1200</v>
      </c>
      <c r="G53" s="378">
        <v>80</v>
      </c>
      <c r="H53" s="633"/>
      <c r="I53" s="204">
        <f t="shared" si="19"/>
        <v>13.857142857142858</v>
      </c>
      <c r="J53" s="204">
        <f t="shared" si="20"/>
        <v>1190.8221701850273</v>
      </c>
      <c r="K53" s="205">
        <f t="shared" si="21"/>
        <v>85.993768233972332</v>
      </c>
      <c r="L53" s="572"/>
      <c r="M53" s="206">
        <f>RANK(K53, K$47:$K$61)</f>
        <v>7</v>
      </c>
      <c r="N53" s="590"/>
      <c r="O53" s="590"/>
      <c r="P53" s="378">
        <v>13</v>
      </c>
      <c r="Q53" s="187">
        <v>1191.2432432432433</v>
      </c>
      <c r="R53" s="379">
        <v>91.634095634095644</v>
      </c>
      <c r="S53" s="346">
        <f t="shared" si="22"/>
        <v>7</v>
      </c>
      <c r="T53" s="629"/>
      <c r="U53" s="468">
        <v>14</v>
      </c>
      <c r="V53" s="187">
        <v>1191.428571428572</v>
      </c>
      <c r="W53" s="469">
        <v>85.102040816326578</v>
      </c>
      <c r="X53" s="346">
        <f t="shared" si="23"/>
        <v>7</v>
      </c>
      <c r="Y53" s="629"/>
      <c r="Z53" s="468">
        <v>14</v>
      </c>
      <c r="AA53" s="187">
        <v>1188.5714285714294</v>
      </c>
      <c r="AB53" s="469">
        <v>84.897959183673521</v>
      </c>
      <c r="AC53" s="346">
        <f t="shared" si="24"/>
        <v>7</v>
      </c>
      <c r="AD53" s="629"/>
      <c r="AE53" s="468">
        <v>14</v>
      </c>
      <c r="AF53" s="187">
        <v>1176.9599999999998</v>
      </c>
      <c r="AG53" s="469">
        <v>84.068571428571417</v>
      </c>
      <c r="AH53" s="346">
        <f t="shared" si="25"/>
        <v>7</v>
      </c>
      <c r="AI53" s="629"/>
      <c r="AJ53" s="468">
        <v>14</v>
      </c>
      <c r="AK53" s="187">
        <v>1192.5000000000002</v>
      </c>
      <c r="AL53" s="469">
        <v>85.178571428571445</v>
      </c>
      <c r="AM53" s="346">
        <f t="shared" si="26"/>
        <v>7</v>
      </c>
      <c r="AN53" s="629"/>
      <c r="AO53" s="468">
        <v>14</v>
      </c>
      <c r="AP53" s="187">
        <v>1202.1428571428573</v>
      </c>
      <c r="AQ53" s="469">
        <v>85.867346938775526</v>
      </c>
      <c r="AR53" s="346">
        <f t="shared" si="27"/>
        <v>7</v>
      </c>
      <c r="AS53" s="600"/>
      <c r="AT53" s="468">
        <v>14</v>
      </c>
      <c r="AU53" s="187">
        <v>1192.9090909090908</v>
      </c>
      <c r="AV53" s="469">
        <v>85.207792207792195</v>
      </c>
      <c r="AW53" s="346">
        <f t="shared" si="28"/>
        <v>7</v>
      </c>
      <c r="AX53" s="600"/>
    </row>
    <row r="54" spans="2:50">
      <c r="B54" s="598"/>
      <c r="C54" s="346">
        <v>8</v>
      </c>
      <c r="D54" s="378"/>
      <c r="E54" s="378"/>
      <c r="F54" s="378"/>
      <c r="G54" s="378"/>
      <c r="H54" s="633"/>
      <c r="I54" s="204"/>
      <c r="J54" s="204"/>
      <c r="K54" s="205"/>
      <c r="L54" s="572"/>
      <c r="M54" s="206" t="e">
        <f>RANK(K54, K$47:$K$61)</f>
        <v>#N/A</v>
      </c>
      <c r="N54" s="590"/>
      <c r="O54" s="590"/>
      <c r="P54" s="378"/>
      <c r="Q54" s="187"/>
      <c r="R54" s="379"/>
      <c r="S54" s="346" t="e">
        <f t="shared" si="22"/>
        <v>#N/A</v>
      </c>
      <c r="T54" s="629"/>
      <c r="U54" s="378"/>
      <c r="V54" s="187"/>
      <c r="W54" s="379"/>
      <c r="X54" s="346" t="e">
        <f t="shared" si="23"/>
        <v>#N/A</v>
      </c>
      <c r="Y54" s="629"/>
      <c r="Z54" s="378"/>
      <c r="AA54" s="187"/>
      <c r="AB54" s="379"/>
      <c r="AC54" s="346" t="e">
        <f t="shared" si="24"/>
        <v>#N/A</v>
      </c>
      <c r="AD54" s="629"/>
      <c r="AE54" s="378"/>
      <c r="AF54" s="187"/>
      <c r="AG54" s="379"/>
      <c r="AH54" s="346" t="e">
        <f t="shared" si="25"/>
        <v>#N/A</v>
      </c>
      <c r="AI54" s="629"/>
      <c r="AJ54" s="378"/>
      <c r="AK54" s="187"/>
      <c r="AL54" s="379"/>
      <c r="AM54" s="346" t="e">
        <f t="shared" si="26"/>
        <v>#N/A</v>
      </c>
      <c r="AN54" s="629"/>
      <c r="AO54" s="378"/>
      <c r="AP54" s="187"/>
      <c r="AQ54" s="379"/>
      <c r="AR54" s="346" t="e">
        <f t="shared" si="27"/>
        <v>#N/A</v>
      </c>
      <c r="AS54" s="600"/>
      <c r="AT54" s="378"/>
      <c r="AU54" s="187"/>
      <c r="AV54" s="379"/>
      <c r="AW54" s="346" t="e">
        <f t="shared" si="28"/>
        <v>#N/A</v>
      </c>
      <c r="AX54" s="600"/>
    </row>
    <row r="55" spans="2:50">
      <c r="B55" s="598"/>
      <c r="C55" s="346">
        <v>9</v>
      </c>
      <c r="D55" s="378"/>
      <c r="E55" s="378"/>
      <c r="F55" s="378"/>
      <c r="G55" s="378"/>
      <c r="H55" s="633"/>
      <c r="I55" s="204"/>
      <c r="J55" s="204"/>
      <c r="K55" s="205"/>
      <c r="L55" s="572"/>
      <c r="M55" s="206" t="e">
        <f>RANK(K55, K$47:$K$61)</f>
        <v>#N/A</v>
      </c>
      <c r="N55" s="590"/>
      <c r="O55" s="590"/>
      <c r="P55" s="378"/>
      <c r="Q55" s="187"/>
      <c r="R55" s="379"/>
      <c r="S55" s="346" t="e">
        <f t="shared" si="22"/>
        <v>#N/A</v>
      </c>
      <c r="T55" s="629"/>
      <c r="U55" s="378"/>
      <c r="V55" s="187"/>
      <c r="W55" s="379"/>
      <c r="X55" s="346" t="e">
        <f t="shared" si="23"/>
        <v>#N/A</v>
      </c>
      <c r="Y55" s="629"/>
      <c r="Z55" s="378"/>
      <c r="AA55" s="187"/>
      <c r="AB55" s="379"/>
      <c r="AC55" s="346" t="e">
        <f t="shared" si="24"/>
        <v>#N/A</v>
      </c>
      <c r="AD55" s="629"/>
      <c r="AE55" s="378"/>
      <c r="AF55" s="187"/>
      <c r="AG55" s="379"/>
      <c r="AH55" s="346" t="e">
        <f t="shared" si="25"/>
        <v>#N/A</v>
      </c>
      <c r="AI55" s="629"/>
      <c r="AJ55" s="378"/>
      <c r="AK55" s="187"/>
      <c r="AL55" s="379"/>
      <c r="AM55" s="346" t="e">
        <f t="shared" si="26"/>
        <v>#N/A</v>
      </c>
      <c r="AN55" s="629"/>
      <c r="AO55" s="378"/>
      <c r="AP55" s="187"/>
      <c r="AQ55" s="379"/>
      <c r="AR55" s="346" t="e">
        <f t="shared" si="27"/>
        <v>#N/A</v>
      </c>
      <c r="AS55" s="600"/>
      <c r="AT55" s="378"/>
      <c r="AU55" s="187"/>
      <c r="AV55" s="379"/>
      <c r="AW55" s="346" t="e">
        <f t="shared" si="28"/>
        <v>#N/A</v>
      </c>
      <c r="AX55" s="600"/>
    </row>
    <row r="56" spans="2:50">
      <c r="B56" s="598"/>
      <c r="C56" s="346">
        <v>10</v>
      </c>
      <c r="D56" s="378"/>
      <c r="E56" s="378"/>
      <c r="F56" s="378"/>
      <c r="G56" s="378"/>
      <c r="H56" s="633"/>
      <c r="I56" s="204"/>
      <c r="J56" s="204"/>
      <c r="K56" s="205"/>
      <c r="L56" s="572"/>
      <c r="M56" s="206" t="e">
        <f>RANK(K56, K$47:$K$61)</f>
        <v>#N/A</v>
      </c>
      <c r="N56" s="590"/>
      <c r="O56" s="590"/>
      <c r="P56" s="378"/>
      <c r="Q56" s="187"/>
      <c r="R56" s="379"/>
      <c r="S56" s="346" t="e">
        <f t="shared" si="22"/>
        <v>#N/A</v>
      </c>
      <c r="T56" s="629"/>
      <c r="U56" s="378"/>
      <c r="V56" s="187"/>
      <c r="W56" s="379"/>
      <c r="X56" s="346" t="e">
        <f t="shared" si="23"/>
        <v>#N/A</v>
      </c>
      <c r="Y56" s="629"/>
      <c r="Z56" s="378"/>
      <c r="AA56" s="187"/>
      <c r="AB56" s="379"/>
      <c r="AC56" s="346" t="e">
        <f t="shared" si="24"/>
        <v>#N/A</v>
      </c>
      <c r="AD56" s="629"/>
      <c r="AE56" s="378"/>
      <c r="AF56" s="187"/>
      <c r="AG56" s="379"/>
      <c r="AH56" s="346" t="e">
        <f t="shared" si="25"/>
        <v>#N/A</v>
      </c>
      <c r="AI56" s="629"/>
      <c r="AJ56" s="378"/>
      <c r="AK56" s="187"/>
      <c r="AL56" s="379"/>
      <c r="AM56" s="346" t="e">
        <f t="shared" si="26"/>
        <v>#N/A</v>
      </c>
      <c r="AN56" s="629"/>
      <c r="AO56" s="378"/>
      <c r="AP56" s="187"/>
      <c r="AQ56" s="379"/>
      <c r="AR56" s="346" t="e">
        <f t="shared" si="27"/>
        <v>#N/A</v>
      </c>
      <c r="AS56" s="600"/>
      <c r="AT56" s="378"/>
      <c r="AU56" s="187"/>
      <c r="AV56" s="379"/>
      <c r="AW56" s="346" t="e">
        <f t="shared" si="28"/>
        <v>#N/A</v>
      </c>
      <c r="AX56" s="600"/>
    </row>
    <row r="57" spans="2:50">
      <c r="B57" s="598"/>
      <c r="C57" s="346">
        <v>11</v>
      </c>
      <c r="D57" s="378"/>
      <c r="E57" s="378"/>
      <c r="F57" s="378"/>
      <c r="G57" s="378"/>
      <c r="H57" s="633"/>
      <c r="I57" s="207"/>
      <c r="J57" s="207"/>
      <c r="K57" s="207"/>
      <c r="L57" s="572"/>
      <c r="M57" s="206" t="e">
        <f>RANK(K57, K$47:$K$61)</f>
        <v>#N/A</v>
      </c>
      <c r="N57" s="590"/>
      <c r="O57" s="590"/>
      <c r="P57" s="378"/>
      <c r="Q57" s="378"/>
      <c r="R57" s="378"/>
      <c r="S57" s="346" t="e">
        <f t="shared" si="22"/>
        <v>#N/A</v>
      </c>
      <c r="T57" s="629"/>
      <c r="U57" s="378"/>
      <c r="V57" s="378"/>
      <c r="W57" s="378"/>
      <c r="X57" s="346" t="e">
        <f t="shared" si="23"/>
        <v>#N/A</v>
      </c>
      <c r="Y57" s="629"/>
      <c r="Z57" s="378"/>
      <c r="AA57" s="378"/>
      <c r="AB57" s="378"/>
      <c r="AC57" s="346" t="e">
        <f t="shared" si="24"/>
        <v>#N/A</v>
      </c>
      <c r="AD57" s="629"/>
      <c r="AE57" s="378"/>
      <c r="AF57" s="378"/>
      <c r="AG57" s="378"/>
      <c r="AH57" s="346" t="e">
        <f t="shared" si="25"/>
        <v>#N/A</v>
      </c>
      <c r="AI57" s="629"/>
      <c r="AJ57" s="378"/>
      <c r="AK57" s="378"/>
      <c r="AL57" s="378"/>
      <c r="AM57" s="346" t="e">
        <f t="shared" si="26"/>
        <v>#N/A</v>
      </c>
      <c r="AN57" s="629"/>
      <c r="AO57" s="378"/>
      <c r="AP57" s="378"/>
      <c r="AQ57" s="378"/>
      <c r="AR57" s="346" t="e">
        <f t="shared" si="27"/>
        <v>#N/A</v>
      </c>
      <c r="AS57" s="600"/>
      <c r="AT57" s="378"/>
      <c r="AU57" s="378"/>
      <c r="AV57" s="378"/>
      <c r="AW57" s="346" t="e">
        <f t="shared" si="28"/>
        <v>#N/A</v>
      </c>
      <c r="AX57" s="600"/>
    </row>
    <row r="58" spans="2:50">
      <c r="B58" s="598"/>
      <c r="C58" s="346">
        <v>12</v>
      </c>
      <c r="D58" s="378"/>
      <c r="E58" s="378"/>
      <c r="F58" s="378"/>
      <c r="G58" s="378"/>
      <c r="H58" s="633"/>
      <c r="I58" s="207"/>
      <c r="J58" s="207"/>
      <c r="K58" s="207"/>
      <c r="L58" s="572"/>
      <c r="M58" s="206" t="e">
        <f>RANK(K58, K$47:$K$61)</f>
        <v>#N/A</v>
      </c>
      <c r="N58" s="590"/>
      <c r="O58" s="590"/>
      <c r="P58" s="378"/>
      <c r="Q58" s="378"/>
      <c r="R58" s="378"/>
      <c r="S58" s="346" t="e">
        <f t="shared" si="22"/>
        <v>#N/A</v>
      </c>
      <c r="T58" s="629"/>
      <c r="U58" s="378"/>
      <c r="V58" s="378"/>
      <c r="W58" s="378"/>
      <c r="X58" s="346" t="e">
        <f t="shared" si="23"/>
        <v>#N/A</v>
      </c>
      <c r="Y58" s="629"/>
      <c r="Z58" s="378"/>
      <c r="AA58" s="378"/>
      <c r="AB58" s="378"/>
      <c r="AC58" s="346" t="e">
        <f t="shared" si="24"/>
        <v>#N/A</v>
      </c>
      <c r="AD58" s="629"/>
      <c r="AE58" s="378"/>
      <c r="AF58" s="378"/>
      <c r="AG58" s="378"/>
      <c r="AH58" s="346" t="e">
        <f t="shared" si="25"/>
        <v>#N/A</v>
      </c>
      <c r="AI58" s="629"/>
      <c r="AJ58" s="378"/>
      <c r="AK58" s="378"/>
      <c r="AL58" s="378"/>
      <c r="AM58" s="346" t="e">
        <f t="shared" si="26"/>
        <v>#N/A</v>
      </c>
      <c r="AN58" s="629"/>
      <c r="AO58" s="378"/>
      <c r="AP58" s="378"/>
      <c r="AQ58" s="378"/>
      <c r="AR58" s="346" t="e">
        <f t="shared" si="27"/>
        <v>#N/A</v>
      </c>
      <c r="AS58" s="600"/>
      <c r="AT58" s="378"/>
      <c r="AU58" s="378"/>
      <c r="AV58" s="378"/>
      <c r="AW58" s="346" t="e">
        <f t="shared" si="28"/>
        <v>#N/A</v>
      </c>
      <c r="AX58" s="600"/>
    </row>
    <row r="59" spans="2:50">
      <c r="B59" s="598"/>
      <c r="C59" s="346">
        <v>13</v>
      </c>
      <c r="D59" s="378"/>
      <c r="E59" s="378"/>
      <c r="F59" s="378"/>
      <c r="G59" s="378"/>
      <c r="H59" s="633"/>
      <c r="I59" s="207"/>
      <c r="J59" s="207"/>
      <c r="K59" s="207"/>
      <c r="L59" s="572"/>
      <c r="M59" s="206" t="e">
        <f>RANK(K59, K$47:$K$61)</f>
        <v>#N/A</v>
      </c>
      <c r="N59" s="590"/>
      <c r="O59" s="590"/>
      <c r="P59" s="378"/>
      <c r="Q59" s="378"/>
      <c r="R59" s="378"/>
      <c r="S59" s="346" t="e">
        <f t="shared" si="22"/>
        <v>#N/A</v>
      </c>
      <c r="T59" s="629"/>
      <c r="U59" s="378"/>
      <c r="V59" s="378"/>
      <c r="W59" s="378"/>
      <c r="X59" s="346" t="e">
        <f t="shared" si="23"/>
        <v>#N/A</v>
      </c>
      <c r="Y59" s="629"/>
      <c r="Z59" s="378"/>
      <c r="AA59" s="378"/>
      <c r="AB59" s="378"/>
      <c r="AC59" s="346" t="e">
        <f t="shared" si="24"/>
        <v>#N/A</v>
      </c>
      <c r="AD59" s="629"/>
      <c r="AE59" s="378"/>
      <c r="AF59" s="378"/>
      <c r="AG59" s="378"/>
      <c r="AH59" s="346" t="e">
        <f t="shared" si="25"/>
        <v>#N/A</v>
      </c>
      <c r="AI59" s="629"/>
      <c r="AJ59" s="378"/>
      <c r="AK59" s="378"/>
      <c r="AL59" s="378"/>
      <c r="AM59" s="346" t="e">
        <f t="shared" si="26"/>
        <v>#N/A</v>
      </c>
      <c r="AN59" s="629"/>
      <c r="AO59" s="378"/>
      <c r="AP59" s="378"/>
      <c r="AQ59" s="378"/>
      <c r="AR59" s="346" t="e">
        <f t="shared" si="27"/>
        <v>#N/A</v>
      </c>
      <c r="AS59" s="600"/>
      <c r="AT59" s="378"/>
      <c r="AU59" s="378"/>
      <c r="AV59" s="378"/>
      <c r="AW59" s="346" t="e">
        <f t="shared" si="28"/>
        <v>#N/A</v>
      </c>
      <c r="AX59" s="600"/>
    </row>
    <row r="60" spans="2:50">
      <c r="B60" s="598"/>
      <c r="C60" s="346">
        <v>14</v>
      </c>
      <c r="D60" s="378"/>
      <c r="E60" s="378"/>
      <c r="F60" s="378"/>
      <c r="G60" s="378"/>
      <c r="H60" s="633"/>
      <c r="I60" s="207"/>
      <c r="J60" s="207"/>
      <c r="K60" s="207"/>
      <c r="L60" s="572"/>
      <c r="M60" s="206" t="e">
        <f>RANK(K60, K$47:$K$61)</f>
        <v>#N/A</v>
      </c>
      <c r="N60" s="590"/>
      <c r="O60" s="590"/>
      <c r="P60" s="378"/>
      <c r="Q60" s="378"/>
      <c r="R60" s="378"/>
      <c r="S60" s="346" t="e">
        <f t="shared" si="22"/>
        <v>#N/A</v>
      </c>
      <c r="T60" s="629"/>
      <c r="U60" s="378"/>
      <c r="V60" s="378"/>
      <c r="W60" s="378"/>
      <c r="X60" s="346" t="e">
        <f t="shared" si="23"/>
        <v>#N/A</v>
      </c>
      <c r="Y60" s="629"/>
      <c r="Z60" s="378"/>
      <c r="AA60" s="378"/>
      <c r="AB60" s="378"/>
      <c r="AC60" s="346" t="e">
        <f t="shared" si="24"/>
        <v>#N/A</v>
      </c>
      <c r="AD60" s="629"/>
      <c r="AE60" s="378"/>
      <c r="AF60" s="378"/>
      <c r="AG60" s="378"/>
      <c r="AH60" s="346" t="e">
        <f t="shared" si="25"/>
        <v>#N/A</v>
      </c>
      <c r="AI60" s="629"/>
      <c r="AJ60" s="378"/>
      <c r="AK60" s="378"/>
      <c r="AL60" s="378"/>
      <c r="AM60" s="346" t="e">
        <f t="shared" si="26"/>
        <v>#N/A</v>
      </c>
      <c r="AN60" s="629"/>
      <c r="AO60" s="378"/>
      <c r="AP60" s="378"/>
      <c r="AQ60" s="378"/>
      <c r="AR60" s="346" t="e">
        <f t="shared" si="27"/>
        <v>#N/A</v>
      </c>
      <c r="AS60" s="600"/>
      <c r="AT60" s="378"/>
      <c r="AU60" s="378"/>
      <c r="AV60" s="378"/>
      <c r="AW60" s="346" t="e">
        <f t="shared" si="28"/>
        <v>#N/A</v>
      </c>
      <c r="AX60" s="600"/>
    </row>
    <row r="61" spans="2:50">
      <c r="B61" s="598"/>
      <c r="C61" s="346">
        <v>15</v>
      </c>
      <c r="D61" s="378"/>
      <c r="E61" s="378"/>
      <c r="F61" s="378"/>
      <c r="G61" s="378"/>
      <c r="H61" s="634"/>
      <c r="I61" s="207"/>
      <c r="J61" s="207"/>
      <c r="K61" s="207"/>
      <c r="L61" s="573"/>
      <c r="M61" s="206" t="e">
        <f>RANK(K61, K$47:$K$61)</f>
        <v>#N/A</v>
      </c>
      <c r="N61" s="590"/>
      <c r="O61" s="590"/>
      <c r="P61" s="378"/>
      <c r="Q61" s="378"/>
      <c r="R61" s="378"/>
      <c r="S61" s="346" t="e">
        <f t="shared" si="22"/>
        <v>#N/A</v>
      </c>
      <c r="T61" s="629"/>
      <c r="U61" s="378"/>
      <c r="V61" s="378"/>
      <c r="W61" s="378"/>
      <c r="X61" s="346" t="e">
        <f t="shared" si="23"/>
        <v>#N/A</v>
      </c>
      <c r="Y61" s="629"/>
      <c r="Z61" s="378"/>
      <c r="AA61" s="378"/>
      <c r="AB61" s="378"/>
      <c r="AC61" s="346" t="e">
        <f t="shared" si="24"/>
        <v>#N/A</v>
      </c>
      <c r="AD61" s="629"/>
      <c r="AE61" s="378"/>
      <c r="AF61" s="378"/>
      <c r="AG61" s="378"/>
      <c r="AH61" s="346" t="e">
        <f t="shared" si="25"/>
        <v>#N/A</v>
      </c>
      <c r="AI61" s="629"/>
      <c r="AJ61" s="378"/>
      <c r="AK61" s="378"/>
      <c r="AL61" s="378"/>
      <c r="AM61" s="346" t="e">
        <f t="shared" si="26"/>
        <v>#N/A</v>
      </c>
      <c r="AN61" s="629"/>
      <c r="AO61" s="378"/>
      <c r="AP61" s="378"/>
      <c r="AQ61" s="378"/>
      <c r="AR61" s="346" t="e">
        <f t="shared" si="27"/>
        <v>#N/A</v>
      </c>
      <c r="AS61" s="601"/>
      <c r="AT61" s="378"/>
      <c r="AU61" s="378"/>
      <c r="AV61" s="378"/>
      <c r="AW61" s="346" t="e">
        <f t="shared" si="28"/>
        <v>#N/A</v>
      </c>
      <c r="AX61" s="601"/>
    </row>
    <row r="62" spans="2:50" ht="15.75">
      <c r="B62" s="602" t="s">
        <v>163</v>
      </c>
      <c r="C62" s="603"/>
      <c r="D62" s="603"/>
      <c r="E62" s="603"/>
      <c r="F62" s="603"/>
      <c r="G62" s="603"/>
      <c r="H62" s="604"/>
      <c r="I62" s="213"/>
      <c r="J62" s="213"/>
      <c r="K62" s="213"/>
      <c r="L62" s="213"/>
      <c r="M62" s="212"/>
      <c r="N62" s="591" t="s">
        <v>156</v>
      </c>
      <c r="O62" s="591" t="s">
        <v>105</v>
      </c>
      <c r="P62" s="597">
        <f>P42+7</f>
        <v>45951</v>
      </c>
      <c r="Q62" s="598"/>
      <c r="R62" s="598"/>
      <c r="S62" s="598"/>
      <c r="T62" s="598"/>
      <c r="U62" s="594">
        <f>P62+1</f>
        <v>45952</v>
      </c>
      <c r="V62" s="595"/>
      <c r="W62" s="595"/>
      <c r="X62" s="595"/>
      <c r="Y62" s="596"/>
      <c r="Z62" s="594">
        <f>U62+1</f>
        <v>45953</v>
      </c>
      <c r="AA62" s="595"/>
      <c r="AB62" s="595"/>
      <c r="AC62" s="595"/>
      <c r="AD62" s="596"/>
      <c r="AE62" s="594">
        <f>Z62+1</f>
        <v>45954</v>
      </c>
      <c r="AF62" s="595"/>
      <c r="AG62" s="595"/>
      <c r="AH62" s="595"/>
      <c r="AI62" s="596"/>
      <c r="AJ62" s="594">
        <f>AE62+1</f>
        <v>45955</v>
      </c>
      <c r="AK62" s="595"/>
      <c r="AL62" s="595"/>
      <c r="AM62" s="595"/>
      <c r="AN62" s="596"/>
      <c r="AO62" s="594">
        <f>AJ62+1</f>
        <v>45956</v>
      </c>
      <c r="AP62" s="595"/>
      <c r="AQ62" s="595"/>
      <c r="AR62" s="595"/>
      <c r="AS62" s="596"/>
      <c r="AT62" s="594">
        <f>AO62+1</f>
        <v>45957</v>
      </c>
      <c r="AU62" s="595"/>
      <c r="AV62" s="595"/>
      <c r="AW62" s="595"/>
      <c r="AX62" s="596"/>
    </row>
    <row r="63" spans="2:50" ht="15.75">
      <c r="B63" s="605"/>
      <c r="C63" s="605"/>
      <c r="D63" s="605"/>
      <c r="E63" s="605"/>
      <c r="F63" s="605"/>
      <c r="G63" s="605"/>
      <c r="H63" s="605"/>
      <c r="I63" s="210"/>
      <c r="J63" s="210"/>
      <c r="K63" s="210"/>
      <c r="L63" s="210"/>
      <c r="M63" s="211"/>
      <c r="N63" s="593"/>
      <c r="O63" s="593"/>
      <c r="P63" s="597" t="s">
        <v>336</v>
      </c>
      <c r="Q63" s="598"/>
      <c r="R63" s="598"/>
      <c r="S63" s="598"/>
      <c r="T63" s="598"/>
      <c r="U63" s="597" t="s">
        <v>337</v>
      </c>
      <c r="V63" s="598"/>
      <c r="W63" s="598"/>
      <c r="X63" s="598"/>
      <c r="Y63" s="598"/>
      <c r="Z63" s="597" t="s">
        <v>338</v>
      </c>
      <c r="AA63" s="598"/>
      <c r="AB63" s="598"/>
      <c r="AC63" s="598"/>
      <c r="AD63" s="598"/>
      <c r="AE63" s="597" t="s">
        <v>339</v>
      </c>
      <c r="AF63" s="598"/>
      <c r="AG63" s="598"/>
      <c r="AH63" s="598"/>
      <c r="AI63" s="598"/>
      <c r="AJ63" s="597" t="s">
        <v>340</v>
      </c>
      <c r="AK63" s="598"/>
      <c r="AL63" s="598"/>
      <c r="AM63" s="598"/>
      <c r="AN63" s="598"/>
      <c r="AO63" s="597" t="s">
        <v>341</v>
      </c>
      <c r="AP63" s="598"/>
      <c r="AQ63" s="598"/>
      <c r="AR63" s="598"/>
      <c r="AS63" s="598"/>
      <c r="AT63" s="597" t="s">
        <v>342</v>
      </c>
      <c r="AU63" s="598"/>
      <c r="AV63" s="598"/>
      <c r="AW63" s="598"/>
      <c r="AX63" s="598"/>
    </row>
    <row r="64" spans="2:50">
      <c r="B64" s="590" t="s">
        <v>444</v>
      </c>
      <c r="C64" s="590" t="s">
        <v>454</v>
      </c>
      <c r="D64" s="590"/>
      <c r="E64" s="590" t="s">
        <v>445</v>
      </c>
      <c r="F64" s="590"/>
      <c r="G64" s="590"/>
      <c r="H64" s="606" t="s">
        <v>441</v>
      </c>
      <c r="I64" s="574" t="s">
        <v>446</v>
      </c>
      <c r="J64" s="574"/>
      <c r="K64" s="574"/>
      <c r="L64" s="575" t="s">
        <v>441</v>
      </c>
      <c r="M64" s="581" t="s">
        <v>442</v>
      </c>
      <c r="N64" s="590"/>
      <c r="O64" s="590" t="s">
        <v>447</v>
      </c>
      <c r="P64" s="587" t="s">
        <v>443</v>
      </c>
      <c r="Q64" s="588"/>
      <c r="R64" s="588"/>
      <c r="S64" s="589"/>
      <c r="T64" s="590" t="s">
        <v>441</v>
      </c>
      <c r="U64" s="587" t="s">
        <v>443</v>
      </c>
      <c r="V64" s="588"/>
      <c r="W64" s="588"/>
      <c r="X64" s="589"/>
      <c r="Y64" s="590" t="s">
        <v>441</v>
      </c>
      <c r="Z64" s="587" t="s">
        <v>443</v>
      </c>
      <c r="AA64" s="588"/>
      <c r="AB64" s="588"/>
      <c r="AC64" s="589"/>
      <c r="AD64" s="590" t="s">
        <v>441</v>
      </c>
      <c r="AE64" s="587" t="s">
        <v>443</v>
      </c>
      <c r="AF64" s="588"/>
      <c r="AG64" s="588"/>
      <c r="AH64" s="589"/>
      <c r="AI64" s="590" t="s">
        <v>441</v>
      </c>
      <c r="AJ64" s="587" t="s">
        <v>443</v>
      </c>
      <c r="AK64" s="588"/>
      <c r="AL64" s="588"/>
      <c r="AM64" s="589"/>
      <c r="AN64" s="590" t="s">
        <v>441</v>
      </c>
      <c r="AO64" s="587" t="s">
        <v>443</v>
      </c>
      <c r="AP64" s="588"/>
      <c r="AQ64" s="588"/>
      <c r="AR64" s="589"/>
      <c r="AS64" s="590" t="s">
        <v>441</v>
      </c>
      <c r="AT64" s="587" t="s">
        <v>443</v>
      </c>
      <c r="AU64" s="588"/>
      <c r="AV64" s="588"/>
      <c r="AW64" s="589"/>
      <c r="AX64" s="590" t="s">
        <v>441</v>
      </c>
    </row>
    <row r="65" spans="2:50">
      <c r="B65" s="590"/>
      <c r="C65" s="590"/>
      <c r="D65" s="590"/>
      <c r="E65" s="590" t="s">
        <v>448</v>
      </c>
      <c r="F65" s="590"/>
      <c r="G65" s="590"/>
      <c r="H65" s="607"/>
      <c r="I65" s="574" t="s">
        <v>448</v>
      </c>
      <c r="J65" s="574"/>
      <c r="K65" s="574"/>
      <c r="L65" s="576"/>
      <c r="M65" s="582"/>
      <c r="N65" s="590"/>
      <c r="O65" s="590"/>
      <c r="P65" s="587" t="s">
        <v>449</v>
      </c>
      <c r="Q65" s="588"/>
      <c r="R65" s="588"/>
      <c r="S65" s="589"/>
      <c r="T65" s="590"/>
      <c r="U65" s="587" t="s">
        <v>449</v>
      </c>
      <c r="V65" s="588"/>
      <c r="W65" s="588"/>
      <c r="X65" s="589"/>
      <c r="Y65" s="590"/>
      <c r="Z65" s="587" t="s">
        <v>449</v>
      </c>
      <c r="AA65" s="588"/>
      <c r="AB65" s="588"/>
      <c r="AC65" s="589"/>
      <c r="AD65" s="590"/>
      <c r="AE65" s="587" t="s">
        <v>449</v>
      </c>
      <c r="AF65" s="588"/>
      <c r="AG65" s="588"/>
      <c r="AH65" s="589"/>
      <c r="AI65" s="590"/>
      <c r="AJ65" s="587" t="s">
        <v>449</v>
      </c>
      <c r="AK65" s="588"/>
      <c r="AL65" s="588"/>
      <c r="AM65" s="589"/>
      <c r="AN65" s="590"/>
      <c r="AO65" s="587" t="s">
        <v>449</v>
      </c>
      <c r="AP65" s="588"/>
      <c r="AQ65" s="588"/>
      <c r="AR65" s="589"/>
      <c r="AS65" s="590"/>
      <c r="AT65" s="587" t="s">
        <v>449</v>
      </c>
      <c r="AU65" s="588"/>
      <c r="AV65" s="588"/>
      <c r="AW65" s="589"/>
      <c r="AX65" s="590"/>
    </row>
    <row r="66" spans="2:50">
      <c r="B66" s="590"/>
      <c r="C66" s="590"/>
      <c r="D66" s="590"/>
      <c r="E66" s="318" t="s">
        <v>450</v>
      </c>
      <c r="F66" s="318" t="s">
        <v>451</v>
      </c>
      <c r="G66" s="318" t="s">
        <v>452</v>
      </c>
      <c r="H66" s="608"/>
      <c r="I66" s="317" t="s">
        <v>450</v>
      </c>
      <c r="J66" s="317" t="s">
        <v>451</v>
      </c>
      <c r="K66" s="317" t="s">
        <v>452</v>
      </c>
      <c r="L66" s="577"/>
      <c r="M66" s="583"/>
      <c r="N66" s="590"/>
      <c r="O66" s="590"/>
      <c r="P66" s="318" t="s">
        <v>450</v>
      </c>
      <c r="Q66" s="318" t="s">
        <v>451</v>
      </c>
      <c r="R66" s="318" t="s">
        <v>452</v>
      </c>
      <c r="S66" s="318" t="s">
        <v>442</v>
      </c>
      <c r="T66" s="590"/>
      <c r="U66" s="318" t="s">
        <v>450</v>
      </c>
      <c r="V66" s="318" t="s">
        <v>451</v>
      </c>
      <c r="W66" s="318" t="s">
        <v>452</v>
      </c>
      <c r="X66" s="318" t="s">
        <v>442</v>
      </c>
      <c r="Y66" s="590"/>
      <c r="Z66" s="318" t="s">
        <v>450</v>
      </c>
      <c r="AA66" s="318" t="s">
        <v>451</v>
      </c>
      <c r="AB66" s="318" t="s">
        <v>452</v>
      </c>
      <c r="AC66" s="318" t="s">
        <v>442</v>
      </c>
      <c r="AD66" s="590"/>
      <c r="AE66" s="318" t="s">
        <v>450</v>
      </c>
      <c r="AF66" s="318" t="s">
        <v>451</v>
      </c>
      <c r="AG66" s="318" t="s">
        <v>452</v>
      </c>
      <c r="AH66" s="318" t="s">
        <v>442</v>
      </c>
      <c r="AI66" s="590"/>
      <c r="AJ66" s="318" t="s">
        <v>450</v>
      </c>
      <c r="AK66" s="318" t="s">
        <v>451</v>
      </c>
      <c r="AL66" s="318" t="s">
        <v>452</v>
      </c>
      <c r="AM66" s="318" t="s">
        <v>442</v>
      </c>
      <c r="AN66" s="590"/>
      <c r="AO66" s="318" t="s">
        <v>450</v>
      </c>
      <c r="AP66" s="318" t="s">
        <v>451</v>
      </c>
      <c r="AQ66" s="318" t="s">
        <v>452</v>
      </c>
      <c r="AR66" s="318" t="s">
        <v>442</v>
      </c>
      <c r="AS66" s="590"/>
      <c r="AT66" s="318" t="s">
        <v>450</v>
      </c>
      <c r="AU66" s="318" t="s">
        <v>451</v>
      </c>
      <c r="AV66" s="318" t="s">
        <v>452</v>
      </c>
      <c r="AW66" s="318" t="s">
        <v>442</v>
      </c>
      <c r="AX66" s="590"/>
    </row>
    <row r="67" spans="2:50">
      <c r="B67" s="631" t="s">
        <v>471</v>
      </c>
      <c r="C67" s="319">
        <v>1</v>
      </c>
      <c r="D67" s="319" t="s">
        <v>381</v>
      </c>
      <c r="E67" s="319">
        <v>10</v>
      </c>
      <c r="F67" s="319">
        <v>1500</v>
      </c>
      <c r="G67" s="319">
        <v>150</v>
      </c>
      <c r="H67" s="632">
        <f>AVERAGE(G67:G81)</f>
        <v>181.25</v>
      </c>
      <c r="I67" s="204">
        <f>AVERAGE(P67,U67,Z67,AE67,AJ67,AO67,AT67)</f>
        <v>10</v>
      </c>
      <c r="J67" s="204">
        <f>AVERAGE(Q67,V67,AA67,AF67,AK67,AP67,AU67)</f>
        <v>1123.355402361615</v>
      </c>
      <c r="K67" s="205">
        <f>AVERAGE(R67,W67,AB67,AG67,AL67,AQ67,AV67)</f>
        <v>112.33554023616151</v>
      </c>
      <c r="L67" s="571">
        <f>IFERROR(AVERAGE(K67:K81),"-")</f>
        <v>181.88099634128278</v>
      </c>
      <c r="M67" s="206">
        <f>RANK(K67, K$67:$K$81)</f>
        <v>6</v>
      </c>
      <c r="N67" s="590"/>
      <c r="O67" s="590"/>
      <c r="P67" s="187">
        <v>10</v>
      </c>
      <c r="Q67" s="187">
        <v>1028.5714285714298</v>
      </c>
      <c r="R67" s="379">
        <v>102.85714285714297</v>
      </c>
      <c r="S67" s="319">
        <f>RANK(R67, R$67:R$81)</f>
        <v>6</v>
      </c>
      <c r="T67" s="629">
        <f>AVERAGE(R67:R81)</f>
        <v>186.50341325341324</v>
      </c>
      <c r="U67" s="187">
        <v>10</v>
      </c>
      <c r="V67" s="187">
        <v>1038.857142857144</v>
      </c>
      <c r="W67" s="473">
        <v>103.8857142857144</v>
      </c>
      <c r="X67" s="351">
        <f>RANK(W67, W$67:W$81)</f>
        <v>6</v>
      </c>
      <c r="Y67" s="629">
        <f>AVERAGE(W67:W81)</f>
        <v>183.57771312021319</v>
      </c>
      <c r="Z67" s="187">
        <v>10</v>
      </c>
      <c r="AA67" s="187">
        <v>1142.608695652176</v>
      </c>
      <c r="AB67" s="473">
        <v>114.2608695652176</v>
      </c>
      <c r="AC67" s="351">
        <f>RANK(AB67, AB$67:AB$81)</f>
        <v>6</v>
      </c>
      <c r="AD67" s="629">
        <f>AVERAGE(AB67:AB81)</f>
        <v>178.46654494559073</v>
      </c>
      <c r="AE67" s="187">
        <v>10</v>
      </c>
      <c r="AF67" s="187">
        <v>1180.000000000002</v>
      </c>
      <c r="AG67" s="473">
        <v>118.0000000000002</v>
      </c>
      <c r="AH67" s="351">
        <f>RANK(AG67, AG$67:AG$81)</f>
        <v>6</v>
      </c>
      <c r="AI67" s="629">
        <f>AVERAGE(AG67:AG81)</f>
        <v>182.28374331550796</v>
      </c>
      <c r="AJ67" s="187">
        <v>10</v>
      </c>
      <c r="AK67" s="187">
        <v>1171.4285714285734</v>
      </c>
      <c r="AL67" s="473">
        <v>117.14285714285734</v>
      </c>
      <c r="AM67" s="351">
        <f>RANK(AL67, AL$67:AL$81)</f>
        <v>6</v>
      </c>
      <c r="AN67" s="629">
        <f>AVERAGE(AL67:AL81)</f>
        <v>181.08188145188146</v>
      </c>
      <c r="AO67" s="187">
        <v>10</v>
      </c>
      <c r="AP67" s="187">
        <v>1009.714285714287</v>
      </c>
      <c r="AQ67" s="473">
        <v>100.9714285714287</v>
      </c>
      <c r="AR67" s="351">
        <f>RANK(AQ67, AQ$67:AQ$81)</f>
        <v>6</v>
      </c>
      <c r="AS67" s="629">
        <f>AVERAGE(AQ67:AQ81)</f>
        <v>178.93827313037849</v>
      </c>
      <c r="AT67" s="187">
        <v>10</v>
      </c>
      <c r="AU67" s="187">
        <v>1292.3076923076931</v>
      </c>
      <c r="AV67" s="473">
        <v>129.23076923076931</v>
      </c>
      <c r="AW67" s="351">
        <f>RANK(AV67, AV$67:AV$81)</f>
        <v>6</v>
      </c>
      <c r="AX67" s="629">
        <f>AVERAGE(AV67:AV81)</f>
        <v>182.31540517199443</v>
      </c>
    </row>
    <row r="68" spans="2:50">
      <c r="B68" s="598"/>
      <c r="C68" s="319">
        <v>2</v>
      </c>
      <c r="D68" s="319" t="s">
        <v>382</v>
      </c>
      <c r="E68" s="319">
        <v>15</v>
      </c>
      <c r="F68" s="319">
        <v>1800</v>
      </c>
      <c r="G68" s="319">
        <v>120</v>
      </c>
      <c r="H68" s="633"/>
      <c r="I68" s="204">
        <f t="shared" ref="I68:I73" si="29">AVERAGE(P68,U68,Z68,AE68,AJ68,AO68,AT68)</f>
        <v>12</v>
      </c>
      <c r="J68" s="204">
        <f t="shared" ref="J68:J73" si="30">AVERAGE(Q68,V68,AA68,AF68,AK68,AP68,AU68)</f>
        <v>1744.1471861471857</v>
      </c>
      <c r="K68" s="205">
        <f t="shared" ref="K68:K73" si="31">AVERAGE(R68,W68,AB68,AG68,AL68,AQ68,AV68)</f>
        <v>145.3455988455988</v>
      </c>
      <c r="L68" s="572"/>
      <c r="M68" s="206">
        <f>RANK(K68, K$67:$K$81)</f>
        <v>5</v>
      </c>
      <c r="N68" s="590"/>
      <c r="O68" s="590"/>
      <c r="P68" s="378">
        <v>12</v>
      </c>
      <c r="Q68" s="187">
        <v>1803.6000000000006</v>
      </c>
      <c r="R68" s="379">
        <v>150.30000000000004</v>
      </c>
      <c r="S68" s="351">
        <f t="shared" ref="S68:S81" si="32">RANK(R68, R$67:R$81)</f>
        <v>5</v>
      </c>
      <c r="T68" s="629"/>
      <c r="U68" s="472">
        <v>12</v>
      </c>
      <c r="V68" s="187">
        <v>1754.4000000000005</v>
      </c>
      <c r="W68" s="473">
        <v>146.20000000000005</v>
      </c>
      <c r="X68" s="351">
        <f t="shared" ref="X68:X81" si="33">RANK(W68, W$67:W$81)</f>
        <v>5</v>
      </c>
      <c r="Y68" s="629"/>
      <c r="Z68" s="472">
        <v>12</v>
      </c>
      <c r="AA68" s="187">
        <v>1697.3333333333362</v>
      </c>
      <c r="AB68" s="473">
        <v>141.44444444444468</v>
      </c>
      <c r="AC68" s="351">
        <f t="shared" ref="AC68:AC81" si="34">RANK(AB68, AB$67:AB$81)</f>
        <v>5</v>
      </c>
      <c r="AD68" s="629"/>
      <c r="AE68" s="472">
        <v>12</v>
      </c>
      <c r="AF68" s="187">
        <v>1701.3333333333333</v>
      </c>
      <c r="AG68" s="473">
        <v>141.77777777777777</v>
      </c>
      <c r="AH68" s="351">
        <f t="shared" ref="AH68:AH81" si="35">RANK(AG68, AG$67:AG$81)</f>
        <v>5</v>
      </c>
      <c r="AI68" s="629"/>
      <c r="AJ68" s="472">
        <v>12</v>
      </c>
      <c r="AK68" s="187">
        <v>1719.999999999997</v>
      </c>
      <c r="AL68" s="473">
        <v>143.33333333333309</v>
      </c>
      <c r="AM68" s="351">
        <f t="shared" ref="AM68:AM81" si="36">RANK(AL68, AL$67:AL$81)</f>
        <v>5</v>
      </c>
      <c r="AN68" s="629"/>
      <c r="AO68" s="472">
        <v>12</v>
      </c>
      <c r="AP68" s="187">
        <v>1708.3636363636324</v>
      </c>
      <c r="AQ68" s="473">
        <v>142.36363636363603</v>
      </c>
      <c r="AR68" s="351">
        <f t="shared" ref="AR68:AR81" si="37">RANK(AQ68, AQ$67:AQ$81)</f>
        <v>5</v>
      </c>
      <c r="AS68" s="629"/>
      <c r="AT68" s="472">
        <v>12</v>
      </c>
      <c r="AU68" s="187">
        <v>1824.0000000000005</v>
      </c>
      <c r="AV68" s="473">
        <v>152.00000000000003</v>
      </c>
      <c r="AW68" s="351">
        <f t="shared" ref="AW68:AW81" si="38">RANK(AV68, AV$67:AV$81)</f>
        <v>5</v>
      </c>
      <c r="AX68" s="629"/>
    </row>
    <row r="69" spans="2:50">
      <c r="B69" s="598"/>
      <c r="C69" s="319">
        <v>3</v>
      </c>
      <c r="D69" s="319" t="s">
        <v>383</v>
      </c>
      <c r="E69" s="319">
        <v>15</v>
      </c>
      <c r="F69" s="319">
        <v>1800</v>
      </c>
      <c r="G69" s="319">
        <v>120</v>
      </c>
      <c r="H69" s="633"/>
      <c r="I69" s="204">
        <f t="shared" si="29"/>
        <v>12</v>
      </c>
      <c r="J69" s="204">
        <f t="shared" si="30"/>
        <v>1802.0952380952383</v>
      </c>
      <c r="K69" s="205">
        <f t="shared" si="31"/>
        <v>150.17460317460319</v>
      </c>
      <c r="L69" s="572"/>
      <c r="M69" s="206">
        <f>RANK(K69, K$67:$K$81)</f>
        <v>4</v>
      </c>
      <c r="N69" s="590"/>
      <c r="O69" s="590"/>
      <c r="P69" s="378">
        <v>12</v>
      </c>
      <c r="Q69" s="187">
        <v>1827.6000000000004</v>
      </c>
      <c r="R69" s="379">
        <v>152.30000000000004</v>
      </c>
      <c r="S69" s="351">
        <f t="shared" si="32"/>
        <v>4</v>
      </c>
      <c r="T69" s="629"/>
      <c r="U69" s="472">
        <v>12</v>
      </c>
      <c r="V69" s="187">
        <v>1756.8000000000004</v>
      </c>
      <c r="W69" s="473">
        <v>146.40000000000003</v>
      </c>
      <c r="X69" s="351">
        <f t="shared" si="33"/>
        <v>4</v>
      </c>
      <c r="Y69" s="629"/>
      <c r="Z69" s="472">
        <v>12</v>
      </c>
      <c r="AA69" s="187">
        <v>1704</v>
      </c>
      <c r="AB69" s="473">
        <v>142</v>
      </c>
      <c r="AC69" s="351">
        <f t="shared" si="34"/>
        <v>4</v>
      </c>
      <c r="AD69" s="629"/>
      <c r="AE69" s="472">
        <v>12</v>
      </c>
      <c r="AF69" s="187">
        <v>1730.6666666666667</v>
      </c>
      <c r="AG69" s="473">
        <v>144.22222222222223</v>
      </c>
      <c r="AH69" s="351">
        <f t="shared" si="35"/>
        <v>4</v>
      </c>
      <c r="AI69" s="629"/>
      <c r="AJ69" s="472">
        <v>12</v>
      </c>
      <c r="AK69" s="187">
        <v>1871.9999999999993</v>
      </c>
      <c r="AL69" s="473">
        <v>155.99999999999994</v>
      </c>
      <c r="AM69" s="351">
        <f t="shared" si="36"/>
        <v>4</v>
      </c>
      <c r="AN69" s="629"/>
      <c r="AO69" s="472">
        <v>12</v>
      </c>
      <c r="AP69" s="187">
        <v>1874.4000000000005</v>
      </c>
      <c r="AQ69" s="473">
        <v>156.20000000000005</v>
      </c>
      <c r="AR69" s="351">
        <f t="shared" si="37"/>
        <v>4</v>
      </c>
      <c r="AS69" s="629"/>
      <c r="AT69" s="472">
        <v>12</v>
      </c>
      <c r="AU69" s="187">
        <v>1849.2000000000005</v>
      </c>
      <c r="AV69" s="473">
        <v>154.10000000000005</v>
      </c>
      <c r="AW69" s="351">
        <f t="shared" si="38"/>
        <v>4</v>
      </c>
      <c r="AX69" s="629"/>
    </row>
    <row r="70" spans="2:50">
      <c r="B70" s="598"/>
      <c r="C70" s="319">
        <v>4</v>
      </c>
      <c r="D70" s="319" t="s">
        <v>789</v>
      </c>
      <c r="E70" s="319">
        <v>5</v>
      </c>
      <c r="F70" s="319">
        <v>1500</v>
      </c>
      <c r="G70" s="319">
        <v>300</v>
      </c>
      <c r="H70" s="633"/>
      <c r="I70" s="204">
        <f t="shared" si="29"/>
        <v>5.5714285714285712</v>
      </c>
      <c r="J70" s="204">
        <f t="shared" si="30"/>
        <v>1496.7661338219498</v>
      </c>
      <c r="K70" s="205">
        <f t="shared" si="31"/>
        <v>270.65295507676751</v>
      </c>
      <c r="L70" s="572"/>
      <c r="M70" s="206">
        <f>RANK(K70, K$67:$K$81)</f>
        <v>3</v>
      </c>
      <c r="N70" s="590"/>
      <c r="O70" s="590"/>
      <c r="P70" s="378">
        <v>5</v>
      </c>
      <c r="Q70" s="187">
        <v>1491</v>
      </c>
      <c r="R70" s="379">
        <v>298.2</v>
      </c>
      <c r="S70" s="351">
        <f t="shared" si="32"/>
        <v>2</v>
      </c>
      <c r="T70" s="629"/>
      <c r="U70" s="472">
        <v>5</v>
      </c>
      <c r="V70" s="187">
        <v>1494.6</v>
      </c>
      <c r="W70" s="473">
        <v>298.91999999999996</v>
      </c>
      <c r="X70" s="351">
        <f t="shared" si="33"/>
        <v>1</v>
      </c>
      <c r="Y70" s="629"/>
      <c r="Z70" s="472">
        <v>6</v>
      </c>
      <c r="AA70" s="187">
        <v>1520.4705882352939</v>
      </c>
      <c r="AB70" s="473">
        <v>253.41176470588232</v>
      </c>
      <c r="AC70" s="351">
        <f t="shared" si="34"/>
        <v>3</v>
      </c>
      <c r="AD70" s="629"/>
      <c r="AE70" s="472">
        <v>5</v>
      </c>
      <c r="AF70" s="187">
        <v>1464.705882352941</v>
      </c>
      <c r="AG70" s="473">
        <v>292.94117647058818</v>
      </c>
      <c r="AH70" s="351">
        <f t="shared" si="35"/>
        <v>1</v>
      </c>
      <c r="AI70" s="629"/>
      <c r="AJ70" s="472">
        <v>6</v>
      </c>
      <c r="AK70" s="187">
        <v>1527.4285714285718</v>
      </c>
      <c r="AL70" s="473">
        <v>254.57142857142864</v>
      </c>
      <c r="AM70" s="351">
        <f t="shared" si="36"/>
        <v>3</v>
      </c>
      <c r="AN70" s="629"/>
      <c r="AO70" s="472">
        <v>6</v>
      </c>
      <c r="AP70" s="187">
        <v>1431.1578947368416</v>
      </c>
      <c r="AQ70" s="473">
        <v>238.52631578947361</v>
      </c>
      <c r="AR70" s="351">
        <f t="shared" si="37"/>
        <v>3</v>
      </c>
      <c r="AS70" s="629"/>
      <c r="AT70" s="472">
        <v>6</v>
      </c>
      <c r="AU70" s="187">
        <v>1547.9999999999998</v>
      </c>
      <c r="AV70" s="473">
        <v>257.99999999999994</v>
      </c>
      <c r="AW70" s="351">
        <f t="shared" si="38"/>
        <v>3</v>
      </c>
      <c r="AX70" s="629"/>
    </row>
    <row r="71" spans="2:50">
      <c r="B71" s="598"/>
      <c r="C71" s="319">
        <v>5</v>
      </c>
      <c r="D71" s="319" t="s">
        <v>691</v>
      </c>
      <c r="E71" s="319">
        <v>5</v>
      </c>
      <c r="F71" s="319">
        <v>1500</v>
      </c>
      <c r="G71" s="319">
        <v>300</v>
      </c>
      <c r="H71" s="633"/>
      <c r="I71" s="204">
        <f t="shared" si="29"/>
        <v>5</v>
      </c>
      <c r="J71" s="204">
        <f t="shared" si="30"/>
        <v>1503.9533205657629</v>
      </c>
      <c r="K71" s="205">
        <f t="shared" si="31"/>
        <v>300.79066411315256</v>
      </c>
      <c r="L71" s="572"/>
      <c r="M71" s="206">
        <f>RANK(K71, K$67:$K$81)</f>
        <v>1</v>
      </c>
      <c r="N71" s="590"/>
      <c r="O71" s="590"/>
      <c r="P71" s="378">
        <v>5</v>
      </c>
      <c r="Q71" s="187">
        <v>1482.4000000000005</v>
      </c>
      <c r="R71" s="379">
        <v>296.48000000000013</v>
      </c>
      <c r="S71" s="351">
        <f t="shared" si="32"/>
        <v>3</v>
      </c>
      <c r="T71" s="629"/>
      <c r="U71" s="472">
        <v>5</v>
      </c>
      <c r="V71" s="187">
        <v>1494.166666666667</v>
      </c>
      <c r="W71" s="473">
        <v>298.83333333333337</v>
      </c>
      <c r="X71" s="351">
        <f t="shared" si="33"/>
        <v>2</v>
      </c>
      <c r="Y71" s="629"/>
      <c r="Z71" s="472">
        <v>5</v>
      </c>
      <c r="AA71" s="187">
        <v>1521.4285714285702</v>
      </c>
      <c r="AB71" s="473">
        <v>304.28571428571405</v>
      </c>
      <c r="AC71" s="351">
        <f t="shared" si="34"/>
        <v>2</v>
      </c>
      <c r="AD71" s="629"/>
      <c r="AE71" s="472">
        <v>5</v>
      </c>
      <c r="AF71" s="187">
        <v>1429.0909090909079</v>
      </c>
      <c r="AG71" s="473">
        <v>285.81818181818159</v>
      </c>
      <c r="AH71" s="351">
        <f t="shared" si="35"/>
        <v>3</v>
      </c>
      <c r="AI71" s="629"/>
      <c r="AJ71" s="472">
        <v>5</v>
      </c>
      <c r="AK71" s="187">
        <v>1525.1999999999994</v>
      </c>
      <c r="AL71" s="473">
        <v>305.03999999999985</v>
      </c>
      <c r="AM71" s="351">
        <f t="shared" si="36"/>
        <v>1</v>
      </c>
      <c r="AN71" s="629"/>
      <c r="AO71" s="472">
        <v>5</v>
      </c>
      <c r="AP71" s="187">
        <v>1557.0000000000014</v>
      </c>
      <c r="AQ71" s="473">
        <v>311.40000000000026</v>
      </c>
      <c r="AR71" s="351">
        <f t="shared" si="37"/>
        <v>1</v>
      </c>
      <c r="AS71" s="629"/>
      <c r="AT71" s="472">
        <v>5</v>
      </c>
      <c r="AU71" s="187">
        <v>1518.387096774193</v>
      </c>
      <c r="AV71" s="473">
        <v>303.67741935483861</v>
      </c>
      <c r="AW71" s="351">
        <f t="shared" si="38"/>
        <v>1</v>
      </c>
      <c r="AX71" s="629"/>
    </row>
    <row r="72" spans="2:50">
      <c r="B72" s="598"/>
      <c r="C72" s="319">
        <v>6</v>
      </c>
      <c r="D72" s="319" t="s">
        <v>659</v>
      </c>
      <c r="E72" s="319">
        <v>5</v>
      </c>
      <c r="F72" s="319">
        <v>1500</v>
      </c>
      <c r="G72" s="319">
        <v>300</v>
      </c>
      <c r="H72" s="633"/>
      <c r="I72" s="204">
        <f t="shared" si="29"/>
        <v>5</v>
      </c>
      <c r="J72" s="204">
        <f t="shared" si="30"/>
        <v>1468.0333078686022</v>
      </c>
      <c r="K72" s="205">
        <f t="shared" si="31"/>
        <v>293.60666157372043</v>
      </c>
      <c r="L72" s="572"/>
      <c r="M72" s="206">
        <f>RANK(K72, K$67:$K$81)</f>
        <v>2</v>
      </c>
      <c r="N72" s="590"/>
      <c r="O72" s="590"/>
      <c r="P72" s="378">
        <v>5</v>
      </c>
      <c r="Q72" s="187">
        <v>1533.5999999999981</v>
      </c>
      <c r="R72" s="379">
        <v>306.71999999999963</v>
      </c>
      <c r="S72" s="351">
        <f t="shared" si="32"/>
        <v>1</v>
      </c>
      <c r="T72" s="629"/>
      <c r="U72" s="472">
        <v>5</v>
      </c>
      <c r="V72" s="187">
        <v>1435.2000000000003</v>
      </c>
      <c r="W72" s="473">
        <v>287.04000000000008</v>
      </c>
      <c r="X72" s="351">
        <f t="shared" si="33"/>
        <v>3</v>
      </c>
      <c r="Y72" s="629"/>
      <c r="Z72" s="472">
        <v>5</v>
      </c>
      <c r="AA72" s="187">
        <v>1533.529411764704</v>
      </c>
      <c r="AB72" s="473">
        <v>306.70588235294082</v>
      </c>
      <c r="AC72" s="351">
        <f t="shared" si="34"/>
        <v>1</v>
      </c>
      <c r="AD72" s="629"/>
      <c r="AE72" s="472">
        <v>5</v>
      </c>
      <c r="AF72" s="187">
        <v>1461.1764705882335</v>
      </c>
      <c r="AG72" s="473">
        <v>292.23529411764673</v>
      </c>
      <c r="AH72" s="351">
        <f t="shared" si="35"/>
        <v>2</v>
      </c>
      <c r="AI72" s="629"/>
      <c r="AJ72" s="472">
        <v>5</v>
      </c>
      <c r="AK72" s="187">
        <v>1432.7272727272743</v>
      </c>
      <c r="AL72" s="473">
        <v>286.54545454545485</v>
      </c>
      <c r="AM72" s="351">
        <f t="shared" si="36"/>
        <v>2</v>
      </c>
      <c r="AN72" s="629"/>
      <c r="AO72" s="472">
        <v>5</v>
      </c>
      <c r="AP72" s="187">
        <v>1489.333333333336</v>
      </c>
      <c r="AQ72" s="473">
        <v>297.86666666666719</v>
      </c>
      <c r="AR72" s="351">
        <f t="shared" si="37"/>
        <v>2</v>
      </c>
      <c r="AS72" s="629"/>
      <c r="AT72" s="472">
        <v>5</v>
      </c>
      <c r="AU72" s="187">
        <v>1390.6666666666692</v>
      </c>
      <c r="AV72" s="473">
        <v>278.13333333333384</v>
      </c>
      <c r="AW72" s="351">
        <f t="shared" si="38"/>
        <v>2</v>
      </c>
      <c r="AX72" s="629"/>
    </row>
    <row r="73" spans="2:50">
      <c r="B73" s="598"/>
      <c r="C73" s="319">
        <v>7</v>
      </c>
      <c r="D73" s="319" t="s">
        <v>790</v>
      </c>
      <c r="E73" s="319">
        <v>15</v>
      </c>
      <c r="F73" s="319">
        <v>1200</v>
      </c>
      <c r="G73" s="319">
        <v>80</v>
      </c>
      <c r="H73" s="633"/>
      <c r="I73" s="204">
        <f t="shared" si="29"/>
        <v>12.857142857142858</v>
      </c>
      <c r="J73" s="204">
        <f t="shared" si="30"/>
        <v>1141.3181272509005</v>
      </c>
      <c r="K73" s="205">
        <f t="shared" si="31"/>
        <v>88.535171153481656</v>
      </c>
      <c r="L73" s="572"/>
      <c r="M73" s="206">
        <f>RANK(K73, K$67:$K$81)</f>
        <v>8</v>
      </c>
      <c r="N73" s="590"/>
      <c r="O73" s="590"/>
      <c r="P73" s="378">
        <v>13</v>
      </c>
      <c r="Q73" s="187">
        <v>1182.5454545454545</v>
      </c>
      <c r="R73" s="379">
        <v>90.96503496503496</v>
      </c>
      <c r="S73" s="351">
        <f t="shared" si="32"/>
        <v>8</v>
      </c>
      <c r="T73" s="629"/>
      <c r="U73" s="472">
        <v>13</v>
      </c>
      <c r="V73" s="187">
        <v>1205.4545454545462</v>
      </c>
      <c r="W73" s="473">
        <v>92.727272727272776</v>
      </c>
      <c r="X73" s="351">
        <f t="shared" si="33"/>
        <v>8</v>
      </c>
      <c r="Y73" s="629"/>
      <c r="Z73" s="472">
        <v>12</v>
      </c>
      <c r="AA73" s="187">
        <v>809.68421052631595</v>
      </c>
      <c r="AB73" s="473">
        <v>67.473684210526329</v>
      </c>
      <c r="AC73" s="351">
        <f t="shared" si="34"/>
        <v>8</v>
      </c>
      <c r="AD73" s="629"/>
      <c r="AE73" s="472">
        <v>13</v>
      </c>
      <c r="AF73" s="187">
        <v>1183.0588235294117</v>
      </c>
      <c r="AG73" s="473">
        <v>91.004524886877817</v>
      </c>
      <c r="AH73" s="351">
        <f t="shared" si="35"/>
        <v>8</v>
      </c>
      <c r="AI73" s="629"/>
      <c r="AJ73" s="472">
        <v>13</v>
      </c>
      <c r="AK73" s="187">
        <v>1204.2857142857147</v>
      </c>
      <c r="AL73" s="473">
        <v>92.637362637362671</v>
      </c>
      <c r="AM73" s="351">
        <f t="shared" si="36"/>
        <v>8</v>
      </c>
      <c r="AN73" s="629"/>
      <c r="AO73" s="472">
        <v>13</v>
      </c>
      <c r="AP73" s="187">
        <v>1194.3157894736844</v>
      </c>
      <c r="AQ73" s="473">
        <v>91.870445344129564</v>
      </c>
      <c r="AR73" s="351">
        <f t="shared" si="37"/>
        <v>8</v>
      </c>
      <c r="AS73" s="629"/>
      <c r="AT73" s="472">
        <v>13</v>
      </c>
      <c r="AU73" s="187">
        <v>1209.8823529411761</v>
      </c>
      <c r="AV73" s="473">
        <v>93.067873303167389</v>
      </c>
      <c r="AW73" s="351">
        <f t="shared" si="38"/>
        <v>7</v>
      </c>
      <c r="AX73" s="629"/>
    </row>
    <row r="74" spans="2:50">
      <c r="B74" s="598"/>
      <c r="C74" s="319">
        <v>8</v>
      </c>
      <c r="D74" s="319" t="s">
        <v>801</v>
      </c>
      <c r="E74" s="319">
        <v>15</v>
      </c>
      <c r="F74" s="319">
        <v>1200</v>
      </c>
      <c r="G74" s="319">
        <v>80</v>
      </c>
      <c r="H74" s="633"/>
      <c r="I74" s="474">
        <f t="shared" ref="I74" si="39">AVERAGE(P74,U74,Z74,AE74,AJ74,AO74,AT74)</f>
        <v>12.857142857142858</v>
      </c>
      <c r="J74" s="474">
        <f t="shared" ref="J74" si="40">AVERAGE(Q74,V74,AA74,AF74,AK74,AP74,AU74)</f>
        <v>1202.8666666666666</v>
      </c>
      <c r="K74" s="205">
        <f t="shared" ref="K74" si="41">AVERAGE(R74,W74,AB74,AG74,AL74,AQ74,AV74)</f>
        <v>93.606776556776552</v>
      </c>
      <c r="L74" s="572"/>
      <c r="M74" s="206">
        <f>RANK(K74, K$67:$K$81)</f>
        <v>7</v>
      </c>
      <c r="N74" s="590"/>
      <c r="O74" s="590"/>
      <c r="P74" s="378">
        <v>13</v>
      </c>
      <c r="Q74" s="187">
        <v>1224.6666666666667</v>
      </c>
      <c r="R74" s="379">
        <v>94.205128205128204</v>
      </c>
      <c r="S74" s="351">
        <f t="shared" si="32"/>
        <v>7</v>
      </c>
      <c r="T74" s="629"/>
      <c r="U74" s="472">
        <v>13</v>
      </c>
      <c r="V74" s="187">
        <v>1230.0000000000005</v>
      </c>
      <c r="W74" s="473">
        <v>94.615384615384656</v>
      </c>
      <c r="X74" s="351">
        <f t="shared" si="33"/>
        <v>7</v>
      </c>
      <c r="Y74" s="629"/>
      <c r="Z74" s="472">
        <v>12</v>
      </c>
      <c r="AA74" s="187">
        <v>1177.8000000000004</v>
      </c>
      <c r="AB74" s="473">
        <v>98.150000000000034</v>
      </c>
      <c r="AC74" s="351">
        <f t="shared" si="34"/>
        <v>7</v>
      </c>
      <c r="AD74" s="629"/>
      <c r="AE74" s="472">
        <v>13</v>
      </c>
      <c r="AF74" s="187">
        <v>1199.5199999999995</v>
      </c>
      <c r="AG74" s="473">
        <v>92.27076923076919</v>
      </c>
      <c r="AH74" s="351">
        <f t="shared" si="35"/>
        <v>7</v>
      </c>
      <c r="AI74" s="629"/>
      <c r="AJ74" s="472">
        <v>13</v>
      </c>
      <c r="AK74" s="187">
        <v>1213.9999999999993</v>
      </c>
      <c r="AL74" s="473">
        <v>93.38461538461533</v>
      </c>
      <c r="AM74" s="351">
        <f t="shared" si="36"/>
        <v>7</v>
      </c>
      <c r="AN74" s="629"/>
      <c r="AO74" s="472">
        <v>13</v>
      </c>
      <c r="AP74" s="187">
        <v>1200.0000000000002</v>
      </c>
      <c r="AQ74" s="473">
        <v>92.307692307692321</v>
      </c>
      <c r="AR74" s="351">
        <f t="shared" si="37"/>
        <v>7</v>
      </c>
      <c r="AS74" s="629"/>
      <c r="AT74" s="472">
        <v>13</v>
      </c>
      <c r="AU74" s="187">
        <v>1174.0800000000004</v>
      </c>
      <c r="AV74" s="473">
        <v>90.313846153846185</v>
      </c>
      <c r="AW74" s="351">
        <f t="shared" si="38"/>
        <v>8</v>
      </c>
      <c r="AX74" s="629"/>
    </row>
    <row r="75" spans="2:50">
      <c r="B75" s="598"/>
      <c r="C75" s="319">
        <v>9</v>
      </c>
      <c r="D75" s="319"/>
      <c r="E75" s="319"/>
      <c r="F75" s="319"/>
      <c r="G75" s="319"/>
      <c r="H75" s="633"/>
      <c r="I75" s="204"/>
      <c r="J75" s="204"/>
      <c r="K75" s="205"/>
      <c r="L75" s="572"/>
      <c r="M75" s="206" t="e">
        <f>RANK(K75, K$67:$K$81)</f>
        <v>#N/A</v>
      </c>
      <c r="N75" s="590"/>
      <c r="O75" s="590"/>
      <c r="P75" s="378"/>
      <c r="Q75" s="187"/>
      <c r="R75" s="379"/>
      <c r="S75" s="351" t="e">
        <f t="shared" si="32"/>
        <v>#N/A</v>
      </c>
      <c r="T75" s="629"/>
      <c r="U75" s="378"/>
      <c r="V75" s="187"/>
      <c r="W75" s="379"/>
      <c r="X75" s="351" t="e">
        <f t="shared" si="33"/>
        <v>#N/A</v>
      </c>
      <c r="Y75" s="629"/>
      <c r="Z75" s="378"/>
      <c r="AA75" s="187"/>
      <c r="AB75" s="379"/>
      <c r="AC75" s="351" t="e">
        <f t="shared" si="34"/>
        <v>#N/A</v>
      </c>
      <c r="AD75" s="629"/>
      <c r="AE75" s="378"/>
      <c r="AF75" s="187"/>
      <c r="AG75" s="379"/>
      <c r="AH75" s="351" t="e">
        <f t="shared" si="35"/>
        <v>#N/A</v>
      </c>
      <c r="AI75" s="629"/>
      <c r="AJ75" s="378"/>
      <c r="AK75" s="187"/>
      <c r="AL75" s="379"/>
      <c r="AM75" s="351" t="e">
        <f t="shared" si="36"/>
        <v>#N/A</v>
      </c>
      <c r="AN75" s="629"/>
      <c r="AO75" s="378"/>
      <c r="AP75" s="187"/>
      <c r="AQ75" s="379"/>
      <c r="AR75" s="351" t="e">
        <f t="shared" si="37"/>
        <v>#N/A</v>
      </c>
      <c r="AS75" s="629"/>
      <c r="AT75" s="378"/>
      <c r="AU75" s="187"/>
      <c r="AV75" s="379"/>
      <c r="AW75" s="351" t="e">
        <f t="shared" si="38"/>
        <v>#N/A</v>
      </c>
      <c r="AX75" s="629"/>
    </row>
    <row r="76" spans="2:50">
      <c r="B76" s="598"/>
      <c r="C76" s="319">
        <v>10</v>
      </c>
      <c r="D76" s="319"/>
      <c r="E76" s="319"/>
      <c r="F76" s="319"/>
      <c r="G76" s="319"/>
      <c r="H76" s="633"/>
      <c r="I76" s="204"/>
      <c r="J76" s="204"/>
      <c r="K76" s="205"/>
      <c r="L76" s="572"/>
      <c r="M76" s="206" t="e">
        <f>RANK(K76, K$67:$K$81)</f>
        <v>#N/A</v>
      </c>
      <c r="N76" s="590"/>
      <c r="O76" s="590"/>
      <c r="P76" s="378"/>
      <c r="Q76" s="187"/>
      <c r="R76" s="379"/>
      <c r="S76" s="351" t="e">
        <f t="shared" si="32"/>
        <v>#N/A</v>
      </c>
      <c r="T76" s="629"/>
      <c r="U76" s="378"/>
      <c r="V76" s="187"/>
      <c r="W76" s="379"/>
      <c r="X76" s="351" t="e">
        <f t="shared" si="33"/>
        <v>#N/A</v>
      </c>
      <c r="Y76" s="629"/>
      <c r="Z76" s="378"/>
      <c r="AA76" s="187"/>
      <c r="AB76" s="379"/>
      <c r="AC76" s="351" t="e">
        <f t="shared" si="34"/>
        <v>#N/A</v>
      </c>
      <c r="AD76" s="629"/>
      <c r="AE76" s="378"/>
      <c r="AF76" s="187"/>
      <c r="AG76" s="379"/>
      <c r="AH76" s="351" t="e">
        <f t="shared" si="35"/>
        <v>#N/A</v>
      </c>
      <c r="AI76" s="629"/>
      <c r="AJ76" s="378"/>
      <c r="AK76" s="187"/>
      <c r="AL76" s="379"/>
      <c r="AM76" s="351" t="e">
        <f t="shared" si="36"/>
        <v>#N/A</v>
      </c>
      <c r="AN76" s="629"/>
      <c r="AO76" s="378"/>
      <c r="AP76" s="187"/>
      <c r="AQ76" s="379"/>
      <c r="AR76" s="351" t="e">
        <f t="shared" si="37"/>
        <v>#N/A</v>
      </c>
      <c r="AS76" s="629"/>
      <c r="AT76" s="378"/>
      <c r="AU76" s="187"/>
      <c r="AV76" s="379"/>
      <c r="AW76" s="351" t="e">
        <f t="shared" si="38"/>
        <v>#N/A</v>
      </c>
      <c r="AX76" s="629"/>
    </row>
    <row r="77" spans="2:50">
      <c r="B77" s="598"/>
      <c r="C77" s="319">
        <v>11</v>
      </c>
      <c r="D77" s="319"/>
      <c r="E77" s="319"/>
      <c r="F77" s="319"/>
      <c r="G77" s="319"/>
      <c r="H77" s="633"/>
      <c r="I77" s="207"/>
      <c r="J77" s="207"/>
      <c r="K77" s="207"/>
      <c r="L77" s="572"/>
      <c r="M77" s="206" t="e">
        <f>RANK(K77, K$67:$K$81)</f>
        <v>#N/A</v>
      </c>
      <c r="N77" s="590"/>
      <c r="O77" s="590"/>
      <c r="P77" s="378"/>
      <c r="Q77" s="378"/>
      <c r="R77" s="378"/>
      <c r="S77" s="351" t="e">
        <f t="shared" si="32"/>
        <v>#N/A</v>
      </c>
      <c r="T77" s="629"/>
      <c r="U77" s="378"/>
      <c r="V77" s="378"/>
      <c r="W77" s="378"/>
      <c r="X77" s="351" t="e">
        <f t="shared" si="33"/>
        <v>#N/A</v>
      </c>
      <c r="Y77" s="629"/>
      <c r="Z77" s="378"/>
      <c r="AA77" s="378"/>
      <c r="AB77" s="378"/>
      <c r="AC77" s="351" t="e">
        <f t="shared" si="34"/>
        <v>#N/A</v>
      </c>
      <c r="AD77" s="629"/>
      <c r="AE77" s="378"/>
      <c r="AF77" s="378"/>
      <c r="AG77" s="378"/>
      <c r="AH77" s="351" t="e">
        <f t="shared" si="35"/>
        <v>#N/A</v>
      </c>
      <c r="AI77" s="629"/>
      <c r="AJ77" s="378"/>
      <c r="AK77" s="378"/>
      <c r="AL77" s="378"/>
      <c r="AM77" s="351" t="e">
        <f t="shared" si="36"/>
        <v>#N/A</v>
      </c>
      <c r="AN77" s="629"/>
      <c r="AO77" s="378"/>
      <c r="AP77" s="378"/>
      <c r="AQ77" s="378"/>
      <c r="AR77" s="351" t="e">
        <f t="shared" si="37"/>
        <v>#N/A</v>
      </c>
      <c r="AS77" s="629"/>
      <c r="AT77" s="378"/>
      <c r="AU77" s="378"/>
      <c r="AV77" s="378"/>
      <c r="AW77" s="351" t="e">
        <f t="shared" si="38"/>
        <v>#N/A</v>
      </c>
      <c r="AX77" s="629"/>
    </row>
    <row r="78" spans="2:50">
      <c r="B78" s="598"/>
      <c r="C78" s="319">
        <v>12</v>
      </c>
      <c r="D78" s="319"/>
      <c r="E78" s="319"/>
      <c r="F78" s="319"/>
      <c r="G78" s="319"/>
      <c r="H78" s="633"/>
      <c r="I78" s="207"/>
      <c r="J78" s="207"/>
      <c r="K78" s="207"/>
      <c r="L78" s="572"/>
      <c r="M78" s="206" t="e">
        <f>RANK(K78, K$67:$K$81)</f>
        <v>#N/A</v>
      </c>
      <c r="N78" s="590"/>
      <c r="O78" s="590"/>
      <c r="P78" s="378"/>
      <c r="Q78" s="378"/>
      <c r="R78" s="378"/>
      <c r="S78" s="351" t="e">
        <f t="shared" si="32"/>
        <v>#N/A</v>
      </c>
      <c r="T78" s="629"/>
      <c r="U78" s="378"/>
      <c r="V78" s="378"/>
      <c r="W78" s="378"/>
      <c r="X78" s="351" t="e">
        <f t="shared" si="33"/>
        <v>#N/A</v>
      </c>
      <c r="Y78" s="629"/>
      <c r="Z78" s="378"/>
      <c r="AA78" s="378"/>
      <c r="AB78" s="378"/>
      <c r="AC78" s="351" t="e">
        <f t="shared" si="34"/>
        <v>#N/A</v>
      </c>
      <c r="AD78" s="629"/>
      <c r="AE78" s="378"/>
      <c r="AF78" s="378"/>
      <c r="AG78" s="378"/>
      <c r="AH78" s="351" t="e">
        <f t="shared" si="35"/>
        <v>#N/A</v>
      </c>
      <c r="AI78" s="629"/>
      <c r="AJ78" s="378"/>
      <c r="AK78" s="378"/>
      <c r="AL78" s="378"/>
      <c r="AM78" s="351" t="e">
        <f t="shared" si="36"/>
        <v>#N/A</v>
      </c>
      <c r="AN78" s="629"/>
      <c r="AO78" s="378"/>
      <c r="AP78" s="378"/>
      <c r="AQ78" s="378"/>
      <c r="AR78" s="351" t="e">
        <f t="shared" si="37"/>
        <v>#N/A</v>
      </c>
      <c r="AS78" s="629"/>
      <c r="AT78" s="378"/>
      <c r="AU78" s="378"/>
      <c r="AV78" s="378"/>
      <c r="AW78" s="351" t="e">
        <f t="shared" si="38"/>
        <v>#N/A</v>
      </c>
      <c r="AX78" s="629"/>
    </row>
    <row r="79" spans="2:50">
      <c r="B79" s="598"/>
      <c r="C79" s="319">
        <v>13</v>
      </c>
      <c r="D79" s="319"/>
      <c r="E79" s="319"/>
      <c r="F79" s="319"/>
      <c r="G79" s="319"/>
      <c r="H79" s="633"/>
      <c r="I79" s="207"/>
      <c r="J79" s="207"/>
      <c r="K79" s="207"/>
      <c r="L79" s="572"/>
      <c r="M79" s="206" t="e">
        <f>RANK(K79, K$67:$K$81)</f>
        <v>#N/A</v>
      </c>
      <c r="N79" s="590"/>
      <c r="O79" s="590"/>
      <c r="P79" s="378"/>
      <c r="Q79" s="378"/>
      <c r="R79" s="378"/>
      <c r="S79" s="351" t="e">
        <f t="shared" si="32"/>
        <v>#N/A</v>
      </c>
      <c r="T79" s="629"/>
      <c r="U79" s="378"/>
      <c r="V79" s="378"/>
      <c r="W79" s="378"/>
      <c r="X79" s="351" t="e">
        <f t="shared" si="33"/>
        <v>#N/A</v>
      </c>
      <c r="Y79" s="629"/>
      <c r="Z79" s="378"/>
      <c r="AA79" s="378"/>
      <c r="AB79" s="378"/>
      <c r="AC79" s="351" t="e">
        <f t="shared" si="34"/>
        <v>#N/A</v>
      </c>
      <c r="AD79" s="629"/>
      <c r="AE79" s="378"/>
      <c r="AF79" s="378"/>
      <c r="AG79" s="378"/>
      <c r="AH79" s="351" t="e">
        <f t="shared" si="35"/>
        <v>#N/A</v>
      </c>
      <c r="AI79" s="629"/>
      <c r="AJ79" s="378"/>
      <c r="AK79" s="378"/>
      <c r="AL79" s="378"/>
      <c r="AM79" s="351" t="e">
        <f t="shared" si="36"/>
        <v>#N/A</v>
      </c>
      <c r="AN79" s="629"/>
      <c r="AO79" s="378"/>
      <c r="AP79" s="378"/>
      <c r="AQ79" s="378"/>
      <c r="AR79" s="351" t="e">
        <f t="shared" si="37"/>
        <v>#N/A</v>
      </c>
      <c r="AS79" s="629"/>
      <c r="AT79" s="378"/>
      <c r="AU79" s="378"/>
      <c r="AV79" s="378"/>
      <c r="AW79" s="351" t="e">
        <f t="shared" si="38"/>
        <v>#N/A</v>
      </c>
      <c r="AX79" s="629"/>
    </row>
    <row r="80" spans="2:50">
      <c r="B80" s="598"/>
      <c r="C80" s="319">
        <v>14</v>
      </c>
      <c r="D80" s="319"/>
      <c r="E80" s="319"/>
      <c r="F80" s="319"/>
      <c r="G80" s="319"/>
      <c r="H80" s="633"/>
      <c r="I80" s="207"/>
      <c r="J80" s="207"/>
      <c r="K80" s="207"/>
      <c r="L80" s="572"/>
      <c r="M80" s="206" t="e">
        <f>RANK(K80, K$67:$K$81)</f>
        <v>#N/A</v>
      </c>
      <c r="N80" s="590"/>
      <c r="O80" s="590"/>
      <c r="P80" s="378"/>
      <c r="Q80" s="378"/>
      <c r="R80" s="378"/>
      <c r="S80" s="351" t="e">
        <f t="shared" si="32"/>
        <v>#N/A</v>
      </c>
      <c r="T80" s="629"/>
      <c r="U80" s="378"/>
      <c r="V80" s="378"/>
      <c r="W80" s="378"/>
      <c r="X80" s="351" t="e">
        <f t="shared" si="33"/>
        <v>#N/A</v>
      </c>
      <c r="Y80" s="629"/>
      <c r="Z80" s="378"/>
      <c r="AA80" s="378"/>
      <c r="AB80" s="378"/>
      <c r="AC80" s="351" t="e">
        <f t="shared" si="34"/>
        <v>#N/A</v>
      </c>
      <c r="AD80" s="629"/>
      <c r="AE80" s="378"/>
      <c r="AF80" s="378"/>
      <c r="AG80" s="378"/>
      <c r="AH80" s="351" t="e">
        <f t="shared" si="35"/>
        <v>#N/A</v>
      </c>
      <c r="AI80" s="629"/>
      <c r="AJ80" s="378"/>
      <c r="AK80" s="378"/>
      <c r="AL80" s="378"/>
      <c r="AM80" s="351" t="e">
        <f t="shared" si="36"/>
        <v>#N/A</v>
      </c>
      <c r="AN80" s="629"/>
      <c r="AO80" s="378"/>
      <c r="AP80" s="378"/>
      <c r="AQ80" s="378"/>
      <c r="AR80" s="351" t="e">
        <f t="shared" si="37"/>
        <v>#N/A</v>
      </c>
      <c r="AS80" s="629"/>
      <c r="AT80" s="378"/>
      <c r="AU80" s="378"/>
      <c r="AV80" s="378"/>
      <c r="AW80" s="351" t="e">
        <f t="shared" si="38"/>
        <v>#N/A</v>
      </c>
      <c r="AX80" s="629"/>
    </row>
    <row r="81" spans="2:50">
      <c r="B81" s="598"/>
      <c r="C81" s="319">
        <v>15</v>
      </c>
      <c r="D81" s="319"/>
      <c r="E81" s="319"/>
      <c r="F81" s="319"/>
      <c r="G81" s="319"/>
      <c r="H81" s="634"/>
      <c r="I81" s="207"/>
      <c r="J81" s="207"/>
      <c r="K81" s="207"/>
      <c r="L81" s="573"/>
      <c r="M81" s="206" t="e">
        <f>RANK(K81, K$67:$K$81)</f>
        <v>#N/A</v>
      </c>
      <c r="N81" s="590"/>
      <c r="O81" s="590"/>
      <c r="P81" s="378"/>
      <c r="Q81" s="378"/>
      <c r="R81" s="378"/>
      <c r="S81" s="351" t="e">
        <f t="shared" si="32"/>
        <v>#N/A</v>
      </c>
      <c r="T81" s="629"/>
      <c r="U81" s="378"/>
      <c r="V81" s="378"/>
      <c r="W81" s="378"/>
      <c r="X81" s="351" t="e">
        <f t="shared" si="33"/>
        <v>#N/A</v>
      </c>
      <c r="Y81" s="629"/>
      <c r="Z81" s="378"/>
      <c r="AA81" s="378"/>
      <c r="AB81" s="378"/>
      <c r="AC81" s="351" t="e">
        <f t="shared" si="34"/>
        <v>#N/A</v>
      </c>
      <c r="AD81" s="629"/>
      <c r="AE81" s="378"/>
      <c r="AF81" s="378"/>
      <c r="AG81" s="378"/>
      <c r="AH81" s="351" t="e">
        <f t="shared" si="35"/>
        <v>#N/A</v>
      </c>
      <c r="AI81" s="629"/>
      <c r="AJ81" s="378"/>
      <c r="AK81" s="378"/>
      <c r="AL81" s="378"/>
      <c r="AM81" s="351" t="e">
        <f t="shared" si="36"/>
        <v>#N/A</v>
      </c>
      <c r="AN81" s="629"/>
      <c r="AO81" s="378"/>
      <c r="AP81" s="378"/>
      <c r="AQ81" s="378"/>
      <c r="AR81" s="351" t="e">
        <f t="shared" si="37"/>
        <v>#N/A</v>
      </c>
      <c r="AS81" s="629"/>
      <c r="AT81" s="378"/>
      <c r="AU81" s="378"/>
      <c r="AV81" s="378"/>
      <c r="AW81" s="351" t="e">
        <f t="shared" si="38"/>
        <v>#N/A</v>
      </c>
      <c r="AX81" s="629"/>
    </row>
    <row r="82" spans="2:50" ht="15.75">
      <c r="B82" s="602" t="s">
        <v>163</v>
      </c>
      <c r="C82" s="603"/>
      <c r="D82" s="603"/>
      <c r="E82" s="603"/>
      <c r="F82" s="603"/>
      <c r="G82" s="603"/>
      <c r="H82" s="604"/>
      <c r="I82" s="213"/>
      <c r="J82" s="213"/>
      <c r="K82" s="213"/>
      <c r="L82" s="213"/>
      <c r="M82" s="212"/>
      <c r="N82" s="591" t="s">
        <v>156</v>
      </c>
      <c r="O82" s="591" t="s">
        <v>105</v>
      </c>
      <c r="P82" s="597">
        <f>P62+7</f>
        <v>45958</v>
      </c>
      <c r="Q82" s="598"/>
      <c r="R82" s="598"/>
      <c r="S82" s="598"/>
      <c r="T82" s="598"/>
      <c r="U82" s="594">
        <f>P82+1</f>
        <v>45959</v>
      </c>
      <c r="V82" s="595"/>
      <c r="W82" s="595"/>
      <c r="X82" s="595"/>
      <c r="Y82" s="596"/>
      <c r="Z82" s="594">
        <f>U82+1</f>
        <v>45960</v>
      </c>
      <c r="AA82" s="595"/>
      <c r="AB82" s="595"/>
      <c r="AC82" s="595"/>
      <c r="AD82" s="596"/>
      <c r="AE82" s="594">
        <f>Z82+1</f>
        <v>45961</v>
      </c>
      <c r="AF82" s="595"/>
      <c r="AG82" s="595"/>
      <c r="AH82" s="595"/>
      <c r="AI82" s="596"/>
      <c r="AJ82" s="594">
        <f>AE82+1</f>
        <v>45962</v>
      </c>
      <c r="AK82" s="595"/>
      <c r="AL82" s="595"/>
      <c r="AM82" s="595"/>
      <c r="AN82" s="596"/>
      <c r="AO82" s="594">
        <f>AJ82+1</f>
        <v>45963</v>
      </c>
      <c r="AP82" s="595"/>
      <c r="AQ82" s="595"/>
      <c r="AR82" s="595"/>
      <c r="AS82" s="596"/>
      <c r="AT82" s="594">
        <f>AO82+1</f>
        <v>45964</v>
      </c>
      <c r="AU82" s="595"/>
      <c r="AV82" s="595"/>
      <c r="AW82" s="595"/>
      <c r="AX82" s="596"/>
    </row>
    <row r="83" spans="2:50" ht="15.75">
      <c r="B83" s="605"/>
      <c r="C83" s="605"/>
      <c r="D83" s="605"/>
      <c r="E83" s="605"/>
      <c r="F83" s="605"/>
      <c r="G83" s="605"/>
      <c r="H83" s="605"/>
      <c r="I83" s="210"/>
      <c r="J83" s="210"/>
      <c r="K83" s="210"/>
      <c r="L83" s="210"/>
      <c r="M83" s="211"/>
      <c r="N83" s="593"/>
      <c r="O83" s="593"/>
      <c r="P83" s="597" t="s">
        <v>336</v>
      </c>
      <c r="Q83" s="598"/>
      <c r="R83" s="598"/>
      <c r="S83" s="598"/>
      <c r="T83" s="598"/>
      <c r="U83" s="597" t="s">
        <v>337</v>
      </c>
      <c r="V83" s="598"/>
      <c r="W83" s="598"/>
      <c r="X83" s="598"/>
      <c r="Y83" s="598"/>
      <c r="Z83" s="597" t="s">
        <v>338</v>
      </c>
      <c r="AA83" s="598"/>
      <c r="AB83" s="598"/>
      <c r="AC83" s="598"/>
      <c r="AD83" s="598"/>
      <c r="AE83" s="597" t="s">
        <v>339</v>
      </c>
      <c r="AF83" s="598"/>
      <c r="AG83" s="598"/>
      <c r="AH83" s="598"/>
      <c r="AI83" s="598"/>
      <c r="AJ83" s="597" t="s">
        <v>340</v>
      </c>
      <c r="AK83" s="598"/>
      <c r="AL83" s="598"/>
      <c r="AM83" s="598"/>
      <c r="AN83" s="598"/>
      <c r="AO83" s="597" t="s">
        <v>341</v>
      </c>
      <c r="AP83" s="598"/>
      <c r="AQ83" s="598"/>
      <c r="AR83" s="598"/>
      <c r="AS83" s="598"/>
      <c r="AT83" s="597" t="s">
        <v>342</v>
      </c>
      <c r="AU83" s="598"/>
      <c r="AV83" s="598"/>
      <c r="AW83" s="598"/>
      <c r="AX83" s="598"/>
    </row>
    <row r="84" spans="2:50">
      <c r="B84" s="590" t="s">
        <v>476</v>
      </c>
      <c r="C84" s="590" t="s">
        <v>477</v>
      </c>
      <c r="D84" s="590"/>
      <c r="E84" s="590" t="s">
        <v>478</v>
      </c>
      <c r="F84" s="590"/>
      <c r="G84" s="590"/>
      <c r="H84" s="606" t="s">
        <v>479</v>
      </c>
      <c r="I84" s="574" t="s">
        <v>480</v>
      </c>
      <c r="J84" s="574"/>
      <c r="K84" s="574"/>
      <c r="L84" s="575" t="s">
        <v>479</v>
      </c>
      <c r="M84" s="581" t="s">
        <v>481</v>
      </c>
      <c r="N84" s="590"/>
      <c r="O84" s="590" t="s">
        <v>482</v>
      </c>
      <c r="P84" s="587" t="s">
        <v>483</v>
      </c>
      <c r="Q84" s="588"/>
      <c r="R84" s="588"/>
      <c r="S84" s="589"/>
      <c r="T84" s="590" t="s">
        <v>479</v>
      </c>
      <c r="U84" s="587" t="s">
        <v>483</v>
      </c>
      <c r="V84" s="588"/>
      <c r="W84" s="588"/>
      <c r="X84" s="589"/>
      <c r="Y84" s="590" t="s">
        <v>479</v>
      </c>
      <c r="Z84" s="587" t="s">
        <v>483</v>
      </c>
      <c r="AA84" s="588"/>
      <c r="AB84" s="588"/>
      <c r="AC84" s="589"/>
      <c r="AD84" s="590" t="s">
        <v>479</v>
      </c>
      <c r="AE84" s="587" t="s">
        <v>483</v>
      </c>
      <c r="AF84" s="588"/>
      <c r="AG84" s="588"/>
      <c r="AH84" s="589"/>
      <c r="AI84" s="590" t="s">
        <v>479</v>
      </c>
      <c r="AJ84" s="587" t="s">
        <v>483</v>
      </c>
      <c r="AK84" s="588"/>
      <c r="AL84" s="588"/>
      <c r="AM84" s="589"/>
      <c r="AN84" s="590" t="s">
        <v>479</v>
      </c>
      <c r="AO84" s="587" t="s">
        <v>483</v>
      </c>
      <c r="AP84" s="588"/>
      <c r="AQ84" s="588"/>
      <c r="AR84" s="589"/>
      <c r="AS84" s="590" t="s">
        <v>479</v>
      </c>
      <c r="AT84" s="587" t="s">
        <v>483</v>
      </c>
      <c r="AU84" s="588"/>
      <c r="AV84" s="588"/>
      <c r="AW84" s="589"/>
      <c r="AX84" s="590" t="s">
        <v>479</v>
      </c>
    </row>
    <row r="85" spans="2:50">
      <c r="B85" s="590"/>
      <c r="C85" s="590"/>
      <c r="D85" s="590"/>
      <c r="E85" s="590" t="s">
        <v>484</v>
      </c>
      <c r="F85" s="590"/>
      <c r="G85" s="590"/>
      <c r="H85" s="607"/>
      <c r="I85" s="574" t="s">
        <v>484</v>
      </c>
      <c r="J85" s="574"/>
      <c r="K85" s="574"/>
      <c r="L85" s="576"/>
      <c r="M85" s="582"/>
      <c r="N85" s="590"/>
      <c r="O85" s="590"/>
      <c r="P85" s="587" t="s">
        <v>485</v>
      </c>
      <c r="Q85" s="588"/>
      <c r="R85" s="588"/>
      <c r="S85" s="589"/>
      <c r="T85" s="590"/>
      <c r="U85" s="587" t="s">
        <v>485</v>
      </c>
      <c r="V85" s="588"/>
      <c r="W85" s="588"/>
      <c r="X85" s="589"/>
      <c r="Y85" s="590"/>
      <c r="Z85" s="587" t="s">
        <v>485</v>
      </c>
      <c r="AA85" s="588"/>
      <c r="AB85" s="588"/>
      <c r="AC85" s="589"/>
      <c r="AD85" s="590"/>
      <c r="AE85" s="587" t="s">
        <v>485</v>
      </c>
      <c r="AF85" s="588"/>
      <c r="AG85" s="588"/>
      <c r="AH85" s="589"/>
      <c r="AI85" s="590"/>
      <c r="AJ85" s="587" t="s">
        <v>485</v>
      </c>
      <c r="AK85" s="588"/>
      <c r="AL85" s="588"/>
      <c r="AM85" s="589"/>
      <c r="AN85" s="590"/>
      <c r="AO85" s="587" t="s">
        <v>485</v>
      </c>
      <c r="AP85" s="588"/>
      <c r="AQ85" s="588"/>
      <c r="AR85" s="589"/>
      <c r="AS85" s="590"/>
      <c r="AT85" s="587" t="s">
        <v>485</v>
      </c>
      <c r="AU85" s="588"/>
      <c r="AV85" s="588"/>
      <c r="AW85" s="589"/>
      <c r="AX85" s="590"/>
    </row>
    <row r="86" spans="2:50">
      <c r="B86" s="590"/>
      <c r="C86" s="590"/>
      <c r="D86" s="590"/>
      <c r="E86" s="307" t="s">
        <v>486</v>
      </c>
      <c r="F86" s="307" t="s">
        <v>487</v>
      </c>
      <c r="G86" s="307" t="s">
        <v>488</v>
      </c>
      <c r="H86" s="608"/>
      <c r="I86" s="309" t="s">
        <v>486</v>
      </c>
      <c r="J86" s="309" t="s">
        <v>487</v>
      </c>
      <c r="K86" s="309" t="s">
        <v>488</v>
      </c>
      <c r="L86" s="577"/>
      <c r="M86" s="583"/>
      <c r="N86" s="590"/>
      <c r="O86" s="590"/>
      <c r="P86" s="307" t="s">
        <v>486</v>
      </c>
      <c r="Q86" s="307" t="s">
        <v>487</v>
      </c>
      <c r="R86" s="307" t="s">
        <v>488</v>
      </c>
      <c r="S86" s="307" t="s">
        <v>481</v>
      </c>
      <c r="T86" s="590"/>
      <c r="U86" s="307" t="s">
        <v>486</v>
      </c>
      <c r="V86" s="307" t="s">
        <v>487</v>
      </c>
      <c r="W86" s="307" t="s">
        <v>488</v>
      </c>
      <c r="X86" s="307" t="s">
        <v>481</v>
      </c>
      <c r="Y86" s="590"/>
      <c r="Z86" s="307" t="s">
        <v>486</v>
      </c>
      <c r="AA86" s="307" t="s">
        <v>487</v>
      </c>
      <c r="AB86" s="307" t="s">
        <v>488</v>
      </c>
      <c r="AC86" s="307" t="s">
        <v>481</v>
      </c>
      <c r="AD86" s="590"/>
      <c r="AE86" s="307" t="s">
        <v>486</v>
      </c>
      <c r="AF86" s="307" t="s">
        <v>487</v>
      </c>
      <c r="AG86" s="307" t="s">
        <v>488</v>
      </c>
      <c r="AH86" s="307" t="s">
        <v>481</v>
      </c>
      <c r="AI86" s="590"/>
      <c r="AJ86" s="307" t="s">
        <v>486</v>
      </c>
      <c r="AK86" s="307" t="s">
        <v>487</v>
      </c>
      <c r="AL86" s="307" t="s">
        <v>488</v>
      </c>
      <c r="AM86" s="307" t="s">
        <v>481</v>
      </c>
      <c r="AN86" s="590"/>
      <c r="AO86" s="307" t="s">
        <v>486</v>
      </c>
      <c r="AP86" s="307" t="s">
        <v>487</v>
      </c>
      <c r="AQ86" s="307" t="s">
        <v>488</v>
      </c>
      <c r="AR86" s="307" t="s">
        <v>481</v>
      </c>
      <c r="AS86" s="590"/>
      <c r="AT86" s="307" t="s">
        <v>486</v>
      </c>
      <c r="AU86" s="307" t="s">
        <v>487</v>
      </c>
      <c r="AV86" s="307" t="s">
        <v>488</v>
      </c>
      <c r="AW86" s="307" t="s">
        <v>481</v>
      </c>
      <c r="AX86" s="590"/>
    </row>
    <row r="87" spans="2:50">
      <c r="B87" s="631" t="s">
        <v>489</v>
      </c>
      <c r="C87" s="306">
        <v>1</v>
      </c>
      <c r="D87" s="378" t="s">
        <v>381</v>
      </c>
      <c r="E87" s="378">
        <v>10</v>
      </c>
      <c r="F87" s="378">
        <v>1500</v>
      </c>
      <c r="G87" s="378">
        <v>150</v>
      </c>
      <c r="H87" s="632">
        <f>AVERAGE(G87:G101)</f>
        <v>181.25</v>
      </c>
      <c r="I87" s="204">
        <f>AVERAGE(P87,U87,Z87,AE87,AJ87,AO87,AT87)</f>
        <v>10</v>
      </c>
      <c r="J87" s="204">
        <f>AVERAGE(Q87,V87,AA87,AF87,AK87,AP87,AU87)</f>
        <v>778.3768167440287</v>
      </c>
      <c r="K87" s="205">
        <f>AVERAGE(R87,W87,AB87,AG87,AL87,AQ87,AV87)</f>
        <v>77.837681674402887</v>
      </c>
      <c r="L87" s="571">
        <f>IFERROR(AVERAGE(K87:K101),"-")</f>
        <v>182.82702524249024</v>
      </c>
      <c r="M87" s="206">
        <f>RANK(K87, K$87:$K$101)</f>
        <v>8</v>
      </c>
      <c r="N87" s="590"/>
      <c r="O87" s="590"/>
      <c r="P87" s="187">
        <v>10</v>
      </c>
      <c r="Q87" s="187">
        <v>1085.6250000000014</v>
      </c>
      <c r="R87" s="187">
        <v>108.56250000000014</v>
      </c>
      <c r="S87" s="306">
        <f>RANK(R87, R$87:R$101)</f>
        <v>6</v>
      </c>
      <c r="T87" s="629">
        <f>AVERAGE(R87:R101)</f>
        <v>188.14265148717072</v>
      </c>
      <c r="U87" s="187">
        <v>10</v>
      </c>
      <c r="V87" s="187">
        <v>1214.0000000000011</v>
      </c>
      <c r="W87" s="187">
        <v>121.40000000000012</v>
      </c>
      <c r="X87" s="306">
        <f>RANK(W87, W$87:W$101)</f>
        <v>6</v>
      </c>
      <c r="Y87" s="629">
        <f>AVERAGE(W87:W101)</f>
        <v>193.55365340813464</v>
      </c>
      <c r="Z87" s="187">
        <v>10</v>
      </c>
      <c r="AA87" s="187">
        <v>621.81818181818221</v>
      </c>
      <c r="AB87" s="187">
        <v>62.181818181818223</v>
      </c>
      <c r="AC87" s="306">
        <f>RANK(AB87, AB$87:AB$101)</f>
        <v>8</v>
      </c>
      <c r="AD87" s="629">
        <f>AVERAGE(AB87:AB101)</f>
        <v>170.8665034965035</v>
      </c>
      <c r="AE87" s="187">
        <v>10</v>
      </c>
      <c r="AF87" s="187">
        <v>619.53488372093011</v>
      </c>
      <c r="AG87" s="187">
        <v>61.953488372093013</v>
      </c>
      <c r="AH87" s="306">
        <f>RANK(AG87, AG$87:AG$101)</f>
        <v>8</v>
      </c>
      <c r="AI87" s="629">
        <f>AVERAGE(AG87:AG101)</f>
        <v>181.82633445366005</v>
      </c>
      <c r="AJ87" s="187">
        <v>10</v>
      </c>
      <c r="AK87" s="187">
        <v>638.46153846153811</v>
      </c>
      <c r="AL87" s="187">
        <v>63.846153846153811</v>
      </c>
      <c r="AM87" s="306">
        <f>RANK(AL87, AL$87:AL$101)</f>
        <v>8</v>
      </c>
      <c r="AN87" s="629">
        <f>AVERAGE(AL87:AL101)</f>
        <v>177.79272380558717</v>
      </c>
      <c r="AO87" s="187">
        <v>10</v>
      </c>
      <c r="AP87" s="187">
        <v>637.50000000000057</v>
      </c>
      <c r="AQ87" s="187">
        <v>63.750000000000057</v>
      </c>
      <c r="AR87" s="306">
        <f>RANK(AQ87, AQ$87:AQ$101)</f>
        <v>8</v>
      </c>
      <c r="AS87" s="629">
        <f>AVERAGE(AQ87:AQ101)</f>
        <v>185.16073564593313</v>
      </c>
      <c r="AT87" s="187">
        <v>10</v>
      </c>
      <c r="AU87" s="187">
        <v>631.69811320754752</v>
      </c>
      <c r="AV87" s="187">
        <v>63.169811320754754</v>
      </c>
      <c r="AW87" s="306">
        <f>RANK(AV87, AV$87:AV$101)</f>
        <v>8</v>
      </c>
      <c r="AX87" s="629">
        <f>AVERAGE(AV87:AV101)</f>
        <v>182.44657440044236</v>
      </c>
    </row>
    <row r="88" spans="2:50">
      <c r="B88" s="598"/>
      <c r="C88" s="306">
        <v>2</v>
      </c>
      <c r="D88" s="378" t="s">
        <v>382</v>
      </c>
      <c r="E88" s="378">
        <v>15</v>
      </c>
      <c r="F88" s="378">
        <v>1800</v>
      </c>
      <c r="G88" s="378">
        <v>120</v>
      </c>
      <c r="H88" s="633"/>
      <c r="I88" s="204">
        <f t="shared" ref="I88:I93" si="42">AVERAGE(P88,U88,Z88,AE88,AJ88,AO88,AT88)</f>
        <v>12.285714285714286</v>
      </c>
      <c r="J88" s="204">
        <f t="shared" ref="J88:J93" si="43">AVERAGE(Q88,V88,AA88,AF88,AK88,AP88,AU88)</f>
        <v>1825.2666666666657</v>
      </c>
      <c r="K88" s="205">
        <f t="shared" ref="K88:K93" si="44">AVERAGE(R88,W88,AB88,AG88,AL88,AQ88,AV88)</f>
        <v>148.75170940170932</v>
      </c>
      <c r="L88" s="572"/>
      <c r="M88" s="206">
        <f>RANK(K88, K$87:$K$101)</f>
        <v>4</v>
      </c>
      <c r="N88" s="590"/>
      <c r="O88" s="590"/>
      <c r="P88" s="187">
        <v>12</v>
      </c>
      <c r="Q88" s="187">
        <v>1828.8000000000004</v>
      </c>
      <c r="R88" s="187">
        <v>152.40000000000003</v>
      </c>
      <c r="S88" s="306">
        <f t="shared" ref="S88:S101" si="45">RANK(R88, R$87:R$101)</f>
        <v>4</v>
      </c>
      <c r="T88" s="629"/>
      <c r="U88" s="187">
        <v>12</v>
      </c>
      <c r="V88" s="187">
        <v>1846.7999999999947</v>
      </c>
      <c r="W88" s="187">
        <v>153.89999999999955</v>
      </c>
      <c r="X88" s="306">
        <f t="shared" ref="X88:X101" si="46">RANK(W88, W$87:W$101)</f>
        <v>5</v>
      </c>
      <c r="Y88" s="629"/>
      <c r="Z88" s="187">
        <v>13</v>
      </c>
      <c r="AA88" s="187">
        <v>1837.2000000000005</v>
      </c>
      <c r="AB88" s="187">
        <v>141.32307692307697</v>
      </c>
      <c r="AC88" s="306">
        <f t="shared" ref="AC88:AC101" si="47">RANK(AB88, AB$87:AB$101)</f>
        <v>4</v>
      </c>
      <c r="AD88" s="629"/>
      <c r="AE88" s="187">
        <v>12</v>
      </c>
      <c r="AF88" s="187">
        <v>1738.6666666666667</v>
      </c>
      <c r="AG88" s="187">
        <v>144.88888888888889</v>
      </c>
      <c r="AH88" s="306">
        <f t="shared" ref="AH88:AH101" si="48">RANK(AG88, AG$87:AG$101)</f>
        <v>5</v>
      </c>
      <c r="AI88" s="629"/>
      <c r="AJ88" s="187">
        <v>12</v>
      </c>
      <c r="AK88" s="187">
        <v>1820.9999999999955</v>
      </c>
      <c r="AL88" s="187">
        <v>151.74999999999963</v>
      </c>
      <c r="AM88" s="306">
        <f t="shared" ref="AM88:AM101" si="49">RANK(AL88, AL$87:AL$101)</f>
        <v>4</v>
      </c>
      <c r="AN88" s="629"/>
      <c r="AO88" s="187">
        <v>12</v>
      </c>
      <c r="AP88" s="187">
        <v>1879.2000000000005</v>
      </c>
      <c r="AQ88" s="187">
        <v>156.60000000000005</v>
      </c>
      <c r="AR88" s="306">
        <f t="shared" ref="AR88:AR101" si="50">RANK(AQ88, AQ$87:AQ$101)</f>
        <v>4</v>
      </c>
      <c r="AS88" s="629"/>
      <c r="AT88" s="187">
        <v>13</v>
      </c>
      <c r="AU88" s="187">
        <v>1825.2000000000005</v>
      </c>
      <c r="AV88" s="187">
        <v>140.40000000000003</v>
      </c>
      <c r="AW88" s="306">
        <f t="shared" ref="AW88:AW101" si="51">RANK(AV88, AV$87:AV$101)</f>
        <v>4</v>
      </c>
      <c r="AX88" s="629"/>
    </row>
    <row r="89" spans="2:50">
      <c r="B89" s="598"/>
      <c r="C89" s="306">
        <v>3</v>
      </c>
      <c r="D89" s="378" t="s">
        <v>383</v>
      </c>
      <c r="E89" s="378">
        <v>15</v>
      </c>
      <c r="F89" s="378">
        <v>1800</v>
      </c>
      <c r="G89" s="378">
        <v>120</v>
      </c>
      <c r="H89" s="633"/>
      <c r="I89" s="204">
        <f t="shared" si="42"/>
        <v>12.285714285714286</v>
      </c>
      <c r="J89" s="204">
        <f t="shared" si="43"/>
        <v>1779.066666666668</v>
      </c>
      <c r="K89" s="205">
        <f t="shared" si="44"/>
        <v>145.01989121989135</v>
      </c>
      <c r="L89" s="572"/>
      <c r="M89" s="206">
        <f>RANK(K89, K$87:$K$101)</f>
        <v>5</v>
      </c>
      <c r="N89" s="590"/>
      <c r="O89" s="590"/>
      <c r="P89" s="187">
        <v>12</v>
      </c>
      <c r="Q89" s="187">
        <v>1745.4545454545519</v>
      </c>
      <c r="R89" s="187">
        <v>145.45454545454598</v>
      </c>
      <c r="S89" s="306">
        <f t="shared" si="45"/>
        <v>5</v>
      </c>
      <c r="T89" s="629"/>
      <c r="U89" s="187">
        <v>12</v>
      </c>
      <c r="V89" s="187">
        <v>1857.6000000000067</v>
      </c>
      <c r="W89" s="187">
        <v>154.80000000000055</v>
      </c>
      <c r="X89" s="306">
        <f t="shared" si="46"/>
        <v>4</v>
      </c>
      <c r="Y89" s="629"/>
      <c r="Z89" s="187">
        <v>13</v>
      </c>
      <c r="AA89" s="187">
        <v>1722.5454545454506</v>
      </c>
      <c r="AB89" s="187">
        <v>132.50349650349619</v>
      </c>
      <c r="AC89" s="306">
        <f t="shared" si="47"/>
        <v>5</v>
      </c>
      <c r="AD89" s="629"/>
      <c r="AE89" s="187">
        <v>12</v>
      </c>
      <c r="AF89" s="187">
        <v>1768</v>
      </c>
      <c r="AG89" s="187">
        <v>147.33333333333334</v>
      </c>
      <c r="AH89" s="306">
        <f t="shared" si="48"/>
        <v>4</v>
      </c>
      <c r="AI89" s="629"/>
      <c r="AJ89" s="187">
        <v>12</v>
      </c>
      <c r="AK89" s="187">
        <v>1674.6666666666667</v>
      </c>
      <c r="AL89" s="187">
        <v>139.55555555555557</v>
      </c>
      <c r="AM89" s="306">
        <f t="shared" si="49"/>
        <v>5</v>
      </c>
      <c r="AN89" s="629"/>
      <c r="AO89" s="187">
        <v>12</v>
      </c>
      <c r="AP89" s="187">
        <v>1874.4000000000005</v>
      </c>
      <c r="AQ89" s="187">
        <v>156.20000000000005</v>
      </c>
      <c r="AR89" s="306">
        <f t="shared" si="50"/>
        <v>5</v>
      </c>
      <c r="AS89" s="629"/>
      <c r="AT89" s="187">
        <v>13</v>
      </c>
      <c r="AU89" s="187">
        <v>1810.8000000000004</v>
      </c>
      <c r="AV89" s="187">
        <v>139.29230769230773</v>
      </c>
      <c r="AW89" s="306">
        <f t="shared" si="51"/>
        <v>5</v>
      </c>
      <c r="AX89" s="629"/>
    </row>
    <row r="90" spans="2:50">
      <c r="B90" s="598"/>
      <c r="C90" s="306">
        <v>4</v>
      </c>
      <c r="D90" s="378" t="s">
        <v>789</v>
      </c>
      <c r="E90" s="378">
        <v>5</v>
      </c>
      <c r="F90" s="378">
        <v>1500</v>
      </c>
      <c r="G90" s="378">
        <v>300</v>
      </c>
      <c r="H90" s="633"/>
      <c r="I90" s="204">
        <f t="shared" si="42"/>
        <v>5</v>
      </c>
      <c r="J90" s="204">
        <f t="shared" si="43"/>
        <v>1495.08444578443</v>
      </c>
      <c r="K90" s="205">
        <f t="shared" si="44"/>
        <v>299.01688915688607</v>
      </c>
      <c r="L90" s="572"/>
      <c r="M90" s="206">
        <f>RANK(K90, K$87:$K$101)</f>
        <v>2</v>
      </c>
      <c r="N90" s="590"/>
      <c r="O90" s="590"/>
      <c r="P90" s="187">
        <v>5</v>
      </c>
      <c r="Q90" s="187">
        <v>1503.7894736842102</v>
      </c>
      <c r="R90" s="187">
        <v>300.75789473684205</v>
      </c>
      <c r="S90" s="306">
        <f t="shared" si="45"/>
        <v>2</v>
      </c>
      <c r="T90" s="629"/>
      <c r="U90" s="187">
        <v>5</v>
      </c>
      <c r="V90" s="187">
        <v>1496.2886597938143</v>
      </c>
      <c r="W90" s="187">
        <v>299.25773195876286</v>
      </c>
      <c r="X90" s="306">
        <f t="shared" si="46"/>
        <v>2</v>
      </c>
      <c r="Y90" s="629"/>
      <c r="Z90" s="187">
        <v>5</v>
      </c>
      <c r="AA90" s="187">
        <v>1485</v>
      </c>
      <c r="AB90" s="187">
        <v>297</v>
      </c>
      <c r="AC90" s="306">
        <f t="shared" si="47"/>
        <v>1</v>
      </c>
      <c r="AD90" s="629"/>
      <c r="AE90" s="187">
        <v>5</v>
      </c>
      <c r="AF90" s="187">
        <v>1555.6363636363633</v>
      </c>
      <c r="AG90" s="187">
        <v>311.12727272727267</v>
      </c>
      <c r="AH90" s="306">
        <f t="shared" si="48"/>
        <v>1</v>
      </c>
      <c r="AI90" s="629"/>
      <c r="AJ90" s="187">
        <v>5</v>
      </c>
      <c r="AK90" s="187">
        <v>1429.090909090909</v>
      </c>
      <c r="AL90" s="187">
        <v>285.81818181818181</v>
      </c>
      <c r="AM90" s="306">
        <f t="shared" si="49"/>
        <v>3</v>
      </c>
      <c r="AN90" s="629"/>
      <c r="AO90" s="187">
        <v>5</v>
      </c>
      <c r="AP90" s="187">
        <v>1499.0000000000002</v>
      </c>
      <c r="AQ90" s="187">
        <v>299.80000000000007</v>
      </c>
      <c r="AR90" s="306">
        <f t="shared" si="50"/>
        <v>3</v>
      </c>
      <c r="AS90" s="629"/>
      <c r="AT90" s="187">
        <v>5</v>
      </c>
      <c r="AU90" s="187">
        <v>1496.7857142857144</v>
      </c>
      <c r="AV90" s="187">
        <v>299.35714285714289</v>
      </c>
      <c r="AW90" s="306">
        <f t="shared" si="51"/>
        <v>2</v>
      </c>
      <c r="AX90" s="629"/>
    </row>
    <row r="91" spans="2:50">
      <c r="B91" s="598"/>
      <c r="C91" s="306">
        <v>5</v>
      </c>
      <c r="D91" s="378" t="s">
        <v>691</v>
      </c>
      <c r="E91" s="378">
        <v>5</v>
      </c>
      <c r="F91" s="378">
        <v>1500</v>
      </c>
      <c r="G91" s="378">
        <v>300</v>
      </c>
      <c r="H91" s="633"/>
      <c r="I91" s="204">
        <f t="shared" si="42"/>
        <v>5</v>
      </c>
      <c r="J91" s="204">
        <f t="shared" si="43"/>
        <v>1510.891738825959</v>
      </c>
      <c r="K91" s="205">
        <f t="shared" si="44"/>
        <v>302.17834776519169</v>
      </c>
      <c r="L91" s="572"/>
      <c r="M91" s="206">
        <f>RANK(K91, K$87:$K$101)</f>
        <v>1</v>
      </c>
      <c r="N91" s="590"/>
      <c r="O91" s="590"/>
      <c r="P91" s="187">
        <v>5</v>
      </c>
      <c r="Q91" s="187">
        <v>1482.7272727272727</v>
      </c>
      <c r="R91" s="187">
        <v>296.54545454545456</v>
      </c>
      <c r="S91" s="306">
        <f t="shared" si="45"/>
        <v>3</v>
      </c>
      <c r="T91" s="629"/>
      <c r="U91" s="187">
        <v>5</v>
      </c>
      <c r="V91" s="187">
        <v>1468.57142857143</v>
      </c>
      <c r="W91" s="187">
        <v>293.71428571428601</v>
      </c>
      <c r="X91" s="306">
        <f t="shared" si="46"/>
        <v>3</v>
      </c>
      <c r="Y91" s="629"/>
      <c r="Z91" s="187">
        <v>5</v>
      </c>
      <c r="AA91" s="187">
        <v>1438.0000000000002</v>
      </c>
      <c r="AB91" s="187">
        <v>287.60000000000002</v>
      </c>
      <c r="AC91" s="306">
        <f t="shared" si="47"/>
        <v>2</v>
      </c>
      <c r="AD91" s="629"/>
      <c r="AE91" s="187">
        <v>5</v>
      </c>
      <c r="AF91" s="187">
        <v>1498.8461538461534</v>
      </c>
      <c r="AG91" s="187">
        <v>299.76923076923066</v>
      </c>
      <c r="AH91" s="306">
        <f t="shared" si="48"/>
        <v>3</v>
      </c>
      <c r="AI91" s="629"/>
      <c r="AJ91" s="187">
        <v>5</v>
      </c>
      <c r="AK91" s="187">
        <v>1544.6511627906991</v>
      </c>
      <c r="AL91" s="187">
        <v>308.93023255813983</v>
      </c>
      <c r="AM91" s="306">
        <f t="shared" si="49"/>
        <v>1</v>
      </c>
      <c r="AN91" s="629"/>
      <c r="AO91" s="187">
        <v>5</v>
      </c>
      <c r="AP91" s="187">
        <v>1543.8461538461556</v>
      </c>
      <c r="AQ91" s="187">
        <v>308.76923076923111</v>
      </c>
      <c r="AR91" s="306">
        <f t="shared" si="50"/>
        <v>1</v>
      </c>
      <c r="AS91" s="629"/>
      <c r="AT91" s="187">
        <v>5</v>
      </c>
      <c r="AU91" s="187">
        <v>1599.5999999999995</v>
      </c>
      <c r="AV91" s="187">
        <v>319.9199999999999</v>
      </c>
      <c r="AW91" s="306">
        <f t="shared" si="51"/>
        <v>1</v>
      </c>
      <c r="AX91" s="629"/>
    </row>
    <row r="92" spans="2:50">
      <c r="B92" s="598"/>
      <c r="C92" s="306">
        <v>6</v>
      </c>
      <c r="D92" s="378" t="s">
        <v>659</v>
      </c>
      <c r="E92" s="378">
        <v>5</v>
      </c>
      <c r="F92" s="378">
        <v>1500</v>
      </c>
      <c r="G92" s="378">
        <v>300</v>
      </c>
      <c r="H92" s="633"/>
      <c r="I92" s="204">
        <f t="shared" si="42"/>
        <v>5</v>
      </c>
      <c r="J92" s="204">
        <f t="shared" si="43"/>
        <v>1491.6161480475039</v>
      </c>
      <c r="K92" s="205">
        <f t="shared" si="44"/>
        <v>298.32322960950074</v>
      </c>
      <c r="L92" s="572"/>
      <c r="M92" s="206">
        <f>RANK(K92, K$87:$K$101)</f>
        <v>3</v>
      </c>
      <c r="N92" s="590"/>
      <c r="O92" s="590"/>
      <c r="P92" s="187">
        <v>5</v>
      </c>
      <c r="Q92" s="187">
        <v>1573.1707317073167</v>
      </c>
      <c r="R92" s="187">
        <v>314.63414634146335</v>
      </c>
      <c r="S92" s="306">
        <f t="shared" si="45"/>
        <v>1</v>
      </c>
      <c r="T92" s="629"/>
      <c r="U92" s="187">
        <v>5</v>
      </c>
      <c r="V92" s="187">
        <v>1700.0000000000023</v>
      </c>
      <c r="W92" s="187">
        <v>340.00000000000045</v>
      </c>
      <c r="X92" s="306">
        <f t="shared" si="46"/>
        <v>1</v>
      </c>
      <c r="Y92" s="629"/>
      <c r="Z92" s="187">
        <v>5</v>
      </c>
      <c r="AA92" s="187">
        <v>1144.8000000000004</v>
      </c>
      <c r="AB92" s="187">
        <v>228.96000000000009</v>
      </c>
      <c r="AC92" s="306">
        <f t="shared" si="47"/>
        <v>3</v>
      </c>
      <c r="AD92" s="629"/>
      <c r="AE92" s="187">
        <v>5</v>
      </c>
      <c r="AF92" s="187">
        <v>1541.8181818181833</v>
      </c>
      <c r="AG92" s="187">
        <v>308.36363636363666</v>
      </c>
      <c r="AH92" s="306">
        <f t="shared" si="48"/>
        <v>2</v>
      </c>
      <c r="AI92" s="629"/>
      <c r="AJ92" s="187">
        <v>5</v>
      </c>
      <c r="AK92" s="187">
        <v>1456.8750000000018</v>
      </c>
      <c r="AL92" s="187">
        <v>291.37500000000034</v>
      </c>
      <c r="AM92" s="306">
        <f t="shared" si="49"/>
        <v>2</v>
      </c>
      <c r="AN92" s="629"/>
      <c r="AO92" s="187">
        <v>5</v>
      </c>
      <c r="AP92" s="187">
        <v>1536.3157894736864</v>
      </c>
      <c r="AQ92" s="187">
        <v>307.26315789473728</v>
      </c>
      <c r="AR92" s="306">
        <f t="shared" si="50"/>
        <v>2</v>
      </c>
      <c r="AS92" s="629"/>
      <c r="AT92" s="187">
        <v>5</v>
      </c>
      <c r="AU92" s="187">
        <v>1488.3333333333353</v>
      </c>
      <c r="AV92" s="187">
        <v>297.66666666666708</v>
      </c>
      <c r="AW92" s="306">
        <f t="shared" si="51"/>
        <v>3</v>
      </c>
      <c r="AX92" s="629"/>
    </row>
    <row r="93" spans="2:50">
      <c r="B93" s="598"/>
      <c r="C93" s="306">
        <v>7</v>
      </c>
      <c r="D93" s="378" t="s">
        <v>790</v>
      </c>
      <c r="E93" s="378">
        <v>15</v>
      </c>
      <c r="F93" s="378">
        <v>1200</v>
      </c>
      <c r="G93" s="378">
        <v>80</v>
      </c>
      <c r="H93" s="633"/>
      <c r="I93" s="204">
        <f t="shared" si="42"/>
        <v>12.714285714285714</v>
      </c>
      <c r="J93" s="204">
        <f t="shared" si="43"/>
        <v>1228.8695374800643</v>
      </c>
      <c r="K93" s="205">
        <f t="shared" si="44"/>
        <v>96.924363355942319</v>
      </c>
      <c r="L93" s="572"/>
      <c r="M93" s="206">
        <f>RANK(K93, K$87:$K$101)</f>
        <v>6</v>
      </c>
      <c r="N93" s="590"/>
      <c r="O93" s="590"/>
      <c r="P93" s="187">
        <v>13</v>
      </c>
      <c r="Q93" s="187">
        <v>1220.8421052631593</v>
      </c>
      <c r="R93" s="187">
        <v>93.910931174089171</v>
      </c>
      <c r="S93" s="306">
        <f t="shared" si="45"/>
        <v>7</v>
      </c>
      <c r="T93" s="629"/>
      <c r="U93" s="187">
        <v>13</v>
      </c>
      <c r="V93" s="187">
        <v>1198.1052631578939</v>
      </c>
      <c r="W93" s="187">
        <v>92.161943319837988</v>
      </c>
      <c r="X93" s="306">
        <f t="shared" si="46"/>
        <v>8</v>
      </c>
      <c r="Y93" s="629"/>
      <c r="Z93" s="187">
        <v>12</v>
      </c>
      <c r="AA93" s="187">
        <v>1420.3636363636374</v>
      </c>
      <c r="AB93" s="187">
        <v>118.36363636363645</v>
      </c>
      <c r="AC93" s="306">
        <f t="shared" si="47"/>
        <v>6</v>
      </c>
      <c r="AD93" s="629"/>
      <c r="AE93" s="187">
        <v>13</v>
      </c>
      <c r="AF93" s="187">
        <v>1186.9090909090917</v>
      </c>
      <c r="AG93" s="187">
        <v>91.300699300699364</v>
      </c>
      <c r="AH93" s="306">
        <f t="shared" si="48"/>
        <v>6</v>
      </c>
      <c r="AI93" s="629"/>
      <c r="AJ93" s="187">
        <v>13</v>
      </c>
      <c r="AK93" s="187">
        <v>1142.6666666666667</v>
      </c>
      <c r="AL93" s="187">
        <v>87.897435897435898</v>
      </c>
      <c r="AM93" s="306">
        <f t="shared" si="49"/>
        <v>7</v>
      </c>
      <c r="AN93" s="629"/>
      <c r="AO93" s="187">
        <v>13</v>
      </c>
      <c r="AP93" s="187">
        <v>1237.2000000000003</v>
      </c>
      <c r="AQ93" s="187">
        <v>95.169230769230793</v>
      </c>
      <c r="AR93" s="306">
        <f t="shared" si="50"/>
        <v>6</v>
      </c>
      <c r="AS93" s="629"/>
      <c r="AT93" s="187">
        <v>12</v>
      </c>
      <c r="AU93" s="187">
        <v>1196</v>
      </c>
      <c r="AV93" s="187">
        <v>99.666666666666671</v>
      </c>
      <c r="AW93" s="306">
        <f t="shared" si="51"/>
        <v>7</v>
      </c>
      <c r="AX93" s="629"/>
    </row>
    <row r="94" spans="2:50">
      <c r="B94" s="598"/>
      <c r="C94" s="306">
        <v>8</v>
      </c>
      <c r="D94" s="378" t="s">
        <v>801</v>
      </c>
      <c r="E94" s="378">
        <v>15</v>
      </c>
      <c r="F94" s="378">
        <v>1200</v>
      </c>
      <c r="G94" s="378">
        <v>80</v>
      </c>
      <c r="H94" s="633"/>
      <c r="I94" s="494">
        <f t="shared" ref="I94" si="52">AVERAGE(P94,U94,Z94,AE94,AJ94,AO94,AT94)</f>
        <v>12.714285714285714</v>
      </c>
      <c r="J94" s="494">
        <f t="shared" ref="J94" si="53">AVERAGE(Q94,V94,AA94,AF94,AK94,AP94,AU94)</f>
        <v>1200.8903096903093</v>
      </c>
      <c r="K94" s="205">
        <f t="shared" ref="K94" si="54">AVERAGE(R94,W94,AB94,AG94,AL94,AQ94,AV94)</f>
        <v>94.564089756397451</v>
      </c>
      <c r="L94" s="572"/>
      <c r="M94" s="206">
        <f>RANK(K94, K$87:$K$101)</f>
        <v>7</v>
      </c>
      <c r="N94" s="590"/>
      <c r="O94" s="590"/>
      <c r="P94" s="187">
        <v>13</v>
      </c>
      <c r="Q94" s="187">
        <v>1207.3846153846159</v>
      </c>
      <c r="R94" s="187">
        <v>92.875739644970452</v>
      </c>
      <c r="S94" s="306">
        <f t="shared" si="45"/>
        <v>8</v>
      </c>
      <c r="T94" s="629"/>
      <c r="U94" s="187">
        <v>13</v>
      </c>
      <c r="V94" s="187">
        <v>1211.5384615384612</v>
      </c>
      <c r="W94" s="187">
        <v>93.195266272189329</v>
      </c>
      <c r="X94" s="306">
        <f t="shared" si="46"/>
        <v>7</v>
      </c>
      <c r="Y94" s="629"/>
      <c r="Z94" s="187">
        <v>12</v>
      </c>
      <c r="AA94" s="187">
        <v>1187.9999999999993</v>
      </c>
      <c r="AB94" s="187">
        <v>98.999999999999943</v>
      </c>
      <c r="AC94" s="306">
        <f t="shared" si="47"/>
        <v>7</v>
      </c>
      <c r="AD94" s="629"/>
      <c r="AE94" s="187">
        <v>13</v>
      </c>
      <c r="AF94" s="187">
        <v>1168.363636363636</v>
      </c>
      <c r="AG94" s="187">
        <v>89.874125874125852</v>
      </c>
      <c r="AH94" s="306">
        <f t="shared" si="48"/>
        <v>7</v>
      </c>
      <c r="AI94" s="629"/>
      <c r="AJ94" s="187">
        <v>13</v>
      </c>
      <c r="AK94" s="187">
        <v>1211.2000000000005</v>
      </c>
      <c r="AL94" s="187">
        <v>93.169230769230808</v>
      </c>
      <c r="AM94" s="306">
        <f t="shared" si="49"/>
        <v>6</v>
      </c>
      <c r="AN94" s="629"/>
      <c r="AO94" s="187">
        <v>13</v>
      </c>
      <c r="AP94" s="187">
        <v>1218.5454545454536</v>
      </c>
      <c r="AQ94" s="187">
        <v>93.734265734265662</v>
      </c>
      <c r="AR94" s="306">
        <f t="shared" si="50"/>
        <v>7</v>
      </c>
      <c r="AS94" s="629"/>
      <c r="AT94" s="187">
        <v>12</v>
      </c>
      <c r="AU94" s="187">
        <v>1201.1999999999996</v>
      </c>
      <c r="AV94" s="187">
        <v>100.09999999999997</v>
      </c>
      <c r="AW94" s="306">
        <f t="shared" si="51"/>
        <v>6</v>
      </c>
      <c r="AX94" s="629"/>
    </row>
    <row r="95" spans="2:50">
      <c r="B95" s="598"/>
      <c r="C95" s="306">
        <v>9</v>
      </c>
      <c r="D95" s="378"/>
      <c r="E95" s="378"/>
      <c r="F95" s="378"/>
      <c r="G95" s="378"/>
      <c r="H95" s="633"/>
      <c r="I95" s="204"/>
      <c r="J95" s="204"/>
      <c r="K95" s="205"/>
      <c r="L95" s="572"/>
      <c r="M95" s="206" t="e">
        <f>RANK(K95, K$87:$K$101)</f>
        <v>#N/A</v>
      </c>
      <c r="N95" s="590"/>
      <c r="O95" s="590"/>
      <c r="P95" s="378"/>
      <c r="Q95" s="187"/>
      <c r="R95" s="379"/>
      <c r="S95" s="306" t="e">
        <f t="shared" si="45"/>
        <v>#N/A</v>
      </c>
      <c r="T95" s="629"/>
      <c r="U95" s="378"/>
      <c r="V95" s="187"/>
      <c r="W95" s="379"/>
      <c r="X95" s="306" t="e">
        <f t="shared" si="46"/>
        <v>#N/A</v>
      </c>
      <c r="Y95" s="629"/>
      <c r="Z95" s="378"/>
      <c r="AA95" s="187"/>
      <c r="AB95" s="379"/>
      <c r="AC95" s="306" t="e">
        <f t="shared" si="47"/>
        <v>#N/A</v>
      </c>
      <c r="AD95" s="629"/>
      <c r="AE95" s="378"/>
      <c r="AF95" s="187"/>
      <c r="AG95" s="379"/>
      <c r="AH95" s="306" t="e">
        <f t="shared" si="48"/>
        <v>#N/A</v>
      </c>
      <c r="AI95" s="629"/>
      <c r="AJ95" s="378"/>
      <c r="AK95" s="187"/>
      <c r="AL95" s="379"/>
      <c r="AM95" s="306" t="e">
        <f t="shared" si="49"/>
        <v>#N/A</v>
      </c>
      <c r="AN95" s="629"/>
      <c r="AO95" s="378"/>
      <c r="AP95" s="187"/>
      <c r="AQ95" s="379"/>
      <c r="AR95" s="306" t="e">
        <f t="shared" si="50"/>
        <v>#N/A</v>
      </c>
      <c r="AS95" s="629"/>
      <c r="AT95" s="378"/>
      <c r="AU95" s="187"/>
      <c r="AV95" s="379"/>
      <c r="AW95" s="306" t="e">
        <f t="shared" si="51"/>
        <v>#N/A</v>
      </c>
      <c r="AX95" s="629"/>
    </row>
    <row r="96" spans="2:50">
      <c r="B96" s="598"/>
      <c r="C96" s="306">
        <v>10</v>
      </c>
      <c r="D96" s="378"/>
      <c r="E96" s="378"/>
      <c r="F96" s="378"/>
      <c r="G96" s="378"/>
      <c r="H96" s="633"/>
      <c r="I96" s="204"/>
      <c r="J96" s="204"/>
      <c r="K96" s="205"/>
      <c r="L96" s="572"/>
      <c r="M96" s="206" t="e">
        <f>RANK(K96, K$87:$K$101)</f>
        <v>#N/A</v>
      </c>
      <c r="N96" s="590"/>
      <c r="O96" s="590"/>
      <c r="P96" s="378"/>
      <c r="Q96" s="187"/>
      <c r="R96" s="379"/>
      <c r="S96" s="306" t="e">
        <f t="shared" si="45"/>
        <v>#N/A</v>
      </c>
      <c r="T96" s="629"/>
      <c r="U96" s="378"/>
      <c r="V96" s="187"/>
      <c r="W96" s="379"/>
      <c r="X96" s="306" t="e">
        <f t="shared" si="46"/>
        <v>#N/A</v>
      </c>
      <c r="Y96" s="629"/>
      <c r="Z96" s="378"/>
      <c r="AA96" s="187"/>
      <c r="AB96" s="379"/>
      <c r="AC96" s="306" t="e">
        <f t="shared" si="47"/>
        <v>#N/A</v>
      </c>
      <c r="AD96" s="629"/>
      <c r="AE96" s="378"/>
      <c r="AF96" s="187"/>
      <c r="AG96" s="379"/>
      <c r="AH96" s="306" t="e">
        <f t="shared" si="48"/>
        <v>#N/A</v>
      </c>
      <c r="AI96" s="629"/>
      <c r="AJ96" s="378"/>
      <c r="AK96" s="187"/>
      <c r="AL96" s="379"/>
      <c r="AM96" s="306" t="e">
        <f t="shared" si="49"/>
        <v>#N/A</v>
      </c>
      <c r="AN96" s="629"/>
      <c r="AO96" s="378"/>
      <c r="AP96" s="187"/>
      <c r="AQ96" s="379"/>
      <c r="AR96" s="306" t="e">
        <f t="shared" si="50"/>
        <v>#N/A</v>
      </c>
      <c r="AS96" s="629"/>
      <c r="AT96" s="378"/>
      <c r="AU96" s="187"/>
      <c r="AV96" s="379"/>
      <c r="AW96" s="306" t="e">
        <f t="shared" si="51"/>
        <v>#N/A</v>
      </c>
      <c r="AX96" s="629"/>
    </row>
    <row r="97" spans="2:50">
      <c r="B97" s="598"/>
      <c r="C97" s="306">
        <v>11</v>
      </c>
      <c r="D97" s="378"/>
      <c r="E97" s="378"/>
      <c r="F97" s="378"/>
      <c r="G97" s="378"/>
      <c r="H97" s="633"/>
      <c r="I97" s="207"/>
      <c r="J97" s="207"/>
      <c r="K97" s="207"/>
      <c r="L97" s="572"/>
      <c r="M97" s="206" t="e">
        <f>RANK(K97, K$87:$K$101)</f>
        <v>#N/A</v>
      </c>
      <c r="N97" s="590"/>
      <c r="O97" s="590"/>
      <c r="P97" s="378"/>
      <c r="Q97" s="378"/>
      <c r="R97" s="378"/>
      <c r="S97" s="306" t="e">
        <f t="shared" si="45"/>
        <v>#N/A</v>
      </c>
      <c r="T97" s="629"/>
      <c r="U97" s="378"/>
      <c r="V97" s="378"/>
      <c r="W97" s="378"/>
      <c r="X97" s="306" t="e">
        <f t="shared" si="46"/>
        <v>#N/A</v>
      </c>
      <c r="Y97" s="629"/>
      <c r="Z97" s="378"/>
      <c r="AA97" s="378"/>
      <c r="AB97" s="378"/>
      <c r="AC97" s="306" t="e">
        <f t="shared" si="47"/>
        <v>#N/A</v>
      </c>
      <c r="AD97" s="629"/>
      <c r="AE97" s="378"/>
      <c r="AF97" s="378"/>
      <c r="AG97" s="378"/>
      <c r="AH97" s="306" t="e">
        <f t="shared" si="48"/>
        <v>#N/A</v>
      </c>
      <c r="AI97" s="629"/>
      <c r="AJ97" s="378"/>
      <c r="AK97" s="378"/>
      <c r="AL97" s="378"/>
      <c r="AM97" s="306" t="e">
        <f t="shared" si="49"/>
        <v>#N/A</v>
      </c>
      <c r="AN97" s="629"/>
      <c r="AO97" s="378"/>
      <c r="AP97" s="378"/>
      <c r="AQ97" s="378"/>
      <c r="AR97" s="306" t="e">
        <f t="shared" si="50"/>
        <v>#N/A</v>
      </c>
      <c r="AS97" s="629"/>
      <c r="AT97" s="378"/>
      <c r="AU97" s="378"/>
      <c r="AV97" s="378"/>
      <c r="AW97" s="306" t="e">
        <f t="shared" si="51"/>
        <v>#N/A</v>
      </c>
      <c r="AX97" s="629"/>
    </row>
    <row r="98" spans="2:50">
      <c r="B98" s="598"/>
      <c r="C98" s="306">
        <v>12</v>
      </c>
      <c r="D98" s="378"/>
      <c r="E98" s="378"/>
      <c r="F98" s="378"/>
      <c r="G98" s="378"/>
      <c r="H98" s="633"/>
      <c r="I98" s="207"/>
      <c r="J98" s="207"/>
      <c r="K98" s="207"/>
      <c r="L98" s="572"/>
      <c r="M98" s="206" t="e">
        <f>RANK(K98, K$87:$K$101)</f>
        <v>#N/A</v>
      </c>
      <c r="N98" s="590"/>
      <c r="O98" s="590"/>
      <c r="P98" s="378"/>
      <c r="Q98" s="378"/>
      <c r="R98" s="378"/>
      <c r="S98" s="306" t="e">
        <f t="shared" si="45"/>
        <v>#N/A</v>
      </c>
      <c r="T98" s="629"/>
      <c r="U98" s="378"/>
      <c r="V98" s="378"/>
      <c r="W98" s="378"/>
      <c r="X98" s="306" t="e">
        <f t="shared" si="46"/>
        <v>#N/A</v>
      </c>
      <c r="Y98" s="629"/>
      <c r="Z98" s="378"/>
      <c r="AA98" s="378"/>
      <c r="AB98" s="378"/>
      <c r="AC98" s="306" t="e">
        <f t="shared" si="47"/>
        <v>#N/A</v>
      </c>
      <c r="AD98" s="629"/>
      <c r="AE98" s="378"/>
      <c r="AF98" s="378"/>
      <c r="AG98" s="378"/>
      <c r="AH98" s="306" t="e">
        <f t="shared" si="48"/>
        <v>#N/A</v>
      </c>
      <c r="AI98" s="629"/>
      <c r="AJ98" s="378"/>
      <c r="AK98" s="378"/>
      <c r="AL98" s="378"/>
      <c r="AM98" s="306" t="e">
        <f t="shared" si="49"/>
        <v>#N/A</v>
      </c>
      <c r="AN98" s="629"/>
      <c r="AO98" s="378"/>
      <c r="AP98" s="378"/>
      <c r="AQ98" s="378"/>
      <c r="AR98" s="306" t="e">
        <f t="shared" si="50"/>
        <v>#N/A</v>
      </c>
      <c r="AS98" s="629"/>
      <c r="AT98" s="378"/>
      <c r="AU98" s="378"/>
      <c r="AV98" s="378"/>
      <c r="AW98" s="306" t="e">
        <f t="shared" si="51"/>
        <v>#N/A</v>
      </c>
      <c r="AX98" s="629"/>
    </row>
    <row r="99" spans="2:50">
      <c r="B99" s="598"/>
      <c r="C99" s="306">
        <v>13</v>
      </c>
      <c r="D99" s="378"/>
      <c r="E99" s="378"/>
      <c r="F99" s="378"/>
      <c r="G99" s="378"/>
      <c r="H99" s="633"/>
      <c r="I99" s="207"/>
      <c r="J99" s="207"/>
      <c r="K99" s="207"/>
      <c r="L99" s="572"/>
      <c r="M99" s="206" t="e">
        <f>RANK(K99, K$87:$K$101)</f>
        <v>#N/A</v>
      </c>
      <c r="N99" s="590"/>
      <c r="O99" s="590"/>
      <c r="P99" s="378"/>
      <c r="Q99" s="378"/>
      <c r="R99" s="378"/>
      <c r="S99" s="306" t="e">
        <f t="shared" si="45"/>
        <v>#N/A</v>
      </c>
      <c r="T99" s="629"/>
      <c r="U99" s="378"/>
      <c r="V99" s="378"/>
      <c r="W99" s="378"/>
      <c r="X99" s="306" t="e">
        <f t="shared" si="46"/>
        <v>#N/A</v>
      </c>
      <c r="Y99" s="629"/>
      <c r="Z99" s="378"/>
      <c r="AA99" s="378"/>
      <c r="AB99" s="378"/>
      <c r="AC99" s="306" t="e">
        <f t="shared" si="47"/>
        <v>#N/A</v>
      </c>
      <c r="AD99" s="629"/>
      <c r="AE99" s="378"/>
      <c r="AF99" s="378"/>
      <c r="AG99" s="378"/>
      <c r="AH99" s="306" t="e">
        <f t="shared" si="48"/>
        <v>#N/A</v>
      </c>
      <c r="AI99" s="629"/>
      <c r="AJ99" s="378"/>
      <c r="AK99" s="378"/>
      <c r="AL99" s="378"/>
      <c r="AM99" s="306" t="e">
        <f t="shared" si="49"/>
        <v>#N/A</v>
      </c>
      <c r="AN99" s="629"/>
      <c r="AO99" s="378"/>
      <c r="AP99" s="378"/>
      <c r="AQ99" s="378"/>
      <c r="AR99" s="306" t="e">
        <f t="shared" si="50"/>
        <v>#N/A</v>
      </c>
      <c r="AS99" s="629"/>
      <c r="AT99" s="378"/>
      <c r="AU99" s="378"/>
      <c r="AV99" s="378"/>
      <c r="AW99" s="306" t="e">
        <f t="shared" si="51"/>
        <v>#N/A</v>
      </c>
      <c r="AX99" s="629"/>
    </row>
    <row r="100" spans="2:50">
      <c r="B100" s="598"/>
      <c r="C100" s="306">
        <v>14</v>
      </c>
      <c r="D100" s="378"/>
      <c r="E100" s="378"/>
      <c r="F100" s="378"/>
      <c r="G100" s="378"/>
      <c r="H100" s="633"/>
      <c r="I100" s="207"/>
      <c r="J100" s="207"/>
      <c r="K100" s="207"/>
      <c r="L100" s="572"/>
      <c r="M100" s="206" t="e">
        <f>RANK(K100, K$87:$K$101)</f>
        <v>#N/A</v>
      </c>
      <c r="N100" s="590"/>
      <c r="O100" s="590"/>
      <c r="P100" s="378"/>
      <c r="Q100" s="378"/>
      <c r="R100" s="378"/>
      <c r="S100" s="306" t="e">
        <f t="shared" si="45"/>
        <v>#N/A</v>
      </c>
      <c r="T100" s="629"/>
      <c r="U100" s="378"/>
      <c r="V100" s="378"/>
      <c r="W100" s="378"/>
      <c r="X100" s="306" t="e">
        <f t="shared" si="46"/>
        <v>#N/A</v>
      </c>
      <c r="Y100" s="629"/>
      <c r="Z100" s="378"/>
      <c r="AA100" s="378"/>
      <c r="AB100" s="378"/>
      <c r="AC100" s="306" t="e">
        <f t="shared" si="47"/>
        <v>#N/A</v>
      </c>
      <c r="AD100" s="629"/>
      <c r="AE100" s="378"/>
      <c r="AF100" s="378"/>
      <c r="AG100" s="378"/>
      <c r="AH100" s="306" t="e">
        <f t="shared" si="48"/>
        <v>#N/A</v>
      </c>
      <c r="AI100" s="629"/>
      <c r="AJ100" s="378"/>
      <c r="AK100" s="378"/>
      <c r="AL100" s="378"/>
      <c r="AM100" s="306" t="e">
        <f t="shared" si="49"/>
        <v>#N/A</v>
      </c>
      <c r="AN100" s="629"/>
      <c r="AO100" s="378"/>
      <c r="AP100" s="378"/>
      <c r="AQ100" s="378"/>
      <c r="AR100" s="306" t="e">
        <f t="shared" si="50"/>
        <v>#N/A</v>
      </c>
      <c r="AS100" s="629"/>
      <c r="AT100" s="378"/>
      <c r="AU100" s="378"/>
      <c r="AV100" s="378"/>
      <c r="AW100" s="306" t="e">
        <f t="shared" si="51"/>
        <v>#N/A</v>
      </c>
      <c r="AX100" s="629"/>
    </row>
    <row r="101" spans="2:50">
      <c r="B101" s="598"/>
      <c r="C101" s="306">
        <v>15</v>
      </c>
      <c r="D101" s="378"/>
      <c r="E101" s="378"/>
      <c r="F101" s="378"/>
      <c r="G101" s="378"/>
      <c r="H101" s="634"/>
      <c r="I101" s="207"/>
      <c r="J101" s="207"/>
      <c r="K101" s="207"/>
      <c r="L101" s="573"/>
      <c r="M101" s="204" t="e">
        <f>RANK(K101, K$87:$K$101)</f>
        <v>#N/A</v>
      </c>
      <c r="N101" s="590"/>
      <c r="O101" s="590"/>
      <c r="P101" s="378"/>
      <c r="Q101" s="378"/>
      <c r="R101" s="378"/>
      <c r="S101" s="306" t="e">
        <f t="shared" si="45"/>
        <v>#N/A</v>
      </c>
      <c r="T101" s="629"/>
      <c r="U101" s="378"/>
      <c r="V101" s="378"/>
      <c r="W101" s="378"/>
      <c r="X101" s="306" t="e">
        <f t="shared" si="46"/>
        <v>#N/A</v>
      </c>
      <c r="Y101" s="629"/>
      <c r="Z101" s="378"/>
      <c r="AA101" s="378"/>
      <c r="AB101" s="378"/>
      <c r="AC101" s="306" t="e">
        <f t="shared" si="47"/>
        <v>#N/A</v>
      </c>
      <c r="AD101" s="629"/>
      <c r="AE101" s="378"/>
      <c r="AF101" s="378"/>
      <c r="AG101" s="378"/>
      <c r="AH101" s="306" t="e">
        <f t="shared" si="48"/>
        <v>#N/A</v>
      </c>
      <c r="AI101" s="629"/>
      <c r="AJ101" s="378"/>
      <c r="AK101" s="378"/>
      <c r="AL101" s="378"/>
      <c r="AM101" s="306" t="e">
        <f t="shared" si="49"/>
        <v>#N/A</v>
      </c>
      <c r="AN101" s="629"/>
      <c r="AO101" s="378"/>
      <c r="AP101" s="378"/>
      <c r="AQ101" s="378"/>
      <c r="AR101" s="306" t="e">
        <f t="shared" si="50"/>
        <v>#N/A</v>
      </c>
      <c r="AS101" s="629"/>
      <c r="AT101" s="378"/>
      <c r="AU101" s="378"/>
      <c r="AV101" s="378"/>
      <c r="AW101" s="306" t="e">
        <f t="shared" si="51"/>
        <v>#N/A</v>
      </c>
      <c r="AX101" s="629"/>
    </row>
    <row r="102" spans="2:50" ht="15.75">
      <c r="B102" s="602" t="s">
        <v>163</v>
      </c>
      <c r="C102" s="603"/>
      <c r="D102" s="603"/>
      <c r="E102" s="603"/>
      <c r="F102" s="603"/>
      <c r="G102" s="603"/>
      <c r="H102" s="604"/>
      <c r="I102" s="213"/>
      <c r="J102" s="213"/>
      <c r="K102" s="213"/>
      <c r="L102" s="213"/>
      <c r="M102" s="212"/>
      <c r="N102" s="591" t="s">
        <v>156</v>
      </c>
      <c r="O102" s="591" t="s">
        <v>105</v>
      </c>
      <c r="P102" s="597">
        <f>P82+7</f>
        <v>45965</v>
      </c>
      <c r="Q102" s="598"/>
      <c r="R102" s="598"/>
      <c r="S102" s="598"/>
      <c r="T102" s="598"/>
      <c r="U102" s="594">
        <f>P102+1</f>
        <v>45966</v>
      </c>
      <c r="V102" s="595"/>
      <c r="W102" s="595"/>
      <c r="X102" s="595"/>
      <c r="Y102" s="596"/>
      <c r="Z102" s="594">
        <f>U102+1</f>
        <v>45967</v>
      </c>
      <c r="AA102" s="595"/>
      <c r="AB102" s="595"/>
      <c r="AC102" s="595"/>
      <c r="AD102" s="596"/>
      <c r="AE102" s="594">
        <f>Z102+1</f>
        <v>45968</v>
      </c>
      <c r="AF102" s="595"/>
      <c r="AG102" s="595"/>
      <c r="AH102" s="595"/>
      <c r="AI102" s="596"/>
      <c r="AJ102" s="594">
        <f>AE102+1</f>
        <v>45969</v>
      </c>
      <c r="AK102" s="595"/>
      <c r="AL102" s="595"/>
      <c r="AM102" s="595"/>
      <c r="AN102" s="596"/>
      <c r="AO102" s="594">
        <f>AJ102+1</f>
        <v>45970</v>
      </c>
      <c r="AP102" s="595"/>
      <c r="AQ102" s="595"/>
      <c r="AR102" s="595"/>
      <c r="AS102" s="596"/>
      <c r="AT102" s="594">
        <f>AO102+1</f>
        <v>45971</v>
      </c>
      <c r="AU102" s="595"/>
      <c r="AV102" s="595"/>
      <c r="AW102" s="595"/>
      <c r="AX102" s="596"/>
    </row>
    <row r="103" spans="2:50" ht="15.75">
      <c r="B103" s="605"/>
      <c r="C103" s="605"/>
      <c r="D103" s="605"/>
      <c r="E103" s="605"/>
      <c r="F103" s="605"/>
      <c r="G103" s="605"/>
      <c r="H103" s="605"/>
      <c r="I103" s="210"/>
      <c r="J103" s="210"/>
      <c r="K103" s="210"/>
      <c r="L103" s="210"/>
      <c r="M103" s="211"/>
      <c r="N103" s="593"/>
      <c r="O103" s="593"/>
      <c r="P103" s="597" t="s">
        <v>158</v>
      </c>
      <c r="Q103" s="598"/>
      <c r="R103" s="598"/>
      <c r="S103" s="598"/>
      <c r="T103" s="598"/>
      <c r="U103" s="597" t="s">
        <v>114</v>
      </c>
      <c r="V103" s="598"/>
      <c r="W103" s="598"/>
      <c r="X103" s="598"/>
      <c r="Y103" s="598"/>
      <c r="Z103" s="597" t="s">
        <v>159</v>
      </c>
      <c r="AA103" s="598"/>
      <c r="AB103" s="598"/>
      <c r="AC103" s="598"/>
      <c r="AD103" s="598"/>
      <c r="AE103" s="597" t="s">
        <v>157</v>
      </c>
      <c r="AF103" s="598"/>
      <c r="AG103" s="598"/>
      <c r="AH103" s="598"/>
      <c r="AI103" s="598"/>
      <c r="AJ103" s="597" t="s">
        <v>160</v>
      </c>
      <c r="AK103" s="598"/>
      <c r="AL103" s="598"/>
      <c r="AM103" s="598"/>
      <c r="AN103" s="598"/>
      <c r="AO103" s="597" t="s">
        <v>115</v>
      </c>
      <c r="AP103" s="598"/>
      <c r="AQ103" s="598"/>
      <c r="AR103" s="598"/>
      <c r="AS103" s="598"/>
      <c r="AT103" s="597" t="s">
        <v>162</v>
      </c>
      <c r="AU103" s="598"/>
      <c r="AV103" s="598"/>
      <c r="AW103" s="598"/>
      <c r="AX103" s="598"/>
    </row>
    <row r="104" spans="2:50">
      <c r="B104" s="590" t="s">
        <v>154</v>
      </c>
      <c r="C104" s="590" t="s">
        <v>454</v>
      </c>
      <c r="D104" s="590"/>
      <c r="E104" s="590" t="s">
        <v>445</v>
      </c>
      <c r="F104" s="590"/>
      <c r="G104" s="590"/>
      <c r="H104" s="606" t="s">
        <v>441</v>
      </c>
      <c r="I104" s="574" t="s">
        <v>446</v>
      </c>
      <c r="J104" s="574"/>
      <c r="K104" s="574"/>
      <c r="L104" s="575" t="s">
        <v>441</v>
      </c>
      <c r="M104" s="581" t="s">
        <v>442</v>
      </c>
      <c r="N104" s="590"/>
      <c r="O104" s="590" t="s">
        <v>447</v>
      </c>
      <c r="P104" s="587" t="s">
        <v>443</v>
      </c>
      <c r="Q104" s="588"/>
      <c r="R104" s="588"/>
      <c r="S104" s="589"/>
      <c r="T104" s="590" t="s">
        <v>441</v>
      </c>
      <c r="U104" s="587" t="s">
        <v>443</v>
      </c>
      <c r="V104" s="588"/>
      <c r="W104" s="588"/>
      <c r="X104" s="589"/>
      <c r="Y104" s="590" t="s">
        <v>441</v>
      </c>
      <c r="Z104" s="587" t="s">
        <v>443</v>
      </c>
      <c r="AA104" s="588"/>
      <c r="AB104" s="588"/>
      <c r="AC104" s="589"/>
      <c r="AD104" s="590" t="s">
        <v>441</v>
      </c>
      <c r="AE104" s="587" t="s">
        <v>443</v>
      </c>
      <c r="AF104" s="588"/>
      <c r="AG104" s="588"/>
      <c r="AH104" s="589"/>
      <c r="AI104" s="590" t="s">
        <v>441</v>
      </c>
      <c r="AJ104" s="587" t="s">
        <v>443</v>
      </c>
      <c r="AK104" s="588"/>
      <c r="AL104" s="588"/>
      <c r="AM104" s="589"/>
      <c r="AN104" s="590" t="s">
        <v>441</v>
      </c>
      <c r="AO104" s="587" t="s">
        <v>443</v>
      </c>
      <c r="AP104" s="588"/>
      <c r="AQ104" s="588"/>
      <c r="AR104" s="589"/>
      <c r="AS104" s="590" t="s">
        <v>441</v>
      </c>
      <c r="AT104" s="587" t="s">
        <v>443</v>
      </c>
      <c r="AU104" s="588"/>
      <c r="AV104" s="588"/>
      <c r="AW104" s="589"/>
      <c r="AX104" s="590" t="s">
        <v>441</v>
      </c>
    </row>
    <row r="105" spans="2:50">
      <c r="B105" s="590"/>
      <c r="C105" s="590"/>
      <c r="D105" s="590"/>
      <c r="E105" s="590" t="s">
        <v>448</v>
      </c>
      <c r="F105" s="590"/>
      <c r="G105" s="590"/>
      <c r="H105" s="607"/>
      <c r="I105" s="574" t="s">
        <v>448</v>
      </c>
      <c r="J105" s="574"/>
      <c r="K105" s="574"/>
      <c r="L105" s="576"/>
      <c r="M105" s="582"/>
      <c r="N105" s="590"/>
      <c r="O105" s="590"/>
      <c r="P105" s="587" t="s">
        <v>449</v>
      </c>
      <c r="Q105" s="588"/>
      <c r="R105" s="588"/>
      <c r="S105" s="589"/>
      <c r="T105" s="590"/>
      <c r="U105" s="587" t="s">
        <v>449</v>
      </c>
      <c r="V105" s="588"/>
      <c r="W105" s="588"/>
      <c r="X105" s="589"/>
      <c r="Y105" s="590"/>
      <c r="Z105" s="587" t="s">
        <v>449</v>
      </c>
      <c r="AA105" s="588"/>
      <c r="AB105" s="588"/>
      <c r="AC105" s="589"/>
      <c r="AD105" s="590"/>
      <c r="AE105" s="587" t="s">
        <v>449</v>
      </c>
      <c r="AF105" s="588"/>
      <c r="AG105" s="588"/>
      <c r="AH105" s="589"/>
      <c r="AI105" s="590"/>
      <c r="AJ105" s="587" t="s">
        <v>449</v>
      </c>
      <c r="AK105" s="588"/>
      <c r="AL105" s="588"/>
      <c r="AM105" s="589"/>
      <c r="AN105" s="590"/>
      <c r="AO105" s="587" t="s">
        <v>449</v>
      </c>
      <c r="AP105" s="588"/>
      <c r="AQ105" s="588"/>
      <c r="AR105" s="589"/>
      <c r="AS105" s="590"/>
      <c r="AT105" s="587" t="s">
        <v>449</v>
      </c>
      <c r="AU105" s="588"/>
      <c r="AV105" s="588"/>
      <c r="AW105" s="589"/>
      <c r="AX105" s="590"/>
    </row>
    <row r="106" spans="2:50">
      <c r="B106" s="590"/>
      <c r="C106" s="590"/>
      <c r="D106" s="590"/>
      <c r="E106" s="358" t="s">
        <v>450</v>
      </c>
      <c r="F106" s="358" t="s">
        <v>451</v>
      </c>
      <c r="G106" s="358" t="s">
        <v>452</v>
      </c>
      <c r="H106" s="608"/>
      <c r="I106" s="359" t="s">
        <v>450</v>
      </c>
      <c r="J106" s="359" t="s">
        <v>451</v>
      </c>
      <c r="K106" s="359" t="s">
        <v>452</v>
      </c>
      <c r="L106" s="577"/>
      <c r="M106" s="583"/>
      <c r="N106" s="590"/>
      <c r="O106" s="590"/>
      <c r="P106" s="358" t="s">
        <v>450</v>
      </c>
      <c r="Q106" s="358" t="s">
        <v>451</v>
      </c>
      <c r="R106" s="358" t="s">
        <v>452</v>
      </c>
      <c r="S106" s="358" t="s">
        <v>442</v>
      </c>
      <c r="T106" s="590"/>
      <c r="U106" s="358" t="s">
        <v>450</v>
      </c>
      <c r="V106" s="358" t="s">
        <v>451</v>
      </c>
      <c r="W106" s="358" t="s">
        <v>452</v>
      </c>
      <c r="X106" s="358" t="s">
        <v>442</v>
      </c>
      <c r="Y106" s="590"/>
      <c r="Z106" s="358" t="s">
        <v>450</v>
      </c>
      <c r="AA106" s="358" t="s">
        <v>451</v>
      </c>
      <c r="AB106" s="358" t="s">
        <v>452</v>
      </c>
      <c r="AC106" s="358" t="s">
        <v>442</v>
      </c>
      <c r="AD106" s="590"/>
      <c r="AE106" s="358" t="s">
        <v>450</v>
      </c>
      <c r="AF106" s="358" t="s">
        <v>451</v>
      </c>
      <c r="AG106" s="358" t="s">
        <v>452</v>
      </c>
      <c r="AH106" s="358" t="s">
        <v>442</v>
      </c>
      <c r="AI106" s="590"/>
      <c r="AJ106" s="358" t="s">
        <v>450</v>
      </c>
      <c r="AK106" s="358" t="s">
        <v>451</v>
      </c>
      <c r="AL106" s="358" t="s">
        <v>452</v>
      </c>
      <c r="AM106" s="358" t="s">
        <v>442</v>
      </c>
      <c r="AN106" s="590"/>
      <c r="AO106" s="358" t="s">
        <v>450</v>
      </c>
      <c r="AP106" s="358" t="s">
        <v>451</v>
      </c>
      <c r="AQ106" s="358" t="s">
        <v>452</v>
      </c>
      <c r="AR106" s="358" t="s">
        <v>442</v>
      </c>
      <c r="AS106" s="590"/>
      <c r="AT106" s="358" t="s">
        <v>450</v>
      </c>
      <c r="AU106" s="358" t="s">
        <v>451</v>
      </c>
      <c r="AV106" s="358" t="s">
        <v>452</v>
      </c>
      <c r="AW106" s="358" t="s">
        <v>442</v>
      </c>
      <c r="AX106" s="590"/>
    </row>
    <row r="107" spans="2:50">
      <c r="B107" s="631" t="s">
        <v>471</v>
      </c>
      <c r="C107" s="357">
        <v>1</v>
      </c>
      <c r="D107" s="378"/>
      <c r="E107" s="378"/>
      <c r="F107" s="378"/>
      <c r="G107" s="378"/>
      <c r="H107" s="632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71" t="str">
        <f>IFERROR(AVERAGE(K107:K121),"-")</f>
        <v>-</v>
      </c>
      <c r="M107" s="206" t="e">
        <f>RANK(K107, K$87:$K$101)</f>
        <v>#DIV/0!</v>
      </c>
      <c r="N107" s="590"/>
      <c r="O107" s="590"/>
      <c r="P107" s="187"/>
      <c r="Q107" s="187"/>
      <c r="R107" s="360"/>
      <c r="S107" s="357" t="e">
        <f>RANK(R107, R$87:R$101)</f>
        <v>#N/A</v>
      </c>
      <c r="T107" s="629" t="e">
        <f>AVERAGE(R107:R121)</f>
        <v>#DIV/0!</v>
      </c>
      <c r="U107" s="187"/>
      <c r="V107" s="187"/>
      <c r="W107" s="379"/>
      <c r="X107" s="357" t="e">
        <f>RANK(W107, W$87:W$101)</f>
        <v>#N/A</v>
      </c>
      <c r="Y107" s="629" t="e">
        <f>AVERAGE(W107:W121)</f>
        <v>#DIV/0!</v>
      </c>
      <c r="Z107" s="187"/>
      <c r="AA107" s="187"/>
      <c r="AB107" s="379"/>
      <c r="AC107" s="357" t="e">
        <f>RANK(AB107, AB$87:AB$101)</f>
        <v>#N/A</v>
      </c>
      <c r="AD107" s="629" t="e">
        <f>AVERAGE(AB107:AB121)</f>
        <v>#DIV/0!</v>
      </c>
      <c r="AE107" s="187"/>
      <c r="AF107" s="187"/>
      <c r="AG107" s="379"/>
      <c r="AH107" s="357" t="e">
        <f>RANK(AG107, AG$87:AG$101)</f>
        <v>#N/A</v>
      </c>
      <c r="AI107" s="629" t="e">
        <f>AVERAGE(AG107:AG121)</f>
        <v>#DIV/0!</v>
      </c>
      <c r="AJ107" s="187"/>
      <c r="AK107" s="187"/>
      <c r="AL107" s="379"/>
      <c r="AM107" s="357" t="e">
        <f>RANK(AL107, AL$87:AL$101)</f>
        <v>#N/A</v>
      </c>
      <c r="AN107" s="629" t="e">
        <f>AVERAGE(AL107:AL121)</f>
        <v>#DIV/0!</v>
      </c>
      <c r="AO107" s="187"/>
      <c r="AP107" s="187"/>
      <c r="AQ107" s="379"/>
      <c r="AR107" s="357" t="e">
        <f>RANK(AQ107, AQ$87:AQ$101)</f>
        <v>#N/A</v>
      </c>
      <c r="AS107" s="629" t="e">
        <f>AVERAGE(AQ107:AQ121)</f>
        <v>#DIV/0!</v>
      </c>
      <c r="AT107" s="187"/>
      <c r="AU107" s="187"/>
      <c r="AV107" s="379"/>
      <c r="AW107" s="357" t="e">
        <f>RANK(AV107, AV$87:AV$101)</f>
        <v>#N/A</v>
      </c>
      <c r="AX107" s="629" t="e">
        <f>AVERAGE(AV107:AV121)</f>
        <v>#DIV/0!</v>
      </c>
    </row>
    <row r="108" spans="2:50">
      <c r="B108" s="598"/>
      <c r="C108" s="357">
        <v>2</v>
      </c>
      <c r="D108" s="378"/>
      <c r="E108" s="378"/>
      <c r="F108" s="378"/>
      <c r="G108" s="378"/>
      <c r="H108" s="633"/>
      <c r="I108" s="204" t="e">
        <f t="shared" ref="I108:I113" si="55">AVERAGE(P108,U108,Z108,AE108,AJ108,AO108,AT108)</f>
        <v>#DIV/0!</v>
      </c>
      <c r="J108" s="204" t="e">
        <f t="shared" ref="J108:J113" si="56">AVERAGE(Q108,V108,AA108,AF108,AK108,AP108,AU108)</f>
        <v>#DIV/0!</v>
      </c>
      <c r="K108" s="205" t="e">
        <f t="shared" ref="K108:K113" si="57">AVERAGE(R108,W108,AB108,AG108,AL108,AQ108,AV108)</f>
        <v>#DIV/0!</v>
      </c>
      <c r="L108" s="572"/>
      <c r="M108" s="206" t="e">
        <f>RANK(K108, K$87:$K$101)</f>
        <v>#DIV/0!</v>
      </c>
      <c r="N108" s="590"/>
      <c r="O108" s="590"/>
      <c r="P108" s="357"/>
      <c r="Q108" s="187"/>
      <c r="R108" s="360"/>
      <c r="S108" s="357" t="e">
        <f t="shared" ref="S108:S121" si="58">RANK(R108, R$87:R$101)</f>
        <v>#N/A</v>
      </c>
      <c r="T108" s="629"/>
      <c r="U108" s="378"/>
      <c r="V108" s="187"/>
      <c r="W108" s="379"/>
      <c r="X108" s="357" t="e">
        <f t="shared" ref="X108:X121" si="59">RANK(W108, W$87:W$101)</f>
        <v>#N/A</v>
      </c>
      <c r="Y108" s="629"/>
      <c r="Z108" s="378"/>
      <c r="AA108" s="187"/>
      <c r="AB108" s="379"/>
      <c r="AC108" s="357" t="e">
        <f t="shared" ref="AC108:AC121" si="60">RANK(AB108, AB$87:AB$101)</f>
        <v>#N/A</v>
      </c>
      <c r="AD108" s="629"/>
      <c r="AE108" s="378"/>
      <c r="AF108" s="187"/>
      <c r="AG108" s="379"/>
      <c r="AH108" s="357" t="e">
        <f t="shared" ref="AH108:AH121" si="61">RANK(AG108, AG$87:AG$101)</f>
        <v>#N/A</v>
      </c>
      <c r="AI108" s="629"/>
      <c r="AJ108" s="378"/>
      <c r="AK108" s="187"/>
      <c r="AL108" s="379"/>
      <c r="AM108" s="357" t="e">
        <f t="shared" ref="AM108:AM121" si="62">RANK(AL108, AL$87:AL$101)</f>
        <v>#N/A</v>
      </c>
      <c r="AN108" s="629"/>
      <c r="AO108" s="378"/>
      <c r="AP108" s="187"/>
      <c r="AQ108" s="379"/>
      <c r="AR108" s="357" t="e">
        <f t="shared" ref="AR108:AR121" si="63">RANK(AQ108, AQ$87:AQ$101)</f>
        <v>#N/A</v>
      </c>
      <c r="AS108" s="629"/>
      <c r="AT108" s="378"/>
      <c r="AU108" s="187"/>
      <c r="AV108" s="379"/>
      <c r="AW108" s="357" t="e">
        <f t="shared" ref="AW108:AW121" si="64">RANK(AV108, AV$87:AV$101)</f>
        <v>#N/A</v>
      </c>
      <c r="AX108" s="629"/>
    </row>
    <row r="109" spans="2:50">
      <c r="B109" s="598"/>
      <c r="C109" s="357">
        <v>3</v>
      </c>
      <c r="D109" s="378"/>
      <c r="E109" s="378"/>
      <c r="F109" s="378"/>
      <c r="G109" s="378"/>
      <c r="H109" s="633"/>
      <c r="I109" s="204" t="e">
        <f t="shared" si="55"/>
        <v>#DIV/0!</v>
      </c>
      <c r="J109" s="204" t="e">
        <f t="shared" si="56"/>
        <v>#DIV/0!</v>
      </c>
      <c r="K109" s="205" t="e">
        <f t="shared" si="57"/>
        <v>#DIV/0!</v>
      </c>
      <c r="L109" s="572"/>
      <c r="M109" s="206" t="e">
        <f>RANK(K109, K$87:$K$101)</f>
        <v>#DIV/0!</v>
      </c>
      <c r="N109" s="590"/>
      <c r="O109" s="590"/>
      <c r="P109" s="357"/>
      <c r="Q109" s="187"/>
      <c r="R109" s="360"/>
      <c r="S109" s="357" t="e">
        <f t="shared" si="58"/>
        <v>#N/A</v>
      </c>
      <c r="T109" s="629"/>
      <c r="U109" s="378"/>
      <c r="V109" s="187"/>
      <c r="W109" s="379"/>
      <c r="X109" s="357" t="e">
        <f t="shared" si="59"/>
        <v>#N/A</v>
      </c>
      <c r="Y109" s="629"/>
      <c r="Z109" s="378"/>
      <c r="AA109" s="187"/>
      <c r="AB109" s="379"/>
      <c r="AC109" s="357" t="e">
        <f t="shared" si="60"/>
        <v>#N/A</v>
      </c>
      <c r="AD109" s="629"/>
      <c r="AE109" s="378"/>
      <c r="AF109" s="187"/>
      <c r="AG109" s="379"/>
      <c r="AH109" s="357" t="e">
        <f t="shared" si="61"/>
        <v>#N/A</v>
      </c>
      <c r="AI109" s="629"/>
      <c r="AJ109" s="378"/>
      <c r="AK109" s="187"/>
      <c r="AL109" s="379"/>
      <c r="AM109" s="357" t="e">
        <f t="shared" si="62"/>
        <v>#N/A</v>
      </c>
      <c r="AN109" s="629"/>
      <c r="AO109" s="378"/>
      <c r="AP109" s="187"/>
      <c r="AQ109" s="379"/>
      <c r="AR109" s="357" t="e">
        <f t="shared" si="63"/>
        <v>#N/A</v>
      </c>
      <c r="AS109" s="629"/>
      <c r="AT109" s="378"/>
      <c r="AU109" s="187"/>
      <c r="AV109" s="379"/>
      <c r="AW109" s="357" t="e">
        <f t="shared" si="64"/>
        <v>#N/A</v>
      </c>
      <c r="AX109" s="629"/>
    </row>
    <row r="110" spans="2:50">
      <c r="B110" s="598"/>
      <c r="C110" s="357">
        <v>4</v>
      </c>
      <c r="D110" s="378"/>
      <c r="E110" s="378"/>
      <c r="F110" s="378"/>
      <c r="G110" s="378"/>
      <c r="H110" s="633"/>
      <c r="I110" s="204" t="e">
        <f t="shared" si="55"/>
        <v>#DIV/0!</v>
      </c>
      <c r="J110" s="204" t="e">
        <f t="shared" si="56"/>
        <v>#DIV/0!</v>
      </c>
      <c r="K110" s="205" t="e">
        <f t="shared" si="57"/>
        <v>#DIV/0!</v>
      </c>
      <c r="L110" s="572"/>
      <c r="M110" s="206" t="e">
        <f>RANK(K110, K$87:$K$101)</f>
        <v>#DIV/0!</v>
      </c>
      <c r="N110" s="590"/>
      <c r="O110" s="590"/>
      <c r="P110" s="357"/>
      <c r="Q110" s="187"/>
      <c r="R110" s="360"/>
      <c r="S110" s="357" t="e">
        <f t="shared" si="58"/>
        <v>#N/A</v>
      </c>
      <c r="T110" s="629"/>
      <c r="U110" s="378"/>
      <c r="V110" s="187"/>
      <c r="W110" s="379"/>
      <c r="X110" s="357" t="e">
        <f t="shared" si="59"/>
        <v>#N/A</v>
      </c>
      <c r="Y110" s="629"/>
      <c r="Z110" s="378"/>
      <c r="AA110" s="187"/>
      <c r="AB110" s="379"/>
      <c r="AC110" s="357" t="e">
        <f t="shared" si="60"/>
        <v>#N/A</v>
      </c>
      <c r="AD110" s="629"/>
      <c r="AE110" s="378"/>
      <c r="AF110" s="187"/>
      <c r="AG110" s="379"/>
      <c r="AH110" s="357" t="e">
        <f t="shared" si="61"/>
        <v>#N/A</v>
      </c>
      <c r="AI110" s="629"/>
      <c r="AJ110" s="378"/>
      <c r="AK110" s="187"/>
      <c r="AL110" s="379"/>
      <c r="AM110" s="357" t="e">
        <f t="shared" si="62"/>
        <v>#N/A</v>
      </c>
      <c r="AN110" s="629"/>
      <c r="AO110" s="378"/>
      <c r="AP110" s="187"/>
      <c r="AQ110" s="379"/>
      <c r="AR110" s="357" t="e">
        <f t="shared" si="63"/>
        <v>#N/A</v>
      </c>
      <c r="AS110" s="629"/>
      <c r="AT110" s="378"/>
      <c r="AU110" s="187"/>
      <c r="AV110" s="379"/>
      <c r="AW110" s="357" t="e">
        <f t="shared" si="64"/>
        <v>#N/A</v>
      </c>
      <c r="AX110" s="629"/>
    </row>
    <row r="111" spans="2:50">
      <c r="B111" s="598"/>
      <c r="C111" s="357">
        <v>5</v>
      </c>
      <c r="D111" s="378"/>
      <c r="E111" s="378"/>
      <c r="F111" s="378"/>
      <c r="G111" s="378"/>
      <c r="H111" s="633"/>
      <c r="I111" s="204" t="e">
        <f t="shared" si="55"/>
        <v>#DIV/0!</v>
      </c>
      <c r="J111" s="204" t="e">
        <f t="shared" si="56"/>
        <v>#DIV/0!</v>
      </c>
      <c r="K111" s="205" t="e">
        <f t="shared" si="57"/>
        <v>#DIV/0!</v>
      </c>
      <c r="L111" s="572"/>
      <c r="M111" s="206" t="e">
        <f>RANK(K111, K$87:$K$101)</f>
        <v>#DIV/0!</v>
      </c>
      <c r="N111" s="590"/>
      <c r="O111" s="590"/>
      <c r="P111" s="357"/>
      <c r="Q111" s="187"/>
      <c r="R111" s="360"/>
      <c r="S111" s="357" t="e">
        <f t="shared" si="58"/>
        <v>#N/A</v>
      </c>
      <c r="T111" s="629"/>
      <c r="U111" s="378"/>
      <c r="V111" s="187"/>
      <c r="W111" s="379"/>
      <c r="X111" s="357" t="e">
        <f t="shared" si="59"/>
        <v>#N/A</v>
      </c>
      <c r="Y111" s="629"/>
      <c r="Z111" s="378"/>
      <c r="AA111" s="187"/>
      <c r="AB111" s="379"/>
      <c r="AC111" s="357" t="e">
        <f t="shared" si="60"/>
        <v>#N/A</v>
      </c>
      <c r="AD111" s="629"/>
      <c r="AE111" s="378"/>
      <c r="AF111" s="187"/>
      <c r="AG111" s="379"/>
      <c r="AH111" s="357" t="e">
        <f t="shared" si="61"/>
        <v>#N/A</v>
      </c>
      <c r="AI111" s="629"/>
      <c r="AJ111" s="378"/>
      <c r="AK111" s="187"/>
      <c r="AL111" s="379"/>
      <c r="AM111" s="357" t="e">
        <f t="shared" si="62"/>
        <v>#N/A</v>
      </c>
      <c r="AN111" s="629"/>
      <c r="AO111" s="378"/>
      <c r="AP111" s="187"/>
      <c r="AQ111" s="379"/>
      <c r="AR111" s="357" t="e">
        <f t="shared" si="63"/>
        <v>#N/A</v>
      </c>
      <c r="AS111" s="629"/>
      <c r="AT111" s="378"/>
      <c r="AU111" s="187"/>
      <c r="AV111" s="379"/>
      <c r="AW111" s="357" t="e">
        <f t="shared" si="64"/>
        <v>#N/A</v>
      </c>
      <c r="AX111" s="629"/>
    </row>
    <row r="112" spans="2:50">
      <c r="B112" s="598"/>
      <c r="C112" s="357">
        <v>6</v>
      </c>
      <c r="D112" s="378"/>
      <c r="E112" s="378"/>
      <c r="F112" s="378"/>
      <c r="G112" s="378"/>
      <c r="H112" s="633"/>
      <c r="I112" s="204" t="e">
        <f t="shared" si="55"/>
        <v>#DIV/0!</v>
      </c>
      <c r="J112" s="204" t="e">
        <f t="shared" si="56"/>
        <v>#DIV/0!</v>
      </c>
      <c r="K112" s="205" t="e">
        <f t="shared" si="57"/>
        <v>#DIV/0!</v>
      </c>
      <c r="L112" s="572"/>
      <c r="M112" s="206" t="e">
        <f>RANK(K112, K$87:$K$101)</f>
        <v>#DIV/0!</v>
      </c>
      <c r="N112" s="590"/>
      <c r="O112" s="590"/>
      <c r="P112" s="357"/>
      <c r="Q112" s="187"/>
      <c r="R112" s="360"/>
      <c r="S112" s="357" t="e">
        <f t="shared" si="58"/>
        <v>#N/A</v>
      </c>
      <c r="T112" s="629"/>
      <c r="U112" s="378"/>
      <c r="V112" s="187"/>
      <c r="W112" s="379"/>
      <c r="X112" s="357" t="e">
        <f t="shared" si="59"/>
        <v>#N/A</v>
      </c>
      <c r="Y112" s="629"/>
      <c r="Z112" s="378"/>
      <c r="AA112" s="187"/>
      <c r="AB112" s="379"/>
      <c r="AC112" s="357" t="e">
        <f t="shared" si="60"/>
        <v>#N/A</v>
      </c>
      <c r="AD112" s="629"/>
      <c r="AE112" s="378"/>
      <c r="AF112" s="187"/>
      <c r="AG112" s="379"/>
      <c r="AH112" s="357" t="e">
        <f t="shared" si="61"/>
        <v>#N/A</v>
      </c>
      <c r="AI112" s="629"/>
      <c r="AJ112" s="378"/>
      <c r="AK112" s="187"/>
      <c r="AL112" s="379"/>
      <c r="AM112" s="357" t="e">
        <f t="shared" si="62"/>
        <v>#N/A</v>
      </c>
      <c r="AN112" s="629"/>
      <c r="AO112" s="378"/>
      <c r="AP112" s="187"/>
      <c r="AQ112" s="379"/>
      <c r="AR112" s="357" t="e">
        <f t="shared" si="63"/>
        <v>#N/A</v>
      </c>
      <c r="AS112" s="629"/>
      <c r="AT112" s="378"/>
      <c r="AU112" s="187"/>
      <c r="AV112" s="379"/>
      <c r="AW112" s="357" t="e">
        <f t="shared" si="64"/>
        <v>#N/A</v>
      </c>
      <c r="AX112" s="629"/>
    </row>
    <row r="113" spans="2:50">
      <c r="B113" s="598"/>
      <c r="C113" s="357">
        <v>7</v>
      </c>
      <c r="D113" s="378"/>
      <c r="E113" s="378"/>
      <c r="F113" s="378"/>
      <c r="G113" s="378"/>
      <c r="H113" s="633"/>
      <c r="I113" s="204" t="e">
        <f t="shared" si="55"/>
        <v>#DIV/0!</v>
      </c>
      <c r="J113" s="204" t="e">
        <f t="shared" si="56"/>
        <v>#DIV/0!</v>
      </c>
      <c r="K113" s="205" t="e">
        <f t="shared" si="57"/>
        <v>#DIV/0!</v>
      </c>
      <c r="L113" s="572"/>
      <c r="M113" s="206" t="e">
        <f>RANK(K113, K$87:$K$101)</f>
        <v>#DIV/0!</v>
      </c>
      <c r="N113" s="590"/>
      <c r="O113" s="590"/>
      <c r="P113" s="357"/>
      <c r="Q113" s="187"/>
      <c r="R113" s="360"/>
      <c r="S113" s="357" t="e">
        <f t="shared" si="58"/>
        <v>#N/A</v>
      </c>
      <c r="T113" s="629"/>
      <c r="U113" s="378"/>
      <c r="V113" s="187"/>
      <c r="W113" s="379"/>
      <c r="X113" s="357" t="e">
        <f t="shared" si="59"/>
        <v>#N/A</v>
      </c>
      <c r="Y113" s="629"/>
      <c r="Z113" s="378"/>
      <c r="AA113" s="187"/>
      <c r="AB113" s="379"/>
      <c r="AC113" s="357" t="e">
        <f t="shared" si="60"/>
        <v>#N/A</v>
      </c>
      <c r="AD113" s="629"/>
      <c r="AE113" s="378"/>
      <c r="AF113" s="187"/>
      <c r="AG113" s="379"/>
      <c r="AH113" s="357" t="e">
        <f t="shared" si="61"/>
        <v>#N/A</v>
      </c>
      <c r="AI113" s="629"/>
      <c r="AJ113" s="378"/>
      <c r="AK113" s="187"/>
      <c r="AL113" s="379"/>
      <c r="AM113" s="357" t="e">
        <f t="shared" si="62"/>
        <v>#N/A</v>
      </c>
      <c r="AN113" s="629"/>
      <c r="AO113" s="378"/>
      <c r="AP113" s="187"/>
      <c r="AQ113" s="379"/>
      <c r="AR113" s="357" t="e">
        <f t="shared" si="63"/>
        <v>#N/A</v>
      </c>
      <c r="AS113" s="629"/>
      <c r="AT113" s="378"/>
      <c r="AU113" s="187"/>
      <c r="AV113" s="379"/>
      <c r="AW113" s="357" t="e">
        <f t="shared" si="64"/>
        <v>#N/A</v>
      </c>
      <c r="AX113" s="629"/>
    </row>
    <row r="114" spans="2:50">
      <c r="B114" s="598"/>
      <c r="C114" s="357">
        <v>8</v>
      </c>
      <c r="D114" s="378"/>
      <c r="E114" s="378"/>
      <c r="F114" s="378"/>
      <c r="G114" s="378"/>
      <c r="H114" s="633"/>
      <c r="I114" s="204"/>
      <c r="J114" s="204"/>
      <c r="K114" s="205"/>
      <c r="L114" s="572"/>
      <c r="M114" s="206" t="e">
        <f>RANK(K114, K$87:$K$101)</f>
        <v>#N/A</v>
      </c>
      <c r="N114" s="590"/>
      <c r="O114" s="590"/>
      <c r="P114" s="357"/>
      <c r="Q114" s="187"/>
      <c r="R114" s="360"/>
      <c r="S114" s="357" t="e">
        <f t="shared" si="58"/>
        <v>#N/A</v>
      </c>
      <c r="T114" s="629"/>
      <c r="U114" s="378"/>
      <c r="V114" s="187"/>
      <c r="W114" s="379"/>
      <c r="X114" s="357" t="e">
        <f t="shared" si="59"/>
        <v>#N/A</v>
      </c>
      <c r="Y114" s="629"/>
      <c r="Z114" s="378"/>
      <c r="AA114" s="187"/>
      <c r="AB114" s="379"/>
      <c r="AC114" s="357" t="e">
        <f t="shared" si="60"/>
        <v>#N/A</v>
      </c>
      <c r="AD114" s="629"/>
      <c r="AE114" s="378"/>
      <c r="AF114" s="187"/>
      <c r="AG114" s="379"/>
      <c r="AH114" s="357" t="e">
        <f t="shared" si="61"/>
        <v>#N/A</v>
      </c>
      <c r="AI114" s="629"/>
      <c r="AJ114" s="378"/>
      <c r="AK114" s="187"/>
      <c r="AL114" s="379"/>
      <c r="AM114" s="357" t="e">
        <f t="shared" si="62"/>
        <v>#N/A</v>
      </c>
      <c r="AN114" s="629"/>
      <c r="AO114" s="378"/>
      <c r="AP114" s="187"/>
      <c r="AQ114" s="379"/>
      <c r="AR114" s="357" t="e">
        <f t="shared" si="63"/>
        <v>#N/A</v>
      </c>
      <c r="AS114" s="629"/>
      <c r="AT114" s="378"/>
      <c r="AU114" s="187"/>
      <c r="AV114" s="379"/>
      <c r="AW114" s="357" t="e">
        <f t="shared" si="64"/>
        <v>#N/A</v>
      </c>
      <c r="AX114" s="629"/>
    </row>
    <row r="115" spans="2:50">
      <c r="B115" s="598"/>
      <c r="C115" s="357">
        <v>9</v>
      </c>
      <c r="D115" s="378"/>
      <c r="E115" s="378"/>
      <c r="F115" s="378"/>
      <c r="G115" s="378"/>
      <c r="H115" s="633"/>
      <c r="I115" s="204"/>
      <c r="J115" s="204"/>
      <c r="K115" s="205"/>
      <c r="L115" s="572"/>
      <c r="M115" s="206" t="e">
        <f>RANK(K115, K$87:$K$101)</f>
        <v>#N/A</v>
      </c>
      <c r="N115" s="590"/>
      <c r="O115" s="590"/>
      <c r="P115" s="357"/>
      <c r="Q115" s="187"/>
      <c r="R115" s="360"/>
      <c r="S115" s="357" t="e">
        <f t="shared" si="58"/>
        <v>#N/A</v>
      </c>
      <c r="T115" s="629"/>
      <c r="U115" s="378"/>
      <c r="V115" s="187"/>
      <c r="W115" s="379"/>
      <c r="X115" s="357" t="e">
        <f t="shared" si="59"/>
        <v>#N/A</v>
      </c>
      <c r="Y115" s="629"/>
      <c r="Z115" s="378"/>
      <c r="AA115" s="187"/>
      <c r="AB115" s="379"/>
      <c r="AC115" s="357" t="e">
        <f t="shared" si="60"/>
        <v>#N/A</v>
      </c>
      <c r="AD115" s="629"/>
      <c r="AE115" s="378"/>
      <c r="AF115" s="187"/>
      <c r="AG115" s="379"/>
      <c r="AH115" s="357" t="e">
        <f t="shared" si="61"/>
        <v>#N/A</v>
      </c>
      <c r="AI115" s="629"/>
      <c r="AJ115" s="378"/>
      <c r="AK115" s="187"/>
      <c r="AL115" s="379"/>
      <c r="AM115" s="357" t="e">
        <f t="shared" si="62"/>
        <v>#N/A</v>
      </c>
      <c r="AN115" s="629"/>
      <c r="AO115" s="378"/>
      <c r="AP115" s="187"/>
      <c r="AQ115" s="379"/>
      <c r="AR115" s="357" t="e">
        <f t="shared" si="63"/>
        <v>#N/A</v>
      </c>
      <c r="AS115" s="629"/>
      <c r="AT115" s="378"/>
      <c r="AU115" s="187"/>
      <c r="AV115" s="379"/>
      <c r="AW115" s="357" t="e">
        <f t="shared" si="64"/>
        <v>#N/A</v>
      </c>
      <c r="AX115" s="629"/>
    </row>
    <row r="116" spans="2:50">
      <c r="B116" s="598"/>
      <c r="C116" s="357">
        <v>10</v>
      </c>
      <c r="D116" s="378"/>
      <c r="E116" s="378"/>
      <c r="F116" s="378"/>
      <c r="G116" s="378"/>
      <c r="H116" s="633"/>
      <c r="I116" s="204"/>
      <c r="J116" s="204"/>
      <c r="K116" s="205"/>
      <c r="L116" s="572"/>
      <c r="M116" s="206" t="e">
        <f>RANK(K116, K$87:$K$101)</f>
        <v>#N/A</v>
      </c>
      <c r="N116" s="590"/>
      <c r="O116" s="590"/>
      <c r="P116" s="357"/>
      <c r="Q116" s="187"/>
      <c r="R116" s="360"/>
      <c r="S116" s="357" t="e">
        <f t="shared" si="58"/>
        <v>#N/A</v>
      </c>
      <c r="T116" s="629"/>
      <c r="U116" s="378"/>
      <c r="V116" s="187"/>
      <c r="W116" s="379"/>
      <c r="X116" s="357" t="e">
        <f t="shared" si="59"/>
        <v>#N/A</v>
      </c>
      <c r="Y116" s="629"/>
      <c r="Z116" s="378"/>
      <c r="AA116" s="187"/>
      <c r="AB116" s="379"/>
      <c r="AC116" s="357" t="e">
        <f t="shared" si="60"/>
        <v>#N/A</v>
      </c>
      <c r="AD116" s="629"/>
      <c r="AE116" s="378"/>
      <c r="AF116" s="187"/>
      <c r="AG116" s="379"/>
      <c r="AH116" s="357" t="e">
        <f t="shared" si="61"/>
        <v>#N/A</v>
      </c>
      <c r="AI116" s="629"/>
      <c r="AJ116" s="378"/>
      <c r="AK116" s="187"/>
      <c r="AL116" s="379"/>
      <c r="AM116" s="357" t="e">
        <f t="shared" si="62"/>
        <v>#N/A</v>
      </c>
      <c r="AN116" s="629"/>
      <c r="AO116" s="378"/>
      <c r="AP116" s="187"/>
      <c r="AQ116" s="379"/>
      <c r="AR116" s="357" t="e">
        <f t="shared" si="63"/>
        <v>#N/A</v>
      </c>
      <c r="AS116" s="629"/>
      <c r="AT116" s="378"/>
      <c r="AU116" s="187"/>
      <c r="AV116" s="379"/>
      <c r="AW116" s="357" t="e">
        <f t="shared" si="64"/>
        <v>#N/A</v>
      </c>
      <c r="AX116" s="629"/>
    </row>
    <row r="117" spans="2:50">
      <c r="B117" s="598"/>
      <c r="C117" s="357">
        <v>11</v>
      </c>
      <c r="D117" s="378"/>
      <c r="E117" s="378"/>
      <c r="F117" s="378"/>
      <c r="G117" s="378"/>
      <c r="H117" s="633"/>
      <c r="I117" s="207"/>
      <c r="J117" s="207"/>
      <c r="K117" s="207"/>
      <c r="L117" s="572"/>
      <c r="M117" s="206" t="e">
        <f>RANK(K117, K$87:$K$101)</f>
        <v>#N/A</v>
      </c>
      <c r="N117" s="590"/>
      <c r="O117" s="590"/>
      <c r="P117" s="357"/>
      <c r="Q117" s="357"/>
      <c r="R117" s="357"/>
      <c r="S117" s="357" t="e">
        <f t="shared" si="58"/>
        <v>#N/A</v>
      </c>
      <c r="T117" s="629"/>
      <c r="U117" s="378"/>
      <c r="V117" s="378"/>
      <c r="W117" s="378"/>
      <c r="X117" s="357" t="e">
        <f t="shared" si="59"/>
        <v>#N/A</v>
      </c>
      <c r="Y117" s="629"/>
      <c r="Z117" s="378"/>
      <c r="AA117" s="378"/>
      <c r="AB117" s="378"/>
      <c r="AC117" s="357" t="e">
        <f t="shared" si="60"/>
        <v>#N/A</v>
      </c>
      <c r="AD117" s="629"/>
      <c r="AE117" s="378"/>
      <c r="AF117" s="378"/>
      <c r="AG117" s="378"/>
      <c r="AH117" s="357" t="e">
        <f t="shared" si="61"/>
        <v>#N/A</v>
      </c>
      <c r="AI117" s="629"/>
      <c r="AJ117" s="378"/>
      <c r="AK117" s="378"/>
      <c r="AL117" s="378"/>
      <c r="AM117" s="357" t="e">
        <f t="shared" si="62"/>
        <v>#N/A</v>
      </c>
      <c r="AN117" s="629"/>
      <c r="AO117" s="378"/>
      <c r="AP117" s="378"/>
      <c r="AQ117" s="378"/>
      <c r="AR117" s="357" t="e">
        <f t="shared" si="63"/>
        <v>#N/A</v>
      </c>
      <c r="AS117" s="629"/>
      <c r="AT117" s="378"/>
      <c r="AU117" s="378"/>
      <c r="AV117" s="378"/>
      <c r="AW117" s="357" t="e">
        <f t="shared" si="64"/>
        <v>#N/A</v>
      </c>
      <c r="AX117" s="629"/>
    </row>
    <row r="118" spans="2:50">
      <c r="B118" s="598"/>
      <c r="C118" s="357">
        <v>12</v>
      </c>
      <c r="D118" s="378"/>
      <c r="E118" s="378"/>
      <c r="F118" s="378"/>
      <c r="G118" s="378"/>
      <c r="H118" s="633"/>
      <c r="I118" s="207"/>
      <c r="J118" s="207"/>
      <c r="K118" s="207"/>
      <c r="L118" s="572"/>
      <c r="M118" s="206" t="e">
        <f>RANK(K118, K$87:$K$101)</f>
        <v>#N/A</v>
      </c>
      <c r="N118" s="590"/>
      <c r="O118" s="590"/>
      <c r="P118" s="357"/>
      <c r="Q118" s="357"/>
      <c r="R118" s="357"/>
      <c r="S118" s="357" t="e">
        <f t="shared" si="58"/>
        <v>#N/A</v>
      </c>
      <c r="T118" s="629"/>
      <c r="U118" s="378"/>
      <c r="V118" s="378"/>
      <c r="W118" s="378"/>
      <c r="X118" s="357" t="e">
        <f t="shared" si="59"/>
        <v>#N/A</v>
      </c>
      <c r="Y118" s="629"/>
      <c r="Z118" s="378"/>
      <c r="AA118" s="378"/>
      <c r="AB118" s="378"/>
      <c r="AC118" s="357" t="e">
        <f t="shared" si="60"/>
        <v>#N/A</v>
      </c>
      <c r="AD118" s="629"/>
      <c r="AE118" s="378"/>
      <c r="AF118" s="378"/>
      <c r="AG118" s="378"/>
      <c r="AH118" s="357" t="e">
        <f t="shared" si="61"/>
        <v>#N/A</v>
      </c>
      <c r="AI118" s="629"/>
      <c r="AJ118" s="378"/>
      <c r="AK118" s="378"/>
      <c r="AL118" s="378"/>
      <c r="AM118" s="357" t="e">
        <f t="shared" si="62"/>
        <v>#N/A</v>
      </c>
      <c r="AN118" s="629"/>
      <c r="AO118" s="378"/>
      <c r="AP118" s="378"/>
      <c r="AQ118" s="378"/>
      <c r="AR118" s="357" t="e">
        <f t="shared" si="63"/>
        <v>#N/A</v>
      </c>
      <c r="AS118" s="629"/>
      <c r="AT118" s="378"/>
      <c r="AU118" s="378"/>
      <c r="AV118" s="378"/>
      <c r="AW118" s="357" t="e">
        <f t="shared" si="64"/>
        <v>#N/A</v>
      </c>
      <c r="AX118" s="629"/>
    </row>
    <row r="119" spans="2:50">
      <c r="B119" s="598"/>
      <c r="C119" s="357">
        <v>13</v>
      </c>
      <c r="D119" s="378"/>
      <c r="E119" s="378"/>
      <c r="F119" s="378"/>
      <c r="G119" s="378"/>
      <c r="H119" s="633"/>
      <c r="I119" s="207"/>
      <c r="J119" s="207"/>
      <c r="K119" s="207"/>
      <c r="L119" s="572"/>
      <c r="M119" s="206" t="e">
        <f>RANK(K119, K$87:$K$101)</f>
        <v>#N/A</v>
      </c>
      <c r="N119" s="590"/>
      <c r="O119" s="590"/>
      <c r="P119" s="357"/>
      <c r="Q119" s="357"/>
      <c r="R119" s="357"/>
      <c r="S119" s="357" t="e">
        <f t="shared" si="58"/>
        <v>#N/A</v>
      </c>
      <c r="T119" s="629"/>
      <c r="U119" s="378"/>
      <c r="V119" s="378"/>
      <c r="W119" s="378"/>
      <c r="X119" s="357" t="e">
        <f t="shared" si="59"/>
        <v>#N/A</v>
      </c>
      <c r="Y119" s="629"/>
      <c r="Z119" s="378"/>
      <c r="AA119" s="378"/>
      <c r="AB119" s="378"/>
      <c r="AC119" s="357" t="e">
        <f t="shared" si="60"/>
        <v>#N/A</v>
      </c>
      <c r="AD119" s="629"/>
      <c r="AE119" s="378"/>
      <c r="AF119" s="378"/>
      <c r="AG119" s="378"/>
      <c r="AH119" s="357" t="e">
        <f t="shared" si="61"/>
        <v>#N/A</v>
      </c>
      <c r="AI119" s="629"/>
      <c r="AJ119" s="378"/>
      <c r="AK119" s="378"/>
      <c r="AL119" s="378"/>
      <c r="AM119" s="357" t="e">
        <f t="shared" si="62"/>
        <v>#N/A</v>
      </c>
      <c r="AN119" s="629"/>
      <c r="AO119" s="378"/>
      <c r="AP119" s="378"/>
      <c r="AQ119" s="378"/>
      <c r="AR119" s="357" t="e">
        <f t="shared" si="63"/>
        <v>#N/A</v>
      </c>
      <c r="AS119" s="629"/>
      <c r="AT119" s="378"/>
      <c r="AU119" s="378"/>
      <c r="AV119" s="378"/>
      <c r="AW119" s="357" t="e">
        <f t="shared" si="64"/>
        <v>#N/A</v>
      </c>
      <c r="AX119" s="629"/>
    </row>
    <row r="120" spans="2:50">
      <c r="B120" s="598"/>
      <c r="C120" s="357">
        <v>14</v>
      </c>
      <c r="D120" s="378"/>
      <c r="E120" s="378"/>
      <c r="F120" s="378"/>
      <c r="G120" s="378"/>
      <c r="H120" s="633"/>
      <c r="I120" s="207"/>
      <c r="J120" s="207"/>
      <c r="K120" s="207"/>
      <c r="L120" s="572"/>
      <c r="M120" s="206" t="e">
        <f>RANK(K120, K$87:$K$101)</f>
        <v>#N/A</v>
      </c>
      <c r="N120" s="590"/>
      <c r="O120" s="590"/>
      <c r="P120" s="357"/>
      <c r="Q120" s="357"/>
      <c r="R120" s="357"/>
      <c r="S120" s="357" t="e">
        <f t="shared" si="58"/>
        <v>#N/A</v>
      </c>
      <c r="T120" s="629"/>
      <c r="U120" s="378"/>
      <c r="V120" s="378"/>
      <c r="W120" s="378"/>
      <c r="X120" s="357" t="e">
        <f t="shared" si="59"/>
        <v>#N/A</v>
      </c>
      <c r="Y120" s="629"/>
      <c r="Z120" s="378"/>
      <c r="AA120" s="378"/>
      <c r="AB120" s="378"/>
      <c r="AC120" s="357" t="e">
        <f t="shared" si="60"/>
        <v>#N/A</v>
      </c>
      <c r="AD120" s="629"/>
      <c r="AE120" s="378"/>
      <c r="AF120" s="378"/>
      <c r="AG120" s="378"/>
      <c r="AH120" s="357" t="e">
        <f t="shared" si="61"/>
        <v>#N/A</v>
      </c>
      <c r="AI120" s="629"/>
      <c r="AJ120" s="378"/>
      <c r="AK120" s="378"/>
      <c r="AL120" s="378"/>
      <c r="AM120" s="357" t="e">
        <f t="shared" si="62"/>
        <v>#N/A</v>
      </c>
      <c r="AN120" s="629"/>
      <c r="AO120" s="378"/>
      <c r="AP120" s="378"/>
      <c r="AQ120" s="378"/>
      <c r="AR120" s="357" t="e">
        <f t="shared" si="63"/>
        <v>#N/A</v>
      </c>
      <c r="AS120" s="629"/>
      <c r="AT120" s="378"/>
      <c r="AU120" s="378"/>
      <c r="AV120" s="378"/>
      <c r="AW120" s="357" t="e">
        <f t="shared" si="64"/>
        <v>#N/A</v>
      </c>
      <c r="AX120" s="629"/>
    </row>
    <row r="121" spans="2:50">
      <c r="B121" s="598"/>
      <c r="C121" s="357">
        <v>15</v>
      </c>
      <c r="D121" s="378"/>
      <c r="E121" s="378"/>
      <c r="F121" s="378"/>
      <c r="G121" s="378"/>
      <c r="H121" s="634"/>
      <c r="I121" s="207"/>
      <c r="J121" s="207"/>
      <c r="K121" s="207"/>
      <c r="L121" s="573"/>
      <c r="M121" s="204" t="e">
        <f>RANK(K121, K$87:$K$101)</f>
        <v>#N/A</v>
      </c>
      <c r="N121" s="590"/>
      <c r="O121" s="590"/>
      <c r="P121" s="357"/>
      <c r="Q121" s="357"/>
      <c r="R121" s="357"/>
      <c r="S121" s="357" t="e">
        <f t="shared" si="58"/>
        <v>#N/A</v>
      </c>
      <c r="T121" s="629"/>
      <c r="U121" s="378"/>
      <c r="V121" s="378"/>
      <c r="W121" s="378"/>
      <c r="X121" s="357" t="e">
        <f t="shared" si="59"/>
        <v>#N/A</v>
      </c>
      <c r="Y121" s="629"/>
      <c r="Z121" s="378"/>
      <c r="AA121" s="378"/>
      <c r="AB121" s="378"/>
      <c r="AC121" s="357" t="e">
        <f t="shared" si="60"/>
        <v>#N/A</v>
      </c>
      <c r="AD121" s="629"/>
      <c r="AE121" s="378"/>
      <c r="AF121" s="378"/>
      <c r="AG121" s="378"/>
      <c r="AH121" s="357" t="e">
        <f t="shared" si="61"/>
        <v>#N/A</v>
      </c>
      <c r="AI121" s="629"/>
      <c r="AJ121" s="378"/>
      <c r="AK121" s="378"/>
      <c r="AL121" s="378"/>
      <c r="AM121" s="357" t="e">
        <f t="shared" si="62"/>
        <v>#N/A</v>
      </c>
      <c r="AN121" s="629"/>
      <c r="AO121" s="378"/>
      <c r="AP121" s="378"/>
      <c r="AQ121" s="378"/>
      <c r="AR121" s="357" t="e">
        <f t="shared" si="63"/>
        <v>#N/A</v>
      </c>
      <c r="AS121" s="629"/>
      <c r="AT121" s="378"/>
      <c r="AU121" s="378"/>
      <c r="AV121" s="378"/>
      <c r="AW121" s="357" t="e">
        <f t="shared" si="64"/>
        <v>#N/A</v>
      </c>
      <c r="AX121" s="629"/>
    </row>
    <row r="123" spans="2:50" ht="15.75">
      <c r="B123" s="623" t="s">
        <v>668</v>
      </c>
      <c r="C123" s="624"/>
      <c r="D123" s="624"/>
      <c r="E123" s="624"/>
      <c r="F123" s="624"/>
      <c r="G123" s="624"/>
      <c r="H123" s="625"/>
      <c r="I123" s="361"/>
      <c r="J123" s="361"/>
      <c r="K123" s="361"/>
      <c r="L123" s="361"/>
      <c r="M123" s="362"/>
    </row>
    <row r="124" spans="2:50" ht="15.75">
      <c r="B124" s="626"/>
      <c r="C124" s="626"/>
      <c r="D124" s="626"/>
      <c r="E124" s="626"/>
      <c r="F124" s="626"/>
      <c r="G124" s="626"/>
      <c r="H124" s="626"/>
      <c r="I124" s="363"/>
      <c r="J124" s="363"/>
      <c r="K124" s="363"/>
      <c r="L124" s="363"/>
      <c r="M124" s="364"/>
    </row>
    <row r="125" spans="2:50">
      <c r="B125" s="590" t="s">
        <v>669</v>
      </c>
      <c r="C125" s="590" t="s">
        <v>670</v>
      </c>
      <c r="D125" s="590"/>
      <c r="E125" s="590" t="s">
        <v>671</v>
      </c>
      <c r="F125" s="590"/>
      <c r="G125" s="590"/>
      <c r="H125" s="606" t="s">
        <v>672</v>
      </c>
      <c r="I125" s="627" t="s">
        <v>673</v>
      </c>
      <c r="J125" s="627"/>
      <c r="K125" s="627"/>
      <c r="L125" s="643" t="s">
        <v>672</v>
      </c>
      <c r="M125" s="646" t="s">
        <v>674</v>
      </c>
    </row>
    <row r="126" spans="2:50">
      <c r="B126" s="590"/>
      <c r="C126" s="590"/>
      <c r="D126" s="590"/>
      <c r="E126" s="590" t="s">
        <v>675</v>
      </c>
      <c r="F126" s="590"/>
      <c r="G126" s="590"/>
      <c r="H126" s="607"/>
      <c r="I126" s="627" t="s">
        <v>675</v>
      </c>
      <c r="J126" s="627"/>
      <c r="K126" s="627"/>
      <c r="L126" s="644"/>
      <c r="M126" s="647"/>
    </row>
    <row r="127" spans="2:50">
      <c r="B127" s="590"/>
      <c r="C127" s="590"/>
      <c r="D127" s="590"/>
      <c r="E127" s="358" t="s">
        <v>676</v>
      </c>
      <c r="F127" s="358" t="s">
        <v>677</v>
      </c>
      <c r="G127" s="358" t="s">
        <v>678</v>
      </c>
      <c r="H127" s="608"/>
      <c r="I127" s="365" t="s">
        <v>676</v>
      </c>
      <c r="J127" s="365" t="s">
        <v>677</v>
      </c>
      <c r="K127" s="365" t="s">
        <v>678</v>
      </c>
      <c r="L127" s="645"/>
      <c r="M127" s="648"/>
    </row>
    <row r="128" spans="2:50">
      <c r="B128" s="631" t="s">
        <v>680</v>
      </c>
      <c r="C128" s="357">
        <v>1</v>
      </c>
      <c r="D128" s="231"/>
      <c r="E128" s="187"/>
      <c r="F128" s="357"/>
      <c r="G128" s="360"/>
      <c r="H128" s="632" t="e">
        <f>AVERAGE(G128:G142)</f>
        <v>#DIV/0!</v>
      </c>
      <c r="I128" s="204" t="e">
        <f t="shared" ref="I128:K134" si="65">AVERAGEIF($D$7:$D$121,$D128,I$7:I$121)</f>
        <v>#DIV/0!</v>
      </c>
      <c r="J128" s="204" t="e">
        <f t="shared" si="65"/>
        <v>#DIV/0!</v>
      </c>
      <c r="K128" s="204" t="e">
        <f>AVERAGEIF($D$7:$D$121,$D128,K$7:K$121)</f>
        <v>#DIV/0!</v>
      </c>
      <c r="L128" s="640" t="e">
        <f>AVERAGE(K128:K142)</f>
        <v>#DIV/0!</v>
      </c>
      <c r="M128" s="204" t="e">
        <f>RANK(K128, K$128:$K$142)</f>
        <v>#DIV/0!</v>
      </c>
    </row>
    <row r="129" spans="2:13">
      <c r="B129" s="598"/>
      <c r="C129" s="357">
        <v>2</v>
      </c>
      <c r="D129" s="231"/>
      <c r="E129" s="187"/>
      <c r="F129" s="357"/>
      <c r="G129" s="360"/>
      <c r="H129" s="633"/>
      <c r="I129" s="204" t="e">
        <f t="shared" si="65"/>
        <v>#DIV/0!</v>
      </c>
      <c r="J129" s="204" t="e">
        <f t="shared" si="65"/>
        <v>#DIV/0!</v>
      </c>
      <c r="K129" s="204" t="e">
        <f t="shared" si="65"/>
        <v>#DIV/0!</v>
      </c>
      <c r="L129" s="641"/>
      <c r="M129" s="204" t="e">
        <f>RANK(K129, K$128:$K$142)</f>
        <v>#DIV/0!</v>
      </c>
    </row>
    <row r="130" spans="2:13">
      <c r="B130" s="598"/>
      <c r="C130" s="357">
        <v>3</v>
      </c>
      <c r="D130" s="231"/>
      <c r="E130" s="187"/>
      <c r="F130" s="357"/>
      <c r="G130" s="360"/>
      <c r="H130" s="633"/>
      <c r="I130" s="204" t="e">
        <f t="shared" si="65"/>
        <v>#DIV/0!</v>
      </c>
      <c r="J130" s="204" t="e">
        <f t="shared" si="65"/>
        <v>#DIV/0!</v>
      </c>
      <c r="K130" s="204" t="e">
        <f t="shared" si="65"/>
        <v>#DIV/0!</v>
      </c>
      <c r="L130" s="641"/>
      <c r="M130" s="204" t="e">
        <f>RANK(K130, K$128:$K$142)</f>
        <v>#DIV/0!</v>
      </c>
    </row>
    <row r="131" spans="2:13">
      <c r="B131" s="598"/>
      <c r="C131" s="357">
        <v>4</v>
      </c>
      <c r="D131" s="231"/>
      <c r="E131" s="187"/>
      <c r="F131" s="357"/>
      <c r="G131" s="360"/>
      <c r="H131" s="633"/>
      <c r="I131" s="204" t="e">
        <f t="shared" si="65"/>
        <v>#DIV/0!</v>
      </c>
      <c r="J131" s="204" t="e">
        <f t="shared" si="65"/>
        <v>#DIV/0!</v>
      </c>
      <c r="K131" s="204" t="e">
        <f t="shared" si="65"/>
        <v>#DIV/0!</v>
      </c>
      <c r="L131" s="641"/>
      <c r="M131" s="204" t="e">
        <f>RANK(K131, K$128:$K$142)</f>
        <v>#DIV/0!</v>
      </c>
    </row>
    <row r="132" spans="2:13">
      <c r="B132" s="598"/>
      <c r="C132" s="357">
        <v>5</v>
      </c>
      <c r="D132" s="231"/>
      <c r="E132" s="187"/>
      <c r="F132" s="357"/>
      <c r="G132" s="360"/>
      <c r="H132" s="633"/>
      <c r="I132" s="204" t="e">
        <f t="shared" si="65"/>
        <v>#DIV/0!</v>
      </c>
      <c r="J132" s="204" t="e">
        <f t="shared" si="65"/>
        <v>#DIV/0!</v>
      </c>
      <c r="K132" s="204" t="e">
        <f t="shared" si="65"/>
        <v>#DIV/0!</v>
      </c>
      <c r="L132" s="641"/>
      <c r="M132" s="204" t="e">
        <f>RANK(K132, K$128:$K$142)</f>
        <v>#DIV/0!</v>
      </c>
    </row>
    <row r="133" spans="2:13">
      <c r="B133" s="598"/>
      <c r="C133" s="357">
        <v>6</v>
      </c>
      <c r="D133" s="366"/>
      <c r="E133" s="187"/>
      <c r="F133" s="357"/>
      <c r="G133" s="360"/>
      <c r="H133" s="633"/>
      <c r="I133" s="204" t="e">
        <f t="shared" si="65"/>
        <v>#DIV/0!</v>
      </c>
      <c r="J133" s="204" t="e">
        <f t="shared" si="65"/>
        <v>#DIV/0!</v>
      </c>
      <c r="K133" s="204" t="e">
        <f t="shared" si="65"/>
        <v>#DIV/0!</v>
      </c>
      <c r="L133" s="641"/>
      <c r="M133" s="204" t="e">
        <f>RANK(K133, K$128:$K$142)</f>
        <v>#DIV/0!</v>
      </c>
    </row>
    <row r="134" spans="2:13">
      <c r="B134" s="598"/>
      <c r="C134" s="357">
        <v>7</v>
      </c>
      <c r="D134" s="231"/>
      <c r="E134" s="187"/>
      <c r="F134" s="357"/>
      <c r="G134" s="360"/>
      <c r="H134" s="633"/>
      <c r="I134" s="204" t="e">
        <f t="shared" si="65"/>
        <v>#DIV/0!</v>
      </c>
      <c r="J134" s="204" t="e">
        <f t="shared" si="65"/>
        <v>#DIV/0!</v>
      </c>
      <c r="K134" s="204" t="e">
        <f t="shared" si="65"/>
        <v>#DIV/0!</v>
      </c>
      <c r="L134" s="641"/>
      <c r="M134" s="204" t="e">
        <f>RANK(K134, K$128:$K$142)</f>
        <v>#DIV/0!</v>
      </c>
    </row>
    <row r="135" spans="2:13">
      <c r="B135" s="598"/>
      <c r="C135" s="357">
        <v>8</v>
      </c>
      <c r="D135" s="231"/>
      <c r="E135" s="187"/>
      <c r="F135" s="357"/>
      <c r="G135" s="360"/>
      <c r="H135" s="633"/>
      <c r="I135" s="204"/>
      <c r="J135" s="204"/>
      <c r="K135" s="204"/>
      <c r="L135" s="641"/>
      <c r="M135" s="204" t="e">
        <f>RANK(K135, K$128:$K$142)</f>
        <v>#DIV/0!</v>
      </c>
    </row>
    <row r="136" spans="2:13">
      <c r="B136" s="598"/>
      <c r="C136" s="357">
        <v>9</v>
      </c>
      <c r="D136" s="231"/>
      <c r="E136" s="357"/>
      <c r="F136" s="357"/>
      <c r="G136" s="357"/>
      <c r="H136" s="633"/>
      <c r="I136" s="204"/>
      <c r="J136" s="204"/>
      <c r="K136" s="204"/>
      <c r="L136" s="641"/>
      <c r="M136" s="204" t="e">
        <f>RANK(K136, K$128:$K$142)</f>
        <v>#DIV/0!</v>
      </c>
    </row>
    <row r="137" spans="2:13">
      <c r="B137" s="598"/>
      <c r="C137" s="357">
        <v>10</v>
      </c>
      <c r="D137" s="231"/>
      <c r="E137" s="357"/>
      <c r="F137" s="357"/>
      <c r="G137" s="357"/>
      <c r="H137" s="633"/>
      <c r="I137" s="204"/>
      <c r="J137" s="204"/>
      <c r="K137" s="204"/>
      <c r="L137" s="641"/>
      <c r="M137" s="204" t="e">
        <f>RANK(K137, K$128:$K$142)</f>
        <v>#DIV/0!</v>
      </c>
    </row>
    <row r="138" spans="2:13">
      <c r="B138" s="598"/>
      <c r="C138" s="357">
        <v>11</v>
      </c>
      <c r="D138" s="231"/>
      <c r="E138" s="357"/>
      <c r="F138" s="357"/>
      <c r="G138" s="357"/>
      <c r="H138" s="633"/>
      <c r="I138" s="204"/>
      <c r="J138" s="204"/>
      <c r="K138" s="204"/>
      <c r="L138" s="641"/>
      <c r="M138" s="204" t="e">
        <f>RANK(K138, K$128:$K$142)</f>
        <v>#DIV/0!</v>
      </c>
    </row>
    <row r="139" spans="2:13">
      <c r="B139" s="598"/>
      <c r="C139" s="357">
        <v>12</v>
      </c>
      <c r="D139" s="231"/>
      <c r="E139" s="357"/>
      <c r="F139" s="357"/>
      <c r="G139" s="357"/>
      <c r="H139" s="633"/>
      <c r="I139" s="204"/>
      <c r="J139" s="204"/>
      <c r="K139" s="204"/>
      <c r="L139" s="641"/>
      <c r="M139" s="204" t="e">
        <f>RANK(K139, K$128:$K$142)</f>
        <v>#DIV/0!</v>
      </c>
    </row>
    <row r="140" spans="2:13">
      <c r="B140" s="598"/>
      <c r="C140" s="357">
        <v>13</v>
      </c>
      <c r="D140" s="231"/>
      <c r="E140" s="357"/>
      <c r="F140" s="357"/>
      <c r="G140" s="357"/>
      <c r="H140" s="633"/>
      <c r="I140" s="204"/>
      <c r="J140" s="204"/>
      <c r="K140" s="204"/>
      <c r="L140" s="641"/>
      <c r="M140" s="204" t="e">
        <f>RANK(K140, K$128:$K$142)</f>
        <v>#DIV/0!</v>
      </c>
    </row>
    <row r="141" spans="2:13">
      <c r="B141" s="598"/>
      <c r="C141" s="357">
        <v>14</v>
      </c>
      <c r="D141" s="231"/>
      <c r="E141" s="357"/>
      <c r="F141" s="357"/>
      <c r="G141" s="357"/>
      <c r="H141" s="633"/>
      <c r="I141" s="204"/>
      <c r="J141" s="204"/>
      <c r="K141" s="204"/>
      <c r="L141" s="641"/>
      <c r="M141" s="204" t="e">
        <f>RANK(K141, K$128:$K$142)</f>
        <v>#DIV/0!</v>
      </c>
    </row>
    <row r="142" spans="2:13">
      <c r="B142" s="598"/>
      <c r="C142" s="357">
        <v>15</v>
      </c>
      <c r="D142" s="231"/>
      <c r="E142" s="357"/>
      <c r="F142" s="357"/>
      <c r="G142" s="357"/>
      <c r="H142" s="634"/>
      <c r="I142" s="204"/>
      <c r="J142" s="204"/>
      <c r="K142" s="204"/>
      <c r="L142" s="642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Z1" activePane="topRight" state="frozen"/>
      <selection activeCell="BA49" sqref="BA49"/>
      <selection pane="topRight" activeCell="AU13" sqref="AU1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6" t="s">
        <v>332</v>
      </c>
      <c r="C1" s="225">
        <f>AVERAGE(L7,L27,L47,L67,L87,L107)</f>
        <v>257.89772732725612</v>
      </c>
    </row>
    <row r="2" spans="1:54" ht="15.75">
      <c r="A2" s="81"/>
      <c r="B2" s="602" t="s">
        <v>163</v>
      </c>
      <c r="C2" s="602"/>
      <c r="D2" s="602"/>
      <c r="E2" s="602"/>
      <c r="F2" s="602"/>
      <c r="G2" s="602"/>
      <c r="H2" s="602"/>
      <c r="I2" s="320"/>
      <c r="J2" s="320"/>
      <c r="K2" s="320"/>
      <c r="L2" s="320"/>
      <c r="M2" s="202"/>
      <c r="N2" s="591" t="s">
        <v>156</v>
      </c>
      <c r="O2" s="591" t="s">
        <v>155</v>
      </c>
      <c r="P2" s="637">
        <v>45930</v>
      </c>
      <c r="Q2" s="638"/>
      <c r="R2" s="638"/>
      <c r="S2" s="638"/>
      <c r="T2" s="639"/>
      <c r="U2" s="597">
        <f>P2+1</f>
        <v>45931</v>
      </c>
      <c r="V2" s="598"/>
      <c r="W2" s="598"/>
      <c r="X2" s="598"/>
      <c r="Y2" s="598"/>
      <c r="Z2" s="597">
        <f>U2+1</f>
        <v>45932</v>
      </c>
      <c r="AA2" s="598"/>
      <c r="AB2" s="598"/>
      <c r="AC2" s="598"/>
      <c r="AD2" s="598"/>
      <c r="AE2" s="597">
        <f>Z2+1</f>
        <v>45933</v>
      </c>
      <c r="AF2" s="598"/>
      <c r="AG2" s="598"/>
      <c r="AH2" s="598"/>
      <c r="AI2" s="598"/>
      <c r="AJ2" s="597">
        <f>AE2+1</f>
        <v>45934</v>
      </c>
      <c r="AK2" s="598"/>
      <c r="AL2" s="598"/>
      <c r="AM2" s="598"/>
      <c r="AN2" s="598"/>
      <c r="AO2" s="597">
        <f>AJ2+1</f>
        <v>45935</v>
      </c>
      <c r="AP2" s="598"/>
      <c r="AQ2" s="598"/>
      <c r="AR2" s="598"/>
      <c r="AS2" s="598"/>
      <c r="AT2" s="597">
        <f>AO2+1</f>
        <v>45936</v>
      </c>
      <c r="AU2" s="598"/>
      <c r="AV2" s="598"/>
      <c r="AW2" s="598"/>
      <c r="AX2" s="598"/>
    </row>
    <row r="3" spans="1:54" ht="15.75">
      <c r="A3" s="81"/>
      <c r="B3" s="622"/>
      <c r="C3" s="622"/>
      <c r="D3" s="622"/>
      <c r="E3" s="622"/>
      <c r="F3" s="622"/>
      <c r="G3" s="622"/>
      <c r="H3" s="622"/>
      <c r="I3" s="321"/>
      <c r="J3" s="321"/>
      <c r="K3" s="321"/>
      <c r="L3" s="321"/>
      <c r="M3" s="203"/>
      <c r="N3" s="593"/>
      <c r="O3" s="593"/>
      <c r="P3" s="594" t="s">
        <v>158</v>
      </c>
      <c r="Q3" s="595"/>
      <c r="R3" s="595"/>
      <c r="S3" s="595"/>
      <c r="T3" s="596"/>
      <c r="U3" s="594" t="s">
        <v>114</v>
      </c>
      <c r="V3" s="595"/>
      <c r="W3" s="595"/>
      <c r="X3" s="595"/>
      <c r="Y3" s="596"/>
      <c r="Z3" s="594" t="s">
        <v>159</v>
      </c>
      <c r="AA3" s="595"/>
      <c r="AB3" s="595"/>
      <c r="AC3" s="595"/>
      <c r="AD3" s="596"/>
      <c r="AE3" s="594" t="s">
        <v>157</v>
      </c>
      <c r="AF3" s="595"/>
      <c r="AG3" s="595"/>
      <c r="AH3" s="595"/>
      <c r="AI3" s="596"/>
      <c r="AJ3" s="594" t="s">
        <v>160</v>
      </c>
      <c r="AK3" s="595"/>
      <c r="AL3" s="595"/>
      <c r="AM3" s="595"/>
      <c r="AN3" s="596"/>
      <c r="AO3" s="594" t="s">
        <v>161</v>
      </c>
      <c r="AP3" s="595"/>
      <c r="AQ3" s="595"/>
      <c r="AR3" s="595"/>
      <c r="AS3" s="596"/>
      <c r="AT3" s="594" t="s">
        <v>162</v>
      </c>
      <c r="AU3" s="595"/>
      <c r="AV3" s="595"/>
      <c r="AW3" s="595"/>
      <c r="AX3" s="596"/>
    </row>
    <row r="4" spans="1:54" ht="14.25">
      <c r="A4" s="81"/>
      <c r="B4" s="590" t="s">
        <v>527</v>
      </c>
      <c r="C4" s="590" t="s">
        <v>528</v>
      </c>
      <c r="D4" s="590"/>
      <c r="E4" s="590" t="s">
        <v>529</v>
      </c>
      <c r="F4" s="590"/>
      <c r="G4" s="590"/>
      <c r="H4" s="606" t="s">
        <v>530</v>
      </c>
      <c r="I4" s="574" t="s">
        <v>531</v>
      </c>
      <c r="J4" s="574"/>
      <c r="K4" s="574"/>
      <c r="L4" s="575" t="s">
        <v>530</v>
      </c>
      <c r="M4" s="581" t="s">
        <v>532</v>
      </c>
      <c r="N4" s="590"/>
      <c r="O4" s="590" t="s">
        <v>533</v>
      </c>
      <c r="P4" s="587" t="s">
        <v>534</v>
      </c>
      <c r="Q4" s="588"/>
      <c r="R4" s="588"/>
      <c r="S4" s="589"/>
      <c r="T4" s="590" t="s">
        <v>530</v>
      </c>
      <c r="U4" s="587" t="s">
        <v>534</v>
      </c>
      <c r="V4" s="588"/>
      <c r="W4" s="588"/>
      <c r="X4" s="589"/>
      <c r="Y4" s="590" t="s">
        <v>530</v>
      </c>
      <c r="Z4" s="587" t="s">
        <v>534</v>
      </c>
      <c r="AA4" s="588"/>
      <c r="AB4" s="588"/>
      <c r="AC4" s="589"/>
      <c r="AD4" s="590" t="s">
        <v>530</v>
      </c>
      <c r="AE4" s="587" t="s">
        <v>534</v>
      </c>
      <c r="AF4" s="588"/>
      <c r="AG4" s="588"/>
      <c r="AH4" s="589"/>
      <c r="AI4" s="590" t="s">
        <v>530</v>
      </c>
      <c r="AJ4" s="587" t="s">
        <v>534</v>
      </c>
      <c r="AK4" s="588"/>
      <c r="AL4" s="588"/>
      <c r="AM4" s="589"/>
      <c r="AN4" s="590" t="s">
        <v>530</v>
      </c>
      <c r="AO4" s="587" t="s">
        <v>534</v>
      </c>
      <c r="AP4" s="588"/>
      <c r="AQ4" s="588"/>
      <c r="AR4" s="589"/>
      <c r="AS4" s="590" t="s">
        <v>530</v>
      </c>
      <c r="AT4" s="587" t="s">
        <v>534</v>
      </c>
      <c r="AU4" s="588"/>
      <c r="AV4" s="588"/>
      <c r="AW4" s="589"/>
      <c r="AX4" s="590" t="s">
        <v>530</v>
      </c>
    </row>
    <row r="5" spans="1:54" ht="14.25">
      <c r="A5" s="81"/>
      <c r="B5" s="590"/>
      <c r="C5" s="590"/>
      <c r="D5" s="590"/>
      <c r="E5" s="590" t="s">
        <v>535</v>
      </c>
      <c r="F5" s="590"/>
      <c r="G5" s="590"/>
      <c r="H5" s="607"/>
      <c r="I5" s="574" t="s">
        <v>535</v>
      </c>
      <c r="J5" s="574"/>
      <c r="K5" s="574"/>
      <c r="L5" s="576"/>
      <c r="M5" s="582"/>
      <c r="N5" s="590"/>
      <c r="O5" s="590"/>
      <c r="P5" s="587" t="s">
        <v>536</v>
      </c>
      <c r="Q5" s="588"/>
      <c r="R5" s="588"/>
      <c r="S5" s="589"/>
      <c r="T5" s="590"/>
      <c r="U5" s="587" t="s">
        <v>536</v>
      </c>
      <c r="V5" s="588"/>
      <c r="W5" s="588"/>
      <c r="X5" s="589"/>
      <c r="Y5" s="590"/>
      <c r="Z5" s="587" t="s">
        <v>536</v>
      </c>
      <c r="AA5" s="588"/>
      <c r="AB5" s="588"/>
      <c r="AC5" s="589"/>
      <c r="AD5" s="590"/>
      <c r="AE5" s="587" t="s">
        <v>536</v>
      </c>
      <c r="AF5" s="588"/>
      <c r="AG5" s="588"/>
      <c r="AH5" s="589"/>
      <c r="AI5" s="590"/>
      <c r="AJ5" s="587" t="s">
        <v>536</v>
      </c>
      <c r="AK5" s="588"/>
      <c r="AL5" s="588"/>
      <c r="AM5" s="589"/>
      <c r="AN5" s="590"/>
      <c r="AO5" s="587" t="s">
        <v>536</v>
      </c>
      <c r="AP5" s="588"/>
      <c r="AQ5" s="588"/>
      <c r="AR5" s="589"/>
      <c r="AS5" s="590"/>
      <c r="AT5" s="587" t="s">
        <v>536</v>
      </c>
      <c r="AU5" s="588"/>
      <c r="AV5" s="588"/>
      <c r="AW5" s="589"/>
      <c r="AX5" s="590"/>
    </row>
    <row r="6" spans="1:54" ht="14.25">
      <c r="A6" s="79"/>
      <c r="B6" s="590"/>
      <c r="C6" s="590"/>
      <c r="D6" s="590"/>
      <c r="E6" s="331" t="s">
        <v>537</v>
      </c>
      <c r="F6" s="331" t="s">
        <v>538</v>
      </c>
      <c r="G6" s="331" t="s">
        <v>539</v>
      </c>
      <c r="H6" s="608"/>
      <c r="I6" s="332" t="s">
        <v>537</v>
      </c>
      <c r="J6" s="332" t="s">
        <v>538</v>
      </c>
      <c r="K6" s="332" t="s">
        <v>539</v>
      </c>
      <c r="L6" s="577"/>
      <c r="M6" s="583"/>
      <c r="N6" s="590"/>
      <c r="O6" s="590"/>
      <c r="P6" s="331" t="s">
        <v>537</v>
      </c>
      <c r="Q6" s="331" t="s">
        <v>538</v>
      </c>
      <c r="R6" s="331" t="s">
        <v>539</v>
      </c>
      <c r="S6" s="331" t="s">
        <v>532</v>
      </c>
      <c r="T6" s="590"/>
      <c r="U6" s="331" t="s">
        <v>537</v>
      </c>
      <c r="V6" s="331" t="s">
        <v>538</v>
      </c>
      <c r="W6" s="331" t="s">
        <v>539</v>
      </c>
      <c r="X6" s="331" t="s">
        <v>532</v>
      </c>
      <c r="Y6" s="590"/>
      <c r="Z6" s="331" t="s">
        <v>537</v>
      </c>
      <c r="AA6" s="331" t="s">
        <v>538</v>
      </c>
      <c r="AB6" s="331" t="s">
        <v>539</v>
      </c>
      <c r="AC6" s="331" t="s">
        <v>532</v>
      </c>
      <c r="AD6" s="590"/>
      <c r="AE6" s="331" t="s">
        <v>537</v>
      </c>
      <c r="AF6" s="331" t="s">
        <v>538</v>
      </c>
      <c r="AG6" s="331" t="s">
        <v>539</v>
      </c>
      <c r="AH6" s="331" t="s">
        <v>532</v>
      </c>
      <c r="AI6" s="590"/>
      <c r="AJ6" s="331" t="s">
        <v>537</v>
      </c>
      <c r="AK6" s="331" t="s">
        <v>538</v>
      </c>
      <c r="AL6" s="331" t="s">
        <v>539</v>
      </c>
      <c r="AM6" s="331" t="s">
        <v>532</v>
      </c>
      <c r="AN6" s="590"/>
      <c r="AO6" s="331" t="s">
        <v>537</v>
      </c>
      <c r="AP6" s="331" t="s">
        <v>538</v>
      </c>
      <c r="AQ6" s="331" t="s">
        <v>539</v>
      </c>
      <c r="AR6" s="331" t="s">
        <v>532</v>
      </c>
      <c r="AS6" s="590"/>
      <c r="AT6" s="331" t="s">
        <v>537</v>
      </c>
      <c r="AU6" s="331" t="s">
        <v>538</v>
      </c>
      <c r="AV6" s="331" t="s">
        <v>539</v>
      </c>
      <c r="AW6" s="331" t="s">
        <v>532</v>
      </c>
      <c r="AX6" s="590"/>
    </row>
    <row r="7" spans="1:54" ht="14.25">
      <c r="A7" s="81"/>
      <c r="B7" s="631" t="s">
        <v>541</v>
      </c>
      <c r="C7" s="330">
        <v>1</v>
      </c>
      <c r="D7" s="231" t="s">
        <v>362</v>
      </c>
      <c r="E7" s="187">
        <v>4</v>
      </c>
      <c r="F7" s="378">
        <v>2000</v>
      </c>
      <c r="G7" s="379">
        <v>500</v>
      </c>
      <c r="H7" s="632">
        <f>AVERAGE(G7:G21)</f>
        <v>281.19454156954151</v>
      </c>
      <c r="I7" s="204">
        <f>AVERAGE(P7,U7,Z7,AE7,AJ7,AO7,AT7)</f>
        <v>4.4285714285714288</v>
      </c>
      <c r="J7" s="204">
        <f>AVERAGE(Q7,V7,AA7,AF7,AK7,AP7,AU7)</f>
        <v>1895.3594701038353</v>
      </c>
      <c r="K7" s="205">
        <f>AVERAGE(R7,W7,AB7,AG7,AL7,AQ7,AV7)</f>
        <v>430.3749552452569</v>
      </c>
      <c r="L7" s="571">
        <f>IFERROR(AVERAGE(K7:K21),"-")</f>
        <v>249.49422708364861</v>
      </c>
      <c r="M7" s="206">
        <f>RANK(K7, K$7:$K$21)</f>
        <v>4</v>
      </c>
      <c r="N7" s="590"/>
      <c r="O7" s="590"/>
      <c r="P7" s="187">
        <v>5</v>
      </c>
      <c r="Q7" s="187">
        <v>2056.6666666666738</v>
      </c>
      <c r="R7" s="187">
        <v>411.33333333333474</v>
      </c>
      <c r="S7" s="378">
        <f>RANK(R7, R$7:R$21)</f>
        <v>1</v>
      </c>
      <c r="T7" s="629">
        <f>AVERAGE(R7:R21)</f>
        <v>238.73601840403774</v>
      </c>
      <c r="U7" s="187">
        <v>5</v>
      </c>
      <c r="V7" s="187">
        <v>2008.4210526315862</v>
      </c>
      <c r="W7" s="187">
        <v>401.68421052631726</v>
      </c>
      <c r="X7" s="378">
        <f>RANK(W7, W$7:W$21)</f>
        <v>4</v>
      </c>
      <c r="Y7" s="629">
        <f>AVERAGE(W7:W21)</f>
        <v>242.08814423101867</v>
      </c>
      <c r="Z7" s="187">
        <v>4</v>
      </c>
      <c r="AA7" s="187">
        <v>1731.0000000000061</v>
      </c>
      <c r="AB7" s="187">
        <v>432.75000000000153</v>
      </c>
      <c r="AC7" s="378">
        <f>RANK(AB7, AB$7:AB$21)</f>
        <v>3</v>
      </c>
      <c r="AD7" s="629">
        <f>AVERAGE(AB7:AB21)</f>
        <v>257.76324634112854</v>
      </c>
      <c r="AE7" s="187">
        <v>4</v>
      </c>
      <c r="AF7" s="187">
        <v>1796.2499999999977</v>
      </c>
      <c r="AG7" s="187">
        <v>449.06249999999943</v>
      </c>
      <c r="AH7" s="378">
        <f>RANK(AG7, AG$7:AG$21)</f>
        <v>2</v>
      </c>
      <c r="AI7" s="629">
        <f>AVERAGE(AG7:AG21)</f>
        <v>249.91852638414579</v>
      </c>
      <c r="AJ7" s="187">
        <v>4</v>
      </c>
      <c r="AK7" s="187">
        <v>1713.7499999999977</v>
      </c>
      <c r="AL7" s="187">
        <v>428.43749999999943</v>
      </c>
      <c r="AM7" s="378">
        <f>RANK(AL7, AL$7:AL$21)</f>
        <v>2</v>
      </c>
      <c r="AN7" s="629">
        <f>AVERAGE(AL7:AL21)</f>
        <v>247.24239265608514</v>
      </c>
      <c r="AO7" s="187">
        <v>4</v>
      </c>
      <c r="AP7" s="187">
        <v>1941.4285714285784</v>
      </c>
      <c r="AQ7" s="187">
        <v>485.35714285714459</v>
      </c>
      <c r="AR7" s="378">
        <f>RANK(AQ7, AQ$7:AQ$21)</f>
        <v>3</v>
      </c>
      <c r="AS7" s="629">
        <f>AVERAGE(AQ7:AQ21)</f>
        <v>267.3977493184351</v>
      </c>
      <c r="AT7" s="187">
        <v>5</v>
      </c>
      <c r="AU7" s="187">
        <v>2020.000000000007</v>
      </c>
      <c r="AV7" s="187">
        <v>404.00000000000142</v>
      </c>
      <c r="AW7" s="378">
        <f>RANK(AV7, AV$7:AV$21)</f>
        <v>3</v>
      </c>
      <c r="AX7" s="629">
        <f>AVERAGE(AV7:AV21)</f>
        <v>243.31351225068889</v>
      </c>
      <c r="AZ7" s="381" t="e">
        <f>RANK(AX7, $K$7:AX$21)</f>
        <v>#N/A</v>
      </c>
      <c r="BB7" s="378" t="e">
        <f>RANK(BA7, BA$7:BA$21)</f>
        <v>#N/A</v>
      </c>
    </row>
    <row r="8" spans="1:54" ht="15" customHeight="1">
      <c r="A8" s="81"/>
      <c r="B8" s="598"/>
      <c r="C8" s="330">
        <v>2</v>
      </c>
      <c r="D8" s="231" t="s">
        <v>417</v>
      </c>
      <c r="E8" s="187">
        <v>4</v>
      </c>
      <c r="F8" s="378">
        <v>2000</v>
      </c>
      <c r="G8" s="379">
        <v>500</v>
      </c>
      <c r="H8" s="633"/>
      <c r="I8" s="204">
        <f t="shared" ref="I8:K16" si="0">AVERAGE(P8,U8,Z8,AE8,AJ8,AO8,AT8)</f>
        <v>4.4285714285714288</v>
      </c>
      <c r="J8" s="204">
        <f t="shared" si="0"/>
        <v>1955.8451169941732</v>
      </c>
      <c r="K8" s="205">
        <f t="shared" si="0"/>
        <v>444.81444156610172</v>
      </c>
      <c r="L8" s="572"/>
      <c r="M8" s="206">
        <f>RANK(K8, K$7:$K$21)</f>
        <v>1</v>
      </c>
      <c r="N8" s="590"/>
      <c r="O8" s="590"/>
      <c r="P8" s="187">
        <v>5</v>
      </c>
      <c r="Q8" s="187">
        <v>2011.5789473684283</v>
      </c>
      <c r="R8" s="187">
        <v>402.31578947368564</v>
      </c>
      <c r="S8" s="378">
        <f t="shared" ref="S8:S21" si="1">RANK(R8, R$7:R$21)</f>
        <v>2</v>
      </c>
      <c r="T8" s="629"/>
      <c r="U8" s="187">
        <v>5</v>
      </c>
      <c r="V8" s="187">
        <v>2033.6842105263229</v>
      </c>
      <c r="W8" s="187">
        <v>406.7368421052646</v>
      </c>
      <c r="X8" s="378">
        <f t="shared" ref="X8:X21" si="2">RANK(W8, W$7:W$21)</f>
        <v>3</v>
      </c>
      <c r="Y8" s="629"/>
      <c r="Z8" s="187">
        <v>4</v>
      </c>
      <c r="AA8" s="187">
        <v>2033.3333333333403</v>
      </c>
      <c r="AB8" s="187">
        <v>508.33333333333508</v>
      </c>
      <c r="AC8" s="378">
        <f t="shared" ref="AC8:AC21" si="3">RANK(AB8, AB$7:AB$21)</f>
        <v>1</v>
      </c>
      <c r="AD8" s="629"/>
      <c r="AE8" s="187">
        <v>4</v>
      </c>
      <c r="AF8" s="187">
        <v>1847.1428571428637</v>
      </c>
      <c r="AG8" s="187">
        <v>461.78571428571593</v>
      </c>
      <c r="AH8" s="378">
        <f t="shared" ref="AH8:AH21" si="4">RANK(AG8, AG$7:AG$21)</f>
        <v>1</v>
      </c>
      <c r="AI8" s="629"/>
      <c r="AJ8" s="187">
        <v>4</v>
      </c>
      <c r="AK8" s="187">
        <v>1785.8823529411829</v>
      </c>
      <c r="AL8" s="187">
        <v>446.47058823529574</v>
      </c>
      <c r="AM8" s="378">
        <f t="shared" ref="AM8:AM21" si="5">RANK(AL8, AL$7:AL$21)</f>
        <v>1</v>
      </c>
      <c r="AN8" s="629"/>
      <c r="AO8" s="187">
        <v>4</v>
      </c>
      <c r="AP8" s="187">
        <v>1844.0000000000064</v>
      </c>
      <c r="AQ8" s="187">
        <v>461.00000000000159</v>
      </c>
      <c r="AR8" s="378">
        <f t="shared" ref="AR8:AR21" si="6">RANK(AQ8, AQ$7:AQ$21)</f>
        <v>4</v>
      </c>
      <c r="AS8" s="629"/>
      <c r="AT8" s="187">
        <v>5</v>
      </c>
      <c r="AU8" s="187">
        <v>2135.2941176470663</v>
      </c>
      <c r="AV8" s="187">
        <v>427.05882352941325</v>
      </c>
      <c r="AW8" s="378">
        <f t="shared" ref="AW8:AW21" si="7">RANK(AV8, AV$7:AV$21)</f>
        <v>1</v>
      </c>
      <c r="AX8" s="629"/>
      <c r="AZ8" s="381" t="e">
        <f>RANK(AX8, $K$7:AX$21)</f>
        <v>#N/A</v>
      </c>
      <c r="BB8" s="378" t="e">
        <f t="shared" ref="BB8:BB21" si="8">RANK(BA8, BA$7:BA$21)</f>
        <v>#N/A</v>
      </c>
    </row>
    <row r="9" spans="1:54" ht="14.25">
      <c r="A9" s="81"/>
      <c r="B9" s="598"/>
      <c r="C9" s="330">
        <v>3</v>
      </c>
      <c r="D9" s="231" t="s">
        <v>542</v>
      </c>
      <c r="E9" s="187">
        <v>4</v>
      </c>
      <c r="F9" s="378">
        <v>2000</v>
      </c>
      <c r="G9" s="379">
        <v>500</v>
      </c>
      <c r="H9" s="633"/>
      <c r="I9" s="204">
        <f t="shared" si="0"/>
        <v>4.8571428571428568</v>
      </c>
      <c r="J9" s="204">
        <f t="shared" si="0"/>
        <v>2082.9432821183409</v>
      </c>
      <c r="K9" s="205">
        <f t="shared" si="0"/>
        <v>431.63151356652537</v>
      </c>
      <c r="L9" s="572"/>
      <c r="M9" s="206">
        <f>RANK(K9, K$7:$K$21)</f>
        <v>3</v>
      </c>
      <c r="N9" s="590"/>
      <c r="O9" s="590"/>
      <c r="P9" s="187">
        <v>5</v>
      </c>
      <c r="Q9" s="187">
        <v>1999.9999999999936</v>
      </c>
      <c r="R9" s="187">
        <v>399.99999999999875</v>
      </c>
      <c r="S9" s="378">
        <f t="shared" si="1"/>
        <v>3</v>
      </c>
      <c r="T9" s="629"/>
      <c r="U9" s="187">
        <v>5</v>
      </c>
      <c r="V9" s="187">
        <v>2062.4999999999936</v>
      </c>
      <c r="W9" s="187">
        <v>412.49999999999875</v>
      </c>
      <c r="X9" s="378">
        <f t="shared" si="2"/>
        <v>2</v>
      </c>
      <c r="Y9" s="629"/>
      <c r="Z9" s="187">
        <v>5</v>
      </c>
      <c r="AA9" s="187">
        <v>2118.2608695652248</v>
      </c>
      <c r="AB9" s="187">
        <v>423.65217391304498</v>
      </c>
      <c r="AC9" s="378">
        <f t="shared" si="3"/>
        <v>4</v>
      </c>
      <c r="AD9" s="629"/>
      <c r="AE9" s="187">
        <v>5</v>
      </c>
      <c r="AF9" s="187">
        <v>2156.8421052631656</v>
      </c>
      <c r="AG9" s="187">
        <v>431.36842105263315</v>
      </c>
      <c r="AH9" s="378">
        <f t="shared" si="4"/>
        <v>3</v>
      </c>
      <c r="AI9" s="629"/>
      <c r="AJ9" s="187">
        <v>5</v>
      </c>
      <c r="AK9" s="187">
        <v>2073.0000000000073</v>
      </c>
      <c r="AL9" s="187">
        <v>414.60000000000144</v>
      </c>
      <c r="AM9" s="378">
        <f t="shared" si="5"/>
        <v>4</v>
      </c>
      <c r="AN9" s="629"/>
      <c r="AO9" s="187">
        <v>4</v>
      </c>
      <c r="AP9" s="187">
        <v>2106.0000000000073</v>
      </c>
      <c r="AQ9" s="187">
        <v>526.50000000000182</v>
      </c>
      <c r="AR9" s="378">
        <f t="shared" si="6"/>
        <v>1</v>
      </c>
      <c r="AS9" s="629"/>
      <c r="AT9" s="187">
        <v>5</v>
      </c>
      <c r="AU9" s="187">
        <v>2063.9999999999941</v>
      </c>
      <c r="AV9" s="187">
        <v>412.79999999999882</v>
      </c>
      <c r="AW9" s="378">
        <f t="shared" si="7"/>
        <v>2</v>
      </c>
      <c r="AX9" s="629"/>
      <c r="AZ9" s="381" t="e">
        <f>RANK(AX9, $K$7:AX$21)</f>
        <v>#N/A</v>
      </c>
      <c r="BB9" s="378" t="e">
        <f t="shared" si="8"/>
        <v>#N/A</v>
      </c>
    </row>
    <row r="10" spans="1:54" ht="14.25">
      <c r="A10" s="81"/>
      <c r="B10" s="598"/>
      <c r="C10" s="330">
        <v>4</v>
      </c>
      <c r="D10" s="231" t="s">
        <v>418</v>
      </c>
      <c r="E10" s="187">
        <v>12</v>
      </c>
      <c r="F10" s="378">
        <v>2250</v>
      </c>
      <c r="G10" s="379">
        <v>187.5</v>
      </c>
      <c r="H10" s="633"/>
      <c r="I10" s="204">
        <f t="shared" si="0"/>
        <v>12</v>
      </c>
      <c r="J10" s="204">
        <f t="shared" si="0"/>
        <v>1975.5543297866191</v>
      </c>
      <c r="K10" s="205">
        <f t="shared" si="0"/>
        <v>164.62952748221824</v>
      </c>
      <c r="L10" s="572"/>
      <c r="M10" s="206">
        <f>RANK(K10, K$7:$K$21)</f>
        <v>9</v>
      </c>
      <c r="N10" s="590"/>
      <c r="O10" s="590"/>
      <c r="P10" s="187">
        <v>12</v>
      </c>
      <c r="Q10" s="187">
        <v>1985.5384615384623</v>
      </c>
      <c r="R10" s="187">
        <v>165.46153846153854</v>
      </c>
      <c r="S10" s="378">
        <f t="shared" si="1"/>
        <v>9</v>
      </c>
      <c r="T10" s="629"/>
      <c r="U10" s="187">
        <v>12</v>
      </c>
      <c r="V10" s="187">
        <v>2034.1935483870961</v>
      </c>
      <c r="W10" s="187">
        <v>169.51612903225802</v>
      </c>
      <c r="X10" s="378">
        <f t="shared" si="2"/>
        <v>9</v>
      </c>
      <c r="Y10" s="629"/>
      <c r="Z10" s="187">
        <v>12</v>
      </c>
      <c r="AA10" s="187">
        <v>1986.9999999999991</v>
      </c>
      <c r="AB10" s="187">
        <v>165.58333333333326</v>
      </c>
      <c r="AC10" s="378">
        <f t="shared" si="3"/>
        <v>9</v>
      </c>
      <c r="AD10" s="629"/>
      <c r="AE10" s="187">
        <v>12</v>
      </c>
      <c r="AF10" s="187">
        <v>2001.7021276595747</v>
      </c>
      <c r="AG10" s="187">
        <v>166.80851063829789</v>
      </c>
      <c r="AH10" s="378">
        <f t="shared" si="4"/>
        <v>9</v>
      </c>
      <c r="AI10" s="629"/>
      <c r="AJ10" s="187">
        <v>12</v>
      </c>
      <c r="AK10" s="187">
        <v>1839.622641509435</v>
      </c>
      <c r="AL10" s="187">
        <v>153.3018867924529</v>
      </c>
      <c r="AM10" s="378">
        <f t="shared" si="5"/>
        <v>9</v>
      </c>
      <c r="AN10" s="629"/>
      <c r="AO10" s="187">
        <v>12</v>
      </c>
      <c r="AP10" s="187">
        <v>1992.0000000000007</v>
      </c>
      <c r="AQ10" s="187">
        <v>166.00000000000006</v>
      </c>
      <c r="AR10" s="378">
        <f t="shared" si="6"/>
        <v>8</v>
      </c>
      <c r="AS10" s="629"/>
      <c r="AT10" s="187">
        <v>12</v>
      </c>
      <c r="AU10" s="187">
        <v>1988.8235294117649</v>
      </c>
      <c r="AV10" s="187">
        <v>165.73529411764707</v>
      </c>
      <c r="AW10" s="378">
        <f t="shared" si="7"/>
        <v>9</v>
      </c>
      <c r="AX10" s="629"/>
      <c r="AZ10" s="381" t="e">
        <f>RANK(AX10, $K$7:AX$21)</f>
        <v>#N/A</v>
      </c>
      <c r="BB10" s="378" t="e">
        <f t="shared" si="8"/>
        <v>#N/A</v>
      </c>
    </row>
    <row r="11" spans="1:54" ht="14.25">
      <c r="A11" s="81"/>
      <c r="B11" s="598"/>
      <c r="C11" s="330">
        <v>5</v>
      </c>
      <c r="D11" s="231" t="s">
        <v>419</v>
      </c>
      <c r="E11" s="187">
        <v>11</v>
      </c>
      <c r="F11" s="378">
        <v>2118</v>
      </c>
      <c r="G11" s="379">
        <v>192.54545454545453</v>
      </c>
      <c r="H11" s="633"/>
      <c r="I11" s="204">
        <f t="shared" si="0"/>
        <v>11</v>
      </c>
      <c r="J11" s="204">
        <f t="shared" si="0"/>
        <v>2017.265430739674</v>
      </c>
      <c r="K11" s="205">
        <f t="shared" si="0"/>
        <v>183.38776643087948</v>
      </c>
      <c r="L11" s="572"/>
      <c r="M11" s="206">
        <f>RANK(K11, K$7:$K$21)</f>
        <v>7</v>
      </c>
      <c r="N11" s="590"/>
      <c r="O11" s="590"/>
      <c r="P11" s="187">
        <v>11</v>
      </c>
      <c r="Q11" s="187">
        <v>2119.9999999999991</v>
      </c>
      <c r="R11" s="187">
        <v>192.72727272727263</v>
      </c>
      <c r="S11" s="378">
        <f t="shared" si="1"/>
        <v>7</v>
      </c>
      <c r="T11" s="629"/>
      <c r="U11" s="187">
        <v>11</v>
      </c>
      <c r="V11" s="187">
        <v>2038.1250000000005</v>
      </c>
      <c r="W11" s="187">
        <v>185.28409090909096</v>
      </c>
      <c r="X11" s="378">
        <f t="shared" si="2"/>
        <v>7</v>
      </c>
      <c r="Y11" s="629"/>
      <c r="Z11" s="187">
        <v>11</v>
      </c>
      <c r="AA11" s="187">
        <v>2048.76404494382</v>
      </c>
      <c r="AB11" s="187">
        <v>186.25127681307455</v>
      </c>
      <c r="AC11" s="378">
        <f t="shared" si="3"/>
        <v>7</v>
      </c>
      <c r="AD11" s="629"/>
      <c r="AE11" s="187">
        <v>11</v>
      </c>
      <c r="AF11" s="187">
        <v>2039.2105263157903</v>
      </c>
      <c r="AG11" s="187">
        <v>185.38277511961729</v>
      </c>
      <c r="AH11" s="378">
        <f t="shared" si="4"/>
        <v>7</v>
      </c>
      <c r="AI11" s="629"/>
      <c r="AJ11" s="187">
        <v>11</v>
      </c>
      <c r="AK11" s="187">
        <v>2067.5675675675684</v>
      </c>
      <c r="AL11" s="187">
        <v>187.96068796068803</v>
      </c>
      <c r="AM11" s="378">
        <f t="shared" si="5"/>
        <v>7</v>
      </c>
      <c r="AN11" s="629"/>
      <c r="AO11" s="187">
        <v>11</v>
      </c>
      <c r="AP11" s="187">
        <v>1728.3673469387745</v>
      </c>
      <c r="AQ11" s="187">
        <v>157.12430426716131</v>
      </c>
      <c r="AR11" s="378">
        <f t="shared" si="6"/>
        <v>9</v>
      </c>
      <c r="AS11" s="629"/>
      <c r="AT11" s="187">
        <v>11</v>
      </c>
      <c r="AU11" s="187">
        <v>2078.8235294117658</v>
      </c>
      <c r="AV11" s="187">
        <v>188.98395721925144</v>
      </c>
      <c r="AW11" s="378">
        <f t="shared" si="7"/>
        <v>7</v>
      </c>
      <c r="AX11" s="629"/>
      <c r="AZ11" s="381" t="e">
        <f>RANK(AX11, $K$7:AX$21)</f>
        <v>#N/A</v>
      </c>
      <c r="BB11" s="378" t="e">
        <f t="shared" si="8"/>
        <v>#N/A</v>
      </c>
    </row>
    <row r="12" spans="1:54" ht="14.25">
      <c r="A12" s="81"/>
      <c r="B12" s="598"/>
      <c r="C12" s="330">
        <v>6</v>
      </c>
      <c r="D12" s="231" t="s">
        <v>420</v>
      </c>
      <c r="E12" s="187">
        <v>11</v>
      </c>
      <c r="F12" s="378">
        <v>2250</v>
      </c>
      <c r="G12" s="379">
        <v>204.54545454545453</v>
      </c>
      <c r="H12" s="633"/>
      <c r="I12" s="204">
        <f t="shared" si="0"/>
        <v>11</v>
      </c>
      <c r="J12" s="204">
        <f t="shared" si="0"/>
        <v>1984.5320091801452</v>
      </c>
      <c r="K12" s="205">
        <f t="shared" si="0"/>
        <v>180.41200083455865</v>
      </c>
      <c r="L12" s="572"/>
      <c r="M12" s="206">
        <f>RANK(K12, K$7:$K$21)</f>
        <v>8</v>
      </c>
      <c r="N12" s="590"/>
      <c r="O12" s="590"/>
      <c r="P12" s="187">
        <v>11</v>
      </c>
      <c r="Q12" s="187">
        <v>1996.8750000000005</v>
      </c>
      <c r="R12" s="187">
        <v>181.53409090909096</v>
      </c>
      <c r="S12" s="378">
        <f t="shared" si="1"/>
        <v>8</v>
      </c>
      <c r="T12" s="629"/>
      <c r="U12" s="187">
        <v>11</v>
      </c>
      <c r="V12" s="187">
        <v>1924.2424242424236</v>
      </c>
      <c r="W12" s="187">
        <v>174.93112947658395</v>
      </c>
      <c r="X12" s="378">
        <f t="shared" si="2"/>
        <v>8</v>
      </c>
      <c r="Y12" s="629"/>
      <c r="Z12" s="187">
        <v>11</v>
      </c>
      <c r="AA12" s="187">
        <v>2025.681818181818</v>
      </c>
      <c r="AB12" s="187">
        <v>184.15289256198346</v>
      </c>
      <c r="AC12" s="378">
        <f t="shared" si="3"/>
        <v>8</v>
      </c>
      <c r="AD12" s="629"/>
      <c r="AE12" s="187">
        <v>11</v>
      </c>
      <c r="AF12" s="187">
        <v>1935.5844155844161</v>
      </c>
      <c r="AG12" s="187">
        <v>175.96221959858329</v>
      </c>
      <c r="AH12" s="378">
        <f t="shared" si="4"/>
        <v>8</v>
      </c>
      <c r="AI12" s="629"/>
      <c r="AJ12" s="187">
        <v>11</v>
      </c>
      <c r="AK12" s="187">
        <v>2010.7894736842113</v>
      </c>
      <c r="AL12" s="187">
        <v>182.79904306220104</v>
      </c>
      <c r="AM12" s="378">
        <f t="shared" si="5"/>
        <v>8</v>
      </c>
      <c r="AN12" s="629"/>
      <c r="AO12" s="187">
        <v>11</v>
      </c>
      <c r="AP12" s="187">
        <v>1975.6097560975602</v>
      </c>
      <c r="AQ12" s="187">
        <v>179.60088691796003</v>
      </c>
      <c r="AR12" s="378">
        <f t="shared" si="6"/>
        <v>7</v>
      </c>
      <c r="AS12" s="629"/>
      <c r="AT12" s="187">
        <v>11</v>
      </c>
      <c r="AU12" s="187">
        <v>2022.9411764705876</v>
      </c>
      <c r="AV12" s="187">
        <v>183.90374331550797</v>
      </c>
      <c r="AW12" s="378">
        <f t="shared" si="7"/>
        <v>8</v>
      </c>
      <c r="AX12" s="629"/>
      <c r="AZ12" s="381" t="e">
        <f>RANK(AX12, $K$7:AX$21)</f>
        <v>#N/A</v>
      </c>
      <c r="BB12" s="378" t="e">
        <f t="shared" si="8"/>
        <v>#N/A</v>
      </c>
    </row>
    <row r="13" spans="1:54" ht="14.25">
      <c r="A13" s="81"/>
      <c r="B13" s="598"/>
      <c r="C13" s="330">
        <v>7</v>
      </c>
      <c r="D13" s="231" t="s">
        <v>421</v>
      </c>
      <c r="E13" s="187">
        <v>13</v>
      </c>
      <c r="F13" s="378">
        <v>2250</v>
      </c>
      <c r="G13" s="379">
        <v>173.07692307692307</v>
      </c>
      <c r="H13" s="633"/>
      <c r="I13" s="204">
        <f t="shared" si="0"/>
        <v>13</v>
      </c>
      <c r="J13" s="204">
        <f t="shared" si="0"/>
        <v>1955.9757759282822</v>
      </c>
      <c r="K13" s="205">
        <f t="shared" si="0"/>
        <v>150.45967507140631</v>
      </c>
      <c r="L13" s="572"/>
      <c r="M13" s="206">
        <f>RANK(K13, K$7:$K$21)</f>
        <v>10</v>
      </c>
      <c r="N13" s="590"/>
      <c r="O13" s="590"/>
      <c r="P13" s="187">
        <v>13</v>
      </c>
      <c r="Q13" s="187">
        <v>1963.4042553191491</v>
      </c>
      <c r="R13" s="187">
        <v>151.03109656301146</v>
      </c>
      <c r="S13" s="378">
        <f t="shared" si="1"/>
        <v>10</v>
      </c>
      <c r="T13" s="629"/>
      <c r="U13" s="187">
        <v>13</v>
      </c>
      <c r="V13" s="187">
        <v>1951.9148936170218</v>
      </c>
      <c r="W13" s="187">
        <v>150.14729950900167</v>
      </c>
      <c r="X13" s="378">
        <f t="shared" si="2"/>
        <v>10</v>
      </c>
      <c r="Y13" s="629"/>
      <c r="Z13" s="187">
        <v>13</v>
      </c>
      <c r="AA13" s="187">
        <v>1929.3333333333335</v>
      </c>
      <c r="AB13" s="187">
        <v>148.41025641025641</v>
      </c>
      <c r="AC13" s="378">
        <f t="shared" si="3"/>
        <v>10</v>
      </c>
      <c r="AD13" s="629"/>
      <c r="AE13" s="187">
        <v>13</v>
      </c>
      <c r="AF13" s="187">
        <v>1984.4999999999993</v>
      </c>
      <c r="AG13" s="187">
        <v>152.6538461538461</v>
      </c>
      <c r="AH13" s="378">
        <f t="shared" si="4"/>
        <v>10</v>
      </c>
      <c r="AI13" s="629"/>
      <c r="AJ13" s="187">
        <v>13</v>
      </c>
      <c r="AK13" s="187">
        <v>1949.2682926829261</v>
      </c>
      <c r="AL13" s="187">
        <v>149.94371482176354</v>
      </c>
      <c r="AM13" s="378">
        <f t="shared" si="5"/>
        <v>10</v>
      </c>
      <c r="AN13" s="629"/>
      <c r="AO13" s="187">
        <v>13</v>
      </c>
      <c r="AP13" s="187">
        <v>1994.6341463414628</v>
      </c>
      <c r="AQ13" s="187">
        <v>153.43339587242022</v>
      </c>
      <c r="AR13" s="378">
        <f t="shared" si="6"/>
        <v>10</v>
      </c>
      <c r="AS13" s="629"/>
      <c r="AT13" s="187">
        <v>13</v>
      </c>
      <c r="AU13" s="187">
        <v>1918.7755102040821</v>
      </c>
      <c r="AV13" s="187">
        <v>147.59811616954477</v>
      </c>
      <c r="AW13" s="378">
        <f t="shared" si="7"/>
        <v>10</v>
      </c>
      <c r="AX13" s="629"/>
      <c r="AZ13" s="381" t="e">
        <f>RANK(AX13, $K$7:AX$21)</f>
        <v>#N/A</v>
      </c>
      <c r="BB13" s="378" t="e">
        <f t="shared" si="8"/>
        <v>#N/A</v>
      </c>
    </row>
    <row r="14" spans="1:54" ht="14.25">
      <c r="A14" s="81"/>
      <c r="B14" s="598"/>
      <c r="C14" s="330">
        <v>8</v>
      </c>
      <c r="D14" s="231" t="s">
        <v>422</v>
      </c>
      <c r="E14" s="187">
        <v>10</v>
      </c>
      <c r="F14" s="378">
        <v>2250</v>
      </c>
      <c r="G14" s="379">
        <v>225</v>
      </c>
      <c r="H14" s="633"/>
      <c r="I14" s="204">
        <f t="shared" si="0"/>
        <v>10</v>
      </c>
      <c r="J14" s="204">
        <f t="shared" si="0"/>
        <v>1967.0088073691009</v>
      </c>
      <c r="K14" s="205">
        <f t="shared" si="0"/>
        <v>196.70088073691016</v>
      </c>
      <c r="L14" s="572"/>
      <c r="M14" s="206">
        <f>RANK(K14, K$7:$K$21)</f>
        <v>6</v>
      </c>
      <c r="N14" s="590"/>
      <c r="O14" s="590"/>
      <c r="P14" s="187">
        <v>10</v>
      </c>
      <c r="Q14" s="187">
        <v>1942.9411764705858</v>
      </c>
      <c r="R14" s="187">
        <v>194.29411764705858</v>
      </c>
      <c r="S14" s="378">
        <f t="shared" si="1"/>
        <v>6</v>
      </c>
      <c r="T14" s="629"/>
      <c r="U14" s="187">
        <v>10</v>
      </c>
      <c r="V14" s="187">
        <v>1906.2857142857124</v>
      </c>
      <c r="W14" s="187">
        <v>190.62857142857123</v>
      </c>
      <c r="X14" s="378">
        <f t="shared" si="2"/>
        <v>6</v>
      </c>
      <c r="Y14" s="629"/>
      <c r="Z14" s="187">
        <v>10</v>
      </c>
      <c r="AA14" s="187">
        <v>1993.125000000002</v>
      </c>
      <c r="AB14" s="187">
        <v>199.3125000000002</v>
      </c>
      <c r="AC14" s="378">
        <f t="shared" si="3"/>
        <v>5</v>
      </c>
      <c r="AD14" s="629"/>
      <c r="AE14" s="187">
        <v>10</v>
      </c>
      <c r="AF14" s="187">
        <v>2040.0000000000014</v>
      </c>
      <c r="AG14" s="187">
        <v>204.00000000000014</v>
      </c>
      <c r="AH14" s="378">
        <f t="shared" si="4"/>
        <v>5</v>
      </c>
      <c r="AI14" s="629"/>
      <c r="AJ14" s="187">
        <v>10</v>
      </c>
      <c r="AK14" s="187">
        <v>1959.2307692307704</v>
      </c>
      <c r="AL14" s="187">
        <v>195.92307692307705</v>
      </c>
      <c r="AM14" s="378">
        <f t="shared" si="5"/>
        <v>5</v>
      </c>
      <c r="AN14" s="629"/>
      <c r="AO14" s="187">
        <v>10</v>
      </c>
      <c r="AP14" s="187">
        <v>1945.7142857142871</v>
      </c>
      <c r="AQ14" s="187">
        <v>194.57142857142873</v>
      </c>
      <c r="AR14" s="378">
        <f t="shared" si="6"/>
        <v>6</v>
      </c>
      <c r="AS14" s="629"/>
      <c r="AT14" s="187">
        <v>10</v>
      </c>
      <c r="AU14" s="187">
        <v>1981.7647058823504</v>
      </c>
      <c r="AV14" s="187">
        <v>198.17647058823505</v>
      </c>
      <c r="AW14" s="378">
        <f t="shared" si="7"/>
        <v>6</v>
      </c>
      <c r="AX14" s="629"/>
      <c r="AZ14" s="381" t="e">
        <f>RANK(AX14, $K$7:AX$21)</f>
        <v>#N/A</v>
      </c>
      <c r="BB14" s="378" t="e">
        <f t="shared" si="8"/>
        <v>#N/A</v>
      </c>
    </row>
    <row r="15" spans="1:54" ht="14.25">
      <c r="A15" s="81"/>
      <c r="B15" s="598"/>
      <c r="C15" s="330">
        <v>9</v>
      </c>
      <c r="D15" s="231" t="s">
        <v>423</v>
      </c>
      <c r="E15" s="187">
        <v>10</v>
      </c>
      <c r="F15" s="378">
        <v>2250</v>
      </c>
      <c r="G15" s="379">
        <v>225</v>
      </c>
      <c r="H15" s="633"/>
      <c r="I15" s="204">
        <f t="shared" si="0"/>
        <v>10</v>
      </c>
      <c r="J15" s="204">
        <f t="shared" si="0"/>
        <v>1975.480276994999</v>
      </c>
      <c r="K15" s="205">
        <f t="shared" si="0"/>
        <v>197.54802769949993</v>
      </c>
      <c r="L15" s="572"/>
      <c r="M15" s="206">
        <f>RANK(K15, K$7:$K$21)</f>
        <v>5</v>
      </c>
      <c r="N15" s="590"/>
      <c r="O15" s="590"/>
      <c r="P15" s="187">
        <v>10</v>
      </c>
      <c r="Q15" s="187">
        <v>2005.9793814432996</v>
      </c>
      <c r="R15" s="187">
        <v>200.59793814432996</v>
      </c>
      <c r="S15" s="378">
        <f t="shared" si="1"/>
        <v>5</v>
      </c>
      <c r="T15" s="629"/>
      <c r="U15" s="187">
        <v>10</v>
      </c>
      <c r="V15" s="187">
        <v>1938.3673469387761</v>
      </c>
      <c r="W15" s="187">
        <v>193.83673469387762</v>
      </c>
      <c r="X15" s="378">
        <f t="shared" si="2"/>
        <v>5</v>
      </c>
      <c r="Y15" s="629"/>
      <c r="Z15" s="187">
        <v>10</v>
      </c>
      <c r="AA15" s="187">
        <v>1988</v>
      </c>
      <c r="AB15" s="187">
        <v>198.8</v>
      </c>
      <c r="AC15" s="378">
        <f t="shared" si="3"/>
        <v>6</v>
      </c>
      <c r="AD15" s="629"/>
      <c r="AE15" s="187">
        <v>10</v>
      </c>
      <c r="AF15" s="187">
        <v>1947.692307692309</v>
      </c>
      <c r="AG15" s="187">
        <v>194.76923076923089</v>
      </c>
      <c r="AH15" s="378">
        <f t="shared" si="4"/>
        <v>6</v>
      </c>
      <c r="AI15" s="629"/>
      <c r="AJ15" s="187">
        <v>10</v>
      </c>
      <c r="AK15" s="187">
        <v>1947.7611940298507</v>
      </c>
      <c r="AL15" s="187">
        <v>194.77611940298507</v>
      </c>
      <c r="AM15" s="378">
        <f t="shared" si="5"/>
        <v>6</v>
      </c>
      <c r="AN15" s="629"/>
      <c r="AO15" s="187">
        <v>10</v>
      </c>
      <c r="AP15" s="187">
        <v>2014.9367088607587</v>
      </c>
      <c r="AQ15" s="187">
        <v>201.49367088607588</v>
      </c>
      <c r="AR15" s="378">
        <f t="shared" si="6"/>
        <v>5</v>
      </c>
      <c r="AS15" s="629"/>
      <c r="AT15" s="187">
        <v>10</v>
      </c>
      <c r="AU15" s="187">
        <v>1985.6250000000005</v>
      </c>
      <c r="AV15" s="187">
        <v>198.56250000000006</v>
      </c>
      <c r="AW15" s="378">
        <f t="shared" si="7"/>
        <v>5</v>
      </c>
      <c r="AX15" s="629"/>
      <c r="AZ15" s="381" t="e">
        <f>RANK(AX15, $K$7:AX$21)</f>
        <v>#N/A</v>
      </c>
      <c r="BB15" s="378" t="e">
        <f t="shared" si="8"/>
        <v>#N/A</v>
      </c>
    </row>
    <row r="16" spans="1:54" ht="14.25">
      <c r="A16" s="81"/>
      <c r="B16" s="598"/>
      <c r="C16" s="330">
        <v>10</v>
      </c>
      <c r="D16" s="231" t="s">
        <v>416</v>
      </c>
      <c r="E16" s="187">
        <v>18</v>
      </c>
      <c r="F16" s="378">
        <v>1200</v>
      </c>
      <c r="G16" s="379">
        <v>66.666666666666671</v>
      </c>
      <c r="H16" s="633"/>
      <c r="I16" s="204">
        <f t="shared" si="0"/>
        <v>15.857142857142858</v>
      </c>
      <c r="J16" s="204">
        <f t="shared" si="0"/>
        <v>1234.5502736244653</v>
      </c>
      <c r="K16" s="205">
        <f t="shared" si="0"/>
        <v>79.827551219053575</v>
      </c>
      <c r="L16" s="572"/>
      <c r="M16" s="206">
        <f>RANK(K16, K$7:$K$21)</f>
        <v>12</v>
      </c>
      <c r="N16" s="590"/>
      <c r="O16" s="590"/>
      <c r="P16" s="187">
        <v>18</v>
      </c>
      <c r="Q16" s="187">
        <v>1219.7872340425529</v>
      </c>
      <c r="R16" s="187">
        <v>67.7659574468085</v>
      </c>
      <c r="S16" s="378">
        <f t="shared" si="1"/>
        <v>12</v>
      </c>
      <c r="T16" s="629"/>
      <c r="U16" s="187">
        <v>18</v>
      </c>
      <c r="V16" s="187">
        <v>1255.1162790697672</v>
      </c>
      <c r="W16" s="187">
        <v>69.728682170542626</v>
      </c>
      <c r="X16" s="378">
        <f t="shared" si="2"/>
        <v>12</v>
      </c>
      <c r="Y16" s="629"/>
      <c r="Z16" s="187">
        <v>18</v>
      </c>
      <c r="AA16" s="187">
        <v>1233.4883720930231</v>
      </c>
      <c r="AB16" s="187">
        <v>68.52713178294573</v>
      </c>
      <c r="AC16" s="378">
        <f t="shared" si="3"/>
        <v>12</v>
      </c>
      <c r="AD16" s="629"/>
      <c r="AE16" s="187">
        <v>18</v>
      </c>
      <c r="AF16" s="187">
        <v>1250.7692307692305</v>
      </c>
      <c r="AG16" s="187">
        <v>69.487179487179475</v>
      </c>
      <c r="AH16" s="378">
        <f t="shared" si="4"/>
        <v>12</v>
      </c>
      <c r="AI16" s="629"/>
      <c r="AJ16" s="187">
        <v>13</v>
      </c>
      <c r="AK16" s="187">
        <v>1262.7692307692314</v>
      </c>
      <c r="AL16" s="187">
        <v>97.136094674556261</v>
      </c>
      <c r="AM16" s="378">
        <f t="shared" si="5"/>
        <v>12</v>
      </c>
      <c r="AN16" s="629"/>
      <c r="AO16" s="187">
        <v>13</v>
      </c>
      <c r="AP16" s="187">
        <v>1222.5882352941185</v>
      </c>
      <c r="AQ16" s="187">
        <v>94.045248868778344</v>
      </c>
      <c r="AR16" s="378">
        <f t="shared" si="6"/>
        <v>12</v>
      </c>
      <c r="AS16" s="629"/>
      <c r="AT16" s="187">
        <v>13</v>
      </c>
      <c r="AU16" s="187">
        <v>1197.3333333333333</v>
      </c>
      <c r="AV16" s="187">
        <v>92.102564102564102</v>
      </c>
      <c r="AW16" s="378">
        <f t="shared" si="7"/>
        <v>12</v>
      </c>
      <c r="AX16" s="629"/>
      <c r="AZ16" s="381" t="e">
        <f>RANK(AX16, $K$7:AX$21)</f>
        <v>#N/A</v>
      </c>
      <c r="BB16" s="378" t="e">
        <f t="shared" si="8"/>
        <v>#N/A</v>
      </c>
    </row>
    <row r="17" spans="2:54">
      <c r="B17" s="598"/>
      <c r="C17" s="330">
        <v>11</v>
      </c>
      <c r="D17" s="231" t="s">
        <v>664</v>
      </c>
      <c r="E17" s="187">
        <v>4</v>
      </c>
      <c r="F17" s="378">
        <v>2000</v>
      </c>
      <c r="G17" s="379">
        <v>500</v>
      </c>
      <c r="H17" s="633"/>
      <c r="I17" s="380">
        <f t="shared" ref="I17:I18" si="9">AVERAGE(P17,U17,Z17,AE17,AJ17,AO17,AT17)</f>
        <v>4.8571428571428568</v>
      </c>
      <c r="J17" s="380">
        <f t="shared" ref="J17:J18" si="10">AVERAGE(Q17,V17,AA17,AF17,AK17,AP17,AU17)</f>
        <v>2101.7675070028085</v>
      </c>
      <c r="K17" s="205">
        <f t="shared" ref="K17:K18" si="11">AVERAGE(R17,W17,AB17,AG17,AL17,AQ17,AV17)</f>
        <v>434.38207282913328</v>
      </c>
      <c r="L17" s="572"/>
      <c r="M17" s="206">
        <f>RANK(K17, K$7:$K$21)</f>
        <v>2</v>
      </c>
      <c r="N17" s="590"/>
      <c r="O17" s="590"/>
      <c r="P17" s="187">
        <v>5</v>
      </c>
      <c r="Q17" s="187">
        <v>1986.6666666666738</v>
      </c>
      <c r="R17" s="187">
        <v>397.33333333333474</v>
      </c>
      <c r="S17" s="378">
        <f t="shared" si="1"/>
        <v>4</v>
      </c>
      <c r="T17" s="629"/>
      <c r="U17" s="187">
        <v>5</v>
      </c>
      <c r="V17" s="187">
        <v>2255.2941176470667</v>
      </c>
      <c r="W17" s="187">
        <v>451.05882352941336</v>
      </c>
      <c r="X17" s="378">
        <f t="shared" si="2"/>
        <v>1</v>
      </c>
      <c r="Y17" s="629"/>
      <c r="Z17" s="187">
        <v>5</v>
      </c>
      <c r="AA17" s="187">
        <v>2396.4705882353023</v>
      </c>
      <c r="AB17" s="187">
        <v>479.29411764706049</v>
      </c>
      <c r="AC17" s="378">
        <f t="shared" si="3"/>
        <v>2</v>
      </c>
      <c r="AD17" s="629"/>
      <c r="AE17" s="187">
        <v>5</v>
      </c>
      <c r="AF17" s="187">
        <v>2032.9411764705956</v>
      </c>
      <c r="AG17" s="187">
        <v>406.5882352941191</v>
      </c>
      <c r="AH17" s="378">
        <f t="shared" si="4"/>
        <v>4</v>
      </c>
      <c r="AI17" s="629"/>
      <c r="AJ17" s="187">
        <v>5</v>
      </c>
      <c r="AK17" s="187">
        <v>2085.0000000000073</v>
      </c>
      <c r="AL17" s="187">
        <v>417.00000000000148</v>
      </c>
      <c r="AM17" s="378">
        <f t="shared" si="5"/>
        <v>3</v>
      </c>
      <c r="AN17" s="629"/>
      <c r="AO17" s="187">
        <v>4</v>
      </c>
      <c r="AP17" s="187">
        <v>1964.0000000000068</v>
      </c>
      <c r="AQ17" s="187">
        <v>491.00000000000171</v>
      </c>
      <c r="AR17" s="378">
        <f t="shared" si="6"/>
        <v>2</v>
      </c>
      <c r="AS17" s="629"/>
      <c r="AT17" s="187">
        <v>5</v>
      </c>
      <c r="AU17" s="187">
        <v>1992.000000000007</v>
      </c>
      <c r="AV17" s="187">
        <v>398.4000000000014</v>
      </c>
      <c r="AW17" s="378">
        <f t="shared" si="7"/>
        <v>4</v>
      </c>
      <c r="AX17" s="629"/>
      <c r="AZ17" s="381" t="e">
        <f>RANK(AX17, $K$7:AX$21)</f>
        <v>#N/A</v>
      </c>
      <c r="BB17" s="378" t="e">
        <f t="shared" si="8"/>
        <v>#N/A</v>
      </c>
    </row>
    <row r="18" spans="2:54">
      <c r="B18" s="598"/>
      <c r="C18" s="330">
        <v>12</v>
      </c>
      <c r="D18" s="231" t="s">
        <v>693</v>
      </c>
      <c r="E18" s="187">
        <v>15</v>
      </c>
      <c r="F18" s="378">
        <v>1500</v>
      </c>
      <c r="G18" s="379">
        <v>100</v>
      </c>
      <c r="H18" s="633"/>
      <c r="I18" s="380">
        <f t="shared" si="9"/>
        <v>15</v>
      </c>
      <c r="J18" s="380">
        <f t="shared" si="10"/>
        <v>1496.4346848335897</v>
      </c>
      <c r="K18" s="205">
        <f t="shared" si="11"/>
        <v>99.762312322239296</v>
      </c>
      <c r="L18" s="572"/>
      <c r="M18" s="206">
        <f>RANK(K18, K$7:$K$21)</f>
        <v>11</v>
      </c>
      <c r="N18" s="590"/>
      <c r="O18" s="590"/>
      <c r="P18" s="187">
        <v>15</v>
      </c>
      <c r="Q18" s="187">
        <v>1506.5662921348312</v>
      </c>
      <c r="R18" s="187">
        <v>100.43775280898875</v>
      </c>
      <c r="S18" s="378">
        <f t="shared" si="1"/>
        <v>11</v>
      </c>
      <c r="T18" s="629"/>
      <c r="U18" s="187">
        <v>15</v>
      </c>
      <c r="V18" s="187">
        <v>1485.0782608695636</v>
      </c>
      <c r="W18" s="187">
        <v>99.005217391304242</v>
      </c>
      <c r="X18" s="378">
        <f t="shared" si="2"/>
        <v>11</v>
      </c>
      <c r="Y18" s="629"/>
      <c r="Z18" s="187">
        <v>15</v>
      </c>
      <c r="AA18" s="187">
        <v>1471.3791044776101</v>
      </c>
      <c r="AB18" s="187">
        <v>98.091940298507339</v>
      </c>
      <c r="AC18" s="378">
        <f t="shared" si="3"/>
        <v>11</v>
      </c>
      <c r="AD18" s="629"/>
      <c r="AE18" s="187">
        <v>15</v>
      </c>
      <c r="AF18" s="187">
        <v>1517.305263157896</v>
      </c>
      <c r="AG18" s="187">
        <v>101.15368421052639</v>
      </c>
      <c r="AH18" s="378">
        <f t="shared" si="4"/>
        <v>11</v>
      </c>
      <c r="AI18" s="629"/>
      <c r="AJ18" s="187">
        <v>15</v>
      </c>
      <c r="AK18" s="187">
        <v>1478.3999999999996</v>
      </c>
      <c r="AL18" s="187">
        <v>98.559999999999974</v>
      </c>
      <c r="AM18" s="378">
        <f t="shared" si="5"/>
        <v>11</v>
      </c>
      <c r="AN18" s="629"/>
      <c r="AO18" s="187">
        <v>15</v>
      </c>
      <c r="AP18" s="187">
        <v>1479.703703703703</v>
      </c>
      <c r="AQ18" s="187">
        <v>98.646913580246874</v>
      </c>
      <c r="AR18" s="378">
        <f t="shared" si="6"/>
        <v>11</v>
      </c>
      <c r="AS18" s="629"/>
      <c r="AT18" s="187">
        <v>15</v>
      </c>
      <c r="AU18" s="187">
        <v>1536.6101694915246</v>
      </c>
      <c r="AV18" s="187">
        <v>102.44067796610165</v>
      </c>
      <c r="AW18" s="378">
        <f t="shared" si="7"/>
        <v>11</v>
      </c>
      <c r="AX18" s="629"/>
      <c r="AZ18" s="381" t="e">
        <f>RANK(AX18, $K$7:AX$21)</f>
        <v>#N/A</v>
      </c>
      <c r="BB18" s="378" t="e">
        <f t="shared" si="8"/>
        <v>#N/A</v>
      </c>
    </row>
    <row r="19" spans="2:54">
      <c r="B19" s="598"/>
      <c r="C19" s="330">
        <v>13</v>
      </c>
      <c r="D19" s="231"/>
      <c r="E19" s="187"/>
      <c r="F19" s="330"/>
      <c r="G19" s="333"/>
      <c r="H19" s="633"/>
      <c r="I19" s="207"/>
      <c r="J19" s="207"/>
      <c r="K19" s="207"/>
      <c r="L19" s="572"/>
      <c r="M19" s="206" t="e">
        <f>RANK(K19, K$7:$K$21)</f>
        <v>#N/A</v>
      </c>
      <c r="N19" s="590"/>
      <c r="O19" s="590"/>
      <c r="P19" s="187"/>
      <c r="Q19" s="187"/>
      <c r="R19" s="187"/>
      <c r="S19" s="378" t="e">
        <f t="shared" si="1"/>
        <v>#N/A</v>
      </c>
      <c r="T19" s="629"/>
      <c r="U19" s="187"/>
      <c r="V19" s="187"/>
      <c r="W19" s="187"/>
      <c r="X19" s="378" t="e">
        <f t="shared" si="2"/>
        <v>#N/A</v>
      </c>
      <c r="Y19" s="629"/>
      <c r="Z19" s="187"/>
      <c r="AA19" s="187"/>
      <c r="AB19" s="187"/>
      <c r="AC19" s="378" t="e">
        <f t="shared" si="3"/>
        <v>#N/A</v>
      </c>
      <c r="AD19" s="629"/>
      <c r="AE19" s="187"/>
      <c r="AF19" s="187"/>
      <c r="AG19" s="187"/>
      <c r="AH19" s="378" t="e">
        <f t="shared" si="4"/>
        <v>#N/A</v>
      </c>
      <c r="AI19" s="629"/>
      <c r="AJ19" s="187"/>
      <c r="AK19" s="187"/>
      <c r="AL19" s="187"/>
      <c r="AM19" s="378" t="e">
        <f t="shared" si="5"/>
        <v>#N/A</v>
      </c>
      <c r="AN19" s="629"/>
      <c r="AO19" s="187"/>
      <c r="AP19" s="187"/>
      <c r="AQ19" s="187"/>
      <c r="AR19" s="378" t="e">
        <f t="shared" si="6"/>
        <v>#N/A</v>
      </c>
      <c r="AS19" s="629"/>
      <c r="AT19" s="187"/>
      <c r="AU19" s="187"/>
      <c r="AV19" s="187"/>
      <c r="AW19" s="378" t="e">
        <f t="shared" si="7"/>
        <v>#N/A</v>
      </c>
      <c r="AX19" s="629"/>
      <c r="AZ19" s="381" t="e">
        <f>RANK(AX19, $K$7:AX$21)</f>
        <v>#N/A</v>
      </c>
      <c r="BB19" s="378" t="e">
        <f t="shared" si="8"/>
        <v>#N/A</v>
      </c>
    </row>
    <row r="20" spans="2:54">
      <c r="B20" s="598"/>
      <c r="C20" s="330">
        <v>14</v>
      </c>
      <c r="D20" s="231"/>
      <c r="E20" s="187"/>
      <c r="F20" s="330"/>
      <c r="G20" s="333"/>
      <c r="H20" s="633"/>
      <c r="I20" s="207"/>
      <c r="J20" s="207"/>
      <c r="K20" s="207"/>
      <c r="L20" s="572"/>
      <c r="M20" s="206" t="e">
        <f>RANK(K20, K$7:$K$21)</f>
        <v>#N/A</v>
      </c>
      <c r="N20" s="590"/>
      <c r="O20" s="590"/>
      <c r="P20" s="187"/>
      <c r="Q20" s="187"/>
      <c r="R20" s="187"/>
      <c r="S20" s="378" t="e">
        <f t="shared" si="1"/>
        <v>#N/A</v>
      </c>
      <c r="T20" s="629"/>
      <c r="U20" s="187"/>
      <c r="V20" s="187"/>
      <c r="W20" s="187"/>
      <c r="X20" s="378" t="e">
        <f t="shared" si="2"/>
        <v>#N/A</v>
      </c>
      <c r="Y20" s="629"/>
      <c r="Z20" s="187"/>
      <c r="AA20" s="187"/>
      <c r="AB20" s="187"/>
      <c r="AC20" s="378" t="e">
        <f t="shared" si="3"/>
        <v>#N/A</v>
      </c>
      <c r="AD20" s="629"/>
      <c r="AE20" s="187"/>
      <c r="AF20" s="187"/>
      <c r="AG20" s="187"/>
      <c r="AH20" s="378" t="e">
        <f t="shared" si="4"/>
        <v>#N/A</v>
      </c>
      <c r="AI20" s="629"/>
      <c r="AJ20" s="187"/>
      <c r="AK20" s="187"/>
      <c r="AL20" s="187"/>
      <c r="AM20" s="378" t="e">
        <f t="shared" si="5"/>
        <v>#N/A</v>
      </c>
      <c r="AN20" s="629"/>
      <c r="AO20" s="187"/>
      <c r="AP20" s="187"/>
      <c r="AQ20" s="187"/>
      <c r="AR20" s="378" t="e">
        <f t="shared" si="6"/>
        <v>#N/A</v>
      </c>
      <c r="AS20" s="629"/>
      <c r="AT20" s="187"/>
      <c r="AU20" s="187"/>
      <c r="AV20" s="187"/>
      <c r="AW20" s="378" t="e">
        <f t="shared" si="7"/>
        <v>#N/A</v>
      </c>
      <c r="AX20" s="629"/>
      <c r="AZ20" s="381" t="e">
        <f>RANK(AX20, $K$7:AX$21)</f>
        <v>#N/A</v>
      </c>
      <c r="BB20" s="378" t="e">
        <f t="shared" si="8"/>
        <v>#N/A</v>
      </c>
    </row>
    <row r="21" spans="2:54">
      <c r="B21" s="598"/>
      <c r="C21" s="330">
        <v>15</v>
      </c>
      <c r="D21" s="231"/>
      <c r="E21" s="187"/>
      <c r="F21" s="330"/>
      <c r="G21" s="333"/>
      <c r="H21" s="634"/>
      <c r="I21" s="207"/>
      <c r="J21" s="207"/>
      <c r="K21" s="207"/>
      <c r="L21" s="573"/>
      <c r="M21" s="204" t="e">
        <f>RANK(K21, K$7:$K$21)</f>
        <v>#N/A</v>
      </c>
      <c r="N21" s="590"/>
      <c r="O21" s="590"/>
      <c r="P21" s="187"/>
      <c r="Q21" s="187"/>
      <c r="R21" s="187"/>
      <c r="S21" s="378" t="e">
        <f t="shared" si="1"/>
        <v>#N/A</v>
      </c>
      <c r="T21" s="629"/>
      <c r="U21" s="187"/>
      <c r="V21" s="187"/>
      <c r="W21" s="187"/>
      <c r="X21" s="378" t="e">
        <f t="shared" si="2"/>
        <v>#N/A</v>
      </c>
      <c r="Y21" s="629"/>
      <c r="Z21" s="187"/>
      <c r="AA21" s="187"/>
      <c r="AB21" s="187"/>
      <c r="AC21" s="378" t="e">
        <f t="shared" si="3"/>
        <v>#N/A</v>
      </c>
      <c r="AD21" s="629"/>
      <c r="AE21" s="187"/>
      <c r="AF21" s="187"/>
      <c r="AG21" s="187"/>
      <c r="AH21" s="378" t="e">
        <f t="shared" si="4"/>
        <v>#N/A</v>
      </c>
      <c r="AI21" s="629"/>
      <c r="AJ21" s="187"/>
      <c r="AK21" s="187"/>
      <c r="AL21" s="187"/>
      <c r="AM21" s="378" t="e">
        <f t="shared" si="5"/>
        <v>#N/A</v>
      </c>
      <c r="AN21" s="629"/>
      <c r="AO21" s="187"/>
      <c r="AP21" s="187"/>
      <c r="AQ21" s="187"/>
      <c r="AR21" s="378" t="e">
        <f t="shared" si="6"/>
        <v>#N/A</v>
      </c>
      <c r="AS21" s="629"/>
      <c r="AT21" s="187"/>
      <c r="AU21" s="187"/>
      <c r="AV21" s="187"/>
      <c r="AW21" s="378" t="e">
        <f t="shared" si="7"/>
        <v>#N/A</v>
      </c>
      <c r="AX21" s="629"/>
      <c r="AZ21" s="380" t="e">
        <f>RANK(AX21, $K$7:AX$21)</f>
        <v>#N/A</v>
      </c>
      <c r="BB21" s="378" t="e">
        <f t="shared" si="8"/>
        <v>#N/A</v>
      </c>
    </row>
    <row r="22" spans="2:54" ht="15.75">
      <c r="B22" s="615" t="s">
        <v>163</v>
      </c>
      <c r="C22" s="616"/>
      <c r="D22" s="616"/>
      <c r="E22" s="616"/>
      <c r="F22" s="616"/>
      <c r="G22" s="616"/>
      <c r="H22" s="616"/>
      <c r="I22" s="208"/>
      <c r="J22" s="208"/>
      <c r="K22" s="208"/>
      <c r="L22" s="208"/>
      <c r="M22" s="209"/>
      <c r="N22" s="591" t="s">
        <v>156</v>
      </c>
      <c r="O22" s="591" t="s">
        <v>105</v>
      </c>
      <c r="P22" s="635">
        <f>AT2+1</f>
        <v>45937</v>
      </c>
      <c r="Q22" s="636"/>
      <c r="R22" s="636"/>
      <c r="S22" s="636"/>
      <c r="T22" s="636"/>
      <c r="U22" s="597">
        <f>P22+1</f>
        <v>45938</v>
      </c>
      <c r="V22" s="598"/>
      <c r="W22" s="598"/>
      <c r="X22" s="598"/>
      <c r="Y22" s="598"/>
      <c r="Z22" s="597">
        <f>U22+1</f>
        <v>45939</v>
      </c>
      <c r="AA22" s="598"/>
      <c r="AB22" s="598"/>
      <c r="AC22" s="598"/>
      <c r="AD22" s="598"/>
      <c r="AE22" s="597">
        <f>Z22+1</f>
        <v>45940</v>
      </c>
      <c r="AF22" s="598"/>
      <c r="AG22" s="598"/>
      <c r="AH22" s="598"/>
      <c r="AI22" s="598"/>
      <c r="AJ22" s="597">
        <f>AE22+1</f>
        <v>45941</v>
      </c>
      <c r="AK22" s="598"/>
      <c r="AL22" s="598"/>
      <c r="AM22" s="598"/>
      <c r="AN22" s="598"/>
      <c r="AO22" s="597">
        <f>AJ22+1</f>
        <v>45942</v>
      </c>
      <c r="AP22" s="598"/>
      <c r="AQ22" s="598"/>
      <c r="AR22" s="598"/>
      <c r="AS22" s="598"/>
      <c r="AT22" s="597">
        <f>AO22+1</f>
        <v>45943</v>
      </c>
      <c r="AU22" s="598"/>
      <c r="AV22" s="598"/>
      <c r="AW22" s="598"/>
      <c r="AX22" s="598"/>
    </row>
    <row r="23" spans="2:54" ht="15.75">
      <c r="B23" s="605"/>
      <c r="C23" s="605"/>
      <c r="D23" s="605"/>
      <c r="E23" s="605"/>
      <c r="F23" s="605"/>
      <c r="G23" s="605"/>
      <c r="H23" s="605"/>
      <c r="I23" s="210"/>
      <c r="J23" s="210"/>
      <c r="K23" s="210"/>
      <c r="L23" s="210"/>
      <c r="M23" s="211"/>
      <c r="N23" s="593"/>
      <c r="O23" s="593"/>
      <c r="P23" s="597" t="s">
        <v>336</v>
      </c>
      <c r="Q23" s="598"/>
      <c r="R23" s="598"/>
      <c r="S23" s="598"/>
      <c r="T23" s="598"/>
      <c r="U23" s="597" t="s">
        <v>337</v>
      </c>
      <c r="V23" s="598"/>
      <c r="W23" s="598"/>
      <c r="X23" s="598"/>
      <c r="Y23" s="598"/>
      <c r="Z23" s="597" t="s">
        <v>338</v>
      </c>
      <c r="AA23" s="598"/>
      <c r="AB23" s="598"/>
      <c r="AC23" s="598"/>
      <c r="AD23" s="598"/>
      <c r="AE23" s="597" t="s">
        <v>339</v>
      </c>
      <c r="AF23" s="598"/>
      <c r="AG23" s="598"/>
      <c r="AH23" s="598"/>
      <c r="AI23" s="598"/>
      <c r="AJ23" s="597" t="s">
        <v>340</v>
      </c>
      <c r="AK23" s="598"/>
      <c r="AL23" s="598"/>
      <c r="AM23" s="598"/>
      <c r="AN23" s="598"/>
      <c r="AO23" s="597" t="s">
        <v>341</v>
      </c>
      <c r="AP23" s="598"/>
      <c r="AQ23" s="598"/>
      <c r="AR23" s="598"/>
      <c r="AS23" s="598"/>
      <c r="AT23" s="597" t="s">
        <v>342</v>
      </c>
      <c r="AU23" s="598"/>
      <c r="AV23" s="598"/>
      <c r="AW23" s="598"/>
      <c r="AX23" s="598"/>
    </row>
    <row r="24" spans="2:54">
      <c r="B24" s="590" t="s">
        <v>444</v>
      </c>
      <c r="C24" s="590" t="s">
        <v>454</v>
      </c>
      <c r="D24" s="590"/>
      <c r="E24" s="590" t="s">
        <v>445</v>
      </c>
      <c r="F24" s="590"/>
      <c r="G24" s="590"/>
      <c r="H24" s="606" t="s">
        <v>441</v>
      </c>
      <c r="I24" s="574" t="s">
        <v>446</v>
      </c>
      <c r="J24" s="574"/>
      <c r="K24" s="574"/>
      <c r="L24" s="575" t="s">
        <v>441</v>
      </c>
      <c r="M24" s="581" t="s">
        <v>442</v>
      </c>
      <c r="N24" s="590"/>
      <c r="O24" s="590" t="s">
        <v>447</v>
      </c>
      <c r="P24" s="587" t="s">
        <v>443</v>
      </c>
      <c r="Q24" s="588"/>
      <c r="R24" s="588"/>
      <c r="S24" s="589"/>
      <c r="T24" s="590" t="s">
        <v>441</v>
      </c>
      <c r="U24" s="587" t="s">
        <v>443</v>
      </c>
      <c r="V24" s="588"/>
      <c r="W24" s="588"/>
      <c r="X24" s="589"/>
      <c r="Y24" s="590" t="s">
        <v>441</v>
      </c>
      <c r="Z24" s="587" t="s">
        <v>443</v>
      </c>
      <c r="AA24" s="588"/>
      <c r="AB24" s="588"/>
      <c r="AC24" s="589"/>
      <c r="AD24" s="590" t="s">
        <v>441</v>
      </c>
      <c r="AE24" s="587" t="s">
        <v>443</v>
      </c>
      <c r="AF24" s="588"/>
      <c r="AG24" s="588"/>
      <c r="AH24" s="589"/>
      <c r="AI24" s="590" t="s">
        <v>441</v>
      </c>
      <c r="AJ24" s="587" t="s">
        <v>443</v>
      </c>
      <c r="AK24" s="588"/>
      <c r="AL24" s="588"/>
      <c r="AM24" s="589"/>
      <c r="AN24" s="590" t="s">
        <v>441</v>
      </c>
      <c r="AO24" s="587" t="s">
        <v>443</v>
      </c>
      <c r="AP24" s="588"/>
      <c r="AQ24" s="588"/>
      <c r="AR24" s="589"/>
      <c r="AS24" s="590" t="s">
        <v>441</v>
      </c>
      <c r="AT24" s="587" t="s">
        <v>443</v>
      </c>
      <c r="AU24" s="588"/>
      <c r="AV24" s="588"/>
      <c r="AW24" s="589"/>
      <c r="AX24" s="590" t="s">
        <v>441</v>
      </c>
    </row>
    <row r="25" spans="2:54">
      <c r="B25" s="590"/>
      <c r="C25" s="590"/>
      <c r="D25" s="590"/>
      <c r="E25" s="590" t="s">
        <v>448</v>
      </c>
      <c r="F25" s="590"/>
      <c r="G25" s="590"/>
      <c r="H25" s="607"/>
      <c r="I25" s="574" t="s">
        <v>448</v>
      </c>
      <c r="J25" s="574"/>
      <c r="K25" s="574"/>
      <c r="L25" s="576"/>
      <c r="M25" s="582"/>
      <c r="N25" s="590"/>
      <c r="O25" s="590"/>
      <c r="P25" s="587" t="s">
        <v>449</v>
      </c>
      <c r="Q25" s="588"/>
      <c r="R25" s="588"/>
      <c r="S25" s="589"/>
      <c r="T25" s="590"/>
      <c r="U25" s="587" t="s">
        <v>449</v>
      </c>
      <c r="V25" s="588"/>
      <c r="W25" s="588"/>
      <c r="X25" s="589"/>
      <c r="Y25" s="590"/>
      <c r="Z25" s="587" t="s">
        <v>449</v>
      </c>
      <c r="AA25" s="588"/>
      <c r="AB25" s="588"/>
      <c r="AC25" s="589"/>
      <c r="AD25" s="590"/>
      <c r="AE25" s="587" t="s">
        <v>449</v>
      </c>
      <c r="AF25" s="588"/>
      <c r="AG25" s="588"/>
      <c r="AH25" s="589"/>
      <c r="AI25" s="590"/>
      <c r="AJ25" s="587" t="s">
        <v>449</v>
      </c>
      <c r="AK25" s="588"/>
      <c r="AL25" s="588"/>
      <c r="AM25" s="589"/>
      <c r="AN25" s="590"/>
      <c r="AO25" s="587" t="s">
        <v>449</v>
      </c>
      <c r="AP25" s="588"/>
      <c r="AQ25" s="588"/>
      <c r="AR25" s="589"/>
      <c r="AS25" s="590"/>
      <c r="AT25" s="587" t="s">
        <v>449</v>
      </c>
      <c r="AU25" s="588"/>
      <c r="AV25" s="588"/>
      <c r="AW25" s="589"/>
      <c r="AX25" s="590"/>
    </row>
    <row r="26" spans="2:54">
      <c r="B26" s="590"/>
      <c r="C26" s="590"/>
      <c r="D26" s="590"/>
      <c r="E26" s="318" t="s">
        <v>450</v>
      </c>
      <c r="F26" s="318" t="s">
        <v>451</v>
      </c>
      <c r="G26" s="318" t="s">
        <v>452</v>
      </c>
      <c r="H26" s="608"/>
      <c r="I26" s="317" t="s">
        <v>450</v>
      </c>
      <c r="J26" s="317" t="s">
        <v>451</v>
      </c>
      <c r="K26" s="317" t="s">
        <v>452</v>
      </c>
      <c r="L26" s="577"/>
      <c r="M26" s="583"/>
      <c r="N26" s="590"/>
      <c r="O26" s="590"/>
      <c r="P26" s="318" t="s">
        <v>450</v>
      </c>
      <c r="Q26" s="318" t="s">
        <v>451</v>
      </c>
      <c r="R26" s="318" t="s">
        <v>452</v>
      </c>
      <c r="S26" s="318" t="s">
        <v>442</v>
      </c>
      <c r="T26" s="590"/>
      <c r="U26" s="318" t="s">
        <v>450</v>
      </c>
      <c r="V26" s="318" t="s">
        <v>451</v>
      </c>
      <c r="W26" s="318" t="s">
        <v>452</v>
      </c>
      <c r="X26" s="318" t="s">
        <v>442</v>
      </c>
      <c r="Y26" s="590"/>
      <c r="Z26" s="318" t="s">
        <v>450</v>
      </c>
      <c r="AA26" s="318" t="s">
        <v>451</v>
      </c>
      <c r="AB26" s="318" t="s">
        <v>452</v>
      </c>
      <c r="AC26" s="318" t="s">
        <v>442</v>
      </c>
      <c r="AD26" s="590"/>
      <c r="AE26" s="318" t="s">
        <v>450</v>
      </c>
      <c r="AF26" s="318" t="s">
        <v>451</v>
      </c>
      <c r="AG26" s="318" t="s">
        <v>452</v>
      </c>
      <c r="AH26" s="318" t="s">
        <v>442</v>
      </c>
      <c r="AI26" s="590"/>
      <c r="AJ26" s="318" t="s">
        <v>450</v>
      </c>
      <c r="AK26" s="318" t="s">
        <v>451</v>
      </c>
      <c r="AL26" s="318" t="s">
        <v>452</v>
      </c>
      <c r="AM26" s="318" t="s">
        <v>442</v>
      </c>
      <c r="AN26" s="590"/>
      <c r="AO26" s="318" t="s">
        <v>450</v>
      </c>
      <c r="AP26" s="318" t="s">
        <v>451</v>
      </c>
      <c r="AQ26" s="318" t="s">
        <v>452</v>
      </c>
      <c r="AR26" s="318" t="s">
        <v>442</v>
      </c>
      <c r="AS26" s="590"/>
      <c r="AT26" s="318" t="s">
        <v>450</v>
      </c>
      <c r="AU26" s="318" t="s">
        <v>451</v>
      </c>
      <c r="AV26" s="318" t="s">
        <v>452</v>
      </c>
      <c r="AW26" s="318" t="s">
        <v>442</v>
      </c>
      <c r="AX26" s="590"/>
    </row>
    <row r="27" spans="2:54">
      <c r="B27" s="631" t="s">
        <v>453</v>
      </c>
      <c r="C27" s="319">
        <v>1</v>
      </c>
      <c r="D27" s="231" t="s">
        <v>362</v>
      </c>
      <c r="E27" s="187">
        <v>4</v>
      </c>
      <c r="F27" s="319">
        <v>2000</v>
      </c>
      <c r="G27" s="322">
        <v>500</v>
      </c>
      <c r="H27" s="632">
        <f>AVERAGE(G27:G41)</f>
        <v>282.14940268065266</v>
      </c>
      <c r="I27" s="204">
        <f>AVERAGE(P27,U27,Z27,AE27,AJ27,AO27,AT27)</f>
        <v>4</v>
      </c>
      <c r="J27" s="204">
        <f>AVERAGE(Q27,V27,AA27,AF27,AK27,AP27,AU27)</f>
        <v>1853.4210526315856</v>
      </c>
      <c r="K27" s="205">
        <f>AVERAGE(R27,W27,AB27,AG27,AL27,AQ27,AV27)</f>
        <v>463.35526315789639</v>
      </c>
      <c r="L27" s="571">
        <f>IFERROR(AVERAGE(K27:K41),"-")</f>
        <v>266.04630766432581</v>
      </c>
      <c r="M27" s="206">
        <f>RANK(K27, K$27:$K$41)</f>
        <v>3</v>
      </c>
      <c r="N27" s="590"/>
      <c r="O27" s="590"/>
      <c r="P27" s="187">
        <v>4</v>
      </c>
      <c r="Q27" s="187">
        <v>1850.0000000000066</v>
      </c>
      <c r="R27" s="187">
        <v>462.50000000000165</v>
      </c>
      <c r="S27" s="319">
        <f t="shared" ref="S27:S41" si="12">RANK(R27, R$27:R$41)</f>
        <v>2</v>
      </c>
      <c r="T27" s="629">
        <f>AVERAGE(R27:R41)</f>
        <v>264.39654030532171</v>
      </c>
      <c r="U27" s="187">
        <v>4</v>
      </c>
      <c r="V27" s="187">
        <v>1856.8421052631645</v>
      </c>
      <c r="W27" s="187">
        <v>464.21052631579113</v>
      </c>
      <c r="X27" s="319">
        <f t="shared" ref="X27:X41" si="13">RANK(W27, W$27:W$41)</f>
        <v>2</v>
      </c>
      <c r="Y27" s="629">
        <f>AVERAGE(W27:W41)</f>
        <v>267.82913262826088</v>
      </c>
      <c r="Z27" s="187"/>
      <c r="AA27" s="187"/>
      <c r="AB27" s="187"/>
      <c r="AC27" s="319" t="e">
        <f t="shared" ref="AC27:AC41" si="14">RANK(AB27, AB$27:AB$41)</f>
        <v>#N/A</v>
      </c>
      <c r="AD27" s="629">
        <f>AVERAGE(AB27:AB41)</f>
        <v>243.65208402091673</v>
      </c>
      <c r="AE27" s="187"/>
      <c r="AF27" s="187"/>
      <c r="AG27" s="187"/>
      <c r="AH27" s="319" t="e">
        <f t="shared" ref="AH27:AH41" si="15">RANK(AG27, AG$27:AG$41)</f>
        <v>#N/A</v>
      </c>
      <c r="AI27" s="629">
        <f>AVERAGE(AG27:AG41)</f>
        <v>245.14173401681089</v>
      </c>
      <c r="AJ27" s="187"/>
      <c r="AK27" s="187"/>
      <c r="AL27" s="187"/>
      <c r="AM27" s="319" t="e">
        <f t="shared" ref="AM27:AM41" si="16">RANK(AL27, AL$27:AL$41)</f>
        <v>#N/A</v>
      </c>
      <c r="AN27" s="629">
        <f>AVERAGE(AL27:AL41)</f>
        <v>246.98411973103705</v>
      </c>
      <c r="AO27" s="187"/>
      <c r="AP27" s="187"/>
      <c r="AQ27" s="187"/>
      <c r="AR27" s="319" t="e">
        <f t="shared" ref="AR27:AR41" si="17">RANK(AQ27, AQ$27:AQ$41)</f>
        <v>#N/A</v>
      </c>
      <c r="AS27" s="629">
        <f>AVERAGE(AQ27:AQ41)</f>
        <v>248.38641644570654</v>
      </c>
      <c r="AT27" s="187"/>
      <c r="AU27" s="187"/>
      <c r="AV27" s="187"/>
      <c r="AW27" s="319" t="e">
        <f t="shared" ref="AW27:AW41" si="18">RANK(AV27, AV$27:AV$41)</f>
        <v>#N/A</v>
      </c>
      <c r="AX27" s="629">
        <f>AVERAGE(AV27:AV41)</f>
        <v>256.23614149561058</v>
      </c>
    </row>
    <row r="28" spans="2:54">
      <c r="B28" s="598"/>
      <c r="C28" s="319">
        <v>2</v>
      </c>
      <c r="D28" s="231" t="s">
        <v>417</v>
      </c>
      <c r="E28" s="187">
        <v>4</v>
      </c>
      <c r="F28" s="319">
        <v>2000</v>
      </c>
      <c r="G28" s="322">
        <v>500</v>
      </c>
      <c r="H28" s="633"/>
      <c r="I28" s="204">
        <f t="shared" ref="I28:I36" si="19">AVERAGE(P28,U28,Z28,AE28,AJ28,AO28,AT28)</f>
        <v>4</v>
      </c>
      <c r="J28" s="204">
        <f t="shared" ref="J28:J36" si="20">AVERAGE(Q28,V28,AA28,AF28,AK28,AP28,AU28)</f>
        <v>1876.1394294559996</v>
      </c>
      <c r="K28" s="205">
        <f t="shared" ref="K28:K36" si="21">AVERAGE(R28,W28,AB28,AG28,AL28,AQ28,AV28)</f>
        <v>469.03485736399989</v>
      </c>
      <c r="L28" s="572"/>
      <c r="M28" s="206">
        <f>RANK(K28, K$27:$K$41)</f>
        <v>2</v>
      </c>
      <c r="N28" s="590"/>
      <c r="O28" s="590"/>
      <c r="P28" s="187">
        <v>4</v>
      </c>
      <c r="Q28" s="187">
        <v>1831.5789473684274</v>
      </c>
      <c r="R28" s="187">
        <v>457.89473684210685</v>
      </c>
      <c r="S28" s="319">
        <f t="shared" si="12"/>
        <v>4</v>
      </c>
      <c r="T28" s="629"/>
      <c r="U28" s="187">
        <v>4</v>
      </c>
      <c r="V28" s="187">
        <v>1846.6666666666733</v>
      </c>
      <c r="W28" s="187">
        <v>461.66666666666833</v>
      </c>
      <c r="X28" s="319">
        <f t="shared" si="13"/>
        <v>4</v>
      </c>
      <c r="Y28" s="629"/>
      <c r="Z28" s="187">
        <v>4</v>
      </c>
      <c r="AA28" s="187">
        <v>1796.4705882353005</v>
      </c>
      <c r="AB28" s="187">
        <v>449.11764705882513</v>
      </c>
      <c r="AC28" s="319">
        <f t="shared" si="14"/>
        <v>3</v>
      </c>
      <c r="AD28" s="629"/>
      <c r="AE28" s="187">
        <v>4</v>
      </c>
      <c r="AF28" s="187">
        <v>1780.0000000000064</v>
      </c>
      <c r="AG28" s="187">
        <v>445.00000000000159</v>
      </c>
      <c r="AH28" s="319">
        <f t="shared" si="15"/>
        <v>3</v>
      </c>
      <c r="AI28" s="629"/>
      <c r="AJ28" s="187">
        <v>4</v>
      </c>
      <c r="AK28" s="187">
        <v>1833.7500000000066</v>
      </c>
      <c r="AL28" s="187">
        <v>458.43750000000165</v>
      </c>
      <c r="AM28" s="319">
        <f t="shared" si="16"/>
        <v>2</v>
      </c>
      <c r="AN28" s="629"/>
      <c r="AO28" s="187">
        <v>4</v>
      </c>
      <c r="AP28" s="187">
        <v>1863.3333333333401</v>
      </c>
      <c r="AQ28" s="187">
        <v>465.83333333333502</v>
      </c>
      <c r="AR28" s="319">
        <f t="shared" si="17"/>
        <v>2</v>
      </c>
      <c r="AS28" s="629"/>
      <c r="AT28" s="187">
        <v>4</v>
      </c>
      <c r="AU28" s="187">
        <v>2181.1764705882429</v>
      </c>
      <c r="AV28" s="187">
        <v>545.29411764706072</v>
      </c>
      <c r="AW28" s="319">
        <f t="shared" si="18"/>
        <v>1</v>
      </c>
      <c r="AX28" s="629"/>
    </row>
    <row r="29" spans="2:54">
      <c r="B29" s="598"/>
      <c r="C29" s="319">
        <v>3</v>
      </c>
      <c r="D29" s="231" t="s">
        <v>542</v>
      </c>
      <c r="E29" s="187">
        <v>4</v>
      </c>
      <c r="F29" s="319">
        <v>2000</v>
      </c>
      <c r="G29" s="322">
        <v>500</v>
      </c>
      <c r="H29" s="633"/>
      <c r="I29" s="204">
        <f t="shared" si="19"/>
        <v>4</v>
      </c>
      <c r="J29" s="204">
        <f t="shared" si="20"/>
        <v>2122.8238580641382</v>
      </c>
      <c r="K29" s="205">
        <f t="shared" si="21"/>
        <v>530.70596451603456</v>
      </c>
      <c r="L29" s="572"/>
      <c r="M29" s="206">
        <f>RANK(K29, K$27:$K$41)</f>
        <v>1</v>
      </c>
      <c r="N29" s="590"/>
      <c r="O29" s="590"/>
      <c r="P29" s="187">
        <v>4</v>
      </c>
      <c r="Q29" s="187">
        <v>2157.2727272727348</v>
      </c>
      <c r="R29" s="187">
        <v>539.31818181818369</v>
      </c>
      <c r="S29" s="319">
        <f t="shared" si="12"/>
        <v>1</v>
      </c>
      <c r="T29" s="629"/>
      <c r="U29" s="187">
        <v>4</v>
      </c>
      <c r="V29" s="187">
        <v>2121.8181818181893</v>
      </c>
      <c r="W29" s="187">
        <v>530.45454545454731</v>
      </c>
      <c r="X29" s="319">
        <f t="shared" si="13"/>
        <v>1</v>
      </c>
      <c r="Y29" s="629"/>
      <c r="Z29" s="187">
        <v>4</v>
      </c>
      <c r="AA29" s="187">
        <v>2070.0000000000073</v>
      </c>
      <c r="AB29" s="187">
        <v>517.50000000000182</v>
      </c>
      <c r="AC29" s="319">
        <f t="shared" si="14"/>
        <v>1</v>
      </c>
      <c r="AD29" s="629"/>
      <c r="AE29" s="187">
        <v>4</v>
      </c>
      <c r="AF29" s="187">
        <v>2096.8421052631656</v>
      </c>
      <c r="AG29" s="187">
        <v>524.21052631579141</v>
      </c>
      <c r="AH29" s="319">
        <f t="shared" si="15"/>
        <v>1</v>
      </c>
      <c r="AI29" s="629"/>
      <c r="AJ29" s="187">
        <v>4</v>
      </c>
      <c r="AK29" s="187">
        <v>2135.4545454545528</v>
      </c>
      <c r="AL29" s="187">
        <v>533.86363636363819</v>
      </c>
      <c r="AM29" s="319">
        <f t="shared" si="16"/>
        <v>1</v>
      </c>
      <c r="AN29" s="629"/>
      <c r="AO29" s="187">
        <v>4</v>
      </c>
      <c r="AP29" s="187">
        <v>2162.7272727272803</v>
      </c>
      <c r="AQ29" s="187">
        <v>540.68181818182006</v>
      </c>
      <c r="AR29" s="319">
        <f t="shared" si="17"/>
        <v>1</v>
      </c>
      <c r="AS29" s="629"/>
      <c r="AT29" s="187">
        <v>4</v>
      </c>
      <c r="AU29" s="187">
        <v>2115.6521739130362</v>
      </c>
      <c r="AV29" s="187">
        <v>528.91304347825906</v>
      </c>
      <c r="AW29" s="319">
        <f t="shared" si="18"/>
        <v>2</v>
      </c>
      <c r="AX29" s="629"/>
    </row>
    <row r="30" spans="2:54">
      <c r="B30" s="598"/>
      <c r="C30" s="319">
        <v>4</v>
      </c>
      <c r="D30" s="231" t="s">
        <v>418</v>
      </c>
      <c r="E30" s="187">
        <v>12</v>
      </c>
      <c r="F30" s="319">
        <v>2250</v>
      </c>
      <c r="G30" s="322">
        <v>187.5</v>
      </c>
      <c r="H30" s="633"/>
      <c r="I30" s="204">
        <f t="shared" si="19"/>
        <v>12</v>
      </c>
      <c r="J30" s="204">
        <f t="shared" si="20"/>
        <v>1957.7294245228454</v>
      </c>
      <c r="K30" s="205">
        <f t="shared" si="21"/>
        <v>163.14411871023711</v>
      </c>
      <c r="L30" s="572"/>
      <c r="M30" s="206">
        <f>RANK(K30, K$27:$K$41)</f>
        <v>9</v>
      </c>
      <c r="N30" s="590"/>
      <c r="O30" s="590"/>
      <c r="P30" s="187">
        <v>12</v>
      </c>
      <c r="Q30" s="187">
        <v>1946.2499999999995</v>
      </c>
      <c r="R30" s="187">
        <v>162.18749999999997</v>
      </c>
      <c r="S30" s="319">
        <f t="shared" si="12"/>
        <v>9</v>
      </c>
      <c r="T30" s="629"/>
      <c r="U30" s="187">
        <v>12</v>
      </c>
      <c r="V30" s="187">
        <v>1980.0000000000005</v>
      </c>
      <c r="W30" s="187">
        <v>165.00000000000003</v>
      </c>
      <c r="X30" s="319">
        <f t="shared" si="13"/>
        <v>9</v>
      </c>
      <c r="Y30" s="629"/>
      <c r="Z30" s="187">
        <v>12</v>
      </c>
      <c r="AA30" s="187">
        <v>1956.9230769230765</v>
      </c>
      <c r="AB30" s="187">
        <v>163.07692307692304</v>
      </c>
      <c r="AC30" s="319">
        <f t="shared" si="14"/>
        <v>8</v>
      </c>
      <c r="AD30" s="629"/>
      <c r="AE30" s="187">
        <v>12</v>
      </c>
      <c r="AF30" s="187">
        <v>1946.399999999999</v>
      </c>
      <c r="AG30" s="187">
        <v>162.1999999999999</v>
      </c>
      <c r="AH30" s="319">
        <f t="shared" si="15"/>
        <v>8</v>
      </c>
      <c r="AI30" s="629"/>
      <c r="AJ30" s="187">
        <v>12</v>
      </c>
      <c r="AK30" s="187">
        <v>1923.1578947368421</v>
      </c>
      <c r="AL30" s="187">
        <v>160.26315789473685</v>
      </c>
      <c r="AM30" s="319">
        <f t="shared" si="16"/>
        <v>8</v>
      </c>
      <c r="AN30" s="629"/>
      <c r="AO30" s="187">
        <v>12</v>
      </c>
      <c r="AP30" s="187">
        <v>1931.9999999999998</v>
      </c>
      <c r="AQ30" s="187">
        <v>160.99999999999997</v>
      </c>
      <c r="AR30" s="319">
        <f t="shared" si="17"/>
        <v>8</v>
      </c>
      <c r="AS30" s="629"/>
      <c r="AT30" s="187">
        <v>12</v>
      </c>
      <c r="AU30" s="187">
        <v>2019.3749999999995</v>
      </c>
      <c r="AV30" s="187">
        <v>168.28124999999997</v>
      </c>
      <c r="AW30" s="319">
        <f t="shared" si="18"/>
        <v>8</v>
      </c>
      <c r="AX30" s="629"/>
    </row>
    <row r="31" spans="2:54">
      <c r="B31" s="598"/>
      <c r="C31" s="319">
        <v>5</v>
      </c>
      <c r="D31" s="231" t="s">
        <v>419</v>
      </c>
      <c r="E31" s="187">
        <v>11</v>
      </c>
      <c r="F31" s="319">
        <v>2118</v>
      </c>
      <c r="G31" s="322">
        <v>192.54545454545453</v>
      </c>
      <c r="H31" s="633"/>
      <c r="I31" s="204">
        <f t="shared" si="19"/>
        <v>11</v>
      </c>
      <c r="J31" s="204">
        <f t="shared" si="20"/>
        <v>2085.8909818544821</v>
      </c>
      <c r="K31" s="205">
        <f t="shared" si="21"/>
        <v>189.62645289586203</v>
      </c>
      <c r="L31" s="572"/>
      <c r="M31" s="206">
        <f>RANK(K31, K$27:$K$41)</f>
        <v>7</v>
      </c>
      <c r="N31" s="590"/>
      <c r="O31" s="590"/>
      <c r="P31" s="187">
        <v>11</v>
      </c>
      <c r="Q31" s="187">
        <v>2079.5744680851067</v>
      </c>
      <c r="R31" s="187">
        <v>189.05222437137334</v>
      </c>
      <c r="S31" s="319">
        <f t="shared" si="12"/>
        <v>7</v>
      </c>
      <c r="T31" s="629"/>
      <c r="U31" s="187">
        <v>11</v>
      </c>
      <c r="V31" s="187">
        <v>2092.7472527472519</v>
      </c>
      <c r="W31" s="187">
        <v>190.24975024975018</v>
      </c>
      <c r="X31" s="319">
        <f t="shared" si="13"/>
        <v>7</v>
      </c>
      <c r="Y31" s="629"/>
      <c r="Z31" s="187">
        <v>11</v>
      </c>
      <c r="AA31" s="187">
        <v>2115.1999999999994</v>
      </c>
      <c r="AB31" s="187">
        <v>192.29090909090903</v>
      </c>
      <c r="AC31" s="319">
        <f t="shared" si="14"/>
        <v>5</v>
      </c>
      <c r="AD31" s="629"/>
      <c r="AE31" s="187">
        <v>11</v>
      </c>
      <c r="AF31" s="187">
        <v>2123.6619718309848</v>
      </c>
      <c r="AG31" s="187">
        <v>193.06017925736225</v>
      </c>
      <c r="AH31" s="319">
        <f t="shared" si="15"/>
        <v>5</v>
      </c>
      <c r="AI31" s="629"/>
      <c r="AJ31" s="187">
        <v>11</v>
      </c>
      <c r="AK31" s="187">
        <v>2078.25</v>
      </c>
      <c r="AL31" s="187">
        <v>188.93181818181819</v>
      </c>
      <c r="AM31" s="319">
        <f t="shared" si="16"/>
        <v>6</v>
      </c>
      <c r="AN31" s="629"/>
      <c r="AO31" s="187">
        <v>11</v>
      </c>
      <c r="AP31" s="187">
        <v>2025.7425742574267</v>
      </c>
      <c r="AQ31" s="187">
        <v>184.15841584158423</v>
      </c>
      <c r="AR31" s="319">
        <f t="shared" si="17"/>
        <v>6</v>
      </c>
      <c r="AS31" s="629"/>
      <c r="AT31" s="187">
        <v>11</v>
      </c>
      <c r="AU31" s="187">
        <v>2086.0606060606065</v>
      </c>
      <c r="AV31" s="187">
        <v>189.64187327823694</v>
      </c>
      <c r="AW31" s="319">
        <f t="shared" si="18"/>
        <v>6</v>
      </c>
      <c r="AX31" s="629"/>
    </row>
    <row r="32" spans="2:54">
      <c r="B32" s="598"/>
      <c r="C32" s="319">
        <v>6</v>
      </c>
      <c r="D32" s="231" t="s">
        <v>420</v>
      </c>
      <c r="E32" s="187">
        <v>11</v>
      </c>
      <c r="F32" s="319">
        <v>2250</v>
      </c>
      <c r="G32" s="322">
        <v>204.54545454545453</v>
      </c>
      <c r="H32" s="633"/>
      <c r="I32" s="204">
        <f t="shared" si="19"/>
        <v>11</v>
      </c>
      <c r="J32" s="204">
        <f t="shared" si="20"/>
        <v>1984.2285457013786</v>
      </c>
      <c r="K32" s="205">
        <f t="shared" si="21"/>
        <v>180.38441324557991</v>
      </c>
      <c r="L32" s="572"/>
      <c r="M32" s="206">
        <f>RANK(K32, K$27:$K$41)</f>
        <v>8</v>
      </c>
      <c r="N32" s="590"/>
      <c r="O32" s="590"/>
      <c r="P32" s="187">
        <v>11</v>
      </c>
      <c r="Q32" s="187">
        <v>1951.8750000000005</v>
      </c>
      <c r="R32" s="187">
        <v>177.44318181818187</v>
      </c>
      <c r="S32" s="319">
        <f t="shared" si="12"/>
        <v>8</v>
      </c>
      <c r="T32" s="629"/>
      <c r="U32" s="187">
        <v>11</v>
      </c>
      <c r="V32" s="187">
        <v>1978.0851063829791</v>
      </c>
      <c r="W32" s="187">
        <v>179.825918762089</v>
      </c>
      <c r="X32" s="319">
        <f t="shared" si="13"/>
        <v>8</v>
      </c>
      <c r="Y32" s="629"/>
      <c r="Z32" s="187">
        <v>11</v>
      </c>
      <c r="AA32" s="187">
        <v>1999.2307692307681</v>
      </c>
      <c r="AB32" s="187">
        <v>181.74825174825165</v>
      </c>
      <c r="AC32" s="319">
        <f t="shared" si="14"/>
        <v>7</v>
      </c>
      <c r="AD32" s="629"/>
      <c r="AE32" s="187">
        <v>11</v>
      </c>
      <c r="AF32" s="187">
        <v>1968.157894736843</v>
      </c>
      <c r="AG32" s="187">
        <v>178.92344497607664</v>
      </c>
      <c r="AH32" s="319">
        <f t="shared" si="15"/>
        <v>7</v>
      </c>
      <c r="AI32" s="629"/>
      <c r="AJ32" s="187">
        <v>11</v>
      </c>
      <c r="AK32" s="187">
        <v>2027.7108433734932</v>
      </c>
      <c r="AL32" s="187">
        <v>184.33734939759029</v>
      </c>
      <c r="AM32" s="319">
        <f t="shared" si="16"/>
        <v>7</v>
      </c>
      <c r="AN32" s="629"/>
      <c r="AO32" s="187">
        <v>11</v>
      </c>
      <c r="AP32" s="187">
        <v>1971.3402061855675</v>
      </c>
      <c r="AQ32" s="187">
        <v>179.21274601686977</v>
      </c>
      <c r="AR32" s="319">
        <f t="shared" si="17"/>
        <v>7</v>
      </c>
      <c r="AS32" s="629"/>
      <c r="AT32" s="187">
        <v>11</v>
      </c>
      <c r="AU32" s="187">
        <v>1993.1999999999991</v>
      </c>
      <c r="AV32" s="187">
        <v>181.19999999999993</v>
      </c>
      <c r="AW32" s="319">
        <f t="shared" si="18"/>
        <v>7</v>
      </c>
      <c r="AX32" s="629"/>
    </row>
    <row r="33" spans="2:50">
      <c r="B33" s="598"/>
      <c r="C33" s="319">
        <v>7</v>
      </c>
      <c r="D33" s="231" t="s">
        <v>421</v>
      </c>
      <c r="E33" s="187">
        <v>13</v>
      </c>
      <c r="F33" s="319">
        <v>2250</v>
      </c>
      <c r="G33" s="322">
        <v>173.07692307692307</v>
      </c>
      <c r="H33" s="633"/>
      <c r="I33" s="204">
        <f t="shared" si="19"/>
        <v>13</v>
      </c>
      <c r="J33" s="204">
        <f t="shared" si="20"/>
        <v>1948.6813970799321</v>
      </c>
      <c r="K33" s="205">
        <f t="shared" si="21"/>
        <v>149.89856900614862</v>
      </c>
      <c r="L33" s="572"/>
      <c r="M33" s="206">
        <f>RANK(K33, K$27:$K$41)</f>
        <v>10</v>
      </c>
      <c r="N33" s="590"/>
      <c r="O33" s="590"/>
      <c r="P33" s="187">
        <v>13</v>
      </c>
      <c r="Q33" s="187">
        <v>1935.0000000000005</v>
      </c>
      <c r="R33" s="187">
        <v>148.84615384615387</v>
      </c>
      <c r="S33" s="319">
        <f t="shared" si="12"/>
        <v>10</v>
      </c>
      <c r="T33" s="629"/>
      <c r="U33" s="187">
        <v>13</v>
      </c>
      <c r="V33" s="187">
        <v>1953.1914893617025</v>
      </c>
      <c r="W33" s="187">
        <v>150.24549918166943</v>
      </c>
      <c r="X33" s="319">
        <f t="shared" si="13"/>
        <v>10</v>
      </c>
      <c r="Y33" s="629"/>
      <c r="Z33" s="187">
        <v>13</v>
      </c>
      <c r="AA33" s="187">
        <v>1943.7209302325577</v>
      </c>
      <c r="AB33" s="187">
        <v>149.51699463327367</v>
      </c>
      <c r="AC33" s="319">
        <f t="shared" si="14"/>
        <v>9</v>
      </c>
      <c r="AD33" s="629"/>
      <c r="AE33" s="187">
        <v>13</v>
      </c>
      <c r="AF33" s="187">
        <v>1999.4999999999993</v>
      </c>
      <c r="AG33" s="187">
        <v>153.80769230769226</v>
      </c>
      <c r="AH33" s="319">
        <f t="shared" si="15"/>
        <v>9</v>
      </c>
      <c r="AI33" s="629"/>
      <c r="AJ33" s="187">
        <v>13</v>
      </c>
      <c r="AK33" s="187">
        <v>1950</v>
      </c>
      <c r="AL33" s="187">
        <v>150</v>
      </c>
      <c r="AM33" s="319">
        <f t="shared" si="16"/>
        <v>9</v>
      </c>
      <c r="AN33" s="629"/>
      <c r="AO33" s="187">
        <v>13</v>
      </c>
      <c r="AP33" s="187">
        <v>1944.2553191489362</v>
      </c>
      <c r="AQ33" s="187">
        <v>149.55810147299511</v>
      </c>
      <c r="AR33" s="319">
        <f t="shared" si="17"/>
        <v>9</v>
      </c>
      <c r="AS33" s="629"/>
      <c r="AT33" s="187">
        <v>13</v>
      </c>
      <c r="AU33" s="187">
        <v>1915.102040816327</v>
      </c>
      <c r="AV33" s="187">
        <v>147.31554160125592</v>
      </c>
      <c r="AW33" s="319">
        <f t="shared" si="18"/>
        <v>9</v>
      </c>
      <c r="AX33" s="629"/>
    </row>
    <row r="34" spans="2:50">
      <c r="B34" s="598"/>
      <c r="C34" s="319">
        <v>8</v>
      </c>
      <c r="D34" s="231" t="s">
        <v>422</v>
      </c>
      <c r="E34" s="187">
        <v>10</v>
      </c>
      <c r="F34" s="319">
        <v>2250</v>
      </c>
      <c r="G34" s="322">
        <v>225</v>
      </c>
      <c r="H34" s="633"/>
      <c r="I34" s="204">
        <f t="shared" si="19"/>
        <v>10</v>
      </c>
      <c r="J34" s="204">
        <f t="shared" si="20"/>
        <v>1942.9292271767661</v>
      </c>
      <c r="K34" s="205">
        <f t="shared" si="21"/>
        <v>194.29292271767662</v>
      </c>
      <c r="L34" s="572"/>
      <c r="M34" s="206">
        <f>RANK(K34, K$27:$K$41)</f>
        <v>6</v>
      </c>
      <c r="N34" s="590"/>
      <c r="O34" s="590"/>
      <c r="P34" s="187">
        <v>10</v>
      </c>
      <c r="Q34" s="187">
        <v>1961.250000000002</v>
      </c>
      <c r="R34" s="187">
        <v>196.1250000000002</v>
      </c>
      <c r="S34" s="319">
        <f t="shared" si="12"/>
        <v>5</v>
      </c>
      <c r="T34" s="629"/>
      <c r="U34" s="187">
        <v>10</v>
      </c>
      <c r="V34" s="187">
        <v>1970.9090909090933</v>
      </c>
      <c r="W34" s="187">
        <v>197.09090909090932</v>
      </c>
      <c r="X34" s="319">
        <f t="shared" si="13"/>
        <v>6</v>
      </c>
      <c r="Y34" s="629"/>
      <c r="Z34" s="187">
        <v>10</v>
      </c>
      <c r="AA34" s="187">
        <v>1880.6896551724151</v>
      </c>
      <c r="AB34" s="187">
        <v>188.06896551724151</v>
      </c>
      <c r="AC34" s="319">
        <f t="shared" si="14"/>
        <v>6</v>
      </c>
      <c r="AD34" s="629"/>
      <c r="AE34" s="187">
        <v>10</v>
      </c>
      <c r="AF34" s="187">
        <v>1896.4285714285729</v>
      </c>
      <c r="AG34" s="187">
        <v>189.64285714285728</v>
      </c>
      <c r="AH34" s="319">
        <f t="shared" si="15"/>
        <v>6</v>
      </c>
      <c r="AI34" s="629"/>
      <c r="AJ34" s="187">
        <v>10</v>
      </c>
      <c r="AK34" s="187">
        <v>1966.000000000002</v>
      </c>
      <c r="AL34" s="187">
        <v>196.60000000000019</v>
      </c>
      <c r="AM34" s="319">
        <f t="shared" si="16"/>
        <v>4</v>
      </c>
      <c r="AN34" s="629"/>
      <c r="AO34" s="187">
        <v>10</v>
      </c>
      <c r="AP34" s="187">
        <v>1972.500000000002</v>
      </c>
      <c r="AQ34" s="187">
        <v>197.2500000000002</v>
      </c>
      <c r="AR34" s="319">
        <f t="shared" si="17"/>
        <v>4</v>
      </c>
      <c r="AS34" s="629"/>
      <c r="AT34" s="187">
        <v>10</v>
      </c>
      <c r="AU34" s="187">
        <v>1952.727272727275</v>
      </c>
      <c r="AV34" s="187">
        <v>195.27272727272751</v>
      </c>
      <c r="AW34" s="319">
        <f t="shared" si="18"/>
        <v>5</v>
      </c>
      <c r="AX34" s="629"/>
    </row>
    <row r="35" spans="2:50">
      <c r="B35" s="598"/>
      <c r="C35" s="319">
        <v>9</v>
      </c>
      <c r="D35" s="231" t="s">
        <v>423</v>
      </c>
      <c r="E35" s="187">
        <v>10</v>
      </c>
      <c r="F35" s="319">
        <v>2250</v>
      </c>
      <c r="G35" s="322">
        <v>225</v>
      </c>
      <c r="H35" s="633"/>
      <c r="I35" s="204">
        <f t="shared" si="19"/>
        <v>10</v>
      </c>
      <c r="J35" s="204">
        <f t="shared" si="20"/>
        <v>1978.2162719687876</v>
      </c>
      <c r="K35" s="205">
        <f t="shared" si="21"/>
        <v>197.82162719687878</v>
      </c>
      <c r="L35" s="572"/>
      <c r="M35" s="206">
        <f>RANK(K35, K$27:$K$41)</f>
        <v>5</v>
      </c>
      <c r="N35" s="590"/>
      <c r="O35" s="590"/>
      <c r="P35" s="187">
        <v>10</v>
      </c>
      <c r="Q35" s="187">
        <v>1949.6907216494835</v>
      </c>
      <c r="R35" s="187">
        <v>194.96907216494836</v>
      </c>
      <c r="S35" s="319">
        <f t="shared" si="12"/>
        <v>6</v>
      </c>
      <c r="T35" s="629"/>
      <c r="U35" s="187">
        <v>10</v>
      </c>
      <c r="V35" s="187">
        <v>2008.3146067415748</v>
      </c>
      <c r="W35" s="187">
        <v>200.83146067415748</v>
      </c>
      <c r="X35" s="319">
        <f t="shared" si="13"/>
        <v>5</v>
      </c>
      <c r="Y35" s="629"/>
      <c r="Z35" s="187">
        <v>10</v>
      </c>
      <c r="AA35" s="187">
        <v>2005.1612903225807</v>
      </c>
      <c r="AB35" s="187">
        <v>200.51612903225808</v>
      </c>
      <c r="AC35" s="319">
        <f t="shared" si="14"/>
        <v>4</v>
      </c>
      <c r="AD35" s="629"/>
      <c r="AE35" s="187">
        <v>10</v>
      </c>
      <c r="AF35" s="187">
        <v>2028.7500000000014</v>
      </c>
      <c r="AG35" s="187">
        <v>202.87500000000014</v>
      </c>
      <c r="AH35" s="319">
        <f t="shared" si="15"/>
        <v>4</v>
      </c>
      <c r="AI35" s="629"/>
      <c r="AJ35" s="187">
        <v>10</v>
      </c>
      <c r="AK35" s="187">
        <v>1935.5294117647054</v>
      </c>
      <c r="AL35" s="187">
        <v>193.55294117647054</v>
      </c>
      <c r="AM35" s="319">
        <f t="shared" si="16"/>
        <v>5</v>
      </c>
      <c r="AN35" s="629"/>
      <c r="AO35" s="187">
        <v>10</v>
      </c>
      <c r="AP35" s="187">
        <v>1946.5384615384612</v>
      </c>
      <c r="AQ35" s="187">
        <v>194.65384615384613</v>
      </c>
      <c r="AR35" s="319">
        <f t="shared" si="17"/>
        <v>5</v>
      </c>
      <c r="AS35" s="629"/>
      <c r="AT35" s="187">
        <v>10</v>
      </c>
      <c r="AU35" s="187">
        <v>1973.5294117647068</v>
      </c>
      <c r="AV35" s="187">
        <v>197.35294117647067</v>
      </c>
      <c r="AW35" s="319">
        <f t="shared" si="18"/>
        <v>4</v>
      </c>
      <c r="AX35" s="629"/>
    </row>
    <row r="36" spans="2:50">
      <c r="B36" s="598"/>
      <c r="C36" s="319">
        <v>10</v>
      </c>
      <c r="D36" s="231" t="s">
        <v>416</v>
      </c>
      <c r="E36" s="187">
        <v>16</v>
      </c>
      <c r="F36" s="319">
        <v>1250</v>
      </c>
      <c r="G36" s="322">
        <v>78.125</v>
      </c>
      <c r="H36" s="633"/>
      <c r="I36" s="204">
        <f t="shared" si="19"/>
        <v>13.142857142857142</v>
      </c>
      <c r="J36" s="204">
        <f t="shared" si="20"/>
        <v>1277.9524240465419</v>
      </c>
      <c r="K36" s="205">
        <f t="shared" si="21"/>
        <v>97.331243503318518</v>
      </c>
      <c r="L36" s="572"/>
      <c r="M36" s="206">
        <f>RANK(K36, K$27:$K$41)</f>
        <v>12</v>
      </c>
      <c r="N36" s="590"/>
      <c r="O36" s="590"/>
      <c r="P36" s="187">
        <v>14</v>
      </c>
      <c r="Q36" s="187">
        <v>1239.3333333333333</v>
      </c>
      <c r="R36" s="187">
        <v>88.523809523809518</v>
      </c>
      <c r="S36" s="319">
        <f t="shared" si="12"/>
        <v>12</v>
      </c>
      <c r="T36" s="629"/>
      <c r="U36" s="187">
        <v>13</v>
      </c>
      <c r="V36" s="187">
        <v>1447.3846153846159</v>
      </c>
      <c r="W36" s="187">
        <v>111.33727810650892</v>
      </c>
      <c r="X36" s="319">
        <f t="shared" si="13"/>
        <v>11</v>
      </c>
      <c r="Y36" s="629"/>
      <c r="Z36" s="187">
        <v>13</v>
      </c>
      <c r="AA36" s="187">
        <v>1065.8823529411773</v>
      </c>
      <c r="AB36" s="187">
        <v>81.990950226244408</v>
      </c>
      <c r="AC36" s="319">
        <f t="shared" si="14"/>
        <v>11</v>
      </c>
      <c r="AD36" s="629"/>
      <c r="AE36" s="187">
        <v>13</v>
      </c>
      <c r="AF36" s="187">
        <v>1219.2000000000005</v>
      </c>
      <c r="AG36" s="187">
        <v>93.784615384615421</v>
      </c>
      <c r="AH36" s="319">
        <f t="shared" si="15"/>
        <v>11</v>
      </c>
      <c r="AI36" s="629"/>
      <c r="AJ36" s="187">
        <v>13</v>
      </c>
      <c r="AK36" s="187">
        <v>1235.2000000000003</v>
      </c>
      <c r="AL36" s="187">
        <v>95.015384615384633</v>
      </c>
      <c r="AM36" s="319">
        <f t="shared" si="16"/>
        <v>11</v>
      </c>
      <c r="AN36" s="629"/>
      <c r="AO36" s="187">
        <v>13</v>
      </c>
      <c r="AP36" s="187">
        <v>1270.6666666666665</v>
      </c>
      <c r="AQ36" s="187">
        <v>97.743589743589737</v>
      </c>
      <c r="AR36" s="319">
        <f t="shared" si="17"/>
        <v>11</v>
      </c>
      <c r="AS36" s="629"/>
      <c r="AT36" s="187">
        <v>13</v>
      </c>
      <c r="AU36" s="187">
        <v>1468.0000000000005</v>
      </c>
      <c r="AV36" s="187">
        <v>112.92307692307696</v>
      </c>
      <c r="AW36" s="319">
        <f t="shared" si="18"/>
        <v>10</v>
      </c>
      <c r="AX36" s="629"/>
    </row>
    <row r="37" spans="2:50">
      <c r="B37" s="598"/>
      <c r="C37" s="319">
        <v>11</v>
      </c>
      <c r="D37" s="231" t="s">
        <v>664</v>
      </c>
      <c r="E37" s="187">
        <v>4</v>
      </c>
      <c r="F37" s="319">
        <v>2000</v>
      </c>
      <c r="G37" s="322">
        <v>500</v>
      </c>
      <c r="H37" s="633"/>
      <c r="I37" s="483">
        <f t="shared" ref="I37:I38" si="22">AVERAGE(P37,U37,Z37,AE37,AJ37,AO37,AT37)</f>
        <v>4</v>
      </c>
      <c r="J37" s="483">
        <f t="shared" ref="J37:J38" si="23">AVERAGE(Q37,V37,AA37,AF37,AK37,AP37,AU37)</f>
        <v>1831.5634561516979</v>
      </c>
      <c r="K37" s="205">
        <f t="shared" ref="K37:K38" si="24">AVERAGE(R37,W37,AB37,AG37,AL37,AQ37,AV37)</f>
        <v>457.89086403792447</v>
      </c>
      <c r="L37" s="572"/>
      <c r="M37" s="206">
        <f>RANK(K37, K$27:$K$41)</f>
        <v>4</v>
      </c>
      <c r="N37" s="590"/>
      <c r="O37" s="590"/>
      <c r="P37" s="187">
        <v>4</v>
      </c>
      <c r="Q37" s="187">
        <v>1831.7647058823595</v>
      </c>
      <c r="R37" s="187">
        <v>457.94117647058988</v>
      </c>
      <c r="S37" s="319">
        <f t="shared" si="12"/>
        <v>3</v>
      </c>
      <c r="T37" s="629"/>
      <c r="U37" s="187">
        <v>4</v>
      </c>
      <c r="V37" s="187">
        <v>1853.3333333333399</v>
      </c>
      <c r="W37" s="187">
        <v>463.33333333333496</v>
      </c>
      <c r="X37" s="319">
        <f t="shared" si="13"/>
        <v>3</v>
      </c>
      <c r="Y37" s="629"/>
      <c r="Z37" s="187">
        <v>4</v>
      </c>
      <c r="AA37" s="187">
        <v>1830.0000000000064</v>
      </c>
      <c r="AB37" s="187">
        <v>457.50000000000159</v>
      </c>
      <c r="AC37" s="319">
        <f t="shared" si="14"/>
        <v>2</v>
      </c>
      <c r="AD37" s="629"/>
      <c r="AE37" s="187">
        <v>4</v>
      </c>
      <c r="AF37" s="187">
        <v>1813.8461538461602</v>
      </c>
      <c r="AG37" s="187">
        <v>453.46153846154004</v>
      </c>
      <c r="AH37" s="319">
        <f t="shared" si="15"/>
        <v>2</v>
      </c>
      <c r="AI37" s="629"/>
      <c r="AJ37" s="187">
        <v>4</v>
      </c>
      <c r="AK37" s="187">
        <v>1824.0000000000066</v>
      </c>
      <c r="AL37" s="187">
        <v>456.00000000000165</v>
      </c>
      <c r="AM37" s="319">
        <f t="shared" si="16"/>
        <v>3</v>
      </c>
      <c r="AN37" s="629"/>
      <c r="AO37" s="187">
        <v>4</v>
      </c>
      <c r="AP37" s="187">
        <v>1856.0000000000066</v>
      </c>
      <c r="AQ37" s="187">
        <v>464.00000000000165</v>
      </c>
      <c r="AR37" s="319">
        <f t="shared" si="17"/>
        <v>3</v>
      </c>
      <c r="AS37" s="629"/>
      <c r="AT37" s="187">
        <v>4</v>
      </c>
      <c r="AU37" s="187">
        <v>1812.0000000000064</v>
      </c>
      <c r="AV37" s="187">
        <v>453.00000000000159</v>
      </c>
      <c r="AW37" s="319">
        <f t="shared" si="18"/>
        <v>3</v>
      </c>
      <c r="AX37" s="629"/>
    </row>
    <row r="38" spans="2:50">
      <c r="B38" s="598"/>
      <c r="C38" s="319">
        <v>12</v>
      </c>
      <c r="D38" s="231" t="s">
        <v>693</v>
      </c>
      <c r="E38" s="187">
        <v>15</v>
      </c>
      <c r="F38" s="319">
        <v>1500</v>
      </c>
      <c r="G38" s="322">
        <v>100</v>
      </c>
      <c r="H38" s="633"/>
      <c r="I38" s="483">
        <f t="shared" si="22"/>
        <v>15</v>
      </c>
      <c r="J38" s="483">
        <f t="shared" si="23"/>
        <v>1486.0409343052997</v>
      </c>
      <c r="K38" s="205">
        <f t="shared" si="24"/>
        <v>99.069395620353319</v>
      </c>
      <c r="L38" s="572"/>
      <c r="M38" s="206">
        <f>RANK(K38, K$27:$K$41)</f>
        <v>11</v>
      </c>
      <c r="N38" s="590"/>
      <c r="O38" s="590"/>
      <c r="P38" s="187">
        <v>15</v>
      </c>
      <c r="Q38" s="187">
        <v>1469.3617021276598</v>
      </c>
      <c r="R38" s="187">
        <v>97.957446808510653</v>
      </c>
      <c r="S38" s="319">
        <f t="shared" si="12"/>
        <v>11</v>
      </c>
      <c r="T38" s="629"/>
      <c r="U38" s="187">
        <v>15</v>
      </c>
      <c r="V38" s="187">
        <v>1495.5555555555563</v>
      </c>
      <c r="W38" s="187">
        <v>99.703703703703752</v>
      </c>
      <c r="X38" s="319">
        <f t="shared" si="13"/>
        <v>12</v>
      </c>
      <c r="Y38" s="629"/>
      <c r="Z38" s="187">
        <v>15</v>
      </c>
      <c r="AA38" s="187">
        <v>1482.6923076923085</v>
      </c>
      <c r="AB38" s="187">
        <v>98.846153846153896</v>
      </c>
      <c r="AC38" s="319">
        <f t="shared" si="14"/>
        <v>10</v>
      </c>
      <c r="AD38" s="629"/>
      <c r="AE38" s="187">
        <v>15</v>
      </c>
      <c r="AF38" s="187">
        <v>1493.8983050847469</v>
      </c>
      <c r="AG38" s="187">
        <v>99.59322033898313</v>
      </c>
      <c r="AH38" s="319">
        <f t="shared" si="15"/>
        <v>10</v>
      </c>
      <c r="AI38" s="629"/>
      <c r="AJ38" s="187">
        <v>15</v>
      </c>
      <c r="AK38" s="187">
        <v>1497.3529411764725</v>
      </c>
      <c r="AL38" s="187">
        <v>99.823529411764838</v>
      </c>
      <c r="AM38" s="319">
        <f t="shared" si="16"/>
        <v>10</v>
      </c>
      <c r="AN38" s="629"/>
      <c r="AO38" s="187">
        <v>15</v>
      </c>
      <c r="AP38" s="187">
        <v>1472.3809523809539</v>
      </c>
      <c r="AQ38" s="187">
        <v>98.158730158730265</v>
      </c>
      <c r="AR38" s="319">
        <f t="shared" si="17"/>
        <v>10</v>
      </c>
      <c r="AS38" s="629"/>
      <c r="AT38" s="187">
        <v>15</v>
      </c>
      <c r="AU38" s="187">
        <v>1491.0447761194011</v>
      </c>
      <c r="AV38" s="187">
        <v>99.402985074626741</v>
      </c>
      <c r="AW38" s="319">
        <f t="shared" si="18"/>
        <v>11</v>
      </c>
      <c r="AX38" s="629"/>
    </row>
    <row r="39" spans="2:50">
      <c r="B39" s="598"/>
      <c r="C39" s="319">
        <v>13</v>
      </c>
      <c r="D39" s="231"/>
      <c r="E39" s="187"/>
      <c r="F39" s="319"/>
      <c r="G39" s="322"/>
      <c r="H39" s="633"/>
      <c r="I39" s="207"/>
      <c r="J39" s="207"/>
      <c r="K39" s="207"/>
      <c r="L39" s="572"/>
      <c r="M39" s="206" t="e">
        <f>RANK(K39, K$27:$K$41)</f>
        <v>#N/A</v>
      </c>
      <c r="N39" s="590"/>
      <c r="O39" s="590"/>
      <c r="P39" s="187"/>
      <c r="Q39" s="187"/>
      <c r="R39" s="187"/>
      <c r="S39" s="319" t="e">
        <f t="shared" si="12"/>
        <v>#N/A</v>
      </c>
      <c r="T39" s="629"/>
      <c r="U39" s="187"/>
      <c r="V39" s="187"/>
      <c r="W39" s="187"/>
      <c r="X39" s="319" t="e">
        <f t="shared" si="13"/>
        <v>#N/A</v>
      </c>
      <c r="Y39" s="629"/>
      <c r="Z39" s="187"/>
      <c r="AA39" s="187"/>
      <c r="AB39" s="187"/>
      <c r="AC39" s="319" t="e">
        <f t="shared" si="14"/>
        <v>#N/A</v>
      </c>
      <c r="AD39" s="629"/>
      <c r="AE39" s="187"/>
      <c r="AF39" s="187"/>
      <c r="AG39" s="187"/>
      <c r="AH39" s="319" t="e">
        <f t="shared" si="15"/>
        <v>#N/A</v>
      </c>
      <c r="AI39" s="629"/>
      <c r="AJ39" s="187"/>
      <c r="AK39" s="187"/>
      <c r="AL39" s="187"/>
      <c r="AM39" s="319" t="e">
        <f t="shared" si="16"/>
        <v>#N/A</v>
      </c>
      <c r="AN39" s="629"/>
      <c r="AO39" s="187"/>
      <c r="AP39" s="187"/>
      <c r="AQ39" s="187"/>
      <c r="AR39" s="319" t="e">
        <f t="shared" si="17"/>
        <v>#N/A</v>
      </c>
      <c r="AS39" s="629"/>
      <c r="AT39" s="187"/>
      <c r="AU39" s="187"/>
      <c r="AV39" s="187"/>
      <c r="AW39" s="319" t="e">
        <f t="shared" si="18"/>
        <v>#N/A</v>
      </c>
      <c r="AX39" s="629"/>
    </row>
    <row r="40" spans="2:50">
      <c r="B40" s="598"/>
      <c r="C40" s="319">
        <v>14</v>
      </c>
      <c r="D40" s="231"/>
      <c r="E40" s="187"/>
      <c r="F40" s="319"/>
      <c r="G40" s="322"/>
      <c r="H40" s="633"/>
      <c r="I40" s="207"/>
      <c r="J40" s="207"/>
      <c r="K40" s="207"/>
      <c r="L40" s="572"/>
      <c r="M40" s="206" t="e">
        <f>RANK(K40, K$27:$K$41)</f>
        <v>#N/A</v>
      </c>
      <c r="N40" s="590"/>
      <c r="O40" s="590"/>
      <c r="P40" s="187"/>
      <c r="Q40" s="187"/>
      <c r="R40" s="187"/>
      <c r="S40" s="319" t="e">
        <f t="shared" si="12"/>
        <v>#N/A</v>
      </c>
      <c r="T40" s="629"/>
      <c r="U40" s="187"/>
      <c r="V40" s="187"/>
      <c r="W40" s="187"/>
      <c r="X40" s="319" t="e">
        <f t="shared" si="13"/>
        <v>#N/A</v>
      </c>
      <c r="Y40" s="629"/>
      <c r="Z40" s="187"/>
      <c r="AA40" s="187"/>
      <c r="AB40" s="187"/>
      <c r="AC40" s="319" t="e">
        <f t="shared" si="14"/>
        <v>#N/A</v>
      </c>
      <c r="AD40" s="629"/>
      <c r="AE40" s="187"/>
      <c r="AF40" s="187"/>
      <c r="AG40" s="187"/>
      <c r="AH40" s="319" t="e">
        <f t="shared" si="15"/>
        <v>#N/A</v>
      </c>
      <c r="AI40" s="629"/>
      <c r="AJ40" s="187"/>
      <c r="AK40" s="187"/>
      <c r="AL40" s="187"/>
      <c r="AM40" s="319" t="e">
        <f t="shared" si="16"/>
        <v>#N/A</v>
      </c>
      <c r="AN40" s="629"/>
      <c r="AO40" s="187"/>
      <c r="AP40" s="187"/>
      <c r="AQ40" s="187"/>
      <c r="AR40" s="319" t="e">
        <f t="shared" si="17"/>
        <v>#N/A</v>
      </c>
      <c r="AS40" s="629"/>
      <c r="AT40" s="187"/>
      <c r="AU40" s="187"/>
      <c r="AV40" s="187"/>
      <c r="AW40" s="319" t="e">
        <f t="shared" si="18"/>
        <v>#N/A</v>
      </c>
      <c r="AX40" s="629"/>
    </row>
    <row r="41" spans="2:50">
      <c r="B41" s="598"/>
      <c r="C41" s="319">
        <v>15</v>
      </c>
      <c r="D41" s="231"/>
      <c r="E41" s="187"/>
      <c r="F41" s="319"/>
      <c r="G41" s="322"/>
      <c r="H41" s="634"/>
      <c r="I41" s="207"/>
      <c r="J41" s="207"/>
      <c r="K41" s="207"/>
      <c r="L41" s="573"/>
      <c r="M41" s="204" t="e">
        <f>RANK(K41, K$27:$K$41)</f>
        <v>#N/A</v>
      </c>
      <c r="N41" s="590"/>
      <c r="O41" s="590"/>
      <c r="P41" s="187"/>
      <c r="Q41" s="187"/>
      <c r="R41" s="187"/>
      <c r="S41" s="319" t="e">
        <f t="shared" si="12"/>
        <v>#N/A</v>
      </c>
      <c r="T41" s="629"/>
      <c r="U41" s="187"/>
      <c r="V41" s="187"/>
      <c r="W41" s="187"/>
      <c r="X41" s="319" t="e">
        <f t="shared" si="13"/>
        <v>#N/A</v>
      </c>
      <c r="Y41" s="629"/>
      <c r="Z41" s="187"/>
      <c r="AA41" s="187"/>
      <c r="AB41" s="187"/>
      <c r="AC41" s="319" t="e">
        <f t="shared" si="14"/>
        <v>#N/A</v>
      </c>
      <c r="AD41" s="629"/>
      <c r="AE41" s="187"/>
      <c r="AF41" s="187"/>
      <c r="AG41" s="187"/>
      <c r="AH41" s="319" t="e">
        <f t="shared" si="15"/>
        <v>#N/A</v>
      </c>
      <c r="AI41" s="629"/>
      <c r="AJ41" s="187"/>
      <c r="AK41" s="187"/>
      <c r="AL41" s="187"/>
      <c r="AM41" s="319" t="e">
        <f t="shared" si="16"/>
        <v>#N/A</v>
      </c>
      <c r="AN41" s="629"/>
      <c r="AO41" s="187"/>
      <c r="AP41" s="187"/>
      <c r="AQ41" s="187"/>
      <c r="AR41" s="319" t="e">
        <f t="shared" si="17"/>
        <v>#N/A</v>
      </c>
      <c r="AS41" s="629"/>
      <c r="AT41" s="187"/>
      <c r="AU41" s="187"/>
      <c r="AV41" s="187"/>
      <c r="AW41" s="319" t="e">
        <f t="shared" si="18"/>
        <v>#N/A</v>
      </c>
      <c r="AX41" s="629"/>
    </row>
    <row r="42" spans="2:50" ht="15.75">
      <c r="B42" s="615" t="s">
        <v>163</v>
      </c>
      <c r="C42" s="616"/>
      <c r="D42" s="616"/>
      <c r="E42" s="616"/>
      <c r="F42" s="616"/>
      <c r="G42" s="616"/>
      <c r="H42" s="616"/>
      <c r="I42" s="213"/>
      <c r="J42" s="208"/>
      <c r="K42" s="213"/>
      <c r="L42" s="213"/>
      <c r="M42" s="209"/>
      <c r="N42" s="591" t="s">
        <v>156</v>
      </c>
      <c r="O42" s="591" t="s">
        <v>105</v>
      </c>
      <c r="P42" s="597">
        <f>P22+7</f>
        <v>45944</v>
      </c>
      <c r="Q42" s="598"/>
      <c r="R42" s="598"/>
      <c r="S42" s="598"/>
      <c r="T42" s="598"/>
      <c r="U42" s="594">
        <f>P42+1</f>
        <v>45945</v>
      </c>
      <c r="V42" s="595"/>
      <c r="W42" s="595"/>
      <c r="X42" s="595"/>
      <c r="Y42" s="596"/>
      <c r="Z42" s="594">
        <f>U42+1</f>
        <v>45946</v>
      </c>
      <c r="AA42" s="595"/>
      <c r="AB42" s="595"/>
      <c r="AC42" s="595"/>
      <c r="AD42" s="596"/>
      <c r="AE42" s="594">
        <f>Z42+1</f>
        <v>45947</v>
      </c>
      <c r="AF42" s="595"/>
      <c r="AG42" s="595"/>
      <c r="AH42" s="595"/>
      <c r="AI42" s="596"/>
      <c r="AJ42" s="594">
        <f>AE42+1</f>
        <v>45948</v>
      </c>
      <c r="AK42" s="595"/>
      <c r="AL42" s="595"/>
      <c r="AM42" s="595"/>
      <c r="AN42" s="596"/>
      <c r="AO42" s="594">
        <f>AJ42+1</f>
        <v>45949</v>
      </c>
      <c r="AP42" s="595"/>
      <c r="AQ42" s="595"/>
      <c r="AR42" s="595"/>
      <c r="AS42" s="596"/>
      <c r="AT42" s="594">
        <f>AO42+1</f>
        <v>45950</v>
      </c>
      <c r="AU42" s="595"/>
      <c r="AV42" s="595"/>
      <c r="AW42" s="595"/>
      <c r="AX42" s="596"/>
    </row>
    <row r="43" spans="2:50" ht="15.75">
      <c r="B43" s="605"/>
      <c r="C43" s="605"/>
      <c r="D43" s="605"/>
      <c r="E43" s="605"/>
      <c r="F43" s="605"/>
      <c r="G43" s="605"/>
      <c r="H43" s="605"/>
      <c r="I43" s="210"/>
      <c r="J43" s="210"/>
      <c r="K43" s="210"/>
      <c r="L43" s="210"/>
      <c r="M43" s="211"/>
      <c r="N43" s="593"/>
      <c r="O43" s="593"/>
      <c r="P43" s="597" t="s">
        <v>336</v>
      </c>
      <c r="Q43" s="598"/>
      <c r="R43" s="598"/>
      <c r="S43" s="598"/>
      <c r="T43" s="598"/>
      <c r="U43" s="597" t="s">
        <v>337</v>
      </c>
      <c r="V43" s="598"/>
      <c r="W43" s="598"/>
      <c r="X43" s="598"/>
      <c r="Y43" s="598"/>
      <c r="Z43" s="597" t="s">
        <v>338</v>
      </c>
      <c r="AA43" s="598"/>
      <c r="AB43" s="598"/>
      <c r="AC43" s="598"/>
      <c r="AD43" s="598"/>
      <c r="AE43" s="597" t="s">
        <v>339</v>
      </c>
      <c r="AF43" s="598"/>
      <c r="AG43" s="598"/>
      <c r="AH43" s="598"/>
      <c r="AI43" s="598"/>
      <c r="AJ43" s="597" t="s">
        <v>340</v>
      </c>
      <c r="AK43" s="598"/>
      <c r="AL43" s="598"/>
      <c r="AM43" s="598"/>
      <c r="AN43" s="598"/>
      <c r="AO43" s="597" t="s">
        <v>341</v>
      </c>
      <c r="AP43" s="598"/>
      <c r="AQ43" s="598"/>
      <c r="AR43" s="598"/>
      <c r="AS43" s="598"/>
      <c r="AT43" s="597" t="s">
        <v>342</v>
      </c>
      <c r="AU43" s="598"/>
      <c r="AV43" s="598"/>
      <c r="AW43" s="598"/>
      <c r="AX43" s="598"/>
    </row>
    <row r="44" spans="2:50">
      <c r="B44" s="590" t="s">
        <v>444</v>
      </c>
      <c r="C44" s="590" t="s">
        <v>454</v>
      </c>
      <c r="D44" s="590"/>
      <c r="E44" s="590" t="s">
        <v>445</v>
      </c>
      <c r="F44" s="590"/>
      <c r="G44" s="590"/>
      <c r="H44" s="606" t="s">
        <v>441</v>
      </c>
      <c r="I44" s="574" t="s">
        <v>446</v>
      </c>
      <c r="J44" s="574"/>
      <c r="K44" s="574"/>
      <c r="L44" s="575" t="s">
        <v>441</v>
      </c>
      <c r="M44" s="581" t="s">
        <v>442</v>
      </c>
      <c r="N44" s="590"/>
      <c r="O44" s="590" t="s">
        <v>447</v>
      </c>
      <c r="P44" s="587" t="s">
        <v>443</v>
      </c>
      <c r="Q44" s="588"/>
      <c r="R44" s="588"/>
      <c r="S44" s="589"/>
      <c r="T44" s="590" t="s">
        <v>441</v>
      </c>
      <c r="U44" s="587" t="s">
        <v>443</v>
      </c>
      <c r="V44" s="588"/>
      <c r="W44" s="588"/>
      <c r="X44" s="589"/>
      <c r="Y44" s="590" t="s">
        <v>441</v>
      </c>
      <c r="Z44" s="587" t="s">
        <v>443</v>
      </c>
      <c r="AA44" s="588"/>
      <c r="AB44" s="588"/>
      <c r="AC44" s="589"/>
      <c r="AD44" s="590" t="s">
        <v>441</v>
      </c>
      <c r="AE44" s="587" t="s">
        <v>443</v>
      </c>
      <c r="AF44" s="588"/>
      <c r="AG44" s="588"/>
      <c r="AH44" s="589"/>
      <c r="AI44" s="590" t="s">
        <v>441</v>
      </c>
      <c r="AJ44" s="587" t="s">
        <v>443</v>
      </c>
      <c r="AK44" s="588"/>
      <c r="AL44" s="588"/>
      <c r="AM44" s="589"/>
      <c r="AN44" s="590" t="s">
        <v>441</v>
      </c>
      <c r="AO44" s="587" t="s">
        <v>443</v>
      </c>
      <c r="AP44" s="588"/>
      <c r="AQ44" s="588"/>
      <c r="AR44" s="589"/>
      <c r="AS44" s="590" t="s">
        <v>441</v>
      </c>
      <c r="AT44" s="587" t="s">
        <v>443</v>
      </c>
      <c r="AU44" s="588"/>
      <c r="AV44" s="588"/>
      <c r="AW44" s="589"/>
      <c r="AX44" s="590" t="s">
        <v>441</v>
      </c>
    </row>
    <row r="45" spans="2:50">
      <c r="B45" s="590"/>
      <c r="C45" s="590"/>
      <c r="D45" s="590"/>
      <c r="E45" s="590" t="s">
        <v>448</v>
      </c>
      <c r="F45" s="590"/>
      <c r="G45" s="590"/>
      <c r="H45" s="607"/>
      <c r="I45" s="574" t="s">
        <v>448</v>
      </c>
      <c r="J45" s="574"/>
      <c r="K45" s="574"/>
      <c r="L45" s="576"/>
      <c r="M45" s="582"/>
      <c r="N45" s="590"/>
      <c r="O45" s="590"/>
      <c r="P45" s="587" t="s">
        <v>449</v>
      </c>
      <c r="Q45" s="588"/>
      <c r="R45" s="588"/>
      <c r="S45" s="589"/>
      <c r="T45" s="590"/>
      <c r="U45" s="587" t="s">
        <v>449</v>
      </c>
      <c r="V45" s="588"/>
      <c r="W45" s="588"/>
      <c r="X45" s="589"/>
      <c r="Y45" s="590"/>
      <c r="Z45" s="587" t="s">
        <v>449</v>
      </c>
      <c r="AA45" s="588"/>
      <c r="AB45" s="588"/>
      <c r="AC45" s="589"/>
      <c r="AD45" s="590"/>
      <c r="AE45" s="587" t="s">
        <v>449</v>
      </c>
      <c r="AF45" s="588"/>
      <c r="AG45" s="588"/>
      <c r="AH45" s="589"/>
      <c r="AI45" s="590"/>
      <c r="AJ45" s="587" t="s">
        <v>449</v>
      </c>
      <c r="AK45" s="588"/>
      <c r="AL45" s="588"/>
      <c r="AM45" s="589"/>
      <c r="AN45" s="590"/>
      <c r="AO45" s="587" t="s">
        <v>449</v>
      </c>
      <c r="AP45" s="588"/>
      <c r="AQ45" s="588"/>
      <c r="AR45" s="589"/>
      <c r="AS45" s="590"/>
      <c r="AT45" s="587" t="s">
        <v>449</v>
      </c>
      <c r="AU45" s="588"/>
      <c r="AV45" s="588"/>
      <c r="AW45" s="589"/>
      <c r="AX45" s="590"/>
    </row>
    <row r="46" spans="2:50">
      <c r="B46" s="590"/>
      <c r="C46" s="590"/>
      <c r="D46" s="590"/>
      <c r="E46" s="318" t="s">
        <v>450</v>
      </c>
      <c r="F46" s="318" t="s">
        <v>451</v>
      </c>
      <c r="G46" s="318" t="s">
        <v>452</v>
      </c>
      <c r="H46" s="608"/>
      <c r="I46" s="317" t="s">
        <v>450</v>
      </c>
      <c r="J46" s="317" t="s">
        <v>451</v>
      </c>
      <c r="K46" s="317" t="s">
        <v>452</v>
      </c>
      <c r="L46" s="577"/>
      <c r="M46" s="583"/>
      <c r="N46" s="590"/>
      <c r="O46" s="590"/>
      <c r="P46" s="318" t="s">
        <v>450</v>
      </c>
      <c r="Q46" s="318" t="s">
        <v>451</v>
      </c>
      <c r="R46" s="318" t="s">
        <v>452</v>
      </c>
      <c r="S46" s="318" t="s">
        <v>442</v>
      </c>
      <c r="T46" s="590"/>
      <c r="U46" s="318" t="s">
        <v>450</v>
      </c>
      <c r="V46" s="318" t="s">
        <v>451</v>
      </c>
      <c r="W46" s="318" t="s">
        <v>452</v>
      </c>
      <c r="X46" s="318" t="s">
        <v>442</v>
      </c>
      <c r="Y46" s="590"/>
      <c r="Z46" s="318" t="s">
        <v>450</v>
      </c>
      <c r="AA46" s="318" t="s">
        <v>451</v>
      </c>
      <c r="AB46" s="318" t="s">
        <v>452</v>
      </c>
      <c r="AC46" s="318" t="s">
        <v>442</v>
      </c>
      <c r="AD46" s="590"/>
      <c r="AE46" s="318" t="s">
        <v>450</v>
      </c>
      <c r="AF46" s="318" t="s">
        <v>451</v>
      </c>
      <c r="AG46" s="318" t="s">
        <v>452</v>
      </c>
      <c r="AH46" s="318" t="s">
        <v>442</v>
      </c>
      <c r="AI46" s="590"/>
      <c r="AJ46" s="318" t="s">
        <v>450</v>
      </c>
      <c r="AK46" s="318" t="s">
        <v>451</v>
      </c>
      <c r="AL46" s="318" t="s">
        <v>452</v>
      </c>
      <c r="AM46" s="318" t="s">
        <v>442</v>
      </c>
      <c r="AN46" s="590"/>
      <c r="AO46" s="318" t="s">
        <v>450</v>
      </c>
      <c r="AP46" s="318" t="s">
        <v>451</v>
      </c>
      <c r="AQ46" s="318" t="s">
        <v>452</v>
      </c>
      <c r="AR46" s="318" t="s">
        <v>442</v>
      </c>
      <c r="AS46" s="590"/>
      <c r="AT46" s="318" t="s">
        <v>450</v>
      </c>
      <c r="AU46" s="318" t="s">
        <v>451</v>
      </c>
      <c r="AV46" s="318" t="s">
        <v>452</v>
      </c>
      <c r="AW46" s="318" t="s">
        <v>442</v>
      </c>
      <c r="AX46" s="590"/>
    </row>
    <row r="47" spans="2:50">
      <c r="B47" s="631" t="s">
        <v>453</v>
      </c>
      <c r="C47" s="319">
        <v>1</v>
      </c>
      <c r="D47" s="231" t="s">
        <v>417</v>
      </c>
      <c r="E47" s="187">
        <v>4</v>
      </c>
      <c r="F47" s="319">
        <v>2000</v>
      </c>
      <c r="G47" s="322">
        <v>500</v>
      </c>
      <c r="H47" s="632">
        <f>AVERAGE(G47:G61)</f>
        <v>261.5556615102069</v>
      </c>
      <c r="I47" s="204">
        <f>AVERAGE(P47,U47,Z47,AE47,AJ47,AO47,AT47)</f>
        <v>4</v>
      </c>
      <c r="J47" s="204">
        <f>AVERAGE(Q47,V47,AA47,AF47,AK47,AP47,AU47)</f>
        <v>2061.1441629283281</v>
      </c>
      <c r="K47" s="205">
        <f>AVERAGE(R47,W47,AB47,AG47,AL47,AQ47,AV47)</f>
        <v>515.28604073208203</v>
      </c>
      <c r="L47" s="571">
        <f>IFERROR(AVERAGE(K47:K61),"-")</f>
        <v>250.50834327952151</v>
      </c>
      <c r="M47" s="206">
        <f>RANK(K47, K$47:$K$61)</f>
        <v>2</v>
      </c>
      <c r="N47" s="590"/>
      <c r="O47" s="590"/>
      <c r="P47" s="187">
        <v>4</v>
      </c>
      <c r="Q47" s="187">
        <v>2189.9999999999991</v>
      </c>
      <c r="R47" s="187">
        <v>547.49999999999977</v>
      </c>
      <c r="S47" s="346">
        <f>RANK(R47, R$47:R$61)</f>
        <v>1</v>
      </c>
      <c r="T47" s="629">
        <f>AVERAGE(R47:R61)</f>
        <v>252.47709764935561</v>
      </c>
      <c r="U47" s="187">
        <v>4</v>
      </c>
      <c r="V47" s="187">
        <v>2094.2857142857133</v>
      </c>
      <c r="W47" s="187">
        <v>523.57142857142833</v>
      </c>
      <c r="X47" s="346">
        <f>RANK(W47, W$47:W$61)</f>
        <v>2</v>
      </c>
      <c r="Y47" s="629">
        <f>AVERAGE(W47:W61)</f>
        <v>253.72253331588607</v>
      </c>
      <c r="Z47" s="187">
        <v>4</v>
      </c>
      <c r="AA47" s="187">
        <v>2213.6842105263145</v>
      </c>
      <c r="AB47" s="187">
        <v>553.42105263157862</v>
      </c>
      <c r="AC47" s="346">
        <f>RANK(AB47, AB$47:AB$61)</f>
        <v>1</v>
      </c>
      <c r="AD47" s="629">
        <f>AVERAGE(AB47:AB61)</f>
        <v>253.36661530790153</v>
      </c>
      <c r="AE47" s="187">
        <v>4</v>
      </c>
      <c r="AF47" s="187">
        <v>1747.0588235294097</v>
      </c>
      <c r="AG47" s="187">
        <v>436.76470588235242</v>
      </c>
      <c r="AH47" s="346">
        <f>RANK(AG47, AG$47:AG$61)</f>
        <v>3</v>
      </c>
      <c r="AI47" s="629">
        <f>AVERAGE(AG47:AG61)</f>
        <v>244.31391998450081</v>
      </c>
      <c r="AJ47" s="187">
        <v>4</v>
      </c>
      <c r="AK47" s="187">
        <v>1877.647058823527</v>
      </c>
      <c r="AL47" s="187">
        <v>469.41176470588175</v>
      </c>
      <c r="AM47" s="346">
        <f>RANK(AL47, AL$47:AL$61)</f>
        <v>2</v>
      </c>
      <c r="AN47" s="629">
        <f>AVERAGE(AL47:AL61)</f>
        <v>245.34884844991632</v>
      </c>
      <c r="AO47" s="187">
        <v>4</v>
      </c>
      <c r="AP47" s="187">
        <v>2163.3333333333317</v>
      </c>
      <c r="AQ47" s="187">
        <v>540.83333333333292</v>
      </c>
      <c r="AR47" s="346">
        <f>RANK(AQ47, AQ$47:AQ$61)</f>
        <v>1</v>
      </c>
      <c r="AS47" s="629">
        <f>AVERAGE(AQ47:AQ61)</f>
        <v>252.64373042928847</v>
      </c>
      <c r="AT47" s="187">
        <v>4</v>
      </c>
      <c r="AU47" s="187">
        <v>2141.9999999999991</v>
      </c>
      <c r="AV47" s="187">
        <v>535.49999999999977</v>
      </c>
      <c r="AW47" s="346">
        <f>RANK(AV47, AV$47:AV$61)</f>
        <v>1</v>
      </c>
      <c r="AX47" s="629">
        <f>AVERAGE(AV47:AV61)</f>
        <v>251.68565781980195</v>
      </c>
    </row>
    <row r="48" spans="2:50">
      <c r="B48" s="598"/>
      <c r="C48" s="319">
        <v>2</v>
      </c>
      <c r="D48" s="231" t="s">
        <v>542</v>
      </c>
      <c r="E48" s="187">
        <v>4</v>
      </c>
      <c r="F48" s="319">
        <v>2000</v>
      </c>
      <c r="G48" s="322">
        <v>500</v>
      </c>
      <c r="H48" s="633"/>
      <c r="I48" s="204">
        <f t="shared" ref="I48:I56" si="25">AVERAGE(P48,U48,Z48,AE48,AJ48,AO48,AT48)</f>
        <v>4</v>
      </c>
      <c r="J48" s="204">
        <f t="shared" ref="J48:J56" si="26">AVERAGE(Q48,V48,AA48,AF48,AK48,AP48,AU48)</f>
        <v>2128.0294990723546</v>
      </c>
      <c r="K48" s="205">
        <f t="shared" ref="K48:K56" si="27">AVERAGE(R48,W48,AB48,AG48,AL48,AQ48,AV48)</f>
        <v>532.00737476808865</v>
      </c>
      <c r="L48" s="572"/>
      <c r="M48" s="206">
        <f>RANK(K48, K$47:$K$61)</f>
        <v>1</v>
      </c>
      <c r="N48" s="590"/>
      <c r="O48" s="590"/>
      <c r="P48" s="187">
        <v>4</v>
      </c>
      <c r="Q48" s="187">
        <v>2143.1999999999939</v>
      </c>
      <c r="R48" s="187">
        <v>535.79999999999848</v>
      </c>
      <c r="S48" s="346">
        <f t="shared" ref="S48:S61" si="28">RANK(R48, R$47:R$61)</f>
        <v>2</v>
      </c>
      <c r="T48" s="629"/>
      <c r="U48" s="187">
        <v>4</v>
      </c>
      <c r="V48" s="187">
        <v>2157.4999999999932</v>
      </c>
      <c r="W48" s="187">
        <v>539.37499999999829</v>
      </c>
      <c r="X48" s="346">
        <f t="shared" ref="X48:X61" si="29">RANK(W48, W$47:W$61)</f>
        <v>1</v>
      </c>
      <c r="Y48" s="629"/>
      <c r="Z48" s="187">
        <v>4</v>
      </c>
      <c r="AA48" s="187">
        <v>2090.0000000000005</v>
      </c>
      <c r="AB48" s="187">
        <v>522.50000000000011</v>
      </c>
      <c r="AC48" s="346">
        <f t="shared" ref="AC48:AC61" si="30">RANK(AB48, AB$47:AB$61)</f>
        <v>2</v>
      </c>
      <c r="AD48" s="629"/>
      <c r="AE48" s="187">
        <v>4</v>
      </c>
      <c r="AF48" s="187">
        <v>2117.1428571428564</v>
      </c>
      <c r="AG48" s="187">
        <v>529.28571428571411</v>
      </c>
      <c r="AH48" s="346">
        <f t="shared" ref="AH48:AH61" si="31">RANK(AG48, AG$47:AG$61)</f>
        <v>1</v>
      </c>
      <c r="AI48" s="629"/>
      <c r="AJ48" s="187">
        <v>4</v>
      </c>
      <c r="AK48" s="187">
        <v>2156.9999999999991</v>
      </c>
      <c r="AL48" s="187">
        <v>539.24999999999977</v>
      </c>
      <c r="AM48" s="346">
        <f t="shared" ref="AM48:AM61" si="32">RANK(AL48, AL$47:AL$61)</f>
        <v>1</v>
      </c>
      <c r="AN48" s="629"/>
      <c r="AO48" s="187">
        <v>4</v>
      </c>
      <c r="AP48" s="187">
        <v>2146.3636363636442</v>
      </c>
      <c r="AQ48" s="187">
        <v>536.59090909091105</v>
      </c>
      <c r="AR48" s="346">
        <f t="shared" ref="AR48:AR61" si="33">RANK(AQ48, AQ$47:AQ$61)</f>
        <v>2</v>
      </c>
      <c r="AS48" s="629"/>
      <c r="AT48" s="187">
        <v>4</v>
      </c>
      <c r="AU48" s="187">
        <v>2084.9999999999936</v>
      </c>
      <c r="AV48" s="187">
        <v>521.24999999999841</v>
      </c>
      <c r="AW48" s="346">
        <f t="shared" ref="AW48:AW61" si="34">RANK(AV48, AV$47:AV$61)</f>
        <v>2</v>
      </c>
      <c r="AX48" s="629"/>
    </row>
    <row r="49" spans="2:50">
      <c r="B49" s="598"/>
      <c r="C49" s="319">
        <v>3</v>
      </c>
      <c r="D49" s="231" t="s">
        <v>418</v>
      </c>
      <c r="E49" s="187">
        <v>12</v>
      </c>
      <c r="F49" s="319">
        <v>2250</v>
      </c>
      <c r="G49" s="322">
        <v>187.5</v>
      </c>
      <c r="H49" s="633"/>
      <c r="I49" s="204">
        <f t="shared" si="25"/>
        <v>12</v>
      </c>
      <c r="J49" s="204">
        <f t="shared" si="26"/>
        <v>1998.2998844042372</v>
      </c>
      <c r="K49" s="205">
        <f t="shared" si="27"/>
        <v>166.5249903670198</v>
      </c>
      <c r="L49" s="572"/>
      <c r="M49" s="206">
        <f>RANK(K49, K$47:$K$61)</f>
        <v>8</v>
      </c>
      <c r="N49" s="590"/>
      <c r="O49" s="590"/>
      <c r="P49" s="187">
        <v>12</v>
      </c>
      <c r="Q49" s="187">
        <v>1942.3880597014936</v>
      </c>
      <c r="R49" s="187">
        <v>161.86567164179112</v>
      </c>
      <c r="S49" s="346">
        <f t="shared" si="28"/>
        <v>8</v>
      </c>
      <c r="T49" s="629"/>
      <c r="U49" s="187">
        <v>12</v>
      </c>
      <c r="V49" s="187">
        <v>2020.9090909090917</v>
      </c>
      <c r="W49" s="187">
        <v>168.40909090909096</v>
      </c>
      <c r="X49" s="346">
        <f t="shared" si="29"/>
        <v>8</v>
      </c>
      <c r="Y49" s="629"/>
      <c r="Z49" s="187">
        <v>12</v>
      </c>
      <c r="AA49" s="187">
        <v>1999.0476190476186</v>
      </c>
      <c r="AB49" s="187">
        <v>166.58730158730154</v>
      </c>
      <c r="AC49" s="346">
        <f t="shared" si="30"/>
        <v>8</v>
      </c>
      <c r="AD49" s="629"/>
      <c r="AE49" s="187">
        <v>12</v>
      </c>
      <c r="AF49" s="187">
        <v>2015.2941176470595</v>
      </c>
      <c r="AG49" s="187">
        <v>167.94117647058829</v>
      </c>
      <c r="AH49" s="346">
        <f t="shared" si="31"/>
        <v>8</v>
      </c>
      <c r="AI49" s="629"/>
      <c r="AJ49" s="187">
        <v>12</v>
      </c>
      <c r="AK49" s="187">
        <v>2007.8571428571429</v>
      </c>
      <c r="AL49" s="187">
        <v>167.32142857142858</v>
      </c>
      <c r="AM49" s="346">
        <f t="shared" si="32"/>
        <v>8</v>
      </c>
      <c r="AN49" s="629"/>
      <c r="AO49" s="187">
        <v>12</v>
      </c>
      <c r="AP49" s="187">
        <v>1997.0149253731356</v>
      </c>
      <c r="AQ49" s="187">
        <v>166.4179104477613</v>
      </c>
      <c r="AR49" s="346">
        <f t="shared" si="33"/>
        <v>8</v>
      </c>
      <c r="AS49" s="629"/>
      <c r="AT49" s="187">
        <v>12</v>
      </c>
      <c r="AU49" s="187">
        <v>2005.5882352941192</v>
      </c>
      <c r="AV49" s="187">
        <v>167.13235294117661</v>
      </c>
      <c r="AW49" s="346">
        <f t="shared" si="34"/>
        <v>8</v>
      </c>
      <c r="AX49" s="629"/>
    </row>
    <row r="50" spans="2:50">
      <c r="B50" s="598"/>
      <c r="C50" s="319">
        <v>4</v>
      </c>
      <c r="D50" s="231" t="s">
        <v>419</v>
      </c>
      <c r="E50" s="187">
        <v>11</v>
      </c>
      <c r="F50" s="319">
        <v>2118</v>
      </c>
      <c r="G50" s="322">
        <v>192.54545454545453</v>
      </c>
      <c r="H50" s="633"/>
      <c r="I50" s="204">
        <f t="shared" si="25"/>
        <v>11</v>
      </c>
      <c r="J50" s="204">
        <f t="shared" si="26"/>
        <v>2087.031774779527</v>
      </c>
      <c r="K50" s="205">
        <f t="shared" si="27"/>
        <v>189.73016134359341</v>
      </c>
      <c r="L50" s="572"/>
      <c r="M50" s="206">
        <f>RANK(K50, K$47:$K$61)</f>
        <v>6</v>
      </c>
      <c r="N50" s="590"/>
      <c r="O50" s="590"/>
      <c r="P50" s="187">
        <v>11</v>
      </c>
      <c r="Q50" s="187">
        <v>2062.8000000000011</v>
      </c>
      <c r="R50" s="187">
        <v>187.52727272727282</v>
      </c>
      <c r="S50" s="346">
        <f t="shared" si="28"/>
        <v>6</v>
      </c>
      <c r="T50" s="629"/>
      <c r="U50" s="187">
        <v>11</v>
      </c>
      <c r="V50" s="187">
        <v>2063.6363636363626</v>
      </c>
      <c r="W50" s="187">
        <v>187.60330578512387</v>
      </c>
      <c r="X50" s="346">
        <f t="shared" si="29"/>
        <v>6</v>
      </c>
      <c r="Y50" s="629"/>
      <c r="Z50" s="187">
        <v>11</v>
      </c>
      <c r="AA50" s="187">
        <v>2113.4831460674159</v>
      </c>
      <c r="AB50" s="187">
        <v>192.13483146067418</v>
      </c>
      <c r="AC50" s="346">
        <f t="shared" si="30"/>
        <v>5</v>
      </c>
      <c r="AD50" s="629"/>
      <c r="AE50" s="187">
        <v>11</v>
      </c>
      <c r="AF50" s="187">
        <v>2067.692307692309</v>
      </c>
      <c r="AG50" s="187">
        <v>187.97202797202809</v>
      </c>
      <c r="AH50" s="346">
        <f t="shared" si="31"/>
        <v>6</v>
      </c>
      <c r="AI50" s="629"/>
      <c r="AJ50" s="187">
        <v>11</v>
      </c>
      <c r="AK50" s="187">
        <v>2115.7499999999991</v>
      </c>
      <c r="AL50" s="187">
        <v>192.34090909090901</v>
      </c>
      <c r="AM50" s="346">
        <f t="shared" si="32"/>
        <v>5</v>
      </c>
      <c r="AN50" s="629"/>
      <c r="AO50" s="187">
        <v>11</v>
      </c>
      <c r="AP50" s="187">
        <v>2059.7999999999993</v>
      </c>
      <c r="AQ50" s="187">
        <v>187.25454545454539</v>
      </c>
      <c r="AR50" s="346">
        <f t="shared" si="33"/>
        <v>6</v>
      </c>
      <c r="AS50" s="629"/>
      <c r="AT50" s="187">
        <v>11</v>
      </c>
      <c r="AU50" s="187">
        <v>2126.0606060606051</v>
      </c>
      <c r="AV50" s="187">
        <v>193.27823691460046</v>
      </c>
      <c r="AW50" s="346">
        <f t="shared" si="34"/>
        <v>5</v>
      </c>
      <c r="AX50" s="629"/>
    </row>
    <row r="51" spans="2:50">
      <c r="B51" s="598"/>
      <c r="C51" s="319">
        <v>5</v>
      </c>
      <c r="D51" s="231" t="s">
        <v>420</v>
      </c>
      <c r="E51" s="187">
        <v>11</v>
      </c>
      <c r="F51" s="319">
        <v>2250</v>
      </c>
      <c r="G51" s="322">
        <v>204.54545454545453</v>
      </c>
      <c r="H51" s="633"/>
      <c r="I51" s="204">
        <f t="shared" si="25"/>
        <v>11</v>
      </c>
      <c r="J51" s="204">
        <f t="shared" si="26"/>
        <v>1924.9526998461279</v>
      </c>
      <c r="K51" s="205">
        <f t="shared" si="27"/>
        <v>174.9956999860116</v>
      </c>
      <c r="L51" s="572"/>
      <c r="M51" s="206">
        <f>RANK(K51, K$47:$K$61)</f>
        <v>7</v>
      </c>
      <c r="N51" s="590"/>
      <c r="O51" s="590"/>
      <c r="P51" s="187">
        <v>11</v>
      </c>
      <c r="Q51" s="187">
        <v>2000.198019801981</v>
      </c>
      <c r="R51" s="187">
        <v>181.8361836183619</v>
      </c>
      <c r="S51" s="346">
        <f t="shared" si="28"/>
        <v>7</v>
      </c>
      <c r="T51" s="629"/>
      <c r="U51" s="187">
        <v>11</v>
      </c>
      <c r="V51" s="187">
        <v>1956.5999999999995</v>
      </c>
      <c r="W51" s="187">
        <v>177.87272727272722</v>
      </c>
      <c r="X51" s="346">
        <f t="shared" si="29"/>
        <v>7</v>
      </c>
      <c r="Y51" s="629"/>
      <c r="Z51" s="187">
        <v>11</v>
      </c>
      <c r="AA51" s="187">
        <v>1941.4285714285784</v>
      </c>
      <c r="AB51" s="187">
        <v>176.49350649350711</v>
      </c>
      <c r="AC51" s="346">
        <f t="shared" si="30"/>
        <v>7</v>
      </c>
      <c r="AD51" s="629"/>
      <c r="AE51" s="187">
        <v>11</v>
      </c>
      <c r="AF51" s="187">
        <v>1856.0769230769297</v>
      </c>
      <c r="AG51" s="187">
        <v>168.73426573426633</v>
      </c>
      <c r="AH51" s="346">
        <f t="shared" si="31"/>
        <v>7</v>
      </c>
      <c r="AI51" s="629"/>
      <c r="AJ51" s="187">
        <v>11</v>
      </c>
      <c r="AK51" s="187">
        <v>1915.6153846153916</v>
      </c>
      <c r="AL51" s="187">
        <v>174.14685314685377</v>
      </c>
      <c r="AM51" s="346">
        <f t="shared" si="32"/>
        <v>7</v>
      </c>
      <c r="AN51" s="629"/>
      <c r="AO51" s="187">
        <v>11</v>
      </c>
      <c r="AP51" s="187">
        <v>1896.1875000000068</v>
      </c>
      <c r="AQ51" s="187">
        <v>172.38068181818244</v>
      </c>
      <c r="AR51" s="346">
        <f t="shared" si="33"/>
        <v>7</v>
      </c>
      <c r="AS51" s="629"/>
      <c r="AT51" s="187">
        <v>11</v>
      </c>
      <c r="AU51" s="187">
        <v>1908.5625000000068</v>
      </c>
      <c r="AV51" s="187">
        <v>173.50568181818244</v>
      </c>
      <c r="AW51" s="346">
        <f t="shared" si="34"/>
        <v>7</v>
      </c>
      <c r="AX51" s="629"/>
    </row>
    <row r="52" spans="2:50">
      <c r="B52" s="598"/>
      <c r="C52" s="319">
        <v>6</v>
      </c>
      <c r="D52" s="231" t="s">
        <v>421</v>
      </c>
      <c r="E52" s="187">
        <v>13</v>
      </c>
      <c r="F52" s="319">
        <v>2250</v>
      </c>
      <c r="G52" s="322">
        <v>173.07692307692307</v>
      </c>
      <c r="H52" s="633"/>
      <c r="I52" s="204">
        <f t="shared" si="25"/>
        <v>13</v>
      </c>
      <c r="J52" s="204">
        <f t="shared" si="26"/>
        <v>1972.5165529774815</v>
      </c>
      <c r="K52" s="205">
        <f t="shared" si="27"/>
        <v>151.73204253672932</v>
      </c>
      <c r="L52" s="572"/>
      <c r="M52" s="206">
        <f>RANK(K52, K$47:$K$61)</f>
        <v>9</v>
      </c>
      <c r="N52" s="590"/>
      <c r="O52" s="590"/>
      <c r="P52" s="187">
        <v>13</v>
      </c>
      <c r="Q52" s="187">
        <v>1939.5918367346944</v>
      </c>
      <c r="R52" s="187">
        <v>149.19937205651496</v>
      </c>
      <c r="S52" s="346">
        <f t="shared" si="28"/>
        <v>9</v>
      </c>
      <c r="T52" s="629"/>
      <c r="U52" s="187">
        <v>13</v>
      </c>
      <c r="V52" s="187">
        <v>1912.9411764705892</v>
      </c>
      <c r="W52" s="187">
        <v>147.1493212669684</v>
      </c>
      <c r="X52" s="346">
        <f t="shared" si="29"/>
        <v>9</v>
      </c>
      <c r="Y52" s="629"/>
      <c r="Z52" s="187">
        <v>13</v>
      </c>
      <c r="AA52" s="187">
        <v>2026.6666666666667</v>
      </c>
      <c r="AB52" s="187">
        <v>155.89743589743591</v>
      </c>
      <c r="AC52" s="346">
        <f t="shared" si="30"/>
        <v>9</v>
      </c>
      <c r="AD52" s="629"/>
      <c r="AE52" s="187">
        <v>13</v>
      </c>
      <c r="AF52" s="187">
        <v>1959.5121951219508</v>
      </c>
      <c r="AG52" s="187">
        <v>150.73170731707313</v>
      </c>
      <c r="AH52" s="346">
        <f t="shared" si="31"/>
        <v>9</v>
      </c>
      <c r="AI52" s="629"/>
      <c r="AJ52" s="187">
        <v>13</v>
      </c>
      <c r="AK52" s="187">
        <v>2003.4146341463406</v>
      </c>
      <c r="AL52" s="187">
        <v>154.10881801125697</v>
      </c>
      <c r="AM52" s="346">
        <f t="shared" si="32"/>
        <v>9</v>
      </c>
      <c r="AN52" s="629"/>
      <c r="AO52" s="187">
        <v>13</v>
      </c>
      <c r="AP52" s="187">
        <v>1991.489361702128</v>
      </c>
      <c r="AQ52" s="187">
        <v>153.19148936170217</v>
      </c>
      <c r="AR52" s="346">
        <f t="shared" si="33"/>
        <v>9</v>
      </c>
      <c r="AS52" s="629"/>
      <c r="AT52" s="187">
        <v>13</v>
      </c>
      <c r="AU52" s="187">
        <v>1974.0000000000007</v>
      </c>
      <c r="AV52" s="187">
        <v>151.8461538461539</v>
      </c>
      <c r="AW52" s="346">
        <f t="shared" si="34"/>
        <v>9</v>
      </c>
      <c r="AX52" s="629"/>
    </row>
    <row r="53" spans="2:50">
      <c r="B53" s="598"/>
      <c r="C53" s="319">
        <v>7</v>
      </c>
      <c r="D53" s="231" t="s">
        <v>422</v>
      </c>
      <c r="E53" s="187">
        <v>10</v>
      </c>
      <c r="F53" s="319">
        <v>2250</v>
      </c>
      <c r="G53" s="322">
        <v>225</v>
      </c>
      <c r="H53" s="633"/>
      <c r="I53" s="204">
        <f t="shared" si="25"/>
        <v>10</v>
      </c>
      <c r="J53" s="204">
        <f t="shared" si="26"/>
        <v>1938.2044508521722</v>
      </c>
      <c r="K53" s="205">
        <f t="shared" si="27"/>
        <v>193.82044508521722</v>
      </c>
      <c r="L53" s="572"/>
      <c r="M53" s="206">
        <f>RANK(K53, K$47:$K$61)</f>
        <v>5</v>
      </c>
      <c r="N53" s="590"/>
      <c r="O53" s="590"/>
      <c r="P53" s="187">
        <v>10</v>
      </c>
      <c r="Q53" s="187">
        <v>1969.0909090909067</v>
      </c>
      <c r="R53" s="187">
        <v>196.90909090909068</v>
      </c>
      <c r="S53" s="346">
        <f t="shared" si="28"/>
        <v>5</v>
      </c>
      <c r="T53" s="629"/>
      <c r="U53" s="187">
        <v>10</v>
      </c>
      <c r="V53" s="187">
        <v>1964.1176470588209</v>
      </c>
      <c r="W53" s="187">
        <v>196.41176470588209</v>
      </c>
      <c r="X53" s="346">
        <f t="shared" si="29"/>
        <v>5</v>
      </c>
      <c r="Y53" s="629"/>
      <c r="Z53" s="187">
        <v>10</v>
      </c>
      <c r="AA53" s="187">
        <v>1916.5714285714266</v>
      </c>
      <c r="AB53" s="187">
        <v>191.65714285714267</v>
      </c>
      <c r="AC53" s="346">
        <f t="shared" si="30"/>
        <v>6</v>
      </c>
      <c r="AD53" s="629"/>
      <c r="AE53" s="187">
        <v>10</v>
      </c>
      <c r="AF53" s="187">
        <v>1992.4137931034497</v>
      </c>
      <c r="AG53" s="187">
        <v>199.24137931034497</v>
      </c>
      <c r="AH53" s="346">
        <f t="shared" si="31"/>
        <v>4</v>
      </c>
      <c r="AI53" s="629"/>
      <c r="AJ53" s="187">
        <v>10</v>
      </c>
      <c r="AK53" s="187">
        <v>1892.9032258064535</v>
      </c>
      <c r="AL53" s="187">
        <v>189.29032258064535</v>
      </c>
      <c r="AM53" s="346">
        <f t="shared" si="32"/>
        <v>6</v>
      </c>
      <c r="AN53" s="629"/>
      <c r="AO53" s="187">
        <v>10</v>
      </c>
      <c r="AP53" s="187">
        <v>1909.0909090909067</v>
      </c>
      <c r="AQ53" s="187">
        <v>190.90909090909068</v>
      </c>
      <c r="AR53" s="346">
        <f t="shared" si="33"/>
        <v>5</v>
      </c>
      <c r="AS53" s="629"/>
      <c r="AT53" s="187">
        <v>10</v>
      </c>
      <c r="AU53" s="187">
        <v>1923.2432432432417</v>
      </c>
      <c r="AV53" s="187">
        <v>192.32432432432418</v>
      </c>
      <c r="AW53" s="346">
        <f t="shared" si="34"/>
        <v>6</v>
      </c>
      <c r="AX53" s="629"/>
    </row>
    <row r="54" spans="2:50">
      <c r="B54" s="598"/>
      <c r="C54" s="319">
        <v>8</v>
      </c>
      <c r="D54" s="231" t="s">
        <v>423</v>
      </c>
      <c r="E54" s="187">
        <v>10</v>
      </c>
      <c r="F54" s="319">
        <v>2250</v>
      </c>
      <c r="G54" s="322">
        <v>225</v>
      </c>
      <c r="H54" s="633"/>
      <c r="I54" s="204">
        <f t="shared" si="25"/>
        <v>10</v>
      </c>
      <c r="J54" s="204">
        <f t="shared" si="26"/>
        <v>1996.3466637017166</v>
      </c>
      <c r="K54" s="205">
        <f t="shared" si="27"/>
        <v>199.63466637017163</v>
      </c>
      <c r="L54" s="572"/>
      <c r="M54" s="206">
        <f>RANK(K54, K$47:$K$61)</f>
        <v>4</v>
      </c>
      <c r="N54" s="590"/>
      <c r="O54" s="590"/>
      <c r="P54" s="187">
        <v>10</v>
      </c>
      <c r="Q54" s="187">
        <v>2001.3861386138619</v>
      </c>
      <c r="R54" s="187">
        <v>200.1386138613862</v>
      </c>
      <c r="S54" s="346">
        <f t="shared" si="28"/>
        <v>4</v>
      </c>
      <c r="T54" s="629"/>
      <c r="U54" s="187">
        <v>10</v>
      </c>
      <c r="V54" s="187">
        <v>1996.2000000000007</v>
      </c>
      <c r="W54" s="187">
        <v>199.62000000000006</v>
      </c>
      <c r="X54" s="346">
        <f t="shared" si="29"/>
        <v>4</v>
      </c>
      <c r="Y54" s="629"/>
      <c r="Z54" s="187">
        <v>10</v>
      </c>
      <c r="AA54" s="187">
        <v>2027.0103092783511</v>
      </c>
      <c r="AB54" s="187">
        <v>202.70103092783512</v>
      </c>
      <c r="AC54" s="346">
        <f t="shared" si="30"/>
        <v>4</v>
      </c>
      <c r="AD54" s="629"/>
      <c r="AE54" s="187">
        <v>10</v>
      </c>
      <c r="AF54" s="187">
        <v>1980</v>
      </c>
      <c r="AG54" s="187">
        <v>198</v>
      </c>
      <c r="AH54" s="346">
        <f t="shared" si="31"/>
        <v>5</v>
      </c>
      <c r="AI54" s="629"/>
      <c r="AJ54" s="187">
        <v>10</v>
      </c>
      <c r="AK54" s="187">
        <v>1941.5999999999988</v>
      </c>
      <c r="AL54" s="187">
        <v>194.15999999999988</v>
      </c>
      <c r="AM54" s="346">
        <f t="shared" si="32"/>
        <v>4</v>
      </c>
      <c r="AN54" s="629"/>
      <c r="AO54" s="187">
        <v>10</v>
      </c>
      <c r="AP54" s="187">
        <v>2026.2500000000005</v>
      </c>
      <c r="AQ54" s="187">
        <v>202.62500000000006</v>
      </c>
      <c r="AR54" s="346">
        <f t="shared" si="33"/>
        <v>4</v>
      </c>
      <c r="AS54" s="629"/>
      <c r="AT54" s="187">
        <v>10</v>
      </c>
      <c r="AU54" s="187">
        <v>2001.9801980198029</v>
      </c>
      <c r="AV54" s="187">
        <v>200.19801980198028</v>
      </c>
      <c r="AW54" s="346">
        <f t="shared" si="34"/>
        <v>4</v>
      </c>
      <c r="AX54" s="629"/>
    </row>
    <row r="55" spans="2:50">
      <c r="B55" s="598"/>
      <c r="C55" s="319">
        <v>9</v>
      </c>
      <c r="D55" s="231" t="s">
        <v>416</v>
      </c>
      <c r="E55" s="187">
        <v>18</v>
      </c>
      <c r="F55" s="319">
        <v>1250</v>
      </c>
      <c r="G55" s="322">
        <v>69.444444444444443</v>
      </c>
      <c r="H55" s="633"/>
      <c r="I55" s="204">
        <f t="shared" si="25"/>
        <v>16.285714285714285</v>
      </c>
      <c r="J55" s="204">
        <f t="shared" si="26"/>
        <v>1237.0104093655016</v>
      </c>
      <c r="K55" s="205">
        <f t="shared" si="27"/>
        <v>76.110143066546854</v>
      </c>
      <c r="L55" s="572"/>
      <c r="M55" s="206">
        <f>RANK(K55, K$47:$K$61)</f>
        <v>11</v>
      </c>
      <c r="N55" s="590"/>
      <c r="O55" s="590"/>
      <c r="P55" s="187">
        <v>18</v>
      </c>
      <c r="Q55" s="187">
        <v>1212.6315789473681</v>
      </c>
      <c r="R55" s="187">
        <v>67.368421052631561</v>
      </c>
      <c r="S55" s="346">
        <f t="shared" si="28"/>
        <v>11</v>
      </c>
      <c r="T55" s="629"/>
      <c r="U55" s="187">
        <v>16</v>
      </c>
      <c r="V55" s="187">
        <v>1211.4893617021273</v>
      </c>
      <c r="W55" s="187">
        <v>75.718085106382958</v>
      </c>
      <c r="X55" s="346">
        <f t="shared" si="29"/>
        <v>11</v>
      </c>
      <c r="Y55" s="629"/>
      <c r="Z55" s="187">
        <v>16</v>
      </c>
      <c r="AA55" s="187">
        <v>1254.4827586206893</v>
      </c>
      <c r="AB55" s="187">
        <v>78.405172413793082</v>
      </c>
      <c r="AC55" s="346">
        <f t="shared" si="30"/>
        <v>11</v>
      </c>
      <c r="AD55" s="629"/>
      <c r="AE55" s="187">
        <v>16</v>
      </c>
      <c r="AF55" s="187">
        <v>1267.714285714286</v>
      </c>
      <c r="AG55" s="187">
        <v>79.232142857142875</v>
      </c>
      <c r="AH55" s="346">
        <f t="shared" si="31"/>
        <v>11</v>
      </c>
      <c r="AI55" s="629"/>
      <c r="AJ55" s="187">
        <v>16</v>
      </c>
      <c r="AK55" s="187">
        <v>1251.3157894736839</v>
      </c>
      <c r="AL55" s="187">
        <v>78.207236842105246</v>
      </c>
      <c r="AM55" s="346">
        <f t="shared" si="32"/>
        <v>11</v>
      </c>
      <c r="AN55" s="629"/>
      <c r="AO55" s="187">
        <v>16</v>
      </c>
      <c r="AP55" s="187">
        <v>1240.4081632653058</v>
      </c>
      <c r="AQ55" s="187">
        <v>77.525510204081613</v>
      </c>
      <c r="AR55" s="346">
        <f t="shared" si="33"/>
        <v>11</v>
      </c>
      <c r="AS55" s="629"/>
      <c r="AT55" s="187">
        <v>16</v>
      </c>
      <c r="AU55" s="187">
        <v>1221.0309278350514</v>
      </c>
      <c r="AV55" s="187">
        <v>76.314432989690715</v>
      </c>
      <c r="AW55" s="346">
        <f t="shared" si="34"/>
        <v>11</v>
      </c>
      <c r="AX55" s="629"/>
    </row>
    <row r="56" spans="2:50">
      <c r="B56" s="598"/>
      <c r="C56" s="319">
        <v>10</v>
      </c>
      <c r="D56" s="231" t="s">
        <v>664</v>
      </c>
      <c r="E56" s="187">
        <v>4</v>
      </c>
      <c r="F56" s="319">
        <v>2000</v>
      </c>
      <c r="G56" s="322">
        <v>500</v>
      </c>
      <c r="H56" s="633"/>
      <c r="I56" s="204">
        <f t="shared" si="25"/>
        <v>4</v>
      </c>
      <c r="J56" s="204">
        <f t="shared" si="26"/>
        <v>1830.0612244897991</v>
      </c>
      <c r="K56" s="205">
        <f t="shared" si="27"/>
        <v>457.51530612244977</v>
      </c>
      <c r="L56" s="572"/>
      <c r="M56" s="206">
        <f>RANK(K56, K$47:$K$61)</f>
        <v>3</v>
      </c>
      <c r="N56" s="590"/>
      <c r="O56" s="590"/>
      <c r="P56" s="187">
        <v>4</v>
      </c>
      <c r="Q56" s="187">
        <v>1800.0000000000064</v>
      </c>
      <c r="R56" s="187">
        <v>450.00000000000159</v>
      </c>
      <c r="S56" s="346">
        <f t="shared" si="28"/>
        <v>3</v>
      </c>
      <c r="T56" s="629"/>
      <c r="U56" s="187">
        <v>4</v>
      </c>
      <c r="V56" s="187">
        <v>1911.4285714285784</v>
      </c>
      <c r="W56" s="187">
        <v>477.85714285714459</v>
      </c>
      <c r="X56" s="346">
        <f t="shared" si="29"/>
        <v>3</v>
      </c>
      <c r="Y56" s="629"/>
      <c r="Z56" s="187">
        <v>4</v>
      </c>
      <c r="AA56" s="187">
        <v>1788.0000000000064</v>
      </c>
      <c r="AB56" s="187">
        <v>447.00000000000159</v>
      </c>
      <c r="AC56" s="346">
        <f t="shared" si="30"/>
        <v>3</v>
      </c>
      <c r="AD56" s="629"/>
      <c r="AE56" s="187">
        <v>4</v>
      </c>
      <c r="AF56" s="187">
        <v>1894.9999999999941</v>
      </c>
      <c r="AG56" s="187">
        <v>473.74999999999852</v>
      </c>
      <c r="AH56" s="346">
        <f t="shared" si="31"/>
        <v>2</v>
      </c>
      <c r="AI56" s="629"/>
      <c r="AJ56" s="187">
        <v>4</v>
      </c>
      <c r="AK56" s="187">
        <v>1755.999999999997</v>
      </c>
      <c r="AL56" s="187">
        <v>438.99999999999926</v>
      </c>
      <c r="AM56" s="346">
        <f t="shared" si="32"/>
        <v>3</v>
      </c>
      <c r="AN56" s="629"/>
      <c r="AO56" s="187">
        <v>4</v>
      </c>
      <c r="AP56" s="187">
        <v>1823.0769230769297</v>
      </c>
      <c r="AQ56" s="187">
        <v>455.76923076923242</v>
      </c>
      <c r="AR56" s="346">
        <f t="shared" si="33"/>
        <v>3</v>
      </c>
      <c r="AS56" s="629"/>
      <c r="AT56" s="187">
        <v>4</v>
      </c>
      <c r="AU56" s="187">
        <v>1836.9230769230835</v>
      </c>
      <c r="AV56" s="187">
        <v>459.23076923077087</v>
      </c>
      <c r="AW56" s="346">
        <f t="shared" si="34"/>
        <v>3</v>
      </c>
      <c r="AX56" s="629"/>
    </row>
    <row r="57" spans="2:50">
      <c r="B57" s="598"/>
      <c r="C57" s="319">
        <v>11</v>
      </c>
      <c r="D57" s="231" t="s">
        <v>693</v>
      </c>
      <c r="E57" s="187">
        <v>15</v>
      </c>
      <c r="F57" s="319">
        <v>1500</v>
      </c>
      <c r="G57" s="322">
        <v>100</v>
      </c>
      <c r="H57" s="633"/>
      <c r="I57" s="470">
        <f t="shared" ref="I57" si="35">AVERAGE(P57,U57,Z57,AE57,AJ57,AO57,AT57)</f>
        <v>15</v>
      </c>
      <c r="J57" s="470">
        <f t="shared" ref="J57" si="36">AVERAGE(Q57,V57,AA57,AF57,AK57,AP57,AU57)</f>
        <v>1473.5235854523994</v>
      </c>
      <c r="K57" s="205">
        <f t="shared" ref="K57" si="37">AVERAGE(R57,W57,AB57,AG57,AL57,AQ57,AV57)</f>
        <v>98.234905696826644</v>
      </c>
      <c r="L57" s="572"/>
      <c r="M57" s="206">
        <f>RANK(K57, K$47:$K$61)</f>
        <v>10</v>
      </c>
      <c r="N57" s="590"/>
      <c r="O57" s="590"/>
      <c r="P57" s="187">
        <v>15</v>
      </c>
      <c r="Q57" s="187">
        <v>1486.5517241379321</v>
      </c>
      <c r="R57" s="187">
        <v>99.103448275862135</v>
      </c>
      <c r="S57" s="346">
        <f t="shared" si="28"/>
        <v>10</v>
      </c>
      <c r="T57" s="629"/>
      <c r="U57" s="187">
        <v>15</v>
      </c>
      <c r="V57" s="187">
        <v>1460.4000000000003</v>
      </c>
      <c r="W57" s="187">
        <v>97.360000000000028</v>
      </c>
      <c r="X57" s="346">
        <f t="shared" si="29"/>
        <v>10</v>
      </c>
      <c r="Y57" s="629"/>
      <c r="Z57" s="187">
        <v>15</v>
      </c>
      <c r="AA57" s="187">
        <v>1503.5294117647065</v>
      </c>
      <c r="AB57" s="187">
        <v>100.2352941176471</v>
      </c>
      <c r="AC57" s="346">
        <f t="shared" si="30"/>
        <v>10</v>
      </c>
      <c r="AD57" s="629"/>
      <c r="AE57" s="187">
        <v>15</v>
      </c>
      <c r="AF57" s="187">
        <v>1437.0000000000023</v>
      </c>
      <c r="AG57" s="187">
        <v>95.800000000000153</v>
      </c>
      <c r="AH57" s="346">
        <f t="shared" si="31"/>
        <v>10</v>
      </c>
      <c r="AI57" s="629"/>
      <c r="AJ57" s="187">
        <v>15</v>
      </c>
      <c r="AK57" s="187">
        <v>1524.0000000000018</v>
      </c>
      <c r="AL57" s="187">
        <v>101.60000000000012</v>
      </c>
      <c r="AM57" s="346">
        <f t="shared" si="32"/>
        <v>10</v>
      </c>
      <c r="AN57" s="629"/>
      <c r="AO57" s="187">
        <v>15</v>
      </c>
      <c r="AP57" s="187">
        <v>1433.7500000000005</v>
      </c>
      <c r="AQ57" s="187">
        <v>95.583333333333357</v>
      </c>
      <c r="AR57" s="346">
        <f t="shared" si="33"/>
        <v>10</v>
      </c>
      <c r="AS57" s="629"/>
      <c r="AT57" s="187">
        <v>15</v>
      </c>
      <c r="AU57" s="187">
        <v>1469.4339622641519</v>
      </c>
      <c r="AV57" s="187">
        <v>97.962264150943454</v>
      </c>
      <c r="AW57" s="346">
        <f t="shared" si="34"/>
        <v>10</v>
      </c>
      <c r="AX57" s="629"/>
    </row>
    <row r="58" spans="2:50">
      <c r="B58" s="598"/>
      <c r="C58" s="319">
        <v>12</v>
      </c>
      <c r="D58" s="231"/>
      <c r="E58" s="187"/>
      <c r="F58" s="319"/>
      <c r="G58" s="322"/>
      <c r="H58" s="633"/>
      <c r="I58" s="207"/>
      <c r="J58" s="207"/>
      <c r="K58" s="207"/>
      <c r="L58" s="572"/>
      <c r="M58" s="206" t="e">
        <f>RANK(K58, K$47:$K$61)</f>
        <v>#N/A</v>
      </c>
      <c r="N58" s="590"/>
      <c r="O58" s="590"/>
      <c r="P58" s="187"/>
      <c r="Q58" s="187"/>
      <c r="R58" s="187"/>
      <c r="S58" s="346" t="e">
        <f t="shared" si="28"/>
        <v>#N/A</v>
      </c>
      <c r="T58" s="629"/>
      <c r="U58" s="187"/>
      <c r="V58" s="187"/>
      <c r="W58" s="187"/>
      <c r="X58" s="346" t="e">
        <f t="shared" si="29"/>
        <v>#N/A</v>
      </c>
      <c r="Y58" s="629"/>
      <c r="Z58" s="187"/>
      <c r="AA58" s="187"/>
      <c r="AB58" s="187"/>
      <c r="AC58" s="346" t="e">
        <f t="shared" si="30"/>
        <v>#N/A</v>
      </c>
      <c r="AD58" s="629"/>
      <c r="AE58" s="187"/>
      <c r="AF58" s="187"/>
      <c r="AG58" s="187"/>
      <c r="AH58" s="346" t="e">
        <f t="shared" si="31"/>
        <v>#N/A</v>
      </c>
      <c r="AI58" s="629"/>
      <c r="AJ58" s="187"/>
      <c r="AK58" s="187"/>
      <c r="AL58" s="187"/>
      <c r="AM58" s="346" t="e">
        <f t="shared" si="32"/>
        <v>#N/A</v>
      </c>
      <c r="AN58" s="629"/>
      <c r="AO58" s="187"/>
      <c r="AP58" s="187"/>
      <c r="AQ58" s="187"/>
      <c r="AR58" s="346" t="e">
        <f t="shared" si="33"/>
        <v>#N/A</v>
      </c>
      <c r="AS58" s="629"/>
      <c r="AT58" s="187"/>
      <c r="AU58" s="187"/>
      <c r="AV58" s="187"/>
      <c r="AW58" s="346" t="e">
        <f t="shared" si="34"/>
        <v>#N/A</v>
      </c>
      <c r="AX58" s="629"/>
    </row>
    <row r="59" spans="2:50">
      <c r="B59" s="598"/>
      <c r="C59" s="319">
        <v>13</v>
      </c>
      <c r="D59" s="231"/>
      <c r="E59" s="187"/>
      <c r="F59" s="319"/>
      <c r="G59" s="322"/>
      <c r="H59" s="633"/>
      <c r="I59" s="207"/>
      <c r="J59" s="207"/>
      <c r="K59" s="207"/>
      <c r="L59" s="572"/>
      <c r="M59" s="206" t="e">
        <f>RANK(K59, K$47:$K$61)</f>
        <v>#N/A</v>
      </c>
      <c r="N59" s="590"/>
      <c r="O59" s="590"/>
      <c r="P59" s="187"/>
      <c r="Q59" s="187"/>
      <c r="R59" s="187"/>
      <c r="S59" s="346" t="e">
        <f t="shared" si="28"/>
        <v>#N/A</v>
      </c>
      <c r="T59" s="629"/>
      <c r="U59" s="187"/>
      <c r="V59" s="187"/>
      <c r="W59" s="187"/>
      <c r="X59" s="346" t="e">
        <f t="shared" si="29"/>
        <v>#N/A</v>
      </c>
      <c r="Y59" s="629"/>
      <c r="Z59" s="187"/>
      <c r="AA59" s="187"/>
      <c r="AB59" s="187"/>
      <c r="AC59" s="346" t="e">
        <f t="shared" si="30"/>
        <v>#N/A</v>
      </c>
      <c r="AD59" s="629"/>
      <c r="AE59" s="187"/>
      <c r="AF59" s="187"/>
      <c r="AG59" s="187"/>
      <c r="AH59" s="346" t="e">
        <f t="shared" si="31"/>
        <v>#N/A</v>
      </c>
      <c r="AI59" s="629"/>
      <c r="AJ59" s="187"/>
      <c r="AK59" s="187"/>
      <c r="AL59" s="187"/>
      <c r="AM59" s="346" t="e">
        <f t="shared" si="32"/>
        <v>#N/A</v>
      </c>
      <c r="AN59" s="629"/>
      <c r="AO59" s="187"/>
      <c r="AP59" s="187"/>
      <c r="AQ59" s="187"/>
      <c r="AR59" s="346" t="e">
        <f t="shared" si="33"/>
        <v>#N/A</v>
      </c>
      <c r="AS59" s="629"/>
      <c r="AT59" s="187"/>
      <c r="AU59" s="187"/>
      <c r="AV59" s="187"/>
      <c r="AW59" s="346" t="e">
        <f t="shared" si="34"/>
        <v>#N/A</v>
      </c>
      <c r="AX59" s="629"/>
    </row>
    <row r="60" spans="2:50">
      <c r="B60" s="598"/>
      <c r="C60" s="319">
        <v>14</v>
      </c>
      <c r="D60" s="231"/>
      <c r="E60" s="187"/>
      <c r="F60" s="319"/>
      <c r="G60" s="322"/>
      <c r="H60" s="633"/>
      <c r="I60" s="207"/>
      <c r="J60" s="207"/>
      <c r="K60" s="207"/>
      <c r="L60" s="572"/>
      <c r="M60" s="206" t="e">
        <f>RANK(K60, K$47:$K$61)</f>
        <v>#N/A</v>
      </c>
      <c r="N60" s="590"/>
      <c r="O60" s="590"/>
      <c r="P60" s="187"/>
      <c r="Q60" s="187"/>
      <c r="R60" s="187"/>
      <c r="S60" s="346" t="e">
        <f t="shared" si="28"/>
        <v>#N/A</v>
      </c>
      <c r="T60" s="629"/>
      <c r="U60" s="187"/>
      <c r="V60" s="187"/>
      <c r="W60" s="187"/>
      <c r="X60" s="346" t="e">
        <f t="shared" si="29"/>
        <v>#N/A</v>
      </c>
      <c r="Y60" s="629"/>
      <c r="Z60" s="187"/>
      <c r="AA60" s="187"/>
      <c r="AB60" s="187"/>
      <c r="AC60" s="346" t="e">
        <f t="shared" si="30"/>
        <v>#N/A</v>
      </c>
      <c r="AD60" s="629"/>
      <c r="AE60" s="187"/>
      <c r="AF60" s="187"/>
      <c r="AG60" s="187"/>
      <c r="AH60" s="346" t="e">
        <f t="shared" si="31"/>
        <v>#N/A</v>
      </c>
      <c r="AI60" s="629"/>
      <c r="AJ60" s="187"/>
      <c r="AK60" s="187"/>
      <c r="AL60" s="187"/>
      <c r="AM60" s="346" t="e">
        <f t="shared" si="32"/>
        <v>#N/A</v>
      </c>
      <c r="AN60" s="629"/>
      <c r="AO60" s="187"/>
      <c r="AP60" s="187"/>
      <c r="AQ60" s="187"/>
      <c r="AR60" s="346" t="e">
        <f t="shared" si="33"/>
        <v>#N/A</v>
      </c>
      <c r="AS60" s="629"/>
      <c r="AT60" s="187"/>
      <c r="AU60" s="187"/>
      <c r="AV60" s="187"/>
      <c r="AW60" s="346" t="e">
        <f t="shared" si="34"/>
        <v>#N/A</v>
      </c>
      <c r="AX60" s="629"/>
    </row>
    <row r="61" spans="2:50">
      <c r="B61" s="598"/>
      <c r="C61" s="319">
        <v>15</v>
      </c>
      <c r="D61" s="231"/>
      <c r="E61" s="187"/>
      <c r="F61" s="319"/>
      <c r="G61" s="322"/>
      <c r="H61" s="634"/>
      <c r="I61" s="207"/>
      <c r="J61" s="207"/>
      <c r="K61" s="207"/>
      <c r="L61" s="573"/>
      <c r="M61" s="206" t="e">
        <f>RANK(K61, K$47:$K$61)</f>
        <v>#N/A</v>
      </c>
      <c r="N61" s="590"/>
      <c r="O61" s="590"/>
      <c r="P61" s="187"/>
      <c r="Q61" s="187"/>
      <c r="R61" s="187"/>
      <c r="S61" s="346" t="e">
        <f t="shared" si="28"/>
        <v>#N/A</v>
      </c>
      <c r="T61" s="629"/>
      <c r="U61" s="187"/>
      <c r="V61" s="187"/>
      <c r="W61" s="187"/>
      <c r="X61" s="346" t="e">
        <f t="shared" si="29"/>
        <v>#N/A</v>
      </c>
      <c r="Y61" s="629"/>
      <c r="Z61" s="187"/>
      <c r="AA61" s="187"/>
      <c r="AB61" s="187"/>
      <c r="AC61" s="346" t="e">
        <f t="shared" si="30"/>
        <v>#N/A</v>
      </c>
      <c r="AD61" s="629"/>
      <c r="AE61" s="187"/>
      <c r="AF61" s="187"/>
      <c r="AG61" s="187"/>
      <c r="AH61" s="346" t="e">
        <f t="shared" si="31"/>
        <v>#N/A</v>
      </c>
      <c r="AI61" s="629"/>
      <c r="AJ61" s="187"/>
      <c r="AK61" s="187"/>
      <c r="AL61" s="187"/>
      <c r="AM61" s="346" t="e">
        <f t="shared" si="32"/>
        <v>#N/A</v>
      </c>
      <c r="AN61" s="629"/>
      <c r="AO61" s="187"/>
      <c r="AP61" s="187"/>
      <c r="AQ61" s="187"/>
      <c r="AR61" s="346" t="e">
        <f t="shared" si="33"/>
        <v>#N/A</v>
      </c>
      <c r="AS61" s="629"/>
      <c r="AT61" s="187"/>
      <c r="AU61" s="187"/>
      <c r="AV61" s="187"/>
      <c r="AW61" s="346" t="e">
        <f t="shared" si="34"/>
        <v>#N/A</v>
      </c>
      <c r="AX61" s="629"/>
    </row>
    <row r="62" spans="2:50" ht="15.75">
      <c r="B62" s="602" t="s">
        <v>163</v>
      </c>
      <c r="C62" s="603"/>
      <c r="D62" s="603"/>
      <c r="E62" s="603"/>
      <c r="F62" s="603"/>
      <c r="G62" s="603"/>
      <c r="H62" s="604"/>
      <c r="I62" s="213"/>
      <c r="J62" s="213"/>
      <c r="K62" s="213"/>
      <c r="L62" s="213"/>
      <c r="M62" s="212"/>
      <c r="N62" s="591" t="s">
        <v>156</v>
      </c>
      <c r="O62" s="591" t="s">
        <v>105</v>
      </c>
      <c r="P62" s="597">
        <f>P42+7</f>
        <v>45951</v>
      </c>
      <c r="Q62" s="598"/>
      <c r="R62" s="598"/>
      <c r="S62" s="598"/>
      <c r="T62" s="598"/>
      <c r="U62" s="594">
        <f>P62+1</f>
        <v>45952</v>
      </c>
      <c r="V62" s="595"/>
      <c r="W62" s="595"/>
      <c r="X62" s="595"/>
      <c r="Y62" s="596"/>
      <c r="Z62" s="594">
        <f>U62+1</f>
        <v>45953</v>
      </c>
      <c r="AA62" s="595"/>
      <c r="AB62" s="595"/>
      <c r="AC62" s="595"/>
      <c r="AD62" s="596"/>
      <c r="AE62" s="594">
        <f>Z62+1</f>
        <v>45954</v>
      </c>
      <c r="AF62" s="595"/>
      <c r="AG62" s="595"/>
      <c r="AH62" s="595"/>
      <c r="AI62" s="596"/>
      <c r="AJ62" s="594">
        <f>AE62+1</f>
        <v>45955</v>
      </c>
      <c r="AK62" s="595"/>
      <c r="AL62" s="595"/>
      <c r="AM62" s="595"/>
      <c r="AN62" s="596"/>
      <c r="AO62" s="594">
        <f>AJ62+1</f>
        <v>45956</v>
      </c>
      <c r="AP62" s="595"/>
      <c r="AQ62" s="595"/>
      <c r="AR62" s="595"/>
      <c r="AS62" s="596"/>
      <c r="AT62" s="594">
        <f>AO62+1</f>
        <v>45957</v>
      </c>
      <c r="AU62" s="595"/>
      <c r="AV62" s="595"/>
      <c r="AW62" s="595"/>
      <c r="AX62" s="596"/>
    </row>
    <row r="63" spans="2:50" ht="15.75">
      <c r="B63" s="605"/>
      <c r="C63" s="605"/>
      <c r="D63" s="605"/>
      <c r="E63" s="605"/>
      <c r="F63" s="605"/>
      <c r="G63" s="605"/>
      <c r="H63" s="605"/>
      <c r="I63" s="210"/>
      <c r="J63" s="210"/>
      <c r="K63" s="210"/>
      <c r="L63" s="210"/>
      <c r="M63" s="211"/>
      <c r="N63" s="593"/>
      <c r="O63" s="593"/>
      <c r="P63" s="597" t="s">
        <v>336</v>
      </c>
      <c r="Q63" s="598"/>
      <c r="R63" s="598"/>
      <c r="S63" s="598"/>
      <c r="T63" s="598"/>
      <c r="U63" s="597" t="s">
        <v>337</v>
      </c>
      <c r="V63" s="598"/>
      <c r="W63" s="598"/>
      <c r="X63" s="598"/>
      <c r="Y63" s="598"/>
      <c r="Z63" s="597" t="s">
        <v>338</v>
      </c>
      <c r="AA63" s="598"/>
      <c r="AB63" s="598"/>
      <c r="AC63" s="598"/>
      <c r="AD63" s="598"/>
      <c r="AE63" s="597" t="s">
        <v>339</v>
      </c>
      <c r="AF63" s="598"/>
      <c r="AG63" s="598"/>
      <c r="AH63" s="598"/>
      <c r="AI63" s="598"/>
      <c r="AJ63" s="597" t="s">
        <v>340</v>
      </c>
      <c r="AK63" s="598"/>
      <c r="AL63" s="598"/>
      <c r="AM63" s="598"/>
      <c r="AN63" s="598"/>
      <c r="AO63" s="597" t="s">
        <v>341</v>
      </c>
      <c r="AP63" s="598"/>
      <c r="AQ63" s="598"/>
      <c r="AR63" s="598"/>
      <c r="AS63" s="598"/>
      <c r="AT63" s="597" t="s">
        <v>342</v>
      </c>
      <c r="AU63" s="598"/>
      <c r="AV63" s="598"/>
      <c r="AW63" s="598"/>
      <c r="AX63" s="598"/>
    </row>
    <row r="64" spans="2:50">
      <c r="B64" s="590" t="s">
        <v>444</v>
      </c>
      <c r="C64" s="590" t="s">
        <v>454</v>
      </c>
      <c r="D64" s="590"/>
      <c r="E64" s="590" t="s">
        <v>445</v>
      </c>
      <c r="F64" s="590"/>
      <c r="G64" s="590"/>
      <c r="H64" s="606" t="s">
        <v>441</v>
      </c>
      <c r="I64" s="574" t="s">
        <v>446</v>
      </c>
      <c r="J64" s="574"/>
      <c r="K64" s="574"/>
      <c r="L64" s="575" t="s">
        <v>441</v>
      </c>
      <c r="M64" s="581" t="s">
        <v>442</v>
      </c>
      <c r="N64" s="590"/>
      <c r="O64" s="590" t="s">
        <v>447</v>
      </c>
      <c r="P64" s="587" t="s">
        <v>443</v>
      </c>
      <c r="Q64" s="588"/>
      <c r="R64" s="588"/>
      <c r="S64" s="589"/>
      <c r="T64" s="590" t="s">
        <v>441</v>
      </c>
      <c r="U64" s="587" t="s">
        <v>443</v>
      </c>
      <c r="V64" s="588"/>
      <c r="W64" s="588"/>
      <c r="X64" s="589"/>
      <c r="Y64" s="590" t="s">
        <v>441</v>
      </c>
      <c r="Z64" s="587" t="s">
        <v>443</v>
      </c>
      <c r="AA64" s="588"/>
      <c r="AB64" s="588"/>
      <c r="AC64" s="589"/>
      <c r="AD64" s="590" t="s">
        <v>441</v>
      </c>
      <c r="AE64" s="587" t="s">
        <v>443</v>
      </c>
      <c r="AF64" s="588"/>
      <c r="AG64" s="588"/>
      <c r="AH64" s="589"/>
      <c r="AI64" s="590" t="s">
        <v>441</v>
      </c>
      <c r="AJ64" s="587" t="s">
        <v>443</v>
      </c>
      <c r="AK64" s="588"/>
      <c r="AL64" s="588"/>
      <c r="AM64" s="589"/>
      <c r="AN64" s="590" t="s">
        <v>441</v>
      </c>
      <c r="AO64" s="587" t="s">
        <v>443</v>
      </c>
      <c r="AP64" s="588"/>
      <c r="AQ64" s="588"/>
      <c r="AR64" s="589"/>
      <c r="AS64" s="590" t="s">
        <v>441</v>
      </c>
      <c r="AT64" s="587" t="s">
        <v>443</v>
      </c>
      <c r="AU64" s="588"/>
      <c r="AV64" s="588"/>
      <c r="AW64" s="589"/>
      <c r="AX64" s="590" t="s">
        <v>441</v>
      </c>
    </row>
    <row r="65" spans="2:50">
      <c r="B65" s="590"/>
      <c r="C65" s="590"/>
      <c r="D65" s="590"/>
      <c r="E65" s="590" t="s">
        <v>448</v>
      </c>
      <c r="F65" s="590"/>
      <c r="G65" s="590"/>
      <c r="H65" s="607"/>
      <c r="I65" s="574" t="s">
        <v>448</v>
      </c>
      <c r="J65" s="574"/>
      <c r="K65" s="574"/>
      <c r="L65" s="576"/>
      <c r="M65" s="582"/>
      <c r="N65" s="590"/>
      <c r="O65" s="590"/>
      <c r="P65" s="587" t="s">
        <v>449</v>
      </c>
      <c r="Q65" s="588"/>
      <c r="R65" s="588"/>
      <c r="S65" s="589"/>
      <c r="T65" s="590"/>
      <c r="U65" s="587" t="s">
        <v>449</v>
      </c>
      <c r="V65" s="588"/>
      <c r="W65" s="588"/>
      <c r="X65" s="589"/>
      <c r="Y65" s="590"/>
      <c r="Z65" s="587" t="s">
        <v>449</v>
      </c>
      <c r="AA65" s="588"/>
      <c r="AB65" s="588"/>
      <c r="AC65" s="589"/>
      <c r="AD65" s="590"/>
      <c r="AE65" s="587" t="s">
        <v>449</v>
      </c>
      <c r="AF65" s="588"/>
      <c r="AG65" s="588"/>
      <c r="AH65" s="589"/>
      <c r="AI65" s="590"/>
      <c r="AJ65" s="587" t="s">
        <v>449</v>
      </c>
      <c r="AK65" s="588"/>
      <c r="AL65" s="588"/>
      <c r="AM65" s="589"/>
      <c r="AN65" s="590"/>
      <c r="AO65" s="587" t="s">
        <v>449</v>
      </c>
      <c r="AP65" s="588"/>
      <c r="AQ65" s="588"/>
      <c r="AR65" s="589"/>
      <c r="AS65" s="590"/>
      <c r="AT65" s="587" t="s">
        <v>449</v>
      </c>
      <c r="AU65" s="588"/>
      <c r="AV65" s="588"/>
      <c r="AW65" s="589"/>
      <c r="AX65" s="590"/>
    </row>
    <row r="66" spans="2:50">
      <c r="B66" s="590"/>
      <c r="C66" s="590"/>
      <c r="D66" s="590"/>
      <c r="E66" s="318" t="s">
        <v>450</v>
      </c>
      <c r="F66" s="318" t="s">
        <v>451</v>
      </c>
      <c r="G66" s="318" t="s">
        <v>452</v>
      </c>
      <c r="H66" s="608"/>
      <c r="I66" s="317" t="s">
        <v>450</v>
      </c>
      <c r="J66" s="317" t="s">
        <v>451</v>
      </c>
      <c r="K66" s="317" t="s">
        <v>452</v>
      </c>
      <c r="L66" s="577"/>
      <c r="M66" s="583"/>
      <c r="N66" s="590"/>
      <c r="O66" s="590"/>
      <c r="P66" s="318" t="s">
        <v>450</v>
      </c>
      <c r="Q66" s="318" t="s">
        <v>451</v>
      </c>
      <c r="R66" s="318" t="s">
        <v>452</v>
      </c>
      <c r="S66" s="318" t="s">
        <v>442</v>
      </c>
      <c r="T66" s="590"/>
      <c r="U66" s="318" t="s">
        <v>450</v>
      </c>
      <c r="V66" s="318" t="s">
        <v>451</v>
      </c>
      <c r="W66" s="318" t="s">
        <v>452</v>
      </c>
      <c r="X66" s="318" t="s">
        <v>442</v>
      </c>
      <c r="Y66" s="590"/>
      <c r="Z66" s="318" t="s">
        <v>450</v>
      </c>
      <c r="AA66" s="318" t="s">
        <v>451</v>
      </c>
      <c r="AB66" s="318" t="s">
        <v>452</v>
      </c>
      <c r="AC66" s="318" t="s">
        <v>442</v>
      </c>
      <c r="AD66" s="590"/>
      <c r="AE66" s="318" t="s">
        <v>450</v>
      </c>
      <c r="AF66" s="318" t="s">
        <v>451</v>
      </c>
      <c r="AG66" s="318" t="s">
        <v>452</v>
      </c>
      <c r="AH66" s="318" t="s">
        <v>442</v>
      </c>
      <c r="AI66" s="590"/>
      <c r="AJ66" s="318" t="s">
        <v>450</v>
      </c>
      <c r="AK66" s="318" t="s">
        <v>451</v>
      </c>
      <c r="AL66" s="318" t="s">
        <v>452</v>
      </c>
      <c r="AM66" s="318" t="s">
        <v>442</v>
      </c>
      <c r="AN66" s="590"/>
      <c r="AO66" s="318" t="s">
        <v>450</v>
      </c>
      <c r="AP66" s="318" t="s">
        <v>451</v>
      </c>
      <c r="AQ66" s="318" t="s">
        <v>452</v>
      </c>
      <c r="AR66" s="318" t="s">
        <v>442</v>
      </c>
      <c r="AS66" s="590"/>
      <c r="AT66" s="318" t="s">
        <v>450</v>
      </c>
      <c r="AU66" s="318" t="s">
        <v>451</v>
      </c>
      <c r="AV66" s="318" t="s">
        <v>452</v>
      </c>
      <c r="AW66" s="318" t="s">
        <v>442</v>
      </c>
      <c r="AX66" s="590"/>
    </row>
    <row r="67" spans="2:50">
      <c r="B67" s="631" t="s">
        <v>453</v>
      </c>
      <c r="C67" s="319">
        <v>1</v>
      </c>
      <c r="D67" s="231" t="s">
        <v>417</v>
      </c>
      <c r="E67" s="187">
        <v>4</v>
      </c>
      <c r="F67" s="319">
        <v>2000</v>
      </c>
      <c r="G67" s="322">
        <v>500</v>
      </c>
      <c r="H67" s="632">
        <f>AVERAGE(G67:G81)</f>
        <v>261.5556615102069</v>
      </c>
      <c r="I67" s="204">
        <f>AVERAGE(P67,U67,Z67,AE67,AJ67,AO67,AT67)</f>
        <v>4</v>
      </c>
      <c r="J67" s="204">
        <f>AVERAGE(Q67,V67,AA67,AF67,AK67,AP67,AU67)</f>
        <v>1986.0063762347067</v>
      </c>
      <c r="K67" s="205">
        <f>AVERAGE(R67,W67,AB67,AG67,AL67,AQ67,AV67)</f>
        <v>496.50159405867669</v>
      </c>
      <c r="L67" s="571">
        <f>IFERROR(AVERAGE(K67:K81),"-")</f>
        <v>244.18010999493515</v>
      </c>
      <c r="M67" s="206">
        <f>RANK(K67, K$67:$K$81)</f>
        <v>2</v>
      </c>
      <c r="N67" s="590"/>
      <c r="O67" s="590"/>
      <c r="P67" s="187">
        <v>4</v>
      </c>
      <c r="Q67" s="187">
        <v>2113.3333333333408</v>
      </c>
      <c r="R67" s="187">
        <v>528.33333333333519</v>
      </c>
      <c r="S67" s="319">
        <f>RANK(R67, R$67:R$81)</f>
        <v>1</v>
      </c>
      <c r="T67" s="629">
        <f>AVERAGE(R67:R81)</f>
        <v>246.23815423325368</v>
      </c>
      <c r="U67" s="187">
        <v>4</v>
      </c>
      <c r="V67" s="187">
        <v>2128.2352941176446</v>
      </c>
      <c r="W67" s="187">
        <v>532.05882352941114</v>
      </c>
      <c r="X67" s="351">
        <f>RANK(W67, W$67:W$81)</f>
        <v>1</v>
      </c>
      <c r="Y67" s="629">
        <f>AVERAGE(W67:W81)</f>
        <v>249.49162219637003</v>
      </c>
      <c r="Z67" s="187">
        <v>4</v>
      </c>
      <c r="AA67" s="187">
        <v>1757.6470588235272</v>
      </c>
      <c r="AB67" s="187">
        <v>439.41176470588181</v>
      </c>
      <c r="AC67" s="351">
        <f>RANK(AB67, AB$67:AB$81)</f>
        <v>3</v>
      </c>
      <c r="AD67" s="629">
        <f>AVERAGE(AB67:AB81)</f>
        <v>246.2248789066289</v>
      </c>
      <c r="AE67" s="187">
        <v>4</v>
      </c>
      <c r="AF67" s="187">
        <v>1811.2499999999977</v>
      </c>
      <c r="AG67" s="187">
        <v>452.81249999999943</v>
      </c>
      <c r="AH67" s="351">
        <f>RANK(AG67, AG$67:AG$81)</f>
        <v>2</v>
      </c>
      <c r="AI67" s="629">
        <f>AVERAGE(AG67:AG81)</f>
        <v>243.91638496925933</v>
      </c>
      <c r="AJ67" s="187">
        <v>4</v>
      </c>
      <c r="AK67" s="187">
        <v>1831.5789473684197</v>
      </c>
      <c r="AL67" s="187">
        <v>457.89473684210492</v>
      </c>
      <c r="AM67" s="351">
        <f>RANK(AL67, AL$67:AL$81)</f>
        <v>2</v>
      </c>
      <c r="AN67" s="629">
        <f>AVERAGE(AL67:AL81)</f>
        <v>243.11161261822838</v>
      </c>
      <c r="AO67" s="187">
        <v>4</v>
      </c>
      <c r="AP67" s="187">
        <v>2146.6666666666742</v>
      </c>
      <c r="AQ67" s="187">
        <v>536.66666666666856</v>
      </c>
      <c r="AR67" s="351">
        <f>RANK(AQ67, AQ$67:AQ$81)</f>
        <v>1</v>
      </c>
      <c r="AS67" s="629">
        <f>AVERAGE(AQ67:AQ81)</f>
        <v>230.02618745322417</v>
      </c>
      <c r="AT67" s="187">
        <v>4</v>
      </c>
      <c r="AU67" s="187">
        <v>2113.3333333333408</v>
      </c>
      <c r="AV67" s="187">
        <v>528.33333333333519</v>
      </c>
      <c r="AW67" s="351">
        <f>RANK(AV67, AV$67:AV$81)</f>
        <v>1</v>
      </c>
      <c r="AX67" s="629">
        <f>AVERAGE(AV67:AV81)</f>
        <v>265.51532185030385</v>
      </c>
    </row>
    <row r="68" spans="2:50">
      <c r="B68" s="598"/>
      <c r="C68" s="319">
        <v>2</v>
      </c>
      <c r="D68" s="231" t="s">
        <v>542</v>
      </c>
      <c r="E68" s="187">
        <v>4</v>
      </c>
      <c r="F68" s="319">
        <v>2000</v>
      </c>
      <c r="G68" s="322">
        <v>500</v>
      </c>
      <c r="H68" s="633"/>
      <c r="I68" s="204">
        <f t="shared" ref="I68:I76" si="38">AVERAGE(P68,U68,Z68,AE68,AJ68,AO68,AT68)</f>
        <v>4</v>
      </c>
      <c r="J68" s="204">
        <f t="shared" ref="J68:J76" si="39">AVERAGE(Q68,V68,AA68,AF68,AK68,AP68,AU68)</f>
        <v>2113.7751988667342</v>
      </c>
      <c r="K68" s="205">
        <f t="shared" ref="K68:K76" si="40">AVERAGE(R68,W68,AB68,AG68,AL68,AQ68,AV68)</f>
        <v>528.44379971668354</v>
      </c>
      <c r="L68" s="572"/>
      <c r="M68" s="206">
        <f>RANK(K68, K$67:$K$81)</f>
        <v>1</v>
      </c>
      <c r="N68" s="590"/>
      <c r="O68" s="590"/>
      <c r="P68" s="187">
        <v>4</v>
      </c>
      <c r="Q68" s="187">
        <v>2060.8695652173842</v>
      </c>
      <c r="R68" s="187">
        <v>515.21739130434605</v>
      </c>
      <c r="S68" s="351">
        <f t="shared" ref="S68:S81" si="41">RANK(R68, R$67:R$81)</f>
        <v>2</v>
      </c>
      <c r="T68" s="629"/>
      <c r="U68" s="187">
        <v>4</v>
      </c>
      <c r="V68" s="187">
        <v>2107.8260869565293</v>
      </c>
      <c r="W68" s="187">
        <v>526.95652173913231</v>
      </c>
      <c r="X68" s="351">
        <f t="shared" ref="X68:X81" si="42">RANK(W68, W$67:W$81)</f>
        <v>2</v>
      </c>
      <c r="Y68" s="629"/>
      <c r="Z68" s="187">
        <v>4</v>
      </c>
      <c r="AA68" s="187">
        <v>2207.3684210526299</v>
      </c>
      <c r="AB68" s="187">
        <v>551.84210526315746</v>
      </c>
      <c r="AC68" s="351">
        <f t="shared" ref="AC68:AC81" si="43">RANK(AB68, AB$67:AB$81)</f>
        <v>1</v>
      </c>
      <c r="AD68" s="629"/>
      <c r="AE68" s="187">
        <v>4</v>
      </c>
      <c r="AF68" s="187">
        <v>2136.6666666666652</v>
      </c>
      <c r="AG68" s="187">
        <v>534.16666666666629</v>
      </c>
      <c r="AH68" s="351">
        <f t="shared" ref="AH68:AH81" si="44">RANK(AG68, AG$67:AG$81)</f>
        <v>1</v>
      </c>
      <c r="AI68" s="629"/>
      <c r="AJ68" s="187">
        <v>4</v>
      </c>
      <c r="AK68" s="187">
        <v>2114.9999999999991</v>
      </c>
      <c r="AL68" s="187">
        <v>528.74999999999977</v>
      </c>
      <c r="AM68" s="351">
        <f t="shared" ref="AM68:AM81" si="45">RANK(AL68, AL$67:AL$81)</f>
        <v>1</v>
      </c>
      <c r="AN68" s="629"/>
      <c r="AO68" s="187">
        <v>4</v>
      </c>
      <c r="AP68" s="187">
        <v>2071.3043478260943</v>
      </c>
      <c r="AQ68" s="187">
        <v>517.82608695652357</v>
      </c>
      <c r="AR68" s="351">
        <f t="shared" ref="AR68:AR81" si="46">RANK(AQ68, AQ$67:AQ$81)</f>
        <v>2</v>
      </c>
      <c r="AS68" s="629"/>
      <c r="AT68" s="187">
        <v>4</v>
      </c>
      <c r="AU68" s="187">
        <v>2097.3913043478333</v>
      </c>
      <c r="AV68" s="187">
        <v>524.34782608695832</v>
      </c>
      <c r="AW68" s="351">
        <f t="shared" ref="AW68:AW81" si="47">RANK(AV68, AV$67:AV$81)</f>
        <v>2</v>
      </c>
      <c r="AX68" s="629"/>
    </row>
    <row r="69" spans="2:50">
      <c r="B69" s="598"/>
      <c r="C69" s="319">
        <v>3</v>
      </c>
      <c r="D69" s="231" t="s">
        <v>418</v>
      </c>
      <c r="E69" s="187">
        <v>12</v>
      </c>
      <c r="F69" s="319">
        <v>2250</v>
      </c>
      <c r="G69" s="322">
        <v>187.5</v>
      </c>
      <c r="H69" s="633"/>
      <c r="I69" s="204">
        <f t="shared" si="38"/>
        <v>12</v>
      </c>
      <c r="J69" s="204">
        <f t="shared" si="39"/>
        <v>1962.2084766584126</v>
      </c>
      <c r="K69" s="205">
        <f t="shared" si="40"/>
        <v>163.5173730548677</v>
      </c>
      <c r="L69" s="572"/>
      <c r="M69" s="206">
        <f>RANK(K69, K$67:$K$81)</f>
        <v>8</v>
      </c>
      <c r="N69" s="590"/>
      <c r="O69" s="590"/>
      <c r="P69" s="187">
        <v>12</v>
      </c>
      <c r="Q69" s="187">
        <v>1940.2941176470588</v>
      </c>
      <c r="R69" s="187">
        <v>161.69117647058823</v>
      </c>
      <c r="S69" s="351">
        <f t="shared" si="41"/>
        <v>8</v>
      </c>
      <c r="T69" s="629"/>
      <c r="U69" s="187">
        <v>12</v>
      </c>
      <c r="V69" s="187">
        <v>1983.6923076923072</v>
      </c>
      <c r="W69" s="187">
        <v>165.30769230769226</v>
      </c>
      <c r="X69" s="351">
        <f t="shared" si="42"/>
        <v>8</v>
      </c>
      <c r="Y69" s="629"/>
      <c r="Z69" s="187">
        <v>12</v>
      </c>
      <c r="AA69" s="187">
        <v>1952.7272727272712</v>
      </c>
      <c r="AB69" s="187">
        <v>162.72727272727261</v>
      </c>
      <c r="AC69" s="351">
        <f t="shared" si="43"/>
        <v>8</v>
      </c>
      <c r="AD69" s="629"/>
      <c r="AE69" s="187">
        <v>12</v>
      </c>
      <c r="AF69" s="187">
        <v>1968.4615384615397</v>
      </c>
      <c r="AG69" s="187">
        <v>164.03846153846163</v>
      </c>
      <c r="AH69" s="351">
        <f t="shared" si="44"/>
        <v>8</v>
      </c>
      <c r="AI69" s="629"/>
      <c r="AJ69" s="187">
        <v>12</v>
      </c>
      <c r="AK69" s="187">
        <v>1948.4745762711852</v>
      </c>
      <c r="AL69" s="187">
        <v>162.37288135593209</v>
      </c>
      <c r="AM69" s="351">
        <f t="shared" si="45"/>
        <v>8</v>
      </c>
      <c r="AN69" s="629"/>
      <c r="AO69" s="187">
        <v>12</v>
      </c>
      <c r="AP69" s="187">
        <v>1926.666666666667</v>
      </c>
      <c r="AQ69" s="187">
        <v>160.55555555555557</v>
      </c>
      <c r="AR69" s="351">
        <f t="shared" si="46"/>
        <v>7</v>
      </c>
      <c r="AS69" s="629"/>
      <c r="AT69" s="187">
        <v>12</v>
      </c>
      <c r="AU69" s="187">
        <v>2015.1428571428578</v>
      </c>
      <c r="AV69" s="187">
        <v>167.92857142857147</v>
      </c>
      <c r="AW69" s="351">
        <f t="shared" si="47"/>
        <v>8</v>
      </c>
      <c r="AX69" s="629"/>
    </row>
    <row r="70" spans="2:50">
      <c r="B70" s="598"/>
      <c r="C70" s="319">
        <v>4</v>
      </c>
      <c r="D70" s="231" t="s">
        <v>419</v>
      </c>
      <c r="E70" s="187">
        <v>11</v>
      </c>
      <c r="F70" s="319">
        <v>2118</v>
      </c>
      <c r="G70" s="322">
        <v>192.54545454545453</v>
      </c>
      <c r="H70" s="633"/>
      <c r="I70" s="204">
        <f t="shared" si="38"/>
        <v>11</v>
      </c>
      <c r="J70" s="204">
        <f t="shared" si="39"/>
        <v>2092.7581058397386</v>
      </c>
      <c r="K70" s="205">
        <f t="shared" si="40"/>
        <v>190.25073689452171</v>
      </c>
      <c r="L70" s="572"/>
      <c r="M70" s="206">
        <f>RANK(K70, K$67:$K$81)</f>
        <v>5</v>
      </c>
      <c r="N70" s="590"/>
      <c r="O70" s="590"/>
      <c r="P70" s="187">
        <v>11</v>
      </c>
      <c r="Q70" s="187">
        <v>2066.2500000000005</v>
      </c>
      <c r="R70" s="187">
        <v>187.84090909090912</v>
      </c>
      <c r="S70" s="351">
        <f t="shared" si="41"/>
        <v>6</v>
      </c>
      <c r="T70" s="629"/>
      <c r="U70" s="187">
        <v>11</v>
      </c>
      <c r="V70" s="187">
        <v>2038.7755102040824</v>
      </c>
      <c r="W70" s="187">
        <v>185.34322820037113</v>
      </c>
      <c r="X70" s="351">
        <f t="shared" si="42"/>
        <v>6</v>
      </c>
      <c r="Y70" s="629"/>
      <c r="Z70" s="187">
        <v>11</v>
      </c>
      <c r="AA70" s="187">
        <v>2093.7662337662346</v>
      </c>
      <c r="AB70" s="187">
        <v>190.3423848878395</v>
      </c>
      <c r="AC70" s="351">
        <f t="shared" si="43"/>
        <v>6</v>
      </c>
      <c r="AD70" s="629"/>
      <c r="AE70" s="187">
        <v>11</v>
      </c>
      <c r="AF70" s="187">
        <v>2135.0000000000005</v>
      </c>
      <c r="AG70" s="187">
        <v>194.09090909090912</v>
      </c>
      <c r="AH70" s="351">
        <f t="shared" si="44"/>
        <v>5</v>
      </c>
      <c r="AI70" s="629"/>
      <c r="AJ70" s="187">
        <v>11</v>
      </c>
      <c r="AK70" s="187">
        <v>2115.7499999999991</v>
      </c>
      <c r="AL70" s="187">
        <v>192.34090909090901</v>
      </c>
      <c r="AM70" s="351">
        <f t="shared" si="45"/>
        <v>6</v>
      </c>
      <c r="AN70" s="629"/>
      <c r="AO70" s="187">
        <v>11</v>
      </c>
      <c r="AP70" s="187">
        <v>2076.7346938775518</v>
      </c>
      <c r="AQ70" s="187">
        <v>188.79406307977743</v>
      </c>
      <c r="AR70" s="351">
        <f t="shared" si="46"/>
        <v>5</v>
      </c>
      <c r="AS70" s="629"/>
      <c r="AT70" s="187">
        <v>11</v>
      </c>
      <c r="AU70" s="187">
        <v>2123.0303030303039</v>
      </c>
      <c r="AV70" s="187">
        <v>193.00275482093673</v>
      </c>
      <c r="AW70" s="351">
        <f t="shared" si="47"/>
        <v>6</v>
      </c>
      <c r="AX70" s="629"/>
    </row>
    <row r="71" spans="2:50">
      <c r="B71" s="598"/>
      <c r="C71" s="319">
        <v>5</v>
      </c>
      <c r="D71" s="231" t="s">
        <v>420</v>
      </c>
      <c r="E71" s="187">
        <v>11</v>
      </c>
      <c r="F71" s="319">
        <v>2250</v>
      </c>
      <c r="G71" s="322">
        <v>204.54545454545453</v>
      </c>
      <c r="H71" s="633"/>
      <c r="I71" s="204">
        <f t="shared" si="38"/>
        <v>11</v>
      </c>
      <c r="J71" s="204">
        <f t="shared" si="39"/>
        <v>1981.831084995611</v>
      </c>
      <c r="K71" s="205">
        <f t="shared" si="40"/>
        <v>180.16646227232829</v>
      </c>
      <c r="L71" s="572"/>
      <c r="M71" s="206">
        <f>RANK(K71, K$67:$K$81)</f>
        <v>6</v>
      </c>
      <c r="N71" s="590"/>
      <c r="O71" s="590"/>
      <c r="P71" s="187">
        <v>11</v>
      </c>
      <c r="Q71" s="187">
        <v>1993.1999999999991</v>
      </c>
      <c r="R71" s="187">
        <v>181.19999999999993</v>
      </c>
      <c r="S71" s="351">
        <f t="shared" si="41"/>
        <v>7</v>
      </c>
      <c r="T71" s="629"/>
      <c r="U71" s="187">
        <v>11</v>
      </c>
      <c r="V71" s="187">
        <v>1939.1999999999991</v>
      </c>
      <c r="W71" s="187">
        <v>176.29090909090903</v>
      </c>
      <c r="X71" s="351">
        <f t="shared" si="42"/>
        <v>7</v>
      </c>
      <c r="Y71" s="629"/>
      <c r="Z71" s="187">
        <v>11</v>
      </c>
      <c r="AA71" s="187">
        <v>2011.5384615384626</v>
      </c>
      <c r="AB71" s="187">
        <v>182.86713286713297</v>
      </c>
      <c r="AC71" s="351">
        <f t="shared" si="43"/>
        <v>7</v>
      </c>
      <c r="AD71" s="629"/>
      <c r="AE71" s="187">
        <v>11</v>
      </c>
      <c r="AF71" s="187">
        <v>1999.2307692307681</v>
      </c>
      <c r="AG71" s="187">
        <v>181.74825174825165</v>
      </c>
      <c r="AH71" s="351">
        <f t="shared" si="44"/>
        <v>7</v>
      </c>
      <c r="AI71" s="629"/>
      <c r="AJ71" s="187">
        <v>11</v>
      </c>
      <c r="AK71" s="187">
        <v>2022.3529411764705</v>
      </c>
      <c r="AL71" s="187">
        <v>183.85026737967914</v>
      </c>
      <c r="AM71" s="351">
        <f t="shared" si="45"/>
        <v>7</v>
      </c>
      <c r="AN71" s="629"/>
      <c r="AO71" s="187">
        <v>11</v>
      </c>
      <c r="AP71" s="187">
        <v>1934.2857142857135</v>
      </c>
      <c r="AQ71" s="187">
        <v>175.84415584415578</v>
      </c>
      <c r="AR71" s="351">
        <f t="shared" si="46"/>
        <v>6</v>
      </c>
      <c r="AS71" s="629"/>
      <c r="AT71" s="187">
        <v>11</v>
      </c>
      <c r="AU71" s="187">
        <v>1973.0097087378649</v>
      </c>
      <c r="AV71" s="187">
        <v>179.36451897616953</v>
      </c>
      <c r="AW71" s="351">
        <f t="shared" si="47"/>
        <v>7</v>
      </c>
      <c r="AX71" s="629"/>
    </row>
    <row r="72" spans="2:50">
      <c r="B72" s="598"/>
      <c r="C72" s="319">
        <v>6</v>
      </c>
      <c r="D72" s="231" t="s">
        <v>421</v>
      </c>
      <c r="E72" s="187">
        <v>13</v>
      </c>
      <c r="F72" s="319">
        <v>2250</v>
      </c>
      <c r="G72" s="322">
        <v>173.07692307692307</v>
      </c>
      <c r="H72" s="633"/>
      <c r="I72" s="204">
        <f t="shared" si="38"/>
        <v>13</v>
      </c>
      <c r="J72" s="204">
        <f t="shared" si="39"/>
        <v>1957.7554346690322</v>
      </c>
      <c r="K72" s="205">
        <f t="shared" si="40"/>
        <v>150.59657189761785</v>
      </c>
      <c r="L72" s="572"/>
      <c r="M72" s="206">
        <f>RANK(K72, K$67:$K$81)</f>
        <v>9</v>
      </c>
      <c r="N72" s="590"/>
      <c r="O72" s="590"/>
      <c r="P72" s="187">
        <v>13</v>
      </c>
      <c r="Q72" s="187">
        <v>1909.4117647058833</v>
      </c>
      <c r="R72" s="187">
        <v>146.87782805429873</v>
      </c>
      <c r="S72" s="351">
        <f t="shared" si="41"/>
        <v>9</v>
      </c>
      <c r="T72" s="629"/>
      <c r="U72" s="187">
        <v>13</v>
      </c>
      <c r="V72" s="187">
        <v>1962.5000000000005</v>
      </c>
      <c r="W72" s="187">
        <v>150.96153846153851</v>
      </c>
      <c r="X72" s="351">
        <f t="shared" si="42"/>
        <v>9</v>
      </c>
      <c r="Y72" s="629"/>
      <c r="Z72" s="187">
        <v>13</v>
      </c>
      <c r="AA72" s="187">
        <v>1985.7142857142849</v>
      </c>
      <c r="AB72" s="187">
        <v>152.74725274725267</v>
      </c>
      <c r="AC72" s="351">
        <f t="shared" si="43"/>
        <v>9</v>
      </c>
      <c r="AD72" s="629"/>
      <c r="AE72" s="187">
        <v>13</v>
      </c>
      <c r="AF72" s="187">
        <v>1951.4999999999995</v>
      </c>
      <c r="AG72" s="187">
        <v>150.11538461538458</v>
      </c>
      <c r="AH72" s="351">
        <f t="shared" si="44"/>
        <v>9</v>
      </c>
      <c r="AI72" s="629"/>
      <c r="AJ72" s="187">
        <v>13</v>
      </c>
      <c r="AK72" s="187">
        <v>1940.4545454545455</v>
      </c>
      <c r="AL72" s="187">
        <v>149.26573426573427</v>
      </c>
      <c r="AM72" s="351">
        <f t="shared" si="45"/>
        <v>9</v>
      </c>
      <c r="AN72" s="629"/>
      <c r="AO72" s="187">
        <v>13</v>
      </c>
      <c r="AP72" s="187">
        <v>1928.7500000000005</v>
      </c>
      <c r="AQ72" s="187">
        <v>148.36538461538464</v>
      </c>
      <c r="AR72" s="351">
        <f t="shared" si="46"/>
        <v>8</v>
      </c>
      <c r="AS72" s="629"/>
      <c r="AT72" s="187">
        <v>13</v>
      </c>
      <c r="AU72" s="187">
        <v>2025.9574468085109</v>
      </c>
      <c r="AV72" s="187">
        <v>155.84288052373159</v>
      </c>
      <c r="AW72" s="351">
        <f t="shared" si="47"/>
        <v>9</v>
      </c>
      <c r="AX72" s="629"/>
    </row>
    <row r="73" spans="2:50">
      <c r="B73" s="598"/>
      <c r="C73" s="319">
        <v>7</v>
      </c>
      <c r="D73" s="231" t="s">
        <v>422</v>
      </c>
      <c r="E73" s="187">
        <v>10</v>
      </c>
      <c r="F73" s="319">
        <v>2250</v>
      </c>
      <c r="G73" s="322">
        <v>225</v>
      </c>
      <c r="H73" s="633"/>
      <c r="I73" s="204">
        <f t="shared" si="38"/>
        <v>10</v>
      </c>
      <c r="J73" s="204">
        <f t="shared" si="39"/>
        <v>1949.8906014018482</v>
      </c>
      <c r="K73" s="205">
        <f t="shared" si="40"/>
        <v>194.98906014018482</v>
      </c>
      <c r="L73" s="572"/>
      <c r="M73" s="206">
        <f>RANK(K73, K$67:$K$81)</f>
        <v>4</v>
      </c>
      <c r="N73" s="590"/>
      <c r="O73" s="590"/>
      <c r="P73" s="187">
        <v>10</v>
      </c>
      <c r="Q73" s="187">
        <v>1894.2857142857124</v>
      </c>
      <c r="R73" s="187">
        <v>189.42857142857125</v>
      </c>
      <c r="S73" s="351">
        <f t="shared" si="41"/>
        <v>5</v>
      </c>
      <c r="T73" s="629"/>
      <c r="U73" s="187">
        <v>10</v>
      </c>
      <c r="V73" s="187">
        <v>1955.2941176470565</v>
      </c>
      <c r="W73" s="187">
        <v>195.52941176470566</v>
      </c>
      <c r="X73" s="351">
        <f t="shared" si="42"/>
        <v>5</v>
      </c>
      <c r="Y73" s="629"/>
      <c r="Z73" s="187">
        <v>10</v>
      </c>
      <c r="AA73" s="187">
        <v>2001.428571428567</v>
      </c>
      <c r="AB73" s="187">
        <v>200.14285714285671</v>
      </c>
      <c r="AC73" s="351">
        <f t="shared" si="43"/>
        <v>4</v>
      </c>
      <c r="AD73" s="629"/>
      <c r="AE73" s="187">
        <v>10</v>
      </c>
      <c r="AF73" s="187">
        <v>1939.9999999999955</v>
      </c>
      <c r="AG73" s="187">
        <v>193.99999999999955</v>
      </c>
      <c r="AH73" s="351">
        <f t="shared" si="44"/>
        <v>6</v>
      </c>
      <c r="AI73" s="629"/>
      <c r="AJ73" s="187">
        <v>10</v>
      </c>
      <c r="AK73" s="187">
        <v>1943.2258064516097</v>
      </c>
      <c r="AL73" s="187">
        <v>194.32258064516097</v>
      </c>
      <c r="AM73" s="351">
        <f t="shared" si="45"/>
        <v>4</v>
      </c>
      <c r="AN73" s="629"/>
      <c r="AO73" s="187">
        <v>10</v>
      </c>
      <c r="AP73" s="187">
        <v>1949.9999999999975</v>
      </c>
      <c r="AQ73" s="187">
        <v>194.99999999999974</v>
      </c>
      <c r="AR73" s="351">
        <f t="shared" si="46"/>
        <v>4</v>
      </c>
      <c r="AS73" s="629"/>
      <c r="AT73" s="187">
        <v>10</v>
      </c>
      <c r="AU73" s="187">
        <v>1964.9999999999982</v>
      </c>
      <c r="AV73" s="187">
        <v>196.49999999999983</v>
      </c>
      <c r="AW73" s="351">
        <f t="shared" si="47"/>
        <v>5</v>
      </c>
      <c r="AX73" s="629"/>
    </row>
    <row r="74" spans="2:50">
      <c r="B74" s="598"/>
      <c r="C74" s="319">
        <v>8</v>
      </c>
      <c r="D74" s="231" t="s">
        <v>423</v>
      </c>
      <c r="E74" s="187">
        <v>10</v>
      </c>
      <c r="F74" s="319">
        <v>2250</v>
      </c>
      <c r="G74" s="322">
        <v>225</v>
      </c>
      <c r="H74" s="633"/>
      <c r="I74" s="204">
        <f t="shared" si="38"/>
        <v>10</v>
      </c>
      <c r="J74" s="204">
        <f t="shared" si="39"/>
        <v>1699.9381492887446</v>
      </c>
      <c r="K74" s="205">
        <f t="shared" si="40"/>
        <v>169.99381492887451</v>
      </c>
      <c r="L74" s="572"/>
      <c r="M74" s="206">
        <f>RANK(K74, K$67:$K$81)</f>
        <v>7</v>
      </c>
      <c r="N74" s="590"/>
      <c r="O74" s="590"/>
      <c r="P74" s="187">
        <v>10</v>
      </c>
      <c r="Q74" s="187">
        <v>1969.3069306930702</v>
      </c>
      <c r="R74" s="187">
        <v>196.93069306930701</v>
      </c>
      <c r="S74" s="351">
        <f t="shared" si="41"/>
        <v>4</v>
      </c>
      <c r="T74" s="629"/>
      <c r="U74" s="187">
        <v>10</v>
      </c>
      <c r="V74" s="187">
        <v>2010.873786407768</v>
      </c>
      <c r="W74" s="187">
        <v>201.08737864077679</v>
      </c>
      <c r="X74" s="351">
        <f t="shared" si="42"/>
        <v>4</v>
      </c>
      <c r="Y74" s="629"/>
      <c r="Z74" s="187">
        <v>10</v>
      </c>
      <c r="AA74" s="187">
        <v>1987.8260869565217</v>
      </c>
      <c r="AB74" s="187">
        <v>198.78260869565219</v>
      </c>
      <c r="AC74" s="351">
        <f t="shared" si="43"/>
        <v>5</v>
      </c>
      <c r="AD74" s="629"/>
      <c r="AE74" s="187">
        <v>10</v>
      </c>
      <c r="AF74" s="187">
        <v>2011.4999999999995</v>
      </c>
      <c r="AG74" s="187">
        <v>201.14999999999995</v>
      </c>
      <c r="AH74" s="351">
        <f t="shared" si="44"/>
        <v>4</v>
      </c>
      <c r="AI74" s="629"/>
      <c r="AJ74" s="187">
        <v>10</v>
      </c>
      <c r="AK74" s="187">
        <v>1925.0602409638548</v>
      </c>
      <c r="AL74" s="187">
        <v>192.50602409638549</v>
      </c>
      <c r="AM74" s="351">
        <f t="shared" si="45"/>
        <v>5</v>
      </c>
      <c r="AN74" s="629"/>
      <c r="AO74" s="187">
        <v>10</v>
      </c>
      <c r="AP74" s="187">
        <v>0</v>
      </c>
      <c r="AQ74" s="187">
        <v>0</v>
      </c>
      <c r="AR74" s="351">
        <f t="shared" si="46"/>
        <v>11</v>
      </c>
      <c r="AS74" s="629"/>
      <c r="AT74" s="187">
        <v>10</v>
      </c>
      <c r="AU74" s="187">
        <v>1995.0000000000009</v>
      </c>
      <c r="AV74" s="187">
        <v>199.50000000000009</v>
      </c>
      <c r="AW74" s="351">
        <f t="shared" si="47"/>
        <v>4</v>
      </c>
      <c r="AX74" s="629"/>
    </row>
    <row r="75" spans="2:50">
      <c r="B75" s="598"/>
      <c r="C75" s="319">
        <v>9</v>
      </c>
      <c r="D75" s="231" t="s">
        <v>416</v>
      </c>
      <c r="E75" s="187">
        <v>18</v>
      </c>
      <c r="F75" s="319">
        <v>1250</v>
      </c>
      <c r="G75" s="322">
        <v>69.444444444444443</v>
      </c>
      <c r="H75" s="633"/>
      <c r="I75" s="204">
        <f t="shared" si="38"/>
        <v>17.714285714285715</v>
      </c>
      <c r="J75" s="204">
        <f t="shared" si="39"/>
        <v>1230.5798462371915</v>
      </c>
      <c r="K75" s="205">
        <f t="shared" si="40"/>
        <v>69.572621189001481</v>
      </c>
      <c r="L75" s="572"/>
      <c r="M75" s="206">
        <f>RANK(K75, K$67:$K$81)</f>
        <v>11</v>
      </c>
      <c r="N75" s="590"/>
      <c r="O75" s="590"/>
      <c r="P75" s="187">
        <v>18</v>
      </c>
      <c r="Q75" s="187">
        <v>1235.8762886597942</v>
      </c>
      <c r="R75" s="187">
        <v>68.659793814433016</v>
      </c>
      <c r="S75" s="351">
        <f t="shared" si="41"/>
        <v>11</v>
      </c>
      <c r="T75" s="629"/>
      <c r="U75" s="187">
        <v>18</v>
      </c>
      <c r="V75" s="187">
        <v>1221.7021276595747</v>
      </c>
      <c r="W75" s="187">
        <v>67.872340425531931</v>
      </c>
      <c r="X75" s="351">
        <f t="shared" si="42"/>
        <v>11</v>
      </c>
      <c r="Y75" s="629"/>
      <c r="Z75" s="187">
        <v>18</v>
      </c>
      <c r="AA75" s="187">
        <v>1245.3488372093027</v>
      </c>
      <c r="AB75" s="187">
        <v>69.186046511627922</v>
      </c>
      <c r="AC75" s="351">
        <f t="shared" si="43"/>
        <v>11</v>
      </c>
      <c r="AD75" s="629"/>
      <c r="AE75" s="187">
        <v>18</v>
      </c>
      <c r="AF75" s="187">
        <v>1215.833333333333</v>
      </c>
      <c r="AG75" s="187">
        <v>67.546296296296276</v>
      </c>
      <c r="AH75" s="351">
        <f t="shared" si="44"/>
        <v>11</v>
      </c>
      <c r="AI75" s="629"/>
      <c r="AJ75" s="187">
        <v>18</v>
      </c>
      <c r="AK75" s="187">
        <v>1257.5675675675673</v>
      </c>
      <c r="AL75" s="187">
        <v>69.864864864864842</v>
      </c>
      <c r="AM75" s="351">
        <f t="shared" si="45"/>
        <v>11</v>
      </c>
      <c r="AN75" s="629"/>
      <c r="AO75" s="187">
        <v>16</v>
      </c>
      <c r="AP75" s="187">
        <v>1216.7307692307691</v>
      </c>
      <c r="AQ75" s="187">
        <v>76.045673076923066</v>
      </c>
      <c r="AR75" s="351">
        <f t="shared" si="46"/>
        <v>10</v>
      </c>
      <c r="AS75" s="629"/>
      <c r="AT75" s="187">
        <v>18</v>
      </c>
      <c r="AU75" s="187">
        <v>1221.0000000000002</v>
      </c>
      <c r="AV75" s="187">
        <v>67.833333333333343</v>
      </c>
      <c r="AW75" s="351">
        <f t="shared" si="47"/>
        <v>10</v>
      </c>
      <c r="AX75" s="629"/>
    </row>
    <row r="76" spans="2:50">
      <c r="B76" s="598"/>
      <c r="C76" s="319">
        <v>10</v>
      </c>
      <c r="D76" s="231" t="s">
        <v>664</v>
      </c>
      <c r="E76" s="187">
        <v>4</v>
      </c>
      <c r="F76" s="319">
        <v>2000</v>
      </c>
      <c r="G76" s="322">
        <v>500</v>
      </c>
      <c r="H76" s="633"/>
      <c r="I76" s="204">
        <f t="shared" si="38"/>
        <v>4</v>
      </c>
      <c r="J76" s="204">
        <f t="shared" si="39"/>
        <v>1777.3246753246817</v>
      </c>
      <c r="K76" s="205">
        <f t="shared" si="40"/>
        <v>444.33116883117043</v>
      </c>
      <c r="L76" s="572"/>
      <c r="M76" s="206">
        <f>RANK(K76, K$67:$K$81)</f>
        <v>3</v>
      </c>
      <c r="N76" s="590"/>
      <c r="O76" s="590"/>
      <c r="P76" s="187">
        <v>4</v>
      </c>
      <c r="Q76" s="187">
        <v>1740.0000000000061</v>
      </c>
      <c r="R76" s="187">
        <v>435.00000000000153</v>
      </c>
      <c r="S76" s="351">
        <f t="shared" si="41"/>
        <v>3</v>
      </c>
      <c r="T76" s="629"/>
      <c r="U76" s="187">
        <v>4</v>
      </c>
      <c r="V76" s="187">
        <v>1789.0909090909154</v>
      </c>
      <c r="W76" s="187">
        <v>447.27272727272884</v>
      </c>
      <c r="X76" s="351">
        <f t="shared" si="42"/>
        <v>3</v>
      </c>
      <c r="Y76" s="629"/>
      <c r="Z76" s="187">
        <v>4</v>
      </c>
      <c r="AA76" s="187">
        <v>1848.0000000000066</v>
      </c>
      <c r="AB76" s="187">
        <v>462.00000000000165</v>
      </c>
      <c r="AC76" s="351">
        <f t="shared" si="43"/>
        <v>2</v>
      </c>
      <c r="AD76" s="629"/>
      <c r="AE76" s="187">
        <v>4</v>
      </c>
      <c r="AF76" s="187">
        <v>1776.0000000000064</v>
      </c>
      <c r="AG76" s="187">
        <v>444.00000000000159</v>
      </c>
      <c r="AH76" s="351">
        <f t="shared" si="44"/>
        <v>3</v>
      </c>
      <c r="AI76" s="629"/>
      <c r="AJ76" s="187">
        <v>4</v>
      </c>
      <c r="AK76" s="187">
        <v>1778.1818181818246</v>
      </c>
      <c r="AL76" s="187">
        <v>444.54545454545615</v>
      </c>
      <c r="AM76" s="351">
        <f t="shared" si="45"/>
        <v>3</v>
      </c>
      <c r="AN76" s="629"/>
      <c r="AO76" s="187">
        <v>4</v>
      </c>
      <c r="AP76" s="187">
        <v>1740.0000000000061</v>
      </c>
      <c r="AQ76" s="187">
        <v>435.00000000000153</v>
      </c>
      <c r="AR76" s="351">
        <f t="shared" si="46"/>
        <v>3</v>
      </c>
      <c r="AS76" s="629"/>
      <c r="AT76" s="187">
        <v>4</v>
      </c>
      <c r="AU76" s="187">
        <v>1770.0000000000064</v>
      </c>
      <c r="AV76" s="187">
        <v>442.50000000000159</v>
      </c>
      <c r="AW76" s="351">
        <f t="shared" si="47"/>
        <v>3</v>
      </c>
      <c r="AX76" s="629"/>
    </row>
    <row r="77" spans="2:50">
      <c r="B77" s="598"/>
      <c r="C77" s="319">
        <v>11</v>
      </c>
      <c r="D77" s="231" t="s">
        <v>693</v>
      </c>
      <c r="E77" s="187">
        <v>15</v>
      </c>
      <c r="F77" s="319">
        <v>1500</v>
      </c>
      <c r="G77" s="322">
        <v>100</v>
      </c>
      <c r="H77" s="633"/>
      <c r="I77" s="204">
        <f t="shared" ref="I77" si="48">AVERAGE(P77,U77,Z77,AE77,AJ77,AO77,AT77)</f>
        <v>15</v>
      </c>
      <c r="J77" s="204">
        <f t="shared" ref="J77" si="49">AVERAGE(Q77,V77,AA77,AF77,AK77,AP77,AU77)</f>
        <v>1464.2701044053977</v>
      </c>
      <c r="K77" s="205">
        <f t="shared" ref="K77" si="50">AVERAGE(R77,W77,AB77,AG77,AL77,AQ77,AV77)</f>
        <v>97.618006960359835</v>
      </c>
      <c r="L77" s="572"/>
      <c r="M77" s="206">
        <f>RANK(K77, K$67:$K$81)</f>
        <v>10</v>
      </c>
      <c r="N77" s="590"/>
      <c r="O77" s="590"/>
      <c r="P77" s="187">
        <v>15</v>
      </c>
      <c r="Q77" s="187">
        <v>1461.6000000000004</v>
      </c>
      <c r="R77" s="187">
        <v>97.440000000000026</v>
      </c>
      <c r="S77" s="351">
        <f t="shared" si="41"/>
        <v>10</v>
      </c>
      <c r="T77" s="629"/>
      <c r="U77" s="187">
        <v>15</v>
      </c>
      <c r="V77" s="187">
        <v>1435.909090909091</v>
      </c>
      <c r="W77" s="187">
        <v>95.727272727272734</v>
      </c>
      <c r="X77" s="351">
        <f t="shared" si="42"/>
        <v>10</v>
      </c>
      <c r="Y77" s="629"/>
      <c r="Z77" s="187">
        <v>15</v>
      </c>
      <c r="AA77" s="187">
        <v>1476.3636363636344</v>
      </c>
      <c r="AB77" s="187">
        <v>98.424242424242294</v>
      </c>
      <c r="AC77" s="351">
        <f t="shared" si="43"/>
        <v>10</v>
      </c>
      <c r="AD77" s="629"/>
      <c r="AE77" s="187">
        <v>15</v>
      </c>
      <c r="AF77" s="187">
        <v>1491.1764705882335</v>
      </c>
      <c r="AG77" s="187">
        <v>99.411764705882234</v>
      </c>
      <c r="AH77" s="351">
        <f t="shared" si="44"/>
        <v>10</v>
      </c>
      <c r="AI77" s="629"/>
      <c r="AJ77" s="187">
        <v>15</v>
      </c>
      <c r="AK77" s="187">
        <v>1477.7142857142844</v>
      </c>
      <c r="AL77" s="187">
        <v>98.514285714285634</v>
      </c>
      <c r="AM77" s="351">
        <f t="shared" si="45"/>
        <v>10</v>
      </c>
      <c r="AN77" s="629"/>
      <c r="AO77" s="187">
        <v>15</v>
      </c>
      <c r="AP77" s="187">
        <v>1442.8571428571424</v>
      </c>
      <c r="AQ77" s="187">
        <v>96.190476190476161</v>
      </c>
      <c r="AR77" s="351">
        <f t="shared" si="46"/>
        <v>9</v>
      </c>
      <c r="AS77" s="629"/>
      <c r="AT77" s="187" t="str">
        <f>'[2]（５-3）品群別人時生產性（4℃-飯糰)'!AT57</f>
        <v/>
      </c>
      <c r="AU77" s="187" t="str">
        <f>'[2]（５-3）品群別人時生產性（4℃-飯糰)'!AU57</f>
        <v/>
      </c>
      <c r="AV77" s="187" t="str">
        <f>'[2]（５-3）品群別人時生產性（4℃-飯糰)'!AV57</f>
        <v/>
      </c>
      <c r="AW77" s="351" t="e">
        <f t="shared" si="47"/>
        <v>#VALUE!</v>
      </c>
      <c r="AX77" s="629"/>
    </row>
    <row r="78" spans="2:50">
      <c r="B78" s="598"/>
      <c r="C78" s="319">
        <v>12</v>
      </c>
      <c r="D78" s="231"/>
      <c r="E78" s="187"/>
      <c r="F78" s="319"/>
      <c r="G78" s="322"/>
      <c r="H78" s="633"/>
      <c r="I78" s="207"/>
      <c r="J78" s="207"/>
      <c r="K78" s="207"/>
      <c r="L78" s="572"/>
      <c r="M78" s="206" t="e">
        <f>RANK(K78, K$67:$K$81)</f>
        <v>#N/A</v>
      </c>
      <c r="N78" s="590"/>
      <c r="O78" s="590"/>
      <c r="P78" s="187"/>
      <c r="Q78" s="187"/>
      <c r="R78" s="187"/>
      <c r="S78" s="351" t="e">
        <f t="shared" si="41"/>
        <v>#N/A</v>
      </c>
      <c r="T78" s="629"/>
      <c r="U78" s="187"/>
      <c r="V78" s="187"/>
      <c r="W78" s="187"/>
      <c r="X78" s="351" t="e">
        <f t="shared" si="42"/>
        <v>#N/A</v>
      </c>
      <c r="Y78" s="629"/>
      <c r="Z78" s="187"/>
      <c r="AA78" s="187"/>
      <c r="AB78" s="187"/>
      <c r="AC78" s="351" t="e">
        <f t="shared" si="43"/>
        <v>#N/A</v>
      </c>
      <c r="AD78" s="629"/>
      <c r="AE78" s="187"/>
      <c r="AF78" s="187"/>
      <c r="AG78" s="187"/>
      <c r="AH78" s="351" t="e">
        <f t="shared" si="44"/>
        <v>#N/A</v>
      </c>
      <c r="AI78" s="629"/>
      <c r="AJ78" s="187"/>
      <c r="AK78" s="187"/>
      <c r="AL78" s="187"/>
      <c r="AM78" s="351" t="e">
        <f t="shared" si="45"/>
        <v>#N/A</v>
      </c>
      <c r="AN78" s="629"/>
      <c r="AO78" s="187"/>
      <c r="AP78" s="187"/>
      <c r="AQ78" s="187"/>
      <c r="AR78" s="351">
        <f t="shared" si="46"/>
        <v>11</v>
      </c>
      <c r="AS78" s="629"/>
      <c r="AT78" s="187"/>
      <c r="AU78" s="187"/>
      <c r="AV78" s="187"/>
      <c r="AW78" s="351" t="e">
        <f t="shared" si="47"/>
        <v>#N/A</v>
      </c>
      <c r="AX78" s="629"/>
    </row>
    <row r="79" spans="2:50">
      <c r="B79" s="598"/>
      <c r="C79" s="319">
        <v>13</v>
      </c>
      <c r="D79" s="231"/>
      <c r="E79" s="187"/>
      <c r="F79" s="319"/>
      <c r="G79" s="322"/>
      <c r="H79" s="633"/>
      <c r="I79" s="207"/>
      <c r="J79" s="207"/>
      <c r="K79" s="207"/>
      <c r="L79" s="572"/>
      <c r="M79" s="206" t="e">
        <f>RANK(K79, K$67:$K$81)</f>
        <v>#N/A</v>
      </c>
      <c r="N79" s="590"/>
      <c r="O79" s="590"/>
      <c r="P79" s="187"/>
      <c r="Q79" s="187"/>
      <c r="R79" s="187"/>
      <c r="S79" s="351" t="e">
        <f t="shared" si="41"/>
        <v>#N/A</v>
      </c>
      <c r="T79" s="629"/>
      <c r="U79" s="187"/>
      <c r="V79" s="187"/>
      <c r="W79" s="187"/>
      <c r="X79" s="351" t="e">
        <f t="shared" si="42"/>
        <v>#N/A</v>
      </c>
      <c r="Y79" s="629"/>
      <c r="Z79" s="187"/>
      <c r="AA79" s="187"/>
      <c r="AB79" s="187"/>
      <c r="AC79" s="351" t="e">
        <f t="shared" si="43"/>
        <v>#N/A</v>
      </c>
      <c r="AD79" s="629"/>
      <c r="AE79" s="187"/>
      <c r="AF79" s="187"/>
      <c r="AG79" s="187"/>
      <c r="AH79" s="351" t="e">
        <f t="shared" si="44"/>
        <v>#N/A</v>
      </c>
      <c r="AI79" s="629"/>
      <c r="AJ79" s="187"/>
      <c r="AK79" s="187"/>
      <c r="AL79" s="187"/>
      <c r="AM79" s="351" t="e">
        <f t="shared" si="45"/>
        <v>#N/A</v>
      </c>
      <c r="AN79" s="629"/>
      <c r="AO79" s="187"/>
      <c r="AP79" s="187"/>
      <c r="AQ79" s="187"/>
      <c r="AR79" s="351">
        <f t="shared" si="46"/>
        <v>11</v>
      </c>
      <c r="AS79" s="629"/>
      <c r="AT79" s="187"/>
      <c r="AU79" s="187"/>
      <c r="AV79" s="187"/>
      <c r="AW79" s="351" t="e">
        <f t="shared" si="47"/>
        <v>#N/A</v>
      </c>
      <c r="AX79" s="629"/>
    </row>
    <row r="80" spans="2:50">
      <c r="B80" s="598"/>
      <c r="C80" s="319">
        <v>14</v>
      </c>
      <c r="D80" s="231"/>
      <c r="E80" s="187"/>
      <c r="F80" s="319"/>
      <c r="G80" s="322"/>
      <c r="H80" s="633"/>
      <c r="I80" s="207"/>
      <c r="J80" s="207"/>
      <c r="K80" s="207"/>
      <c r="L80" s="572"/>
      <c r="M80" s="206" t="e">
        <f>RANK(K80, K$67:$K$81)</f>
        <v>#N/A</v>
      </c>
      <c r="N80" s="590"/>
      <c r="O80" s="590"/>
      <c r="P80" s="187"/>
      <c r="Q80" s="187"/>
      <c r="R80" s="187"/>
      <c r="S80" s="351" t="e">
        <f t="shared" si="41"/>
        <v>#N/A</v>
      </c>
      <c r="T80" s="629"/>
      <c r="U80" s="187"/>
      <c r="V80" s="187"/>
      <c r="W80" s="187"/>
      <c r="X80" s="351" t="e">
        <f t="shared" si="42"/>
        <v>#N/A</v>
      </c>
      <c r="Y80" s="629"/>
      <c r="Z80" s="187"/>
      <c r="AA80" s="187"/>
      <c r="AB80" s="187"/>
      <c r="AC80" s="351" t="e">
        <f t="shared" si="43"/>
        <v>#N/A</v>
      </c>
      <c r="AD80" s="629"/>
      <c r="AE80" s="187"/>
      <c r="AF80" s="187"/>
      <c r="AG80" s="187"/>
      <c r="AH80" s="351" t="e">
        <f t="shared" si="44"/>
        <v>#N/A</v>
      </c>
      <c r="AI80" s="629"/>
      <c r="AJ80" s="187"/>
      <c r="AK80" s="187"/>
      <c r="AL80" s="187"/>
      <c r="AM80" s="351" t="e">
        <f t="shared" si="45"/>
        <v>#N/A</v>
      </c>
      <c r="AN80" s="629"/>
      <c r="AO80" s="187"/>
      <c r="AP80" s="187"/>
      <c r="AQ80" s="187"/>
      <c r="AR80" s="351">
        <f t="shared" si="46"/>
        <v>11</v>
      </c>
      <c r="AS80" s="629"/>
      <c r="AT80" s="187"/>
      <c r="AU80" s="187"/>
      <c r="AV80" s="187"/>
      <c r="AW80" s="351" t="e">
        <f t="shared" si="47"/>
        <v>#N/A</v>
      </c>
      <c r="AX80" s="629"/>
    </row>
    <row r="81" spans="2:50">
      <c r="B81" s="598"/>
      <c r="C81" s="319">
        <v>15</v>
      </c>
      <c r="D81" s="231"/>
      <c r="E81" s="187"/>
      <c r="F81" s="319"/>
      <c r="G81" s="322"/>
      <c r="H81" s="634"/>
      <c r="I81" s="207"/>
      <c r="J81" s="207"/>
      <c r="K81" s="207"/>
      <c r="L81" s="573"/>
      <c r="M81" s="206" t="e">
        <f>RANK(K81, K$67:$K$81)</f>
        <v>#N/A</v>
      </c>
      <c r="N81" s="590"/>
      <c r="O81" s="590"/>
      <c r="P81" s="187"/>
      <c r="Q81" s="187"/>
      <c r="R81" s="187"/>
      <c r="S81" s="351" t="e">
        <f t="shared" si="41"/>
        <v>#N/A</v>
      </c>
      <c r="T81" s="629"/>
      <c r="U81" s="187"/>
      <c r="V81" s="187"/>
      <c r="W81" s="187"/>
      <c r="X81" s="351" t="e">
        <f t="shared" si="42"/>
        <v>#N/A</v>
      </c>
      <c r="Y81" s="629"/>
      <c r="Z81" s="187"/>
      <c r="AA81" s="187"/>
      <c r="AB81" s="187"/>
      <c r="AC81" s="351" t="e">
        <f t="shared" si="43"/>
        <v>#N/A</v>
      </c>
      <c r="AD81" s="629"/>
      <c r="AE81" s="187"/>
      <c r="AF81" s="187"/>
      <c r="AG81" s="187"/>
      <c r="AH81" s="351" t="e">
        <f t="shared" si="44"/>
        <v>#N/A</v>
      </c>
      <c r="AI81" s="629"/>
      <c r="AJ81" s="187"/>
      <c r="AK81" s="187"/>
      <c r="AL81" s="187"/>
      <c r="AM81" s="351" t="e">
        <f t="shared" si="45"/>
        <v>#N/A</v>
      </c>
      <c r="AN81" s="629"/>
      <c r="AO81" s="187"/>
      <c r="AP81" s="187"/>
      <c r="AQ81" s="187"/>
      <c r="AR81" s="351">
        <f t="shared" si="46"/>
        <v>11</v>
      </c>
      <c r="AS81" s="629"/>
      <c r="AT81" s="187"/>
      <c r="AU81" s="187"/>
      <c r="AV81" s="187"/>
      <c r="AW81" s="351" t="e">
        <f t="shared" si="47"/>
        <v>#N/A</v>
      </c>
      <c r="AX81" s="629"/>
    </row>
    <row r="82" spans="2:50" ht="15.75">
      <c r="B82" s="602" t="s">
        <v>163</v>
      </c>
      <c r="C82" s="603"/>
      <c r="D82" s="603"/>
      <c r="E82" s="603"/>
      <c r="F82" s="603"/>
      <c r="G82" s="603"/>
      <c r="H82" s="604"/>
      <c r="I82" s="213"/>
      <c r="J82" s="213"/>
      <c r="K82" s="213"/>
      <c r="L82" s="213"/>
      <c r="M82" s="212"/>
      <c r="N82" s="591" t="s">
        <v>156</v>
      </c>
      <c r="O82" s="591" t="s">
        <v>105</v>
      </c>
      <c r="P82" s="597">
        <f>P62+7</f>
        <v>45958</v>
      </c>
      <c r="Q82" s="598"/>
      <c r="R82" s="598"/>
      <c r="S82" s="598"/>
      <c r="T82" s="598"/>
      <c r="U82" s="594">
        <f>P82+1</f>
        <v>45959</v>
      </c>
      <c r="V82" s="595"/>
      <c r="W82" s="595"/>
      <c r="X82" s="595"/>
      <c r="Y82" s="596"/>
      <c r="Z82" s="594">
        <f>U82+1</f>
        <v>45960</v>
      </c>
      <c r="AA82" s="595"/>
      <c r="AB82" s="595"/>
      <c r="AC82" s="595"/>
      <c r="AD82" s="596"/>
      <c r="AE82" s="594">
        <f>Z82+1</f>
        <v>45961</v>
      </c>
      <c r="AF82" s="595"/>
      <c r="AG82" s="595"/>
      <c r="AH82" s="595"/>
      <c r="AI82" s="596"/>
      <c r="AJ82" s="594">
        <f>AE82+1</f>
        <v>45962</v>
      </c>
      <c r="AK82" s="595"/>
      <c r="AL82" s="595"/>
      <c r="AM82" s="595"/>
      <c r="AN82" s="596"/>
      <c r="AO82" s="594">
        <f>AJ82+1</f>
        <v>45963</v>
      </c>
      <c r="AP82" s="595"/>
      <c r="AQ82" s="595"/>
      <c r="AR82" s="595"/>
      <c r="AS82" s="596"/>
      <c r="AT82" s="594">
        <f>AO82+1</f>
        <v>45964</v>
      </c>
      <c r="AU82" s="595"/>
      <c r="AV82" s="595"/>
      <c r="AW82" s="595"/>
      <c r="AX82" s="596"/>
    </row>
    <row r="83" spans="2:50" ht="15.75">
      <c r="B83" s="605"/>
      <c r="C83" s="605"/>
      <c r="D83" s="605"/>
      <c r="E83" s="605"/>
      <c r="F83" s="605"/>
      <c r="G83" s="605"/>
      <c r="H83" s="605"/>
      <c r="I83" s="210"/>
      <c r="J83" s="210"/>
      <c r="K83" s="210"/>
      <c r="L83" s="210"/>
      <c r="M83" s="211"/>
      <c r="N83" s="593"/>
      <c r="O83" s="593"/>
      <c r="P83" s="597" t="s">
        <v>336</v>
      </c>
      <c r="Q83" s="598"/>
      <c r="R83" s="598"/>
      <c r="S83" s="598"/>
      <c r="T83" s="598"/>
      <c r="U83" s="597" t="s">
        <v>337</v>
      </c>
      <c r="V83" s="598"/>
      <c r="W83" s="598"/>
      <c r="X83" s="598"/>
      <c r="Y83" s="598"/>
      <c r="Z83" s="597" t="s">
        <v>338</v>
      </c>
      <c r="AA83" s="598"/>
      <c r="AB83" s="598"/>
      <c r="AC83" s="598"/>
      <c r="AD83" s="598"/>
      <c r="AE83" s="597" t="s">
        <v>339</v>
      </c>
      <c r="AF83" s="598"/>
      <c r="AG83" s="598"/>
      <c r="AH83" s="598"/>
      <c r="AI83" s="598"/>
      <c r="AJ83" s="597" t="s">
        <v>340</v>
      </c>
      <c r="AK83" s="598"/>
      <c r="AL83" s="598"/>
      <c r="AM83" s="598"/>
      <c r="AN83" s="598"/>
      <c r="AO83" s="597" t="s">
        <v>341</v>
      </c>
      <c r="AP83" s="598"/>
      <c r="AQ83" s="598"/>
      <c r="AR83" s="598"/>
      <c r="AS83" s="598"/>
      <c r="AT83" s="597" t="s">
        <v>342</v>
      </c>
      <c r="AU83" s="598"/>
      <c r="AV83" s="598"/>
      <c r="AW83" s="598"/>
      <c r="AX83" s="598"/>
    </row>
    <row r="84" spans="2:50">
      <c r="B84" s="590" t="s">
        <v>476</v>
      </c>
      <c r="C84" s="590" t="s">
        <v>477</v>
      </c>
      <c r="D84" s="590"/>
      <c r="E84" s="590" t="s">
        <v>478</v>
      </c>
      <c r="F84" s="590"/>
      <c r="G84" s="590"/>
      <c r="H84" s="606" t="s">
        <v>479</v>
      </c>
      <c r="I84" s="574" t="s">
        <v>480</v>
      </c>
      <c r="J84" s="574"/>
      <c r="K84" s="574"/>
      <c r="L84" s="575" t="s">
        <v>479</v>
      </c>
      <c r="M84" s="581" t="s">
        <v>481</v>
      </c>
      <c r="N84" s="590"/>
      <c r="O84" s="590" t="s">
        <v>482</v>
      </c>
      <c r="P84" s="587" t="s">
        <v>483</v>
      </c>
      <c r="Q84" s="588"/>
      <c r="R84" s="588"/>
      <c r="S84" s="589"/>
      <c r="T84" s="590" t="s">
        <v>479</v>
      </c>
      <c r="U84" s="587" t="s">
        <v>483</v>
      </c>
      <c r="V84" s="588"/>
      <c r="W84" s="588"/>
      <c r="X84" s="589"/>
      <c r="Y84" s="590" t="s">
        <v>479</v>
      </c>
      <c r="Z84" s="587" t="s">
        <v>483</v>
      </c>
      <c r="AA84" s="588"/>
      <c r="AB84" s="588"/>
      <c r="AC84" s="589"/>
      <c r="AD84" s="590" t="s">
        <v>479</v>
      </c>
      <c r="AE84" s="587" t="s">
        <v>483</v>
      </c>
      <c r="AF84" s="588"/>
      <c r="AG84" s="588"/>
      <c r="AH84" s="589"/>
      <c r="AI84" s="590" t="s">
        <v>479</v>
      </c>
      <c r="AJ84" s="587" t="s">
        <v>483</v>
      </c>
      <c r="AK84" s="588"/>
      <c r="AL84" s="588"/>
      <c r="AM84" s="589"/>
      <c r="AN84" s="590" t="s">
        <v>479</v>
      </c>
      <c r="AO84" s="587" t="s">
        <v>483</v>
      </c>
      <c r="AP84" s="588"/>
      <c r="AQ84" s="588"/>
      <c r="AR84" s="589"/>
      <c r="AS84" s="590" t="s">
        <v>479</v>
      </c>
      <c r="AT84" s="587" t="s">
        <v>483</v>
      </c>
      <c r="AU84" s="588"/>
      <c r="AV84" s="588"/>
      <c r="AW84" s="589"/>
      <c r="AX84" s="590" t="s">
        <v>479</v>
      </c>
    </row>
    <row r="85" spans="2:50">
      <c r="B85" s="590"/>
      <c r="C85" s="590"/>
      <c r="D85" s="590"/>
      <c r="E85" s="590" t="s">
        <v>484</v>
      </c>
      <c r="F85" s="590"/>
      <c r="G85" s="590"/>
      <c r="H85" s="607"/>
      <c r="I85" s="574" t="s">
        <v>484</v>
      </c>
      <c r="J85" s="574"/>
      <c r="K85" s="574"/>
      <c r="L85" s="576"/>
      <c r="M85" s="582"/>
      <c r="N85" s="590"/>
      <c r="O85" s="590"/>
      <c r="P85" s="587" t="s">
        <v>485</v>
      </c>
      <c r="Q85" s="588"/>
      <c r="R85" s="588"/>
      <c r="S85" s="589"/>
      <c r="T85" s="590"/>
      <c r="U85" s="587" t="s">
        <v>485</v>
      </c>
      <c r="V85" s="588"/>
      <c r="W85" s="588"/>
      <c r="X85" s="589"/>
      <c r="Y85" s="590"/>
      <c r="Z85" s="587" t="s">
        <v>485</v>
      </c>
      <c r="AA85" s="588"/>
      <c r="AB85" s="588"/>
      <c r="AC85" s="589"/>
      <c r="AD85" s="590"/>
      <c r="AE85" s="587" t="s">
        <v>485</v>
      </c>
      <c r="AF85" s="588"/>
      <c r="AG85" s="588"/>
      <c r="AH85" s="589"/>
      <c r="AI85" s="590"/>
      <c r="AJ85" s="587" t="s">
        <v>485</v>
      </c>
      <c r="AK85" s="588"/>
      <c r="AL85" s="588"/>
      <c r="AM85" s="589"/>
      <c r="AN85" s="590"/>
      <c r="AO85" s="587" t="s">
        <v>485</v>
      </c>
      <c r="AP85" s="588"/>
      <c r="AQ85" s="588"/>
      <c r="AR85" s="589"/>
      <c r="AS85" s="590"/>
      <c r="AT85" s="587" t="s">
        <v>485</v>
      </c>
      <c r="AU85" s="588"/>
      <c r="AV85" s="588"/>
      <c r="AW85" s="589"/>
      <c r="AX85" s="590"/>
    </row>
    <row r="86" spans="2:50">
      <c r="B86" s="590"/>
      <c r="C86" s="590"/>
      <c r="D86" s="590"/>
      <c r="E86" s="307" t="s">
        <v>486</v>
      </c>
      <c r="F86" s="307" t="s">
        <v>487</v>
      </c>
      <c r="G86" s="307" t="s">
        <v>488</v>
      </c>
      <c r="H86" s="608"/>
      <c r="I86" s="309" t="s">
        <v>486</v>
      </c>
      <c r="J86" s="309" t="s">
        <v>487</v>
      </c>
      <c r="K86" s="309" t="s">
        <v>488</v>
      </c>
      <c r="L86" s="577"/>
      <c r="M86" s="583"/>
      <c r="N86" s="590"/>
      <c r="O86" s="590"/>
      <c r="P86" s="307" t="s">
        <v>486</v>
      </c>
      <c r="Q86" s="307" t="s">
        <v>487</v>
      </c>
      <c r="R86" s="307" t="s">
        <v>488</v>
      </c>
      <c r="S86" s="307" t="s">
        <v>481</v>
      </c>
      <c r="T86" s="590"/>
      <c r="U86" s="307" t="s">
        <v>486</v>
      </c>
      <c r="V86" s="307" t="s">
        <v>487</v>
      </c>
      <c r="W86" s="307" t="s">
        <v>488</v>
      </c>
      <c r="X86" s="307" t="s">
        <v>481</v>
      </c>
      <c r="Y86" s="590"/>
      <c r="Z86" s="307" t="s">
        <v>486</v>
      </c>
      <c r="AA86" s="307" t="s">
        <v>487</v>
      </c>
      <c r="AB86" s="307" t="s">
        <v>488</v>
      </c>
      <c r="AC86" s="307" t="s">
        <v>481</v>
      </c>
      <c r="AD86" s="590"/>
      <c r="AE86" s="307" t="s">
        <v>486</v>
      </c>
      <c r="AF86" s="307" t="s">
        <v>487</v>
      </c>
      <c r="AG86" s="307" t="s">
        <v>488</v>
      </c>
      <c r="AH86" s="307" t="s">
        <v>481</v>
      </c>
      <c r="AI86" s="590"/>
      <c r="AJ86" s="307" t="s">
        <v>486</v>
      </c>
      <c r="AK86" s="307" t="s">
        <v>487</v>
      </c>
      <c r="AL86" s="307" t="s">
        <v>488</v>
      </c>
      <c r="AM86" s="307" t="s">
        <v>481</v>
      </c>
      <c r="AN86" s="590"/>
      <c r="AO86" s="307" t="s">
        <v>486</v>
      </c>
      <c r="AP86" s="307" t="s">
        <v>487</v>
      </c>
      <c r="AQ86" s="307" t="s">
        <v>488</v>
      </c>
      <c r="AR86" s="307" t="s">
        <v>481</v>
      </c>
      <c r="AS86" s="590"/>
      <c r="AT86" s="307" t="s">
        <v>486</v>
      </c>
      <c r="AU86" s="307" t="s">
        <v>487</v>
      </c>
      <c r="AV86" s="307" t="s">
        <v>488</v>
      </c>
      <c r="AW86" s="307" t="s">
        <v>481</v>
      </c>
      <c r="AX86" s="590"/>
    </row>
    <row r="87" spans="2:50">
      <c r="B87" s="631" t="s">
        <v>490</v>
      </c>
      <c r="C87" s="306">
        <v>1</v>
      </c>
      <c r="D87" s="231" t="s">
        <v>417</v>
      </c>
      <c r="E87" s="187">
        <v>4</v>
      </c>
      <c r="F87" s="306">
        <v>2000</v>
      </c>
      <c r="G87" s="308">
        <v>500</v>
      </c>
      <c r="H87" s="632">
        <f>AVERAGE(G87:G101)</f>
        <v>291.16789432789432</v>
      </c>
      <c r="I87" s="204">
        <f>AVERAGE(P87,U87,Z87,AE87,AJ87,AO87,AT87)</f>
        <v>4</v>
      </c>
      <c r="J87" s="204">
        <f>AVERAGE(Q87,V87,AA87,AF87,AK87,AP87,AU87)</f>
        <v>2059.2624470840974</v>
      </c>
      <c r="K87" s="205">
        <f>AVERAGE(R87,W87,AB87,AG87,AL87,AQ87,AV87)</f>
        <v>514.81561177102435</v>
      </c>
      <c r="L87" s="571">
        <f>IFERROR(AVERAGE(K87:K101),"-")</f>
        <v>279.25964861384966</v>
      </c>
      <c r="M87" s="206">
        <f>RANK(K87, K$87:$K$101)</f>
        <v>2</v>
      </c>
      <c r="N87" s="590"/>
      <c r="O87" s="590"/>
      <c r="P87" s="187">
        <v>4</v>
      </c>
      <c r="Q87" s="187">
        <v>2118.0000000000073</v>
      </c>
      <c r="R87" s="187">
        <v>529.50000000000182</v>
      </c>
      <c r="S87" s="306">
        <f>RANK(R87, R$87:R$101)</f>
        <v>2</v>
      </c>
      <c r="T87" s="629">
        <f>AVERAGE(R87:R101)</f>
        <v>283.57522390104077</v>
      </c>
      <c r="U87" s="187">
        <v>4</v>
      </c>
      <c r="V87" s="187">
        <v>2097.1428571428646</v>
      </c>
      <c r="W87" s="187">
        <v>524.28571428571615</v>
      </c>
      <c r="X87" s="306">
        <f>RANK(W87, W$87:W$101)</f>
        <v>1</v>
      </c>
      <c r="Y87" s="629">
        <f>AVERAGE(W87:W101)</f>
        <v>279.19311466919754</v>
      </c>
      <c r="Z87" s="187">
        <v>4</v>
      </c>
      <c r="AA87" s="187">
        <v>2229.4736842105244</v>
      </c>
      <c r="AB87" s="187">
        <v>557.36842105263111</v>
      </c>
      <c r="AC87" s="306">
        <f>RANK(AB87, AB$87:AB$101)</f>
        <v>1</v>
      </c>
      <c r="AD87" s="629">
        <f>AVERAGE(AB87:AB101)</f>
        <v>286.32190177362611</v>
      </c>
      <c r="AE87" s="187">
        <v>4</v>
      </c>
      <c r="AF87" s="187">
        <v>1893.7499999999975</v>
      </c>
      <c r="AG87" s="187">
        <v>473.43749999999937</v>
      </c>
      <c r="AH87" s="306">
        <f>RANK(AG87, AG$87:AG$101)</f>
        <v>2</v>
      </c>
      <c r="AI87" s="629">
        <f>AVERAGE(AG87:AG101)</f>
        <v>272.13816367828508</v>
      </c>
      <c r="AJ87" s="187">
        <v>4</v>
      </c>
      <c r="AK87" s="187">
        <v>1799.9999999999977</v>
      </c>
      <c r="AL87" s="187">
        <v>449.99999999999943</v>
      </c>
      <c r="AM87" s="306">
        <f>RANK(AL87, AL$87:AL$101)</f>
        <v>2</v>
      </c>
      <c r="AN87" s="629">
        <f>AVERAGE(AL87:AL101)</f>
        <v>273.6092129451755</v>
      </c>
      <c r="AO87" s="187">
        <v>4</v>
      </c>
      <c r="AP87" s="187">
        <v>2216.4705882352914</v>
      </c>
      <c r="AQ87" s="187">
        <v>554.11764705882285</v>
      </c>
      <c r="AR87" s="306">
        <f>RANK(AQ87, AQ$87:AQ$101)</f>
        <v>1</v>
      </c>
      <c r="AS87" s="629">
        <f>AVERAGE(AQ87:AQ101)</f>
        <v>280.97607573721473</v>
      </c>
      <c r="AT87" s="187">
        <v>4</v>
      </c>
      <c r="AU87" s="187">
        <v>2059.9999999999986</v>
      </c>
      <c r="AV87" s="187">
        <v>514.99999999999966</v>
      </c>
      <c r="AW87" s="306">
        <f>RANK(AV87, AV$87:AV$101)</f>
        <v>1</v>
      </c>
      <c r="AX87" s="629">
        <f>AVERAGE(AV87:AV101)</f>
        <v>279.00384759240836</v>
      </c>
    </row>
    <row r="88" spans="2:50">
      <c r="B88" s="598"/>
      <c r="C88" s="306">
        <v>2</v>
      </c>
      <c r="D88" s="231" t="s">
        <v>542</v>
      </c>
      <c r="E88" s="187">
        <v>4</v>
      </c>
      <c r="F88" s="306">
        <v>2000</v>
      </c>
      <c r="G88" s="308">
        <v>500</v>
      </c>
      <c r="H88" s="633"/>
      <c r="I88" s="204">
        <f t="shared" ref="I88:K96" si="51">AVERAGE(P88,U88,Z88,AE88,AJ88,AO88,AT88)</f>
        <v>4</v>
      </c>
      <c r="J88" s="204">
        <f t="shared" si="51"/>
        <v>2138.3552903999084</v>
      </c>
      <c r="K88" s="205">
        <f t="shared" si="51"/>
        <v>534.58882259997711</v>
      </c>
      <c r="L88" s="572"/>
      <c r="M88" s="206">
        <f>RANK(K88, K$87:$K$101)</f>
        <v>1</v>
      </c>
      <c r="N88" s="590"/>
      <c r="O88" s="590"/>
      <c r="P88" s="187">
        <v>4</v>
      </c>
      <c r="Q88" s="187">
        <v>2212.1739130434707</v>
      </c>
      <c r="R88" s="187">
        <v>553.04347826086769</v>
      </c>
      <c r="S88" s="306">
        <f t="shared" ref="S88:S101" si="52">RANK(R88, R$87:R$101)</f>
        <v>1</v>
      </c>
      <c r="T88" s="629"/>
      <c r="U88" s="187">
        <v>4</v>
      </c>
      <c r="V88" s="187">
        <v>2082.4999999999932</v>
      </c>
      <c r="W88" s="187">
        <v>520.62499999999829</v>
      </c>
      <c r="X88" s="306">
        <f t="shared" ref="X88:X101" si="53">RANK(W88, W$87:W$101)</f>
        <v>2</v>
      </c>
      <c r="Y88" s="629"/>
      <c r="Z88" s="187">
        <v>4</v>
      </c>
      <c r="AA88" s="187">
        <v>2126.0869565217322</v>
      </c>
      <c r="AB88" s="187">
        <v>531.52173913043305</v>
      </c>
      <c r="AC88" s="306">
        <f t="shared" ref="AC88:AC101" si="54">RANK(AB88, AB$87:AB$101)</f>
        <v>2</v>
      </c>
      <c r="AD88" s="629"/>
      <c r="AE88" s="187">
        <v>4</v>
      </c>
      <c r="AF88" s="187">
        <v>2096.8421052631566</v>
      </c>
      <c r="AG88" s="187">
        <v>524.21052631578914</v>
      </c>
      <c r="AH88" s="306">
        <f t="shared" ref="AH88:AH101" si="55">RANK(AG88, AG$87:AG$101)</f>
        <v>1</v>
      </c>
      <c r="AI88" s="629"/>
      <c r="AJ88" s="187">
        <v>4</v>
      </c>
      <c r="AK88" s="187">
        <v>2206.6666666666652</v>
      </c>
      <c r="AL88" s="187">
        <v>551.66666666666629</v>
      </c>
      <c r="AM88" s="306">
        <f t="shared" ref="AM88:AM101" si="56">RANK(AL88, AL$87:AL$101)</f>
        <v>1</v>
      </c>
      <c r="AN88" s="629"/>
      <c r="AO88" s="187">
        <v>4</v>
      </c>
      <c r="AP88" s="187">
        <v>2198.9999999999991</v>
      </c>
      <c r="AQ88" s="187">
        <v>549.74999999999977</v>
      </c>
      <c r="AR88" s="306">
        <f t="shared" ref="AR88:AR101" si="57">RANK(AQ88, AQ$87:AQ$101)</f>
        <v>2</v>
      </c>
      <c r="AS88" s="629"/>
      <c r="AT88" s="187">
        <v>4</v>
      </c>
      <c r="AU88" s="187">
        <v>2045.2173913043407</v>
      </c>
      <c r="AV88" s="187">
        <v>511.30434782608518</v>
      </c>
      <c r="AW88" s="306">
        <f t="shared" ref="AW88:AW101" si="58">RANK(AV88, AV$87:AV$101)</f>
        <v>2</v>
      </c>
      <c r="AX88" s="629"/>
    </row>
    <row r="89" spans="2:50">
      <c r="B89" s="598"/>
      <c r="C89" s="306">
        <v>3</v>
      </c>
      <c r="D89" s="231" t="s">
        <v>418</v>
      </c>
      <c r="E89" s="187">
        <v>12</v>
      </c>
      <c r="F89" s="306">
        <v>2250</v>
      </c>
      <c r="G89" s="308">
        <v>187.5</v>
      </c>
      <c r="H89" s="633"/>
      <c r="I89" s="204">
        <f t="shared" si="51"/>
        <v>12</v>
      </c>
      <c r="J89" s="204">
        <f t="shared" si="51"/>
        <v>2163.6330998189433</v>
      </c>
      <c r="K89" s="205">
        <f t="shared" si="51"/>
        <v>180.30275831824525</v>
      </c>
      <c r="L89" s="572"/>
      <c r="M89" s="206">
        <f>RANK(K89, K$87:$K$101)</f>
        <v>8</v>
      </c>
      <c r="N89" s="590"/>
      <c r="O89" s="590"/>
      <c r="P89" s="187">
        <v>12</v>
      </c>
      <c r="Q89" s="187">
        <v>2177.0149253731342</v>
      </c>
      <c r="R89" s="187">
        <v>181.41791044776119</v>
      </c>
      <c r="S89" s="306">
        <f t="shared" si="52"/>
        <v>8</v>
      </c>
      <c r="T89" s="629"/>
      <c r="U89" s="187">
        <v>12</v>
      </c>
      <c r="V89" s="187">
        <v>2145.8823529411766</v>
      </c>
      <c r="W89" s="187">
        <v>178.82352941176472</v>
      </c>
      <c r="X89" s="306">
        <f t="shared" si="53"/>
        <v>8</v>
      </c>
      <c r="Y89" s="629"/>
      <c r="Z89" s="187">
        <v>12</v>
      </c>
      <c r="AA89" s="187">
        <v>2143.5483870967732</v>
      </c>
      <c r="AB89" s="187">
        <v>178.62903225806443</v>
      </c>
      <c r="AC89" s="306">
        <f t="shared" si="54"/>
        <v>8</v>
      </c>
      <c r="AD89" s="629"/>
      <c r="AE89" s="187">
        <v>12</v>
      </c>
      <c r="AF89" s="187">
        <v>2157.6000000000004</v>
      </c>
      <c r="AG89" s="187">
        <v>179.80000000000004</v>
      </c>
      <c r="AH89" s="306">
        <f t="shared" si="55"/>
        <v>8</v>
      </c>
      <c r="AI89" s="629"/>
      <c r="AJ89" s="187">
        <v>12</v>
      </c>
      <c r="AK89" s="187">
        <v>2132.3076923076937</v>
      </c>
      <c r="AL89" s="187">
        <v>177.69230769230782</v>
      </c>
      <c r="AM89" s="306">
        <f t="shared" si="56"/>
        <v>8</v>
      </c>
      <c r="AN89" s="629"/>
      <c r="AO89" s="187">
        <v>12</v>
      </c>
      <c r="AP89" s="187">
        <v>2197.1428571428569</v>
      </c>
      <c r="AQ89" s="187">
        <v>183.09523809523807</v>
      </c>
      <c r="AR89" s="306">
        <f t="shared" si="57"/>
        <v>8</v>
      </c>
      <c r="AS89" s="629"/>
      <c r="AT89" s="187">
        <v>12</v>
      </c>
      <c r="AU89" s="187">
        <v>2191.9354838709669</v>
      </c>
      <c r="AV89" s="187">
        <v>182.66129032258058</v>
      </c>
      <c r="AW89" s="306">
        <f t="shared" si="58"/>
        <v>8</v>
      </c>
      <c r="AX89" s="629"/>
    </row>
    <row r="90" spans="2:50">
      <c r="B90" s="598"/>
      <c r="C90" s="306">
        <v>4</v>
      </c>
      <c r="D90" s="231" t="s">
        <v>419</v>
      </c>
      <c r="E90" s="187">
        <v>11</v>
      </c>
      <c r="F90" s="306">
        <v>2118</v>
      </c>
      <c r="G90" s="308">
        <v>192.54545454545453</v>
      </c>
      <c r="H90" s="633"/>
      <c r="I90" s="204">
        <f t="shared" si="51"/>
        <v>11</v>
      </c>
      <c r="J90" s="204">
        <f t="shared" si="51"/>
        <v>2079.5306891543573</v>
      </c>
      <c r="K90" s="205">
        <f t="shared" si="51"/>
        <v>189.04824446857791</v>
      </c>
      <c r="L90" s="572"/>
      <c r="M90" s="206">
        <f>RANK(K90, K$87:$K$101)</f>
        <v>7</v>
      </c>
      <c r="N90" s="590"/>
      <c r="O90" s="590"/>
      <c r="P90" s="187">
        <v>11</v>
      </c>
      <c r="Q90" s="187">
        <v>2057.9999999999991</v>
      </c>
      <c r="R90" s="187">
        <v>187.09090909090901</v>
      </c>
      <c r="S90" s="306">
        <f t="shared" si="52"/>
        <v>7</v>
      </c>
      <c r="T90" s="629"/>
      <c r="U90" s="187">
        <v>11</v>
      </c>
      <c r="V90" s="187">
        <v>2035.1515151515141</v>
      </c>
      <c r="W90" s="187">
        <v>185.01377410468311</v>
      </c>
      <c r="X90" s="306">
        <f t="shared" si="53"/>
        <v>7</v>
      </c>
      <c r="Y90" s="629"/>
      <c r="Z90" s="187">
        <v>11</v>
      </c>
      <c r="AA90" s="187">
        <v>2029.7872340425533</v>
      </c>
      <c r="AB90" s="187">
        <v>184.52611218568666</v>
      </c>
      <c r="AC90" s="306">
        <f t="shared" si="54"/>
        <v>7</v>
      </c>
      <c r="AD90" s="629"/>
      <c r="AE90" s="187">
        <v>11</v>
      </c>
      <c r="AF90" s="187">
        <v>2107.297297297298</v>
      </c>
      <c r="AG90" s="187">
        <v>191.57248157248162</v>
      </c>
      <c r="AH90" s="306">
        <f t="shared" si="55"/>
        <v>7</v>
      </c>
      <c r="AI90" s="629"/>
      <c r="AJ90" s="187">
        <v>11</v>
      </c>
      <c r="AK90" s="187">
        <v>2136.0000000000009</v>
      </c>
      <c r="AL90" s="187">
        <v>194.18181818181827</v>
      </c>
      <c r="AM90" s="306">
        <f t="shared" si="56"/>
        <v>7</v>
      </c>
      <c r="AN90" s="629"/>
      <c r="AO90" s="187">
        <v>11</v>
      </c>
      <c r="AP90" s="187">
        <v>2062.7368421052633</v>
      </c>
      <c r="AQ90" s="187">
        <v>187.52153110047848</v>
      </c>
      <c r="AR90" s="306">
        <f t="shared" si="57"/>
        <v>7</v>
      </c>
      <c r="AS90" s="629"/>
      <c r="AT90" s="187">
        <v>11</v>
      </c>
      <c r="AU90" s="187">
        <v>2127.7419354838712</v>
      </c>
      <c r="AV90" s="187">
        <v>193.4310850439883</v>
      </c>
      <c r="AW90" s="306">
        <f t="shared" si="58"/>
        <v>7</v>
      </c>
      <c r="AX90" s="629"/>
    </row>
    <row r="91" spans="2:50">
      <c r="B91" s="598"/>
      <c r="C91" s="306">
        <v>5</v>
      </c>
      <c r="D91" s="231" t="s">
        <v>420</v>
      </c>
      <c r="E91" s="187">
        <v>11</v>
      </c>
      <c r="F91" s="306">
        <v>2250</v>
      </c>
      <c r="G91" s="308">
        <v>204.54545454545453</v>
      </c>
      <c r="H91" s="633"/>
      <c r="I91" s="204">
        <f t="shared" si="51"/>
        <v>11</v>
      </c>
      <c r="J91" s="204">
        <f t="shared" si="51"/>
        <v>2163.5704051741059</v>
      </c>
      <c r="K91" s="205">
        <f t="shared" si="51"/>
        <v>196.68821865219144</v>
      </c>
      <c r="L91" s="572"/>
      <c r="M91" s="206">
        <f>RANK(K91, K$87:$K$101)</f>
        <v>6</v>
      </c>
      <c r="N91" s="590"/>
      <c r="O91" s="590"/>
      <c r="P91" s="187">
        <v>11</v>
      </c>
      <c r="Q91" s="187">
        <v>2166.3829787234044</v>
      </c>
      <c r="R91" s="187">
        <v>196.94390715667313</v>
      </c>
      <c r="S91" s="306">
        <f t="shared" si="52"/>
        <v>6</v>
      </c>
      <c r="T91" s="629"/>
      <c r="U91" s="187">
        <v>11</v>
      </c>
      <c r="V91" s="187">
        <v>2125.6250000000005</v>
      </c>
      <c r="W91" s="187">
        <v>193.2386363636364</v>
      </c>
      <c r="X91" s="306">
        <f t="shared" si="53"/>
        <v>6</v>
      </c>
      <c r="Y91" s="629"/>
      <c r="Z91" s="187">
        <v>11</v>
      </c>
      <c r="AA91" s="187">
        <v>2196.9767441860463</v>
      </c>
      <c r="AB91" s="187">
        <v>199.72515856236785</v>
      </c>
      <c r="AC91" s="306">
        <f t="shared" si="54"/>
        <v>6</v>
      </c>
      <c r="AD91" s="629"/>
      <c r="AE91" s="187">
        <v>11</v>
      </c>
      <c r="AF91" s="187">
        <v>2209.0140845070428</v>
      </c>
      <c r="AG91" s="187">
        <v>200.81946222791296</v>
      </c>
      <c r="AH91" s="306">
        <f t="shared" si="55"/>
        <v>6</v>
      </c>
      <c r="AI91" s="629"/>
      <c r="AJ91" s="187">
        <v>11</v>
      </c>
      <c r="AK91" s="187">
        <v>2171.5068493150688</v>
      </c>
      <c r="AL91" s="187">
        <v>197.40971357409717</v>
      </c>
      <c r="AM91" s="306">
        <f t="shared" si="56"/>
        <v>6</v>
      </c>
      <c r="AN91" s="629"/>
      <c r="AO91" s="187">
        <v>11</v>
      </c>
      <c r="AP91" s="187">
        <v>2129.333333333333</v>
      </c>
      <c r="AQ91" s="187">
        <v>193.57575757575754</v>
      </c>
      <c r="AR91" s="306">
        <f t="shared" si="57"/>
        <v>6</v>
      </c>
      <c r="AS91" s="629"/>
      <c r="AT91" s="187">
        <v>11</v>
      </c>
      <c r="AU91" s="187">
        <v>2146.1538461538462</v>
      </c>
      <c r="AV91" s="187">
        <v>195.10489510489512</v>
      </c>
      <c r="AW91" s="306">
        <f t="shared" si="58"/>
        <v>6</v>
      </c>
      <c r="AX91" s="629"/>
    </row>
    <row r="92" spans="2:50">
      <c r="B92" s="598"/>
      <c r="C92" s="306">
        <v>6</v>
      </c>
      <c r="D92" s="231" t="s">
        <v>421</v>
      </c>
      <c r="E92" s="187">
        <v>13</v>
      </c>
      <c r="F92" s="306">
        <v>2250</v>
      </c>
      <c r="G92" s="308">
        <v>173.07692307692307</v>
      </c>
      <c r="H92" s="633"/>
      <c r="I92" s="204">
        <f t="shared" si="51"/>
        <v>13</v>
      </c>
      <c r="J92" s="204">
        <f t="shared" si="51"/>
        <v>2166.5034183229905</v>
      </c>
      <c r="K92" s="205">
        <f t="shared" si="51"/>
        <v>166.65410910176848</v>
      </c>
      <c r="L92" s="572"/>
      <c r="M92" s="206">
        <f>RANK(K92, K$87:$K$101)</f>
        <v>9</v>
      </c>
      <c r="N92" s="590"/>
      <c r="O92" s="590"/>
      <c r="P92" s="187">
        <v>13</v>
      </c>
      <c r="Q92" s="187">
        <v>2157.391304347826</v>
      </c>
      <c r="R92" s="187">
        <v>165.95317725752508</v>
      </c>
      <c r="S92" s="306">
        <f t="shared" si="52"/>
        <v>9</v>
      </c>
      <c r="T92" s="629"/>
      <c r="U92" s="187">
        <v>13</v>
      </c>
      <c r="V92" s="187">
        <v>2174.666666666667</v>
      </c>
      <c r="W92" s="187">
        <v>167.2820512820513</v>
      </c>
      <c r="X92" s="306">
        <f t="shared" si="53"/>
        <v>9</v>
      </c>
      <c r="Y92" s="629"/>
      <c r="Z92" s="187">
        <v>13</v>
      </c>
      <c r="AA92" s="187">
        <v>2169.9999999999995</v>
      </c>
      <c r="AB92" s="187">
        <v>166.92307692307688</v>
      </c>
      <c r="AC92" s="306">
        <f t="shared" si="54"/>
        <v>9</v>
      </c>
      <c r="AD92" s="629"/>
      <c r="AE92" s="187">
        <v>13</v>
      </c>
      <c r="AF92" s="187">
        <v>2144.9999999999982</v>
      </c>
      <c r="AG92" s="187">
        <v>164.99999999999986</v>
      </c>
      <c r="AH92" s="306">
        <f t="shared" si="55"/>
        <v>9</v>
      </c>
      <c r="AI92" s="629"/>
      <c r="AJ92" s="187">
        <v>13</v>
      </c>
      <c r="AK92" s="187">
        <v>2138.9189189189174</v>
      </c>
      <c r="AL92" s="187">
        <v>164.5322245322244</v>
      </c>
      <c r="AM92" s="306">
        <f t="shared" si="56"/>
        <v>9</v>
      </c>
      <c r="AN92" s="629"/>
      <c r="AO92" s="187">
        <v>13</v>
      </c>
      <c r="AP92" s="187">
        <v>2178.5714285714275</v>
      </c>
      <c r="AQ92" s="187">
        <v>167.58241758241749</v>
      </c>
      <c r="AR92" s="306">
        <f t="shared" si="57"/>
        <v>9</v>
      </c>
      <c r="AS92" s="629"/>
      <c r="AT92" s="187">
        <v>13</v>
      </c>
      <c r="AU92" s="187">
        <v>2200.9756097560971</v>
      </c>
      <c r="AV92" s="187">
        <v>169.3058161350844</v>
      </c>
      <c r="AW92" s="306">
        <f t="shared" si="58"/>
        <v>9</v>
      </c>
      <c r="AX92" s="629"/>
    </row>
    <row r="93" spans="2:50">
      <c r="B93" s="598"/>
      <c r="C93" s="306">
        <v>7</v>
      </c>
      <c r="D93" s="231" t="s">
        <v>422</v>
      </c>
      <c r="E93" s="187">
        <v>9</v>
      </c>
      <c r="F93" s="306">
        <v>2769</v>
      </c>
      <c r="G93" s="308">
        <v>307.66666666666669</v>
      </c>
      <c r="H93" s="633"/>
      <c r="I93" s="204">
        <f t="shared" si="51"/>
        <v>9</v>
      </c>
      <c r="J93" s="204">
        <f t="shared" si="51"/>
        <v>2353.3186710216273</v>
      </c>
      <c r="K93" s="205">
        <f t="shared" si="51"/>
        <v>261.47985233573633</v>
      </c>
      <c r="L93" s="572"/>
      <c r="M93" s="206">
        <f>RANK(K93, K$87:$K$101)</f>
        <v>4</v>
      </c>
      <c r="N93" s="590"/>
      <c r="O93" s="590"/>
      <c r="P93" s="187">
        <v>9</v>
      </c>
      <c r="Q93" s="187">
        <v>2383.1249999999968</v>
      </c>
      <c r="R93" s="187">
        <v>264.79166666666629</v>
      </c>
      <c r="S93" s="306">
        <f t="shared" si="52"/>
        <v>4</v>
      </c>
      <c r="T93" s="629"/>
      <c r="U93" s="187">
        <v>9</v>
      </c>
      <c r="V93" s="187">
        <v>2383.9999999999959</v>
      </c>
      <c r="W93" s="187">
        <v>264.88888888888846</v>
      </c>
      <c r="X93" s="306">
        <f t="shared" si="53"/>
        <v>4</v>
      </c>
      <c r="Y93" s="629"/>
      <c r="Z93" s="187">
        <v>9</v>
      </c>
      <c r="AA93" s="187">
        <v>2373.1034482758573</v>
      </c>
      <c r="AB93" s="187">
        <v>263.67816091953972</v>
      </c>
      <c r="AC93" s="306">
        <f t="shared" si="54"/>
        <v>4</v>
      </c>
      <c r="AD93" s="629"/>
      <c r="AE93" s="187">
        <v>9</v>
      </c>
      <c r="AF93" s="187">
        <v>2317.4999999999927</v>
      </c>
      <c r="AG93" s="187">
        <v>257.4999999999992</v>
      </c>
      <c r="AH93" s="306">
        <f t="shared" si="55"/>
        <v>4</v>
      </c>
      <c r="AI93" s="629"/>
      <c r="AJ93" s="187">
        <v>9</v>
      </c>
      <c r="AK93" s="187">
        <v>2358.2608695652098</v>
      </c>
      <c r="AL93" s="187">
        <v>262.02898550724552</v>
      </c>
      <c r="AM93" s="306">
        <f t="shared" si="56"/>
        <v>4</v>
      </c>
      <c r="AN93" s="629"/>
      <c r="AO93" s="187">
        <v>9</v>
      </c>
      <c r="AP93" s="187">
        <v>2333.7931034482713</v>
      </c>
      <c r="AQ93" s="187">
        <v>259.31034482758571</v>
      </c>
      <c r="AR93" s="306">
        <f t="shared" si="57"/>
        <v>4</v>
      </c>
      <c r="AS93" s="629"/>
      <c r="AT93" s="187">
        <v>9</v>
      </c>
      <c r="AU93" s="187">
        <v>2323.4482758620643</v>
      </c>
      <c r="AV93" s="187">
        <v>258.16091954022937</v>
      </c>
      <c r="AW93" s="306">
        <f t="shared" si="58"/>
        <v>4</v>
      </c>
      <c r="AX93" s="629"/>
    </row>
    <row r="94" spans="2:50">
      <c r="B94" s="598"/>
      <c r="C94" s="306">
        <v>8</v>
      </c>
      <c r="D94" s="231" t="s">
        <v>423</v>
      </c>
      <c r="E94" s="187">
        <v>10</v>
      </c>
      <c r="F94" s="306">
        <v>2769</v>
      </c>
      <c r="G94" s="308">
        <v>276.89999999999998</v>
      </c>
      <c r="H94" s="633"/>
      <c r="I94" s="204">
        <f t="shared" si="51"/>
        <v>10</v>
      </c>
      <c r="J94" s="204">
        <f t="shared" si="51"/>
        <v>2350.9110018987635</v>
      </c>
      <c r="K94" s="205">
        <f t="shared" si="51"/>
        <v>235.09110018987636</v>
      </c>
      <c r="L94" s="572"/>
      <c r="M94" s="206">
        <f>RANK(K94, K$87:$K$101)</f>
        <v>5</v>
      </c>
      <c r="N94" s="590"/>
      <c r="O94" s="590"/>
      <c r="P94" s="187">
        <v>10</v>
      </c>
      <c r="Q94" s="187">
        <v>2363.7362637362635</v>
      </c>
      <c r="R94" s="187">
        <v>236.37362637362634</v>
      </c>
      <c r="S94" s="306">
        <f t="shared" si="52"/>
        <v>5</v>
      </c>
      <c r="T94" s="629"/>
      <c r="U94" s="187">
        <v>10</v>
      </c>
      <c r="V94" s="187">
        <v>2381.590909090909</v>
      </c>
      <c r="W94" s="187">
        <v>238.15909090909091</v>
      </c>
      <c r="X94" s="306">
        <f t="shared" si="53"/>
        <v>5</v>
      </c>
      <c r="Y94" s="629"/>
      <c r="Z94" s="187">
        <v>10</v>
      </c>
      <c r="AA94" s="187">
        <v>2362.9629629629621</v>
      </c>
      <c r="AB94" s="187">
        <v>236.29629629629622</v>
      </c>
      <c r="AC94" s="306">
        <f t="shared" si="54"/>
        <v>5</v>
      </c>
      <c r="AD94" s="629"/>
      <c r="AE94" s="187">
        <v>10</v>
      </c>
      <c r="AF94" s="187">
        <v>2320.0000000000023</v>
      </c>
      <c r="AG94" s="187">
        <v>232.00000000000023</v>
      </c>
      <c r="AH94" s="306">
        <f t="shared" si="55"/>
        <v>5</v>
      </c>
      <c r="AI94" s="629"/>
      <c r="AJ94" s="187">
        <v>10</v>
      </c>
      <c r="AK94" s="187">
        <v>2370.5660377358504</v>
      </c>
      <c r="AL94" s="187">
        <v>237.05660377358504</v>
      </c>
      <c r="AM94" s="306">
        <f t="shared" si="56"/>
        <v>5</v>
      </c>
      <c r="AN94" s="629"/>
      <c r="AO94" s="187">
        <v>10</v>
      </c>
      <c r="AP94" s="187">
        <v>2325.5696202531631</v>
      </c>
      <c r="AQ94" s="187">
        <v>232.5569620253163</v>
      </c>
      <c r="AR94" s="306">
        <f t="shared" si="57"/>
        <v>5</v>
      </c>
      <c r="AS94" s="629"/>
      <c r="AT94" s="187">
        <v>10</v>
      </c>
      <c r="AU94" s="187">
        <v>2331.9512195121943</v>
      </c>
      <c r="AV94" s="187">
        <v>233.19512195121942</v>
      </c>
      <c r="AW94" s="306">
        <f t="shared" si="58"/>
        <v>5</v>
      </c>
      <c r="AX94" s="629"/>
    </row>
    <row r="95" spans="2:50">
      <c r="B95" s="598"/>
      <c r="C95" s="306">
        <v>9</v>
      </c>
      <c r="D95" s="231" t="s">
        <v>416</v>
      </c>
      <c r="E95" s="187">
        <v>18</v>
      </c>
      <c r="F95" s="306">
        <v>1250</v>
      </c>
      <c r="G95" s="308">
        <v>69.444444444444443</v>
      </c>
      <c r="H95" s="633"/>
      <c r="I95" s="204">
        <f t="shared" si="51"/>
        <v>18</v>
      </c>
      <c r="J95" s="204">
        <f t="shared" si="51"/>
        <v>1232.508278178213</v>
      </c>
      <c r="K95" s="205">
        <f t="shared" si="51"/>
        <v>68.472682121011829</v>
      </c>
      <c r="L95" s="572"/>
      <c r="M95" s="206">
        <f>RANK(K95, K$87:$K$101)</f>
        <v>10</v>
      </c>
      <c r="N95" s="590"/>
      <c r="O95" s="590"/>
      <c r="P95" s="187">
        <v>18</v>
      </c>
      <c r="Q95" s="187">
        <v>1246.9306930693069</v>
      </c>
      <c r="R95" s="187">
        <v>69.273927392739267</v>
      </c>
      <c r="S95" s="306">
        <f t="shared" si="52"/>
        <v>10</v>
      </c>
      <c r="T95" s="629"/>
      <c r="U95" s="187">
        <v>18</v>
      </c>
      <c r="V95" s="187">
        <v>1228.5148514851485</v>
      </c>
      <c r="W95" s="187">
        <v>68.250825082508243</v>
      </c>
      <c r="X95" s="306">
        <f t="shared" si="53"/>
        <v>10</v>
      </c>
      <c r="Y95" s="629"/>
      <c r="Z95" s="187">
        <v>18</v>
      </c>
      <c r="AA95" s="187">
        <v>1215.9183673469386</v>
      </c>
      <c r="AB95" s="187">
        <v>67.551020408163254</v>
      </c>
      <c r="AC95" s="306">
        <f t="shared" si="54"/>
        <v>10</v>
      </c>
      <c r="AD95" s="629"/>
      <c r="AE95" s="187">
        <v>18</v>
      </c>
      <c r="AF95" s="187">
        <v>1236.75</v>
      </c>
      <c r="AG95" s="187">
        <v>68.708333333333329</v>
      </c>
      <c r="AH95" s="306">
        <f t="shared" si="55"/>
        <v>10</v>
      </c>
      <c r="AI95" s="629"/>
      <c r="AJ95" s="187">
        <v>18</v>
      </c>
      <c r="AK95" s="187">
        <v>1251.4285714285716</v>
      </c>
      <c r="AL95" s="187">
        <v>69.523809523809533</v>
      </c>
      <c r="AM95" s="306">
        <f t="shared" si="56"/>
        <v>10</v>
      </c>
      <c r="AN95" s="629"/>
      <c r="AO95" s="187">
        <v>18</v>
      </c>
      <c r="AP95" s="187">
        <v>1210.5154639175255</v>
      </c>
      <c r="AQ95" s="187">
        <v>67.250859106529191</v>
      </c>
      <c r="AR95" s="306">
        <f t="shared" si="57"/>
        <v>10</v>
      </c>
      <c r="AS95" s="629"/>
      <c r="AT95" s="187">
        <v>18</v>
      </c>
      <c r="AU95" s="187">
        <v>1237.4999999999998</v>
      </c>
      <c r="AV95" s="187">
        <v>68.749999999999986</v>
      </c>
      <c r="AW95" s="306">
        <f t="shared" si="58"/>
        <v>10</v>
      </c>
      <c r="AX95" s="629"/>
    </row>
    <row r="96" spans="2:50">
      <c r="B96" s="598"/>
      <c r="C96" s="306">
        <v>10</v>
      </c>
      <c r="D96" s="231" t="s">
        <v>664</v>
      </c>
      <c r="E96" s="187">
        <v>4</v>
      </c>
      <c r="F96" s="306">
        <v>2000</v>
      </c>
      <c r="G96" s="308">
        <v>500</v>
      </c>
      <c r="H96" s="633"/>
      <c r="I96" s="204">
        <f t="shared" si="51"/>
        <v>4</v>
      </c>
      <c r="J96" s="204">
        <f t="shared" si="51"/>
        <v>1781.8203463203524</v>
      </c>
      <c r="K96" s="205">
        <f t="shared" si="51"/>
        <v>445.45508658008811</v>
      </c>
      <c r="L96" s="572"/>
      <c r="M96" s="206">
        <f>RANK(K96, K$87:$K$101)</f>
        <v>3</v>
      </c>
      <c r="N96" s="590"/>
      <c r="O96" s="590"/>
      <c r="P96" s="187">
        <v>4</v>
      </c>
      <c r="Q96" s="187">
        <v>1805.4545454545519</v>
      </c>
      <c r="R96" s="187">
        <v>451.36363636363797</v>
      </c>
      <c r="S96" s="306">
        <f t="shared" si="52"/>
        <v>3</v>
      </c>
      <c r="T96" s="629"/>
      <c r="U96" s="187">
        <v>4</v>
      </c>
      <c r="V96" s="187">
        <v>1805.4545454545519</v>
      </c>
      <c r="W96" s="187">
        <v>451.36363636363797</v>
      </c>
      <c r="X96" s="306">
        <f t="shared" si="53"/>
        <v>3</v>
      </c>
      <c r="Y96" s="629"/>
      <c r="Z96" s="187">
        <v>4</v>
      </c>
      <c r="AA96" s="187">
        <v>1908.0000000000068</v>
      </c>
      <c r="AB96" s="187">
        <v>477.00000000000171</v>
      </c>
      <c r="AC96" s="306">
        <f t="shared" si="54"/>
        <v>3</v>
      </c>
      <c r="AD96" s="629"/>
      <c r="AE96" s="187">
        <v>4</v>
      </c>
      <c r="AF96" s="187">
        <v>1713.3333333333394</v>
      </c>
      <c r="AG96" s="187">
        <v>428.33333333333485</v>
      </c>
      <c r="AH96" s="306">
        <f t="shared" si="55"/>
        <v>3</v>
      </c>
      <c r="AI96" s="629"/>
      <c r="AJ96" s="187">
        <v>4</v>
      </c>
      <c r="AK96" s="187">
        <v>1728.0000000000061</v>
      </c>
      <c r="AL96" s="187">
        <v>432.00000000000153</v>
      </c>
      <c r="AM96" s="306">
        <f t="shared" si="56"/>
        <v>3</v>
      </c>
      <c r="AN96" s="629"/>
      <c r="AO96" s="187">
        <v>4</v>
      </c>
      <c r="AP96" s="187">
        <v>1660.0000000000059</v>
      </c>
      <c r="AQ96" s="187">
        <v>415.00000000000148</v>
      </c>
      <c r="AR96" s="306">
        <f t="shared" si="57"/>
        <v>3</v>
      </c>
      <c r="AS96" s="629"/>
      <c r="AT96" s="187">
        <v>4</v>
      </c>
      <c r="AU96" s="187">
        <v>1852.5000000000066</v>
      </c>
      <c r="AV96" s="187">
        <v>463.12500000000165</v>
      </c>
      <c r="AW96" s="306">
        <f t="shared" si="58"/>
        <v>3</v>
      </c>
      <c r="AX96" s="629"/>
    </row>
    <row r="97" spans="2:50">
      <c r="B97" s="598"/>
      <c r="C97" s="306">
        <v>11</v>
      </c>
      <c r="D97" s="231"/>
      <c r="E97" s="187"/>
      <c r="F97" s="306"/>
      <c r="G97" s="308"/>
      <c r="H97" s="633"/>
      <c r="I97" s="204"/>
      <c r="J97" s="204"/>
      <c r="K97" s="205"/>
      <c r="L97" s="572"/>
      <c r="M97" s="206" t="e">
        <f>RANK(K97, K$87:$K$101)</f>
        <v>#N/A</v>
      </c>
      <c r="N97" s="590"/>
      <c r="O97" s="590"/>
      <c r="P97" s="187"/>
      <c r="Q97" s="187"/>
      <c r="R97" s="187"/>
      <c r="S97" s="306" t="e">
        <f t="shared" si="52"/>
        <v>#N/A</v>
      </c>
      <c r="T97" s="629"/>
      <c r="U97" s="187" t="s">
        <v>817</v>
      </c>
      <c r="V97" s="187" t="s">
        <v>817</v>
      </c>
      <c r="W97" s="187" t="s">
        <v>817</v>
      </c>
      <c r="X97" s="306" t="e">
        <f t="shared" si="53"/>
        <v>#VALUE!</v>
      </c>
      <c r="Y97" s="629"/>
      <c r="Z97" s="187" t="s">
        <v>817</v>
      </c>
      <c r="AA97" s="187" t="s">
        <v>817</v>
      </c>
      <c r="AB97" s="187" t="s">
        <v>817</v>
      </c>
      <c r="AC97" s="306" t="e">
        <f t="shared" si="54"/>
        <v>#VALUE!</v>
      </c>
      <c r="AD97" s="629"/>
      <c r="AE97" s="187" t="s">
        <v>817</v>
      </c>
      <c r="AF97" s="187" t="s">
        <v>817</v>
      </c>
      <c r="AG97" s="187" t="s">
        <v>817</v>
      </c>
      <c r="AH97" s="306" t="e">
        <f t="shared" si="55"/>
        <v>#VALUE!</v>
      </c>
      <c r="AI97" s="629"/>
      <c r="AJ97" s="187" t="s">
        <v>817</v>
      </c>
      <c r="AK97" s="187" t="s">
        <v>817</v>
      </c>
      <c r="AL97" s="187" t="s">
        <v>817</v>
      </c>
      <c r="AM97" s="306" t="e">
        <f t="shared" si="56"/>
        <v>#VALUE!</v>
      </c>
      <c r="AN97" s="629"/>
      <c r="AO97" s="187" t="s">
        <v>817</v>
      </c>
      <c r="AP97" s="187" t="s">
        <v>817</v>
      </c>
      <c r="AQ97" s="187" t="s">
        <v>817</v>
      </c>
      <c r="AR97" s="306" t="e">
        <f t="shared" si="57"/>
        <v>#VALUE!</v>
      </c>
      <c r="AS97" s="629"/>
      <c r="AT97" s="187" t="s">
        <v>817</v>
      </c>
      <c r="AU97" s="187" t="s">
        <v>817</v>
      </c>
      <c r="AV97" s="187" t="s">
        <v>817</v>
      </c>
      <c r="AW97" s="306" t="e">
        <f t="shared" si="58"/>
        <v>#VALUE!</v>
      </c>
      <c r="AX97" s="629"/>
    </row>
    <row r="98" spans="2:50">
      <c r="B98" s="598"/>
      <c r="C98" s="306">
        <v>12</v>
      </c>
      <c r="D98" s="231"/>
      <c r="E98" s="187"/>
      <c r="F98" s="306"/>
      <c r="G98" s="308"/>
      <c r="H98" s="633"/>
      <c r="I98" s="207"/>
      <c r="J98" s="207"/>
      <c r="K98" s="207"/>
      <c r="L98" s="572"/>
      <c r="M98" s="206" t="e">
        <f>RANK(K98, K$87:$K$101)</f>
        <v>#N/A</v>
      </c>
      <c r="N98" s="590"/>
      <c r="O98" s="590"/>
      <c r="P98" s="187"/>
      <c r="Q98" s="187"/>
      <c r="R98" s="187"/>
      <c r="S98" s="306" t="e">
        <f t="shared" si="52"/>
        <v>#N/A</v>
      </c>
      <c r="T98" s="629"/>
      <c r="U98" s="187"/>
      <c r="V98" s="187"/>
      <c r="W98" s="187"/>
      <c r="X98" s="306" t="e">
        <f t="shared" si="53"/>
        <v>#N/A</v>
      </c>
      <c r="Y98" s="629"/>
      <c r="Z98" s="187"/>
      <c r="AA98" s="187"/>
      <c r="AB98" s="187"/>
      <c r="AC98" s="306" t="e">
        <f t="shared" si="54"/>
        <v>#N/A</v>
      </c>
      <c r="AD98" s="629"/>
      <c r="AE98" s="187"/>
      <c r="AF98" s="187"/>
      <c r="AG98" s="187"/>
      <c r="AH98" s="306" t="e">
        <f t="shared" si="55"/>
        <v>#N/A</v>
      </c>
      <c r="AI98" s="629"/>
      <c r="AJ98" s="187"/>
      <c r="AK98" s="187"/>
      <c r="AL98" s="187"/>
      <c r="AM98" s="306" t="e">
        <f t="shared" si="56"/>
        <v>#N/A</v>
      </c>
      <c r="AN98" s="629"/>
      <c r="AO98" s="187"/>
      <c r="AP98" s="187"/>
      <c r="AQ98" s="187"/>
      <c r="AR98" s="306" t="e">
        <f t="shared" si="57"/>
        <v>#N/A</v>
      </c>
      <c r="AS98" s="629"/>
      <c r="AT98" s="187"/>
      <c r="AU98" s="187"/>
      <c r="AV98" s="187"/>
      <c r="AW98" s="306" t="e">
        <f t="shared" si="58"/>
        <v>#N/A</v>
      </c>
      <c r="AX98" s="629"/>
    </row>
    <row r="99" spans="2:50">
      <c r="B99" s="598"/>
      <c r="C99" s="306">
        <v>13</v>
      </c>
      <c r="D99" s="231"/>
      <c r="E99" s="187"/>
      <c r="F99" s="306"/>
      <c r="G99" s="308"/>
      <c r="H99" s="633"/>
      <c r="I99" s="207"/>
      <c r="J99" s="207"/>
      <c r="K99" s="207"/>
      <c r="L99" s="572"/>
      <c r="M99" s="206" t="e">
        <f>RANK(K99, K$87:$K$101)</f>
        <v>#N/A</v>
      </c>
      <c r="N99" s="590"/>
      <c r="O99" s="590"/>
      <c r="P99" s="187"/>
      <c r="Q99" s="187"/>
      <c r="R99" s="187"/>
      <c r="S99" s="306" t="e">
        <f t="shared" si="52"/>
        <v>#N/A</v>
      </c>
      <c r="T99" s="629"/>
      <c r="U99" s="187"/>
      <c r="V99" s="187"/>
      <c r="W99" s="187"/>
      <c r="X99" s="306" t="e">
        <f t="shared" si="53"/>
        <v>#N/A</v>
      </c>
      <c r="Y99" s="629"/>
      <c r="Z99" s="187"/>
      <c r="AA99" s="187"/>
      <c r="AB99" s="187"/>
      <c r="AC99" s="306" t="e">
        <f t="shared" si="54"/>
        <v>#N/A</v>
      </c>
      <c r="AD99" s="629"/>
      <c r="AE99" s="187"/>
      <c r="AF99" s="187"/>
      <c r="AG99" s="187"/>
      <c r="AH99" s="306" t="e">
        <f t="shared" si="55"/>
        <v>#N/A</v>
      </c>
      <c r="AI99" s="629"/>
      <c r="AJ99" s="187"/>
      <c r="AK99" s="187"/>
      <c r="AL99" s="187"/>
      <c r="AM99" s="306" t="e">
        <f t="shared" si="56"/>
        <v>#N/A</v>
      </c>
      <c r="AN99" s="629"/>
      <c r="AO99" s="187"/>
      <c r="AP99" s="187"/>
      <c r="AQ99" s="187"/>
      <c r="AR99" s="306" t="e">
        <f t="shared" si="57"/>
        <v>#N/A</v>
      </c>
      <c r="AS99" s="629"/>
      <c r="AT99" s="187"/>
      <c r="AU99" s="187"/>
      <c r="AV99" s="187"/>
      <c r="AW99" s="306" t="e">
        <f t="shared" si="58"/>
        <v>#N/A</v>
      </c>
      <c r="AX99" s="629"/>
    </row>
    <row r="100" spans="2:50">
      <c r="B100" s="598"/>
      <c r="C100" s="306">
        <v>14</v>
      </c>
      <c r="D100" s="231"/>
      <c r="E100" s="187"/>
      <c r="F100" s="306"/>
      <c r="G100" s="308"/>
      <c r="H100" s="633"/>
      <c r="I100" s="207"/>
      <c r="J100" s="207"/>
      <c r="K100" s="207"/>
      <c r="L100" s="572"/>
      <c r="M100" s="206" t="e">
        <f>RANK(K100, K$87:$K$101)</f>
        <v>#N/A</v>
      </c>
      <c r="N100" s="590"/>
      <c r="O100" s="590"/>
      <c r="P100" s="187"/>
      <c r="Q100" s="187"/>
      <c r="R100" s="187"/>
      <c r="S100" s="306" t="e">
        <f t="shared" si="52"/>
        <v>#N/A</v>
      </c>
      <c r="T100" s="629"/>
      <c r="U100" s="187"/>
      <c r="V100" s="187"/>
      <c r="W100" s="187"/>
      <c r="X100" s="306" t="e">
        <f t="shared" si="53"/>
        <v>#N/A</v>
      </c>
      <c r="Y100" s="629"/>
      <c r="Z100" s="187"/>
      <c r="AA100" s="187"/>
      <c r="AB100" s="187"/>
      <c r="AC100" s="306" t="e">
        <f t="shared" si="54"/>
        <v>#N/A</v>
      </c>
      <c r="AD100" s="629"/>
      <c r="AE100" s="187"/>
      <c r="AF100" s="187"/>
      <c r="AG100" s="187"/>
      <c r="AH100" s="306" t="e">
        <f t="shared" si="55"/>
        <v>#N/A</v>
      </c>
      <c r="AI100" s="629"/>
      <c r="AJ100" s="187"/>
      <c r="AK100" s="187"/>
      <c r="AL100" s="187"/>
      <c r="AM100" s="306" t="e">
        <f t="shared" si="56"/>
        <v>#N/A</v>
      </c>
      <c r="AN100" s="629"/>
      <c r="AO100" s="187"/>
      <c r="AP100" s="187"/>
      <c r="AQ100" s="187"/>
      <c r="AR100" s="306" t="e">
        <f t="shared" si="57"/>
        <v>#N/A</v>
      </c>
      <c r="AS100" s="629"/>
      <c r="AT100" s="187"/>
      <c r="AU100" s="187"/>
      <c r="AV100" s="187"/>
      <c r="AW100" s="306" t="e">
        <f t="shared" si="58"/>
        <v>#N/A</v>
      </c>
      <c r="AX100" s="629"/>
    </row>
    <row r="101" spans="2:50">
      <c r="B101" s="598"/>
      <c r="C101" s="306">
        <v>15</v>
      </c>
      <c r="D101" s="231"/>
      <c r="E101" s="187"/>
      <c r="F101" s="306"/>
      <c r="G101" s="308"/>
      <c r="H101" s="634"/>
      <c r="I101" s="207"/>
      <c r="J101" s="207"/>
      <c r="K101" s="207"/>
      <c r="L101" s="573"/>
      <c r="M101" s="204" t="e">
        <f>RANK(K101, K$87:$K$101)</f>
        <v>#N/A</v>
      </c>
      <c r="N101" s="590"/>
      <c r="O101" s="590"/>
      <c r="P101" s="187"/>
      <c r="Q101" s="187"/>
      <c r="R101" s="187"/>
      <c r="S101" s="306" t="e">
        <f t="shared" si="52"/>
        <v>#N/A</v>
      </c>
      <c r="T101" s="629"/>
      <c r="U101" s="187"/>
      <c r="V101" s="187"/>
      <c r="W101" s="187"/>
      <c r="X101" s="306" t="e">
        <f t="shared" si="53"/>
        <v>#N/A</v>
      </c>
      <c r="Y101" s="629"/>
      <c r="Z101" s="187"/>
      <c r="AA101" s="187"/>
      <c r="AB101" s="187"/>
      <c r="AC101" s="306" t="e">
        <f t="shared" si="54"/>
        <v>#N/A</v>
      </c>
      <c r="AD101" s="629"/>
      <c r="AE101" s="187"/>
      <c r="AF101" s="187"/>
      <c r="AG101" s="187"/>
      <c r="AH101" s="306" t="e">
        <f t="shared" si="55"/>
        <v>#N/A</v>
      </c>
      <c r="AI101" s="629"/>
      <c r="AJ101" s="187"/>
      <c r="AK101" s="187"/>
      <c r="AL101" s="187"/>
      <c r="AM101" s="306" t="e">
        <f t="shared" si="56"/>
        <v>#N/A</v>
      </c>
      <c r="AN101" s="629"/>
      <c r="AO101" s="187"/>
      <c r="AP101" s="187"/>
      <c r="AQ101" s="187"/>
      <c r="AR101" s="306" t="e">
        <f t="shared" si="57"/>
        <v>#N/A</v>
      </c>
      <c r="AS101" s="629"/>
      <c r="AT101" s="187"/>
      <c r="AU101" s="187"/>
      <c r="AV101" s="187"/>
      <c r="AW101" s="306" t="e">
        <f t="shared" si="58"/>
        <v>#N/A</v>
      </c>
      <c r="AX101" s="629"/>
    </row>
    <row r="102" spans="2:50" ht="15.75">
      <c r="B102" s="602" t="s">
        <v>163</v>
      </c>
      <c r="C102" s="603"/>
      <c r="D102" s="603"/>
      <c r="E102" s="603"/>
      <c r="F102" s="603"/>
      <c r="G102" s="603"/>
      <c r="H102" s="604"/>
      <c r="I102" s="213"/>
      <c r="J102" s="213"/>
      <c r="K102" s="213"/>
      <c r="L102" s="213"/>
      <c r="M102" s="212"/>
      <c r="N102" s="591" t="s">
        <v>156</v>
      </c>
      <c r="O102" s="591" t="s">
        <v>105</v>
      </c>
      <c r="P102" s="597">
        <f>P82+7</f>
        <v>45965</v>
      </c>
      <c r="Q102" s="598"/>
      <c r="R102" s="598"/>
      <c r="S102" s="598"/>
      <c r="T102" s="598"/>
      <c r="U102" s="594">
        <f>P102+1</f>
        <v>45966</v>
      </c>
      <c r="V102" s="595"/>
      <c r="W102" s="595"/>
      <c r="X102" s="595"/>
      <c r="Y102" s="596"/>
      <c r="Z102" s="594">
        <f>U102+1</f>
        <v>45967</v>
      </c>
      <c r="AA102" s="595"/>
      <c r="AB102" s="595"/>
      <c r="AC102" s="595"/>
      <c r="AD102" s="596"/>
      <c r="AE102" s="594">
        <f>Z102+1</f>
        <v>45968</v>
      </c>
      <c r="AF102" s="595"/>
      <c r="AG102" s="595"/>
      <c r="AH102" s="595"/>
      <c r="AI102" s="596"/>
      <c r="AJ102" s="594">
        <f>AE102+1</f>
        <v>45969</v>
      </c>
      <c r="AK102" s="595"/>
      <c r="AL102" s="595"/>
      <c r="AM102" s="595"/>
      <c r="AN102" s="596"/>
      <c r="AO102" s="594">
        <f>AJ102+1</f>
        <v>45970</v>
      </c>
      <c r="AP102" s="595"/>
      <c r="AQ102" s="595"/>
      <c r="AR102" s="595"/>
      <c r="AS102" s="596"/>
      <c r="AT102" s="594">
        <f>AO102+1</f>
        <v>45971</v>
      </c>
      <c r="AU102" s="595"/>
      <c r="AV102" s="595"/>
      <c r="AW102" s="595"/>
      <c r="AX102" s="596"/>
    </row>
    <row r="103" spans="2:50" ht="15.75">
      <c r="B103" s="605"/>
      <c r="C103" s="605"/>
      <c r="D103" s="605"/>
      <c r="E103" s="605"/>
      <c r="F103" s="605"/>
      <c r="G103" s="605"/>
      <c r="H103" s="605"/>
      <c r="I103" s="210"/>
      <c r="J103" s="210"/>
      <c r="K103" s="210"/>
      <c r="L103" s="210"/>
      <c r="M103" s="211"/>
      <c r="N103" s="593"/>
      <c r="O103" s="593"/>
      <c r="P103" s="597" t="s">
        <v>158</v>
      </c>
      <c r="Q103" s="598"/>
      <c r="R103" s="598"/>
      <c r="S103" s="598"/>
      <c r="T103" s="598"/>
      <c r="U103" s="597" t="s">
        <v>114</v>
      </c>
      <c r="V103" s="598"/>
      <c r="W103" s="598"/>
      <c r="X103" s="598"/>
      <c r="Y103" s="598"/>
      <c r="Z103" s="597" t="s">
        <v>159</v>
      </c>
      <c r="AA103" s="598"/>
      <c r="AB103" s="598"/>
      <c r="AC103" s="598"/>
      <c r="AD103" s="598"/>
      <c r="AE103" s="597" t="s">
        <v>157</v>
      </c>
      <c r="AF103" s="598"/>
      <c r="AG103" s="598"/>
      <c r="AH103" s="598"/>
      <c r="AI103" s="598"/>
      <c r="AJ103" s="597" t="s">
        <v>160</v>
      </c>
      <c r="AK103" s="598"/>
      <c r="AL103" s="598"/>
      <c r="AM103" s="598"/>
      <c r="AN103" s="598"/>
      <c r="AO103" s="597" t="s">
        <v>115</v>
      </c>
      <c r="AP103" s="598"/>
      <c r="AQ103" s="598"/>
      <c r="AR103" s="598"/>
      <c r="AS103" s="598"/>
      <c r="AT103" s="597" t="s">
        <v>162</v>
      </c>
      <c r="AU103" s="598"/>
      <c r="AV103" s="598"/>
      <c r="AW103" s="598"/>
      <c r="AX103" s="598"/>
    </row>
    <row r="104" spans="2:50">
      <c r="B104" s="590" t="s">
        <v>154</v>
      </c>
      <c r="C104" s="590" t="s">
        <v>454</v>
      </c>
      <c r="D104" s="590"/>
      <c r="E104" s="590" t="s">
        <v>445</v>
      </c>
      <c r="F104" s="590"/>
      <c r="G104" s="590"/>
      <c r="H104" s="606" t="s">
        <v>441</v>
      </c>
      <c r="I104" s="574" t="s">
        <v>446</v>
      </c>
      <c r="J104" s="574"/>
      <c r="K104" s="574"/>
      <c r="L104" s="575" t="s">
        <v>441</v>
      </c>
      <c r="M104" s="581" t="s">
        <v>442</v>
      </c>
      <c r="N104" s="590"/>
      <c r="O104" s="590" t="s">
        <v>447</v>
      </c>
      <c r="P104" s="587" t="s">
        <v>443</v>
      </c>
      <c r="Q104" s="588"/>
      <c r="R104" s="588"/>
      <c r="S104" s="589"/>
      <c r="T104" s="590" t="s">
        <v>441</v>
      </c>
      <c r="U104" s="587" t="s">
        <v>443</v>
      </c>
      <c r="V104" s="588"/>
      <c r="W104" s="588"/>
      <c r="X104" s="589"/>
      <c r="Y104" s="590" t="s">
        <v>441</v>
      </c>
      <c r="Z104" s="587" t="s">
        <v>443</v>
      </c>
      <c r="AA104" s="588"/>
      <c r="AB104" s="588"/>
      <c r="AC104" s="589"/>
      <c r="AD104" s="590" t="s">
        <v>441</v>
      </c>
      <c r="AE104" s="587" t="s">
        <v>443</v>
      </c>
      <c r="AF104" s="588"/>
      <c r="AG104" s="588"/>
      <c r="AH104" s="589"/>
      <c r="AI104" s="590" t="s">
        <v>441</v>
      </c>
      <c r="AJ104" s="587" t="s">
        <v>443</v>
      </c>
      <c r="AK104" s="588"/>
      <c r="AL104" s="588"/>
      <c r="AM104" s="589"/>
      <c r="AN104" s="590" t="s">
        <v>441</v>
      </c>
      <c r="AO104" s="587" t="s">
        <v>443</v>
      </c>
      <c r="AP104" s="588"/>
      <c r="AQ104" s="588"/>
      <c r="AR104" s="589"/>
      <c r="AS104" s="590" t="s">
        <v>441</v>
      </c>
      <c r="AT104" s="587" t="s">
        <v>443</v>
      </c>
      <c r="AU104" s="588"/>
      <c r="AV104" s="588"/>
      <c r="AW104" s="589"/>
      <c r="AX104" s="590" t="s">
        <v>441</v>
      </c>
    </row>
    <row r="105" spans="2:50">
      <c r="B105" s="590"/>
      <c r="C105" s="590"/>
      <c r="D105" s="590"/>
      <c r="E105" s="590" t="s">
        <v>448</v>
      </c>
      <c r="F105" s="590"/>
      <c r="G105" s="590"/>
      <c r="H105" s="607"/>
      <c r="I105" s="574" t="s">
        <v>448</v>
      </c>
      <c r="J105" s="574"/>
      <c r="K105" s="574"/>
      <c r="L105" s="576"/>
      <c r="M105" s="582"/>
      <c r="N105" s="590"/>
      <c r="O105" s="590"/>
      <c r="P105" s="587" t="s">
        <v>449</v>
      </c>
      <c r="Q105" s="588"/>
      <c r="R105" s="588"/>
      <c r="S105" s="589"/>
      <c r="T105" s="590"/>
      <c r="U105" s="587" t="s">
        <v>449</v>
      </c>
      <c r="V105" s="588"/>
      <c r="W105" s="588"/>
      <c r="X105" s="589"/>
      <c r="Y105" s="590"/>
      <c r="Z105" s="587" t="s">
        <v>449</v>
      </c>
      <c r="AA105" s="588"/>
      <c r="AB105" s="588"/>
      <c r="AC105" s="589"/>
      <c r="AD105" s="590"/>
      <c r="AE105" s="587" t="s">
        <v>449</v>
      </c>
      <c r="AF105" s="588"/>
      <c r="AG105" s="588"/>
      <c r="AH105" s="589"/>
      <c r="AI105" s="590"/>
      <c r="AJ105" s="587" t="s">
        <v>449</v>
      </c>
      <c r="AK105" s="588"/>
      <c r="AL105" s="588"/>
      <c r="AM105" s="589"/>
      <c r="AN105" s="590"/>
      <c r="AO105" s="587" t="s">
        <v>449</v>
      </c>
      <c r="AP105" s="588"/>
      <c r="AQ105" s="588"/>
      <c r="AR105" s="589"/>
      <c r="AS105" s="590"/>
      <c r="AT105" s="587" t="s">
        <v>449</v>
      </c>
      <c r="AU105" s="588"/>
      <c r="AV105" s="588"/>
      <c r="AW105" s="589"/>
      <c r="AX105" s="590"/>
    </row>
    <row r="106" spans="2:50">
      <c r="B106" s="590"/>
      <c r="C106" s="590"/>
      <c r="D106" s="590"/>
      <c r="E106" s="358" t="s">
        <v>450</v>
      </c>
      <c r="F106" s="358" t="s">
        <v>451</v>
      </c>
      <c r="G106" s="358" t="s">
        <v>452</v>
      </c>
      <c r="H106" s="608"/>
      <c r="I106" s="359" t="s">
        <v>450</v>
      </c>
      <c r="J106" s="359" t="s">
        <v>451</v>
      </c>
      <c r="K106" s="359" t="s">
        <v>452</v>
      </c>
      <c r="L106" s="577"/>
      <c r="M106" s="583"/>
      <c r="N106" s="590"/>
      <c r="O106" s="590"/>
      <c r="P106" s="358" t="s">
        <v>450</v>
      </c>
      <c r="Q106" s="358" t="s">
        <v>451</v>
      </c>
      <c r="R106" s="358" t="s">
        <v>452</v>
      </c>
      <c r="S106" s="358" t="s">
        <v>442</v>
      </c>
      <c r="T106" s="590"/>
      <c r="U106" s="358" t="s">
        <v>450</v>
      </c>
      <c r="V106" s="358" t="s">
        <v>451</v>
      </c>
      <c r="W106" s="358" t="s">
        <v>452</v>
      </c>
      <c r="X106" s="358" t="s">
        <v>442</v>
      </c>
      <c r="Y106" s="590"/>
      <c r="Z106" s="358" t="s">
        <v>450</v>
      </c>
      <c r="AA106" s="358" t="s">
        <v>451</v>
      </c>
      <c r="AB106" s="358" t="s">
        <v>452</v>
      </c>
      <c r="AC106" s="358" t="s">
        <v>442</v>
      </c>
      <c r="AD106" s="590"/>
      <c r="AE106" s="358" t="s">
        <v>450</v>
      </c>
      <c r="AF106" s="358" t="s">
        <v>451</v>
      </c>
      <c r="AG106" s="358" t="s">
        <v>452</v>
      </c>
      <c r="AH106" s="358" t="s">
        <v>442</v>
      </c>
      <c r="AI106" s="590"/>
      <c r="AJ106" s="358" t="s">
        <v>450</v>
      </c>
      <c r="AK106" s="358" t="s">
        <v>451</v>
      </c>
      <c r="AL106" s="358" t="s">
        <v>452</v>
      </c>
      <c r="AM106" s="358" t="s">
        <v>442</v>
      </c>
      <c r="AN106" s="590"/>
      <c r="AO106" s="358" t="s">
        <v>450</v>
      </c>
      <c r="AP106" s="358" t="s">
        <v>451</v>
      </c>
      <c r="AQ106" s="358" t="s">
        <v>452</v>
      </c>
      <c r="AR106" s="358" t="s">
        <v>442</v>
      </c>
      <c r="AS106" s="590"/>
      <c r="AT106" s="358" t="s">
        <v>450</v>
      </c>
      <c r="AU106" s="358" t="s">
        <v>451</v>
      </c>
      <c r="AV106" s="358" t="s">
        <v>452</v>
      </c>
      <c r="AW106" s="358" t="s">
        <v>442</v>
      </c>
      <c r="AX106" s="590"/>
    </row>
    <row r="107" spans="2:50">
      <c r="B107" s="631" t="s">
        <v>453</v>
      </c>
      <c r="C107" s="357">
        <v>1</v>
      </c>
      <c r="D107" s="231"/>
      <c r="E107" s="187"/>
      <c r="F107" s="357"/>
      <c r="G107" s="360"/>
      <c r="H107" s="632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71" t="str">
        <f>IFERROR(AVERAGE(K107:K121),"-")</f>
        <v>-</v>
      </c>
      <c r="M107" s="206" t="e">
        <f>RANK(K107, K$87:$K$101)</f>
        <v>#DIV/0!</v>
      </c>
      <c r="N107" s="590"/>
      <c r="O107" s="590"/>
      <c r="P107" s="187"/>
      <c r="Q107" s="187"/>
      <c r="R107" s="187"/>
      <c r="S107" s="357" t="e">
        <f>RANK(R107, R$107:R$121)</f>
        <v>#N/A</v>
      </c>
      <c r="T107" s="629" t="e">
        <f>AVERAGE(R107:R121)</f>
        <v>#DIV/0!</v>
      </c>
      <c r="U107" s="187"/>
      <c r="V107" s="187"/>
      <c r="W107" s="187"/>
      <c r="X107" s="370" t="e">
        <f>RANK(W107, W$107:W$121)</f>
        <v>#N/A</v>
      </c>
      <c r="Y107" s="629" t="e">
        <f>AVERAGE(W107:W121)</f>
        <v>#DIV/0!</v>
      </c>
      <c r="Z107" s="187"/>
      <c r="AA107" s="187"/>
      <c r="AB107" s="187"/>
      <c r="AC107" s="370" t="e">
        <f>RANK(AB107, AB$107:AB$121)</f>
        <v>#N/A</v>
      </c>
      <c r="AD107" s="629" t="e">
        <f>AVERAGE(AB107:AB121)</f>
        <v>#DIV/0!</v>
      </c>
      <c r="AE107" s="187"/>
      <c r="AF107" s="187"/>
      <c r="AG107" s="187"/>
      <c r="AH107" s="370" t="e">
        <f>RANK(AG107, AG$107:AG$121)</f>
        <v>#N/A</v>
      </c>
      <c r="AI107" s="629" t="e">
        <f>AVERAGE(AG107:AG121)</f>
        <v>#DIV/0!</v>
      </c>
      <c r="AJ107" s="187"/>
      <c r="AK107" s="187"/>
      <c r="AL107" s="187"/>
      <c r="AM107" s="370" t="e">
        <f>RANK(AL107, AL$107:AL$121)</f>
        <v>#N/A</v>
      </c>
      <c r="AN107" s="629" t="e">
        <f>AVERAGE(AL107:AL121)</f>
        <v>#DIV/0!</v>
      </c>
      <c r="AO107" s="187"/>
      <c r="AP107" s="187"/>
      <c r="AQ107" s="187"/>
      <c r="AR107" s="370" t="e">
        <f>RANK(AQ107, AQ$107:AQ$121)</f>
        <v>#N/A</v>
      </c>
      <c r="AS107" s="629" t="e">
        <f>AVERAGE(AQ107:AQ121)</f>
        <v>#DIV/0!</v>
      </c>
      <c r="AT107" s="187"/>
      <c r="AU107" s="187"/>
      <c r="AV107" s="187"/>
      <c r="AW107" s="370" t="e">
        <f>RANK(AV107, AV$107:AV$121)</f>
        <v>#N/A</v>
      </c>
      <c r="AX107" s="629" t="e">
        <f>AVERAGE(AV107:AV121)</f>
        <v>#DIV/0!</v>
      </c>
    </row>
    <row r="108" spans="2:50">
      <c r="B108" s="598"/>
      <c r="C108" s="357">
        <v>2</v>
      </c>
      <c r="D108" s="231"/>
      <c r="E108" s="187"/>
      <c r="F108" s="357"/>
      <c r="G108" s="360"/>
      <c r="H108" s="633"/>
      <c r="I108" s="204" t="e">
        <f t="shared" ref="I108:I117" si="59">AVERAGE(P108,U108,Z108,AE108,AJ108,AO108,AT108)</f>
        <v>#DIV/0!</v>
      </c>
      <c r="J108" s="204" t="e">
        <f t="shared" ref="J108:J117" si="60">AVERAGE(Q108,V108,AA108,AF108,AK108,AP108,AU108)</f>
        <v>#DIV/0!</v>
      </c>
      <c r="K108" s="205" t="e">
        <f t="shared" ref="K108:K117" si="61">AVERAGE(R108,W108,AB108,AG108,AL108,AQ108,AV108)</f>
        <v>#DIV/0!</v>
      </c>
      <c r="L108" s="572"/>
      <c r="M108" s="206" t="e">
        <f>RANK(K108, K$87:$K$101)</f>
        <v>#DIV/0!</v>
      </c>
      <c r="N108" s="590"/>
      <c r="O108" s="590"/>
      <c r="P108" s="187"/>
      <c r="Q108" s="187"/>
      <c r="R108" s="187"/>
      <c r="S108" s="370" t="e">
        <f t="shared" ref="S108:S121" si="62">RANK(R108, R$107:R$121)</f>
        <v>#N/A</v>
      </c>
      <c r="T108" s="629"/>
      <c r="U108" s="187"/>
      <c r="V108" s="187"/>
      <c r="W108" s="187"/>
      <c r="X108" s="370" t="e">
        <f t="shared" ref="X108:X121" si="63">RANK(W108, W$107:W$121)</f>
        <v>#N/A</v>
      </c>
      <c r="Y108" s="629"/>
      <c r="Z108" s="187"/>
      <c r="AA108" s="187"/>
      <c r="AB108" s="187"/>
      <c r="AC108" s="370" t="e">
        <f t="shared" ref="AC108:AC121" si="64">RANK(AB108, AB$107:AB$121)</f>
        <v>#N/A</v>
      </c>
      <c r="AD108" s="629"/>
      <c r="AE108" s="187"/>
      <c r="AF108" s="187"/>
      <c r="AG108" s="187"/>
      <c r="AH108" s="370" t="e">
        <f t="shared" ref="AH108:AH121" si="65">RANK(AG108, AG$107:AG$121)</f>
        <v>#N/A</v>
      </c>
      <c r="AI108" s="629"/>
      <c r="AJ108" s="187"/>
      <c r="AK108" s="187"/>
      <c r="AL108" s="187"/>
      <c r="AM108" s="370" t="e">
        <f t="shared" ref="AM108:AM121" si="66">RANK(AL108, AL$107:AL$121)</f>
        <v>#N/A</v>
      </c>
      <c r="AN108" s="629"/>
      <c r="AO108" s="187"/>
      <c r="AP108" s="187"/>
      <c r="AQ108" s="187"/>
      <c r="AR108" s="370" t="e">
        <f t="shared" ref="AR108:AR121" si="67">RANK(AQ108, AQ$107:AQ$121)</f>
        <v>#N/A</v>
      </c>
      <c r="AS108" s="629"/>
      <c r="AT108" s="187"/>
      <c r="AU108" s="187"/>
      <c r="AV108" s="187"/>
      <c r="AW108" s="370" t="e">
        <f t="shared" ref="AW108:AW121" si="68">RANK(AV108, AV$107:AV$121)</f>
        <v>#N/A</v>
      </c>
      <c r="AX108" s="629"/>
    </row>
    <row r="109" spans="2:50">
      <c r="B109" s="598"/>
      <c r="C109" s="357">
        <v>3</v>
      </c>
      <c r="D109" s="231"/>
      <c r="E109" s="187"/>
      <c r="F109" s="357"/>
      <c r="G109" s="360"/>
      <c r="H109" s="633"/>
      <c r="I109" s="204" t="e">
        <f t="shared" si="59"/>
        <v>#DIV/0!</v>
      </c>
      <c r="J109" s="204" t="e">
        <f t="shared" si="60"/>
        <v>#DIV/0!</v>
      </c>
      <c r="K109" s="205" t="e">
        <f t="shared" si="61"/>
        <v>#DIV/0!</v>
      </c>
      <c r="L109" s="572"/>
      <c r="M109" s="206" t="e">
        <f>RANK(K109, K$87:$K$101)</f>
        <v>#DIV/0!</v>
      </c>
      <c r="N109" s="590"/>
      <c r="O109" s="590"/>
      <c r="P109" s="187"/>
      <c r="Q109" s="187"/>
      <c r="R109" s="187"/>
      <c r="S109" s="370" t="e">
        <f t="shared" si="62"/>
        <v>#N/A</v>
      </c>
      <c r="T109" s="629"/>
      <c r="U109" s="187"/>
      <c r="V109" s="187"/>
      <c r="W109" s="187"/>
      <c r="X109" s="370" t="e">
        <f t="shared" si="63"/>
        <v>#N/A</v>
      </c>
      <c r="Y109" s="629"/>
      <c r="Z109" s="187"/>
      <c r="AA109" s="187"/>
      <c r="AB109" s="187"/>
      <c r="AC109" s="370" t="e">
        <f t="shared" si="64"/>
        <v>#N/A</v>
      </c>
      <c r="AD109" s="629"/>
      <c r="AE109" s="187"/>
      <c r="AF109" s="187"/>
      <c r="AG109" s="187"/>
      <c r="AH109" s="370" t="e">
        <f t="shared" si="65"/>
        <v>#N/A</v>
      </c>
      <c r="AI109" s="629"/>
      <c r="AJ109" s="187"/>
      <c r="AK109" s="187"/>
      <c r="AL109" s="187"/>
      <c r="AM109" s="370" t="e">
        <f t="shared" si="66"/>
        <v>#N/A</v>
      </c>
      <c r="AN109" s="629"/>
      <c r="AO109" s="187"/>
      <c r="AP109" s="187"/>
      <c r="AQ109" s="187"/>
      <c r="AR109" s="370" t="e">
        <f t="shared" si="67"/>
        <v>#N/A</v>
      </c>
      <c r="AS109" s="629"/>
      <c r="AT109" s="187"/>
      <c r="AU109" s="187"/>
      <c r="AV109" s="187"/>
      <c r="AW109" s="370" t="e">
        <f t="shared" si="68"/>
        <v>#N/A</v>
      </c>
      <c r="AX109" s="629"/>
    </row>
    <row r="110" spans="2:50">
      <c r="B110" s="598"/>
      <c r="C110" s="357">
        <v>4</v>
      </c>
      <c r="D110" s="231"/>
      <c r="E110" s="187"/>
      <c r="F110" s="357"/>
      <c r="G110" s="360"/>
      <c r="H110" s="633"/>
      <c r="I110" s="204" t="e">
        <f t="shared" si="59"/>
        <v>#DIV/0!</v>
      </c>
      <c r="J110" s="204" t="e">
        <f t="shared" si="60"/>
        <v>#DIV/0!</v>
      </c>
      <c r="K110" s="205" t="e">
        <f t="shared" si="61"/>
        <v>#DIV/0!</v>
      </c>
      <c r="L110" s="572"/>
      <c r="M110" s="206" t="e">
        <f>RANK(K110, K$87:$K$101)</f>
        <v>#DIV/0!</v>
      </c>
      <c r="N110" s="590"/>
      <c r="O110" s="590"/>
      <c r="P110" s="187"/>
      <c r="Q110" s="187"/>
      <c r="R110" s="187"/>
      <c r="S110" s="370" t="e">
        <f t="shared" si="62"/>
        <v>#N/A</v>
      </c>
      <c r="T110" s="629"/>
      <c r="U110" s="187"/>
      <c r="V110" s="187"/>
      <c r="W110" s="187"/>
      <c r="X110" s="370" t="e">
        <f t="shared" si="63"/>
        <v>#N/A</v>
      </c>
      <c r="Y110" s="629"/>
      <c r="Z110" s="187"/>
      <c r="AA110" s="187"/>
      <c r="AB110" s="187"/>
      <c r="AC110" s="370" t="e">
        <f t="shared" si="64"/>
        <v>#N/A</v>
      </c>
      <c r="AD110" s="629"/>
      <c r="AE110" s="187"/>
      <c r="AF110" s="187"/>
      <c r="AG110" s="187"/>
      <c r="AH110" s="370" t="e">
        <f t="shared" si="65"/>
        <v>#N/A</v>
      </c>
      <c r="AI110" s="629"/>
      <c r="AJ110" s="187"/>
      <c r="AK110" s="187"/>
      <c r="AL110" s="187"/>
      <c r="AM110" s="370" t="e">
        <f t="shared" si="66"/>
        <v>#N/A</v>
      </c>
      <c r="AN110" s="629"/>
      <c r="AO110" s="187"/>
      <c r="AP110" s="187"/>
      <c r="AQ110" s="187"/>
      <c r="AR110" s="370" t="e">
        <f t="shared" si="67"/>
        <v>#N/A</v>
      </c>
      <c r="AS110" s="629"/>
      <c r="AT110" s="187"/>
      <c r="AU110" s="187"/>
      <c r="AV110" s="187"/>
      <c r="AW110" s="370" t="e">
        <f t="shared" si="68"/>
        <v>#N/A</v>
      </c>
      <c r="AX110" s="629"/>
    </row>
    <row r="111" spans="2:50">
      <c r="B111" s="598"/>
      <c r="C111" s="357">
        <v>5</v>
      </c>
      <c r="D111" s="231"/>
      <c r="E111" s="187"/>
      <c r="F111" s="357"/>
      <c r="G111" s="360"/>
      <c r="H111" s="633"/>
      <c r="I111" s="204" t="e">
        <f t="shared" si="59"/>
        <v>#DIV/0!</v>
      </c>
      <c r="J111" s="204" t="e">
        <f t="shared" si="60"/>
        <v>#DIV/0!</v>
      </c>
      <c r="K111" s="205" t="e">
        <f t="shared" si="61"/>
        <v>#DIV/0!</v>
      </c>
      <c r="L111" s="572"/>
      <c r="M111" s="206" t="e">
        <f>RANK(K111, K$87:$K$101)</f>
        <v>#DIV/0!</v>
      </c>
      <c r="N111" s="590"/>
      <c r="O111" s="590"/>
      <c r="P111" s="187"/>
      <c r="Q111" s="187"/>
      <c r="R111" s="187"/>
      <c r="S111" s="370" t="e">
        <f t="shared" si="62"/>
        <v>#N/A</v>
      </c>
      <c r="T111" s="629"/>
      <c r="U111" s="187"/>
      <c r="V111" s="187"/>
      <c r="W111" s="187"/>
      <c r="X111" s="370" t="e">
        <f t="shared" si="63"/>
        <v>#N/A</v>
      </c>
      <c r="Y111" s="629"/>
      <c r="Z111" s="187"/>
      <c r="AA111" s="187"/>
      <c r="AB111" s="187"/>
      <c r="AC111" s="370" t="e">
        <f t="shared" si="64"/>
        <v>#N/A</v>
      </c>
      <c r="AD111" s="629"/>
      <c r="AE111" s="187"/>
      <c r="AF111" s="187"/>
      <c r="AG111" s="187"/>
      <c r="AH111" s="370" t="e">
        <f t="shared" si="65"/>
        <v>#N/A</v>
      </c>
      <c r="AI111" s="629"/>
      <c r="AJ111" s="187"/>
      <c r="AK111" s="187"/>
      <c r="AL111" s="187"/>
      <c r="AM111" s="370" t="e">
        <f t="shared" si="66"/>
        <v>#N/A</v>
      </c>
      <c r="AN111" s="629"/>
      <c r="AO111" s="187"/>
      <c r="AP111" s="187"/>
      <c r="AQ111" s="187"/>
      <c r="AR111" s="370" t="e">
        <f t="shared" si="67"/>
        <v>#N/A</v>
      </c>
      <c r="AS111" s="629"/>
      <c r="AT111" s="187"/>
      <c r="AU111" s="187"/>
      <c r="AV111" s="187"/>
      <c r="AW111" s="370" t="e">
        <f t="shared" si="68"/>
        <v>#N/A</v>
      </c>
      <c r="AX111" s="629"/>
    </row>
    <row r="112" spans="2:50">
      <c r="B112" s="598"/>
      <c r="C112" s="357">
        <v>6</v>
      </c>
      <c r="D112" s="231"/>
      <c r="E112" s="187"/>
      <c r="F112" s="357"/>
      <c r="G112" s="360"/>
      <c r="H112" s="633"/>
      <c r="I112" s="204" t="e">
        <f t="shared" si="59"/>
        <v>#DIV/0!</v>
      </c>
      <c r="J112" s="204" t="e">
        <f t="shared" si="60"/>
        <v>#DIV/0!</v>
      </c>
      <c r="K112" s="205" t="e">
        <f t="shared" si="61"/>
        <v>#DIV/0!</v>
      </c>
      <c r="L112" s="572"/>
      <c r="M112" s="206" t="e">
        <f>RANK(K112, K$87:$K$101)</f>
        <v>#DIV/0!</v>
      </c>
      <c r="N112" s="590"/>
      <c r="O112" s="590"/>
      <c r="P112" s="187"/>
      <c r="Q112" s="187"/>
      <c r="R112" s="187"/>
      <c r="S112" s="370" t="e">
        <f t="shared" si="62"/>
        <v>#N/A</v>
      </c>
      <c r="T112" s="629"/>
      <c r="U112" s="187"/>
      <c r="V112" s="187"/>
      <c r="W112" s="187"/>
      <c r="X112" s="370" t="e">
        <f t="shared" si="63"/>
        <v>#N/A</v>
      </c>
      <c r="Y112" s="629"/>
      <c r="Z112" s="187"/>
      <c r="AA112" s="187"/>
      <c r="AB112" s="187"/>
      <c r="AC112" s="370" t="e">
        <f t="shared" si="64"/>
        <v>#N/A</v>
      </c>
      <c r="AD112" s="629"/>
      <c r="AE112" s="187"/>
      <c r="AF112" s="187"/>
      <c r="AG112" s="187"/>
      <c r="AH112" s="370" t="e">
        <f t="shared" si="65"/>
        <v>#N/A</v>
      </c>
      <c r="AI112" s="629"/>
      <c r="AJ112" s="187"/>
      <c r="AK112" s="187"/>
      <c r="AL112" s="187"/>
      <c r="AM112" s="370" t="e">
        <f t="shared" si="66"/>
        <v>#N/A</v>
      </c>
      <c r="AN112" s="629"/>
      <c r="AO112" s="187"/>
      <c r="AP112" s="187"/>
      <c r="AQ112" s="187"/>
      <c r="AR112" s="370" t="e">
        <f t="shared" si="67"/>
        <v>#N/A</v>
      </c>
      <c r="AS112" s="629"/>
      <c r="AT112" s="187"/>
      <c r="AU112" s="187"/>
      <c r="AV112" s="187"/>
      <c r="AW112" s="370" t="e">
        <f t="shared" si="68"/>
        <v>#N/A</v>
      </c>
      <c r="AX112" s="629"/>
    </row>
    <row r="113" spans="2:50">
      <c r="B113" s="598"/>
      <c r="C113" s="357">
        <v>7</v>
      </c>
      <c r="D113" s="231"/>
      <c r="E113" s="187"/>
      <c r="F113" s="357"/>
      <c r="G113" s="360"/>
      <c r="H113" s="633"/>
      <c r="I113" s="204" t="e">
        <f t="shared" si="59"/>
        <v>#DIV/0!</v>
      </c>
      <c r="J113" s="204" t="e">
        <f t="shared" si="60"/>
        <v>#DIV/0!</v>
      </c>
      <c r="K113" s="205" t="e">
        <f t="shared" si="61"/>
        <v>#DIV/0!</v>
      </c>
      <c r="L113" s="572"/>
      <c r="M113" s="206" t="e">
        <f>RANK(K113, K$87:$K$101)</f>
        <v>#DIV/0!</v>
      </c>
      <c r="N113" s="590"/>
      <c r="O113" s="590"/>
      <c r="P113" s="187"/>
      <c r="Q113" s="187"/>
      <c r="R113" s="187"/>
      <c r="S113" s="370" t="e">
        <f t="shared" si="62"/>
        <v>#N/A</v>
      </c>
      <c r="T113" s="629"/>
      <c r="U113" s="187"/>
      <c r="V113" s="187"/>
      <c r="W113" s="187"/>
      <c r="X113" s="370" t="e">
        <f t="shared" si="63"/>
        <v>#N/A</v>
      </c>
      <c r="Y113" s="629"/>
      <c r="Z113" s="187"/>
      <c r="AA113" s="187"/>
      <c r="AB113" s="187"/>
      <c r="AC113" s="370" t="e">
        <f t="shared" si="64"/>
        <v>#N/A</v>
      </c>
      <c r="AD113" s="629"/>
      <c r="AE113" s="187"/>
      <c r="AF113" s="187"/>
      <c r="AG113" s="187"/>
      <c r="AH113" s="370" t="e">
        <f t="shared" si="65"/>
        <v>#N/A</v>
      </c>
      <c r="AI113" s="629"/>
      <c r="AJ113" s="187"/>
      <c r="AK113" s="187"/>
      <c r="AL113" s="187"/>
      <c r="AM113" s="370" t="e">
        <f t="shared" si="66"/>
        <v>#N/A</v>
      </c>
      <c r="AN113" s="629"/>
      <c r="AO113" s="187"/>
      <c r="AP113" s="187"/>
      <c r="AQ113" s="187"/>
      <c r="AR113" s="370" t="e">
        <f t="shared" si="67"/>
        <v>#N/A</v>
      </c>
      <c r="AS113" s="629"/>
      <c r="AT113" s="187"/>
      <c r="AU113" s="187"/>
      <c r="AV113" s="187"/>
      <c r="AW113" s="370" t="e">
        <f t="shared" si="68"/>
        <v>#N/A</v>
      </c>
      <c r="AX113" s="629"/>
    </row>
    <row r="114" spans="2:50">
      <c r="B114" s="598"/>
      <c r="C114" s="357">
        <v>8</v>
      </c>
      <c r="D114" s="231"/>
      <c r="E114" s="187"/>
      <c r="F114" s="357"/>
      <c r="G114" s="360"/>
      <c r="H114" s="633"/>
      <c r="I114" s="204" t="e">
        <f t="shared" si="59"/>
        <v>#DIV/0!</v>
      </c>
      <c r="J114" s="204" t="e">
        <f t="shared" si="60"/>
        <v>#DIV/0!</v>
      </c>
      <c r="K114" s="205" t="e">
        <f t="shared" si="61"/>
        <v>#DIV/0!</v>
      </c>
      <c r="L114" s="572"/>
      <c r="M114" s="206" t="e">
        <f>RANK(K114, K$87:$K$101)</f>
        <v>#DIV/0!</v>
      </c>
      <c r="N114" s="590"/>
      <c r="O114" s="590"/>
      <c r="P114" s="187"/>
      <c r="Q114" s="187"/>
      <c r="R114" s="187"/>
      <c r="S114" s="370" t="e">
        <f t="shared" si="62"/>
        <v>#N/A</v>
      </c>
      <c r="T114" s="629"/>
      <c r="U114" s="187"/>
      <c r="V114" s="187"/>
      <c r="W114" s="187"/>
      <c r="X114" s="370" t="e">
        <f t="shared" si="63"/>
        <v>#N/A</v>
      </c>
      <c r="Y114" s="629"/>
      <c r="Z114" s="187"/>
      <c r="AA114" s="187"/>
      <c r="AB114" s="187"/>
      <c r="AC114" s="370" t="e">
        <f t="shared" si="64"/>
        <v>#N/A</v>
      </c>
      <c r="AD114" s="629"/>
      <c r="AE114" s="187"/>
      <c r="AF114" s="187"/>
      <c r="AG114" s="187"/>
      <c r="AH114" s="370" t="e">
        <f t="shared" si="65"/>
        <v>#N/A</v>
      </c>
      <c r="AI114" s="629"/>
      <c r="AJ114" s="187"/>
      <c r="AK114" s="187"/>
      <c r="AL114" s="187"/>
      <c r="AM114" s="370" t="e">
        <f t="shared" si="66"/>
        <v>#N/A</v>
      </c>
      <c r="AN114" s="629"/>
      <c r="AO114" s="187"/>
      <c r="AP114" s="187"/>
      <c r="AQ114" s="187"/>
      <c r="AR114" s="370" t="e">
        <f t="shared" si="67"/>
        <v>#N/A</v>
      </c>
      <c r="AS114" s="629"/>
      <c r="AT114" s="187"/>
      <c r="AU114" s="187"/>
      <c r="AV114" s="187"/>
      <c r="AW114" s="370" t="e">
        <f t="shared" si="68"/>
        <v>#N/A</v>
      </c>
      <c r="AX114" s="629"/>
    </row>
    <row r="115" spans="2:50">
      <c r="B115" s="598"/>
      <c r="C115" s="357">
        <v>9</v>
      </c>
      <c r="D115" s="231"/>
      <c r="E115" s="187"/>
      <c r="F115" s="357"/>
      <c r="G115" s="360"/>
      <c r="H115" s="633"/>
      <c r="I115" s="204" t="e">
        <f t="shared" si="59"/>
        <v>#DIV/0!</v>
      </c>
      <c r="J115" s="204" t="e">
        <f t="shared" si="60"/>
        <v>#DIV/0!</v>
      </c>
      <c r="K115" s="205" t="e">
        <f t="shared" si="61"/>
        <v>#DIV/0!</v>
      </c>
      <c r="L115" s="572"/>
      <c r="M115" s="206" t="e">
        <f>RANK(K115, K$87:$K$101)</f>
        <v>#DIV/0!</v>
      </c>
      <c r="N115" s="590"/>
      <c r="O115" s="590"/>
      <c r="P115" s="187"/>
      <c r="Q115" s="187"/>
      <c r="R115" s="187"/>
      <c r="S115" s="370" t="e">
        <f t="shared" si="62"/>
        <v>#N/A</v>
      </c>
      <c r="T115" s="629"/>
      <c r="U115" s="187"/>
      <c r="V115" s="187"/>
      <c r="W115" s="187"/>
      <c r="X115" s="370" t="e">
        <f t="shared" si="63"/>
        <v>#N/A</v>
      </c>
      <c r="Y115" s="629"/>
      <c r="Z115" s="187"/>
      <c r="AA115" s="187"/>
      <c r="AB115" s="187"/>
      <c r="AC115" s="370" t="e">
        <f t="shared" si="64"/>
        <v>#N/A</v>
      </c>
      <c r="AD115" s="629"/>
      <c r="AE115" s="187"/>
      <c r="AF115" s="187"/>
      <c r="AG115" s="187"/>
      <c r="AH115" s="370" t="e">
        <f t="shared" si="65"/>
        <v>#N/A</v>
      </c>
      <c r="AI115" s="629"/>
      <c r="AJ115" s="187"/>
      <c r="AK115" s="187"/>
      <c r="AL115" s="187"/>
      <c r="AM115" s="370" t="e">
        <f t="shared" si="66"/>
        <v>#N/A</v>
      </c>
      <c r="AN115" s="629"/>
      <c r="AO115" s="187"/>
      <c r="AP115" s="187"/>
      <c r="AQ115" s="187"/>
      <c r="AR115" s="370" t="e">
        <f t="shared" si="67"/>
        <v>#N/A</v>
      </c>
      <c r="AS115" s="629"/>
      <c r="AT115" s="187"/>
      <c r="AU115" s="187"/>
      <c r="AV115" s="187"/>
      <c r="AW115" s="370" t="e">
        <f t="shared" si="68"/>
        <v>#N/A</v>
      </c>
      <c r="AX115" s="629"/>
    </row>
    <row r="116" spans="2:50">
      <c r="B116" s="598"/>
      <c r="C116" s="357">
        <v>10</v>
      </c>
      <c r="D116" s="231"/>
      <c r="E116" s="187"/>
      <c r="F116" s="357"/>
      <c r="G116" s="360"/>
      <c r="H116" s="633"/>
      <c r="I116" s="204" t="e">
        <f t="shared" si="59"/>
        <v>#DIV/0!</v>
      </c>
      <c r="J116" s="204" t="e">
        <f t="shared" si="60"/>
        <v>#DIV/0!</v>
      </c>
      <c r="K116" s="205" t="e">
        <f t="shared" si="61"/>
        <v>#DIV/0!</v>
      </c>
      <c r="L116" s="572"/>
      <c r="M116" s="206" t="e">
        <f>RANK(K116, K$87:$K$101)</f>
        <v>#DIV/0!</v>
      </c>
      <c r="N116" s="590"/>
      <c r="O116" s="590"/>
      <c r="P116" s="187"/>
      <c r="Q116" s="187"/>
      <c r="R116" s="187"/>
      <c r="S116" s="370" t="e">
        <f t="shared" si="62"/>
        <v>#N/A</v>
      </c>
      <c r="T116" s="629"/>
      <c r="U116" s="187"/>
      <c r="V116" s="187"/>
      <c r="W116" s="187"/>
      <c r="X116" s="370" t="e">
        <f t="shared" si="63"/>
        <v>#N/A</v>
      </c>
      <c r="Y116" s="629"/>
      <c r="Z116" s="187"/>
      <c r="AA116" s="187"/>
      <c r="AB116" s="187"/>
      <c r="AC116" s="370" t="e">
        <f t="shared" si="64"/>
        <v>#N/A</v>
      </c>
      <c r="AD116" s="629"/>
      <c r="AE116" s="187"/>
      <c r="AF116" s="187"/>
      <c r="AG116" s="187"/>
      <c r="AH116" s="370" t="e">
        <f t="shared" si="65"/>
        <v>#N/A</v>
      </c>
      <c r="AI116" s="629"/>
      <c r="AJ116" s="187"/>
      <c r="AK116" s="187"/>
      <c r="AL116" s="187"/>
      <c r="AM116" s="370" t="e">
        <f t="shared" si="66"/>
        <v>#N/A</v>
      </c>
      <c r="AN116" s="629"/>
      <c r="AO116" s="187"/>
      <c r="AP116" s="187"/>
      <c r="AQ116" s="187"/>
      <c r="AR116" s="370" t="e">
        <f t="shared" si="67"/>
        <v>#N/A</v>
      </c>
      <c r="AS116" s="629"/>
      <c r="AT116" s="187"/>
      <c r="AU116" s="187"/>
      <c r="AV116" s="187"/>
      <c r="AW116" s="370" t="e">
        <f t="shared" si="68"/>
        <v>#N/A</v>
      </c>
      <c r="AX116" s="629"/>
    </row>
    <row r="117" spans="2:50">
      <c r="B117" s="598"/>
      <c r="C117" s="357">
        <v>11</v>
      </c>
      <c r="D117" s="231"/>
      <c r="E117" s="187"/>
      <c r="F117" s="357"/>
      <c r="G117" s="360"/>
      <c r="H117" s="633"/>
      <c r="I117" s="204" t="e">
        <f t="shared" si="59"/>
        <v>#DIV/0!</v>
      </c>
      <c r="J117" s="204" t="e">
        <f t="shared" si="60"/>
        <v>#DIV/0!</v>
      </c>
      <c r="K117" s="205" t="e">
        <f t="shared" si="61"/>
        <v>#DIV/0!</v>
      </c>
      <c r="L117" s="572"/>
      <c r="M117" s="206" t="e">
        <f>RANK(K117, K$87:$K$101)</f>
        <v>#DIV/0!</v>
      </c>
      <c r="N117" s="590"/>
      <c r="O117" s="590"/>
      <c r="P117" s="187"/>
      <c r="Q117" s="187"/>
      <c r="R117" s="187"/>
      <c r="S117" s="370" t="e">
        <f t="shared" si="62"/>
        <v>#N/A</v>
      </c>
      <c r="T117" s="629"/>
      <c r="U117" s="187"/>
      <c r="V117" s="187"/>
      <c r="W117" s="187"/>
      <c r="X117" s="370" t="e">
        <f t="shared" si="63"/>
        <v>#N/A</v>
      </c>
      <c r="Y117" s="629"/>
      <c r="Z117" s="187"/>
      <c r="AA117" s="187"/>
      <c r="AB117" s="187"/>
      <c r="AC117" s="370" t="e">
        <f t="shared" si="64"/>
        <v>#N/A</v>
      </c>
      <c r="AD117" s="629"/>
      <c r="AE117" s="187"/>
      <c r="AF117" s="187"/>
      <c r="AG117" s="187"/>
      <c r="AH117" s="370" t="e">
        <f t="shared" si="65"/>
        <v>#N/A</v>
      </c>
      <c r="AI117" s="629"/>
      <c r="AJ117" s="187"/>
      <c r="AK117" s="187"/>
      <c r="AL117" s="187"/>
      <c r="AM117" s="370" t="e">
        <f t="shared" si="66"/>
        <v>#N/A</v>
      </c>
      <c r="AN117" s="629"/>
      <c r="AO117" s="187"/>
      <c r="AP117" s="187"/>
      <c r="AQ117" s="187"/>
      <c r="AR117" s="370" t="e">
        <f t="shared" si="67"/>
        <v>#N/A</v>
      </c>
      <c r="AS117" s="629"/>
      <c r="AT117" s="187"/>
      <c r="AU117" s="187"/>
      <c r="AV117" s="187"/>
      <c r="AW117" s="370" t="e">
        <f t="shared" si="68"/>
        <v>#N/A</v>
      </c>
      <c r="AX117" s="629"/>
    </row>
    <row r="118" spans="2:50">
      <c r="B118" s="598"/>
      <c r="C118" s="357">
        <v>12</v>
      </c>
      <c r="D118" s="231"/>
      <c r="E118" s="187"/>
      <c r="F118" s="357"/>
      <c r="G118" s="360"/>
      <c r="H118" s="633"/>
      <c r="I118" s="372" t="e">
        <f t="shared" ref="I118" si="69">AVERAGE(P118,U118,Z118,AE118,AJ118,AO118,AT118)</f>
        <v>#DIV/0!</v>
      </c>
      <c r="J118" s="372" t="e">
        <f t="shared" ref="J118" si="70">AVERAGE(Q118,V118,AA118,AF118,AK118,AP118,AU118)</f>
        <v>#DIV/0!</v>
      </c>
      <c r="K118" s="205" t="e">
        <f t="shared" ref="K118" si="71">AVERAGE(R118,W118,AB118,AG118,AL118,AQ118,AV118)</f>
        <v>#DIV/0!</v>
      </c>
      <c r="L118" s="572"/>
      <c r="M118" s="206" t="e">
        <f>RANK(K118, K$87:$K$101)</f>
        <v>#DIV/0!</v>
      </c>
      <c r="N118" s="590"/>
      <c r="O118" s="590"/>
      <c r="P118" s="187"/>
      <c r="Q118" s="187"/>
      <c r="R118" s="187"/>
      <c r="S118" s="370" t="e">
        <f t="shared" si="62"/>
        <v>#N/A</v>
      </c>
      <c r="T118" s="629"/>
      <c r="U118" s="187"/>
      <c r="V118" s="187"/>
      <c r="W118" s="187"/>
      <c r="X118" s="370" t="e">
        <f t="shared" si="63"/>
        <v>#N/A</v>
      </c>
      <c r="Y118" s="629"/>
      <c r="Z118" s="187"/>
      <c r="AA118" s="187"/>
      <c r="AB118" s="187"/>
      <c r="AC118" s="370" t="e">
        <f t="shared" si="64"/>
        <v>#N/A</v>
      </c>
      <c r="AD118" s="629"/>
      <c r="AE118" s="187"/>
      <c r="AF118" s="187"/>
      <c r="AG118" s="187"/>
      <c r="AH118" s="370" t="e">
        <f t="shared" si="65"/>
        <v>#N/A</v>
      </c>
      <c r="AI118" s="629"/>
      <c r="AJ118" s="187"/>
      <c r="AK118" s="187"/>
      <c r="AL118" s="187"/>
      <c r="AM118" s="370" t="e">
        <f t="shared" si="66"/>
        <v>#N/A</v>
      </c>
      <c r="AN118" s="629"/>
      <c r="AO118" s="187"/>
      <c r="AP118" s="187"/>
      <c r="AQ118" s="187"/>
      <c r="AR118" s="370" t="e">
        <f t="shared" si="67"/>
        <v>#N/A</v>
      </c>
      <c r="AS118" s="629"/>
      <c r="AT118" s="187"/>
      <c r="AU118" s="187"/>
      <c r="AV118" s="187"/>
      <c r="AW118" s="370" t="e">
        <f t="shared" si="68"/>
        <v>#N/A</v>
      </c>
      <c r="AX118" s="629"/>
    </row>
    <row r="119" spans="2:50">
      <c r="B119" s="598"/>
      <c r="C119" s="357">
        <v>13</v>
      </c>
      <c r="D119" s="231"/>
      <c r="E119" s="187"/>
      <c r="F119" s="357"/>
      <c r="G119" s="360"/>
      <c r="H119" s="633"/>
      <c r="I119" s="207"/>
      <c r="J119" s="207"/>
      <c r="K119" s="207"/>
      <c r="L119" s="572"/>
      <c r="M119" s="206" t="e">
        <f>RANK(K119, K$87:$K$101)</f>
        <v>#N/A</v>
      </c>
      <c r="N119" s="590"/>
      <c r="O119" s="590"/>
      <c r="P119" s="187"/>
      <c r="Q119" s="187"/>
      <c r="R119" s="187"/>
      <c r="S119" s="370" t="e">
        <f t="shared" si="62"/>
        <v>#N/A</v>
      </c>
      <c r="T119" s="629"/>
      <c r="U119" s="187"/>
      <c r="V119" s="187"/>
      <c r="W119" s="187"/>
      <c r="X119" s="370" t="e">
        <f t="shared" si="63"/>
        <v>#N/A</v>
      </c>
      <c r="Y119" s="629"/>
      <c r="Z119" s="187"/>
      <c r="AA119" s="187"/>
      <c r="AB119" s="187"/>
      <c r="AC119" s="370" t="e">
        <f t="shared" si="64"/>
        <v>#N/A</v>
      </c>
      <c r="AD119" s="629"/>
      <c r="AE119" s="187"/>
      <c r="AF119" s="187"/>
      <c r="AG119" s="187"/>
      <c r="AH119" s="370" t="e">
        <f t="shared" si="65"/>
        <v>#N/A</v>
      </c>
      <c r="AI119" s="629"/>
      <c r="AJ119" s="187"/>
      <c r="AK119" s="187"/>
      <c r="AL119" s="187"/>
      <c r="AM119" s="370" t="e">
        <f t="shared" si="66"/>
        <v>#N/A</v>
      </c>
      <c r="AN119" s="629"/>
      <c r="AO119" s="187"/>
      <c r="AP119" s="187"/>
      <c r="AQ119" s="187"/>
      <c r="AR119" s="370" t="e">
        <f t="shared" si="67"/>
        <v>#N/A</v>
      </c>
      <c r="AS119" s="629"/>
      <c r="AT119" s="187"/>
      <c r="AU119" s="187"/>
      <c r="AV119" s="187"/>
      <c r="AW119" s="370" t="e">
        <f t="shared" si="68"/>
        <v>#N/A</v>
      </c>
      <c r="AX119" s="629"/>
    </row>
    <row r="120" spans="2:50">
      <c r="B120" s="598"/>
      <c r="C120" s="357">
        <v>14</v>
      </c>
      <c r="D120" s="231"/>
      <c r="E120" s="187"/>
      <c r="F120" s="357"/>
      <c r="G120" s="360"/>
      <c r="H120" s="633"/>
      <c r="I120" s="207"/>
      <c r="J120" s="207"/>
      <c r="K120" s="207"/>
      <c r="L120" s="572"/>
      <c r="M120" s="206" t="e">
        <f>RANK(K120, K$87:$K$101)</f>
        <v>#N/A</v>
      </c>
      <c r="N120" s="590"/>
      <c r="O120" s="590"/>
      <c r="P120" s="187"/>
      <c r="Q120" s="187"/>
      <c r="R120" s="187"/>
      <c r="S120" s="370" t="e">
        <f t="shared" si="62"/>
        <v>#N/A</v>
      </c>
      <c r="T120" s="629"/>
      <c r="U120" s="187"/>
      <c r="V120" s="187"/>
      <c r="W120" s="187"/>
      <c r="X120" s="370" t="e">
        <f t="shared" si="63"/>
        <v>#N/A</v>
      </c>
      <c r="Y120" s="629"/>
      <c r="Z120" s="187"/>
      <c r="AA120" s="187"/>
      <c r="AB120" s="187"/>
      <c r="AC120" s="370" t="e">
        <f t="shared" si="64"/>
        <v>#N/A</v>
      </c>
      <c r="AD120" s="629"/>
      <c r="AE120" s="187"/>
      <c r="AF120" s="187"/>
      <c r="AG120" s="187"/>
      <c r="AH120" s="370" t="e">
        <f t="shared" si="65"/>
        <v>#N/A</v>
      </c>
      <c r="AI120" s="629"/>
      <c r="AJ120" s="187"/>
      <c r="AK120" s="187"/>
      <c r="AL120" s="187"/>
      <c r="AM120" s="370" t="e">
        <f t="shared" si="66"/>
        <v>#N/A</v>
      </c>
      <c r="AN120" s="629"/>
      <c r="AO120" s="187"/>
      <c r="AP120" s="187"/>
      <c r="AQ120" s="187"/>
      <c r="AR120" s="370" t="e">
        <f t="shared" si="67"/>
        <v>#N/A</v>
      </c>
      <c r="AS120" s="629"/>
      <c r="AT120" s="187"/>
      <c r="AU120" s="187"/>
      <c r="AV120" s="187"/>
      <c r="AW120" s="370" t="e">
        <f t="shared" si="68"/>
        <v>#N/A</v>
      </c>
      <c r="AX120" s="629"/>
    </row>
    <row r="121" spans="2:50">
      <c r="B121" s="598"/>
      <c r="C121" s="357">
        <v>15</v>
      </c>
      <c r="D121" s="231"/>
      <c r="E121" s="187"/>
      <c r="F121" s="357"/>
      <c r="G121" s="360"/>
      <c r="H121" s="634"/>
      <c r="I121" s="207"/>
      <c r="J121" s="207"/>
      <c r="K121" s="207"/>
      <c r="L121" s="573"/>
      <c r="M121" s="204" t="e">
        <f>RANK(K121, K$87:$K$101)</f>
        <v>#N/A</v>
      </c>
      <c r="N121" s="590"/>
      <c r="O121" s="590"/>
      <c r="P121" s="187"/>
      <c r="Q121" s="187"/>
      <c r="R121" s="187"/>
      <c r="S121" s="370" t="e">
        <f t="shared" si="62"/>
        <v>#N/A</v>
      </c>
      <c r="T121" s="629"/>
      <c r="U121" s="187"/>
      <c r="V121" s="187"/>
      <c r="W121" s="187"/>
      <c r="X121" s="370" t="e">
        <f t="shared" si="63"/>
        <v>#N/A</v>
      </c>
      <c r="Y121" s="629"/>
      <c r="Z121" s="187"/>
      <c r="AA121" s="187"/>
      <c r="AB121" s="187"/>
      <c r="AC121" s="370" t="e">
        <f t="shared" si="64"/>
        <v>#N/A</v>
      </c>
      <c r="AD121" s="629"/>
      <c r="AE121" s="187"/>
      <c r="AF121" s="187"/>
      <c r="AG121" s="187"/>
      <c r="AH121" s="370" t="e">
        <f t="shared" si="65"/>
        <v>#N/A</v>
      </c>
      <c r="AI121" s="629"/>
      <c r="AJ121" s="187"/>
      <c r="AK121" s="187"/>
      <c r="AL121" s="187"/>
      <c r="AM121" s="370" t="e">
        <f t="shared" si="66"/>
        <v>#N/A</v>
      </c>
      <c r="AN121" s="629"/>
      <c r="AO121" s="187"/>
      <c r="AP121" s="187"/>
      <c r="AQ121" s="187"/>
      <c r="AR121" s="370" t="e">
        <f t="shared" si="67"/>
        <v>#N/A</v>
      </c>
      <c r="AS121" s="629"/>
      <c r="AT121" s="187"/>
      <c r="AU121" s="187"/>
      <c r="AV121" s="187"/>
      <c r="AW121" s="370" t="e">
        <f t="shared" si="68"/>
        <v>#N/A</v>
      </c>
      <c r="AX121" s="629"/>
    </row>
    <row r="123" spans="2:50" ht="15.75">
      <c r="B123" s="623" t="s">
        <v>681</v>
      </c>
      <c r="C123" s="624"/>
      <c r="D123" s="624"/>
      <c r="E123" s="624"/>
      <c r="F123" s="624"/>
      <c r="G123" s="624"/>
      <c r="H123" s="625"/>
      <c r="I123" s="361"/>
      <c r="J123" s="361"/>
      <c r="K123" s="361"/>
      <c r="L123" s="361"/>
      <c r="M123" s="362"/>
    </row>
    <row r="124" spans="2:50" ht="15.75">
      <c r="B124" s="626"/>
      <c r="C124" s="626"/>
      <c r="D124" s="626"/>
      <c r="E124" s="626"/>
      <c r="F124" s="626"/>
      <c r="G124" s="626"/>
      <c r="H124" s="626"/>
      <c r="I124" s="363"/>
      <c r="J124" s="363"/>
      <c r="K124" s="363"/>
      <c r="L124" s="363"/>
      <c r="M124" s="364"/>
    </row>
    <row r="125" spans="2:50">
      <c r="B125" s="590" t="s">
        <v>154</v>
      </c>
      <c r="C125" s="590" t="s">
        <v>454</v>
      </c>
      <c r="D125" s="590"/>
      <c r="E125" s="590" t="s">
        <v>445</v>
      </c>
      <c r="F125" s="590"/>
      <c r="G125" s="590"/>
      <c r="H125" s="606" t="s">
        <v>441</v>
      </c>
      <c r="I125" s="627" t="s">
        <v>446</v>
      </c>
      <c r="J125" s="627"/>
      <c r="K125" s="627"/>
      <c r="L125" s="643" t="s">
        <v>441</v>
      </c>
      <c r="M125" s="646" t="s">
        <v>442</v>
      </c>
    </row>
    <row r="126" spans="2:50">
      <c r="B126" s="590"/>
      <c r="C126" s="590"/>
      <c r="D126" s="590"/>
      <c r="E126" s="590" t="s">
        <v>448</v>
      </c>
      <c r="F126" s="590"/>
      <c r="G126" s="590"/>
      <c r="H126" s="607"/>
      <c r="I126" s="627" t="s">
        <v>448</v>
      </c>
      <c r="J126" s="627"/>
      <c r="K126" s="627"/>
      <c r="L126" s="644"/>
      <c r="M126" s="647"/>
    </row>
    <row r="127" spans="2:50">
      <c r="B127" s="590"/>
      <c r="C127" s="590"/>
      <c r="D127" s="590"/>
      <c r="E127" s="358" t="s">
        <v>450</v>
      </c>
      <c r="F127" s="358" t="s">
        <v>451</v>
      </c>
      <c r="G127" s="358" t="s">
        <v>452</v>
      </c>
      <c r="H127" s="608"/>
      <c r="I127" s="365" t="s">
        <v>450</v>
      </c>
      <c r="J127" s="365" t="s">
        <v>451</v>
      </c>
      <c r="K127" s="365" t="s">
        <v>452</v>
      </c>
      <c r="L127" s="645"/>
      <c r="M127" s="648"/>
    </row>
    <row r="128" spans="2:50">
      <c r="B128" s="631" t="s">
        <v>453</v>
      </c>
      <c r="C128" s="357">
        <v>1</v>
      </c>
      <c r="D128" s="231"/>
      <c r="E128" s="187"/>
      <c r="F128" s="357"/>
      <c r="G128" s="360"/>
      <c r="H128" s="632" t="e">
        <f>AVERAGE(G128:G142)</f>
        <v>#DIV/0!</v>
      </c>
      <c r="I128" s="204" t="e">
        <f t="shared" ref="I128:J138" si="72">AVERAGEIF($D$7:$D$121,$D128,I$7:I$121)</f>
        <v>#DIV/0!</v>
      </c>
      <c r="J128" s="204" t="e">
        <f t="shared" si="72"/>
        <v>#DIV/0!</v>
      </c>
      <c r="K128" s="204" t="e">
        <f t="shared" ref="K128:K138" si="73">AVERAGEIF($D$7:$D$121,$D128,K$7:K$121)</f>
        <v>#DIV/0!</v>
      </c>
      <c r="L128" s="640" t="e">
        <f>AVERAGE(K128:K142)</f>
        <v>#DIV/0!</v>
      </c>
      <c r="M128" s="204" t="e">
        <f>RANK(K128, K$128:$K$142)</f>
        <v>#DIV/0!</v>
      </c>
    </row>
    <row r="129" spans="2:13">
      <c r="B129" s="598"/>
      <c r="C129" s="357">
        <v>2</v>
      </c>
      <c r="D129" s="231"/>
      <c r="E129" s="187"/>
      <c r="F129" s="357"/>
      <c r="G129" s="360"/>
      <c r="H129" s="633"/>
      <c r="I129" s="204" t="e">
        <f t="shared" si="72"/>
        <v>#DIV/0!</v>
      </c>
      <c r="J129" s="204" t="e">
        <f t="shared" si="72"/>
        <v>#DIV/0!</v>
      </c>
      <c r="K129" s="204" t="e">
        <f t="shared" si="73"/>
        <v>#DIV/0!</v>
      </c>
      <c r="L129" s="641"/>
      <c r="M129" s="204" t="e">
        <f>RANK(K129, K$128:$K$142)</f>
        <v>#DIV/0!</v>
      </c>
    </row>
    <row r="130" spans="2:13">
      <c r="B130" s="598"/>
      <c r="C130" s="357">
        <v>3</v>
      </c>
      <c r="D130" s="231"/>
      <c r="E130" s="187"/>
      <c r="F130" s="357"/>
      <c r="G130" s="360"/>
      <c r="H130" s="633"/>
      <c r="I130" s="204" t="e">
        <f t="shared" si="72"/>
        <v>#DIV/0!</v>
      </c>
      <c r="J130" s="204" t="e">
        <f t="shared" si="72"/>
        <v>#DIV/0!</v>
      </c>
      <c r="K130" s="204" t="e">
        <f t="shared" si="73"/>
        <v>#DIV/0!</v>
      </c>
      <c r="L130" s="641"/>
      <c r="M130" s="204" t="e">
        <f>RANK(K130, K$128:$K$142)</f>
        <v>#DIV/0!</v>
      </c>
    </row>
    <row r="131" spans="2:13">
      <c r="B131" s="598"/>
      <c r="C131" s="357">
        <v>4</v>
      </c>
      <c r="D131" s="231"/>
      <c r="E131" s="187"/>
      <c r="F131" s="357"/>
      <c r="G131" s="360"/>
      <c r="H131" s="633"/>
      <c r="I131" s="204" t="e">
        <f t="shared" si="72"/>
        <v>#DIV/0!</v>
      </c>
      <c r="J131" s="204" t="e">
        <f t="shared" si="72"/>
        <v>#DIV/0!</v>
      </c>
      <c r="K131" s="204" t="e">
        <f t="shared" si="73"/>
        <v>#DIV/0!</v>
      </c>
      <c r="L131" s="641"/>
      <c r="M131" s="204" t="e">
        <f>RANK(K131, K$128:$K$142)</f>
        <v>#DIV/0!</v>
      </c>
    </row>
    <row r="132" spans="2:13">
      <c r="B132" s="598"/>
      <c r="C132" s="357">
        <v>5</v>
      </c>
      <c r="D132" s="231"/>
      <c r="E132" s="187"/>
      <c r="F132" s="357"/>
      <c r="G132" s="360"/>
      <c r="H132" s="633"/>
      <c r="I132" s="204" t="e">
        <f t="shared" si="72"/>
        <v>#DIV/0!</v>
      </c>
      <c r="J132" s="204" t="e">
        <f t="shared" si="72"/>
        <v>#DIV/0!</v>
      </c>
      <c r="K132" s="204" t="e">
        <f t="shared" si="73"/>
        <v>#DIV/0!</v>
      </c>
      <c r="L132" s="641"/>
      <c r="M132" s="204" t="e">
        <f>RANK(K132, K$128:$K$142)</f>
        <v>#DIV/0!</v>
      </c>
    </row>
    <row r="133" spans="2:13">
      <c r="B133" s="598"/>
      <c r="C133" s="357">
        <v>6</v>
      </c>
      <c r="D133" s="366"/>
      <c r="E133" s="187"/>
      <c r="F133" s="357"/>
      <c r="G133" s="360"/>
      <c r="H133" s="633"/>
      <c r="I133" s="204" t="e">
        <f t="shared" si="72"/>
        <v>#DIV/0!</v>
      </c>
      <c r="J133" s="204" t="e">
        <f t="shared" si="72"/>
        <v>#DIV/0!</v>
      </c>
      <c r="K133" s="204" t="e">
        <f t="shared" si="73"/>
        <v>#DIV/0!</v>
      </c>
      <c r="L133" s="641"/>
      <c r="M133" s="204" t="e">
        <f>RANK(K133, K$128:$K$142)</f>
        <v>#DIV/0!</v>
      </c>
    </row>
    <row r="134" spans="2:13">
      <c r="B134" s="598"/>
      <c r="C134" s="357">
        <v>7</v>
      </c>
      <c r="D134" s="231"/>
      <c r="E134" s="187"/>
      <c r="F134" s="357"/>
      <c r="G134" s="360"/>
      <c r="H134" s="633"/>
      <c r="I134" s="204" t="e">
        <f t="shared" si="72"/>
        <v>#DIV/0!</v>
      </c>
      <c r="J134" s="204" t="e">
        <f t="shared" si="72"/>
        <v>#DIV/0!</v>
      </c>
      <c r="K134" s="204" t="e">
        <f t="shared" si="73"/>
        <v>#DIV/0!</v>
      </c>
      <c r="L134" s="641"/>
      <c r="M134" s="204" t="e">
        <f>RANK(K134, K$128:$K$142)</f>
        <v>#DIV/0!</v>
      </c>
    </row>
    <row r="135" spans="2:13">
      <c r="B135" s="598"/>
      <c r="C135" s="357">
        <v>8</v>
      </c>
      <c r="D135" s="231"/>
      <c r="E135" s="187"/>
      <c r="F135" s="357"/>
      <c r="G135" s="360"/>
      <c r="H135" s="633"/>
      <c r="I135" s="204" t="e">
        <f t="shared" si="72"/>
        <v>#DIV/0!</v>
      </c>
      <c r="J135" s="204" t="e">
        <f t="shared" si="72"/>
        <v>#DIV/0!</v>
      </c>
      <c r="K135" s="204" t="e">
        <f t="shared" si="73"/>
        <v>#DIV/0!</v>
      </c>
      <c r="L135" s="641"/>
      <c r="M135" s="204" t="e">
        <f>RANK(K135, K$128:$K$142)</f>
        <v>#DIV/0!</v>
      </c>
    </row>
    <row r="136" spans="2:13">
      <c r="B136" s="598"/>
      <c r="C136" s="357">
        <v>9</v>
      </c>
      <c r="D136" s="231"/>
      <c r="E136" s="357"/>
      <c r="F136" s="357"/>
      <c r="G136" s="357"/>
      <c r="H136" s="633"/>
      <c r="I136" s="204" t="e">
        <f t="shared" si="72"/>
        <v>#DIV/0!</v>
      </c>
      <c r="J136" s="204" t="e">
        <f t="shared" si="72"/>
        <v>#DIV/0!</v>
      </c>
      <c r="K136" s="204" t="e">
        <f t="shared" si="73"/>
        <v>#DIV/0!</v>
      </c>
      <c r="L136" s="641"/>
      <c r="M136" s="204" t="e">
        <f>RANK(K136, K$128:$K$142)</f>
        <v>#DIV/0!</v>
      </c>
    </row>
    <row r="137" spans="2:13">
      <c r="B137" s="598"/>
      <c r="C137" s="357">
        <v>10</v>
      </c>
      <c r="D137" s="231"/>
      <c r="E137" s="357"/>
      <c r="F137" s="357"/>
      <c r="G137" s="357"/>
      <c r="H137" s="633"/>
      <c r="I137" s="204" t="e">
        <f t="shared" si="72"/>
        <v>#DIV/0!</v>
      </c>
      <c r="J137" s="204" t="e">
        <f t="shared" si="72"/>
        <v>#DIV/0!</v>
      </c>
      <c r="K137" s="204" t="e">
        <f t="shared" si="73"/>
        <v>#DIV/0!</v>
      </c>
      <c r="L137" s="641"/>
      <c r="M137" s="204" t="e">
        <f>RANK(K137, K$128:$K$142)</f>
        <v>#DIV/0!</v>
      </c>
    </row>
    <row r="138" spans="2:13">
      <c r="B138" s="598"/>
      <c r="C138" s="357">
        <v>11</v>
      </c>
      <c r="D138" s="231"/>
      <c r="E138" s="357"/>
      <c r="F138" s="357"/>
      <c r="G138" s="357"/>
      <c r="H138" s="633"/>
      <c r="I138" s="204" t="e">
        <f t="shared" si="72"/>
        <v>#DIV/0!</v>
      </c>
      <c r="J138" s="204" t="e">
        <f t="shared" si="72"/>
        <v>#DIV/0!</v>
      </c>
      <c r="K138" s="204" t="e">
        <f t="shared" si="73"/>
        <v>#DIV/0!</v>
      </c>
      <c r="L138" s="641"/>
      <c r="M138" s="204" t="e">
        <f>RANK(K138, K$128:$K$142)</f>
        <v>#DIV/0!</v>
      </c>
    </row>
    <row r="139" spans="2:13">
      <c r="B139" s="598"/>
      <c r="C139" s="357">
        <v>12</v>
      </c>
      <c r="D139" s="231"/>
      <c r="E139" s="357"/>
      <c r="F139" s="357"/>
      <c r="G139" s="357"/>
      <c r="H139" s="633"/>
      <c r="I139" s="204"/>
      <c r="J139" s="204"/>
      <c r="K139" s="204"/>
      <c r="L139" s="641"/>
      <c r="M139" s="204" t="e">
        <f>RANK(K139, K$128:$K$142)</f>
        <v>#DIV/0!</v>
      </c>
    </row>
    <row r="140" spans="2:13">
      <c r="B140" s="598"/>
      <c r="C140" s="357">
        <v>13</v>
      </c>
      <c r="D140" s="231"/>
      <c r="E140" s="357"/>
      <c r="F140" s="357"/>
      <c r="G140" s="357"/>
      <c r="H140" s="633"/>
      <c r="I140" s="204"/>
      <c r="J140" s="204"/>
      <c r="K140" s="204"/>
      <c r="L140" s="641"/>
      <c r="M140" s="204" t="e">
        <f>RANK(K140, K$128:$K$142)</f>
        <v>#DIV/0!</v>
      </c>
    </row>
    <row r="141" spans="2:13">
      <c r="B141" s="598"/>
      <c r="C141" s="357">
        <v>14</v>
      </c>
      <c r="D141" s="231"/>
      <c r="E141" s="357"/>
      <c r="F141" s="357"/>
      <c r="G141" s="357"/>
      <c r="H141" s="633"/>
      <c r="I141" s="204"/>
      <c r="J141" s="204"/>
      <c r="K141" s="204"/>
      <c r="L141" s="641"/>
      <c r="M141" s="204" t="e">
        <f>RANK(K141, K$128:$K$142)</f>
        <v>#DIV/0!</v>
      </c>
    </row>
    <row r="142" spans="2:13">
      <c r="B142" s="598"/>
      <c r="C142" s="357">
        <v>15</v>
      </c>
      <c r="D142" s="231"/>
      <c r="E142" s="357"/>
      <c r="F142" s="357"/>
      <c r="G142" s="357"/>
      <c r="H142" s="634"/>
      <c r="I142" s="204"/>
      <c r="J142" s="204"/>
      <c r="K142" s="204"/>
      <c r="L142" s="642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BA49" sqref="BA49"/>
      <selection pane="topRight" activeCell="AT87" sqref="AT8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6" t="s">
        <v>332</v>
      </c>
      <c r="C1" s="225">
        <f>AVERAGE(L7,L27,L47,L67,L87,L107)</f>
        <v>111.44618946664018</v>
      </c>
    </row>
    <row r="2" spans="1:54" ht="15.75">
      <c r="A2" s="81"/>
      <c r="B2" s="602" t="s">
        <v>163</v>
      </c>
      <c r="C2" s="602"/>
      <c r="D2" s="602"/>
      <c r="E2" s="602"/>
      <c r="F2" s="602"/>
      <c r="G2" s="602"/>
      <c r="H2" s="602"/>
      <c r="I2" s="320"/>
      <c r="J2" s="320"/>
      <c r="K2" s="320"/>
      <c r="L2" s="320"/>
      <c r="M2" s="202"/>
      <c r="N2" s="591" t="s">
        <v>156</v>
      </c>
      <c r="O2" s="591" t="s">
        <v>155</v>
      </c>
      <c r="P2" s="637">
        <v>45930</v>
      </c>
      <c r="Q2" s="638"/>
      <c r="R2" s="638"/>
      <c r="S2" s="638"/>
      <c r="T2" s="639"/>
      <c r="U2" s="597">
        <f>P2+1</f>
        <v>45931</v>
      </c>
      <c r="V2" s="598"/>
      <c r="W2" s="598"/>
      <c r="X2" s="598"/>
      <c r="Y2" s="598"/>
      <c r="Z2" s="597">
        <f>U2+1</f>
        <v>45932</v>
      </c>
      <c r="AA2" s="598"/>
      <c r="AB2" s="598"/>
      <c r="AC2" s="598"/>
      <c r="AD2" s="598"/>
      <c r="AE2" s="597">
        <f>Z2+1</f>
        <v>45933</v>
      </c>
      <c r="AF2" s="598"/>
      <c r="AG2" s="598"/>
      <c r="AH2" s="598"/>
      <c r="AI2" s="598"/>
      <c r="AJ2" s="597">
        <f>AE2+1</f>
        <v>45934</v>
      </c>
      <c r="AK2" s="598"/>
      <c r="AL2" s="598"/>
      <c r="AM2" s="598"/>
      <c r="AN2" s="598"/>
      <c r="AO2" s="597">
        <f>AJ2+1</f>
        <v>45935</v>
      </c>
      <c r="AP2" s="598"/>
      <c r="AQ2" s="598"/>
      <c r="AR2" s="598"/>
      <c r="AS2" s="598"/>
      <c r="AT2" s="597">
        <f>AO2+1</f>
        <v>45936</v>
      </c>
      <c r="AU2" s="598"/>
      <c r="AV2" s="598"/>
      <c r="AW2" s="598"/>
      <c r="AX2" s="598"/>
    </row>
    <row r="3" spans="1:54" ht="15.75">
      <c r="A3" s="81"/>
      <c r="B3" s="622"/>
      <c r="C3" s="622"/>
      <c r="D3" s="622"/>
      <c r="E3" s="622"/>
      <c r="F3" s="622"/>
      <c r="G3" s="622"/>
      <c r="H3" s="622"/>
      <c r="I3" s="321"/>
      <c r="J3" s="321"/>
      <c r="K3" s="321"/>
      <c r="L3" s="321"/>
      <c r="M3" s="203"/>
      <c r="N3" s="593"/>
      <c r="O3" s="593"/>
      <c r="P3" s="594" t="s">
        <v>158</v>
      </c>
      <c r="Q3" s="595"/>
      <c r="R3" s="595"/>
      <c r="S3" s="595"/>
      <c r="T3" s="596"/>
      <c r="U3" s="594" t="s">
        <v>114</v>
      </c>
      <c r="V3" s="595"/>
      <c r="W3" s="595"/>
      <c r="X3" s="595"/>
      <c r="Y3" s="596"/>
      <c r="Z3" s="594" t="s">
        <v>159</v>
      </c>
      <c r="AA3" s="595"/>
      <c r="AB3" s="595"/>
      <c r="AC3" s="595"/>
      <c r="AD3" s="596"/>
      <c r="AE3" s="594" t="s">
        <v>157</v>
      </c>
      <c r="AF3" s="595"/>
      <c r="AG3" s="595"/>
      <c r="AH3" s="595"/>
      <c r="AI3" s="596"/>
      <c r="AJ3" s="594" t="s">
        <v>160</v>
      </c>
      <c r="AK3" s="595"/>
      <c r="AL3" s="595"/>
      <c r="AM3" s="595"/>
      <c r="AN3" s="596"/>
      <c r="AO3" s="594" t="s">
        <v>161</v>
      </c>
      <c r="AP3" s="595"/>
      <c r="AQ3" s="595"/>
      <c r="AR3" s="595"/>
      <c r="AS3" s="596"/>
      <c r="AT3" s="594" t="s">
        <v>162</v>
      </c>
      <c r="AU3" s="595"/>
      <c r="AV3" s="595"/>
      <c r="AW3" s="595"/>
      <c r="AX3" s="596"/>
    </row>
    <row r="4" spans="1:54" ht="14.25">
      <c r="A4" s="81"/>
      <c r="B4" s="590" t="s">
        <v>527</v>
      </c>
      <c r="C4" s="590" t="s">
        <v>528</v>
      </c>
      <c r="D4" s="590"/>
      <c r="E4" s="590" t="s">
        <v>529</v>
      </c>
      <c r="F4" s="590"/>
      <c r="G4" s="590"/>
      <c r="H4" s="606" t="s">
        <v>530</v>
      </c>
      <c r="I4" s="574" t="s">
        <v>531</v>
      </c>
      <c r="J4" s="574"/>
      <c r="K4" s="574"/>
      <c r="L4" s="575" t="s">
        <v>530</v>
      </c>
      <c r="M4" s="581" t="s">
        <v>532</v>
      </c>
      <c r="N4" s="590"/>
      <c r="O4" s="590" t="s">
        <v>533</v>
      </c>
      <c r="P4" s="587" t="s">
        <v>534</v>
      </c>
      <c r="Q4" s="588"/>
      <c r="R4" s="588"/>
      <c r="S4" s="589"/>
      <c r="T4" s="590" t="s">
        <v>530</v>
      </c>
      <c r="U4" s="587" t="s">
        <v>534</v>
      </c>
      <c r="V4" s="588"/>
      <c r="W4" s="588"/>
      <c r="X4" s="589"/>
      <c r="Y4" s="590" t="s">
        <v>530</v>
      </c>
      <c r="Z4" s="587" t="s">
        <v>534</v>
      </c>
      <c r="AA4" s="588"/>
      <c r="AB4" s="588"/>
      <c r="AC4" s="589"/>
      <c r="AD4" s="590" t="s">
        <v>530</v>
      </c>
      <c r="AE4" s="587" t="s">
        <v>534</v>
      </c>
      <c r="AF4" s="588"/>
      <c r="AG4" s="588"/>
      <c r="AH4" s="589"/>
      <c r="AI4" s="590" t="s">
        <v>530</v>
      </c>
      <c r="AJ4" s="587" t="s">
        <v>534</v>
      </c>
      <c r="AK4" s="588"/>
      <c r="AL4" s="588"/>
      <c r="AM4" s="589"/>
      <c r="AN4" s="590" t="s">
        <v>530</v>
      </c>
      <c r="AO4" s="587" t="s">
        <v>534</v>
      </c>
      <c r="AP4" s="588"/>
      <c r="AQ4" s="588"/>
      <c r="AR4" s="589"/>
      <c r="AS4" s="590" t="s">
        <v>530</v>
      </c>
      <c r="AT4" s="587" t="s">
        <v>534</v>
      </c>
      <c r="AU4" s="588"/>
      <c r="AV4" s="588"/>
      <c r="AW4" s="589"/>
      <c r="AX4" s="590" t="s">
        <v>530</v>
      </c>
    </row>
    <row r="5" spans="1:54" ht="14.25">
      <c r="A5" s="81"/>
      <c r="B5" s="590"/>
      <c r="C5" s="590"/>
      <c r="D5" s="590"/>
      <c r="E5" s="590" t="s">
        <v>535</v>
      </c>
      <c r="F5" s="590"/>
      <c r="G5" s="590"/>
      <c r="H5" s="607"/>
      <c r="I5" s="574" t="s">
        <v>535</v>
      </c>
      <c r="J5" s="574"/>
      <c r="K5" s="574"/>
      <c r="L5" s="576"/>
      <c r="M5" s="582"/>
      <c r="N5" s="590"/>
      <c r="O5" s="590"/>
      <c r="P5" s="587" t="s">
        <v>536</v>
      </c>
      <c r="Q5" s="588"/>
      <c r="R5" s="588"/>
      <c r="S5" s="589"/>
      <c r="T5" s="590"/>
      <c r="U5" s="587" t="s">
        <v>536</v>
      </c>
      <c r="V5" s="588"/>
      <c r="W5" s="588"/>
      <c r="X5" s="589"/>
      <c r="Y5" s="590"/>
      <c r="Z5" s="587" t="s">
        <v>536</v>
      </c>
      <c r="AA5" s="588"/>
      <c r="AB5" s="588"/>
      <c r="AC5" s="589"/>
      <c r="AD5" s="590"/>
      <c r="AE5" s="587" t="s">
        <v>536</v>
      </c>
      <c r="AF5" s="588"/>
      <c r="AG5" s="588"/>
      <c r="AH5" s="589"/>
      <c r="AI5" s="590"/>
      <c r="AJ5" s="587" t="s">
        <v>536</v>
      </c>
      <c r="AK5" s="588"/>
      <c r="AL5" s="588"/>
      <c r="AM5" s="589"/>
      <c r="AN5" s="590"/>
      <c r="AO5" s="587" t="s">
        <v>536</v>
      </c>
      <c r="AP5" s="588"/>
      <c r="AQ5" s="588"/>
      <c r="AR5" s="589"/>
      <c r="AS5" s="590"/>
      <c r="AT5" s="587" t="s">
        <v>536</v>
      </c>
      <c r="AU5" s="588"/>
      <c r="AV5" s="588"/>
      <c r="AW5" s="589"/>
      <c r="AX5" s="590"/>
    </row>
    <row r="6" spans="1:54" ht="14.25">
      <c r="A6" s="79"/>
      <c r="B6" s="590"/>
      <c r="C6" s="590"/>
      <c r="D6" s="590"/>
      <c r="E6" s="331" t="s">
        <v>537</v>
      </c>
      <c r="F6" s="331" t="s">
        <v>538</v>
      </c>
      <c r="G6" s="331" t="s">
        <v>539</v>
      </c>
      <c r="H6" s="608"/>
      <c r="I6" s="332" t="s">
        <v>537</v>
      </c>
      <c r="J6" s="332" t="s">
        <v>538</v>
      </c>
      <c r="K6" s="332" t="s">
        <v>539</v>
      </c>
      <c r="L6" s="577"/>
      <c r="M6" s="583"/>
      <c r="N6" s="590"/>
      <c r="O6" s="590"/>
      <c r="P6" s="331" t="s">
        <v>537</v>
      </c>
      <c r="Q6" s="331" t="s">
        <v>538</v>
      </c>
      <c r="R6" s="331" t="s">
        <v>539</v>
      </c>
      <c r="S6" s="331" t="s">
        <v>532</v>
      </c>
      <c r="T6" s="590"/>
      <c r="U6" s="331" t="s">
        <v>537</v>
      </c>
      <c r="V6" s="331" t="s">
        <v>538</v>
      </c>
      <c r="W6" s="331" t="s">
        <v>539</v>
      </c>
      <c r="X6" s="331" t="s">
        <v>532</v>
      </c>
      <c r="Y6" s="590"/>
      <c r="Z6" s="331" t="s">
        <v>537</v>
      </c>
      <c r="AA6" s="331" t="s">
        <v>538</v>
      </c>
      <c r="AB6" s="331" t="s">
        <v>539</v>
      </c>
      <c r="AC6" s="331" t="s">
        <v>532</v>
      </c>
      <c r="AD6" s="590"/>
      <c r="AE6" s="331" t="s">
        <v>537</v>
      </c>
      <c r="AF6" s="331" t="s">
        <v>538</v>
      </c>
      <c r="AG6" s="331" t="s">
        <v>539</v>
      </c>
      <c r="AH6" s="331" t="s">
        <v>532</v>
      </c>
      <c r="AI6" s="590"/>
      <c r="AJ6" s="331" t="s">
        <v>537</v>
      </c>
      <c r="AK6" s="331" t="s">
        <v>538</v>
      </c>
      <c r="AL6" s="331" t="s">
        <v>539</v>
      </c>
      <c r="AM6" s="331" t="s">
        <v>532</v>
      </c>
      <c r="AN6" s="590"/>
      <c r="AO6" s="331" t="s">
        <v>537</v>
      </c>
      <c r="AP6" s="331" t="s">
        <v>538</v>
      </c>
      <c r="AQ6" s="331" t="s">
        <v>539</v>
      </c>
      <c r="AR6" s="331" t="s">
        <v>532</v>
      </c>
      <c r="AS6" s="590"/>
      <c r="AT6" s="331" t="s">
        <v>537</v>
      </c>
      <c r="AU6" s="331" t="s">
        <v>538</v>
      </c>
      <c r="AV6" s="331" t="s">
        <v>539</v>
      </c>
      <c r="AW6" s="331" t="s">
        <v>532</v>
      </c>
      <c r="AX6" s="590"/>
    </row>
    <row r="7" spans="1:54" ht="14.25">
      <c r="A7" s="81"/>
      <c r="B7" s="590" t="s">
        <v>543</v>
      </c>
      <c r="C7" s="330">
        <v>1</v>
      </c>
      <c r="D7" s="231" t="s">
        <v>385</v>
      </c>
      <c r="E7" s="187">
        <v>13</v>
      </c>
      <c r="F7" s="378">
        <v>1607.9999999999993</v>
      </c>
      <c r="G7" s="379">
        <v>123.69230769230764</v>
      </c>
      <c r="H7" s="632">
        <f>AVERAGE(G7:G21)</f>
        <v>123.69230769230764</v>
      </c>
      <c r="I7" s="204">
        <f>AVERAGE(P7,U7,Z7,AE7,AJ7,AO7,AT7)</f>
        <v>13</v>
      </c>
      <c r="J7" s="204">
        <f>AVERAGE(Q7,V7,AA7,AF7,AK7,AP7,AU7)</f>
        <v>1439.9142857142856</v>
      </c>
      <c r="K7" s="205">
        <f>AVERAGE(R7,W7,AB7,AG7,AL7,AQ7,AV7)</f>
        <v>110.76263736263734</v>
      </c>
      <c r="L7" s="571">
        <f>IFERROR(AVERAGE(K7:K21),"-")</f>
        <v>110.76263736263734</v>
      </c>
      <c r="M7" s="206">
        <f>RANK(K7, K$7:$K$21)</f>
        <v>1</v>
      </c>
      <c r="N7" s="590"/>
      <c r="O7" s="590"/>
      <c r="P7" s="187">
        <v>13</v>
      </c>
      <c r="Q7" s="187">
        <v>1447.1999999999957</v>
      </c>
      <c r="R7" s="379">
        <v>111.3230769230766</v>
      </c>
      <c r="S7" s="378">
        <f>RANK(R7, R$7:R$21)</f>
        <v>2</v>
      </c>
      <c r="T7" s="629">
        <f>AVERAGE(R7:R21)</f>
        <v>114.00419580419565</v>
      </c>
      <c r="U7" s="187">
        <v>13</v>
      </c>
      <c r="V7" s="187">
        <v>1607.9999999999993</v>
      </c>
      <c r="W7" s="379">
        <v>123.69230769230764</v>
      </c>
      <c r="X7" s="378">
        <f>RANK(W7, W$7:W$21)</f>
        <v>1</v>
      </c>
      <c r="Y7" s="629">
        <f>AVERAGE(W7:W21)</f>
        <v>119.93076923076922</v>
      </c>
      <c r="Z7" s="187">
        <v>13</v>
      </c>
      <c r="AA7" s="187">
        <v>1646.9999999999993</v>
      </c>
      <c r="AB7" s="379">
        <v>126.69230769230764</v>
      </c>
      <c r="AC7" s="378">
        <f>RANK(AB7, AB$7:AB$21)</f>
        <v>1</v>
      </c>
      <c r="AD7" s="629">
        <f>AVERAGE(AB7:AB21)</f>
        <v>119.76244343891403</v>
      </c>
      <c r="AE7" s="187">
        <v>13</v>
      </c>
      <c r="AF7" s="187">
        <v>1241.9999999999995</v>
      </c>
      <c r="AG7" s="379">
        <v>95.538461538461505</v>
      </c>
      <c r="AH7" s="378">
        <f>RANK(AG7, AG$7:AG$21)</f>
        <v>2</v>
      </c>
      <c r="AI7" s="629">
        <f>AVERAGE(AG7:AG21)</f>
        <v>104.07692307692308</v>
      </c>
      <c r="AJ7" s="187">
        <v>13</v>
      </c>
      <c r="AK7" s="187">
        <v>1349.9999999999995</v>
      </c>
      <c r="AL7" s="379">
        <v>103.84615384615381</v>
      </c>
      <c r="AM7" s="378">
        <f>RANK(AL7, AL$7:AL$21)</f>
        <v>2</v>
      </c>
      <c r="AN7" s="629">
        <f>AVERAGE(AL7:AL21)</f>
        <v>113.93406593406593</v>
      </c>
      <c r="AO7" s="187">
        <v>13</v>
      </c>
      <c r="AP7" s="187">
        <v>1229.9999999999995</v>
      </c>
      <c r="AQ7" s="379">
        <v>94.615384615384585</v>
      </c>
      <c r="AR7" s="378">
        <f>RANK(AQ7, AQ$7:AQ$21)</f>
        <v>2</v>
      </c>
      <c r="AS7" s="629">
        <f>AVERAGE(AQ7:AQ21)</f>
        <v>104.61133603238866</v>
      </c>
      <c r="AT7" s="187">
        <v>13</v>
      </c>
      <c r="AU7" s="187">
        <v>1555.2000000000055</v>
      </c>
      <c r="AV7" s="379">
        <v>119.63076923076966</v>
      </c>
      <c r="AW7" s="378">
        <f>RANK(AV7, AV$7:AV$21)</f>
        <v>1</v>
      </c>
      <c r="AX7" s="629">
        <f>AVERAGE(AV7:AV21)</f>
        <v>117.75203619909524</v>
      </c>
      <c r="AZ7" s="381" t="e">
        <f>RANK(AX7, $K$7:AX$21)</f>
        <v>#N/A</v>
      </c>
      <c r="BB7" s="378" t="e">
        <f>RANK(BA7, BA$7:BA$21)</f>
        <v>#N/A</v>
      </c>
    </row>
    <row r="8" spans="1:54" ht="15" customHeight="1">
      <c r="A8" s="81"/>
      <c r="B8" s="598"/>
      <c r="C8" s="330">
        <v>2</v>
      </c>
      <c r="D8" s="231" t="s">
        <v>694</v>
      </c>
      <c r="E8" s="187">
        <v>13</v>
      </c>
      <c r="F8" s="378">
        <v>1607.9999999999993</v>
      </c>
      <c r="G8" s="379">
        <v>123.69230769230764</v>
      </c>
      <c r="H8" s="633"/>
      <c r="I8" s="204"/>
      <c r="J8" s="204"/>
      <c r="K8" s="205"/>
      <c r="L8" s="572"/>
      <c r="M8" s="206" t="e">
        <f>RANK(K8, K$7:$K$21)</f>
        <v>#N/A</v>
      </c>
      <c r="N8" s="590"/>
      <c r="O8" s="590"/>
      <c r="P8" s="378">
        <v>13</v>
      </c>
      <c r="Q8" s="187">
        <v>1516.909090909091</v>
      </c>
      <c r="R8" s="379">
        <v>116.68531468531469</v>
      </c>
      <c r="S8" s="378">
        <f t="shared" ref="S8:S21" si="0">RANK(R8, R$7:R$21)</f>
        <v>1</v>
      </c>
      <c r="T8" s="629"/>
      <c r="U8" s="378">
        <v>13</v>
      </c>
      <c r="V8" s="187">
        <v>1510.2000000000005</v>
      </c>
      <c r="W8" s="379">
        <v>116.16923076923081</v>
      </c>
      <c r="X8" s="378">
        <f t="shared" ref="X8:X21" si="1">RANK(W8, W$7:W$21)</f>
        <v>2</v>
      </c>
      <c r="Y8" s="629"/>
      <c r="Z8" s="378">
        <v>13</v>
      </c>
      <c r="AA8" s="187">
        <v>1466.8235294117653</v>
      </c>
      <c r="AB8" s="379">
        <v>112.83257918552042</v>
      </c>
      <c r="AC8" s="378">
        <f t="shared" ref="AC8:AC21" si="2">RANK(AB8, AB$7:AB$21)</f>
        <v>2</v>
      </c>
      <c r="AD8" s="629"/>
      <c r="AE8" s="378">
        <v>13</v>
      </c>
      <c r="AF8" s="187">
        <v>1464.0000000000005</v>
      </c>
      <c r="AG8" s="379">
        <v>112.61538461538466</v>
      </c>
      <c r="AH8" s="378">
        <f t="shared" ref="AH8:AH21" si="3">RANK(AG8, AG$7:AG$21)</f>
        <v>1</v>
      </c>
      <c r="AI8" s="629"/>
      <c r="AJ8" s="378">
        <v>13</v>
      </c>
      <c r="AK8" s="187">
        <v>1612.2857142857147</v>
      </c>
      <c r="AL8" s="379">
        <v>124.02197802197806</v>
      </c>
      <c r="AM8" s="378">
        <f t="shared" ref="AM8:AM21" si="4">RANK(AL8, AL$7:AL$21)</f>
        <v>1</v>
      </c>
      <c r="AN8" s="629"/>
      <c r="AO8" s="378">
        <v>13</v>
      </c>
      <c r="AP8" s="187">
        <v>1489.8947368421054</v>
      </c>
      <c r="AQ8" s="379">
        <v>114.60728744939273</v>
      </c>
      <c r="AR8" s="378">
        <f t="shared" ref="AR8:AR21" si="5">RANK(AQ8, AQ$7:AQ$21)</f>
        <v>1</v>
      </c>
      <c r="AS8" s="629"/>
      <c r="AT8" s="378">
        <v>13</v>
      </c>
      <c r="AU8" s="187">
        <v>1506.3529411764709</v>
      </c>
      <c r="AV8" s="379">
        <v>115.87330316742084</v>
      </c>
      <c r="AW8" s="378">
        <f t="shared" ref="AW8:AW21" si="6">RANK(AV8, AV$7:AV$21)</f>
        <v>2</v>
      </c>
      <c r="AX8" s="629"/>
      <c r="AZ8" s="381" t="e">
        <f>RANK(AX8, $K$7:AX$21)</f>
        <v>#N/A</v>
      </c>
      <c r="BB8" s="378" t="e">
        <f t="shared" ref="BB8:BB21" si="7">RANK(BA8, BA$7:BA$21)</f>
        <v>#N/A</v>
      </c>
    </row>
    <row r="9" spans="1:54" ht="14.25">
      <c r="A9" s="81"/>
      <c r="B9" s="598"/>
      <c r="C9" s="330">
        <v>3</v>
      </c>
      <c r="D9" s="231"/>
      <c r="E9" s="187"/>
      <c r="F9" s="330"/>
      <c r="G9" s="333"/>
      <c r="H9" s="633"/>
      <c r="I9" s="204"/>
      <c r="J9" s="204"/>
      <c r="K9" s="205"/>
      <c r="L9" s="572"/>
      <c r="M9" s="206" t="e">
        <f>RANK(K9, K$7:$K$21)</f>
        <v>#N/A</v>
      </c>
      <c r="N9" s="590"/>
      <c r="O9" s="590"/>
      <c r="P9" s="378"/>
      <c r="Q9" s="378"/>
      <c r="R9" s="378"/>
      <c r="S9" s="378" t="e">
        <f t="shared" si="0"/>
        <v>#N/A</v>
      </c>
      <c r="T9" s="629"/>
      <c r="U9" s="378"/>
      <c r="V9" s="378"/>
      <c r="W9" s="378"/>
      <c r="X9" s="378" t="e">
        <f t="shared" si="1"/>
        <v>#N/A</v>
      </c>
      <c r="Y9" s="629"/>
      <c r="Z9" s="378"/>
      <c r="AA9" s="378"/>
      <c r="AB9" s="378"/>
      <c r="AC9" s="378" t="e">
        <f t="shared" si="2"/>
        <v>#N/A</v>
      </c>
      <c r="AD9" s="629"/>
      <c r="AE9" s="378"/>
      <c r="AF9" s="378"/>
      <c r="AG9" s="378"/>
      <c r="AH9" s="378" t="e">
        <f t="shared" si="3"/>
        <v>#N/A</v>
      </c>
      <c r="AI9" s="629"/>
      <c r="AJ9" s="378"/>
      <c r="AK9" s="378"/>
      <c r="AL9" s="378"/>
      <c r="AM9" s="378" t="e">
        <f t="shared" si="4"/>
        <v>#N/A</v>
      </c>
      <c r="AN9" s="629"/>
      <c r="AO9" s="378"/>
      <c r="AP9" s="378"/>
      <c r="AQ9" s="378"/>
      <c r="AR9" s="378" t="e">
        <f t="shared" si="5"/>
        <v>#N/A</v>
      </c>
      <c r="AS9" s="629"/>
      <c r="AT9" s="378"/>
      <c r="AU9" s="378"/>
      <c r="AV9" s="378"/>
      <c r="AW9" s="378" t="e">
        <f t="shared" si="6"/>
        <v>#N/A</v>
      </c>
      <c r="AX9" s="629"/>
      <c r="AZ9" s="381" t="e">
        <f>RANK(AX9, $K$7:AX$21)</f>
        <v>#N/A</v>
      </c>
      <c r="BB9" s="378" t="e">
        <f t="shared" si="7"/>
        <v>#N/A</v>
      </c>
    </row>
    <row r="10" spans="1:54" ht="14.25">
      <c r="A10" s="81"/>
      <c r="B10" s="598"/>
      <c r="C10" s="330">
        <v>4</v>
      </c>
      <c r="D10" s="231"/>
      <c r="E10" s="187"/>
      <c r="F10" s="330"/>
      <c r="G10" s="333"/>
      <c r="H10" s="633"/>
      <c r="I10" s="204"/>
      <c r="J10" s="204"/>
      <c r="K10" s="205"/>
      <c r="L10" s="572"/>
      <c r="M10" s="206" t="e">
        <f>RANK(K10, K$7:$K$21)</f>
        <v>#N/A</v>
      </c>
      <c r="N10" s="590"/>
      <c r="O10" s="590"/>
      <c r="P10" s="378"/>
      <c r="Q10" s="378"/>
      <c r="R10" s="378"/>
      <c r="S10" s="378" t="e">
        <f t="shared" si="0"/>
        <v>#N/A</v>
      </c>
      <c r="T10" s="629"/>
      <c r="U10" s="378"/>
      <c r="V10" s="378"/>
      <c r="W10" s="378"/>
      <c r="X10" s="378" t="e">
        <f t="shared" si="1"/>
        <v>#N/A</v>
      </c>
      <c r="Y10" s="629"/>
      <c r="Z10" s="378"/>
      <c r="AA10" s="378"/>
      <c r="AB10" s="378"/>
      <c r="AC10" s="378" t="e">
        <f t="shared" si="2"/>
        <v>#N/A</v>
      </c>
      <c r="AD10" s="629"/>
      <c r="AE10" s="378"/>
      <c r="AF10" s="378"/>
      <c r="AG10" s="378"/>
      <c r="AH10" s="378" t="e">
        <f t="shared" si="3"/>
        <v>#N/A</v>
      </c>
      <c r="AI10" s="629"/>
      <c r="AJ10" s="378"/>
      <c r="AK10" s="378"/>
      <c r="AL10" s="378"/>
      <c r="AM10" s="378" t="e">
        <f t="shared" si="4"/>
        <v>#N/A</v>
      </c>
      <c r="AN10" s="629"/>
      <c r="AO10" s="378"/>
      <c r="AP10" s="378"/>
      <c r="AQ10" s="378"/>
      <c r="AR10" s="378" t="e">
        <f t="shared" si="5"/>
        <v>#N/A</v>
      </c>
      <c r="AS10" s="629"/>
      <c r="AT10" s="378"/>
      <c r="AU10" s="378"/>
      <c r="AV10" s="378"/>
      <c r="AW10" s="378" t="e">
        <f t="shared" si="6"/>
        <v>#N/A</v>
      </c>
      <c r="AX10" s="629"/>
      <c r="AZ10" s="381" t="e">
        <f>RANK(AX10, $K$7:AX$21)</f>
        <v>#N/A</v>
      </c>
      <c r="BB10" s="378" t="e">
        <f t="shared" si="7"/>
        <v>#N/A</v>
      </c>
    </row>
    <row r="11" spans="1:54" ht="14.25">
      <c r="A11" s="81"/>
      <c r="B11" s="598"/>
      <c r="C11" s="330">
        <v>5</v>
      </c>
      <c r="D11" s="231"/>
      <c r="E11" s="187"/>
      <c r="F11" s="330"/>
      <c r="G11" s="333"/>
      <c r="H11" s="633"/>
      <c r="I11" s="204"/>
      <c r="J11" s="204"/>
      <c r="K11" s="205"/>
      <c r="L11" s="572"/>
      <c r="M11" s="206" t="e">
        <f>RANK(K11, K$7:$K$21)</f>
        <v>#N/A</v>
      </c>
      <c r="N11" s="590"/>
      <c r="O11" s="590"/>
      <c r="P11" s="378"/>
      <c r="Q11" s="378"/>
      <c r="R11" s="378"/>
      <c r="S11" s="378" t="e">
        <f t="shared" si="0"/>
        <v>#N/A</v>
      </c>
      <c r="T11" s="629"/>
      <c r="U11" s="378"/>
      <c r="V11" s="378"/>
      <c r="W11" s="378"/>
      <c r="X11" s="378" t="e">
        <f t="shared" si="1"/>
        <v>#N/A</v>
      </c>
      <c r="Y11" s="629"/>
      <c r="Z11" s="378"/>
      <c r="AA11" s="378"/>
      <c r="AB11" s="378"/>
      <c r="AC11" s="378" t="e">
        <f t="shared" si="2"/>
        <v>#N/A</v>
      </c>
      <c r="AD11" s="629"/>
      <c r="AE11" s="378"/>
      <c r="AF11" s="378"/>
      <c r="AG11" s="378"/>
      <c r="AH11" s="378" t="e">
        <f t="shared" si="3"/>
        <v>#N/A</v>
      </c>
      <c r="AI11" s="629"/>
      <c r="AJ11" s="378"/>
      <c r="AK11" s="378"/>
      <c r="AL11" s="378"/>
      <c r="AM11" s="378" t="e">
        <f t="shared" si="4"/>
        <v>#N/A</v>
      </c>
      <c r="AN11" s="629"/>
      <c r="AO11" s="378"/>
      <c r="AP11" s="378"/>
      <c r="AQ11" s="378"/>
      <c r="AR11" s="378" t="e">
        <f t="shared" si="5"/>
        <v>#N/A</v>
      </c>
      <c r="AS11" s="629"/>
      <c r="AT11" s="378"/>
      <c r="AU11" s="378"/>
      <c r="AV11" s="378"/>
      <c r="AW11" s="378" t="e">
        <f t="shared" si="6"/>
        <v>#N/A</v>
      </c>
      <c r="AX11" s="629"/>
      <c r="AZ11" s="381" t="e">
        <f>RANK(AX11, $K$7:AX$21)</f>
        <v>#N/A</v>
      </c>
      <c r="BB11" s="378" t="e">
        <f t="shared" si="7"/>
        <v>#N/A</v>
      </c>
    </row>
    <row r="12" spans="1:54" ht="14.25">
      <c r="A12" s="81"/>
      <c r="B12" s="598"/>
      <c r="C12" s="330">
        <v>6</v>
      </c>
      <c r="D12" s="231"/>
      <c r="E12" s="187"/>
      <c r="F12" s="330"/>
      <c r="G12" s="333"/>
      <c r="H12" s="633"/>
      <c r="I12" s="204"/>
      <c r="J12" s="204"/>
      <c r="K12" s="205"/>
      <c r="L12" s="572"/>
      <c r="M12" s="206" t="e">
        <f>RANK(K12, K$7:$K$21)</f>
        <v>#N/A</v>
      </c>
      <c r="N12" s="590"/>
      <c r="O12" s="590"/>
      <c r="P12" s="378"/>
      <c r="Q12" s="378"/>
      <c r="R12" s="378"/>
      <c r="S12" s="378" t="e">
        <f t="shared" si="0"/>
        <v>#N/A</v>
      </c>
      <c r="T12" s="629"/>
      <c r="U12" s="378"/>
      <c r="V12" s="378"/>
      <c r="W12" s="378"/>
      <c r="X12" s="378" t="e">
        <f t="shared" si="1"/>
        <v>#N/A</v>
      </c>
      <c r="Y12" s="629"/>
      <c r="Z12" s="378"/>
      <c r="AA12" s="378"/>
      <c r="AB12" s="378"/>
      <c r="AC12" s="378" t="e">
        <f t="shared" si="2"/>
        <v>#N/A</v>
      </c>
      <c r="AD12" s="629"/>
      <c r="AE12" s="378"/>
      <c r="AF12" s="378"/>
      <c r="AG12" s="378"/>
      <c r="AH12" s="378" t="e">
        <f t="shared" si="3"/>
        <v>#N/A</v>
      </c>
      <c r="AI12" s="629"/>
      <c r="AJ12" s="378"/>
      <c r="AK12" s="378"/>
      <c r="AL12" s="378"/>
      <c r="AM12" s="378" t="e">
        <f t="shared" si="4"/>
        <v>#N/A</v>
      </c>
      <c r="AN12" s="629"/>
      <c r="AO12" s="378"/>
      <c r="AP12" s="378"/>
      <c r="AQ12" s="378"/>
      <c r="AR12" s="378" t="e">
        <f t="shared" si="5"/>
        <v>#N/A</v>
      </c>
      <c r="AS12" s="629"/>
      <c r="AT12" s="378"/>
      <c r="AU12" s="378"/>
      <c r="AV12" s="378"/>
      <c r="AW12" s="378" t="e">
        <f t="shared" si="6"/>
        <v>#N/A</v>
      </c>
      <c r="AX12" s="629"/>
      <c r="AZ12" s="381" t="e">
        <f>RANK(AX12, $K$7:AX$21)</f>
        <v>#N/A</v>
      </c>
      <c r="BB12" s="378" t="e">
        <f t="shared" si="7"/>
        <v>#N/A</v>
      </c>
    </row>
    <row r="13" spans="1:54" ht="14.25">
      <c r="A13" s="81"/>
      <c r="B13" s="598"/>
      <c r="C13" s="330">
        <v>7</v>
      </c>
      <c r="D13" s="231"/>
      <c r="E13" s="187"/>
      <c r="F13" s="330"/>
      <c r="G13" s="333"/>
      <c r="H13" s="633"/>
      <c r="I13" s="204"/>
      <c r="J13" s="204"/>
      <c r="K13" s="205"/>
      <c r="L13" s="572"/>
      <c r="M13" s="206" t="e">
        <f>RANK(K13, K$7:$K$21)</f>
        <v>#N/A</v>
      </c>
      <c r="N13" s="590"/>
      <c r="O13" s="590"/>
      <c r="P13" s="378"/>
      <c r="Q13" s="378"/>
      <c r="R13" s="378"/>
      <c r="S13" s="378" t="e">
        <f t="shared" si="0"/>
        <v>#N/A</v>
      </c>
      <c r="T13" s="629"/>
      <c r="U13" s="378"/>
      <c r="V13" s="378"/>
      <c r="W13" s="378"/>
      <c r="X13" s="378" t="e">
        <f t="shared" si="1"/>
        <v>#N/A</v>
      </c>
      <c r="Y13" s="629"/>
      <c r="Z13" s="378"/>
      <c r="AA13" s="378"/>
      <c r="AB13" s="378"/>
      <c r="AC13" s="378" t="e">
        <f t="shared" si="2"/>
        <v>#N/A</v>
      </c>
      <c r="AD13" s="629"/>
      <c r="AE13" s="378"/>
      <c r="AF13" s="378"/>
      <c r="AG13" s="378"/>
      <c r="AH13" s="378" t="e">
        <f t="shared" si="3"/>
        <v>#N/A</v>
      </c>
      <c r="AI13" s="629"/>
      <c r="AJ13" s="378"/>
      <c r="AK13" s="378"/>
      <c r="AL13" s="378"/>
      <c r="AM13" s="378" t="e">
        <f t="shared" si="4"/>
        <v>#N/A</v>
      </c>
      <c r="AN13" s="629"/>
      <c r="AO13" s="378"/>
      <c r="AP13" s="378"/>
      <c r="AQ13" s="378"/>
      <c r="AR13" s="378" t="e">
        <f t="shared" si="5"/>
        <v>#N/A</v>
      </c>
      <c r="AS13" s="629"/>
      <c r="AT13" s="378"/>
      <c r="AU13" s="378"/>
      <c r="AV13" s="378"/>
      <c r="AW13" s="378" t="e">
        <f t="shared" si="6"/>
        <v>#N/A</v>
      </c>
      <c r="AX13" s="629"/>
      <c r="AZ13" s="381" t="e">
        <f>RANK(AX13, $K$7:AX$21)</f>
        <v>#N/A</v>
      </c>
      <c r="BB13" s="378" t="e">
        <f t="shared" si="7"/>
        <v>#N/A</v>
      </c>
    </row>
    <row r="14" spans="1:54" ht="14.25">
      <c r="A14" s="81"/>
      <c r="B14" s="598"/>
      <c r="C14" s="330">
        <v>8</v>
      </c>
      <c r="D14" s="231"/>
      <c r="E14" s="187"/>
      <c r="F14" s="330"/>
      <c r="G14" s="333"/>
      <c r="H14" s="633"/>
      <c r="I14" s="204"/>
      <c r="J14" s="204"/>
      <c r="K14" s="205"/>
      <c r="L14" s="572"/>
      <c r="M14" s="206" t="e">
        <f>RANK(K14, K$7:$K$21)</f>
        <v>#N/A</v>
      </c>
      <c r="N14" s="590"/>
      <c r="O14" s="590"/>
      <c r="P14" s="378"/>
      <c r="Q14" s="378"/>
      <c r="R14" s="378"/>
      <c r="S14" s="378" t="e">
        <f t="shared" si="0"/>
        <v>#N/A</v>
      </c>
      <c r="T14" s="629"/>
      <c r="U14" s="378"/>
      <c r="V14" s="378"/>
      <c r="W14" s="378"/>
      <c r="X14" s="378" t="e">
        <f t="shared" si="1"/>
        <v>#N/A</v>
      </c>
      <c r="Y14" s="629"/>
      <c r="Z14" s="378"/>
      <c r="AA14" s="378"/>
      <c r="AB14" s="378"/>
      <c r="AC14" s="378" t="e">
        <f t="shared" si="2"/>
        <v>#N/A</v>
      </c>
      <c r="AD14" s="629"/>
      <c r="AE14" s="378"/>
      <c r="AF14" s="378"/>
      <c r="AG14" s="378"/>
      <c r="AH14" s="378" t="e">
        <f t="shared" si="3"/>
        <v>#N/A</v>
      </c>
      <c r="AI14" s="629"/>
      <c r="AJ14" s="378"/>
      <c r="AK14" s="378"/>
      <c r="AL14" s="378"/>
      <c r="AM14" s="378" t="e">
        <f t="shared" si="4"/>
        <v>#N/A</v>
      </c>
      <c r="AN14" s="629"/>
      <c r="AO14" s="378"/>
      <c r="AP14" s="378"/>
      <c r="AQ14" s="378"/>
      <c r="AR14" s="378" t="e">
        <f t="shared" si="5"/>
        <v>#N/A</v>
      </c>
      <c r="AS14" s="629"/>
      <c r="AT14" s="378"/>
      <c r="AU14" s="378"/>
      <c r="AV14" s="378"/>
      <c r="AW14" s="378" t="e">
        <f t="shared" si="6"/>
        <v>#N/A</v>
      </c>
      <c r="AX14" s="629"/>
      <c r="AZ14" s="381" t="e">
        <f>RANK(AX14, $K$7:AX$21)</f>
        <v>#N/A</v>
      </c>
      <c r="BB14" s="378" t="e">
        <f t="shared" si="7"/>
        <v>#N/A</v>
      </c>
    </row>
    <row r="15" spans="1:54" ht="14.25">
      <c r="A15" s="81"/>
      <c r="B15" s="598"/>
      <c r="C15" s="330">
        <v>9</v>
      </c>
      <c r="D15" s="231"/>
      <c r="E15" s="187"/>
      <c r="F15" s="330"/>
      <c r="G15" s="333"/>
      <c r="H15" s="633"/>
      <c r="I15" s="204"/>
      <c r="J15" s="204"/>
      <c r="K15" s="205"/>
      <c r="L15" s="572"/>
      <c r="M15" s="206" t="e">
        <f>RANK(K15, K$7:$K$21)</f>
        <v>#N/A</v>
      </c>
      <c r="N15" s="590"/>
      <c r="O15" s="590"/>
      <c r="P15" s="378"/>
      <c r="Q15" s="378"/>
      <c r="R15" s="378"/>
      <c r="S15" s="378" t="e">
        <f t="shared" si="0"/>
        <v>#N/A</v>
      </c>
      <c r="T15" s="629"/>
      <c r="U15" s="378"/>
      <c r="V15" s="378"/>
      <c r="W15" s="378"/>
      <c r="X15" s="378" t="e">
        <f t="shared" si="1"/>
        <v>#N/A</v>
      </c>
      <c r="Y15" s="629"/>
      <c r="Z15" s="378"/>
      <c r="AA15" s="378"/>
      <c r="AB15" s="378"/>
      <c r="AC15" s="378" t="e">
        <f t="shared" si="2"/>
        <v>#N/A</v>
      </c>
      <c r="AD15" s="629"/>
      <c r="AE15" s="378"/>
      <c r="AF15" s="378"/>
      <c r="AG15" s="378"/>
      <c r="AH15" s="378" t="e">
        <f t="shared" si="3"/>
        <v>#N/A</v>
      </c>
      <c r="AI15" s="629"/>
      <c r="AJ15" s="378"/>
      <c r="AK15" s="378"/>
      <c r="AL15" s="378"/>
      <c r="AM15" s="378" t="e">
        <f t="shared" si="4"/>
        <v>#N/A</v>
      </c>
      <c r="AN15" s="629"/>
      <c r="AO15" s="378"/>
      <c r="AP15" s="378"/>
      <c r="AQ15" s="378"/>
      <c r="AR15" s="378" t="e">
        <f t="shared" si="5"/>
        <v>#N/A</v>
      </c>
      <c r="AS15" s="629"/>
      <c r="AT15" s="378"/>
      <c r="AU15" s="378"/>
      <c r="AV15" s="378"/>
      <c r="AW15" s="378" t="e">
        <f t="shared" si="6"/>
        <v>#N/A</v>
      </c>
      <c r="AX15" s="629"/>
      <c r="AZ15" s="381" t="e">
        <f>RANK(AX15, $K$7:AX$21)</f>
        <v>#N/A</v>
      </c>
      <c r="BB15" s="378" t="e">
        <f t="shared" si="7"/>
        <v>#N/A</v>
      </c>
    </row>
    <row r="16" spans="1:54" ht="14.25">
      <c r="A16" s="81"/>
      <c r="B16" s="598"/>
      <c r="C16" s="330">
        <v>10</v>
      </c>
      <c r="D16" s="231"/>
      <c r="E16" s="187"/>
      <c r="F16" s="330"/>
      <c r="G16" s="333"/>
      <c r="H16" s="633"/>
      <c r="I16" s="204"/>
      <c r="J16" s="204"/>
      <c r="K16" s="205"/>
      <c r="L16" s="572"/>
      <c r="M16" s="206" t="e">
        <f>RANK(K16, K$7:$K$21)</f>
        <v>#N/A</v>
      </c>
      <c r="N16" s="590"/>
      <c r="O16" s="590"/>
      <c r="P16" s="378"/>
      <c r="Q16" s="378"/>
      <c r="R16" s="378"/>
      <c r="S16" s="378" t="e">
        <f t="shared" si="0"/>
        <v>#N/A</v>
      </c>
      <c r="T16" s="629"/>
      <c r="U16" s="378"/>
      <c r="V16" s="378"/>
      <c r="W16" s="378"/>
      <c r="X16" s="378" t="e">
        <f t="shared" si="1"/>
        <v>#N/A</v>
      </c>
      <c r="Y16" s="629"/>
      <c r="Z16" s="378"/>
      <c r="AA16" s="378"/>
      <c r="AB16" s="378"/>
      <c r="AC16" s="378" t="e">
        <f t="shared" si="2"/>
        <v>#N/A</v>
      </c>
      <c r="AD16" s="629"/>
      <c r="AE16" s="378"/>
      <c r="AF16" s="378"/>
      <c r="AG16" s="378"/>
      <c r="AH16" s="378" t="e">
        <f t="shared" si="3"/>
        <v>#N/A</v>
      </c>
      <c r="AI16" s="629"/>
      <c r="AJ16" s="378"/>
      <c r="AK16" s="378"/>
      <c r="AL16" s="378"/>
      <c r="AM16" s="378" t="e">
        <f t="shared" si="4"/>
        <v>#N/A</v>
      </c>
      <c r="AN16" s="629"/>
      <c r="AO16" s="378"/>
      <c r="AP16" s="378"/>
      <c r="AQ16" s="378"/>
      <c r="AR16" s="378" t="e">
        <f t="shared" si="5"/>
        <v>#N/A</v>
      </c>
      <c r="AS16" s="629"/>
      <c r="AT16" s="378"/>
      <c r="AU16" s="378"/>
      <c r="AV16" s="378"/>
      <c r="AW16" s="378" t="e">
        <f t="shared" si="6"/>
        <v>#N/A</v>
      </c>
      <c r="AX16" s="629"/>
      <c r="AZ16" s="381" t="e">
        <f>RANK(AX16, $K$7:AX$21)</f>
        <v>#N/A</v>
      </c>
      <c r="BB16" s="378" t="e">
        <f t="shared" si="7"/>
        <v>#N/A</v>
      </c>
    </row>
    <row r="17" spans="2:54">
      <c r="B17" s="598"/>
      <c r="C17" s="330">
        <v>11</v>
      </c>
      <c r="D17" s="231"/>
      <c r="E17" s="187"/>
      <c r="F17" s="330"/>
      <c r="G17" s="333"/>
      <c r="H17" s="633"/>
      <c r="I17" s="207"/>
      <c r="J17" s="207"/>
      <c r="K17" s="207"/>
      <c r="L17" s="572"/>
      <c r="M17" s="206" t="e">
        <f>RANK(K17, K$7:$K$21)</f>
        <v>#N/A</v>
      </c>
      <c r="N17" s="590"/>
      <c r="O17" s="590"/>
      <c r="P17" s="378"/>
      <c r="Q17" s="378"/>
      <c r="R17" s="378"/>
      <c r="S17" s="378" t="e">
        <f t="shared" si="0"/>
        <v>#N/A</v>
      </c>
      <c r="T17" s="629"/>
      <c r="U17" s="378"/>
      <c r="V17" s="378"/>
      <c r="W17" s="378"/>
      <c r="X17" s="378" t="e">
        <f t="shared" si="1"/>
        <v>#N/A</v>
      </c>
      <c r="Y17" s="629"/>
      <c r="Z17" s="378"/>
      <c r="AA17" s="378"/>
      <c r="AB17" s="378"/>
      <c r="AC17" s="378" t="e">
        <f t="shared" si="2"/>
        <v>#N/A</v>
      </c>
      <c r="AD17" s="629"/>
      <c r="AE17" s="378"/>
      <c r="AF17" s="378"/>
      <c r="AG17" s="378"/>
      <c r="AH17" s="378" t="e">
        <f t="shared" si="3"/>
        <v>#N/A</v>
      </c>
      <c r="AI17" s="629"/>
      <c r="AJ17" s="378"/>
      <c r="AK17" s="378"/>
      <c r="AL17" s="378"/>
      <c r="AM17" s="378" t="e">
        <f t="shared" si="4"/>
        <v>#N/A</v>
      </c>
      <c r="AN17" s="629"/>
      <c r="AO17" s="378"/>
      <c r="AP17" s="378"/>
      <c r="AQ17" s="378"/>
      <c r="AR17" s="378" t="e">
        <f t="shared" si="5"/>
        <v>#N/A</v>
      </c>
      <c r="AS17" s="629"/>
      <c r="AT17" s="378"/>
      <c r="AU17" s="378"/>
      <c r="AV17" s="378"/>
      <c r="AW17" s="378" t="e">
        <f t="shared" si="6"/>
        <v>#N/A</v>
      </c>
      <c r="AX17" s="629"/>
      <c r="AZ17" s="381" t="e">
        <f>RANK(AX17, $K$7:AX$21)</f>
        <v>#N/A</v>
      </c>
      <c r="BB17" s="378" t="e">
        <f t="shared" si="7"/>
        <v>#N/A</v>
      </c>
    </row>
    <row r="18" spans="2:54">
      <c r="B18" s="598"/>
      <c r="C18" s="330">
        <v>12</v>
      </c>
      <c r="D18" s="231"/>
      <c r="E18" s="187"/>
      <c r="F18" s="330"/>
      <c r="G18" s="333"/>
      <c r="H18" s="633"/>
      <c r="I18" s="207"/>
      <c r="J18" s="207"/>
      <c r="K18" s="207"/>
      <c r="L18" s="572"/>
      <c r="M18" s="206" t="e">
        <f>RANK(K18, K$7:$K$21)</f>
        <v>#N/A</v>
      </c>
      <c r="N18" s="590"/>
      <c r="O18" s="590"/>
      <c r="P18" s="378"/>
      <c r="Q18" s="378"/>
      <c r="R18" s="378"/>
      <c r="S18" s="378" t="e">
        <f t="shared" si="0"/>
        <v>#N/A</v>
      </c>
      <c r="T18" s="629"/>
      <c r="U18" s="378"/>
      <c r="V18" s="378"/>
      <c r="W18" s="378"/>
      <c r="X18" s="378" t="e">
        <f t="shared" si="1"/>
        <v>#N/A</v>
      </c>
      <c r="Y18" s="629"/>
      <c r="Z18" s="378"/>
      <c r="AA18" s="378"/>
      <c r="AB18" s="378"/>
      <c r="AC18" s="378" t="e">
        <f t="shared" si="2"/>
        <v>#N/A</v>
      </c>
      <c r="AD18" s="629"/>
      <c r="AE18" s="378"/>
      <c r="AF18" s="378"/>
      <c r="AG18" s="378"/>
      <c r="AH18" s="378" t="e">
        <f t="shared" si="3"/>
        <v>#N/A</v>
      </c>
      <c r="AI18" s="629"/>
      <c r="AJ18" s="378"/>
      <c r="AK18" s="378"/>
      <c r="AL18" s="378"/>
      <c r="AM18" s="378" t="e">
        <f t="shared" si="4"/>
        <v>#N/A</v>
      </c>
      <c r="AN18" s="629"/>
      <c r="AO18" s="378"/>
      <c r="AP18" s="378"/>
      <c r="AQ18" s="378"/>
      <c r="AR18" s="378" t="e">
        <f t="shared" si="5"/>
        <v>#N/A</v>
      </c>
      <c r="AS18" s="629"/>
      <c r="AT18" s="378"/>
      <c r="AU18" s="378"/>
      <c r="AV18" s="378"/>
      <c r="AW18" s="378" t="e">
        <f t="shared" si="6"/>
        <v>#N/A</v>
      </c>
      <c r="AX18" s="629"/>
      <c r="AZ18" s="381" t="e">
        <f>RANK(AX18, $K$7:AX$21)</f>
        <v>#N/A</v>
      </c>
      <c r="BB18" s="378" t="e">
        <f t="shared" si="7"/>
        <v>#N/A</v>
      </c>
    </row>
    <row r="19" spans="2:54">
      <c r="B19" s="598"/>
      <c r="C19" s="330">
        <v>13</v>
      </c>
      <c r="D19" s="231"/>
      <c r="E19" s="187"/>
      <c r="F19" s="330"/>
      <c r="G19" s="333"/>
      <c r="H19" s="633"/>
      <c r="I19" s="207"/>
      <c r="J19" s="207"/>
      <c r="K19" s="207"/>
      <c r="L19" s="572"/>
      <c r="M19" s="206" t="e">
        <f>RANK(K19, K$7:$K$21)</f>
        <v>#N/A</v>
      </c>
      <c r="N19" s="590"/>
      <c r="O19" s="590"/>
      <c r="P19" s="378"/>
      <c r="Q19" s="378"/>
      <c r="R19" s="378"/>
      <c r="S19" s="378" t="e">
        <f t="shared" si="0"/>
        <v>#N/A</v>
      </c>
      <c r="T19" s="629"/>
      <c r="U19" s="378"/>
      <c r="V19" s="378"/>
      <c r="W19" s="378"/>
      <c r="X19" s="378" t="e">
        <f t="shared" si="1"/>
        <v>#N/A</v>
      </c>
      <c r="Y19" s="629"/>
      <c r="Z19" s="378"/>
      <c r="AA19" s="378"/>
      <c r="AB19" s="378"/>
      <c r="AC19" s="378" t="e">
        <f t="shared" si="2"/>
        <v>#N/A</v>
      </c>
      <c r="AD19" s="629"/>
      <c r="AE19" s="378"/>
      <c r="AF19" s="378"/>
      <c r="AG19" s="378"/>
      <c r="AH19" s="378" t="e">
        <f t="shared" si="3"/>
        <v>#N/A</v>
      </c>
      <c r="AI19" s="629"/>
      <c r="AJ19" s="378"/>
      <c r="AK19" s="378"/>
      <c r="AL19" s="378"/>
      <c r="AM19" s="378" t="e">
        <f t="shared" si="4"/>
        <v>#N/A</v>
      </c>
      <c r="AN19" s="629"/>
      <c r="AO19" s="378"/>
      <c r="AP19" s="378"/>
      <c r="AQ19" s="378"/>
      <c r="AR19" s="378" t="e">
        <f t="shared" si="5"/>
        <v>#N/A</v>
      </c>
      <c r="AS19" s="629"/>
      <c r="AT19" s="378"/>
      <c r="AU19" s="378"/>
      <c r="AV19" s="378"/>
      <c r="AW19" s="378" t="e">
        <f t="shared" si="6"/>
        <v>#N/A</v>
      </c>
      <c r="AX19" s="629"/>
      <c r="AZ19" s="381" t="e">
        <f>RANK(AX19, $K$7:AX$21)</f>
        <v>#N/A</v>
      </c>
      <c r="BB19" s="378" t="e">
        <f t="shared" si="7"/>
        <v>#N/A</v>
      </c>
    </row>
    <row r="20" spans="2:54">
      <c r="B20" s="598"/>
      <c r="C20" s="330">
        <v>14</v>
      </c>
      <c r="D20" s="231"/>
      <c r="E20" s="187"/>
      <c r="F20" s="330"/>
      <c r="G20" s="333"/>
      <c r="H20" s="633"/>
      <c r="I20" s="207"/>
      <c r="J20" s="207"/>
      <c r="K20" s="207"/>
      <c r="L20" s="572"/>
      <c r="M20" s="206" t="e">
        <f>RANK(K20, K$7:$K$21)</f>
        <v>#N/A</v>
      </c>
      <c r="N20" s="590"/>
      <c r="O20" s="590"/>
      <c r="P20" s="378"/>
      <c r="Q20" s="378"/>
      <c r="R20" s="378"/>
      <c r="S20" s="378" t="e">
        <f t="shared" si="0"/>
        <v>#N/A</v>
      </c>
      <c r="T20" s="629"/>
      <c r="U20" s="378"/>
      <c r="V20" s="378"/>
      <c r="W20" s="378"/>
      <c r="X20" s="378" t="e">
        <f t="shared" si="1"/>
        <v>#N/A</v>
      </c>
      <c r="Y20" s="629"/>
      <c r="Z20" s="378"/>
      <c r="AA20" s="378"/>
      <c r="AB20" s="378"/>
      <c r="AC20" s="378" t="e">
        <f t="shared" si="2"/>
        <v>#N/A</v>
      </c>
      <c r="AD20" s="629"/>
      <c r="AE20" s="378"/>
      <c r="AF20" s="378"/>
      <c r="AG20" s="378"/>
      <c r="AH20" s="378" t="e">
        <f t="shared" si="3"/>
        <v>#N/A</v>
      </c>
      <c r="AI20" s="629"/>
      <c r="AJ20" s="378"/>
      <c r="AK20" s="378"/>
      <c r="AL20" s="378"/>
      <c r="AM20" s="378" t="e">
        <f t="shared" si="4"/>
        <v>#N/A</v>
      </c>
      <c r="AN20" s="629"/>
      <c r="AO20" s="378"/>
      <c r="AP20" s="378"/>
      <c r="AQ20" s="378"/>
      <c r="AR20" s="378" t="e">
        <f t="shared" si="5"/>
        <v>#N/A</v>
      </c>
      <c r="AS20" s="629"/>
      <c r="AT20" s="378"/>
      <c r="AU20" s="378"/>
      <c r="AV20" s="378"/>
      <c r="AW20" s="378" t="e">
        <f t="shared" si="6"/>
        <v>#N/A</v>
      </c>
      <c r="AX20" s="629"/>
      <c r="AZ20" s="381" t="e">
        <f>RANK(AX20, $K$7:AX$21)</f>
        <v>#N/A</v>
      </c>
      <c r="BB20" s="378" t="e">
        <f t="shared" si="7"/>
        <v>#N/A</v>
      </c>
    </row>
    <row r="21" spans="2:54">
      <c r="B21" s="598"/>
      <c r="C21" s="330">
        <v>15</v>
      </c>
      <c r="D21" s="231"/>
      <c r="E21" s="187"/>
      <c r="F21" s="330"/>
      <c r="G21" s="333"/>
      <c r="H21" s="634"/>
      <c r="I21" s="207"/>
      <c r="J21" s="207"/>
      <c r="K21" s="207"/>
      <c r="L21" s="573"/>
      <c r="M21" s="204" t="e">
        <f>RANK(K21, K$7:$K$21)</f>
        <v>#N/A</v>
      </c>
      <c r="N21" s="590"/>
      <c r="O21" s="590"/>
      <c r="P21" s="378"/>
      <c r="Q21" s="378"/>
      <c r="R21" s="378"/>
      <c r="S21" s="378" t="e">
        <f t="shared" si="0"/>
        <v>#N/A</v>
      </c>
      <c r="T21" s="629"/>
      <c r="U21" s="378"/>
      <c r="V21" s="378"/>
      <c r="W21" s="378"/>
      <c r="X21" s="378" t="e">
        <f t="shared" si="1"/>
        <v>#N/A</v>
      </c>
      <c r="Y21" s="629"/>
      <c r="Z21" s="378"/>
      <c r="AA21" s="378"/>
      <c r="AB21" s="378"/>
      <c r="AC21" s="378" t="e">
        <f t="shared" si="2"/>
        <v>#N/A</v>
      </c>
      <c r="AD21" s="629"/>
      <c r="AE21" s="378"/>
      <c r="AF21" s="378"/>
      <c r="AG21" s="378"/>
      <c r="AH21" s="378" t="e">
        <f t="shared" si="3"/>
        <v>#N/A</v>
      </c>
      <c r="AI21" s="629"/>
      <c r="AJ21" s="378"/>
      <c r="AK21" s="378"/>
      <c r="AL21" s="378"/>
      <c r="AM21" s="378" t="e">
        <f t="shared" si="4"/>
        <v>#N/A</v>
      </c>
      <c r="AN21" s="629"/>
      <c r="AO21" s="378"/>
      <c r="AP21" s="378"/>
      <c r="AQ21" s="378"/>
      <c r="AR21" s="378" t="e">
        <f t="shared" si="5"/>
        <v>#N/A</v>
      </c>
      <c r="AS21" s="629"/>
      <c r="AT21" s="378"/>
      <c r="AU21" s="378"/>
      <c r="AV21" s="378"/>
      <c r="AW21" s="378" t="e">
        <f t="shared" si="6"/>
        <v>#N/A</v>
      </c>
      <c r="AX21" s="629"/>
      <c r="AZ21" s="380" t="e">
        <f>RANK(AX21, $K$7:AX$21)</f>
        <v>#N/A</v>
      </c>
      <c r="BB21" s="378" t="e">
        <f t="shared" si="7"/>
        <v>#N/A</v>
      </c>
    </row>
    <row r="22" spans="2:54" ht="15.75">
      <c r="B22" s="615" t="s">
        <v>163</v>
      </c>
      <c r="C22" s="616"/>
      <c r="D22" s="616"/>
      <c r="E22" s="616"/>
      <c r="F22" s="616"/>
      <c r="G22" s="616"/>
      <c r="H22" s="616"/>
      <c r="I22" s="208"/>
      <c r="J22" s="208"/>
      <c r="K22" s="208"/>
      <c r="L22" s="208"/>
      <c r="M22" s="209"/>
      <c r="N22" s="591" t="s">
        <v>156</v>
      </c>
      <c r="O22" s="591" t="s">
        <v>105</v>
      </c>
      <c r="P22" s="635">
        <f>AT2+1</f>
        <v>45937</v>
      </c>
      <c r="Q22" s="636"/>
      <c r="R22" s="636"/>
      <c r="S22" s="636"/>
      <c r="T22" s="636"/>
      <c r="U22" s="597">
        <f>P22+1</f>
        <v>45938</v>
      </c>
      <c r="V22" s="598"/>
      <c r="W22" s="598"/>
      <c r="X22" s="598"/>
      <c r="Y22" s="598"/>
      <c r="Z22" s="597">
        <f>U22+1</f>
        <v>45939</v>
      </c>
      <c r="AA22" s="598"/>
      <c r="AB22" s="598"/>
      <c r="AC22" s="598"/>
      <c r="AD22" s="598"/>
      <c r="AE22" s="597">
        <f>Z22+1</f>
        <v>45940</v>
      </c>
      <c r="AF22" s="598"/>
      <c r="AG22" s="598"/>
      <c r="AH22" s="598"/>
      <c r="AI22" s="598"/>
      <c r="AJ22" s="597">
        <f>AE22+1</f>
        <v>45941</v>
      </c>
      <c r="AK22" s="598"/>
      <c r="AL22" s="598"/>
      <c r="AM22" s="598"/>
      <c r="AN22" s="598"/>
      <c r="AO22" s="597">
        <f>AJ22+1</f>
        <v>45942</v>
      </c>
      <c r="AP22" s="598"/>
      <c r="AQ22" s="598"/>
      <c r="AR22" s="598"/>
      <c r="AS22" s="598"/>
      <c r="AT22" s="597">
        <f>AO22+1</f>
        <v>45943</v>
      </c>
      <c r="AU22" s="598"/>
      <c r="AV22" s="598"/>
      <c r="AW22" s="598"/>
      <c r="AX22" s="598"/>
    </row>
    <row r="23" spans="2:54" ht="15.75">
      <c r="B23" s="605"/>
      <c r="C23" s="605"/>
      <c r="D23" s="605"/>
      <c r="E23" s="605"/>
      <c r="F23" s="605"/>
      <c r="G23" s="605"/>
      <c r="H23" s="605"/>
      <c r="I23" s="210"/>
      <c r="J23" s="210"/>
      <c r="K23" s="210"/>
      <c r="L23" s="210"/>
      <c r="M23" s="211"/>
      <c r="N23" s="593"/>
      <c r="O23" s="593"/>
      <c r="P23" s="597" t="s">
        <v>336</v>
      </c>
      <c r="Q23" s="598"/>
      <c r="R23" s="598"/>
      <c r="S23" s="598"/>
      <c r="T23" s="598"/>
      <c r="U23" s="597" t="s">
        <v>337</v>
      </c>
      <c r="V23" s="598"/>
      <c r="W23" s="598"/>
      <c r="X23" s="598"/>
      <c r="Y23" s="598"/>
      <c r="Z23" s="597" t="s">
        <v>338</v>
      </c>
      <c r="AA23" s="598"/>
      <c r="AB23" s="598"/>
      <c r="AC23" s="598"/>
      <c r="AD23" s="598"/>
      <c r="AE23" s="597" t="s">
        <v>339</v>
      </c>
      <c r="AF23" s="598"/>
      <c r="AG23" s="598"/>
      <c r="AH23" s="598"/>
      <c r="AI23" s="598"/>
      <c r="AJ23" s="597" t="s">
        <v>340</v>
      </c>
      <c r="AK23" s="598"/>
      <c r="AL23" s="598"/>
      <c r="AM23" s="598"/>
      <c r="AN23" s="598"/>
      <c r="AO23" s="597" t="s">
        <v>341</v>
      </c>
      <c r="AP23" s="598"/>
      <c r="AQ23" s="598"/>
      <c r="AR23" s="598"/>
      <c r="AS23" s="598"/>
      <c r="AT23" s="597" t="s">
        <v>342</v>
      </c>
      <c r="AU23" s="598"/>
      <c r="AV23" s="598"/>
      <c r="AW23" s="598"/>
      <c r="AX23" s="598"/>
    </row>
    <row r="24" spans="2:54">
      <c r="B24" s="590" t="s">
        <v>154</v>
      </c>
      <c r="C24" s="590" t="s">
        <v>454</v>
      </c>
      <c r="D24" s="590"/>
      <c r="E24" s="590" t="s">
        <v>445</v>
      </c>
      <c r="F24" s="590"/>
      <c r="G24" s="590"/>
      <c r="H24" s="606" t="s">
        <v>441</v>
      </c>
      <c r="I24" s="574" t="s">
        <v>446</v>
      </c>
      <c r="J24" s="574"/>
      <c r="K24" s="574"/>
      <c r="L24" s="575" t="s">
        <v>441</v>
      </c>
      <c r="M24" s="581" t="s">
        <v>442</v>
      </c>
      <c r="N24" s="590"/>
      <c r="O24" s="590" t="s">
        <v>447</v>
      </c>
      <c r="P24" s="587" t="s">
        <v>443</v>
      </c>
      <c r="Q24" s="588"/>
      <c r="R24" s="588"/>
      <c r="S24" s="589"/>
      <c r="T24" s="590" t="s">
        <v>441</v>
      </c>
      <c r="U24" s="587" t="s">
        <v>443</v>
      </c>
      <c r="V24" s="588"/>
      <c r="W24" s="588"/>
      <c r="X24" s="589"/>
      <c r="Y24" s="590" t="s">
        <v>441</v>
      </c>
      <c r="Z24" s="587" t="s">
        <v>443</v>
      </c>
      <c r="AA24" s="588"/>
      <c r="AB24" s="588"/>
      <c r="AC24" s="589"/>
      <c r="AD24" s="590" t="s">
        <v>441</v>
      </c>
      <c r="AE24" s="587" t="s">
        <v>443</v>
      </c>
      <c r="AF24" s="588"/>
      <c r="AG24" s="588"/>
      <c r="AH24" s="589"/>
      <c r="AI24" s="590" t="s">
        <v>441</v>
      </c>
      <c r="AJ24" s="587" t="s">
        <v>443</v>
      </c>
      <c r="AK24" s="588"/>
      <c r="AL24" s="588"/>
      <c r="AM24" s="589"/>
      <c r="AN24" s="590" t="s">
        <v>441</v>
      </c>
      <c r="AO24" s="587" t="s">
        <v>443</v>
      </c>
      <c r="AP24" s="588"/>
      <c r="AQ24" s="588"/>
      <c r="AR24" s="589"/>
      <c r="AS24" s="590" t="s">
        <v>441</v>
      </c>
      <c r="AT24" s="587" t="s">
        <v>443</v>
      </c>
      <c r="AU24" s="588"/>
      <c r="AV24" s="588"/>
      <c r="AW24" s="589"/>
      <c r="AX24" s="590" t="s">
        <v>441</v>
      </c>
    </row>
    <row r="25" spans="2:54">
      <c r="B25" s="590"/>
      <c r="C25" s="590"/>
      <c r="D25" s="590"/>
      <c r="E25" s="590" t="s">
        <v>448</v>
      </c>
      <c r="F25" s="590"/>
      <c r="G25" s="590"/>
      <c r="H25" s="607"/>
      <c r="I25" s="574" t="s">
        <v>448</v>
      </c>
      <c r="J25" s="574"/>
      <c r="K25" s="574"/>
      <c r="L25" s="576"/>
      <c r="M25" s="582"/>
      <c r="N25" s="590"/>
      <c r="O25" s="590"/>
      <c r="P25" s="587" t="s">
        <v>449</v>
      </c>
      <c r="Q25" s="588"/>
      <c r="R25" s="588"/>
      <c r="S25" s="589"/>
      <c r="T25" s="590"/>
      <c r="U25" s="587" t="s">
        <v>449</v>
      </c>
      <c r="V25" s="588"/>
      <c r="W25" s="588"/>
      <c r="X25" s="589"/>
      <c r="Y25" s="590"/>
      <c r="Z25" s="587" t="s">
        <v>449</v>
      </c>
      <c r="AA25" s="588"/>
      <c r="AB25" s="588"/>
      <c r="AC25" s="589"/>
      <c r="AD25" s="590"/>
      <c r="AE25" s="587" t="s">
        <v>449</v>
      </c>
      <c r="AF25" s="588"/>
      <c r="AG25" s="588"/>
      <c r="AH25" s="589"/>
      <c r="AI25" s="590"/>
      <c r="AJ25" s="587" t="s">
        <v>449</v>
      </c>
      <c r="AK25" s="588"/>
      <c r="AL25" s="588"/>
      <c r="AM25" s="589"/>
      <c r="AN25" s="590"/>
      <c r="AO25" s="587" t="s">
        <v>449</v>
      </c>
      <c r="AP25" s="588"/>
      <c r="AQ25" s="588"/>
      <c r="AR25" s="589"/>
      <c r="AS25" s="590"/>
      <c r="AT25" s="587" t="s">
        <v>564</v>
      </c>
      <c r="AU25" s="588"/>
      <c r="AV25" s="588"/>
      <c r="AW25" s="589"/>
      <c r="AX25" s="590"/>
    </row>
    <row r="26" spans="2:54">
      <c r="B26" s="590"/>
      <c r="C26" s="590"/>
      <c r="D26" s="590"/>
      <c r="E26" s="335" t="s">
        <v>450</v>
      </c>
      <c r="F26" s="335" t="s">
        <v>451</v>
      </c>
      <c r="G26" s="335" t="s">
        <v>452</v>
      </c>
      <c r="H26" s="608"/>
      <c r="I26" s="334" t="s">
        <v>450</v>
      </c>
      <c r="J26" s="334" t="s">
        <v>451</v>
      </c>
      <c r="K26" s="334" t="s">
        <v>452</v>
      </c>
      <c r="L26" s="577"/>
      <c r="M26" s="583"/>
      <c r="N26" s="590"/>
      <c r="O26" s="590"/>
      <c r="P26" s="335" t="s">
        <v>450</v>
      </c>
      <c r="Q26" s="335" t="s">
        <v>451</v>
      </c>
      <c r="R26" s="335" t="s">
        <v>452</v>
      </c>
      <c r="S26" s="335" t="s">
        <v>442</v>
      </c>
      <c r="T26" s="590"/>
      <c r="U26" s="335" t="s">
        <v>450</v>
      </c>
      <c r="V26" s="335" t="s">
        <v>451</v>
      </c>
      <c r="W26" s="335" t="s">
        <v>452</v>
      </c>
      <c r="X26" s="335" t="s">
        <v>565</v>
      </c>
      <c r="Y26" s="590"/>
      <c r="Z26" s="335" t="s">
        <v>566</v>
      </c>
      <c r="AA26" s="335" t="s">
        <v>451</v>
      </c>
      <c r="AB26" s="335" t="s">
        <v>452</v>
      </c>
      <c r="AC26" s="335" t="s">
        <v>442</v>
      </c>
      <c r="AD26" s="590"/>
      <c r="AE26" s="335" t="s">
        <v>567</v>
      </c>
      <c r="AF26" s="335" t="s">
        <v>568</v>
      </c>
      <c r="AG26" s="335" t="s">
        <v>452</v>
      </c>
      <c r="AH26" s="335" t="s">
        <v>442</v>
      </c>
      <c r="AI26" s="590"/>
      <c r="AJ26" s="335" t="s">
        <v>566</v>
      </c>
      <c r="AK26" s="335" t="s">
        <v>568</v>
      </c>
      <c r="AL26" s="335" t="s">
        <v>452</v>
      </c>
      <c r="AM26" s="335" t="s">
        <v>442</v>
      </c>
      <c r="AN26" s="590"/>
      <c r="AO26" s="335" t="s">
        <v>450</v>
      </c>
      <c r="AP26" s="335" t="s">
        <v>568</v>
      </c>
      <c r="AQ26" s="335" t="s">
        <v>452</v>
      </c>
      <c r="AR26" s="335" t="s">
        <v>442</v>
      </c>
      <c r="AS26" s="590"/>
      <c r="AT26" s="335" t="s">
        <v>566</v>
      </c>
      <c r="AU26" s="335" t="s">
        <v>568</v>
      </c>
      <c r="AV26" s="335" t="s">
        <v>452</v>
      </c>
      <c r="AW26" s="335" t="s">
        <v>442</v>
      </c>
      <c r="AX26" s="590"/>
    </row>
    <row r="27" spans="2:54">
      <c r="B27" s="590" t="s">
        <v>455</v>
      </c>
      <c r="C27" s="336">
        <v>1</v>
      </c>
      <c r="D27" s="231" t="s">
        <v>385</v>
      </c>
      <c r="E27" s="187">
        <v>13</v>
      </c>
      <c r="F27" s="336">
        <v>1500</v>
      </c>
      <c r="G27" s="337">
        <v>115.38461538461539</v>
      </c>
      <c r="H27" s="632">
        <f>AVERAGE(G27:G41)</f>
        <v>115.38461538461539</v>
      </c>
      <c r="I27" s="204">
        <f t="shared" ref="I27:K28" si="8">AVERAGE(P27,U27,Z27,AE27,AJ27,AO27,AT27)</f>
        <v>13</v>
      </c>
      <c r="J27" s="204">
        <f t="shared" si="8"/>
        <v>1228.6428571428555</v>
      </c>
      <c r="K27" s="205">
        <f t="shared" si="8"/>
        <v>94.510989010988865</v>
      </c>
      <c r="L27" s="571">
        <f>IFERROR(AVERAGE(K27:K41),"-")</f>
        <v>104.57151982093718</v>
      </c>
      <c r="M27" s="206">
        <f>RANK(K27, K$27:$K$41)</f>
        <v>2</v>
      </c>
      <c r="N27" s="590"/>
      <c r="O27" s="590"/>
      <c r="P27" s="187">
        <v>13</v>
      </c>
      <c r="Q27" s="187">
        <v>853.49999999999966</v>
      </c>
      <c r="R27" s="379">
        <v>65.653846153846132</v>
      </c>
      <c r="S27" s="336">
        <f t="shared" ref="S27:S41" si="9">RANK(R27, R$27:R$41)</f>
        <v>2</v>
      </c>
      <c r="T27" s="629">
        <f>AVERAGE(R27:R41)</f>
        <v>91.756153846153822</v>
      </c>
      <c r="U27" s="187">
        <v>13</v>
      </c>
      <c r="V27" s="187">
        <v>910.28571428571342</v>
      </c>
      <c r="W27" s="464">
        <v>70.021978021977958</v>
      </c>
      <c r="X27" s="336">
        <f t="shared" ref="X27:X41" si="10">RANK(W27, W$27:W$41)</f>
        <v>2</v>
      </c>
      <c r="Y27" s="629">
        <f>AVERAGE(W27:W41)</f>
        <v>91.780219780219767</v>
      </c>
      <c r="Z27" s="187">
        <v>13</v>
      </c>
      <c r="AA27" s="187">
        <v>1575.9999999999973</v>
      </c>
      <c r="AB27" s="464">
        <v>121.23076923076903</v>
      </c>
      <c r="AC27" s="336">
        <f t="shared" ref="AC27:AC41" si="11">RANK(AB27, AB$27:AB$41)</f>
        <v>1</v>
      </c>
      <c r="AD27" s="629">
        <f>AVERAGE(AB27:AB41)</f>
        <v>116.77984084880626</v>
      </c>
      <c r="AE27" s="187">
        <v>13</v>
      </c>
      <c r="AF27" s="187">
        <v>1280.9999999999943</v>
      </c>
      <c r="AG27" s="464">
        <v>98.538461538461107</v>
      </c>
      <c r="AH27" s="336">
        <f t="shared" ref="AH27:AH41" si="12">RANK(AG27, AG$27:AG$41)</f>
        <v>2</v>
      </c>
      <c r="AI27" s="629">
        <f>AVERAGE(AG27:AG41)</f>
        <v>106.64046822742449</v>
      </c>
      <c r="AJ27" s="187">
        <v>13</v>
      </c>
      <c r="AK27" s="187">
        <v>1400.9999999999995</v>
      </c>
      <c r="AL27" s="464">
        <v>107.76923076923073</v>
      </c>
      <c r="AM27" s="336">
        <f t="shared" ref="AM27:AM41" si="13">RANK(AL27, AL$27:AL$41)</f>
        <v>2</v>
      </c>
      <c r="AN27" s="629">
        <f>AVERAGE(AL27:AL41)</f>
        <v>110.53846153846155</v>
      </c>
      <c r="AO27" s="187">
        <v>13</v>
      </c>
      <c r="AP27" s="187">
        <v>1544.9999999999993</v>
      </c>
      <c r="AQ27" s="464">
        <v>118.8461538461538</v>
      </c>
      <c r="AR27" s="336">
        <f t="shared" ref="AR27:AR41" si="14">RANK(AQ27, AQ$27:AQ$41)</f>
        <v>1</v>
      </c>
      <c r="AS27" s="629">
        <f>AVERAGE(AQ27:AQ41)</f>
        <v>117.26923076923077</v>
      </c>
      <c r="AT27" s="187">
        <v>13</v>
      </c>
      <c r="AU27" s="187">
        <v>1033.7142857142846</v>
      </c>
      <c r="AV27" s="464">
        <v>79.516483516483433</v>
      </c>
      <c r="AW27" s="336">
        <f t="shared" ref="AW27:AW41" si="15">RANK(AV27, AV$27:AV$41)</f>
        <v>2</v>
      </c>
      <c r="AX27" s="629">
        <f>AVERAGE(AV27:AV41)</f>
        <v>97.236263736263709</v>
      </c>
    </row>
    <row r="28" spans="2:54">
      <c r="B28" s="598"/>
      <c r="C28" s="336">
        <v>2</v>
      </c>
      <c r="D28" s="231" t="s">
        <v>694</v>
      </c>
      <c r="E28" s="187">
        <v>13</v>
      </c>
      <c r="F28" s="336">
        <v>1500</v>
      </c>
      <c r="G28" s="337">
        <v>115.38461538461539</v>
      </c>
      <c r="H28" s="633"/>
      <c r="I28" s="465">
        <f t="shared" si="8"/>
        <v>13</v>
      </c>
      <c r="J28" s="465">
        <f t="shared" si="8"/>
        <v>1490.2166582015113</v>
      </c>
      <c r="K28" s="205">
        <f t="shared" si="8"/>
        <v>114.6320506308855</v>
      </c>
      <c r="L28" s="572"/>
      <c r="M28" s="206">
        <f>RANK(K28, K$27:$K$41)</f>
        <v>1</v>
      </c>
      <c r="N28" s="590"/>
      <c r="O28" s="590"/>
      <c r="P28" s="378">
        <v>13</v>
      </c>
      <c r="Q28" s="187">
        <v>1532.1599999999996</v>
      </c>
      <c r="R28" s="379">
        <v>117.85846153846151</v>
      </c>
      <c r="S28" s="336">
        <f t="shared" si="9"/>
        <v>1</v>
      </c>
      <c r="T28" s="629"/>
      <c r="U28" s="463">
        <v>13</v>
      </c>
      <c r="V28" s="187">
        <v>1476.0000000000007</v>
      </c>
      <c r="W28" s="464">
        <v>113.53846153846159</v>
      </c>
      <c r="X28" s="336">
        <f t="shared" si="10"/>
        <v>1</v>
      </c>
      <c r="Y28" s="629"/>
      <c r="Z28" s="463">
        <v>13</v>
      </c>
      <c r="AA28" s="187">
        <v>1460.2758620689651</v>
      </c>
      <c r="AB28" s="464">
        <v>112.32891246684348</v>
      </c>
      <c r="AC28" s="336">
        <f t="shared" si="11"/>
        <v>2</v>
      </c>
      <c r="AD28" s="629"/>
      <c r="AE28" s="463">
        <v>13</v>
      </c>
      <c r="AF28" s="187">
        <v>1491.6521739130424</v>
      </c>
      <c r="AG28" s="464">
        <v>114.74247491638788</v>
      </c>
      <c r="AH28" s="336">
        <f t="shared" si="12"/>
        <v>1</v>
      </c>
      <c r="AI28" s="629"/>
      <c r="AJ28" s="463">
        <v>13</v>
      </c>
      <c r="AK28" s="187">
        <v>1473.0000000000005</v>
      </c>
      <c r="AL28" s="464">
        <v>113.30769230769235</v>
      </c>
      <c r="AM28" s="336">
        <f t="shared" si="13"/>
        <v>1</v>
      </c>
      <c r="AN28" s="629"/>
      <c r="AO28" s="463">
        <v>13</v>
      </c>
      <c r="AP28" s="187">
        <v>1504.0000000000009</v>
      </c>
      <c r="AQ28" s="464">
        <v>115.69230769230776</v>
      </c>
      <c r="AR28" s="336">
        <f t="shared" si="14"/>
        <v>2</v>
      </c>
      <c r="AS28" s="629"/>
      <c r="AT28" s="463">
        <v>13</v>
      </c>
      <c r="AU28" s="187">
        <v>1494.4285714285718</v>
      </c>
      <c r="AV28" s="464">
        <v>114.95604395604398</v>
      </c>
      <c r="AW28" s="336">
        <f t="shared" si="15"/>
        <v>1</v>
      </c>
      <c r="AX28" s="629"/>
    </row>
    <row r="29" spans="2:54">
      <c r="B29" s="598"/>
      <c r="C29" s="336">
        <v>3</v>
      </c>
      <c r="D29" s="231"/>
      <c r="E29" s="187"/>
      <c r="F29" s="336"/>
      <c r="G29" s="337"/>
      <c r="H29" s="633"/>
      <c r="I29" s="204"/>
      <c r="J29" s="204"/>
      <c r="K29" s="205"/>
      <c r="L29" s="572"/>
      <c r="M29" s="206" t="e">
        <f>RANK(K29, K$27:$K$41)</f>
        <v>#N/A</v>
      </c>
      <c r="N29" s="590"/>
      <c r="O29" s="590"/>
      <c r="P29" s="378"/>
      <c r="Q29" s="378"/>
      <c r="R29" s="378"/>
      <c r="S29" s="336" t="e">
        <f t="shared" si="9"/>
        <v>#N/A</v>
      </c>
      <c r="T29" s="629"/>
      <c r="U29" s="378"/>
      <c r="V29" s="378"/>
      <c r="W29" s="378"/>
      <c r="X29" s="336" t="e">
        <f t="shared" si="10"/>
        <v>#N/A</v>
      </c>
      <c r="Y29" s="629"/>
      <c r="Z29" s="378"/>
      <c r="AA29" s="378"/>
      <c r="AB29" s="378"/>
      <c r="AC29" s="336" t="e">
        <f t="shared" si="11"/>
        <v>#N/A</v>
      </c>
      <c r="AD29" s="629"/>
      <c r="AE29" s="378"/>
      <c r="AF29" s="378"/>
      <c r="AG29" s="378"/>
      <c r="AH29" s="336" t="e">
        <f t="shared" si="12"/>
        <v>#N/A</v>
      </c>
      <c r="AI29" s="629"/>
      <c r="AJ29" s="378"/>
      <c r="AK29" s="378"/>
      <c r="AL29" s="378"/>
      <c r="AM29" s="336" t="e">
        <f t="shared" si="13"/>
        <v>#N/A</v>
      </c>
      <c r="AN29" s="629"/>
      <c r="AO29" s="378"/>
      <c r="AP29" s="378"/>
      <c r="AQ29" s="378"/>
      <c r="AR29" s="336" t="e">
        <f t="shared" si="14"/>
        <v>#N/A</v>
      </c>
      <c r="AS29" s="629"/>
      <c r="AT29" s="378"/>
      <c r="AU29" s="378"/>
      <c r="AV29" s="378"/>
      <c r="AW29" s="336" t="e">
        <f t="shared" si="15"/>
        <v>#N/A</v>
      </c>
      <c r="AX29" s="629"/>
    </row>
    <row r="30" spans="2:54">
      <c r="B30" s="598"/>
      <c r="C30" s="336">
        <v>4</v>
      </c>
      <c r="D30" s="231"/>
      <c r="E30" s="187"/>
      <c r="F30" s="336"/>
      <c r="G30" s="337"/>
      <c r="H30" s="633"/>
      <c r="I30" s="204"/>
      <c r="J30" s="204"/>
      <c r="K30" s="205"/>
      <c r="L30" s="572"/>
      <c r="M30" s="206" t="e">
        <f>RANK(K30, K$27:$K$41)</f>
        <v>#N/A</v>
      </c>
      <c r="N30" s="590"/>
      <c r="O30" s="590"/>
      <c r="P30" s="378"/>
      <c r="Q30" s="378"/>
      <c r="R30" s="378"/>
      <c r="S30" s="336" t="e">
        <f t="shared" si="9"/>
        <v>#N/A</v>
      </c>
      <c r="T30" s="629"/>
      <c r="U30" s="378"/>
      <c r="V30" s="378"/>
      <c r="W30" s="378"/>
      <c r="X30" s="336" t="e">
        <f t="shared" si="10"/>
        <v>#N/A</v>
      </c>
      <c r="Y30" s="629"/>
      <c r="Z30" s="378"/>
      <c r="AA30" s="378"/>
      <c r="AB30" s="378"/>
      <c r="AC30" s="336" t="e">
        <f t="shared" si="11"/>
        <v>#N/A</v>
      </c>
      <c r="AD30" s="629"/>
      <c r="AE30" s="378"/>
      <c r="AF30" s="378"/>
      <c r="AG30" s="378"/>
      <c r="AH30" s="336" t="e">
        <f t="shared" si="12"/>
        <v>#N/A</v>
      </c>
      <c r="AI30" s="629"/>
      <c r="AJ30" s="378"/>
      <c r="AK30" s="378"/>
      <c r="AL30" s="378"/>
      <c r="AM30" s="336" t="e">
        <f t="shared" si="13"/>
        <v>#N/A</v>
      </c>
      <c r="AN30" s="629"/>
      <c r="AO30" s="378"/>
      <c r="AP30" s="378"/>
      <c r="AQ30" s="378"/>
      <c r="AR30" s="336" t="e">
        <f t="shared" si="14"/>
        <v>#N/A</v>
      </c>
      <c r="AS30" s="629"/>
      <c r="AT30" s="378"/>
      <c r="AU30" s="378"/>
      <c r="AV30" s="378"/>
      <c r="AW30" s="336" t="e">
        <f t="shared" si="15"/>
        <v>#N/A</v>
      </c>
      <c r="AX30" s="629"/>
    </row>
    <row r="31" spans="2:54">
      <c r="B31" s="598"/>
      <c r="C31" s="336">
        <v>5</v>
      </c>
      <c r="D31" s="231"/>
      <c r="E31" s="187"/>
      <c r="F31" s="336"/>
      <c r="G31" s="337"/>
      <c r="H31" s="633"/>
      <c r="I31" s="204"/>
      <c r="J31" s="204"/>
      <c r="K31" s="205"/>
      <c r="L31" s="572"/>
      <c r="M31" s="206" t="e">
        <f>RANK(K31, K$27:$K$41)</f>
        <v>#N/A</v>
      </c>
      <c r="N31" s="590"/>
      <c r="O31" s="590"/>
      <c r="P31" s="378"/>
      <c r="Q31" s="378"/>
      <c r="R31" s="378"/>
      <c r="S31" s="336" t="e">
        <f t="shared" si="9"/>
        <v>#N/A</v>
      </c>
      <c r="T31" s="629"/>
      <c r="U31" s="378"/>
      <c r="V31" s="378"/>
      <c r="W31" s="378"/>
      <c r="X31" s="336" t="e">
        <f t="shared" si="10"/>
        <v>#N/A</v>
      </c>
      <c r="Y31" s="629"/>
      <c r="Z31" s="378"/>
      <c r="AA31" s="378"/>
      <c r="AB31" s="378"/>
      <c r="AC31" s="336" t="e">
        <f t="shared" si="11"/>
        <v>#N/A</v>
      </c>
      <c r="AD31" s="629"/>
      <c r="AE31" s="378"/>
      <c r="AF31" s="378"/>
      <c r="AG31" s="378"/>
      <c r="AH31" s="336" t="e">
        <f t="shared" si="12"/>
        <v>#N/A</v>
      </c>
      <c r="AI31" s="629"/>
      <c r="AJ31" s="378"/>
      <c r="AK31" s="378"/>
      <c r="AL31" s="378"/>
      <c r="AM31" s="336" t="e">
        <f t="shared" si="13"/>
        <v>#N/A</v>
      </c>
      <c r="AN31" s="629"/>
      <c r="AO31" s="378"/>
      <c r="AP31" s="378"/>
      <c r="AQ31" s="378"/>
      <c r="AR31" s="336" t="e">
        <f t="shared" si="14"/>
        <v>#N/A</v>
      </c>
      <c r="AS31" s="629"/>
      <c r="AT31" s="378"/>
      <c r="AU31" s="378"/>
      <c r="AV31" s="378"/>
      <c r="AW31" s="336" t="e">
        <f t="shared" si="15"/>
        <v>#N/A</v>
      </c>
      <c r="AX31" s="629"/>
    </row>
    <row r="32" spans="2:54">
      <c r="B32" s="598"/>
      <c r="C32" s="336">
        <v>6</v>
      </c>
      <c r="D32" s="231"/>
      <c r="E32" s="187"/>
      <c r="F32" s="336"/>
      <c r="G32" s="337"/>
      <c r="H32" s="633"/>
      <c r="I32" s="204"/>
      <c r="J32" s="204"/>
      <c r="K32" s="205"/>
      <c r="L32" s="572"/>
      <c r="M32" s="206" t="e">
        <f>RANK(K32, K$27:$K$41)</f>
        <v>#N/A</v>
      </c>
      <c r="N32" s="590"/>
      <c r="O32" s="590"/>
      <c r="P32" s="378"/>
      <c r="Q32" s="378"/>
      <c r="R32" s="378"/>
      <c r="S32" s="336" t="e">
        <f t="shared" si="9"/>
        <v>#N/A</v>
      </c>
      <c r="T32" s="629"/>
      <c r="U32" s="378"/>
      <c r="V32" s="378"/>
      <c r="W32" s="378"/>
      <c r="X32" s="336" t="e">
        <f t="shared" si="10"/>
        <v>#N/A</v>
      </c>
      <c r="Y32" s="629"/>
      <c r="Z32" s="378"/>
      <c r="AA32" s="378"/>
      <c r="AB32" s="378"/>
      <c r="AC32" s="336" t="e">
        <f t="shared" si="11"/>
        <v>#N/A</v>
      </c>
      <c r="AD32" s="629"/>
      <c r="AE32" s="378"/>
      <c r="AF32" s="378"/>
      <c r="AG32" s="378"/>
      <c r="AH32" s="336" t="e">
        <f t="shared" si="12"/>
        <v>#N/A</v>
      </c>
      <c r="AI32" s="629"/>
      <c r="AJ32" s="378"/>
      <c r="AK32" s="378"/>
      <c r="AL32" s="378"/>
      <c r="AM32" s="336" t="e">
        <f t="shared" si="13"/>
        <v>#N/A</v>
      </c>
      <c r="AN32" s="629"/>
      <c r="AO32" s="378"/>
      <c r="AP32" s="378"/>
      <c r="AQ32" s="378"/>
      <c r="AR32" s="336" t="e">
        <f t="shared" si="14"/>
        <v>#N/A</v>
      </c>
      <c r="AS32" s="629"/>
      <c r="AT32" s="378"/>
      <c r="AU32" s="378"/>
      <c r="AV32" s="378"/>
      <c r="AW32" s="336" t="e">
        <f t="shared" si="15"/>
        <v>#N/A</v>
      </c>
      <c r="AX32" s="629"/>
    </row>
    <row r="33" spans="2:50">
      <c r="B33" s="598"/>
      <c r="C33" s="336">
        <v>7</v>
      </c>
      <c r="D33" s="231"/>
      <c r="E33" s="187"/>
      <c r="F33" s="336"/>
      <c r="G33" s="337"/>
      <c r="H33" s="633"/>
      <c r="I33" s="204"/>
      <c r="J33" s="204"/>
      <c r="K33" s="205"/>
      <c r="L33" s="572"/>
      <c r="M33" s="206" t="e">
        <f>RANK(K33, K$27:$K$41)</f>
        <v>#N/A</v>
      </c>
      <c r="N33" s="590"/>
      <c r="O33" s="590"/>
      <c r="P33" s="378"/>
      <c r="Q33" s="378"/>
      <c r="R33" s="378"/>
      <c r="S33" s="336" t="e">
        <f t="shared" si="9"/>
        <v>#N/A</v>
      </c>
      <c r="T33" s="629"/>
      <c r="U33" s="378"/>
      <c r="V33" s="378"/>
      <c r="W33" s="378"/>
      <c r="X33" s="336" t="e">
        <f t="shared" si="10"/>
        <v>#N/A</v>
      </c>
      <c r="Y33" s="629"/>
      <c r="Z33" s="378"/>
      <c r="AA33" s="378"/>
      <c r="AB33" s="378"/>
      <c r="AC33" s="336" t="e">
        <f t="shared" si="11"/>
        <v>#N/A</v>
      </c>
      <c r="AD33" s="629"/>
      <c r="AE33" s="378"/>
      <c r="AF33" s="378"/>
      <c r="AG33" s="378"/>
      <c r="AH33" s="336" t="e">
        <f t="shared" si="12"/>
        <v>#N/A</v>
      </c>
      <c r="AI33" s="629"/>
      <c r="AJ33" s="378"/>
      <c r="AK33" s="378"/>
      <c r="AL33" s="378"/>
      <c r="AM33" s="336" t="e">
        <f t="shared" si="13"/>
        <v>#N/A</v>
      </c>
      <c r="AN33" s="629"/>
      <c r="AO33" s="378"/>
      <c r="AP33" s="378"/>
      <c r="AQ33" s="378"/>
      <c r="AR33" s="336" t="e">
        <f t="shared" si="14"/>
        <v>#N/A</v>
      </c>
      <c r="AS33" s="629"/>
      <c r="AT33" s="378"/>
      <c r="AU33" s="378"/>
      <c r="AV33" s="378"/>
      <c r="AW33" s="336" t="e">
        <f t="shared" si="15"/>
        <v>#N/A</v>
      </c>
      <c r="AX33" s="629"/>
    </row>
    <row r="34" spans="2:50">
      <c r="B34" s="598"/>
      <c r="C34" s="336">
        <v>8</v>
      </c>
      <c r="D34" s="231"/>
      <c r="E34" s="187"/>
      <c r="F34" s="336"/>
      <c r="G34" s="337"/>
      <c r="H34" s="633"/>
      <c r="I34" s="204"/>
      <c r="J34" s="204"/>
      <c r="K34" s="205"/>
      <c r="L34" s="572"/>
      <c r="M34" s="206" t="e">
        <f>RANK(K34, K$27:$K$41)</f>
        <v>#N/A</v>
      </c>
      <c r="N34" s="590"/>
      <c r="O34" s="590"/>
      <c r="P34" s="378"/>
      <c r="Q34" s="378"/>
      <c r="R34" s="378"/>
      <c r="S34" s="336" t="e">
        <f t="shared" si="9"/>
        <v>#N/A</v>
      </c>
      <c r="T34" s="629"/>
      <c r="U34" s="378"/>
      <c r="V34" s="378"/>
      <c r="W34" s="378"/>
      <c r="X34" s="336" t="e">
        <f t="shared" si="10"/>
        <v>#N/A</v>
      </c>
      <c r="Y34" s="629"/>
      <c r="Z34" s="378"/>
      <c r="AA34" s="378"/>
      <c r="AB34" s="378"/>
      <c r="AC34" s="336" t="e">
        <f t="shared" si="11"/>
        <v>#N/A</v>
      </c>
      <c r="AD34" s="629"/>
      <c r="AE34" s="378"/>
      <c r="AF34" s="378"/>
      <c r="AG34" s="378"/>
      <c r="AH34" s="336" t="e">
        <f t="shared" si="12"/>
        <v>#N/A</v>
      </c>
      <c r="AI34" s="629"/>
      <c r="AJ34" s="378"/>
      <c r="AK34" s="378"/>
      <c r="AL34" s="378"/>
      <c r="AM34" s="336" t="e">
        <f t="shared" si="13"/>
        <v>#N/A</v>
      </c>
      <c r="AN34" s="629"/>
      <c r="AO34" s="378"/>
      <c r="AP34" s="378"/>
      <c r="AQ34" s="378"/>
      <c r="AR34" s="336" t="e">
        <f t="shared" si="14"/>
        <v>#N/A</v>
      </c>
      <c r="AS34" s="629"/>
      <c r="AT34" s="378"/>
      <c r="AU34" s="378"/>
      <c r="AV34" s="378"/>
      <c r="AW34" s="336" t="e">
        <f t="shared" si="15"/>
        <v>#N/A</v>
      </c>
      <c r="AX34" s="629"/>
    </row>
    <row r="35" spans="2:50">
      <c r="B35" s="598"/>
      <c r="C35" s="336">
        <v>9</v>
      </c>
      <c r="D35" s="231"/>
      <c r="E35" s="187"/>
      <c r="F35" s="336"/>
      <c r="G35" s="337"/>
      <c r="H35" s="633"/>
      <c r="I35" s="204"/>
      <c r="J35" s="204"/>
      <c r="K35" s="205"/>
      <c r="L35" s="572"/>
      <c r="M35" s="206" t="e">
        <f>RANK(K35, K$27:$K$41)</f>
        <v>#N/A</v>
      </c>
      <c r="N35" s="590"/>
      <c r="O35" s="590"/>
      <c r="P35" s="378"/>
      <c r="Q35" s="378"/>
      <c r="R35" s="378"/>
      <c r="S35" s="336" t="e">
        <f t="shared" si="9"/>
        <v>#N/A</v>
      </c>
      <c r="T35" s="629"/>
      <c r="U35" s="378"/>
      <c r="V35" s="378"/>
      <c r="W35" s="378"/>
      <c r="X35" s="336" t="e">
        <f t="shared" si="10"/>
        <v>#N/A</v>
      </c>
      <c r="Y35" s="629"/>
      <c r="Z35" s="378"/>
      <c r="AA35" s="378"/>
      <c r="AB35" s="378"/>
      <c r="AC35" s="336" t="e">
        <f t="shared" si="11"/>
        <v>#N/A</v>
      </c>
      <c r="AD35" s="629"/>
      <c r="AE35" s="378"/>
      <c r="AF35" s="378"/>
      <c r="AG35" s="378"/>
      <c r="AH35" s="336" t="e">
        <f t="shared" si="12"/>
        <v>#N/A</v>
      </c>
      <c r="AI35" s="629"/>
      <c r="AJ35" s="378"/>
      <c r="AK35" s="378"/>
      <c r="AL35" s="378"/>
      <c r="AM35" s="336" t="e">
        <f t="shared" si="13"/>
        <v>#N/A</v>
      </c>
      <c r="AN35" s="629"/>
      <c r="AO35" s="378"/>
      <c r="AP35" s="378"/>
      <c r="AQ35" s="378"/>
      <c r="AR35" s="336" t="e">
        <f t="shared" si="14"/>
        <v>#N/A</v>
      </c>
      <c r="AS35" s="629"/>
      <c r="AT35" s="378"/>
      <c r="AU35" s="378"/>
      <c r="AV35" s="378"/>
      <c r="AW35" s="336" t="e">
        <f t="shared" si="15"/>
        <v>#N/A</v>
      </c>
      <c r="AX35" s="629"/>
    </row>
    <row r="36" spans="2:50">
      <c r="B36" s="598"/>
      <c r="C36" s="336">
        <v>10</v>
      </c>
      <c r="D36" s="231"/>
      <c r="E36" s="187"/>
      <c r="F36" s="336"/>
      <c r="G36" s="337"/>
      <c r="H36" s="633"/>
      <c r="I36" s="204"/>
      <c r="J36" s="204"/>
      <c r="K36" s="205"/>
      <c r="L36" s="572"/>
      <c r="M36" s="206" t="e">
        <f>RANK(K36, K$27:$K$41)</f>
        <v>#N/A</v>
      </c>
      <c r="N36" s="590"/>
      <c r="O36" s="590"/>
      <c r="P36" s="378"/>
      <c r="Q36" s="378"/>
      <c r="R36" s="378"/>
      <c r="S36" s="336" t="e">
        <f t="shared" si="9"/>
        <v>#N/A</v>
      </c>
      <c r="T36" s="629"/>
      <c r="U36" s="378"/>
      <c r="V36" s="378"/>
      <c r="W36" s="378"/>
      <c r="X36" s="336" t="e">
        <f t="shared" si="10"/>
        <v>#N/A</v>
      </c>
      <c r="Y36" s="629"/>
      <c r="Z36" s="378"/>
      <c r="AA36" s="378"/>
      <c r="AB36" s="378"/>
      <c r="AC36" s="336" t="e">
        <f t="shared" si="11"/>
        <v>#N/A</v>
      </c>
      <c r="AD36" s="629"/>
      <c r="AE36" s="378"/>
      <c r="AF36" s="378"/>
      <c r="AG36" s="378"/>
      <c r="AH36" s="336" t="e">
        <f t="shared" si="12"/>
        <v>#N/A</v>
      </c>
      <c r="AI36" s="629"/>
      <c r="AJ36" s="378"/>
      <c r="AK36" s="378"/>
      <c r="AL36" s="378"/>
      <c r="AM36" s="336" t="e">
        <f t="shared" si="13"/>
        <v>#N/A</v>
      </c>
      <c r="AN36" s="629"/>
      <c r="AO36" s="378"/>
      <c r="AP36" s="378"/>
      <c r="AQ36" s="378"/>
      <c r="AR36" s="336" t="e">
        <f t="shared" si="14"/>
        <v>#N/A</v>
      </c>
      <c r="AS36" s="629"/>
      <c r="AT36" s="378"/>
      <c r="AU36" s="378"/>
      <c r="AV36" s="378"/>
      <c r="AW36" s="336" t="e">
        <f t="shared" si="15"/>
        <v>#N/A</v>
      </c>
      <c r="AX36" s="629"/>
    </row>
    <row r="37" spans="2:50">
      <c r="B37" s="598"/>
      <c r="C37" s="336">
        <v>11</v>
      </c>
      <c r="D37" s="231"/>
      <c r="E37" s="187"/>
      <c r="F37" s="336"/>
      <c r="G37" s="337"/>
      <c r="H37" s="633"/>
      <c r="I37" s="207"/>
      <c r="J37" s="207"/>
      <c r="K37" s="207"/>
      <c r="L37" s="572"/>
      <c r="M37" s="206" t="e">
        <f>RANK(K37, K$27:$K$41)</f>
        <v>#N/A</v>
      </c>
      <c r="N37" s="590"/>
      <c r="O37" s="590"/>
      <c r="P37" s="378"/>
      <c r="Q37" s="378"/>
      <c r="R37" s="378"/>
      <c r="S37" s="336" t="e">
        <f t="shared" si="9"/>
        <v>#N/A</v>
      </c>
      <c r="T37" s="629"/>
      <c r="U37" s="378"/>
      <c r="V37" s="378"/>
      <c r="W37" s="378"/>
      <c r="X37" s="336" t="e">
        <f t="shared" si="10"/>
        <v>#N/A</v>
      </c>
      <c r="Y37" s="629"/>
      <c r="Z37" s="378"/>
      <c r="AA37" s="378"/>
      <c r="AB37" s="378"/>
      <c r="AC37" s="336" t="e">
        <f t="shared" si="11"/>
        <v>#N/A</v>
      </c>
      <c r="AD37" s="629"/>
      <c r="AE37" s="378"/>
      <c r="AF37" s="378"/>
      <c r="AG37" s="378"/>
      <c r="AH37" s="336" t="e">
        <f t="shared" si="12"/>
        <v>#N/A</v>
      </c>
      <c r="AI37" s="629"/>
      <c r="AJ37" s="378"/>
      <c r="AK37" s="378"/>
      <c r="AL37" s="378"/>
      <c r="AM37" s="336" t="e">
        <f t="shared" si="13"/>
        <v>#N/A</v>
      </c>
      <c r="AN37" s="629"/>
      <c r="AO37" s="378"/>
      <c r="AP37" s="378"/>
      <c r="AQ37" s="378"/>
      <c r="AR37" s="336" t="e">
        <f t="shared" si="14"/>
        <v>#N/A</v>
      </c>
      <c r="AS37" s="629"/>
      <c r="AT37" s="378"/>
      <c r="AU37" s="378"/>
      <c r="AV37" s="378"/>
      <c r="AW37" s="336" t="e">
        <f t="shared" si="15"/>
        <v>#N/A</v>
      </c>
      <c r="AX37" s="629"/>
    </row>
    <row r="38" spans="2:50">
      <c r="B38" s="598"/>
      <c r="C38" s="336">
        <v>12</v>
      </c>
      <c r="D38" s="231"/>
      <c r="E38" s="187"/>
      <c r="F38" s="336"/>
      <c r="G38" s="337"/>
      <c r="H38" s="633"/>
      <c r="I38" s="207"/>
      <c r="J38" s="207"/>
      <c r="K38" s="207"/>
      <c r="L38" s="572"/>
      <c r="M38" s="206" t="e">
        <f>RANK(K38, K$27:$K$41)</f>
        <v>#N/A</v>
      </c>
      <c r="N38" s="590"/>
      <c r="O38" s="590"/>
      <c r="P38" s="378"/>
      <c r="Q38" s="378"/>
      <c r="R38" s="378"/>
      <c r="S38" s="336" t="e">
        <f t="shared" si="9"/>
        <v>#N/A</v>
      </c>
      <c r="T38" s="629"/>
      <c r="U38" s="378"/>
      <c r="V38" s="378"/>
      <c r="W38" s="378"/>
      <c r="X38" s="336" t="e">
        <f t="shared" si="10"/>
        <v>#N/A</v>
      </c>
      <c r="Y38" s="629"/>
      <c r="Z38" s="378"/>
      <c r="AA38" s="378"/>
      <c r="AB38" s="378"/>
      <c r="AC38" s="336" t="e">
        <f t="shared" si="11"/>
        <v>#N/A</v>
      </c>
      <c r="AD38" s="629"/>
      <c r="AE38" s="378"/>
      <c r="AF38" s="378"/>
      <c r="AG38" s="378"/>
      <c r="AH38" s="336" t="e">
        <f t="shared" si="12"/>
        <v>#N/A</v>
      </c>
      <c r="AI38" s="629"/>
      <c r="AJ38" s="378"/>
      <c r="AK38" s="378"/>
      <c r="AL38" s="378"/>
      <c r="AM38" s="336" t="e">
        <f t="shared" si="13"/>
        <v>#N/A</v>
      </c>
      <c r="AN38" s="629"/>
      <c r="AO38" s="378"/>
      <c r="AP38" s="378"/>
      <c r="AQ38" s="378"/>
      <c r="AR38" s="336" t="e">
        <f t="shared" si="14"/>
        <v>#N/A</v>
      </c>
      <c r="AS38" s="629"/>
      <c r="AT38" s="378"/>
      <c r="AU38" s="378"/>
      <c r="AV38" s="378"/>
      <c r="AW38" s="336" t="e">
        <f t="shared" si="15"/>
        <v>#N/A</v>
      </c>
      <c r="AX38" s="629"/>
    </row>
    <row r="39" spans="2:50">
      <c r="B39" s="598"/>
      <c r="C39" s="336">
        <v>13</v>
      </c>
      <c r="D39" s="231"/>
      <c r="E39" s="187"/>
      <c r="F39" s="336"/>
      <c r="G39" s="337"/>
      <c r="H39" s="633"/>
      <c r="I39" s="207"/>
      <c r="J39" s="207"/>
      <c r="K39" s="207"/>
      <c r="L39" s="572"/>
      <c r="M39" s="206" t="e">
        <f>RANK(K39, K$27:$K$41)</f>
        <v>#N/A</v>
      </c>
      <c r="N39" s="590"/>
      <c r="O39" s="590"/>
      <c r="P39" s="378"/>
      <c r="Q39" s="378"/>
      <c r="R39" s="378"/>
      <c r="S39" s="336" t="e">
        <f t="shared" si="9"/>
        <v>#N/A</v>
      </c>
      <c r="T39" s="629"/>
      <c r="U39" s="378"/>
      <c r="V39" s="378"/>
      <c r="W39" s="378"/>
      <c r="X39" s="336" t="e">
        <f t="shared" si="10"/>
        <v>#N/A</v>
      </c>
      <c r="Y39" s="629"/>
      <c r="Z39" s="378"/>
      <c r="AA39" s="378"/>
      <c r="AB39" s="378"/>
      <c r="AC39" s="336" t="e">
        <f t="shared" si="11"/>
        <v>#N/A</v>
      </c>
      <c r="AD39" s="629"/>
      <c r="AE39" s="378"/>
      <c r="AF39" s="378"/>
      <c r="AG39" s="378"/>
      <c r="AH39" s="336" t="e">
        <f t="shared" si="12"/>
        <v>#N/A</v>
      </c>
      <c r="AI39" s="629"/>
      <c r="AJ39" s="378"/>
      <c r="AK39" s="378"/>
      <c r="AL39" s="378"/>
      <c r="AM39" s="336" t="e">
        <f t="shared" si="13"/>
        <v>#N/A</v>
      </c>
      <c r="AN39" s="629"/>
      <c r="AO39" s="378"/>
      <c r="AP39" s="378"/>
      <c r="AQ39" s="378"/>
      <c r="AR39" s="336" t="e">
        <f t="shared" si="14"/>
        <v>#N/A</v>
      </c>
      <c r="AS39" s="629"/>
      <c r="AT39" s="378"/>
      <c r="AU39" s="378"/>
      <c r="AV39" s="378"/>
      <c r="AW39" s="336" t="e">
        <f t="shared" si="15"/>
        <v>#N/A</v>
      </c>
      <c r="AX39" s="629"/>
    </row>
    <row r="40" spans="2:50">
      <c r="B40" s="598"/>
      <c r="C40" s="336">
        <v>14</v>
      </c>
      <c r="D40" s="231"/>
      <c r="E40" s="187"/>
      <c r="F40" s="336"/>
      <c r="G40" s="337"/>
      <c r="H40" s="633"/>
      <c r="I40" s="207"/>
      <c r="J40" s="207"/>
      <c r="K40" s="207"/>
      <c r="L40" s="572"/>
      <c r="M40" s="206" t="e">
        <f>RANK(K40, K$27:$K$41)</f>
        <v>#N/A</v>
      </c>
      <c r="N40" s="590"/>
      <c r="O40" s="590"/>
      <c r="P40" s="378"/>
      <c r="Q40" s="378"/>
      <c r="R40" s="378"/>
      <c r="S40" s="336" t="e">
        <f t="shared" si="9"/>
        <v>#N/A</v>
      </c>
      <c r="T40" s="629"/>
      <c r="U40" s="378"/>
      <c r="V40" s="378"/>
      <c r="W40" s="378"/>
      <c r="X40" s="336" t="e">
        <f t="shared" si="10"/>
        <v>#N/A</v>
      </c>
      <c r="Y40" s="629"/>
      <c r="Z40" s="378"/>
      <c r="AA40" s="378"/>
      <c r="AB40" s="378"/>
      <c r="AC40" s="336" t="e">
        <f t="shared" si="11"/>
        <v>#N/A</v>
      </c>
      <c r="AD40" s="629"/>
      <c r="AE40" s="378"/>
      <c r="AF40" s="378"/>
      <c r="AG40" s="378"/>
      <c r="AH40" s="336" t="e">
        <f t="shared" si="12"/>
        <v>#N/A</v>
      </c>
      <c r="AI40" s="629"/>
      <c r="AJ40" s="378"/>
      <c r="AK40" s="378"/>
      <c r="AL40" s="378"/>
      <c r="AM40" s="336" t="e">
        <f t="shared" si="13"/>
        <v>#N/A</v>
      </c>
      <c r="AN40" s="629"/>
      <c r="AO40" s="378"/>
      <c r="AP40" s="378"/>
      <c r="AQ40" s="378"/>
      <c r="AR40" s="336" t="e">
        <f t="shared" si="14"/>
        <v>#N/A</v>
      </c>
      <c r="AS40" s="629"/>
      <c r="AT40" s="378"/>
      <c r="AU40" s="378"/>
      <c r="AV40" s="378"/>
      <c r="AW40" s="336" t="e">
        <f t="shared" si="15"/>
        <v>#N/A</v>
      </c>
      <c r="AX40" s="629"/>
    </row>
    <row r="41" spans="2:50">
      <c r="B41" s="598"/>
      <c r="C41" s="336">
        <v>15</v>
      </c>
      <c r="D41" s="231"/>
      <c r="E41" s="187"/>
      <c r="F41" s="336"/>
      <c r="G41" s="337"/>
      <c r="H41" s="634"/>
      <c r="I41" s="207"/>
      <c r="J41" s="207"/>
      <c r="K41" s="207"/>
      <c r="L41" s="573"/>
      <c r="M41" s="204" t="e">
        <f>RANK(K41, K$27:$K$41)</f>
        <v>#N/A</v>
      </c>
      <c r="N41" s="590"/>
      <c r="O41" s="590"/>
      <c r="P41" s="378"/>
      <c r="Q41" s="378"/>
      <c r="R41" s="378"/>
      <c r="S41" s="336" t="e">
        <f t="shared" si="9"/>
        <v>#N/A</v>
      </c>
      <c r="T41" s="629"/>
      <c r="U41" s="378"/>
      <c r="V41" s="378"/>
      <c r="W41" s="378"/>
      <c r="X41" s="336" t="e">
        <f t="shared" si="10"/>
        <v>#N/A</v>
      </c>
      <c r="Y41" s="629"/>
      <c r="Z41" s="378"/>
      <c r="AA41" s="378"/>
      <c r="AB41" s="378"/>
      <c r="AC41" s="336" t="e">
        <f t="shared" si="11"/>
        <v>#N/A</v>
      </c>
      <c r="AD41" s="629"/>
      <c r="AE41" s="378"/>
      <c r="AF41" s="378"/>
      <c r="AG41" s="378"/>
      <c r="AH41" s="336" t="e">
        <f t="shared" si="12"/>
        <v>#N/A</v>
      </c>
      <c r="AI41" s="629"/>
      <c r="AJ41" s="378"/>
      <c r="AK41" s="378"/>
      <c r="AL41" s="378"/>
      <c r="AM41" s="336" t="e">
        <f t="shared" si="13"/>
        <v>#N/A</v>
      </c>
      <c r="AN41" s="629"/>
      <c r="AO41" s="378"/>
      <c r="AP41" s="378"/>
      <c r="AQ41" s="378"/>
      <c r="AR41" s="336" t="e">
        <f t="shared" si="14"/>
        <v>#N/A</v>
      </c>
      <c r="AS41" s="629"/>
      <c r="AT41" s="378"/>
      <c r="AU41" s="378"/>
      <c r="AV41" s="378"/>
      <c r="AW41" s="336" t="e">
        <f t="shared" si="15"/>
        <v>#N/A</v>
      </c>
      <c r="AX41" s="629"/>
    </row>
    <row r="42" spans="2:50" ht="15.75">
      <c r="B42" s="615" t="s">
        <v>163</v>
      </c>
      <c r="C42" s="616"/>
      <c r="D42" s="616"/>
      <c r="E42" s="616"/>
      <c r="F42" s="616"/>
      <c r="G42" s="616"/>
      <c r="H42" s="616"/>
      <c r="I42" s="213"/>
      <c r="J42" s="208"/>
      <c r="K42" s="213"/>
      <c r="L42" s="213"/>
      <c r="M42" s="209"/>
      <c r="N42" s="591" t="s">
        <v>156</v>
      </c>
      <c r="O42" s="591" t="s">
        <v>105</v>
      </c>
      <c r="P42" s="597">
        <f>P22+7</f>
        <v>45944</v>
      </c>
      <c r="Q42" s="598"/>
      <c r="R42" s="598"/>
      <c r="S42" s="598"/>
      <c r="T42" s="598"/>
      <c r="U42" s="594">
        <f>P42+1</f>
        <v>45945</v>
      </c>
      <c r="V42" s="595"/>
      <c r="W42" s="595"/>
      <c r="X42" s="595"/>
      <c r="Y42" s="596"/>
      <c r="Z42" s="594">
        <f>U42+1</f>
        <v>45946</v>
      </c>
      <c r="AA42" s="595"/>
      <c r="AB42" s="595"/>
      <c r="AC42" s="595"/>
      <c r="AD42" s="596"/>
      <c r="AE42" s="594">
        <f>Z42+1</f>
        <v>45947</v>
      </c>
      <c r="AF42" s="595"/>
      <c r="AG42" s="595"/>
      <c r="AH42" s="595"/>
      <c r="AI42" s="596"/>
      <c r="AJ42" s="594">
        <f>AE42+1</f>
        <v>45948</v>
      </c>
      <c r="AK42" s="595"/>
      <c r="AL42" s="595"/>
      <c r="AM42" s="595"/>
      <c r="AN42" s="596"/>
      <c r="AO42" s="594">
        <f>AJ42+1</f>
        <v>45949</v>
      </c>
      <c r="AP42" s="595"/>
      <c r="AQ42" s="595"/>
      <c r="AR42" s="595"/>
      <c r="AS42" s="596"/>
      <c r="AT42" s="594">
        <f>AO42+1</f>
        <v>45950</v>
      </c>
      <c r="AU42" s="595"/>
      <c r="AV42" s="595"/>
      <c r="AW42" s="595"/>
      <c r="AX42" s="596"/>
    </row>
    <row r="43" spans="2:50" ht="15.75">
      <c r="B43" s="605"/>
      <c r="C43" s="605"/>
      <c r="D43" s="605"/>
      <c r="E43" s="605"/>
      <c r="F43" s="605"/>
      <c r="G43" s="605"/>
      <c r="H43" s="605"/>
      <c r="I43" s="210"/>
      <c r="J43" s="210"/>
      <c r="K43" s="210"/>
      <c r="L43" s="210"/>
      <c r="M43" s="211"/>
      <c r="N43" s="593"/>
      <c r="O43" s="593"/>
      <c r="P43" s="597" t="s">
        <v>336</v>
      </c>
      <c r="Q43" s="598"/>
      <c r="R43" s="598"/>
      <c r="S43" s="598"/>
      <c r="T43" s="598"/>
      <c r="U43" s="597" t="s">
        <v>337</v>
      </c>
      <c r="V43" s="598"/>
      <c r="W43" s="598"/>
      <c r="X43" s="598"/>
      <c r="Y43" s="598"/>
      <c r="Z43" s="597" t="s">
        <v>338</v>
      </c>
      <c r="AA43" s="598"/>
      <c r="AB43" s="598"/>
      <c r="AC43" s="598"/>
      <c r="AD43" s="598"/>
      <c r="AE43" s="597" t="s">
        <v>339</v>
      </c>
      <c r="AF43" s="598"/>
      <c r="AG43" s="598"/>
      <c r="AH43" s="598"/>
      <c r="AI43" s="598"/>
      <c r="AJ43" s="597" t="s">
        <v>340</v>
      </c>
      <c r="AK43" s="598"/>
      <c r="AL43" s="598"/>
      <c r="AM43" s="598"/>
      <c r="AN43" s="598"/>
      <c r="AO43" s="597" t="s">
        <v>341</v>
      </c>
      <c r="AP43" s="598"/>
      <c r="AQ43" s="598"/>
      <c r="AR43" s="598"/>
      <c r="AS43" s="598"/>
      <c r="AT43" s="597" t="s">
        <v>342</v>
      </c>
      <c r="AU43" s="598"/>
      <c r="AV43" s="598"/>
      <c r="AW43" s="598"/>
      <c r="AX43" s="598"/>
    </row>
    <row r="44" spans="2:50">
      <c r="B44" s="590" t="s">
        <v>627</v>
      </c>
      <c r="C44" s="590" t="s">
        <v>628</v>
      </c>
      <c r="D44" s="590"/>
      <c r="E44" s="590" t="s">
        <v>629</v>
      </c>
      <c r="F44" s="590"/>
      <c r="G44" s="590"/>
      <c r="H44" s="606" t="s">
        <v>630</v>
      </c>
      <c r="I44" s="574" t="s">
        <v>631</v>
      </c>
      <c r="J44" s="574"/>
      <c r="K44" s="574"/>
      <c r="L44" s="575" t="s">
        <v>630</v>
      </c>
      <c r="M44" s="581" t="s">
        <v>632</v>
      </c>
      <c r="N44" s="590"/>
      <c r="O44" s="590" t="s">
        <v>633</v>
      </c>
      <c r="P44" s="587" t="s">
        <v>634</v>
      </c>
      <c r="Q44" s="588"/>
      <c r="R44" s="588"/>
      <c r="S44" s="589"/>
      <c r="T44" s="590" t="s">
        <v>630</v>
      </c>
      <c r="U44" s="587" t="s">
        <v>634</v>
      </c>
      <c r="V44" s="588"/>
      <c r="W44" s="588"/>
      <c r="X44" s="589"/>
      <c r="Y44" s="590" t="s">
        <v>630</v>
      </c>
      <c r="Z44" s="587" t="s">
        <v>634</v>
      </c>
      <c r="AA44" s="588"/>
      <c r="AB44" s="588"/>
      <c r="AC44" s="589"/>
      <c r="AD44" s="590" t="s">
        <v>630</v>
      </c>
      <c r="AE44" s="587" t="s">
        <v>634</v>
      </c>
      <c r="AF44" s="588"/>
      <c r="AG44" s="588"/>
      <c r="AH44" s="589"/>
      <c r="AI44" s="590" t="s">
        <v>630</v>
      </c>
      <c r="AJ44" s="587" t="s">
        <v>634</v>
      </c>
      <c r="AK44" s="588"/>
      <c r="AL44" s="588"/>
      <c r="AM44" s="589"/>
      <c r="AN44" s="590" t="s">
        <v>630</v>
      </c>
      <c r="AO44" s="587" t="s">
        <v>634</v>
      </c>
      <c r="AP44" s="588"/>
      <c r="AQ44" s="588"/>
      <c r="AR44" s="589"/>
      <c r="AS44" s="590" t="s">
        <v>630</v>
      </c>
      <c r="AT44" s="587" t="s">
        <v>634</v>
      </c>
      <c r="AU44" s="588"/>
      <c r="AV44" s="588"/>
      <c r="AW44" s="589"/>
      <c r="AX44" s="590" t="s">
        <v>630</v>
      </c>
    </row>
    <row r="45" spans="2:50">
      <c r="B45" s="590"/>
      <c r="C45" s="590"/>
      <c r="D45" s="590"/>
      <c r="E45" s="590" t="s">
        <v>635</v>
      </c>
      <c r="F45" s="590"/>
      <c r="G45" s="590"/>
      <c r="H45" s="607"/>
      <c r="I45" s="574" t="s">
        <v>635</v>
      </c>
      <c r="J45" s="574"/>
      <c r="K45" s="574"/>
      <c r="L45" s="576"/>
      <c r="M45" s="582"/>
      <c r="N45" s="590"/>
      <c r="O45" s="590"/>
      <c r="P45" s="587" t="s">
        <v>636</v>
      </c>
      <c r="Q45" s="588"/>
      <c r="R45" s="588"/>
      <c r="S45" s="589"/>
      <c r="T45" s="590"/>
      <c r="U45" s="587" t="s">
        <v>636</v>
      </c>
      <c r="V45" s="588"/>
      <c r="W45" s="588"/>
      <c r="X45" s="589"/>
      <c r="Y45" s="590"/>
      <c r="Z45" s="587" t="s">
        <v>636</v>
      </c>
      <c r="AA45" s="588"/>
      <c r="AB45" s="588"/>
      <c r="AC45" s="589"/>
      <c r="AD45" s="590"/>
      <c r="AE45" s="587" t="s">
        <v>636</v>
      </c>
      <c r="AF45" s="588"/>
      <c r="AG45" s="588"/>
      <c r="AH45" s="589"/>
      <c r="AI45" s="590"/>
      <c r="AJ45" s="587" t="s">
        <v>636</v>
      </c>
      <c r="AK45" s="588"/>
      <c r="AL45" s="588"/>
      <c r="AM45" s="589"/>
      <c r="AN45" s="590"/>
      <c r="AO45" s="587" t="s">
        <v>636</v>
      </c>
      <c r="AP45" s="588"/>
      <c r="AQ45" s="588"/>
      <c r="AR45" s="589"/>
      <c r="AS45" s="590"/>
      <c r="AT45" s="587" t="s">
        <v>636</v>
      </c>
      <c r="AU45" s="588"/>
      <c r="AV45" s="588"/>
      <c r="AW45" s="589"/>
      <c r="AX45" s="590"/>
    </row>
    <row r="46" spans="2:50">
      <c r="B46" s="590"/>
      <c r="C46" s="590"/>
      <c r="D46" s="590"/>
      <c r="E46" s="339" t="s">
        <v>637</v>
      </c>
      <c r="F46" s="339" t="s">
        <v>638</v>
      </c>
      <c r="G46" s="339" t="s">
        <v>639</v>
      </c>
      <c r="H46" s="608"/>
      <c r="I46" s="338" t="s">
        <v>637</v>
      </c>
      <c r="J46" s="338" t="s">
        <v>638</v>
      </c>
      <c r="K46" s="338" t="s">
        <v>639</v>
      </c>
      <c r="L46" s="577"/>
      <c r="M46" s="583"/>
      <c r="N46" s="590"/>
      <c r="O46" s="590"/>
      <c r="P46" s="339" t="s">
        <v>637</v>
      </c>
      <c r="Q46" s="339" t="s">
        <v>638</v>
      </c>
      <c r="R46" s="339" t="s">
        <v>639</v>
      </c>
      <c r="S46" s="339" t="s">
        <v>632</v>
      </c>
      <c r="T46" s="590"/>
      <c r="U46" s="339" t="s">
        <v>637</v>
      </c>
      <c r="V46" s="339" t="s">
        <v>638</v>
      </c>
      <c r="W46" s="339" t="s">
        <v>639</v>
      </c>
      <c r="X46" s="339" t="s">
        <v>632</v>
      </c>
      <c r="Y46" s="590"/>
      <c r="Z46" s="339" t="s">
        <v>637</v>
      </c>
      <c r="AA46" s="339" t="s">
        <v>638</v>
      </c>
      <c r="AB46" s="339" t="s">
        <v>639</v>
      </c>
      <c r="AC46" s="339" t="s">
        <v>632</v>
      </c>
      <c r="AD46" s="590"/>
      <c r="AE46" s="339" t="s">
        <v>637</v>
      </c>
      <c r="AF46" s="339" t="s">
        <v>638</v>
      </c>
      <c r="AG46" s="339" t="s">
        <v>639</v>
      </c>
      <c r="AH46" s="339" t="s">
        <v>632</v>
      </c>
      <c r="AI46" s="590"/>
      <c r="AJ46" s="339" t="s">
        <v>637</v>
      </c>
      <c r="AK46" s="339" t="s">
        <v>638</v>
      </c>
      <c r="AL46" s="339" t="s">
        <v>639</v>
      </c>
      <c r="AM46" s="339" t="s">
        <v>632</v>
      </c>
      <c r="AN46" s="590"/>
      <c r="AO46" s="339" t="s">
        <v>637</v>
      </c>
      <c r="AP46" s="339" t="s">
        <v>638</v>
      </c>
      <c r="AQ46" s="339" t="s">
        <v>639</v>
      </c>
      <c r="AR46" s="339" t="s">
        <v>632</v>
      </c>
      <c r="AS46" s="590"/>
      <c r="AT46" s="339" t="s">
        <v>637</v>
      </c>
      <c r="AU46" s="339" t="s">
        <v>638</v>
      </c>
      <c r="AV46" s="339" t="s">
        <v>639</v>
      </c>
      <c r="AW46" s="339" t="s">
        <v>632</v>
      </c>
      <c r="AX46" s="590"/>
    </row>
    <row r="47" spans="2:50">
      <c r="B47" s="590" t="s">
        <v>640</v>
      </c>
      <c r="C47" s="340">
        <v>1</v>
      </c>
      <c r="D47" s="231" t="s">
        <v>385</v>
      </c>
      <c r="E47" s="187">
        <v>13</v>
      </c>
      <c r="F47" s="340">
        <v>1500</v>
      </c>
      <c r="G47" s="341">
        <v>115.38461538461539</v>
      </c>
      <c r="H47" s="632">
        <f>AVERAGE(G47:G61)</f>
        <v>115.38461538461539</v>
      </c>
      <c r="I47" s="204">
        <f>AVERAGE(P47,U47,Z47,AE47,AJ47,AO47,AT47)</f>
        <v>13</v>
      </c>
      <c r="J47" s="204">
        <f>AVERAGE(Q47,V47,AA47,AF47,AK47,AP47,AU47)</f>
        <v>1339.138775510203</v>
      </c>
      <c r="K47" s="205">
        <f>AVERAGE(R47,W47,AB47,AG47,AL47,AQ47,AV47)</f>
        <v>103.01067503924638</v>
      </c>
      <c r="L47" s="571">
        <f>IFERROR(AVERAGE(K47:K61),"-")</f>
        <v>103.01067503924638</v>
      </c>
      <c r="M47" s="206">
        <f>RANK(K47, K$47:$K$61)</f>
        <v>1</v>
      </c>
      <c r="N47" s="590"/>
      <c r="O47" s="590"/>
      <c r="P47" s="187">
        <v>13</v>
      </c>
      <c r="Q47" s="187">
        <v>1314.0000000000045</v>
      </c>
      <c r="R47" s="187">
        <v>101.07692307692342</v>
      </c>
      <c r="S47" s="340">
        <f>RANK(R47, R$47:R$61)</f>
        <v>2</v>
      </c>
      <c r="T47" s="629">
        <f>AVERAGE(R47:R61)</f>
        <v>108.01775147929013</v>
      </c>
      <c r="U47" s="187">
        <v>13</v>
      </c>
      <c r="V47" s="187">
        <v>1478.3999999999958</v>
      </c>
      <c r="W47" s="187">
        <v>113.7230769230766</v>
      </c>
      <c r="X47" s="346">
        <f>RANK(W47, W$47:W$61)</f>
        <v>1</v>
      </c>
      <c r="Y47" s="629">
        <f>AVERAGE(W47:W61)</f>
        <v>113.71952662721874</v>
      </c>
      <c r="Z47" s="187">
        <v>13</v>
      </c>
      <c r="AA47" s="187">
        <v>944.57142857142753</v>
      </c>
      <c r="AB47" s="187">
        <v>72.659340659340586</v>
      </c>
      <c r="AC47" s="346">
        <f>RANK(AB47, AB$47:AB$61)</f>
        <v>2</v>
      </c>
      <c r="AD47" s="629">
        <f>AVERAGE(AB47:AB61)</f>
        <v>93.494505494505447</v>
      </c>
      <c r="AE47" s="187">
        <v>13</v>
      </c>
      <c r="AF47" s="187">
        <v>1274.9999999999995</v>
      </c>
      <c r="AG47" s="187">
        <v>98.076923076923038</v>
      </c>
      <c r="AH47" s="346">
        <f>RANK(AG47, AG$47:AG$61)</f>
        <v>2</v>
      </c>
      <c r="AI47" s="629">
        <f>AVERAGE(AG47:AG61)</f>
        <v>105.66923076923086</v>
      </c>
      <c r="AJ47" s="187">
        <v>13</v>
      </c>
      <c r="AK47" s="187">
        <v>1295.9999999999995</v>
      </c>
      <c r="AL47" s="187">
        <v>99.692307692307651</v>
      </c>
      <c r="AM47" s="346">
        <f>RANK(AL47, AL$47:AL$61)</f>
        <v>2</v>
      </c>
      <c r="AN47" s="629">
        <f>AVERAGE(AL47:AL61)</f>
        <v>105.56643356643357</v>
      </c>
      <c r="AO47" s="187">
        <v>13</v>
      </c>
      <c r="AP47" s="187">
        <v>1649.9999999999927</v>
      </c>
      <c r="AQ47" s="187">
        <v>126.92307692307637</v>
      </c>
      <c r="AR47" s="346">
        <f>RANK(AQ47, AQ$47:AQ$61)</f>
        <v>1</v>
      </c>
      <c r="AS47" s="629">
        <f>AVERAGE(AQ47:AQ61)</f>
        <v>122.37556561085938</v>
      </c>
      <c r="AT47" s="187">
        <v>13</v>
      </c>
      <c r="AU47" s="187">
        <v>1416.0000000000014</v>
      </c>
      <c r="AV47" s="187">
        <v>108.92307692307703</v>
      </c>
      <c r="AW47" s="346">
        <f>RANK(AV47, AV$47:AV$61)</f>
        <v>2</v>
      </c>
      <c r="AX47" s="629">
        <f>AVERAGE(AV47:AV61)</f>
        <v>111.17056856187301</v>
      </c>
    </row>
    <row r="48" spans="2:50">
      <c r="B48" s="598"/>
      <c r="C48" s="340">
        <v>2</v>
      </c>
      <c r="D48" s="231" t="s">
        <v>694</v>
      </c>
      <c r="E48" s="187">
        <v>13</v>
      </c>
      <c r="F48" s="340">
        <v>1500</v>
      </c>
      <c r="G48" s="341">
        <v>115.38461538461539</v>
      </c>
      <c r="H48" s="633"/>
      <c r="I48" s="204"/>
      <c r="J48" s="204"/>
      <c r="K48" s="205"/>
      <c r="L48" s="572"/>
      <c r="M48" s="206" t="e">
        <f>RANK(K48, K$47:$K$61)</f>
        <v>#N/A</v>
      </c>
      <c r="N48" s="590"/>
      <c r="O48" s="590"/>
      <c r="P48" s="187">
        <v>13</v>
      </c>
      <c r="Q48" s="187">
        <v>1494.461538461539</v>
      </c>
      <c r="R48" s="187">
        <v>114.95857988165685</v>
      </c>
      <c r="S48" s="346">
        <f t="shared" ref="S48:S61" si="16">RANK(R48, R$47:R$61)</f>
        <v>1</v>
      </c>
      <c r="T48" s="629"/>
      <c r="U48" s="187">
        <v>13</v>
      </c>
      <c r="V48" s="187">
        <v>1478.3076923076915</v>
      </c>
      <c r="W48" s="187">
        <v>113.71597633136088</v>
      </c>
      <c r="X48" s="346">
        <f t="shared" ref="X48:X61" si="17">RANK(W48, W$47:W$61)</f>
        <v>2</v>
      </c>
      <c r="Y48" s="629"/>
      <c r="Z48" s="187">
        <v>13</v>
      </c>
      <c r="AA48" s="187">
        <v>1486.285714285714</v>
      </c>
      <c r="AB48" s="187">
        <v>114.32967032967031</v>
      </c>
      <c r="AC48" s="346">
        <f t="shared" ref="AC48:AC61" si="18">RANK(AB48, AB$47:AB$61)</f>
        <v>1</v>
      </c>
      <c r="AD48" s="629"/>
      <c r="AE48" s="187">
        <v>13</v>
      </c>
      <c r="AF48" s="187">
        <v>1472.4000000000028</v>
      </c>
      <c r="AG48" s="187">
        <v>113.26153846153868</v>
      </c>
      <c r="AH48" s="346">
        <f t="shared" ref="AH48:AH61" si="19">RANK(AG48, AG$47:AG$61)</f>
        <v>1</v>
      </c>
      <c r="AI48" s="629"/>
      <c r="AJ48" s="187">
        <v>13</v>
      </c>
      <c r="AK48" s="187">
        <v>1448.7272727272737</v>
      </c>
      <c r="AL48" s="187">
        <v>111.44055944055951</v>
      </c>
      <c r="AM48" s="346">
        <f t="shared" ref="AM48:AM61" si="20">RANK(AL48, AL$47:AL$61)</f>
        <v>1</v>
      </c>
      <c r="AN48" s="629"/>
      <c r="AO48" s="187">
        <v>13</v>
      </c>
      <c r="AP48" s="187">
        <v>1531.7647058823511</v>
      </c>
      <c r="AQ48" s="187">
        <v>117.8280542986424</v>
      </c>
      <c r="AR48" s="346">
        <f t="shared" ref="AR48:AR61" si="21">RANK(AQ48, AQ$47:AQ$61)</f>
        <v>2</v>
      </c>
      <c r="AS48" s="629"/>
      <c r="AT48" s="187">
        <v>13</v>
      </c>
      <c r="AU48" s="187">
        <v>1474.4347826086967</v>
      </c>
      <c r="AV48" s="187">
        <v>113.41806020066898</v>
      </c>
      <c r="AW48" s="346">
        <f t="shared" ref="AW48:AW61" si="22">RANK(AV48, AV$47:AV$61)</f>
        <v>1</v>
      </c>
      <c r="AX48" s="629"/>
    </row>
    <row r="49" spans="2:50">
      <c r="B49" s="598"/>
      <c r="C49" s="340">
        <v>3</v>
      </c>
      <c r="D49" s="231"/>
      <c r="E49" s="187"/>
      <c r="F49" s="340"/>
      <c r="G49" s="341"/>
      <c r="H49" s="633"/>
      <c r="I49" s="204"/>
      <c r="J49" s="204"/>
      <c r="K49" s="205"/>
      <c r="L49" s="572"/>
      <c r="M49" s="206" t="e">
        <f>RANK(K49, K$47:$K$61)</f>
        <v>#N/A</v>
      </c>
      <c r="N49" s="590"/>
      <c r="O49" s="590"/>
      <c r="P49" s="378"/>
      <c r="Q49" s="378"/>
      <c r="R49" s="378"/>
      <c r="S49" s="346" t="e">
        <f t="shared" si="16"/>
        <v>#N/A</v>
      </c>
      <c r="T49" s="629"/>
      <c r="U49" s="378"/>
      <c r="V49" s="378"/>
      <c r="W49" s="378"/>
      <c r="X49" s="346" t="e">
        <f t="shared" si="17"/>
        <v>#N/A</v>
      </c>
      <c r="Y49" s="629"/>
      <c r="Z49" s="378"/>
      <c r="AA49" s="378"/>
      <c r="AB49" s="378"/>
      <c r="AC49" s="346" t="e">
        <f t="shared" si="18"/>
        <v>#N/A</v>
      </c>
      <c r="AD49" s="629"/>
      <c r="AE49" s="378"/>
      <c r="AF49" s="378"/>
      <c r="AG49" s="378"/>
      <c r="AH49" s="346" t="e">
        <f t="shared" si="19"/>
        <v>#N/A</v>
      </c>
      <c r="AI49" s="629"/>
      <c r="AJ49" s="378"/>
      <c r="AK49" s="378"/>
      <c r="AL49" s="378"/>
      <c r="AM49" s="346" t="e">
        <f t="shared" si="20"/>
        <v>#N/A</v>
      </c>
      <c r="AN49" s="629"/>
      <c r="AO49" s="378"/>
      <c r="AP49" s="378"/>
      <c r="AQ49" s="378"/>
      <c r="AR49" s="346" t="e">
        <f t="shared" si="21"/>
        <v>#N/A</v>
      </c>
      <c r="AS49" s="629"/>
      <c r="AT49" s="378"/>
      <c r="AU49" s="378"/>
      <c r="AV49" s="378"/>
      <c r="AW49" s="346" t="e">
        <f t="shared" si="22"/>
        <v>#N/A</v>
      </c>
      <c r="AX49" s="629"/>
    </row>
    <row r="50" spans="2:50">
      <c r="B50" s="598"/>
      <c r="C50" s="340">
        <v>4</v>
      </c>
      <c r="D50" s="231"/>
      <c r="E50" s="187"/>
      <c r="F50" s="340"/>
      <c r="G50" s="341"/>
      <c r="H50" s="633"/>
      <c r="I50" s="204"/>
      <c r="J50" s="204"/>
      <c r="K50" s="205"/>
      <c r="L50" s="572"/>
      <c r="M50" s="206" t="e">
        <f>RANK(K50, K$47:$K$61)</f>
        <v>#N/A</v>
      </c>
      <c r="N50" s="590"/>
      <c r="O50" s="590"/>
      <c r="P50" s="378"/>
      <c r="Q50" s="378"/>
      <c r="R50" s="378"/>
      <c r="S50" s="346" t="e">
        <f t="shared" si="16"/>
        <v>#N/A</v>
      </c>
      <c r="T50" s="629"/>
      <c r="U50" s="378"/>
      <c r="V50" s="378"/>
      <c r="W50" s="378"/>
      <c r="X50" s="346" t="e">
        <f t="shared" si="17"/>
        <v>#N/A</v>
      </c>
      <c r="Y50" s="629"/>
      <c r="Z50" s="378"/>
      <c r="AA50" s="378"/>
      <c r="AB50" s="378"/>
      <c r="AC50" s="346" t="e">
        <f t="shared" si="18"/>
        <v>#N/A</v>
      </c>
      <c r="AD50" s="629"/>
      <c r="AE50" s="378"/>
      <c r="AF50" s="378"/>
      <c r="AG50" s="378"/>
      <c r="AH50" s="346" t="e">
        <f t="shared" si="19"/>
        <v>#N/A</v>
      </c>
      <c r="AI50" s="629"/>
      <c r="AJ50" s="378"/>
      <c r="AK50" s="378"/>
      <c r="AL50" s="378"/>
      <c r="AM50" s="346" t="e">
        <f t="shared" si="20"/>
        <v>#N/A</v>
      </c>
      <c r="AN50" s="629"/>
      <c r="AO50" s="378"/>
      <c r="AP50" s="378"/>
      <c r="AQ50" s="378"/>
      <c r="AR50" s="346" t="e">
        <f t="shared" si="21"/>
        <v>#N/A</v>
      </c>
      <c r="AS50" s="629"/>
      <c r="AT50" s="378"/>
      <c r="AU50" s="378"/>
      <c r="AV50" s="378"/>
      <c r="AW50" s="346" t="e">
        <f t="shared" si="22"/>
        <v>#N/A</v>
      </c>
      <c r="AX50" s="629"/>
    </row>
    <row r="51" spans="2:50">
      <c r="B51" s="598"/>
      <c r="C51" s="340">
        <v>5</v>
      </c>
      <c r="D51" s="231"/>
      <c r="E51" s="187"/>
      <c r="F51" s="340"/>
      <c r="G51" s="341"/>
      <c r="H51" s="633"/>
      <c r="I51" s="204"/>
      <c r="J51" s="204"/>
      <c r="K51" s="205"/>
      <c r="L51" s="572"/>
      <c r="M51" s="206" t="e">
        <f>RANK(K51, K$47:$K$61)</f>
        <v>#N/A</v>
      </c>
      <c r="N51" s="590"/>
      <c r="O51" s="590"/>
      <c r="P51" s="378"/>
      <c r="Q51" s="378"/>
      <c r="R51" s="378"/>
      <c r="S51" s="346" t="e">
        <f t="shared" si="16"/>
        <v>#N/A</v>
      </c>
      <c r="T51" s="629"/>
      <c r="U51" s="378"/>
      <c r="V51" s="378"/>
      <c r="W51" s="378"/>
      <c r="X51" s="346" t="e">
        <f t="shared" si="17"/>
        <v>#N/A</v>
      </c>
      <c r="Y51" s="629"/>
      <c r="Z51" s="378"/>
      <c r="AA51" s="378"/>
      <c r="AB51" s="378"/>
      <c r="AC51" s="346" t="e">
        <f t="shared" si="18"/>
        <v>#N/A</v>
      </c>
      <c r="AD51" s="629"/>
      <c r="AE51" s="378"/>
      <c r="AF51" s="378"/>
      <c r="AG51" s="378"/>
      <c r="AH51" s="346" t="e">
        <f t="shared" si="19"/>
        <v>#N/A</v>
      </c>
      <c r="AI51" s="629"/>
      <c r="AJ51" s="378"/>
      <c r="AK51" s="378"/>
      <c r="AL51" s="378"/>
      <c r="AM51" s="346" t="e">
        <f t="shared" si="20"/>
        <v>#N/A</v>
      </c>
      <c r="AN51" s="629"/>
      <c r="AO51" s="378"/>
      <c r="AP51" s="378"/>
      <c r="AQ51" s="378"/>
      <c r="AR51" s="346" t="e">
        <f t="shared" si="21"/>
        <v>#N/A</v>
      </c>
      <c r="AS51" s="629"/>
      <c r="AT51" s="378"/>
      <c r="AU51" s="378"/>
      <c r="AV51" s="378"/>
      <c r="AW51" s="346" t="e">
        <f t="shared" si="22"/>
        <v>#N/A</v>
      </c>
      <c r="AX51" s="629"/>
    </row>
    <row r="52" spans="2:50">
      <c r="B52" s="598"/>
      <c r="C52" s="340">
        <v>6</v>
      </c>
      <c r="D52" s="231"/>
      <c r="E52" s="187"/>
      <c r="F52" s="340"/>
      <c r="G52" s="341"/>
      <c r="H52" s="633"/>
      <c r="I52" s="204"/>
      <c r="J52" s="204"/>
      <c r="K52" s="205"/>
      <c r="L52" s="572"/>
      <c r="M52" s="206" t="e">
        <f>RANK(K52, K$47:$K$61)</f>
        <v>#N/A</v>
      </c>
      <c r="N52" s="590"/>
      <c r="O52" s="590"/>
      <c r="P52" s="378"/>
      <c r="Q52" s="378"/>
      <c r="R52" s="378"/>
      <c r="S52" s="346" t="e">
        <f t="shared" si="16"/>
        <v>#N/A</v>
      </c>
      <c r="T52" s="629"/>
      <c r="U52" s="378"/>
      <c r="V52" s="378"/>
      <c r="W52" s="378"/>
      <c r="X52" s="346" t="e">
        <f t="shared" si="17"/>
        <v>#N/A</v>
      </c>
      <c r="Y52" s="629"/>
      <c r="Z52" s="378"/>
      <c r="AA52" s="378"/>
      <c r="AB52" s="378"/>
      <c r="AC52" s="346" t="e">
        <f t="shared" si="18"/>
        <v>#N/A</v>
      </c>
      <c r="AD52" s="629"/>
      <c r="AE52" s="378"/>
      <c r="AF52" s="378"/>
      <c r="AG52" s="378"/>
      <c r="AH52" s="346" t="e">
        <f t="shared" si="19"/>
        <v>#N/A</v>
      </c>
      <c r="AI52" s="629"/>
      <c r="AJ52" s="378"/>
      <c r="AK52" s="378"/>
      <c r="AL52" s="378"/>
      <c r="AM52" s="346" t="e">
        <f t="shared" si="20"/>
        <v>#N/A</v>
      </c>
      <c r="AN52" s="629"/>
      <c r="AO52" s="378"/>
      <c r="AP52" s="378"/>
      <c r="AQ52" s="378"/>
      <c r="AR52" s="346" t="e">
        <f t="shared" si="21"/>
        <v>#N/A</v>
      </c>
      <c r="AS52" s="629"/>
      <c r="AT52" s="378"/>
      <c r="AU52" s="378"/>
      <c r="AV52" s="378"/>
      <c r="AW52" s="346" t="e">
        <f t="shared" si="22"/>
        <v>#N/A</v>
      </c>
      <c r="AX52" s="629"/>
    </row>
    <row r="53" spans="2:50">
      <c r="B53" s="598"/>
      <c r="C53" s="340">
        <v>7</v>
      </c>
      <c r="D53" s="231"/>
      <c r="E53" s="187"/>
      <c r="F53" s="340"/>
      <c r="G53" s="341"/>
      <c r="H53" s="633"/>
      <c r="I53" s="204"/>
      <c r="J53" s="204"/>
      <c r="K53" s="205"/>
      <c r="L53" s="572"/>
      <c r="M53" s="206" t="e">
        <f>RANK(K53, K$47:$K$61)</f>
        <v>#N/A</v>
      </c>
      <c r="N53" s="590"/>
      <c r="O53" s="590"/>
      <c r="P53" s="378"/>
      <c r="Q53" s="378"/>
      <c r="R53" s="378"/>
      <c r="S53" s="346" t="e">
        <f t="shared" si="16"/>
        <v>#N/A</v>
      </c>
      <c r="T53" s="629"/>
      <c r="U53" s="378"/>
      <c r="V53" s="378"/>
      <c r="W53" s="378"/>
      <c r="X53" s="346" t="e">
        <f t="shared" si="17"/>
        <v>#N/A</v>
      </c>
      <c r="Y53" s="629"/>
      <c r="Z53" s="378"/>
      <c r="AA53" s="378"/>
      <c r="AB53" s="378"/>
      <c r="AC53" s="346" t="e">
        <f t="shared" si="18"/>
        <v>#N/A</v>
      </c>
      <c r="AD53" s="629"/>
      <c r="AE53" s="378"/>
      <c r="AF53" s="378"/>
      <c r="AG53" s="378"/>
      <c r="AH53" s="346" t="e">
        <f t="shared" si="19"/>
        <v>#N/A</v>
      </c>
      <c r="AI53" s="629"/>
      <c r="AJ53" s="378"/>
      <c r="AK53" s="378"/>
      <c r="AL53" s="378"/>
      <c r="AM53" s="346" t="e">
        <f t="shared" si="20"/>
        <v>#N/A</v>
      </c>
      <c r="AN53" s="629"/>
      <c r="AO53" s="378"/>
      <c r="AP53" s="378"/>
      <c r="AQ53" s="378"/>
      <c r="AR53" s="346" t="e">
        <f t="shared" si="21"/>
        <v>#N/A</v>
      </c>
      <c r="AS53" s="629"/>
      <c r="AT53" s="378"/>
      <c r="AU53" s="378"/>
      <c r="AV53" s="378"/>
      <c r="AW53" s="346" t="e">
        <f t="shared" si="22"/>
        <v>#N/A</v>
      </c>
      <c r="AX53" s="629"/>
    </row>
    <row r="54" spans="2:50">
      <c r="B54" s="598"/>
      <c r="C54" s="340">
        <v>8</v>
      </c>
      <c r="D54" s="231"/>
      <c r="E54" s="187"/>
      <c r="F54" s="340"/>
      <c r="G54" s="341"/>
      <c r="H54" s="633"/>
      <c r="I54" s="204"/>
      <c r="J54" s="204"/>
      <c r="K54" s="205"/>
      <c r="L54" s="572"/>
      <c r="M54" s="206" t="e">
        <f>RANK(K54, K$47:$K$61)</f>
        <v>#N/A</v>
      </c>
      <c r="N54" s="590"/>
      <c r="O54" s="590"/>
      <c r="P54" s="378"/>
      <c r="Q54" s="378"/>
      <c r="R54" s="378"/>
      <c r="S54" s="346" t="e">
        <f t="shared" si="16"/>
        <v>#N/A</v>
      </c>
      <c r="T54" s="629"/>
      <c r="U54" s="378"/>
      <c r="V54" s="378"/>
      <c r="W54" s="378"/>
      <c r="X54" s="346" t="e">
        <f t="shared" si="17"/>
        <v>#N/A</v>
      </c>
      <c r="Y54" s="629"/>
      <c r="Z54" s="378"/>
      <c r="AA54" s="378"/>
      <c r="AB54" s="378"/>
      <c r="AC54" s="346" t="e">
        <f t="shared" si="18"/>
        <v>#N/A</v>
      </c>
      <c r="AD54" s="629"/>
      <c r="AE54" s="378"/>
      <c r="AF54" s="378"/>
      <c r="AG54" s="378"/>
      <c r="AH54" s="346" t="e">
        <f t="shared" si="19"/>
        <v>#N/A</v>
      </c>
      <c r="AI54" s="629"/>
      <c r="AJ54" s="378"/>
      <c r="AK54" s="378"/>
      <c r="AL54" s="378"/>
      <c r="AM54" s="346" t="e">
        <f t="shared" si="20"/>
        <v>#N/A</v>
      </c>
      <c r="AN54" s="629"/>
      <c r="AO54" s="378"/>
      <c r="AP54" s="378"/>
      <c r="AQ54" s="378"/>
      <c r="AR54" s="346" t="e">
        <f t="shared" si="21"/>
        <v>#N/A</v>
      </c>
      <c r="AS54" s="629"/>
      <c r="AT54" s="378"/>
      <c r="AU54" s="378"/>
      <c r="AV54" s="378"/>
      <c r="AW54" s="346" t="e">
        <f t="shared" si="22"/>
        <v>#N/A</v>
      </c>
      <c r="AX54" s="629"/>
    </row>
    <row r="55" spans="2:50">
      <c r="B55" s="598"/>
      <c r="C55" s="340">
        <v>9</v>
      </c>
      <c r="D55" s="231"/>
      <c r="E55" s="187"/>
      <c r="F55" s="340"/>
      <c r="G55" s="341"/>
      <c r="H55" s="633"/>
      <c r="I55" s="204"/>
      <c r="J55" s="204"/>
      <c r="K55" s="205"/>
      <c r="L55" s="572"/>
      <c r="M55" s="206" t="e">
        <f>RANK(K55, K$47:$K$61)</f>
        <v>#N/A</v>
      </c>
      <c r="N55" s="590"/>
      <c r="O55" s="590"/>
      <c r="P55" s="378"/>
      <c r="Q55" s="378"/>
      <c r="R55" s="378"/>
      <c r="S55" s="346" t="e">
        <f t="shared" si="16"/>
        <v>#N/A</v>
      </c>
      <c r="T55" s="629"/>
      <c r="U55" s="378"/>
      <c r="V55" s="378"/>
      <c r="W55" s="378"/>
      <c r="X55" s="346" t="e">
        <f t="shared" si="17"/>
        <v>#N/A</v>
      </c>
      <c r="Y55" s="629"/>
      <c r="Z55" s="378"/>
      <c r="AA55" s="378"/>
      <c r="AB55" s="378"/>
      <c r="AC55" s="346" t="e">
        <f t="shared" si="18"/>
        <v>#N/A</v>
      </c>
      <c r="AD55" s="629"/>
      <c r="AE55" s="378"/>
      <c r="AF55" s="378"/>
      <c r="AG55" s="378"/>
      <c r="AH55" s="346" t="e">
        <f t="shared" si="19"/>
        <v>#N/A</v>
      </c>
      <c r="AI55" s="629"/>
      <c r="AJ55" s="378"/>
      <c r="AK55" s="378"/>
      <c r="AL55" s="378"/>
      <c r="AM55" s="346" t="e">
        <f t="shared" si="20"/>
        <v>#N/A</v>
      </c>
      <c r="AN55" s="629"/>
      <c r="AO55" s="378"/>
      <c r="AP55" s="378"/>
      <c r="AQ55" s="378"/>
      <c r="AR55" s="346" t="e">
        <f t="shared" si="21"/>
        <v>#N/A</v>
      </c>
      <c r="AS55" s="629"/>
      <c r="AT55" s="378"/>
      <c r="AU55" s="378"/>
      <c r="AV55" s="378"/>
      <c r="AW55" s="346" t="e">
        <f t="shared" si="22"/>
        <v>#N/A</v>
      </c>
      <c r="AX55" s="629"/>
    </row>
    <row r="56" spans="2:50">
      <c r="B56" s="598"/>
      <c r="C56" s="340">
        <v>10</v>
      </c>
      <c r="D56" s="231"/>
      <c r="E56" s="187"/>
      <c r="F56" s="340"/>
      <c r="G56" s="341"/>
      <c r="H56" s="633"/>
      <c r="I56" s="204"/>
      <c r="J56" s="204"/>
      <c r="K56" s="205"/>
      <c r="L56" s="572"/>
      <c r="M56" s="206" t="e">
        <f>RANK(K56, K$47:$K$61)</f>
        <v>#N/A</v>
      </c>
      <c r="N56" s="590"/>
      <c r="O56" s="590"/>
      <c r="P56" s="378"/>
      <c r="Q56" s="378"/>
      <c r="R56" s="378"/>
      <c r="S56" s="346" t="e">
        <f t="shared" si="16"/>
        <v>#N/A</v>
      </c>
      <c r="T56" s="629"/>
      <c r="U56" s="378"/>
      <c r="V56" s="378"/>
      <c r="W56" s="378"/>
      <c r="X56" s="346" t="e">
        <f t="shared" si="17"/>
        <v>#N/A</v>
      </c>
      <c r="Y56" s="629"/>
      <c r="Z56" s="378"/>
      <c r="AA56" s="378"/>
      <c r="AB56" s="378"/>
      <c r="AC56" s="346" t="e">
        <f t="shared" si="18"/>
        <v>#N/A</v>
      </c>
      <c r="AD56" s="629"/>
      <c r="AE56" s="378"/>
      <c r="AF56" s="378"/>
      <c r="AG56" s="378"/>
      <c r="AH56" s="346" t="e">
        <f t="shared" si="19"/>
        <v>#N/A</v>
      </c>
      <c r="AI56" s="629"/>
      <c r="AJ56" s="378"/>
      <c r="AK56" s="378"/>
      <c r="AL56" s="378"/>
      <c r="AM56" s="346" t="e">
        <f t="shared" si="20"/>
        <v>#N/A</v>
      </c>
      <c r="AN56" s="629"/>
      <c r="AO56" s="378"/>
      <c r="AP56" s="378"/>
      <c r="AQ56" s="378"/>
      <c r="AR56" s="346" t="e">
        <f t="shared" si="21"/>
        <v>#N/A</v>
      </c>
      <c r="AS56" s="629"/>
      <c r="AT56" s="378"/>
      <c r="AU56" s="378"/>
      <c r="AV56" s="378"/>
      <c r="AW56" s="346" t="e">
        <f t="shared" si="22"/>
        <v>#N/A</v>
      </c>
      <c r="AX56" s="629"/>
    </row>
    <row r="57" spans="2:50">
      <c r="B57" s="598"/>
      <c r="C57" s="340">
        <v>11</v>
      </c>
      <c r="D57" s="231"/>
      <c r="E57" s="187"/>
      <c r="F57" s="340"/>
      <c r="G57" s="341"/>
      <c r="H57" s="633"/>
      <c r="I57" s="207"/>
      <c r="J57" s="207"/>
      <c r="K57" s="207"/>
      <c r="L57" s="572"/>
      <c r="M57" s="206" t="e">
        <f>RANK(K57, K$47:$K$61)</f>
        <v>#N/A</v>
      </c>
      <c r="N57" s="590"/>
      <c r="O57" s="590"/>
      <c r="P57" s="378"/>
      <c r="Q57" s="378"/>
      <c r="R57" s="378"/>
      <c r="S57" s="346" t="e">
        <f t="shared" si="16"/>
        <v>#N/A</v>
      </c>
      <c r="T57" s="629"/>
      <c r="U57" s="378"/>
      <c r="V57" s="378"/>
      <c r="W57" s="378"/>
      <c r="X57" s="346" t="e">
        <f t="shared" si="17"/>
        <v>#N/A</v>
      </c>
      <c r="Y57" s="629"/>
      <c r="Z57" s="378"/>
      <c r="AA57" s="378"/>
      <c r="AB57" s="378"/>
      <c r="AC57" s="346" t="e">
        <f t="shared" si="18"/>
        <v>#N/A</v>
      </c>
      <c r="AD57" s="629"/>
      <c r="AE57" s="378"/>
      <c r="AF57" s="378"/>
      <c r="AG57" s="378"/>
      <c r="AH57" s="346" t="e">
        <f t="shared" si="19"/>
        <v>#N/A</v>
      </c>
      <c r="AI57" s="629"/>
      <c r="AJ57" s="378"/>
      <c r="AK57" s="378"/>
      <c r="AL57" s="378"/>
      <c r="AM57" s="346" t="e">
        <f t="shared" si="20"/>
        <v>#N/A</v>
      </c>
      <c r="AN57" s="629"/>
      <c r="AO57" s="378"/>
      <c r="AP57" s="378"/>
      <c r="AQ57" s="378"/>
      <c r="AR57" s="346" t="e">
        <f t="shared" si="21"/>
        <v>#N/A</v>
      </c>
      <c r="AS57" s="629"/>
      <c r="AT57" s="378"/>
      <c r="AU57" s="378"/>
      <c r="AV57" s="378"/>
      <c r="AW57" s="346" t="e">
        <f t="shared" si="22"/>
        <v>#N/A</v>
      </c>
      <c r="AX57" s="629"/>
    </row>
    <row r="58" spans="2:50">
      <c r="B58" s="598"/>
      <c r="C58" s="340">
        <v>12</v>
      </c>
      <c r="D58" s="231"/>
      <c r="E58" s="187"/>
      <c r="F58" s="340"/>
      <c r="G58" s="341"/>
      <c r="H58" s="633"/>
      <c r="I58" s="207"/>
      <c r="J58" s="207"/>
      <c r="K58" s="207"/>
      <c r="L58" s="572"/>
      <c r="M58" s="206" t="e">
        <f>RANK(K58, K$47:$K$61)</f>
        <v>#N/A</v>
      </c>
      <c r="N58" s="590"/>
      <c r="O58" s="590"/>
      <c r="P58" s="378"/>
      <c r="Q58" s="378"/>
      <c r="R58" s="378"/>
      <c r="S58" s="346" t="e">
        <f t="shared" si="16"/>
        <v>#N/A</v>
      </c>
      <c r="T58" s="629"/>
      <c r="U58" s="378"/>
      <c r="V58" s="378"/>
      <c r="W58" s="378"/>
      <c r="X58" s="346" t="e">
        <f t="shared" si="17"/>
        <v>#N/A</v>
      </c>
      <c r="Y58" s="629"/>
      <c r="Z58" s="378"/>
      <c r="AA58" s="378"/>
      <c r="AB58" s="378"/>
      <c r="AC58" s="346" t="e">
        <f t="shared" si="18"/>
        <v>#N/A</v>
      </c>
      <c r="AD58" s="629"/>
      <c r="AE58" s="378"/>
      <c r="AF58" s="378"/>
      <c r="AG58" s="378"/>
      <c r="AH58" s="346" t="e">
        <f t="shared" si="19"/>
        <v>#N/A</v>
      </c>
      <c r="AI58" s="629"/>
      <c r="AJ58" s="378"/>
      <c r="AK58" s="378"/>
      <c r="AL58" s="378"/>
      <c r="AM58" s="346" t="e">
        <f t="shared" si="20"/>
        <v>#N/A</v>
      </c>
      <c r="AN58" s="629"/>
      <c r="AO58" s="378"/>
      <c r="AP58" s="378"/>
      <c r="AQ58" s="378"/>
      <c r="AR58" s="346" t="e">
        <f t="shared" si="21"/>
        <v>#N/A</v>
      </c>
      <c r="AS58" s="629"/>
      <c r="AT58" s="378"/>
      <c r="AU58" s="378"/>
      <c r="AV58" s="378"/>
      <c r="AW58" s="346" t="e">
        <f t="shared" si="22"/>
        <v>#N/A</v>
      </c>
      <c r="AX58" s="629"/>
    </row>
    <row r="59" spans="2:50">
      <c r="B59" s="598"/>
      <c r="C59" s="340">
        <v>13</v>
      </c>
      <c r="D59" s="231"/>
      <c r="E59" s="187"/>
      <c r="F59" s="340"/>
      <c r="G59" s="341"/>
      <c r="H59" s="633"/>
      <c r="I59" s="207"/>
      <c r="J59" s="207"/>
      <c r="K59" s="207"/>
      <c r="L59" s="572"/>
      <c r="M59" s="206" t="e">
        <f>RANK(K59, K$47:$K$61)</f>
        <v>#N/A</v>
      </c>
      <c r="N59" s="590"/>
      <c r="O59" s="590"/>
      <c r="P59" s="378"/>
      <c r="Q59" s="378"/>
      <c r="R59" s="378"/>
      <c r="S59" s="346" t="e">
        <f t="shared" si="16"/>
        <v>#N/A</v>
      </c>
      <c r="T59" s="629"/>
      <c r="U59" s="378"/>
      <c r="V59" s="378"/>
      <c r="W59" s="378"/>
      <c r="X59" s="346" t="e">
        <f t="shared" si="17"/>
        <v>#N/A</v>
      </c>
      <c r="Y59" s="629"/>
      <c r="Z59" s="378"/>
      <c r="AA59" s="378"/>
      <c r="AB59" s="378"/>
      <c r="AC59" s="346" t="e">
        <f t="shared" si="18"/>
        <v>#N/A</v>
      </c>
      <c r="AD59" s="629"/>
      <c r="AE59" s="378"/>
      <c r="AF59" s="378"/>
      <c r="AG59" s="378"/>
      <c r="AH59" s="346" t="e">
        <f t="shared" si="19"/>
        <v>#N/A</v>
      </c>
      <c r="AI59" s="629"/>
      <c r="AJ59" s="378"/>
      <c r="AK59" s="378"/>
      <c r="AL59" s="378"/>
      <c r="AM59" s="346" t="e">
        <f t="shared" si="20"/>
        <v>#N/A</v>
      </c>
      <c r="AN59" s="629"/>
      <c r="AO59" s="378"/>
      <c r="AP59" s="378"/>
      <c r="AQ59" s="378"/>
      <c r="AR59" s="346" t="e">
        <f t="shared" si="21"/>
        <v>#N/A</v>
      </c>
      <c r="AS59" s="629"/>
      <c r="AT59" s="378"/>
      <c r="AU59" s="378"/>
      <c r="AV59" s="378"/>
      <c r="AW59" s="346" t="e">
        <f t="shared" si="22"/>
        <v>#N/A</v>
      </c>
      <c r="AX59" s="629"/>
    </row>
    <row r="60" spans="2:50">
      <c r="B60" s="598"/>
      <c r="C60" s="340">
        <v>14</v>
      </c>
      <c r="D60" s="231"/>
      <c r="E60" s="187"/>
      <c r="F60" s="340"/>
      <c r="G60" s="341"/>
      <c r="H60" s="633"/>
      <c r="I60" s="207"/>
      <c r="J60" s="207"/>
      <c r="K60" s="207"/>
      <c r="L60" s="572"/>
      <c r="M60" s="206" t="e">
        <f>RANK(K60, K$47:$K$61)</f>
        <v>#N/A</v>
      </c>
      <c r="N60" s="590"/>
      <c r="O60" s="590"/>
      <c r="P60" s="378"/>
      <c r="Q60" s="378"/>
      <c r="R60" s="378"/>
      <c r="S60" s="346" t="e">
        <f t="shared" si="16"/>
        <v>#N/A</v>
      </c>
      <c r="T60" s="629"/>
      <c r="U60" s="378"/>
      <c r="V60" s="378"/>
      <c r="W60" s="378"/>
      <c r="X60" s="346" t="e">
        <f t="shared" si="17"/>
        <v>#N/A</v>
      </c>
      <c r="Y60" s="629"/>
      <c r="Z60" s="378"/>
      <c r="AA60" s="378"/>
      <c r="AB60" s="378"/>
      <c r="AC60" s="346" t="e">
        <f t="shared" si="18"/>
        <v>#N/A</v>
      </c>
      <c r="AD60" s="629"/>
      <c r="AE60" s="378"/>
      <c r="AF60" s="378"/>
      <c r="AG60" s="378"/>
      <c r="AH60" s="346" t="e">
        <f t="shared" si="19"/>
        <v>#N/A</v>
      </c>
      <c r="AI60" s="629"/>
      <c r="AJ60" s="378"/>
      <c r="AK60" s="378"/>
      <c r="AL60" s="378"/>
      <c r="AM60" s="346" t="e">
        <f t="shared" si="20"/>
        <v>#N/A</v>
      </c>
      <c r="AN60" s="629"/>
      <c r="AO60" s="378"/>
      <c r="AP60" s="378"/>
      <c r="AQ60" s="378"/>
      <c r="AR60" s="346" t="e">
        <f t="shared" si="21"/>
        <v>#N/A</v>
      </c>
      <c r="AS60" s="629"/>
      <c r="AT60" s="378"/>
      <c r="AU60" s="378"/>
      <c r="AV60" s="378"/>
      <c r="AW60" s="346" t="e">
        <f t="shared" si="22"/>
        <v>#N/A</v>
      </c>
      <c r="AX60" s="629"/>
    </row>
    <row r="61" spans="2:50">
      <c r="B61" s="598"/>
      <c r="C61" s="340">
        <v>15</v>
      </c>
      <c r="D61" s="231"/>
      <c r="E61" s="187"/>
      <c r="F61" s="340"/>
      <c r="G61" s="341"/>
      <c r="H61" s="634"/>
      <c r="I61" s="207"/>
      <c r="J61" s="207"/>
      <c r="K61" s="207"/>
      <c r="L61" s="573"/>
      <c r="M61" s="206" t="e">
        <f>RANK(K61, K$47:$K$61)</f>
        <v>#N/A</v>
      </c>
      <c r="N61" s="590"/>
      <c r="O61" s="590"/>
      <c r="P61" s="378"/>
      <c r="Q61" s="378"/>
      <c r="R61" s="378"/>
      <c r="S61" s="346" t="e">
        <f t="shared" si="16"/>
        <v>#N/A</v>
      </c>
      <c r="T61" s="629"/>
      <c r="U61" s="378"/>
      <c r="V61" s="378"/>
      <c r="W61" s="378"/>
      <c r="X61" s="346" t="e">
        <f t="shared" si="17"/>
        <v>#N/A</v>
      </c>
      <c r="Y61" s="629"/>
      <c r="Z61" s="378"/>
      <c r="AA61" s="378"/>
      <c r="AB61" s="378"/>
      <c r="AC61" s="346" t="e">
        <f t="shared" si="18"/>
        <v>#N/A</v>
      </c>
      <c r="AD61" s="629"/>
      <c r="AE61" s="378"/>
      <c r="AF61" s="378"/>
      <c r="AG61" s="378"/>
      <c r="AH61" s="346" t="e">
        <f t="shared" si="19"/>
        <v>#N/A</v>
      </c>
      <c r="AI61" s="629"/>
      <c r="AJ61" s="378"/>
      <c r="AK61" s="378"/>
      <c r="AL61" s="378"/>
      <c r="AM61" s="346" t="e">
        <f t="shared" si="20"/>
        <v>#N/A</v>
      </c>
      <c r="AN61" s="629"/>
      <c r="AO61" s="378"/>
      <c r="AP61" s="378"/>
      <c r="AQ61" s="378"/>
      <c r="AR61" s="346" t="e">
        <f t="shared" si="21"/>
        <v>#N/A</v>
      </c>
      <c r="AS61" s="629"/>
      <c r="AT61" s="378"/>
      <c r="AU61" s="378"/>
      <c r="AV61" s="378"/>
      <c r="AW61" s="346" t="e">
        <f t="shared" si="22"/>
        <v>#N/A</v>
      </c>
      <c r="AX61" s="629"/>
    </row>
    <row r="62" spans="2:50" ht="15.75">
      <c r="B62" s="602" t="s">
        <v>163</v>
      </c>
      <c r="C62" s="603"/>
      <c r="D62" s="603"/>
      <c r="E62" s="603"/>
      <c r="F62" s="603"/>
      <c r="G62" s="603"/>
      <c r="H62" s="604"/>
      <c r="I62" s="213"/>
      <c r="J62" s="213"/>
      <c r="K62" s="213"/>
      <c r="L62" s="213"/>
      <c r="M62" s="212"/>
      <c r="N62" s="591" t="s">
        <v>156</v>
      </c>
      <c r="O62" s="591" t="s">
        <v>105</v>
      </c>
      <c r="P62" s="597">
        <f>P42+7</f>
        <v>45951</v>
      </c>
      <c r="Q62" s="598"/>
      <c r="R62" s="598"/>
      <c r="S62" s="598"/>
      <c r="T62" s="598"/>
      <c r="U62" s="594">
        <f>P62+1</f>
        <v>45952</v>
      </c>
      <c r="V62" s="595"/>
      <c r="W62" s="595"/>
      <c r="X62" s="595"/>
      <c r="Y62" s="596"/>
      <c r="Z62" s="594">
        <f>U62+1</f>
        <v>45953</v>
      </c>
      <c r="AA62" s="595"/>
      <c r="AB62" s="595"/>
      <c r="AC62" s="595"/>
      <c r="AD62" s="596"/>
      <c r="AE62" s="594">
        <f>Z62+1</f>
        <v>45954</v>
      </c>
      <c r="AF62" s="595"/>
      <c r="AG62" s="595"/>
      <c r="AH62" s="595"/>
      <c r="AI62" s="596"/>
      <c r="AJ62" s="594">
        <f>AE62+1</f>
        <v>45955</v>
      </c>
      <c r="AK62" s="595"/>
      <c r="AL62" s="595"/>
      <c r="AM62" s="595"/>
      <c r="AN62" s="596"/>
      <c r="AO62" s="594">
        <f>AJ62+1</f>
        <v>45956</v>
      </c>
      <c r="AP62" s="595"/>
      <c r="AQ62" s="595"/>
      <c r="AR62" s="595"/>
      <c r="AS62" s="596"/>
      <c r="AT62" s="594">
        <f>AO62+1</f>
        <v>45957</v>
      </c>
      <c r="AU62" s="595"/>
      <c r="AV62" s="595"/>
      <c r="AW62" s="595"/>
      <c r="AX62" s="596"/>
    </row>
    <row r="63" spans="2:50" ht="15.75">
      <c r="B63" s="605"/>
      <c r="C63" s="605"/>
      <c r="D63" s="605"/>
      <c r="E63" s="605"/>
      <c r="F63" s="605"/>
      <c r="G63" s="605"/>
      <c r="H63" s="605"/>
      <c r="I63" s="210"/>
      <c r="J63" s="210"/>
      <c r="K63" s="210"/>
      <c r="L63" s="210"/>
      <c r="M63" s="211"/>
      <c r="N63" s="593"/>
      <c r="O63" s="593"/>
      <c r="P63" s="597" t="s">
        <v>336</v>
      </c>
      <c r="Q63" s="598"/>
      <c r="R63" s="598"/>
      <c r="S63" s="598"/>
      <c r="T63" s="598"/>
      <c r="U63" s="597" t="s">
        <v>337</v>
      </c>
      <c r="V63" s="598"/>
      <c r="W63" s="598"/>
      <c r="X63" s="598"/>
      <c r="Y63" s="598"/>
      <c r="Z63" s="597" t="s">
        <v>338</v>
      </c>
      <c r="AA63" s="598"/>
      <c r="AB63" s="598"/>
      <c r="AC63" s="598"/>
      <c r="AD63" s="598"/>
      <c r="AE63" s="597" t="s">
        <v>339</v>
      </c>
      <c r="AF63" s="598"/>
      <c r="AG63" s="598"/>
      <c r="AH63" s="598"/>
      <c r="AI63" s="598"/>
      <c r="AJ63" s="597" t="s">
        <v>340</v>
      </c>
      <c r="AK63" s="598"/>
      <c r="AL63" s="598"/>
      <c r="AM63" s="598"/>
      <c r="AN63" s="598"/>
      <c r="AO63" s="597" t="s">
        <v>341</v>
      </c>
      <c r="AP63" s="598"/>
      <c r="AQ63" s="598"/>
      <c r="AR63" s="598"/>
      <c r="AS63" s="598"/>
      <c r="AT63" s="597" t="s">
        <v>342</v>
      </c>
      <c r="AU63" s="598"/>
      <c r="AV63" s="598"/>
      <c r="AW63" s="598"/>
      <c r="AX63" s="598"/>
    </row>
    <row r="64" spans="2:50">
      <c r="B64" s="590" t="s">
        <v>444</v>
      </c>
      <c r="C64" s="590" t="s">
        <v>454</v>
      </c>
      <c r="D64" s="590"/>
      <c r="E64" s="590" t="s">
        <v>445</v>
      </c>
      <c r="F64" s="590"/>
      <c r="G64" s="590"/>
      <c r="H64" s="606" t="s">
        <v>441</v>
      </c>
      <c r="I64" s="574" t="s">
        <v>446</v>
      </c>
      <c r="J64" s="574"/>
      <c r="K64" s="574"/>
      <c r="L64" s="575" t="s">
        <v>441</v>
      </c>
      <c r="M64" s="581" t="s">
        <v>442</v>
      </c>
      <c r="N64" s="590"/>
      <c r="O64" s="590" t="s">
        <v>447</v>
      </c>
      <c r="P64" s="587" t="s">
        <v>443</v>
      </c>
      <c r="Q64" s="588"/>
      <c r="R64" s="588"/>
      <c r="S64" s="589"/>
      <c r="T64" s="590" t="s">
        <v>441</v>
      </c>
      <c r="U64" s="587" t="s">
        <v>443</v>
      </c>
      <c r="V64" s="588"/>
      <c r="W64" s="588"/>
      <c r="X64" s="589"/>
      <c r="Y64" s="590" t="s">
        <v>441</v>
      </c>
      <c r="Z64" s="587" t="s">
        <v>443</v>
      </c>
      <c r="AA64" s="588"/>
      <c r="AB64" s="588"/>
      <c r="AC64" s="589"/>
      <c r="AD64" s="590" t="s">
        <v>441</v>
      </c>
      <c r="AE64" s="587" t="s">
        <v>443</v>
      </c>
      <c r="AF64" s="588"/>
      <c r="AG64" s="588"/>
      <c r="AH64" s="589"/>
      <c r="AI64" s="590" t="s">
        <v>441</v>
      </c>
      <c r="AJ64" s="587" t="s">
        <v>443</v>
      </c>
      <c r="AK64" s="588"/>
      <c r="AL64" s="588"/>
      <c r="AM64" s="589"/>
      <c r="AN64" s="590" t="s">
        <v>441</v>
      </c>
      <c r="AO64" s="587" t="s">
        <v>443</v>
      </c>
      <c r="AP64" s="588"/>
      <c r="AQ64" s="588"/>
      <c r="AR64" s="589"/>
      <c r="AS64" s="590" t="s">
        <v>441</v>
      </c>
      <c r="AT64" s="587" t="s">
        <v>443</v>
      </c>
      <c r="AU64" s="588"/>
      <c r="AV64" s="588"/>
      <c r="AW64" s="589"/>
      <c r="AX64" s="590" t="s">
        <v>441</v>
      </c>
    </row>
    <row r="65" spans="2:50">
      <c r="B65" s="590"/>
      <c r="C65" s="590"/>
      <c r="D65" s="590"/>
      <c r="E65" s="590" t="s">
        <v>448</v>
      </c>
      <c r="F65" s="590"/>
      <c r="G65" s="590"/>
      <c r="H65" s="607"/>
      <c r="I65" s="574" t="s">
        <v>448</v>
      </c>
      <c r="J65" s="574"/>
      <c r="K65" s="574"/>
      <c r="L65" s="576"/>
      <c r="M65" s="582"/>
      <c r="N65" s="590"/>
      <c r="O65" s="590"/>
      <c r="P65" s="587" t="s">
        <v>449</v>
      </c>
      <c r="Q65" s="588"/>
      <c r="R65" s="588"/>
      <c r="S65" s="589"/>
      <c r="T65" s="590"/>
      <c r="U65" s="587" t="s">
        <v>449</v>
      </c>
      <c r="V65" s="588"/>
      <c r="W65" s="588"/>
      <c r="X65" s="589"/>
      <c r="Y65" s="590"/>
      <c r="Z65" s="587" t="s">
        <v>449</v>
      </c>
      <c r="AA65" s="588"/>
      <c r="AB65" s="588"/>
      <c r="AC65" s="589"/>
      <c r="AD65" s="590"/>
      <c r="AE65" s="587" t="s">
        <v>449</v>
      </c>
      <c r="AF65" s="588"/>
      <c r="AG65" s="588"/>
      <c r="AH65" s="589"/>
      <c r="AI65" s="590"/>
      <c r="AJ65" s="587" t="s">
        <v>449</v>
      </c>
      <c r="AK65" s="588"/>
      <c r="AL65" s="588"/>
      <c r="AM65" s="589"/>
      <c r="AN65" s="590"/>
      <c r="AO65" s="587" t="s">
        <v>449</v>
      </c>
      <c r="AP65" s="588"/>
      <c r="AQ65" s="588"/>
      <c r="AR65" s="589"/>
      <c r="AS65" s="590"/>
      <c r="AT65" s="587" t="s">
        <v>449</v>
      </c>
      <c r="AU65" s="588"/>
      <c r="AV65" s="588"/>
      <c r="AW65" s="589"/>
      <c r="AX65" s="590"/>
    </row>
    <row r="66" spans="2:50">
      <c r="B66" s="590"/>
      <c r="C66" s="590"/>
      <c r="D66" s="590"/>
      <c r="E66" s="318" t="s">
        <v>450</v>
      </c>
      <c r="F66" s="318" t="s">
        <v>451</v>
      </c>
      <c r="G66" s="318" t="s">
        <v>452</v>
      </c>
      <c r="H66" s="608"/>
      <c r="I66" s="317" t="s">
        <v>450</v>
      </c>
      <c r="J66" s="317" t="s">
        <v>451</v>
      </c>
      <c r="K66" s="317" t="s">
        <v>452</v>
      </c>
      <c r="L66" s="577"/>
      <c r="M66" s="583"/>
      <c r="N66" s="590"/>
      <c r="O66" s="590"/>
      <c r="P66" s="318" t="s">
        <v>450</v>
      </c>
      <c r="Q66" s="318" t="s">
        <v>451</v>
      </c>
      <c r="R66" s="318" t="s">
        <v>452</v>
      </c>
      <c r="S66" s="318" t="s">
        <v>442</v>
      </c>
      <c r="T66" s="590"/>
      <c r="U66" s="318" t="s">
        <v>450</v>
      </c>
      <c r="V66" s="318" t="s">
        <v>451</v>
      </c>
      <c r="W66" s="318" t="s">
        <v>452</v>
      </c>
      <c r="X66" s="318" t="s">
        <v>442</v>
      </c>
      <c r="Y66" s="590"/>
      <c r="Z66" s="318" t="s">
        <v>450</v>
      </c>
      <c r="AA66" s="318" t="s">
        <v>451</v>
      </c>
      <c r="AB66" s="318" t="s">
        <v>452</v>
      </c>
      <c r="AC66" s="318" t="s">
        <v>442</v>
      </c>
      <c r="AD66" s="590"/>
      <c r="AE66" s="318" t="s">
        <v>450</v>
      </c>
      <c r="AF66" s="318" t="s">
        <v>451</v>
      </c>
      <c r="AG66" s="318" t="s">
        <v>452</v>
      </c>
      <c r="AH66" s="318" t="s">
        <v>442</v>
      </c>
      <c r="AI66" s="590"/>
      <c r="AJ66" s="318" t="s">
        <v>450</v>
      </c>
      <c r="AK66" s="318" t="s">
        <v>451</v>
      </c>
      <c r="AL66" s="318" t="s">
        <v>452</v>
      </c>
      <c r="AM66" s="318" t="s">
        <v>442</v>
      </c>
      <c r="AN66" s="590"/>
      <c r="AO66" s="318" t="s">
        <v>450</v>
      </c>
      <c r="AP66" s="318" t="s">
        <v>451</v>
      </c>
      <c r="AQ66" s="318" t="s">
        <v>452</v>
      </c>
      <c r="AR66" s="318" t="s">
        <v>442</v>
      </c>
      <c r="AS66" s="590"/>
      <c r="AT66" s="318" t="s">
        <v>450</v>
      </c>
      <c r="AU66" s="318" t="s">
        <v>451</v>
      </c>
      <c r="AV66" s="318" t="s">
        <v>452</v>
      </c>
      <c r="AW66" s="318" t="s">
        <v>442</v>
      </c>
      <c r="AX66" s="590"/>
    </row>
    <row r="67" spans="2:50">
      <c r="B67" s="590" t="s">
        <v>455</v>
      </c>
      <c r="C67" s="319">
        <v>1</v>
      </c>
      <c r="D67" s="231" t="s">
        <v>385</v>
      </c>
      <c r="E67" s="187">
        <v>13</v>
      </c>
      <c r="F67" s="319">
        <v>1500</v>
      </c>
      <c r="G67" s="322"/>
      <c r="H67" s="632" t="e">
        <f>AVERAGE(G67:G81)</f>
        <v>#DIV/0!</v>
      </c>
      <c r="I67" s="204">
        <f t="shared" ref="I67:K68" si="23">AVERAGE(P67,U67,Z67,AE67,AJ67,AO67,AT67)</f>
        <v>12.833333333333334</v>
      </c>
      <c r="J67" s="204">
        <f t="shared" si="23"/>
        <v>1472.8000000000004</v>
      </c>
      <c r="K67" s="205">
        <f t="shared" si="23"/>
        <v>114.64807692307699</v>
      </c>
      <c r="L67" s="571">
        <f>IFERROR(AVERAGE(K67:K81),"-")</f>
        <v>117.01593382108094</v>
      </c>
      <c r="M67" s="206">
        <f>RANK(K67, K$67:$K$81)</f>
        <v>2</v>
      </c>
      <c r="N67" s="590"/>
      <c r="O67" s="590"/>
      <c r="P67" s="187">
        <v>13</v>
      </c>
      <c r="Q67" s="187">
        <v>1396.7999999999961</v>
      </c>
      <c r="R67" s="379">
        <v>107.44615384615355</v>
      </c>
      <c r="S67" s="319">
        <f>RANK(R67, R$67:R$81)</f>
        <v>2</v>
      </c>
      <c r="T67" s="629">
        <f>AVERAGE(R67:R81)</f>
        <v>112.2298642533935</v>
      </c>
      <c r="U67" s="187">
        <v>13</v>
      </c>
      <c r="V67" s="187">
        <v>1605.0000000000057</v>
      </c>
      <c r="W67" s="473">
        <v>123.46153846153889</v>
      </c>
      <c r="X67" s="351">
        <f>RANK(W67, W$67:W$81)</f>
        <v>1</v>
      </c>
      <c r="Y67" s="629">
        <f>AVERAGE(W67:W81)</f>
        <v>120.25384615384638</v>
      </c>
      <c r="Z67" s="187">
        <v>12</v>
      </c>
      <c r="AA67" s="187">
        <v>1268.9999999999995</v>
      </c>
      <c r="AB67" s="473">
        <v>105.74999999999996</v>
      </c>
      <c r="AC67" s="351">
        <f>RANK(AB67, AB$67:AB$81)</f>
        <v>2</v>
      </c>
      <c r="AD67" s="629">
        <f>AVERAGE(AB67:AB81)</f>
        <v>119.12500000000011</v>
      </c>
      <c r="AE67" s="187">
        <v>13</v>
      </c>
      <c r="AF67" s="187">
        <v>1326.0000000000048</v>
      </c>
      <c r="AG67" s="473">
        <v>102.00000000000037</v>
      </c>
      <c r="AH67" s="351">
        <f>RANK(AG67, AG$67:AG$81)</f>
        <v>2</v>
      </c>
      <c r="AI67" s="629">
        <f>AVERAGE(AG67:AG81)</f>
        <v>110.1608391608394</v>
      </c>
      <c r="AJ67" s="187">
        <v>13</v>
      </c>
      <c r="AK67" s="187">
        <v>1593.0000000000057</v>
      </c>
      <c r="AL67" s="473">
        <v>122.53846153846197</v>
      </c>
      <c r="AM67" s="351">
        <f>RANK(AL67, AL$67:AL$81)</f>
        <v>1</v>
      </c>
      <c r="AN67" s="629">
        <f>AVERAGE(AL67:AL81)</f>
        <v>119.9230769230771</v>
      </c>
      <c r="AO67" s="187">
        <v>13</v>
      </c>
      <c r="AP67" s="187">
        <v>1646.9999999999927</v>
      </c>
      <c r="AQ67" s="473">
        <v>126.69230769230714</v>
      </c>
      <c r="AR67" s="351">
        <f>RANK(AQ67, AQ$67:AQ$81)</f>
        <v>1</v>
      </c>
      <c r="AS67" s="629">
        <f>AVERAGE(AQ67:AQ81)</f>
        <v>121.83846153846122</v>
      </c>
      <c r="AT67" s="187"/>
      <c r="AU67" s="187"/>
      <c r="AV67" s="473"/>
      <c r="AW67" s="351" t="e">
        <f>RANK(AV67, AV$67:AV$81)</f>
        <v>#N/A</v>
      </c>
      <c r="AX67" s="629">
        <f>AVERAGE(AV67:AV81)</f>
        <v>116.51282051282062</v>
      </c>
    </row>
    <row r="68" spans="2:50">
      <c r="B68" s="598"/>
      <c r="C68" s="319">
        <v>2</v>
      </c>
      <c r="D68" s="231" t="s">
        <v>694</v>
      </c>
      <c r="E68" s="187">
        <v>13</v>
      </c>
      <c r="F68" s="319">
        <v>1500</v>
      </c>
      <c r="G68" s="322"/>
      <c r="H68" s="633"/>
      <c r="I68" s="497">
        <f t="shared" si="23"/>
        <v>12.857142857142858</v>
      </c>
      <c r="J68" s="497">
        <f t="shared" si="23"/>
        <v>1533.060707919532</v>
      </c>
      <c r="K68" s="205">
        <f t="shared" si="23"/>
        <v>119.38379071908489</v>
      </c>
      <c r="L68" s="572"/>
      <c r="M68" s="206">
        <f>RANK(K68, K$67:$K$81)</f>
        <v>1</v>
      </c>
      <c r="N68" s="590"/>
      <c r="O68" s="590"/>
      <c r="P68" s="378">
        <v>13</v>
      </c>
      <c r="Q68" s="187">
        <v>1521.1764705882349</v>
      </c>
      <c r="R68" s="379">
        <v>117.01357466063345</v>
      </c>
      <c r="S68" s="351">
        <f t="shared" ref="S68:S81" si="24">RANK(R68, R$67:R$81)</f>
        <v>1</v>
      </c>
      <c r="T68" s="629"/>
      <c r="U68" s="472">
        <v>13</v>
      </c>
      <c r="V68" s="187">
        <v>1521.6000000000006</v>
      </c>
      <c r="W68" s="473">
        <v>117.04615384615389</v>
      </c>
      <c r="X68" s="351">
        <f t="shared" ref="X68:X81" si="25">RANK(W68, W$67:W$81)</f>
        <v>2</v>
      </c>
      <c r="Y68" s="629"/>
      <c r="Z68" s="472">
        <v>12</v>
      </c>
      <c r="AA68" s="187">
        <v>1590.0000000000032</v>
      </c>
      <c r="AB68" s="473">
        <v>132.50000000000026</v>
      </c>
      <c r="AC68" s="351">
        <f t="shared" ref="AC68:AC81" si="26">RANK(AB68, AB$67:AB$81)</f>
        <v>1</v>
      </c>
      <c r="AD68" s="629"/>
      <c r="AE68" s="472">
        <v>13</v>
      </c>
      <c r="AF68" s="187">
        <v>1538.1818181818194</v>
      </c>
      <c r="AG68" s="473">
        <v>118.32167832167842</v>
      </c>
      <c r="AH68" s="351">
        <f t="shared" ref="AH68:AH81" si="27">RANK(AG68, AG$67:AG$81)</f>
        <v>1</v>
      </c>
      <c r="AI68" s="629"/>
      <c r="AJ68" s="472">
        <v>13</v>
      </c>
      <c r="AK68" s="187">
        <v>1524.9999999999993</v>
      </c>
      <c r="AL68" s="473">
        <v>117.30769230769225</v>
      </c>
      <c r="AM68" s="351">
        <f t="shared" ref="AM68:AM81" si="28">RANK(AL68, AL$67:AL$81)</f>
        <v>2</v>
      </c>
      <c r="AN68" s="629"/>
      <c r="AO68" s="472">
        <v>13</v>
      </c>
      <c r="AP68" s="187">
        <v>1520.7999999999988</v>
      </c>
      <c r="AQ68" s="473">
        <v>116.9846153846153</v>
      </c>
      <c r="AR68" s="351">
        <f t="shared" ref="AR68:AR81" si="29">RANK(AQ68, AQ$67:AQ$81)</f>
        <v>2</v>
      </c>
      <c r="AS68" s="629"/>
      <c r="AT68" s="472">
        <v>13</v>
      </c>
      <c r="AU68" s="187">
        <v>1514.6666666666681</v>
      </c>
      <c r="AV68" s="473">
        <v>116.51282051282062</v>
      </c>
      <c r="AW68" s="351">
        <f t="shared" ref="AW68:AW81" si="30">RANK(AV68, AV$67:AV$81)</f>
        <v>1</v>
      </c>
      <c r="AX68" s="629"/>
    </row>
    <row r="69" spans="2:50">
      <c r="B69" s="598"/>
      <c r="C69" s="319">
        <v>3</v>
      </c>
      <c r="D69" s="231"/>
      <c r="E69" s="187"/>
      <c r="F69" s="319"/>
      <c r="G69" s="322"/>
      <c r="H69" s="633"/>
      <c r="I69" s="204"/>
      <c r="J69" s="204"/>
      <c r="K69" s="205"/>
      <c r="L69" s="572"/>
      <c r="M69" s="206" t="e">
        <f>RANK(K69, K$67:$K$81)</f>
        <v>#N/A</v>
      </c>
      <c r="N69" s="590"/>
      <c r="O69" s="590"/>
      <c r="P69" s="378"/>
      <c r="Q69" s="378"/>
      <c r="R69" s="378"/>
      <c r="S69" s="351" t="e">
        <f t="shared" si="24"/>
        <v>#N/A</v>
      </c>
      <c r="T69" s="629"/>
      <c r="U69" s="378"/>
      <c r="V69" s="378"/>
      <c r="W69" s="378"/>
      <c r="X69" s="351" t="e">
        <f t="shared" si="25"/>
        <v>#N/A</v>
      </c>
      <c r="Y69" s="629"/>
      <c r="Z69" s="378"/>
      <c r="AA69" s="378"/>
      <c r="AB69" s="378"/>
      <c r="AC69" s="351" t="e">
        <f t="shared" si="26"/>
        <v>#N/A</v>
      </c>
      <c r="AD69" s="629"/>
      <c r="AE69" s="378"/>
      <c r="AF69" s="378"/>
      <c r="AG69" s="378"/>
      <c r="AH69" s="351" t="e">
        <f t="shared" si="27"/>
        <v>#N/A</v>
      </c>
      <c r="AI69" s="629"/>
      <c r="AJ69" s="378"/>
      <c r="AK69" s="378"/>
      <c r="AL69" s="378"/>
      <c r="AM69" s="351" t="e">
        <f t="shared" si="28"/>
        <v>#N/A</v>
      </c>
      <c r="AN69" s="629"/>
      <c r="AO69" s="378"/>
      <c r="AP69" s="378"/>
      <c r="AQ69" s="378"/>
      <c r="AR69" s="351" t="e">
        <f t="shared" si="29"/>
        <v>#N/A</v>
      </c>
      <c r="AS69" s="629"/>
      <c r="AT69" s="378"/>
      <c r="AU69" s="378"/>
      <c r="AV69" s="378"/>
      <c r="AW69" s="351" t="e">
        <f t="shared" si="30"/>
        <v>#N/A</v>
      </c>
      <c r="AX69" s="629"/>
    </row>
    <row r="70" spans="2:50">
      <c r="B70" s="598"/>
      <c r="C70" s="319">
        <v>4</v>
      </c>
      <c r="D70" s="231"/>
      <c r="E70" s="187"/>
      <c r="F70" s="319"/>
      <c r="G70" s="322"/>
      <c r="H70" s="633"/>
      <c r="I70" s="204"/>
      <c r="J70" s="204"/>
      <c r="K70" s="205"/>
      <c r="L70" s="572"/>
      <c r="M70" s="206" t="e">
        <f>RANK(K70, K$67:$K$81)</f>
        <v>#N/A</v>
      </c>
      <c r="N70" s="590"/>
      <c r="O70" s="590"/>
      <c r="P70" s="378"/>
      <c r="Q70" s="378"/>
      <c r="R70" s="378"/>
      <c r="S70" s="351" t="e">
        <f t="shared" si="24"/>
        <v>#N/A</v>
      </c>
      <c r="T70" s="629"/>
      <c r="U70" s="378"/>
      <c r="V70" s="378"/>
      <c r="W70" s="378"/>
      <c r="X70" s="351" t="e">
        <f t="shared" si="25"/>
        <v>#N/A</v>
      </c>
      <c r="Y70" s="629"/>
      <c r="Z70" s="378"/>
      <c r="AA70" s="378"/>
      <c r="AB70" s="378"/>
      <c r="AC70" s="351" t="e">
        <f t="shared" si="26"/>
        <v>#N/A</v>
      </c>
      <c r="AD70" s="629"/>
      <c r="AE70" s="378"/>
      <c r="AF70" s="378"/>
      <c r="AG70" s="378"/>
      <c r="AH70" s="351" t="e">
        <f t="shared" si="27"/>
        <v>#N/A</v>
      </c>
      <c r="AI70" s="629"/>
      <c r="AJ70" s="378"/>
      <c r="AK70" s="378"/>
      <c r="AL70" s="378"/>
      <c r="AM70" s="351" t="e">
        <f t="shared" si="28"/>
        <v>#N/A</v>
      </c>
      <c r="AN70" s="629"/>
      <c r="AO70" s="378"/>
      <c r="AP70" s="378"/>
      <c r="AQ70" s="378"/>
      <c r="AR70" s="351" t="e">
        <f t="shared" si="29"/>
        <v>#N/A</v>
      </c>
      <c r="AS70" s="629"/>
      <c r="AT70" s="378"/>
      <c r="AU70" s="378"/>
      <c r="AV70" s="378"/>
      <c r="AW70" s="351" t="e">
        <f t="shared" si="30"/>
        <v>#N/A</v>
      </c>
      <c r="AX70" s="629"/>
    </row>
    <row r="71" spans="2:50">
      <c r="B71" s="598"/>
      <c r="C71" s="319">
        <v>5</v>
      </c>
      <c r="D71" s="231"/>
      <c r="E71" s="187"/>
      <c r="F71" s="319"/>
      <c r="G71" s="322"/>
      <c r="H71" s="633"/>
      <c r="I71" s="204"/>
      <c r="J71" s="204"/>
      <c r="K71" s="205"/>
      <c r="L71" s="572"/>
      <c r="M71" s="206" t="e">
        <f>RANK(K71, K$67:$K$81)</f>
        <v>#N/A</v>
      </c>
      <c r="N71" s="590"/>
      <c r="O71" s="590"/>
      <c r="P71" s="378"/>
      <c r="Q71" s="378"/>
      <c r="R71" s="378"/>
      <c r="S71" s="351" t="e">
        <f t="shared" si="24"/>
        <v>#N/A</v>
      </c>
      <c r="T71" s="629"/>
      <c r="U71" s="378"/>
      <c r="V71" s="378"/>
      <c r="W71" s="378"/>
      <c r="X71" s="351" t="e">
        <f t="shared" si="25"/>
        <v>#N/A</v>
      </c>
      <c r="Y71" s="629"/>
      <c r="Z71" s="378"/>
      <c r="AA71" s="378"/>
      <c r="AB71" s="378"/>
      <c r="AC71" s="351" t="e">
        <f t="shared" si="26"/>
        <v>#N/A</v>
      </c>
      <c r="AD71" s="629"/>
      <c r="AE71" s="378"/>
      <c r="AF71" s="378"/>
      <c r="AG71" s="378"/>
      <c r="AH71" s="351" t="e">
        <f t="shared" si="27"/>
        <v>#N/A</v>
      </c>
      <c r="AI71" s="629"/>
      <c r="AJ71" s="378"/>
      <c r="AK71" s="378"/>
      <c r="AL71" s="378"/>
      <c r="AM71" s="351" t="e">
        <f t="shared" si="28"/>
        <v>#N/A</v>
      </c>
      <c r="AN71" s="629"/>
      <c r="AO71" s="378"/>
      <c r="AP71" s="378"/>
      <c r="AQ71" s="378"/>
      <c r="AR71" s="351" t="e">
        <f t="shared" si="29"/>
        <v>#N/A</v>
      </c>
      <c r="AS71" s="629"/>
      <c r="AT71" s="378"/>
      <c r="AU71" s="378"/>
      <c r="AV71" s="378"/>
      <c r="AW71" s="351" t="e">
        <f t="shared" si="30"/>
        <v>#N/A</v>
      </c>
      <c r="AX71" s="629"/>
    </row>
    <row r="72" spans="2:50">
      <c r="B72" s="598"/>
      <c r="C72" s="319">
        <v>6</v>
      </c>
      <c r="D72" s="231"/>
      <c r="E72" s="187"/>
      <c r="F72" s="319"/>
      <c r="G72" s="322"/>
      <c r="H72" s="633"/>
      <c r="I72" s="204"/>
      <c r="J72" s="204"/>
      <c r="K72" s="205"/>
      <c r="L72" s="572"/>
      <c r="M72" s="206" t="e">
        <f>RANK(K72, K$67:$K$81)</f>
        <v>#N/A</v>
      </c>
      <c r="N72" s="590"/>
      <c r="O72" s="590"/>
      <c r="P72" s="378"/>
      <c r="Q72" s="378"/>
      <c r="R72" s="378"/>
      <c r="S72" s="351" t="e">
        <f t="shared" si="24"/>
        <v>#N/A</v>
      </c>
      <c r="T72" s="629"/>
      <c r="U72" s="378"/>
      <c r="V72" s="378"/>
      <c r="W72" s="378"/>
      <c r="X72" s="351" t="e">
        <f t="shared" si="25"/>
        <v>#N/A</v>
      </c>
      <c r="Y72" s="629"/>
      <c r="Z72" s="378"/>
      <c r="AA72" s="378"/>
      <c r="AB72" s="378"/>
      <c r="AC72" s="351" t="e">
        <f t="shared" si="26"/>
        <v>#N/A</v>
      </c>
      <c r="AD72" s="629"/>
      <c r="AE72" s="378"/>
      <c r="AF72" s="378"/>
      <c r="AG72" s="378"/>
      <c r="AH72" s="351" t="e">
        <f t="shared" si="27"/>
        <v>#N/A</v>
      </c>
      <c r="AI72" s="629"/>
      <c r="AJ72" s="378"/>
      <c r="AK72" s="378"/>
      <c r="AL72" s="378"/>
      <c r="AM72" s="351" t="e">
        <f t="shared" si="28"/>
        <v>#N/A</v>
      </c>
      <c r="AN72" s="629"/>
      <c r="AO72" s="378"/>
      <c r="AP72" s="378"/>
      <c r="AQ72" s="378"/>
      <c r="AR72" s="351" t="e">
        <f t="shared" si="29"/>
        <v>#N/A</v>
      </c>
      <c r="AS72" s="629"/>
      <c r="AT72" s="378"/>
      <c r="AU72" s="378"/>
      <c r="AV72" s="378"/>
      <c r="AW72" s="351" t="e">
        <f t="shared" si="30"/>
        <v>#N/A</v>
      </c>
      <c r="AX72" s="629"/>
    </row>
    <row r="73" spans="2:50">
      <c r="B73" s="598"/>
      <c r="C73" s="319">
        <v>7</v>
      </c>
      <c r="D73" s="231"/>
      <c r="E73" s="187"/>
      <c r="F73" s="319"/>
      <c r="G73" s="322"/>
      <c r="H73" s="633"/>
      <c r="I73" s="204"/>
      <c r="J73" s="204"/>
      <c r="K73" s="205"/>
      <c r="L73" s="572"/>
      <c r="M73" s="206" t="e">
        <f>RANK(K73, K$67:$K$81)</f>
        <v>#N/A</v>
      </c>
      <c r="N73" s="590"/>
      <c r="O73" s="590"/>
      <c r="P73" s="378"/>
      <c r="Q73" s="378"/>
      <c r="R73" s="378"/>
      <c r="S73" s="351" t="e">
        <f t="shared" si="24"/>
        <v>#N/A</v>
      </c>
      <c r="T73" s="629"/>
      <c r="U73" s="378"/>
      <c r="V73" s="378"/>
      <c r="W73" s="378"/>
      <c r="X73" s="351" t="e">
        <f t="shared" si="25"/>
        <v>#N/A</v>
      </c>
      <c r="Y73" s="629"/>
      <c r="Z73" s="378"/>
      <c r="AA73" s="378"/>
      <c r="AB73" s="378"/>
      <c r="AC73" s="351" t="e">
        <f t="shared" si="26"/>
        <v>#N/A</v>
      </c>
      <c r="AD73" s="629"/>
      <c r="AE73" s="378"/>
      <c r="AF73" s="378"/>
      <c r="AG73" s="378"/>
      <c r="AH73" s="351" t="e">
        <f t="shared" si="27"/>
        <v>#N/A</v>
      </c>
      <c r="AI73" s="629"/>
      <c r="AJ73" s="378"/>
      <c r="AK73" s="378"/>
      <c r="AL73" s="378"/>
      <c r="AM73" s="351" t="e">
        <f t="shared" si="28"/>
        <v>#N/A</v>
      </c>
      <c r="AN73" s="629"/>
      <c r="AO73" s="378"/>
      <c r="AP73" s="378"/>
      <c r="AQ73" s="378"/>
      <c r="AR73" s="351" t="e">
        <f t="shared" si="29"/>
        <v>#N/A</v>
      </c>
      <c r="AS73" s="629"/>
      <c r="AT73" s="378"/>
      <c r="AU73" s="378"/>
      <c r="AV73" s="378"/>
      <c r="AW73" s="351" t="e">
        <f t="shared" si="30"/>
        <v>#N/A</v>
      </c>
      <c r="AX73" s="629"/>
    </row>
    <row r="74" spans="2:50">
      <c r="B74" s="598"/>
      <c r="C74" s="319">
        <v>8</v>
      </c>
      <c r="D74" s="231"/>
      <c r="E74" s="187"/>
      <c r="F74" s="319"/>
      <c r="G74" s="322"/>
      <c r="H74" s="633"/>
      <c r="I74" s="204"/>
      <c r="J74" s="204"/>
      <c r="K74" s="205"/>
      <c r="L74" s="572"/>
      <c r="M74" s="206" t="e">
        <f>RANK(K74, K$67:$K$81)</f>
        <v>#N/A</v>
      </c>
      <c r="N74" s="590"/>
      <c r="O74" s="590"/>
      <c r="P74" s="378"/>
      <c r="Q74" s="378"/>
      <c r="R74" s="378"/>
      <c r="S74" s="351" t="e">
        <f t="shared" si="24"/>
        <v>#N/A</v>
      </c>
      <c r="T74" s="629"/>
      <c r="U74" s="378"/>
      <c r="V74" s="378"/>
      <c r="W74" s="378"/>
      <c r="X74" s="351" t="e">
        <f t="shared" si="25"/>
        <v>#N/A</v>
      </c>
      <c r="Y74" s="629"/>
      <c r="Z74" s="378"/>
      <c r="AA74" s="378"/>
      <c r="AB74" s="378"/>
      <c r="AC74" s="351" t="e">
        <f t="shared" si="26"/>
        <v>#N/A</v>
      </c>
      <c r="AD74" s="629"/>
      <c r="AE74" s="378"/>
      <c r="AF74" s="378"/>
      <c r="AG74" s="378"/>
      <c r="AH74" s="351" t="e">
        <f t="shared" si="27"/>
        <v>#N/A</v>
      </c>
      <c r="AI74" s="629"/>
      <c r="AJ74" s="378"/>
      <c r="AK74" s="378"/>
      <c r="AL74" s="378"/>
      <c r="AM74" s="351" t="e">
        <f t="shared" si="28"/>
        <v>#N/A</v>
      </c>
      <c r="AN74" s="629"/>
      <c r="AO74" s="378"/>
      <c r="AP74" s="378"/>
      <c r="AQ74" s="378"/>
      <c r="AR74" s="351" t="e">
        <f t="shared" si="29"/>
        <v>#N/A</v>
      </c>
      <c r="AS74" s="629"/>
      <c r="AT74" s="378"/>
      <c r="AU74" s="378"/>
      <c r="AV74" s="378"/>
      <c r="AW74" s="351" t="e">
        <f t="shared" si="30"/>
        <v>#N/A</v>
      </c>
      <c r="AX74" s="629"/>
    </row>
    <row r="75" spans="2:50">
      <c r="B75" s="598"/>
      <c r="C75" s="319">
        <v>9</v>
      </c>
      <c r="D75" s="231"/>
      <c r="E75" s="187"/>
      <c r="F75" s="319"/>
      <c r="G75" s="322"/>
      <c r="H75" s="633"/>
      <c r="I75" s="204"/>
      <c r="J75" s="204"/>
      <c r="K75" s="205"/>
      <c r="L75" s="572"/>
      <c r="M75" s="206" t="e">
        <f>RANK(K75, K$67:$K$81)</f>
        <v>#N/A</v>
      </c>
      <c r="N75" s="590"/>
      <c r="O75" s="590"/>
      <c r="P75" s="378"/>
      <c r="Q75" s="378"/>
      <c r="R75" s="378"/>
      <c r="S75" s="351" t="e">
        <f t="shared" si="24"/>
        <v>#N/A</v>
      </c>
      <c r="T75" s="629"/>
      <c r="U75" s="378"/>
      <c r="V75" s="378"/>
      <c r="W75" s="378"/>
      <c r="X75" s="351" t="e">
        <f t="shared" si="25"/>
        <v>#N/A</v>
      </c>
      <c r="Y75" s="629"/>
      <c r="Z75" s="378"/>
      <c r="AA75" s="378"/>
      <c r="AB75" s="378"/>
      <c r="AC75" s="351" t="e">
        <f t="shared" si="26"/>
        <v>#N/A</v>
      </c>
      <c r="AD75" s="629"/>
      <c r="AE75" s="378"/>
      <c r="AF75" s="378"/>
      <c r="AG75" s="378"/>
      <c r="AH75" s="351" t="e">
        <f t="shared" si="27"/>
        <v>#N/A</v>
      </c>
      <c r="AI75" s="629"/>
      <c r="AJ75" s="378"/>
      <c r="AK75" s="378"/>
      <c r="AL75" s="378"/>
      <c r="AM75" s="351" t="e">
        <f t="shared" si="28"/>
        <v>#N/A</v>
      </c>
      <c r="AN75" s="629"/>
      <c r="AO75" s="378"/>
      <c r="AP75" s="378"/>
      <c r="AQ75" s="378"/>
      <c r="AR75" s="351" t="e">
        <f t="shared" si="29"/>
        <v>#N/A</v>
      </c>
      <c r="AS75" s="629"/>
      <c r="AT75" s="378"/>
      <c r="AU75" s="378"/>
      <c r="AV75" s="378"/>
      <c r="AW75" s="351" t="e">
        <f t="shared" si="30"/>
        <v>#N/A</v>
      </c>
      <c r="AX75" s="629"/>
    </row>
    <row r="76" spans="2:50">
      <c r="B76" s="598"/>
      <c r="C76" s="319">
        <v>10</v>
      </c>
      <c r="D76" s="231"/>
      <c r="E76" s="187"/>
      <c r="F76" s="319"/>
      <c r="G76" s="322"/>
      <c r="H76" s="633"/>
      <c r="I76" s="204"/>
      <c r="J76" s="204"/>
      <c r="K76" s="205"/>
      <c r="L76" s="572"/>
      <c r="M76" s="206" t="e">
        <f>RANK(K76, K$67:$K$81)</f>
        <v>#N/A</v>
      </c>
      <c r="N76" s="590"/>
      <c r="O76" s="590"/>
      <c r="P76" s="378"/>
      <c r="Q76" s="378"/>
      <c r="R76" s="378"/>
      <c r="S76" s="351" t="e">
        <f t="shared" si="24"/>
        <v>#N/A</v>
      </c>
      <c r="T76" s="629"/>
      <c r="U76" s="378"/>
      <c r="V76" s="378"/>
      <c r="W76" s="378"/>
      <c r="X76" s="351" t="e">
        <f t="shared" si="25"/>
        <v>#N/A</v>
      </c>
      <c r="Y76" s="629"/>
      <c r="Z76" s="378"/>
      <c r="AA76" s="378"/>
      <c r="AB76" s="378"/>
      <c r="AC76" s="351" t="e">
        <f t="shared" si="26"/>
        <v>#N/A</v>
      </c>
      <c r="AD76" s="629"/>
      <c r="AE76" s="378"/>
      <c r="AF76" s="378"/>
      <c r="AG76" s="378"/>
      <c r="AH76" s="351" t="e">
        <f t="shared" si="27"/>
        <v>#N/A</v>
      </c>
      <c r="AI76" s="629"/>
      <c r="AJ76" s="378"/>
      <c r="AK76" s="378"/>
      <c r="AL76" s="378"/>
      <c r="AM76" s="351" t="e">
        <f t="shared" si="28"/>
        <v>#N/A</v>
      </c>
      <c r="AN76" s="629"/>
      <c r="AO76" s="378"/>
      <c r="AP76" s="378"/>
      <c r="AQ76" s="378"/>
      <c r="AR76" s="351" t="e">
        <f t="shared" si="29"/>
        <v>#N/A</v>
      </c>
      <c r="AS76" s="629"/>
      <c r="AT76" s="378"/>
      <c r="AU76" s="378"/>
      <c r="AV76" s="378"/>
      <c r="AW76" s="351" t="e">
        <f t="shared" si="30"/>
        <v>#N/A</v>
      </c>
      <c r="AX76" s="629"/>
    </row>
    <row r="77" spans="2:50">
      <c r="B77" s="598"/>
      <c r="C77" s="319">
        <v>11</v>
      </c>
      <c r="D77" s="231"/>
      <c r="E77" s="187"/>
      <c r="F77" s="319"/>
      <c r="G77" s="322"/>
      <c r="H77" s="633"/>
      <c r="I77" s="207"/>
      <c r="J77" s="207"/>
      <c r="K77" s="207"/>
      <c r="L77" s="572"/>
      <c r="M77" s="206" t="e">
        <f>RANK(K77, K$67:$K$81)</f>
        <v>#N/A</v>
      </c>
      <c r="N77" s="590"/>
      <c r="O77" s="590"/>
      <c r="P77" s="378"/>
      <c r="Q77" s="378"/>
      <c r="R77" s="378"/>
      <c r="S77" s="351" t="e">
        <f t="shared" si="24"/>
        <v>#N/A</v>
      </c>
      <c r="T77" s="629"/>
      <c r="U77" s="378"/>
      <c r="V77" s="378"/>
      <c r="W77" s="378"/>
      <c r="X77" s="351" t="e">
        <f t="shared" si="25"/>
        <v>#N/A</v>
      </c>
      <c r="Y77" s="629"/>
      <c r="Z77" s="378"/>
      <c r="AA77" s="378"/>
      <c r="AB77" s="378"/>
      <c r="AC77" s="351" t="e">
        <f t="shared" si="26"/>
        <v>#N/A</v>
      </c>
      <c r="AD77" s="629"/>
      <c r="AE77" s="378"/>
      <c r="AF77" s="378"/>
      <c r="AG77" s="378"/>
      <c r="AH77" s="351" t="e">
        <f t="shared" si="27"/>
        <v>#N/A</v>
      </c>
      <c r="AI77" s="629"/>
      <c r="AJ77" s="378"/>
      <c r="AK77" s="378"/>
      <c r="AL77" s="378"/>
      <c r="AM77" s="351" t="e">
        <f t="shared" si="28"/>
        <v>#N/A</v>
      </c>
      <c r="AN77" s="629"/>
      <c r="AO77" s="378"/>
      <c r="AP77" s="378"/>
      <c r="AQ77" s="378"/>
      <c r="AR77" s="351" t="e">
        <f t="shared" si="29"/>
        <v>#N/A</v>
      </c>
      <c r="AS77" s="629"/>
      <c r="AT77" s="378"/>
      <c r="AU77" s="378"/>
      <c r="AV77" s="378"/>
      <c r="AW77" s="351" t="e">
        <f t="shared" si="30"/>
        <v>#N/A</v>
      </c>
      <c r="AX77" s="629"/>
    </row>
    <row r="78" spans="2:50">
      <c r="B78" s="598"/>
      <c r="C78" s="319">
        <v>12</v>
      </c>
      <c r="D78" s="231"/>
      <c r="E78" s="187"/>
      <c r="F78" s="319"/>
      <c r="G78" s="322"/>
      <c r="H78" s="633"/>
      <c r="I78" s="207"/>
      <c r="J78" s="207"/>
      <c r="K78" s="207"/>
      <c r="L78" s="572"/>
      <c r="M78" s="206" t="e">
        <f>RANK(K78, K$67:$K$81)</f>
        <v>#N/A</v>
      </c>
      <c r="N78" s="590"/>
      <c r="O78" s="590"/>
      <c r="P78" s="378"/>
      <c r="Q78" s="378"/>
      <c r="R78" s="378"/>
      <c r="S78" s="351" t="e">
        <f t="shared" si="24"/>
        <v>#N/A</v>
      </c>
      <c r="T78" s="629"/>
      <c r="U78" s="378"/>
      <c r="V78" s="378"/>
      <c r="W78" s="378"/>
      <c r="X78" s="351" t="e">
        <f t="shared" si="25"/>
        <v>#N/A</v>
      </c>
      <c r="Y78" s="629"/>
      <c r="Z78" s="378"/>
      <c r="AA78" s="378"/>
      <c r="AB78" s="378"/>
      <c r="AC78" s="351" t="e">
        <f t="shared" si="26"/>
        <v>#N/A</v>
      </c>
      <c r="AD78" s="629"/>
      <c r="AE78" s="378"/>
      <c r="AF78" s="378"/>
      <c r="AG78" s="378"/>
      <c r="AH78" s="351" t="e">
        <f t="shared" si="27"/>
        <v>#N/A</v>
      </c>
      <c r="AI78" s="629"/>
      <c r="AJ78" s="378"/>
      <c r="AK78" s="378"/>
      <c r="AL78" s="378"/>
      <c r="AM78" s="351" t="e">
        <f t="shared" si="28"/>
        <v>#N/A</v>
      </c>
      <c r="AN78" s="629"/>
      <c r="AO78" s="378"/>
      <c r="AP78" s="378"/>
      <c r="AQ78" s="378"/>
      <c r="AR78" s="351" t="e">
        <f t="shared" si="29"/>
        <v>#N/A</v>
      </c>
      <c r="AS78" s="629"/>
      <c r="AT78" s="378"/>
      <c r="AU78" s="378"/>
      <c r="AV78" s="378"/>
      <c r="AW78" s="351" t="e">
        <f t="shared" si="30"/>
        <v>#N/A</v>
      </c>
      <c r="AX78" s="629"/>
    </row>
    <row r="79" spans="2:50">
      <c r="B79" s="598"/>
      <c r="C79" s="319">
        <v>13</v>
      </c>
      <c r="D79" s="231"/>
      <c r="E79" s="187"/>
      <c r="F79" s="319"/>
      <c r="G79" s="322"/>
      <c r="H79" s="633"/>
      <c r="I79" s="207"/>
      <c r="J79" s="207"/>
      <c r="K79" s="207"/>
      <c r="L79" s="572"/>
      <c r="M79" s="206" t="e">
        <f>RANK(K79, K$67:$K$81)</f>
        <v>#N/A</v>
      </c>
      <c r="N79" s="590"/>
      <c r="O79" s="590"/>
      <c r="P79" s="378"/>
      <c r="Q79" s="378"/>
      <c r="R79" s="378"/>
      <c r="S79" s="351" t="e">
        <f t="shared" si="24"/>
        <v>#N/A</v>
      </c>
      <c r="T79" s="629"/>
      <c r="U79" s="378"/>
      <c r="V79" s="378"/>
      <c r="W79" s="378"/>
      <c r="X79" s="351" t="e">
        <f t="shared" si="25"/>
        <v>#N/A</v>
      </c>
      <c r="Y79" s="629"/>
      <c r="Z79" s="378"/>
      <c r="AA79" s="378"/>
      <c r="AB79" s="378"/>
      <c r="AC79" s="351" t="e">
        <f t="shared" si="26"/>
        <v>#N/A</v>
      </c>
      <c r="AD79" s="629"/>
      <c r="AE79" s="378"/>
      <c r="AF79" s="378"/>
      <c r="AG79" s="378"/>
      <c r="AH79" s="351" t="e">
        <f t="shared" si="27"/>
        <v>#N/A</v>
      </c>
      <c r="AI79" s="629"/>
      <c r="AJ79" s="378"/>
      <c r="AK79" s="378"/>
      <c r="AL79" s="378"/>
      <c r="AM79" s="351" t="e">
        <f t="shared" si="28"/>
        <v>#N/A</v>
      </c>
      <c r="AN79" s="629"/>
      <c r="AO79" s="378"/>
      <c r="AP79" s="378"/>
      <c r="AQ79" s="378"/>
      <c r="AR79" s="351" t="e">
        <f t="shared" si="29"/>
        <v>#N/A</v>
      </c>
      <c r="AS79" s="629"/>
      <c r="AT79" s="378"/>
      <c r="AU79" s="378"/>
      <c r="AV79" s="378"/>
      <c r="AW79" s="351" t="e">
        <f t="shared" si="30"/>
        <v>#N/A</v>
      </c>
      <c r="AX79" s="629"/>
    </row>
    <row r="80" spans="2:50">
      <c r="B80" s="598"/>
      <c r="C80" s="319">
        <v>14</v>
      </c>
      <c r="D80" s="231"/>
      <c r="E80" s="187"/>
      <c r="F80" s="319"/>
      <c r="G80" s="322"/>
      <c r="H80" s="633"/>
      <c r="I80" s="207"/>
      <c r="J80" s="207"/>
      <c r="K80" s="207"/>
      <c r="L80" s="572"/>
      <c r="M80" s="206" t="e">
        <f>RANK(K80, K$67:$K$81)</f>
        <v>#N/A</v>
      </c>
      <c r="N80" s="590"/>
      <c r="O80" s="590"/>
      <c r="P80" s="378"/>
      <c r="Q80" s="378"/>
      <c r="R80" s="378"/>
      <c r="S80" s="351" t="e">
        <f t="shared" si="24"/>
        <v>#N/A</v>
      </c>
      <c r="T80" s="629"/>
      <c r="U80" s="378"/>
      <c r="V80" s="378"/>
      <c r="W80" s="378"/>
      <c r="X80" s="351" t="e">
        <f t="shared" si="25"/>
        <v>#N/A</v>
      </c>
      <c r="Y80" s="629"/>
      <c r="Z80" s="378"/>
      <c r="AA80" s="378"/>
      <c r="AB80" s="378"/>
      <c r="AC80" s="351" t="e">
        <f t="shared" si="26"/>
        <v>#N/A</v>
      </c>
      <c r="AD80" s="629"/>
      <c r="AE80" s="378"/>
      <c r="AF80" s="378"/>
      <c r="AG80" s="378"/>
      <c r="AH80" s="351" t="e">
        <f t="shared" si="27"/>
        <v>#N/A</v>
      </c>
      <c r="AI80" s="629"/>
      <c r="AJ80" s="378"/>
      <c r="AK80" s="378"/>
      <c r="AL80" s="378"/>
      <c r="AM80" s="351" t="e">
        <f t="shared" si="28"/>
        <v>#N/A</v>
      </c>
      <c r="AN80" s="629"/>
      <c r="AO80" s="378"/>
      <c r="AP80" s="378"/>
      <c r="AQ80" s="378"/>
      <c r="AR80" s="351" t="e">
        <f t="shared" si="29"/>
        <v>#N/A</v>
      </c>
      <c r="AS80" s="629"/>
      <c r="AT80" s="378"/>
      <c r="AU80" s="378"/>
      <c r="AV80" s="378"/>
      <c r="AW80" s="351" t="e">
        <f t="shared" si="30"/>
        <v>#N/A</v>
      </c>
      <c r="AX80" s="629"/>
    </row>
    <row r="81" spans="2:50">
      <c r="B81" s="598"/>
      <c r="C81" s="319">
        <v>15</v>
      </c>
      <c r="D81" s="231"/>
      <c r="E81" s="187"/>
      <c r="F81" s="319"/>
      <c r="G81" s="322"/>
      <c r="H81" s="634"/>
      <c r="I81" s="207"/>
      <c r="J81" s="207"/>
      <c r="K81" s="207"/>
      <c r="L81" s="573"/>
      <c r="M81" s="206" t="e">
        <f>RANK(K81, K$67:$K$81)</f>
        <v>#N/A</v>
      </c>
      <c r="N81" s="590"/>
      <c r="O81" s="590"/>
      <c r="P81" s="378"/>
      <c r="Q81" s="378"/>
      <c r="R81" s="378"/>
      <c r="S81" s="351" t="e">
        <f t="shared" si="24"/>
        <v>#N/A</v>
      </c>
      <c r="T81" s="629"/>
      <c r="U81" s="378"/>
      <c r="V81" s="378"/>
      <c r="W81" s="378"/>
      <c r="X81" s="351" t="e">
        <f t="shared" si="25"/>
        <v>#N/A</v>
      </c>
      <c r="Y81" s="629"/>
      <c r="Z81" s="378"/>
      <c r="AA81" s="378"/>
      <c r="AB81" s="378"/>
      <c r="AC81" s="351" t="e">
        <f t="shared" si="26"/>
        <v>#N/A</v>
      </c>
      <c r="AD81" s="629"/>
      <c r="AE81" s="378"/>
      <c r="AF81" s="378"/>
      <c r="AG81" s="378"/>
      <c r="AH81" s="351" t="e">
        <f t="shared" si="27"/>
        <v>#N/A</v>
      </c>
      <c r="AI81" s="629"/>
      <c r="AJ81" s="378"/>
      <c r="AK81" s="378"/>
      <c r="AL81" s="378"/>
      <c r="AM81" s="351" t="e">
        <f t="shared" si="28"/>
        <v>#N/A</v>
      </c>
      <c r="AN81" s="629"/>
      <c r="AO81" s="378"/>
      <c r="AP81" s="378"/>
      <c r="AQ81" s="378"/>
      <c r="AR81" s="351" t="e">
        <f t="shared" si="29"/>
        <v>#N/A</v>
      </c>
      <c r="AS81" s="629"/>
      <c r="AT81" s="378"/>
      <c r="AU81" s="378"/>
      <c r="AV81" s="378"/>
      <c r="AW81" s="351" t="e">
        <f t="shared" si="30"/>
        <v>#N/A</v>
      </c>
      <c r="AX81" s="629"/>
    </row>
    <row r="82" spans="2:50" ht="15.75">
      <c r="B82" s="602" t="s">
        <v>163</v>
      </c>
      <c r="C82" s="603"/>
      <c r="D82" s="603"/>
      <c r="E82" s="603"/>
      <c r="F82" s="603"/>
      <c r="G82" s="603"/>
      <c r="H82" s="604"/>
      <c r="I82" s="213"/>
      <c r="J82" s="213"/>
      <c r="K82" s="213"/>
      <c r="L82" s="213"/>
      <c r="M82" s="212"/>
      <c r="N82" s="591" t="s">
        <v>156</v>
      </c>
      <c r="O82" s="591" t="s">
        <v>105</v>
      </c>
      <c r="P82" s="597">
        <f>P62+7</f>
        <v>45958</v>
      </c>
      <c r="Q82" s="598"/>
      <c r="R82" s="598"/>
      <c r="S82" s="598"/>
      <c r="T82" s="598"/>
      <c r="U82" s="594">
        <f>P82+1</f>
        <v>45959</v>
      </c>
      <c r="V82" s="595"/>
      <c r="W82" s="595"/>
      <c r="X82" s="595"/>
      <c r="Y82" s="596"/>
      <c r="Z82" s="594">
        <f>U82+1</f>
        <v>45960</v>
      </c>
      <c r="AA82" s="595"/>
      <c r="AB82" s="595"/>
      <c r="AC82" s="595"/>
      <c r="AD82" s="596"/>
      <c r="AE82" s="594">
        <f>Z82+1</f>
        <v>45961</v>
      </c>
      <c r="AF82" s="595"/>
      <c r="AG82" s="595"/>
      <c r="AH82" s="595"/>
      <c r="AI82" s="596"/>
      <c r="AJ82" s="594">
        <f>AE82+1</f>
        <v>45962</v>
      </c>
      <c r="AK82" s="595"/>
      <c r="AL82" s="595"/>
      <c r="AM82" s="595"/>
      <c r="AN82" s="596"/>
      <c r="AO82" s="594">
        <f>AJ82+1</f>
        <v>45963</v>
      </c>
      <c r="AP82" s="595"/>
      <c r="AQ82" s="595"/>
      <c r="AR82" s="595"/>
      <c r="AS82" s="596"/>
      <c r="AT82" s="594">
        <f>AO82+1</f>
        <v>45964</v>
      </c>
      <c r="AU82" s="595"/>
      <c r="AV82" s="595"/>
      <c r="AW82" s="595"/>
      <c r="AX82" s="596"/>
    </row>
    <row r="83" spans="2:50" ht="15.75">
      <c r="B83" s="605"/>
      <c r="C83" s="605"/>
      <c r="D83" s="605"/>
      <c r="E83" s="605"/>
      <c r="F83" s="605"/>
      <c r="G83" s="605"/>
      <c r="H83" s="605"/>
      <c r="I83" s="210"/>
      <c r="J83" s="210"/>
      <c r="K83" s="210"/>
      <c r="L83" s="210"/>
      <c r="M83" s="211"/>
      <c r="N83" s="593"/>
      <c r="O83" s="593"/>
      <c r="P83" s="597" t="s">
        <v>336</v>
      </c>
      <c r="Q83" s="598"/>
      <c r="R83" s="598"/>
      <c r="S83" s="598"/>
      <c r="T83" s="598"/>
      <c r="U83" s="597" t="s">
        <v>337</v>
      </c>
      <c r="V83" s="598"/>
      <c r="W83" s="598"/>
      <c r="X83" s="598"/>
      <c r="Y83" s="598"/>
      <c r="Z83" s="597" t="s">
        <v>338</v>
      </c>
      <c r="AA83" s="598"/>
      <c r="AB83" s="598"/>
      <c r="AC83" s="598"/>
      <c r="AD83" s="598"/>
      <c r="AE83" s="597" t="s">
        <v>339</v>
      </c>
      <c r="AF83" s="598"/>
      <c r="AG83" s="598"/>
      <c r="AH83" s="598"/>
      <c r="AI83" s="598"/>
      <c r="AJ83" s="597" t="s">
        <v>340</v>
      </c>
      <c r="AK83" s="598"/>
      <c r="AL83" s="598"/>
      <c r="AM83" s="598"/>
      <c r="AN83" s="598"/>
      <c r="AO83" s="597" t="s">
        <v>341</v>
      </c>
      <c r="AP83" s="598"/>
      <c r="AQ83" s="598"/>
      <c r="AR83" s="598"/>
      <c r="AS83" s="598"/>
      <c r="AT83" s="597" t="s">
        <v>342</v>
      </c>
      <c r="AU83" s="598"/>
      <c r="AV83" s="598"/>
      <c r="AW83" s="598"/>
      <c r="AX83" s="598"/>
    </row>
    <row r="84" spans="2:50">
      <c r="B84" s="590" t="s">
        <v>476</v>
      </c>
      <c r="C84" s="590" t="s">
        <v>477</v>
      </c>
      <c r="D84" s="590"/>
      <c r="E84" s="590" t="s">
        <v>478</v>
      </c>
      <c r="F84" s="590"/>
      <c r="G84" s="590"/>
      <c r="H84" s="606" t="s">
        <v>479</v>
      </c>
      <c r="I84" s="574" t="s">
        <v>480</v>
      </c>
      <c r="J84" s="574"/>
      <c r="K84" s="574"/>
      <c r="L84" s="575" t="s">
        <v>479</v>
      </c>
      <c r="M84" s="581" t="s">
        <v>481</v>
      </c>
      <c r="N84" s="590"/>
      <c r="O84" s="590" t="s">
        <v>482</v>
      </c>
      <c r="P84" s="587" t="s">
        <v>483</v>
      </c>
      <c r="Q84" s="588"/>
      <c r="R84" s="588"/>
      <c r="S84" s="589"/>
      <c r="T84" s="590" t="s">
        <v>479</v>
      </c>
      <c r="U84" s="587" t="s">
        <v>483</v>
      </c>
      <c r="V84" s="588"/>
      <c r="W84" s="588"/>
      <c r="X84" s="589"/>
      <c r="Y84" s="590" t="s">
        <v>479</v>
      </c>
      <c r="Z84" s="587" t="s">
        <v>483</v>
      </c>
      <c r="AA84" s="588"/>
      <c r="AB84" s="588"/>
      <c r="AC84" s="589"/>
      <c r="AD84" s="590" t="s">
        <v>479</v>
      </c>
      <c r="AE84" s="587" t="s">
        <v>483</v>
      </c>
      <c r="AF84" s="588"/>
      <c r="AG84" s="588"/>
      <c r="AH84" s="589"/>
      <c r="AI84" s="590" t="s">
        <v>479</v>
      </c>
      <c r="AJ84" s="587" t="s">
        <v>483</v>
      </c>
      <c r="AK84" s="588"/>
      <c r="AL84" s="588"/>
      <c r="AM84" s="589"/>
      <c r="AN84" s="590" t="s">
        <v>479</v>
      </c>
      <c r="AO84" s="587" t="s">
        <v>483</v>
      </c>
      <c r="AP84" s="588"/>
      <c r="AQ84" s="588"/>
      <c r="AR84" s="589"/>
      <c r="AS84" s="590" t="s">
        <v>479</v>
      </c>
      <c r="AT84" s="587" t="s">
        <v>483</v>
      </c>
      <c r="AU84" s="588"/>
      <c r="AV84" s="588"/>
      <c r="AW84" s="589"/>
      <c r="AX84" s="590" t="s">
        <v>479</v>
      </c>
    </row>
    <row r="85" spans="2:50">
      <c r="B85" s="590"/>
      <c r="C85" s="590"/>
      <c r="D85" s="590"/>
      <c r="E85" s="590" t="s">
        <v>484</v>
      </c>
      <c r="F85" s="590"/>
      <c r="G85" s="590"/>
      <c r="H85" s="607"/>
      <c r="I85" s="574" t="s">
        <v>484</v>
      </c>
      <c r="J85" s="574"/>
      <c r="K85" s="574"/>
      <c r="L85" s="576"/>
      <c r="M85" s="582"/>
      <c r="N85" s="590"/>
      <c r="O85" s="590"/>
      <c r="P85" s="587" t="s">
        <v>485</v>
      </c>
      <c r="Q85" s="588"/>
      <c r="R85" s="588"/>
      <c r="S85" s="589"/>
      <c r="T85" s="590"/>
      <c r="U85" s="587" t="s">
        <v>485</v>
      </c>
      <c r="V85" s="588"/>
      <c r="W85" s="588"/>
      <c r="X85" s="589"/>
      <c r="Y85" s="590"/>
      <c r="Z85" s="587" t="s">
        <v>485</v>
      </c>
      <c r="AA85" s="588"/>
      <c r="AB85" s="588"/>
      <c r="AC85" s="589"/>
      <c r="AD85" s="590"/>
      <c r="AE85" s="587" t="s">
        <v>485</v>
      </c>
      <c r="AF85" s="588"/>
      <c r="AG85" s="588"/>
      <c r="AH85" s="589"/>
      <c r="AI85" s="590"/>
      <c r="AJ85" s="587" t="s">
        <v>485</v>
      </c>
      <c r="AK85" s="588"/>
      <c r="AL85" s="588"/>
      <c r="AM85" s="589"/>
      <c r="AN85" s="590"/>
      <c r="AO85" s="587" t="s">
        <v>485</v>
      </c>
      <c r="AP85" s="588"/>
      <c r="AQ85" s="588"/>
      <c r="AR85" s="589"/>
      <c r="AS85" s="590"/>
      <c r="AT85" s="587" t="s">
        <v>485</v>
      </c>
      <c r="AU85" s="588"/>
      <c r="AV85" s="588"/>
      <c r="AW85" s="589"/>
      <c r="AX85" s="590"/>
    </row>
    <row r="86" spans="2:50">
      <c r="B86" s="590"/>
      <c r="C86" s="590"/>
      <c r="D86" s="590"/>
      <c r="E86" s="307" t="s">
        <v>486</v>
      </c>
      <c r="F86" s="307" t="s">
        <v>487</v>
      </c>
      <c r="G86" s="307" t="s">
        <v>488</v>
      </c>
      <c r="H86" s="608"/>
      <c r="I86" s="309" t="s">
        <v>486</v>
      </c>
      <c r="J86" s="309" t="s">
        <v>487</v>
      </c>
      <c r="K86" s="309" t="s">
        <v>488</v>
      </c>
      <c r="L86" s="577"/>
      <c r="M86" s="583"/>
      <c r="N86" s="590"/>
      <c r="O86" s="590"/>
      <c r="P86" s="307" t="s">
        <v>486</v>
      </c>
      <c r="Q86" s="307" t="s">
        <v>487</v>
      </c>
      <c r="R86" s="307" t="s">
        <v>488</v>
      </c>
      <c r="S86" s="307" t="s">
        <v>481</v>
      </c>
      <c r="T86" s="590"/>
      <c r="U86" s="307" t="s">
        <v>486</v>
      </c>
      <c r="V86" s="307" t="s">
        <v>487</v>
      </c>
      <c r="W86" s="307" t="s">
        <v>488</v>
      </c>
      <c r="X86" s="307" t="s">
        <v>481</v>
      </c>
      <c r="Y86" s="590"/>
      <c r="Z86" s="307" t="s">
        <v>486</v>
      </c>
      <c r="AA86" s="307" t="s">
        <v>487</v>
      </c>
      <c r="AB86" s="307" t="s">
        <v>488</v>
      </c>
      <c r="AC86" s="307" t="s">
        <v>481</v>
      </c>
      <c r="AD86" s="590"/>
      <c r="AE86" s="307" t="s">
        <v>486</v>
      </c>
      <c r="AF86" s="307" t="s">
        <v>487</v>
      </c>
      <c r="AG86" s="307" t="s">
        <v>488</v>
      </c>
      <c r="AH86" s="307" t="s">
        <v>481</v>
      </c>
      <c r="AI86" s="590"/>
      <c r="AJ86" s="307" t="s">
        <v>486</v>
      </c>
      <c r="AK86" s="307" t="s">
        <v>487</v>
      </c>
      <c r="AL86" s="307" t="s">
        <v>488</v>
      </c>
      <c r="AM86" s="307" t="s">
        <v>481</v>
      </c>
      <c r="AN86" s="590"/>
      <c r="AO86" s="307" t="s">
        <v>486</v>
      </c>
      <c r="AP86" s="307" t="s">
        <v>487</v>
      </c>
      <c r="AQ86" s="307" t="s">
        <v>488</v>
      </c>
      <c r="AR86" s="307" t="s">
        <v>481</v>
      </c>
      <c r="AS86" s="590"/>
      <c r="AT86" s="307" t="s">
        <v>486</v>
      </c>
      <c r="AU86" s="307" t="s">
        <v>487</v>
      </c>
      <c r="AV86" s="307" t="s">
        <v>488</v>
      </c>
      <c r="AW86" s="307" t="s">
        <v>481</v>
      </c>
      <c r="AX86" s="590"/>
    </row>
    <row r="87" spans="2:50">
      <c r="B87" s="590" t="s">
        <v>491</v>
      </c>
      <c r="C87" s="306">
        <v>1</v>
      </c>
      <c r="D87" s="231" t="s">
        <v>694</v>
      </c>
      <c r="E87" s="187">
        <v>13</v>
      </c>
      <c r="F87" s="306">
        <v>1500</v>
      </c>
      <c r="G87" s="308">
        <v>115.38461538461539</v>
      </c>
      <c r="H87" s="632">
        <f>AVERAGE(G87:G101)</f>
        <v>115.38461538461539</v>
      </c>
      <c r="I87" s="204">
        <f t="shared" ref="I87:K88" si="31">AVERAGE(P87,U87,Z87,AE87,AJ87,AO87,AT87)</f>
        <v>12.428571428571429</v>
      </c>
      <c r="J87" s="204">
        <f t="shared" si="31"/>
        <v>1499.0765306122453</v>
      </c>
      <c r="K87" s="205">
        <f t="shared" si="31"/>
        <v>121.32791788043895</v>
      </c>
      <c r="L87" s="571">
        <f>IFERROR(AVERAGE(K87:K101),"-")</f>
        <v>121.87018128929903</v>
      </c>
      <c r="M87" s="206">
        <f>RANK(K87, K$87:$K$101)</f>
        <v>2</v>
      </c>
      <c r="N87" s="590"/>
      <c r="O87" s="590"/>
      <c r="P87" s="187">
        <v>13</v>
      </c>
      <c r="Q87" s="187">
        <v>1490.2500000000007</v>
      </c>
      <c r="R87" s="379">
        <v>114.63461538461544</v>
      </c>
      <c r="S87" s="306">
        <f>RANK(R87, R$87:R$101)</f>
        <v>1</v>
      </c>
      <c r="T87" s="629">
        <f>AVERAGE(R87:R101)</f>
        <v>114.30631868131869</v>
      </c>
      <c r="U87" s="187">
        <v>13</v>
      </c>
      <c r="V87" s="187">
        <v>1490.8235294117658</v>
      </c>
      <c r="W87" s="496">
        <v>114.67873303167428</v>
      </c>
      <c r="X87" s="306">
        <f>RANK(W87, W$87:W$101)</f>
        <v>1</v>
      </c>
      <c r="Y87" s="629">
        <f>AVERAGE(W87:W101)</f>
        <v>114.22398190045261</v>
      </c>
      <c r="Z87" s="187">
        <v>11</v>
      </c>
      <c r="AA87" s="187">
        <v>1497.1764705882363</v>
      </c>
      <c r="AB87" s="496">
        <v>136.10695187165786</v>
      </c>
      <c r="AC87" s="306">
        <f>RANK(AB87, AB$87:AB$101)</f>
        <v>2</v>
      </c>
      <c r="AD87" s="629">
        <f>AVERAGE(AB87:AB101)</f>
        <v>148.41711229946537</v>
      </c>
      <c r="AE87" s="187">
        <v>13</v>
      </c>
      <c r="AF87" s="187">
        <v>1534.2857142857151</v>
      </c>
      <c r="AG87" s="496">
        <v>118.02197802197809</v>
      </c>
      <c r="AH87" s="306">
        <f>RANK(AG87, AG$87:AG$101)</f>
        <v>1</v>
      </c>
      <c r="AI87" s="629">
        <f>AVERAGE(AG87:AG101)</f>
        <v>108.85714285714306</v>
      </c>
      <c r="AJ87" s="187">
        <v>13</v>
      </c>
      <c r="AK87" s="187">
        <v>1513.0000000000002</v>
      </c>
      <c r="AL87" s="496">
        <v>116.3846153846154</v>
      </c>
      <c r="AM87" s="306">
        <f>RANK(AL87, AL$87:AL$101)</f>
        <v>1</v>
      </c>
      <c r="AN87" s="629">
        <f>AVERAGE(AL87:AL101)</f>
        <v>115.42307692307691</v>
      </c>
      <c r="AO87" s="187">
        <v>13</v>
      </c>
      <c r="AP87" s="187">
        <v>1455.0000000000005</v>
      </c>
      <c r="AQ87" s="496">
        <v>111.92307692307696</v>
      </c>
      <c r="AR87" s="306">
        <f>RANK(AQ87, AQ$87:AQ$101)</f>
        <v>2</v>
      </c>
      <c r="AS87" s="629">
        <f>AVERAGE(AQ87:AQ101)</f>
        <v>120.00000000000011</v>
      </c>
      <c r="AT87" s="187">
        <v>11</v>
      </c>
      <c r="AU87" s="187">
        <v>1513.0000000000002</v>
      </c>
      <c r="AV87" s="496">
        <v>137.54545454545456</v>
      </c>
      <c r="AW87" s="306">
        <f>RANK(AV87, AV$87:AV$101)</f>
        <v>1</v>
      </c>
      <c r="AX87" s="629">
        <f>AVERAGE(AV87:AV101)</f>
        <v>131.86363636363643</v>
      </c>
    </row>
    <row r="88" spans="2:50">
      <c r="B88" s="598"/>
      <c r="C88" s="306">
        <v>2</v>
      </c>
      <c r="D88" s="231" t="s">
        <v>818</v>
      </c>
      <c r="E88" s="187">
        <v>13</v>
      </c>
      <c r="F88" s="306">
        <v>1500</v>
      </c>
      <c r="G88" s="308">
        <v>115.38461538461539</v>
      </c>
      <c r="H88" s="633"/>
      <c r="I88" s="497">
        <f t="shared" si="31"/>
        <v>12.428571428571429</v>
      </c>
      <c r="J88" s="497">
        <f t="shared" si="31"/>
        <v>1509.3877551020425</v>
      </c>
      <c r="K88" s="205">
        <f t="shared" si="31"/>
        <v>122.41244469815911</v>
      </c>
      <c r="L88" s="572"/>
      <c r="M88" s="206">
        <f>RANK(K88, K$87:$K$101)</f>
        <v>1</v>
      </c>
      <c r="N88" s="590"/>
      <c r="O88" s="590"/>
      <c r="P88" s="378">
        <v>13</v>
      </c>
      <c r="Q88" s="187">
        <v>1481.7142857142849</v>
      </c>
      <c r="R88" s="379">
        <v>113.97802197802191</v>
      </c>
      <c r="S88" s="306">
        <f t="shared" ref="S88:S101" si="32">RANK(R88, R$87:R$101)</f>
        <v>2</v>
      </c>
      <c r="T88" s="629"/>
      <c r="U88" s="495">
        <v>13</v>
      </c>
      <c r="V88" s="187">
        <v>1479.0000000000023</v>
      </c>
      <c r="W88" s="496">
        <v>113.76923076923094</v>
      </c>
      <c r="X88" s="306">
        <f t="shared" ref="X88:X101" si="33">RANK(W88, W$87:W$101)</f>
        <v>2</v>
      </c>
      <c r="Y88" s="629"/>
      <c r="Z88" s="495">
        <v>11</v>
      </c>
      <c r="AA88" s="187">
        <v>1768.0000000000016</v>
      </c>
      <c r="AB88" s="496">
        <v>160.72727272727286</v>
      </c>
      <c r="AC88" s="306">
        <f t="shared" ref="AC88:AC101" si="34">RANK(AB88, AB$87:AB$101)</f>
        <v>1</v>
      </c>
      <c r="AD88" s="629"/>
      <c r="AE88" s="495">
        <v>13</v>
      </c>
      <c r="AF88" s="187">
        <v>1296.0000000000045</v>
      </c>
      <c r="AG88" s="496">
        <v>99.692307692308049</v>
      </c>
      <c r="AH88" s="306">
        <f t="shared" ref="AH88:AH101" si="35">RANK(AG88, AG$87:AG$101)</f>
        <v>2</v>
      </c>
      <c r="AI88" s="629"/>
      <c r="AJ88" s="495">
        <v>13</v>
      </c>
      <c r="AK88" s="187">
        <v>1487.9999999999993</v>
      </c>
      <c r="AL88" s="496">
        <v>114.46153846153841</v>
      </c>
      <c r="AM88" s="306">
        <f t="shared" ref="AM88:AM101" si="36">RANK(AL88, AL$87:AL$101)</f>
        <v>2</v>
      </c>
      <c r="AN88" s="629"/>
      <c r="AO88" s="495">
        <v>13</v>
      </c>
      <c r="AP88" s="187">
        <v>1665.0000000000025</v>
      </c>
      <c r="AQ88" s="496">
        <v>128.07692307692326</v>
      </c>
      <c r="AR88" s="306">
        <f t="shared" ref="AR88:AR101" si="37">RANK(AQ88, AQ$87:AQ$101)</f>
        <v>1</v>
      </c>
      <c r="AS88" s="629"/>
      <c r="AT88" s="495">
        <v>11</v>
      </c>
      <c r="AU88" s="187">
        <v>1388.0000000000014</v>
      </c>
      <c r="AV88" s="496">
        <v>126.1818181818183</v>
      </c>
      <c r="AW88" s="306">
        <f t="shared" ref="AW88:AW101" si="38">RANK(AV88, AV$87:AV$101)</f>
        <v>2</v>
      </c>
      <c r="AX88" s="629"/>
    </row>
    <row r="89" spans="2:50">
      <c r="B89" s="598"/>
      <c r="C89" s="306">
        <v>3</v>
      </c>
      <c r="D89" s="231"/>
      <c r="E89" s="187"/>
      <c r="F89" s="306"/>
      <c r="G89" s="308"/>
      <c r="H89" s="633"/>
      <c r="I89" s="204"/>
      <c r="J89" s="204"/>
      <c r="K89" s="205"/>
      <c r="L89" s="572"/>
      <c r="M89" s="206" t="e">
        <f>RANK(K89, K$87:$K$101)</f>
        <v>#N/A</v>
      </c>
      <c r="N89" s="590"/>
      <c r="O89" s="590"/>
      <c r="P89" s="378"/>
      <c r="Q89" s="378"/>
      <c r="R89" s="378"/>
      <c r="S89" s="306" t="e">
        <f t="shared" si="32"/>
        <v>#N/A</v>
      </c>
      <c r="T89" s="629"/>
      <c r="U89" s="378"/>
      <c r="V89" s="378"/>
      <c r="W89" s="378"/>
      <c r="X89" s="306" t="e">
        <f t="shared" si="33"/>
        <v>#N/A</v>
      </c>
      <c r="Y89" s="629"/>
      <c r="Z89" s="378"/>
      <c r="AA89" s="378"/>
      <c r="AB89" s="378"/>
      <c r="AC89" s="306" t="e">
        <f t="shared" si="34"/>
        <v>#N/A</v>
      </c>
      <c r="AD89" s="629"/>
      <c r="AE89" s="378"/>
      <c r="AF89" s="378"/>
      <c r="AG89" s="378"/>
      <c r="AH89" s="306" t="e">
        <f t="shared" si="35"/>
        <v>#N/A</v>
      </c>
      <c r="AI89" s="629"/>
      <c r="AJ89" s="378"/>
      <c r="AK89" s="378"/>
      <c r="AL89" s="378"/>
      <c r="AM89" s="306" t="e">
        <f t="shared" si="36"/>
        <v>#N/A</v>
      </c>
      <c r="AN89" s="629"/>
      <c r="AO89" s="378"/>
      <c r="AP89" s="378"/>
      <c r="AQ89" s="378"/>
      <c r="AR89" s="306" t="e">
        <f t="shared" si="37"/>
        <v>#N/A</v>
      </c>
      <c r="AS89" s="629"/>
      <c r="AT89" s="378"/>
      <c r="AU89" s="378"/>
      <c r="AV89" s="378"/>
      <c r="AW89" s="306" t="e">
        <f t="shared" si="38"/>
        <v>#N/A</v>
      </c>
      <c r="AX89" s="629"/>
    </row>
    <row r="90" spans="2:50">
      <c r="B90" s="598"/>
      <c r="C90" s="306">
        <v>4</v>
      </c>
      <c r="D90" s="231"/>
      <c r="E90" s="187"/>
      <c r="F90" s="306"/>
      <c r="G90" s="308"/>
      <c r="H90" s="633"/>
      <c r="I90" s="204"/>
      <c r="J90" s="204"/>
      <c r="K90" s="205"/>
      <c r="L90" s="572"/>
      <c r="M90" s="206" t="e">
        <f>RANK(K90, K$87:$K$101)</f>
        <v>#N/A</v>
      </c>
      <c r="N90" s="590"/>
      <c r="O90" s="590"/>
      <c r="P90" s="378"/>
      <c r="Q90" s="378"/>
      <c r="R90" s="378"/>
      <c r="S90" s="306" t="e">
        <f t="shared" si="32"/>
        <v>#N/A</v>
      </c>
      <c r="T90" s="629"/>
      <c r="U90" s="378"/>
      <c r="V90" s="378"/>
      <c r="W90" s="378"/>
      <c r="X90" s="306" t="e">
        <f t="shared" si="33"/>
        <v>#N/A</v>
      </c>
      <c r="Y90" s="629"/>
      <c r="Z90" s="378"/>
      <c r="AA90" s="378"/>
      <c r="AB90" s="378"/>
      <c r="AC90" s="306" t="e">
        <f t="shared" si="34"/>
        <v>#N/A</v>
      </c>
      <c r="AD90" s="629"/>
      <c r="AE90" s="378"/>
      <c r="AF90" s="378"/>
      <c r="AG90" s="378"/>
      <c r="AH90" s="306" t="e">
        <f t="shared" si="35"/>
        <v>#N/A</v>
      </c>
      <c r="AI90" s="629"/>
      <c r="AJ90" s="378"/>
      <c r="AK90" s="378"/>
      <c r="AL90" s="378"/>
      <c r="AM90" s="306" t="e">
        <f t="shared" si="36"/>
        <v>#N/A</v>
      </c>
      <c r="AN90" s="629"/>
      <c r="AO90" s="378"/>
      <c r="AP90" s="378"/>
      <c r="AQ90" s="378"/>
      <c r="AR90" s="306" t="e">
        <f t="shared" si="37"/>
        <v>#N/A</v>
      </c>
      <c r="AS90" s="629"/>
      <c r="AT90" s="378"/>
      <c r="AU90" s="378"/>
      <c r="AV90" s="378"/>
      <c r="AW90" s="306" t="e">
        <f t="shared" si="38"/>
        <v>#N/A</v>
      </c>
      <c r="AX90" s="629"/>
    </row>
    <row r="91" spans="2:50">
      <c r="B91" s="598"/>
      <c r="C91" s="306">
        <v>5</v>
      </c>
      <c r="D91" s="231"/>
      <c r="E91" s="187"/>
      <c r="F91" s="306"/>
      <c r="G91" s="308"/>
      <c r="H91" s="633"/>
      <c r="I91" s="204"/>
      <c r="J91" s="204"/>
      <c r="K91" s="205"/>
      <c r="L91" s="572"/>
      <c r="M91" s="206" t="e">
        <f>RANK(K91, K$87:$K$101)</f>
        <v>#N/A</v>
      </c>
      <c r="N91" s="590"/>
      <c r="O91" s="590"/>
      <c r="P91" s="378"/>
      <c r="Q91" s="378"/>
      <c r="R91" s="378"/>
      <c r="S91" s="306" t="e">
        <f t="shared" si="32"/>
        <v>#N/A</v>
      </c>
      <c r="T91" s="629"/>
      <c r="U91" s="378"/>
      <c r="V91" s="378"/>
      <c r="W91" s="378"/>
      <c r="X91" s="306" t="e">
        <f t="shared" si="33"/>
        <v>#N/A</v>
      </c>
      <c r="Y91" s="629"/>
      <c r="Z91" s="378"/>
      <c r="AA91" s="378"/>
      <c r="AB91" s="378"/>
      <c r="AC91" s="306" t="e">
        <f t="shared" si="34"/>
        <v>#N/A</v>
      </c>
      <c r="AD91" s="629"/>
      <c r="AE91" s="378"/>
      <c r="AF91" s="378"/>
      <c r="AG91" s="378"/>
      <c r="AH91" s="306" t="e">
        <f t="shared" si="35"/>
        <v>#N/A</v>
      </c>
      <c r="AI91" s="629"/>
      <c r="AJ91" s="378"/>
      <c r="AK91" s="378"/>
      <c r="AL91" s="378"/>
      <c r="AM91" s="306" t="e">
        <f t="shared" si="36"/>
        <v>#N/A</v>
      </c>
      <c r="AN91" s="629"/>
      <c r="AO91" s="378"/>
      <c r="AP91" s="378"/>
      <c r="AQ91" s="378"/>
      <c r="AR91" s="306" t="e">
        <f t="shared" si="37"/>
        <v>#N/A</v>
      </c>
      <c r="AS91" s="629"/>
      <c r="AT91" s="378"/>
      <c r="AU91" s="378"/>
      <c r="AV91" s="378"/>
      <c r="AW91" s="306" t="e">
        <f t="shared" si="38"/>
        <v>#N/A</v>
      </c>
      <c r="AX91" s="629"/>
    </row>
    <row r="92" spans="2:50">
      <c r="B92" s="598"/>
      <c r="C92" s="306">
        <v>6</v>
      </c>
      <c r="D92" s="231"/>
      <c r="E92" s="187"/>
      <c r="F92" s="306"/>
      <c r="G92" s="308"/>
      <c r="H92" s="633"/>
      <c r="I92" s="204"/>
      <c r="J92" s="204"/>
      <c r="K92" s="205"/>
      <c r="L92" s="572"/>
      <c r="M92" s="206" t="e">
        <f>RANK(K92, K$87:$K$101)</f>
        <v>#N/A</v>
      </c>
      <c r="N92" s="590"/>
      <c r="O92" s="590"/>
      <c r="P92" s="378"/>
      <c r="Q92" s="378"/>
      <c r="R92" s="378"/>
      <c r="S92" s="306" t="e">
        <f t="shared" si="32"/>
        <v>#N/A</v>
      </c>
      <c r="T92" s="629"/>
      <c r="U92" s="378"/>
      <c r="V92" s="378"/>
      <c r="W92" s="378"/>
      <c r="X92" s="306" t="e">
        <f t="shared" si="33"/>
        <v>#N/A</v>
      </c>
      <c r="Y92" s="629"/>
      <c r="Z92" s="378"/>
      <c r="AA92" s="378"/>
      <c r="AB92" s="378"/>
      <c r="AC92" s="306" t="e">
        <f t="shared" si="34"/>
        <v>#N/A</v>
      </c>
      <c r="AD92" s="629"/>
      <c r="AE92" s="378"/>
      <c r="AF92" s="378"/>
      <c r="AG92" s="378"/>
      <c r="AH92" s="306" t="e">
        <f t="shared" si="35"/>
        <v>#N/A</v>
      </c>
      <c r="AI92" s="629"/>
      <c r="AJ92" s="378"/>
      <c r="AK92" s="378"/>
      <c r="AL92" s="378"/>
      <c r="AM92" s="306" t="e">
        <f t="shared" si="36"/>
        <v>#N/A</v>
      </c>
      <c r="AN92" s="629"/>
      <c r="AO92" s="378"/>
      <c r="AP92" s="378"/>
      <c r="AQ92" s="378"/>
      <c r="AR92" s="306" t="e">
        <f t="shared" si="37"/>
        <v>#N/A</v>
      </c>
      <c r="AS92" s="629"/>
      <c r="AT92" s="378"/>
      <c r="AU92" s="378"/>
      <c r="AV92" s="378"/>
      <c r="AW92" s="306" t="e">
        <f t="shared" si="38"/>
        <v>#N/A</v>
      </c>
      <c r="AX92" s="629"/>
    </row>
    <row r="93" spans="2:50">
      <c r="B93" s="598"/>
      <c r="C93" s="306">
        <v>7</v>
      </c>
      <c r="D93" s="231"/>
      <c r="E93" s="187"/>
      <c r="F93" s="306"/>
      <c r="G93" s="308"/>
      <c r="H93" s="633"/>
      <c r="I93" s="204"/>
      <c r="J93" s="204"/>
      <c r="K93" s="205"/>
      <c r="L93" s="572"/>
      <c r="M93" s="206" t="e">
        <f>RANK(K93, K$87:$K$101)</f>
        <v>#N/A</v>
      </c>
      <c r="N93" s="590"/>
      <c r="O93" s="590"/>
      <c r="P93" s="378"/>
      <c r="Q93" s="378"/>
      <c r="R93" s="378"/>
      <c r="S93" s="306" t="e">
        <f t="shared" si="32"/>
        <v>#N/A</v>
      </c>
      <c r="T93" s="629"/>
      <c r="U93" s="378"/>
      <c r="V93" s="378"/>
      <c r="W93" s="378"/>
      <c r="X93" s="306" t="e">
        <f t="shared" si="33"/>
        <v>#N/A</v>
      </c>
      <c r="Y93" s="629"/>
      <c r="Z93" s="378"/>
      <c r="AA93" s="378"/>
      <c r="AB93" s="378"/>
      <c r="AC93" s="306" t="e">
        <f t="shared" si="34"/>
        <v>#N/A</v>
      </c>
      <c r="AD93" s="629"/>
      <c r="AE93" s="378"/>
      <c r="AF93" s="378"/>
      <c r="AG93" s="378"/>
      <c r="AH93" s="306" t="e">
        <f t="shared" si="35"/>
        <v>#N/A</v>
      </c>
      <c r="AI93" s="629"/>
      <c r="AJ93" s="378"/>
      <c r="AK93" s="378"/>
      <c r="AL93" s="378"/>
      <c r="AM93" s="306" t="e">
        <f t="shared" si="36"/>
        <v>#N/A</v>
      </c>
      <c r="AN93" s="629"/>
      <c r="AO93" s="378"/>
      <c r="AP93" s="378"/>
      <c r="AQ93" s="378"/>
      <c r="AR93" s="306" t="e">
        <f t="shared" si="37"/>
        <v>#N/A</v>
      </c>
      <c r="AS93" s="629"/>
      <c r="AT93" s="378"/>
      <c r="AU93" s="378"/>
      <c r="AV93" s="378"/>
      <c r="AW93" s="306" t="e">
        <f t="shared" si="38"/>
        <v>#N/A</v>
      </c>
      <c r="AX93" s="629"/>
    </row>
    <row r="94" spans="2:50">
      <c r="B94" s="598"/>
      <c r="C94" s="306">
        <v>8</v>
      </c>
      <c r="D94" s="231"/>
      <c r="E94" s="187"/>
      <c r="F94" s="306"/>
      <c r="G94" s="308"/>
      <c r="H94" s="633"/>
      <c r="I94" s="204"/>
      <c r="J94" s="204"/>
      <c r="K94" s="205"/>
      <c r="L94" s="572"/>
      <c r="M94" s="206" t="e">
        <f>RANK(K94, K$87:$K$101)</f>
        <v>#N/A</v>
      </c>
      <c r="N94" s="590"/>
      <c r="O94" s="590"/>
      <c r="P94" s="378"/>
      <c r="Q94" s="378"/>
      <c r="R94" s="378"/>
      <c r="S94" s="306" t="e">
        <f t="shared" si="32"/>
        <v>#N/A</v>
      </c>
      <c r="T94" s="629"/>
      <c r="U94" s="378"/>
      <c r="V94" s="378"/>
      <c r="W94" s="378"/>
      <c r="X94" s="306" t="e">
        <f t="shared" si="33"/>
        <v>#N/A</v>
      </c>
      <c r="Y94" s="629"/>
      <c r="Z94" s="378"/>
      <c r="AA94" s="378"/>
      <c r="AB94" s="378"/>
      <c r="AC94" s="306" t="e">
        <f t="shared" si="34"/>
        <v>#N/A</v>
      </c>
      <c r="AD94" s="629"/>
      <c r="AE94" s="378"/>
      <c r="AF94" s="378"/>
      <c r="AG94" s="378"/>
      <c r="AH94" s="306" t="e">
        <f t="shared" si="35"/>
        <v>#N/A</v>
      </c>
      <c r="AI94" s="629"/>
      <c r="AJ94" s="378"/>
      <c r="AK94" s="378"/>
      <c r="AL94" s="378"/>
      <c r="AM94" s="306" t="e">
        <f t="shared" si="36"/>
        <v>#N/A</v>
      </c>
      <c r="AN94" s="629"/>
      <c r="AO94" s="378"/>
      <c r="AP94" s="378"/>
      <c r="AQ94" s="378"/>
      <c r="AR94" s="306" t="e">
        <f t="shared" si="37"/>
        <v>#N/A</v>
      </c>
      <c r="AS94" s="629"/>
      <c r="AT94" s="378"/>
      <c r="AU94" s="378"/>
      <c r="AV94" s="378"/>
      <c r="AW94" s="306" t="e">
        <f t="shared" si="38"/>
        <v>#N/A</v>
      </c>
      <c r="AX94" s="629"/>
    </row>
    <row r="95" spans="2:50">
      <c r="B95" s="598"/>
      <c r="C95" s="306">
        <v>9</v>
      </c>
      <c r="D95" s="231"/>
      <c r="E95" s="187"/>
      <c r="F95" s="306"/>
      <c r="G95" s="308"/>
      <c r="H95" s="633"/>
      <c r="I95" s="204"/>
      <c r="J95" s="204"/>
      <c r="K95" s="205"/>
      <c r="L95" s="572"/>
      <c r="M95" s="206" t="e">
        <f>RANK(K95, K$87:$K$101)</f>
        <v>#N/A</v>
      </c>
      <c r="N95" s="590"/>
      <c r="O95" s="590"/>
      <c r="P95" s="378"/>
      <c r="Q95" s="378"/>
      <c r="R95" s="378"/>
      <c r="S95" s="306" t="e">
        <f t="shared" si="32"/>
        <v>#N/A</v>
      </c>
      <c r="T95" s="629"/>
      <c r="U95" s="378"/>
      <c r="V95" s="378"/>
      <c r="W95" s="378"/>
      <c r="X95" s="306" t="e">
        <f t="shared" si="33"/>
        <v>#N/A</v>
      </c>
      <c r="Y95" s="629"/>
      <c r="Z95" s="378"/>
      <c r="AA95" s="378"/>
      <c r="AB95" s="378"/>
      <c r="AC95" s="306" t="e">
        <f t="shared" si="34"/>
        <v>#N/A</v>
      </c>
      <c r="AD95" s="629"/>
      <c r="AE95" s="378"/>
      <c r="AF95" s="378"/>
      <c r="AG95" s="378"/>
      <c r="AH95" s="306" t="e">
        <f t="shared" si="35"/>
        <v>#N/A</v>
      </c>
      <c r="AI95" s="629"/>
      <c r="AJ95" s="378"/>
      <c r="AK95" s="378"/>
      <c r="AL95" s="378"/>
      <c r="AM95" s="306" t="e">
        <f t="shared" si="36"/>
        <v>#N/A</v>
      </c>
      <c r="AN95" s="629"/>
      <c r="AO95" s="378"/>
      <c r="AP95" s="378"/>
      <c r="AQ95" s="378"/>
      <c r="AR95" s="306" t="e">
        <f t="shared" si="37"/>
        <v>#N/A</v>
      </c>
      <c r="AS95" s="629"/>
      <c r="AT95" s="378"/>
      <c r="AU95" s="378"/>
      <c r="AV95" s="378"/>
      <c r="AW95" s="306" t="e">
        <f t="shared" si="38"/>
        <v>#N/A</v>
      </c>
      <c r="AX95" s="629"/>
    </row>
    <row r="96" spans="2:50">
      <c r="B96" s="598"/>
      <c r="C96" s="306">
        <v>10</v>
      </c>
      <c r="D96" s="231"/>
      <c r="E96" s="187"/>
      <c r="F96" s="306"/>
      <c r="G96" s="308"/>
      <c r="H96" s="633"/>
      <c r="I96" s="204"/>
      <c r="J96" s="204"/>
      <c r="K96" s="205"/>
      <c r="L96" s="572"/>
      <c r="M96" s="206" t="e">
        <f>RANK(K96, K$87:$K$101)</f>
        <v>#N/A</v>
      </c>
      <c r="N96" s="590"/>
      <c r="O96" s="590"/>
      <c r="P96" s="378"/>
      <c r="Q96" s="378"/>
      <c r="R96" s="378"/>
      <c r="S96" s="306" t="e">
        <f t="shared" si="32"/>
        <v>#N/A</v>
      </c>
      <c r="T96" s="629"/>
      <c r="U96" s="378"/>
      <c r="V96" s="378"/>
      <c r="W96" s="378"/>
      <c r="X96" s="306" t="e">
        <f t="shared" si="33"/>
        <v>#N/A</v>
      </c>
      <c r="Y96" s="629"/>
      <c r="Z96" s="378"/>
      <c r="AA96" s="378"/>
      <c r="AB96" s="378"/>
      <c r="AC96" s="306" t="e">
        <f t="shared" si="34"/>
        <v>#N/A</v>
      </c>
      <c r="AD96" s="629"/>
      <c r="AE96" s="378"/>
      <c r="AF96" s="378"/>
      <c r="AG96" s="378"/>
      <c r="AH96" s="306" t="e">
        <f t="shared" si="35"/>
        <v>#N/A</v>
      </c>
      <c r="AI96" s="629"/>
      <c r="AJ96" s="378"/>
      <c r="AK96" s="378"/>
      <c r="AL96" s="378"/>
      <c r="AM96" s="306" t="e">
        <f t="shared" si="36"/>
        <v>#N/A</v>
      </c>
      <c r="AN96" s="629"/>
      <c r="AO96" s="378"/>
      <c r="AP96" s="378"/>
      <c r="AQ96" s="378"/>
      <c r="AR96" s="306" t="e">
        <f t="shared" si="37"/>
        <v>#N/A</v>
      </c>
      <c r="AS96" s="629"/>
      <c r="AT96" s="378"/>
      <c r="AU96" s="378"/>
      <c r="AV96" s="378"/>
      <c r="AW96" s="306" t="e">
        <f t="shared" si="38"/>
        <v>#N/A</v>
      </c>
      <c r="AX96" s="629"/>
    </row>
    <row r="97" spans="2:50">
      <c r="B97" s="598"/>
      <c r="C97" s="306">
        <v>11</v>
      </c>
      <c r="D97" s="231"/>
      <c r="E97" s="187"/>
      <c r="F97" s="306"/>
      <c r="G97" s="308"/>
      <c r="H97" s="633"/>
      <c r="I97" s="207"/>
      <c r="J97" s="207"/>
      <c r="K97" s="207"/>
      <c r="L97" s="572"/>
      <c r="M97" s="206" t="e">
        <f>RANK(K97, K$87:$K$101)</f>
        <v>#N/A</v>
      </c>
      <c r="N97" s="590"/>
      <c r="O97" s="590"/>
      <c r="P97" s="378"/>
      <c r="Q97" s="378"/>
      <c r="R97" s="378"/>
      <c r="S97" s="306" t="e">
        <f t="shared" si="32"/>
        <v>#N/A</v>
      </c>
      <c r="T97" s="629"/>
      <c r="U97" s="378"/>
      <c r="V97" s="378"/>
      <c r="W97" s="378"/>
      <c r="X97" s="306" t="e">
        <f t="shared" si="33"/>
        <v>#N/A</v>
      </c>
      <c r="Y97" s="629"/>
      <c r="Z97" s="378"/>
      <c r="AA97" s="378"/>
      <c r="AB97" s="378"/>
      <c r="AC97" s="306" t="e">
        <f t="shared" si="34"/>
        <v>#N/A</v>
      </c>
      <c r="AD97" s="629"/>
      <c r="AE97" s="378"/>
      <c r="AF97" s="378"/>
      <c r="AG97" s="378"/>
      <c r="AH97" s="306" t="e">
        <f t="shared" si="35"/>
        <v>#N/A</v>
      </c>
      <c r="AI97" s="629"/>
      <c r="AJ97" s="378"/>
      <c r="AK97" s="378"/>
      <c r="AL97" s="378"/>
      <c r="AM97" s="306" t="e">
        <f t="shared" si="36"/>
        <v>#N/A</v>
      </c>
      <c r="AN97" s="629"/>
      <c r="AO97" s="378"/>
      <c r="AP97" s="378"/>
      <c r="AQ97" s="378"/>
      <c r="AR97" s="306" t="e">
        <f t="shared" si="37"/>
        <v>#N/A</v>
      </c>
      <c r="AS97" s="629"/>
      <c r="AT97" s="378"/>
      <c r="AU97" s="378"/>
      <c r="AV97" s="378"/>
      <c r="AW97" s="306" t="e">
        <f t="shared" si="38"/>
        <v>#N/A</v>
      </c>
      <c r="AX97" s="629"/>
    </row>
    <row r="98" spans="2:50">
      <c r="B98" s="598"/>
      <c r="C98" s="306">
        <v>12</v>
      </c>
      <c r="D98" s="231"/>
      <c r="E98" s="187"/>
      <c r="F98" s="306"/>
      <c r="G98" s="308"/>
      <c r="H98" s="633"/>
      <c r="I98" s="207"/>
      <c r="J98" s="207"/>
      <c r="K98" s="207"/>
      <c r="L98" s="572"/>
      <c r="M98" s="206" t="e">
        <f>RANK(K98, K$87:$K$101)</f>
        <v>#N/A</v>
      </c>
      <c r="N98" s="590"/>
      <c r="O98" s="590"/>
      <c r="P98" s="378"/>
      <c r="Q98" s="378"/>
      <c r="R98" s="378"/>
      <c r="S98" s="306" t="e">
        <f t="shared" si="32"/>
        <v>#N/A</v>
      </c>
      <c r="T98" s="629"/>
      <c r="U98" s="378"/>
      <c r="V98" s="378"/>
      <c r="W98" s="378"/>
      <c r="X98" s="306" t="e">
        <f t="shared" si="33"/>
        <v>#N/A</v>
      </c>
      <c r="Y98" s="629"/>
      <c r="Z98" s="378"/>
      <c r="AA98" s="378"/>
      <c r="AB98" s="378"/>
      <c r="AC98" s="306" t="e">
        <f t="shared" si="34"/>
        <v>#N/A</v>
      </c>
      <c r="AD98" s="629"/>
      <c r="AE98" s="378"/>
      <c r="AF98" s="378"/>
      <c r="AG98" s="378"/>
      <c r="AH98" s="306" t="e">
        <f t="shared" si="35"/>
        <v>#N/A</v>
      </c>
      <c r="AI98" s="629"/>
      <c r="AJ98" s="378"/>
      <c r="AK98" s="378"/>
      <c r="AL98" s="378"/>
      <c r="AM98" s="306" t="e">
        <f t="shared" si="36"/>
        <v>#N/A</v>
      </c>
      <c r="AN98" s="629"/>
      <c r="AO98" s="378"/>
      <c r="AP98" s="378"/>
      <c r="AQ98" s="378"/>
      <c r="AR98" s="306" t="e">
        <f t="shared" si="37"/>
        <v>#N/A</v>
      </c>
      <c r="AS98" s="629"/>
      <c r="AT98" s="378"/>
      <c r="AU98" s="378"/>
      <c r="AV98" s="378"/>
      <c r="AW98" s="306" t="e">
        <f t="shared" si="38"/>
        <v>#N/A</v>
      </c>
      <c r="AX98" s="629"/>
    </row>
    <row r="99" spans="2:50">
      <c r="B99" s="598"/>
      <c r="C99" s="306">
        <v>13</v>
      </c>
      <c r="D99" s="231"/>
      <c r="E99" s="187"/>
      <c r="F99" s="306"/>
      <c r="G99" s="308"/>
      <c r="H99" s="633"/>
      <c r="I99" s="207"/>
      <c r="J99" s="207"/>
      <c r="K99" s="207"/>
      <c r="L99" s="572"/>
      <c r="M99" s="206" t="e">
        <f>RANK(K99, K$87:$K$101)</f>
        <v>#N/A</v>
      </c>
      <c r="N99" s="590"/>
      <c r="O99" s="590"/>
      <c r="P99" s="378"/>
      <c r="Q99" s="378"/>
      <c r="R99" s="378"/>
      <c r="S99" s="306" t="e">
        <f t="shared" si="32"/>
        <v>#N/A</v>
      </c>
      <c r="T99" s="629"/>
      <c r="U99" s="378"/>
      <c r="V99" s="378"/>
      <c r="W99" s="378"/>
      <c r="X99" s="306" t="e">
        <f t="shared" si="33"/>
        <v>#N/A</v>
      </c>
      <c r="Y99" s="629"/>
      <c r="Z99" s="378"/>
      <c r="AA99" s="378"/>
      <c r="AB99" s="378"/>
      <c r="AC99" s="306" t="e">
        <f t="shared" si="34"/>
        <v>#N/A</v>
      </c>
      <c r="AD99" s="629"/>
      <c r="AE99" s="378"/>
      <c r="AF99" s="378"/>
      <c r="AG99" s="378"/>
      <c r="AH99" s="306" t="e">
        <f t="shared" si="35"/>
        <v>#N/A</v>
      </c>
      <c r="AI99" s="629"/>
      <c r="AJ99" s="378"/>
      <c r="AK99" s="378"/>
      <c r="AL99" s="378"/>
      <c r="AM99" s="306" t="e">
        <f t="shared" si="36"/>
        <v>#N/A</v>
      </c>
      <c r="AN99" s="629"/>
      <c r="AO99" s="378"/>
      <c r="AP99" s="378"/>
      <c r="AQ99" s="378"/>
      <c r="AR99" s="306" t="e">
        <f t="shared" si="37"/>
        <v>#N/A</v>
      </c>
      <c r="AS99" s="629"/>
      <c r="AT99" s="378"/>
      <c r="AU99" s="378"/>
      <c r="AV99" s="378"/>
      <c r="AW99" s="306" t="e">
        <f t="shared" si="38"/>
        <v>#N/A</v>
      </c>
      <c r="AX99" s="629"/>
    </row>
    <row r="100" spans="2:50">
      <c r="B100" s="598"/>
      <c r="C100" s="306">
        <v>14</v>
      </c>
      <c r="D100" s="231"/>
      <c r="E100" s="187"/>
      <c r="F100" s="306"/>
      <c r="G100" s="308"/>
      <c r="H100" s="633"/>
      <c r="I100" s="207"/>
      <c r="J100" s="207"/>
      <c r="K100" s="207"/>
      <c r="L100" s="572"/>
      <c r="M100" s="206" t="e">
        <f>RANK(K100, K$87:$K$101)</f>
        <v>#N/A</v>
      </c>
      <c r="N100" s="590"/>
      <c r="O100" s="590"/>
      <c r="P100" s="378"/>
      <c r="Q100" s="378"/>
      <c r="R100" s="378"/>
      <c r="S100" s="306" t="e">
        <f t="shared" si="32"/>
        <v>#N/A</v>
      </c>
      <c r="T100" s="629"/>
      <c r="U100" s="378"/>
      <c r="V100" s="378"/>
      <c r="W100" s="378"/>
      <c r="X100" s="306" t="e">
        <f t="shared" si="33"/>
        <v>#N/A</v>
      </c>
      <c r="Y100" s="629"/>
      <c r="Z100" s="378"/>
      <c r="AA100" s="378"/>
      <c r="AB100" s="378"/>
      <c r="AC100" s="306" t="e">
        <f t="shared" si="34"/>
        <v>#N/A</v>
      </c>
      <c r="AD100" s="629"/>
      <c r="AE100" s="378"/>
      <c r="AF100" s="378"/>
      <c r="AG100" s="378"/>
      <c r="AH100" s="306" t="e">
        <f t="shared" si="35"/>
        <v>#N/A</v>
      </c>
      <c r="AI100" s="629"/>
      <c r="AJ100" s="378"/>
      <c r="AK100" s="378"/>
      <c r="AL100" s="378"/>
      <c r="AM100" s="306" t="e">
        <f t="shared" si="36"/>
        <v>#N/A</v>
      </c>
      <c r="AN100" s="629"/>
      <c r="AO100" s="378"/>
      <c r="AP100" s="378"/>
      <c r="AQ100" s="378"/>
      <c r="AR100" s="306" t="e">
        <f t="shared" si="37"/>
        <v>#N/A</v>
      </c>
      <c r="AS100" s="629"/>
      <c r="AT100" s="378"/>
      <c r="AU100" s="378"/>
      <c r="AV100" s="378"/>
      <c r="AW100" s="306" t="e">
        <f t="shared" si="38"/>
        <v>#N/A</v>
      </c>
      <c r="AX100" s="629"/>
    </row>
    <row r="101" spans="2:50">
      <c r="B101" s="598"/>
      <c r="C101" s="306">
        <v>15</v>
      </c>
      <c r="D101" s="231"/>
      <c r="E101" s="187"/>
      <c r="F101" s="306"/>
      <c r="G101" s="308"/>
      <c r="H101" s="634"/>
      <c r="I101" s="207"/>
      <c r="J101" s="207"/>
      <c r="K101" s="207"/>
      <c r="L101" s="573"/>
      <c r="M101" s="204" t="e">
        <f>RANK(K101, K$87:$K$101)</f>
        <v>#N/A</v>
      </c>
      <c r="N101" s="590"/>
      <c r="O101" s="590"/>
      <c r="P101" s="378"/>
      <c r="Q101" s="378"/>
      <c r="R101" s="378"/>
      <c r="S101" s="306" t="e">
        <f t="shared" si="32"/>
        <v>#N/A</v>
      </c>
      <c r="T101" s="629"/>
      <c r="U101" s="378"/>
      <c r="V101" s="378"/>
      <c r="W101" s="378"/>
      <c r="X101" s="306" t="e">
        <f t="shared" si="33"/>
        <v>#N/A</v>
      </c>
      <c r="Y101" s="629"/>
      <c r="Z101" s="378"/>
      <c r="AA101" s="378"/>
      <c r="AB101" s="378"/>
      <c r="AC101" s="306" t="e">
        <f t="shared" si="34"/>
        <v>#N/A</v>
      </c>
      <c r="AD101" s="629"/>
      <c r="AE101" s="378"/>
      <c r="AF101" s="378"/>
      <c r="AG101" s="378"/>
      <c r="AH101" s="306" t="e">
        <f t="shared" si="35"/>
        <v>#N/A</v>
      </c>
      <c r="AI101" s="629"/>
      <c r="AJ101" s="378"/>
      <c r="AK101" s="378"/>
      <c r="AL101" s="378"/>
      <c r="AM101" s="306" t="e">
        <f t="shared" si="36"/>
        <v>#N/A</v>
      </c>
      <c r="AN101" s="629"/>
      <c r="AO101" s="378"/>
      <c r="AP101" s="378"/>
      <c r="AQ101" s="378"/>
      <c r="AR101" s="306" t="e">
        <f t="shared" si="37"/>
        <v>#N/A</v>
      </c>
      <c r="AS101" s="629"/>
      <c r="AT101" s="378"/>
      <c r="AU101" s="378"/>
      <c r="AV101" s="378"/>
      <c r="AW101" s="306" t="e">
        <f t="shared" si="38"/>
        <v>#N/A</v>
      </c>
      <c r="AX101" s="629"/>
    </row>
    <row r="102" spans="2:50" ht="15.75">
      <c r="B102" s="602" t="s">
        <v>163</v>
      </c>
      <c r="C102" s="603"/>
      <c r="D102" s="603"/>
      <c r="E102" s="603"/>
      <c r="F102" s="603"/>
      <c r="G102" s="603"/>
      <c r="H102" s="604"/>
      <c r="I102" s="213"/>
      <c r="J102" s="213"/>
      <c r="K102" s="213"/>
      <c r="L102" s="213"/>
      <c r="M102" s="212"/>
      <c r="N102" s="591" t="s">
        <v>156</v>
      </c>
      <c r="O102" s="591" t="s">
        <v>105</v>
      </c>
      <c r="P102" s="597">
        <f>P82+7</f>
        <v>45965</v>
      </c>
      <c r="Q102" s="598"/>
      <c r="R102" s="598"/>
      <c r="S102" s="598"/>
      <c r="T102" s="598"/>
      <c r="U102" s="594">
        <f>P102+1</f>
        <v>45966</v>
      </c>
      <c r="V102" s="595"/>
      <c r="W102" s="595"/>
      <c r="X102" s="595"/>
      <c r="Y102" s="596"/>
      <c r="Z102" s="594">
        <f>U102+1</f>
        <v>45967</v>
      </c>
      <c r="AA102" s="595"/>
      <c r="AB102" s="595"/>
      <c r="AC102" s="595"/>
      <c r="AD102" s="596"/>
      <c r="AE102" s="594">
        <f>Z102+1</f>
        <v>45968</v>
      </c>
      <c r="AF102" s="595"/>
      <c r="AG102" s="595"/>
      <c r="AH102" s="595"/>
      <c r="AI102" s="596"/>
      <c r="AJ102" s="594">
        <f>AE102+1</f>
        <v>45969</v>
      </c>
      <c r="AK102" s="595"/>
      <c r="AL102" s="595"/>
      <c r="AM102" s="595"/>
      <c r="AN102" s="596"/>
      <c r="AO102" s="594">
        <f>AJ102+1</f>
        <v>45970</v>
      </c>
      <c r="AP102" s="595"/>
      <c r="AQ102" s="595"/>
      <c r="AR102" s="595"/>
      <c r="AS102" s="596"/>
      <c r="AT102" s="594">
        <f>AO102+1</f>
        <v>45971</v>
      </c>
      <c r="AU102" s="595"/>
      <c r="AV102" s="595"/>
      <c r="AW102" s="595"/>
      <c r="AX102" s="596"/>
    </row>
    <row r="103" spans="2:50" ht="15.75">
      <c r="B103" s="605"/>
      <c r="C103" s="605"/>
      <c r="D103" s="605"/>
      <c r="E103" s="605"/>
      <c r="F103" s="605"/>
      <c r="G103" s="605"/>
      <c r="H103" s="605"/>
      <c r="I103" s="210"/>
      <c r="J103" s="210"/>
      <c r="K103" s="210"/>
      <c r="L103" s="210"/>
      <c r="M103" s="211"/>
      <c r="N103" s="593"/>
      <c r="O103" s="593"/>
      <c r="P103" s="597" t="s">
        <v>158</v>
      </c>
      <c r="Q103" s="598"/>
      <c r="R103" s="598"/>
      <c r="S103" s="598"/>
      <c r="T103" s="598"/>
      <c r="U103" s="597" t="s">
        <v>114</v>
      </c>
      <c r="V103" s="598"/>
      <c r="W103" s="598"/>
      <c r="X103" s="598"/>
      <c r="Y103" s="598"/>
      <c r="Z103" s="597" t="s">
        <v>159</v>
      </c>
      <c r="AA103" s="598"/>
      <c r="AB103" s="598"/>
      <c r="AC103" s="598"/>
      <c r="AD103" s="598"/>
      <c r="AE103" s="597" t="s">
        <v>157</v>
      </c>
      <c r="AF103" s="598"/>
      <c r="AG103" s="598"/>
      <c r="AH103" s="598"/>
      <c r="AI103" s="598"/>
      <c r="AJ103" s="597" t="s">
        <v>160</v>
      </c>
      <c r="AK103" s="598"/>
      <c r="AL103" s="598"/>
      <c r="AM103" s="598"/>
      <c r="AN103" s="598"/>
      <c r="AO103" s="597" t="s">
        <v>115</v>
      </c>
      <c r="AP103" s="598"/>
      <c r="AQ103" s="598"/>
      <c r="AR103" s="598"/>
      <c r="AS103" s="598"/>
      <c r="AT103" s="597" t="s">
        <v>162</v>
      </c>
      <c r="AU103" s="598"/>
      <c r="AV103" s="598"/>
      <c r="AW103" s="598"/>
      <c r="AX103" s="598"/>
    </row>
    <row r="104" spans="2:50">
      <c r="B104" s="590" t="s">
        <v>154</v>
      </c>
      <c r="C104" s="590" t="s">
        <v>454</v>
      </c>
      <c r="D104" s="590"/>
      <c r="E104" s="590" t="s">
        <v>445</v>
      </c>
      <c r="F104" s="590"/>
      <c r="G104" s="590"/>
      <c r="H104" s="606" t="s">
        <v>441</v>
      </c>
      <c r="I104" s="574" t="s">
        <v>446</v>
      </c>
      <c r="J104" s="574"/>
      <c r="K104" s="574"/>
      <c r="L104" s="575" t="s">
        <v>441</v>
      </c>
      <c r="M104" s="581" t="s">
        <v>442</v>
      </c>
      <c r="N104" s="590"/>
      <c r="O104" s="590" t="s">
        <v>447</v>
      </c>
      <c r="P104" s="587" t="s">
        <v>443</v>
      </c>
      <c r="Q104" s="588"/>
      <c r="R104" s="588"/>
      <c r="S104" s="589"/>
      <c r="T104" s="590" t="s">
        <v>441</v>
      </c>
      <c r="U104" s="587" t="s">
        <v>443</v>
      </c>
      <c r="V104" s="588"/>
      <c r="W104" s="588"/>
      <c r="X104" s="589"/>
      <c r="Y104" s="590" t="s">
        <v>441</v>
      </c>
      <c r="Z104" s="587" t="s">
        <v>443</v>
      </c>
      <c r="AA104" s="588"/>
      <c r="AB104" s="588"/>
      <c r="AC104" s="589"/>
      <c r="AD104" s="590" t="s">
        <v>441</v>
      </c>
      <c r="AE104" s="587" t="s">
        <v>443</v>
      </c>
      <c r="AF104" s="588"/>
      <c r="AG104" s="588"/>
      <c r="AH104" s="589"/>
      <c r="AI104" s="590" t="s">
        <v>441</v>
      </c>
      <c r="AJ104" s="587" t="s">
        <v>443</v>
      </c>
      <c r="AK104" s="588"/>
      <c r="AL104" s="588"/>
      <c r="AM104" s="589"/>
      <c r="AN104" s="590" t="s">
        <v>441</v>
      </c>
      <c r="AO104" s="587" t="s">
        <v>443</v>
      </c>
      <c r="AP104" s="588"/>
      <c r="AQ104" s="588"/>
      <c r="AR104" s="589"/>
      <c r="AS104" s="590" t="s">
        <v>441</v>
      </c>
      <c r="AT104" s="587" t="s">
        <v>443</v>
      </c>
      <c r="AU104" s="588"/>
      <c r="AV104" s="588"/>
      <c r="AW104" s="589"/>
      <c r="AX104" s="590" t="s">
        <v>441</v>
      </c>
    </row>
    <row r="105" spans="2:50">
      <c r="B105" s="590"/>
      <c r="C105" s="590"/>
      <c r="D105" s="590"/>
      <c r="E105" s="590" t="s">
        <v>448</v>
      </c>
      <c r="F105" s="590"/>
      <c r="G105" s="590"/>
      <c r="H105" s="607"/>
      <c r="I105" s="574" t="s">
        <v>448</v>
      </c>
      <c r="J105" s="574"/>
      <c r="K105" s="574"/>
      <c r="L105" s="576"/>
      <c r="M105" s="582"/>
      <c r="N105" s="590"/>
      <c r="O105" s="590"/>
      <c r="P105" s="587" t="s">
        <v>449</v>
      </c>
      <c r="Q105" s="588"/>
      <c r="R105" s="588"/>
      <c r="S105" s="589"/>
      <c r="T105" s="590"/>
      <c r="U105" s="587" t="s">
        <v>449</v>
      </c>
      <c r="V105" s="588"/>
      <c r="W105" s="588"/>
      <c r="X105" s="589"/>
      <c r="Y105" s="590"/>
      <c r="Z105" s="587" t="s">
        <v>449</v>
      </c>
      <c r="AA105" s="588"/>
      <c r="AB105" s="588"/>
      <c r="AC105" s="589"/>
      <c r="AD105" s="590"/>
      <c r="AE105" s="587" t="s">
        <v>449</v>
      </c>
      <c r="AF105" s="588"/>
      <c r="AG105" s="588"/>
      <c r="AH105" s="589"/>
      <c r="AI105" s="590"/>
      <c r="AJ105" s="587" t="s">
        <v>449</v>
      </c>
      <c r="AK105" s="588"/>
      <c r="AL105" s="588"/>
      <c r="AM105" s="589"/>
      <c r="AN105" s="590"/>
      <c r="AO105" s="587" t="s">
        <v>449</v>
      </c>
      <c r="AP105" s="588"/>
      <c r="AQ105" s="588"/>
      <c r="AR105" s="589"/>
      <c r="AS105" s="590"/>
      <c r="AT105" s="587" t="s">
        <v>449</v>
      </c>
      <c r="AU105" s="588"/>
      <c r="AV105" s="588"/>
      <c r="AW105" s="589"/>
      <c r="AX105" s="590"/>
    </row>
    <row r="106" spans="2:50">
      <c r="B106" s="590"/>
      <c r="C106" s="590"/>
      <c r="D106" s="590"/>
      <c r="E106" s="358" t="s">
        <v>450</v>
      </c>
      <c r="F106" s="358" t="s">
        <v>451</v>
      </c>
      <c r="G106" s="358" t="s">
        <v>452</v>
      </c>
      <c r="H106" s="608"/>
      <c r="I106" s="359" t="s">
        <v>450</v>
      </c>
      <c r="J106" s="359" t="s">
        <v>451</v>
      </c>
      <c r="K106" s="359" t="s">
        <v>452</v>
      </c>
      <c r="L106" s="577"/>
      <c r="M106" s="583"/>
      <c r="N106" s="590"/>
      <c r="O106" s="590"/>
      <c r="P106" s="358" t="s">
        <v>450</v>
      </c>
      <c r="Q106" s="358" t="s">
        <v>451</v>
      </c>
      <c r="R106" s="358" t="s">
        <v>452</v>
      </c>
      <c r="S106" s="358" t="s">
        <v>442</v>
      </c>
      <c r="T106" s="590"/>
      <c r="U106" s="358" t="s">
        <v>450</v>
      </c>
      <c r="V106" s="358" t="s">
        <v>451</v>
      </c>
      <c r="W106" s="358" t="s">
        <v>452</v>
      </c>
      <c r="X106" s="358" t="s">
        <v>442</v>
      </c>
      <c r="Y106" s="590"/>
      <c r="Z106" s="358" t="s">
        <v>450</v>
      </c>
      <c r="AA106" s="358" t="s">
        <v>451</v>
      </c>
      <c r="AB106" s="358" t="s">
        <v>452</v>
      </c>
      <c r="AC106" s="358" t="s">
        <v>442</v>
      </c>
      <c r="AD106" s="590"/>
      <c r="AE106" s="358" t="s">
        <v>450</v>
      </c>
      <c r="AF106" s="358" t="s">
        <v>451</v>
      </c>
      <c r="AG106" s="358" t="s">
        <v>452</v>
      </c>
      <c r="AH106" s="358" t="s">
        <v>442</v>
      </c>
      <c r="AI106" s="590"/>
      <c r="AJ106" s="358" t="s">
        <v>450</v>
      </c>
      <c r="AK106" s="358" t="s">
        <v>451</v>
      </c>
      <c r="AL106" s="358" t="s">
        <v>452</v>
      </c>
      <c r="AM106" s="358" t="s">
        <v>442</v>
      </c>
      <c r="AN106" s="590"/>
      <c r="AO106" s="358" t="s">
        <v>450</v>
      </c>
      <c r="AP106" s="358" t="s">
        <v>451</v>
      </c>
      <c r="AQ106" s="358" t="s">
        <v>452</v>
      </c>
      <c r="AR106" s="358" t="s">
        <v>442</v>
      </c>
      <c r="AS106" s="590"/>
      <c r="AT106" s="358" t="s">
        <v>450</v>
      </c>
      <c r="AU106" s="358" t="s">
        <v>451</v>
      </c>
      <c r="AV106" s="358" t="s">
        <v>452</v>
      </c>
      <c r="AW106" s="358" t="s">
        <v>442</v>
      </c>
      <c r="AX106" s="590"/>
    </row>
    <row r="107" spans="2:50">
      <c r="B107" s="590" t="s">
        <v>455</v>
      </c>
      <c r="C107" s="357">
        <v>1</v>
      </c>
      <c r="D107" s="231"/>
      <c r="E107" s="187"/>
      <c r="F107" s="357"/>
      <c r="G107" s="360"/>
      <c r="H107" s="632" t="e">
        <f>AVERAGE(G107:G121)</f>
        <v>#DIV/0!</v>
      </c>
      <c r="I107" s="204" t="e">
        <f t="shared" ref="I107:K108" si="39">AVERAGE(P107,U107,Z107,AE107,AJ107,AO107,AT107)</f>
        <v>#DIV/0!</v>
      </c>
      <c r="J107" s="204" t="e">
        <f t="shared" si="39"/>
        <v>#DIV/0!</v>
      </c>
      <c r="K107" s="205" t="e">
        <f t="shared" si="39"/>
        <v>#DIV/0!</v>
      </c>
      <c r="L107" s="571" t="str">
        <f>IFERROR(AVERAGE(K107:K121),"-")</f>
        <v>-</v>
      </c>
      <c r="M107" s="206" t="e">
        <f>RANK(K107, K$87:$K$101)</f>
        <v>#DIV/0!</v>
      </c>
      <c r="N107" s="590"/>
      <c r="O107" s="590"/>
      <c r="P107" s="187"/>
      <c r="Q107" s="187"/>
      <c r="R107" s="360"/>
      <c r="S107" s="357" t="e">
        <f>RANK(R107, R$107:R$121)</f>
        <v>#N/A</v>
      </c>
      <c r="T107" s="629" t="e">
        <f>AVERAGE(R107:R121)</f>
        <v>#DIV/0!</v>
      </c>
      <c r="U107" s="187"/>
      <c r="V107" s="187"/>
      <c r="W107" s="379"/>
      <c r="X107" s="370" t="e">
        <f>RANK(W107, W$107:W$121)</f>
        <v>#N/A</v>
      </c>
      <c r="Y107" s="629" t="e">
        <f>AVERAGE(W107:W121)</f>
        <v>#DIV/0!</v>
      </c>
      <c r="Z107" s="187"/>
      <c r="AA107" s="187"/>
      <c r="AB107" s="379"/>
      <c r="AC107" s="370" t="e">
        <f>RANK(AB107, AB$107:AB$121)</f>
        <v>#N/A</v>
      </c>
      <c r="AD107" s="629" t="e">
        <f>AVERAGE(AB107:AB121)</f>
        <v>#DIV/0!</v>
      </c>
      <c r="AE107" s="187"/>
      <c r="AF107" s="187"/>
      <c r="AG107" s="379"/>
      <c r="AH107" s="370" t="e">
        <f>RANK(AG107, AG$107:AG$121)</f>
        <v>#N/A</v>
      </c>
      <c r="AI107" s="629" t="e">
        <f>AVERAGE(AG107:AG121)</f>
        <v>#DIV/0!</v>
      </c>
      <c r="AJ107" s="187"/>
      <c r="AK107" s="187"/>
      <c r="AL107" s="379"/>
      <c r="AM107" s="370" t="e">
        <f>RANK(AL107, AL$107:AL$121)</f>
        <v>#N/A</v>
      </c>
      <c r="AN107" s="629" t="e">
        <f>AVERAGE(AL107:AL121)</f>
        <v>#DIV/0!</v>
      </c>
      <c r="AO107" s="187"/>
      <c r="AP107" s="187"/>
      <c r="AQ107" s="379"/>
      <c r="AR107" s="370" t="e">
        <f>RANK(AQ107, AQ$107:AQ$121)</f>
        <v>#N/A</v>
      </c>
      <c r="AS107" s="629" t="e">
        <f>AVERAGE(AQ107:AQ121)</f>
        <v>#DIV/0!</v>
      </c>
      <c r="AT107" s="187"/>
      <c r="AU107" s="187"/>
      <c r="AV107" s="379"/>
      <c r="AW107" s="370" t="e">
        <f>RANK(AV107, AV$107:AV$121)</f>
        <v>#N/A</v>
      </c>
      <c r="AX107" s="629" t="e">
        <f>AVERAGE(AV107:AV121)</f>
        <v>#DIV/0!</v>
      </c>
    </row>
    <row r="108" spans="2:50">
      <c r="B108" s="598"/>
      <c r="C108" s="357">
        <v>2</v>
      </c>
      <c r="D108" s="231"/>
      <c r="E108" s="187"/>
      <c r="F108" s="357"/>
      <c r="G108" s="360"/>
      <c r="H108" s="633"/>
      <c r="I108" s="372" t="e">
        <f t="shared" si="39"/>
        <v>#DIV/0!</v>
      </c>
      <c r="J108" s="372" t="e">
        <f t="shared" si="39"/>
        <v>#DIV/0!</v>
      </c>
      <c r="K108" s="205" t="e">
        <f t="shared" si="39"/>
        <v>#DIV/0!</v>
      </c>
      <c r="L108" s="572"/>
      <c r="M108" s="206" t="e">
        <f>RANK(K108, K$87:$K$101)</f>
        <v>#DIV/0!</v>
      </c>
      <c r="N108" s="590"/>
      <c r="O108" s="590"/>
      <c r="P108" s="357"/>
      <c r="Q108" s="187"/>
      <c r="R108" s="371"/>
      <c r="S108" s="370" t="e">
        <f t="shared" ref="S108:S121" si="40">RANK(R108, R$107:R$121)</f>
        <v>#N/A</v>
      </c>
      <c r="T108" s="629"/>
      <c r="U108" s="378"/>
      <c r="V108" s="187"/>
      <c r="W108" s="379"/>
      <c r="X108" s="370" t="e">
        <f t="shared" ref="X108:X121" si="41">RANK(W108, W$107:W$121)</f>
        <v>#N/A</v>
      </c>
      <c r="Y108" s="629"/>
      <c r="Z108" s="378"/>
      <c r="AA108" s="187"/>
      <c r="AB108" s="379"/>
      <c r="AC108" s="370" t="e">
        <f t="shared" ref="AC108:AC121" si="42">RANK(AB108, AB$107:AB$121)</f>
        <v>#N/A</v>
      </c>
      <c r="AD108" s="629"/>
      <c r="AE108" s="378"/>
      <c r="AF108" s="187"/>
      <c r="AG108" s="379"/>
      <c r="AH108" s="370" t="e">
        <f t="shared" ref="AH108:AH121" si="43">RANK(AG108, AG$107:AG$121)</f>
        <v>#N/A</v>
      </c>
      <c r="AI108" s="629"/>
      <c r="AJ108" s="378"/>
      <c r="AK108" s="187"/>
      <c r="AL108" s="379"/>
      <c r="AM108" s="370" t="e">
        <f t="shared" ref="AM108:AM121" si="44">RANK(AL108, AL$107:AL$121)</f>
        <v>#N/A</v>
      </c>
      <c r="AN108" s="629"/>
      <c r="AO108" s="378"/>
      <c r="AP108" s="187"/>
      <c r="AQ108" s="379"/>
      <c r="AR108" s="370" t="e">
        <f t="shared" ref="AR108:AR121" si="45">RANK(AQ108, AQ$107:AQ$121)</f>
        <v>#N/A</v>
      </c>
      <c r="AS108" s="629"/>
      <c r="AT108" s="378"/>
      <c r="AU108" s="187"/>
      <c r="AV108" s="379"/>
      <c r="AW108" s="370" t="e">
        <f t="shared" ref="AW108:AW121" si="46">RANK(AV108, AV$107:AV$121)</f>
        <v>#N/A</v>
      </c>
      <c r="AX108" s="629"/>
    </row>
    <row r="109" spans="2:50">
      <c r="B109" s="598"/>
      <c r="C109" s="357">
        <v>3</v>
      </c>
      <c r="D109" s="231"/>
      <c r="E109" s="187"/>
      <c r="F109" s="357"/>
      <c r="G109" s="360"/>
      <c r="H109" s="633"/>
      <c r="I109" s="204"/>
      <c r="J109" s="204"/>
      <c r="K109" s="205"/>
      <c r="L109" s="572"/>
      <c r="M109" s="206" t="e">
        <f>RANK(K109, K$87:$K$101)</f>
        <v>#N/A</v>
      </c>
      <c r="N109" s="590"/>
      <c r="O109" s="590"/>
      <c r="P109" s="357"/>
      <c r="Q109" s="357"/>
      <c r="R109" s="357"/>
      <c r="S109" s="370" t="e">
        <f t="shared" si="40"/>
        <v>#N/A</v>
      </c>
      <c r="T109" s="629"/>
      <c r="U109" s="378"/>
      <c r="V109" s="378"/>
      <c r="W109" s="378"/>
      <c r="X109" s="370" t="e">
        <f t="shared" si="41"/>
        <v>#N/A</v>
      </c>
      <c r="Y109" s="629"/>
      <c r="Z109" s="378"/>
      <c r="AA109" s="378"/>
      <c r="AB109" s="378"/>
      <c r="AC109" s="370" t="e">
        <f t="shared" si="42"/>
        <v>#N/A</v>
      </c>
      <c r="AD109" s="629"/>
      <c r="AE109" s="378"/>
      <c r="AF109" s="378"/>
      <c r="AG109" s="378"/>
      <c r="AH109" s="370" t="e">
        <f t="shared" si="43"/>
        <v>#N/A</v>
      </c>
      <c r="AI109" s="629"/>
      <c r="AJ109" s="378"/>
      <c r="AK109" s="378"/>
      <c r="AL109" s="378"/>
      <c r="AM109" s="370" t="e">
        <f t="shared" si="44"/>
        <v>#N/A</v>
      </c>
      <c r="AN109" s="629"/>
      <c r="AO109" s="378"/>
      <c r="AP109" s="378"/>
      <c r="AQ109" s="378"/>
      <c r="AR109" s="370" t="e">
        <f t="shared" si="45"/>
        <v>#N/A</v>
      </c>
      <c r="AS109" s="629"/>
      <c r="AT109" s="378"/>
      <c r="AU109" s="378"/>
      <c r="AV109" s="378"/>
      <c r="AW109" s="370" t="e">
        <f t="shared" si="46"/>
        <v>#N/A</v>
      </c>
      <c r="AX109" s="629"/>
    </row>
    <row r="110" spans="2:50">
      <c r="B110" s="598"/>
      <c r="C110" s="357">
        <v>4</v>
      </c>
      <c r="D110" s="231"/>
      <c r="E110" s="187"/>
      <c r="F110" s="357"/>
      <c r="G110" s="360"/>
      <c r="H110" s="633"/>
      <c r="I110" s="204"/>
      <c r="J110" s="204"/>
      <c r="K110" s="205"/>
      <c r="L110" s="572"/>
      <c r="M110" s="206" t="e">
        <f>RANK(K110, K$87:$K$101)</f>
        <v>#N/A</v>
      </c>
      <c r="N110" s="590"/>
      <c r="O110" s="590"/>
      <c r="P110" s="357"/>
      <c r="Q110" s="357"/>
      <c r="R110" s="357"/>
      <c r="S110" s="370" t="e">
        <f t="shared" si="40"/>
        <v>#N/A</v>
      </c>
      <c r="T110" s="629"/>
      <c r="U110" s="378"/>
      <c r="V110" s="378"/>
      <c r="W110" s="378"/>
      <c r="X110" s="370" t="e">
        <f t="shared" si="41"/>
        <v>#N/A</v>
      </c>
      <c r="Y110" s="629"/>
      <c r="Z110" s="378"/>
      <c r="AA110" s="378"/>
      <c r="AB110" s="378"/>
      <c r="AC110" s="370" t="e">
        <f t="shared" si="42"/>
        <v>#N/A</v>
      </c>
      <c r="AD110" s="629"/>
      <c r="AE110" s="378"/>
      <c r="AF110" s="378"/>
      <c r="AG110" s="378"/>
      <c r="AH110" s="370" t="e">
        <f t="shared" si="43"/>
        <v>#N/A</v>
      </c>
      <c r="AI110" s="629"/>
      <c r="AJ110" s="378"/>
      <c r="AK110" s="378"/>
      <c r="AL110" s="378"/>
      <c r="AM110" s="370" t="e">
        <f t="shared" si="44"/>
        <v>#N/A</v>
      </c>
      <c r="AN110" s="629"/>
      <c r="AO110" s="378"/>
      <c r="AP110" s="378"/>
      <c r="AQ110" s="378"/>
      <c r="AR110" s="370" t="e">
        <f t="shared" si="45"/>
        <v>#N/A</v>
      </c>
      <c r="AS110" s="629"/>
      <c r="AT110" s="378"/>
      <c r="AU110" s="378"/>
      <c r="AV110" s="378"/>
      <c r="AW110" s="370" t="e">
        <f t="shared" si="46"/>
        <v>#N/A</v>
      </c>
      <c r="AX110" s="629"/>
    </row>
    <row r="111" spans="2:50">
      <c r="B111" s="598"/>
      <c r="C111" s="357">
        <v>5</v>
      </c>
      <c r="D111" s="231"/>
      <c r="E111" s="187"/>
      <c r="F111" s="357"/>
      <c r="G111" s="360"/>
      <c r="H111" s="633"/>
      <c r="I111" s="204"/>
      <c r="J111" s="204"/>
      <c r="K111" s="205"/>
      <c r="L111" s="572"/>
      <c r="M111" s="206" t="e">
        <f>RANK(K111, K$87:$K$101)</f>
        <v>#N/A</v>
      </c>
      <c r="N111" s="590"/>
      <c r="O111" s="590"/>
      <c r="P111" s="357"/>
      <c r="Q111" s="357"/>
      <c r="R111" s="357"/>
      <c r="S111" s="370" t="e">
        <f t="shared" si="40"/>
        <v>#N/A</v>
      </c>
      <c r="T111" s="629"/>
      <c r="U111" s="378"/>
      <c r="V111" s="378"/>
      <c r="W111" s="378"/>
      <c r="X111" s="370" t="e">
        <f t="shared" si="41"/>
        <v>#N/A</v>
      </c>
      <c r="Y111" s="629"/>
      <c r="Z111" s="378"/>
      <c r="AA111" s="378"/>
      <c r="AB111" s="378"/>
      <c r="AC111" s="370" t="e">
        <f t="shared" si="42"/>
        <v>#N/A</v>
      </c>
      <c r="AD111" s="629"/>
      <c r="AE111" s="378"/>
      <c r="AF111" s="378"/>
      <c r="AG111" s="378"/>
      <c r="AH111" s="370" t="e">
        <f t="shared" si="43"/>
        <v>#N/A</v>
      </c>
      <c r="AI111" s="629"/>
      <c r="AJ111" s="378"/>
      <c r="AK111" s="378"/>
      <c r="AL111" s="378"/>
      <c r="AM111" s="370" t="e">
        <f t="shared" si="44"/>
        <v>#N/A</v>
      </c>
      <c r="AN111" s="629"/>
      <c r="AO111" s="378"/>
      <c r="AP111" s="378"/>
      <c r="AQ111" s="378"/>
      <c r="AR111" s="370" t="e">
        <f t="shared" si="45"/>
        <v>#N/A</v>
      </c>
      <c r="AS111" s="629"/>
      <c r="AT111" s="378"/>
      <c r="AU111" s="378"/>
      <c r="AV111" s="378"/>
      <c r="AW111" s="370" t="e">
        <f t="shared" si="46"/>
        <v>#N/A</v>
      </c>
      <c r="AX111" s="629"/>
    </row>
    <row r="112" spans="2:50">
      <c r="B112" s="598"/>
      <c r="C112" s="357">
        <v>6</v>
      </c>
      <c r="D112" s="231"/>
      <c r="E112" s="187"/>
      <c r="F112" s="357"/>
      <c r="G112" s="360"/>
      <c r="H112" s="633"/>
      <c r="I112" s="204"/>
      <c r="J112" s="204"/>
      <c r="K112" s="205"/>
      <c r="L112" s="572"/>
      <c r="M112" s="206" t="e">
        <f>RANK(K112, K$87:$K$101)</f>
        <v>#N/A</v>
      </c>
      <c r="N112" s="590"/>
      <c r="O112" s="590"/>
      <c r="P112" s="357"/>
      <c r="Q112" s="357"/>
      <c r="R112" s="357"/>
      <c r="S112" s="370" t="e">
        <f t="shared" si="40"/>
        <v>#N/A</v>
      </c>
      <c r="T112" s="629"/>
      <c r="U112" s="378"/>
      <c r="V112" s="378"/>
      <c r="W112" s="378"/>
      <c r="X112" s="370" t="e">
        <f t="shared" si="41"/>
        <v>#N/A</v>
      </c>
      <c r="Y112" s="629"/>
      <c r="Z112" s="378"/>
      <c r="AA112" s="378"/>
      <c r="AB112" s="378"/>
      <c r="AC112" s="370" t="e">
        <f t="shared" si="42"/>
        <v>#N/A</v>
      </c>
      <c r="AD112" s="629"/>
      <c r="AE112" s="378"/>
      <c r="AF112" s="378"/>
      <c r="AG112" s="378"/>
      <c r="AH112" s="370" t="e">
        <f t="shared" si="43"/>
        <v>#N/A</v>
      </c>
      <c r="AI112" s="629"/>
      <c r="AJ112" s="378"/>
      <c r="AK112" s="378"/>
      <c r="AL112" s="378"/>
      <c r="AM112" s="370" t="e">
        <f t="shared" si="44"/>
        <v>#N/A</v>
      </c>
      <c r="AN112" s="629"/>
      <c r="AO112" s="378"/>
      <c r="AP112" s="378"/>
      <c r="AQ112" s="378"/>
      <c r="AR112" s="370" t="e">
        <f t="shared" si="45"/>
        <v>#N/A</v>
      </c>
      <c r="AS112" s="629"/>
      <c r="AT112" s="378"/>
      <c r="AU112" s="378"/>
      <c r="AV112" s="378"/>
      <c r="AW112" s="370" t="e">
        <f t="shared" si="46"/>
        <v>#N/A</v>
      </c>
      <c r="AX112" s="629"/>
    </row>
    <row r="113" spans="2:50">
      <c r="B113" s="598"/>
      <c r="C113" s="357">
        <v>7</v>
      </c>
      <c r="D113" s="231"/>
      <c r="E113" s="187"/>
      <c r="F113" s="357"/>
      <c r="G113" s="360"/>
      <c r="H113" s="633"/>
      <c r="I113" s="204"/>
      <c r="J113" s="204"/>
      <c r="K113" s="205"/>
      <c r="L113" s="572"/>
      <c r="M113" s="206" t="e">
        <f>RANK(K113, K$87:$K$101)</f>
        <v>#N/A</v>
      </c>
      <c r="N113" s="590"/>
      <c r="O113" s="590"/>
      <c r="P113" s="357"/>
      <c r="Q113" s="357"/>
      <c r="R113" s="357"/>
      <c r="S113" s="370" t="e">
        <f t="shared" si="40"/>
        <v>#N/A</v>
      </c>
      <c r="T113" s="629"/>
      <c r="U113" s="378"/>
      <c r="V113" s="378"/>
      <c r="W113" s="378"/>
      <c r="X113" s="370" t="e">
        <f t="shared" si="41"/>
        <v>#N/A</v>
      </c>
      <c r="Y113" s="629"/>
      <c r="Z113" s="378"/>
      <c r="AA113" s="378"/>
      <c r="AB113" s="378"/>
      <c r="AC113" s="370" t="e">
        <f t="shared" si="42"/>
        <v>#N/A</v>
      </c>
      <c r="AD113" s="629"/>
      <c r="AE113" s="378"/>
      <c r="AF113" s="378"/>
      <c r="AG113" s="378"/>
      <c r="AH113" s="370" t="e">
        <f t="shared" si="43"/>
        <v>#N/A</v>
      </c>
      <c r="AI113" s="629"/>
      <c r="AJ113" s="378"/>
      <c r="AK113" s="378"/>
      <c r="AL113" s="378"/>
      <c r="AM113" s="370" t="e">
        <f t="shared" si="44"/>
        <v>#N/A</v>
      </c>
      <c r="AN113" s="629"/>
      <c r="AO113" s="378"/>
      <c r="AP113" s="378"/>
      <c r="AQ113" s="378"/>
      <c r="AR113" s="370" t="e">
        <f t="shared" si="45"/>
        <v>#N/A</v>
      </c>
      <c r="AS113" s="629"/>
      <c r="AT113" s="378"/>
      <c r="AU113" s="378"/>
      <c r="AV113" s="378"/>
      <c r="AW113" s="370" t="e">
        <f t="shared" si="46"/>
        <v>#N/A</v>
      </c>
      <c r="AX113" s="629"/>
    </row>
    <row r="114" spans="2:50">
      <c r="B114" s="598"/>
      <c r="C114" s="357">
        <v>8</v>
      </c>
      <c r="D114" s="231"/>
      <c r="E114" s="187"/>
      <c r="F114" s="357"/>
      <c r="G114" s="360"/>
      <c r="H114" s="633"/>
      <c r="I114" s="204"/>
      <c r="J114" s="204"/>
      <c r="K114" s="205"/>
      <c r="L114" s="572"/>
      <c r="M114" s="206" t="e">
        <f>RANK(K114, K$87:$K$101)</f>
        <v>#N/A</v>
      </c>
      <c r="N114" s="590"/>
      <c r="O114" s="590"/>
      <c r="P114" s="357"/>
      <c r="Q114" s="357"/>
      <c r="R114" s="357"/>
      <c r="S114" s="370" t="e">
        <f t="shared" si="40"/>
        <v>#N/A</v>
      </c>
      <c r="T114" s="629"/>
      <c r="U114" s="378"/>
      <c r="V114" s="378"/>
      <c r="W114" s="378"/>
      <c r="X114" s="370" t="e">
        <f t="shared" si="41"/>
        <v>#N/A</v>
      </c>
      <c r="Y114" s="629"/>
      <c r="Z114" s="378"/>
      <c r="AA114" s="378"/>
      <c r="AB114" s="378"/>
      <c r="AC114" s="370" t="e">
        <f t="shared" si="42"/>
        <v>#N/A</v>
      </c>
      <c r="AD114" s="629"/>
      <c r="AE114" s="378"/>
      <c r="AF114" s="378"/>
      <c r="AG114" s="378"/>
      <c r="AH114" s="370" t="e">
        <f t="shared" si="43"/>
        <v>#N/A</v>
      </c>
      <c r="AI114" s="629"/>
      <c r="AJ114" s="378"/>
      <c r="AK114" s="378"/>
      <c r="AL114" s="378"/>
      <c r="AM114" s="370" t="e">
        <f t="shared" si="44"/>
        <v>#N/A</v>
      </c>
      <c r="AN114" s="629"/>
      <c r="AO114" s="378"/>
      <c r="AP114" s="378"/>
      <c r="AQ114" s="378"/>
      <c r="AR114" s="370" t="e">
        <f t="shared" si="45"/>
        <v>#N/A</v>
      </c>
      <c r="AS114" s="629"/>
      <c r="AT114" s="378"/>
      <c r="AU114" s="378"/>
      <c r="AV114" s="378"/>
      <c r="AW114" s="370" t="e">
        <f t="shared" si="46"/>
        <v>#N/A</v>
      </c>
      <c r="AX114" s="629"/>
    </row>
    <row r="115" spans="2:50">
      <c r="B115" s="598"/>
      <c r="C115" s="357">
        <v>9</v>
      </c>
      <c r="D115" s="231"/>
      <c r="E115" s="187"/>
      <c r="F115" s="357"/>
      <c r="G115" s="360"/>
      <c r="H115" s="633"/>
      <c r="I115" s="204"/>
      <c r="J115" s="204"/>
      <c r="K115" s="205"/>
      <c r="L115" s="572"/>
      <c r="M115" s="206" t="e">
        <f>RANK(K115, K$87:$K$101)</f>
        <v>#N/A</v>
      </c>
      <c r="N115" s="590"/>
      <c r="O115" s="590"/>
      <c r="P115" s="357"/>
      <c r="Q115" s="357"/>
      <c r="R115" s="357"/>
      <c r="S115" s="370" t="e">
        <f t="shared" si="40"/>
        <v>#N/A</v>
      </c>
      <c r="T115" s="629"/>
      <c r="U115" s="378"/>
      <c r="V115" s="378"/>
      <c r="W115" s="378"/>
      <c r="X115" s="370" t="e">
        <f t="shared" si="41"/>
        <v>#N/A</v>
      </c>
      <c r="Y115" s="629"/>
      <c r="Z115" s="378"/>
      <c r="AA115" s="378"/>
      <c r="AB115" s="378"/>
      <c r="AC115" s="370" t="e">
        <f t="shared" si="42"/>
        <v>#N/A</v>
      </c>
      <c r="AD115" s="629"/>
      <c r="AE115" s="378"/>
      <c r="AF115" s="378"/>
      <c r="AG115" s="378"/>
      <c r="AH115" s="370" t="e">
        <f t="shared" si="43"/>
        <v>#N/A</v>
      </c>
      <c r="AI115" s="629"/>
      <c r="AJ115" s="378"/>
      <c r="AK115" s="378"/>
      <c r="AL115" s="378"/>
      <c r="AM115" s="370" t="e">
        <f t="shared" si="44"/>
        <v>#N/A</v>
      </c>
      <c r="AN115" s="629"/>
      <c r="AO115" s="378"/>
      <c r="AP115" s="378"/>
      <c r="AQ115" s="378"/>
      <c r="AR115" s="370" t="e">
        <f t="shared" si="45"/>
        <v>#N/A</v>
      </c>
      <c r="AS115" s="629"/>
      <c r="AT115" s="378"/>
      <c r="AU115" s="378"/>
      <c r="AV115" s="378"/>
      <c r="AW115" s="370" t="e">
        <f t="shared" si="46"/>
        <v>#N/A</v>
      </c>
      <c r="AX115" s="629"/>
    </row>
    <row r="116" spans="2:50">
      <c r="B116" s="598"/>
      <c r="C116" s="357">
        <v>10</v>
      </c>
      <c r="D116" s="231"/>
      <c r="E116" s="187"/>
      <c r="F116" s="357"/>
      <c r="G116" s="360"/>
      <c r="H116" s="633"/>
      <c r="I116" s="204"/>
      <c r="J116" s="204"/>
      <c r="K116" s="205"/>
      <c r="L116" s="572"/>
      <c r="M116" s="206" t="e">
        <f>RANK(K116, K$87:$K$101)</f>
        <v>#N/A</v>
      </c>
      <c r="N116" s="590"/>
      <c r="O116" s="590"/>
      <c r="P116" s="357"/>
      <c r="Q116" s="357"/>
      <c r="R116" s="357"/>
      <c r="S116" s="370" t="e">
        <f t="shared" si="40"/>
        <v>#N/A</v>
      </c>
      <c r="T116" s="629"/>
      <c r="U116" s="378"/>
      <c r="V116" s="378"/>
      <c r="W116" s="378"/>
      <c r="X116" s="370" t="e">
        <f t="shared" si="41"/>
        <v>#N/A</v>
      </c>
      <c r="Y116" s="629"/>
      <c r="Z116" s="378"/>
      <c r="AA116" s="378"/>
      <c r="AB116" s="378"/>
      <c r="AC116" s="370" t="e">
        <f t="shared" si="42"/>
        <v>#N/A</v>
      </c>
      <c r="AD116" s="629"/>
      <c r="AE116" s="378"/>
      <c r="AF116" s="378"/>
      <c r="AG116" s="378"/>
      <c r="AH116" s="370" t="e">
        <f t="shared" si="43"/>
        <v>#N/A</v>
      </c>
      <c r="AI116" s="629"/>
      <c r="AJ116" s="378"/>
      <c r="AK116" s="378"/>
      <c r="AL116" s="378"/>
      <c r="AM116" s="370" t="e">
        <f t="shared" si="44"/>
        <v>#N/A</v>
      </c>
      <c r="AN116" s="629"/>
      <c r="AO116" s="378"/>
      <c r="AP116" s="378"/>
      <c r="AQ116" s="378"/>
      <c r="AR116" s="370" t="e">
        <f t="shared" si="45"/>
        <v>#N/A</v>
      </c>
      <c r="AS116" s="629"/>
      <c r="AT116" s="378"/>
      <c r="AU116" s="378"/>
      <c r="AV116" s="378"/>
      <c r="AW116" s="370" t="e">
        <f t="shared" si="46"/>
        <v>#N/A</v>
      </c>
      <c r="AX116" s="629"/>
    </row>
    <row r="117" spans="2:50">
      <c r="B117" s="598"/>
      <c r="C117" s="357">
        <v>11</v>
      </c>
      <c r="D117" s="231"/>
      <c r="E117" s="187"/>
      <c r="F117" s="357"/>
      <c r="G117" s="360"/>
      <c r="H117" s="633"/>
      <c r="I117" s="207"/>
      <c r="J117" s="207"/>
      <c r="K117" s="207"/>
      <c r="L117" s="572"/>
      <c r="M117" s="206" t="e">
        <f>RANK(K117, K$87:$K$101)</f>
        <v>#N/A</v>
      </c>
      <c r="N117" s="590"/>
      <c r="O117" s="590"/>
      <c r="P117" s="357"/>
      <c r="Q117" s="357"/>
      <c r="R117" s="357"/>
      <c r="S117" s="370" t="e">
        <f t="shared" si="40"/>
        <v>#N/A</v>
      </c>
      <c r="T117" s="629"/>
      <c r="U117" s="378"/>
      <c r="V117" s="378"/>
      <c r="W117" s="378"/>
      <c r="X117" s="370" t="e">
        <f t="shared" si="41"/>
        <v>#N/A</v>
      </c>
      <c r="Y117" s="629"/>
      <c r="Z117" s="378"/>
      <c r="AA117" s="378"/>
      <c r="AB117" s="378"/>
      <c r="AC117" s="370" t="e">
        <f t="shared" si="42"/>
        <v>#N/A</v>
      </c>
      <c r="AD117" s="629"/>
      <c r="AE117" s="378"/>
      <c r="AF117" s="378"/>
      <c r="AG117" s="378"/>
      <c r="AH117" s="370" t="e">
        <f t="shared" si="43"/>
        <v>#N/A</v>
      </c>
      <c r="AI117" s="629"/>
      <c r="AJ117" s="378"/>
      <c r="AK117" s="378"/>
      <c r="AL117" s="378"/>
      <c r="AM117" s="370" t="e">
        <f t="shared" si="44"/>
        <v>#N/A</v>
      </c>
      <c r="AN117" s="629"/>
      <c r="AO117" s="378"/>
      <c r="AP117" s="378"/>
      <c r="AQ117" s="378"/>
      <c r="AR117" s="370" t="e">
        <f t="shared" si="45"/>
        <v>#N/A</v>
      </c>
      <c r="AS117" s="629"/>
      <c r="AT117" s="378"/>
      <c r="AU117" s="378"/>
      <c r="AV117" s="378"/>
      <c r="AW117" s="370" t="e">
        <f t="shared" si="46"/>
        <v>#N/A</v>
      </c>
      <c r="AX117" s="629"/>
    </row>
    <row r="118" spans="2:50">
      <c r="B118" s="598"/>
      <c r="C118" s="357">
        <v>12</v>
      </c>
      <c r="D118" s="231"/>
      <c r="E118" s="187"/>
      <c r="F118" s="357"/>
      <c r="G118" s="360"/>
      <c r="H118" s="633"/>
      <c r="I118" s="207"/>
      <c r="J118" s="207"/>
      <c r="K118" s="207"/>
      <c r="L118" s="572"/>
      <c r="M118" s="206" t="e">
        <f>RANK(K118, K$87:$K$101)</f>
        <v>#N/A</v>
      </c>
      <c r="N118" s="590"/>
      <c r="O118" s="590"/>
      <c r="P118" s="357"/>
      <c r="Q118" s="357"/>
      <c r="R118" s="357"/>
      <c r="S118" s="370" t="e">
        <f t="shared" si="40"/>
        <v>#N/A</v>
      </c>
      <c r="T118" s="629"/>
      <c r="U118" s="378"/>
      <c r="V118" s="378"/>
      <c r="W118" s="378"/>
      <c r="X118" s="370" t="e">
        <f t="shared" si="41"/>
        <v>#N/A</v>
      </c>
      <c r="Y118" s="629"/>
      <c r="Z118" s="378"/>
      <c r="AA118" s="378"/>
      <c r="AB118" s="378"/>
      <c r="AC118" s="370" t="e">
        <f t="shared" si="42"/>
        <v>#N/A</v>
      </c>
      <c r="AD118" s="629"/>
      <c r="AE118" s="378"/>
      <c r="AF118" s="378"/>
      <c r="AG118" s="378"/>
      <c r="AH118" s="370" t="e">
        <f t="shared" si="43"/>
        <v>#N/A</v>
      </c>
      <c r="AI118" s="629"/>
      <c r="AJ118" s="378"/>
      <c r="AK118" s="378"/>
      <c r="AL118" s="378"/>
      <c r="AM118" s="370" t="e">
        <f t="shared" si="44"/>
        <v>#N/A</v>
      </c>
      <c r="AN118" s="629"/>
      <c r="AO118" s="378"/>
      <c r="AP118" s="378"/>
      <c r="AQ118" s="378"/>
      <c r="AR118" s="370" t="e">
        <f t="shared" si="45"/>
        <v>#N/A</v>
      </c>
      <c r="AS118" s="629"/>
      <c r="AT118" s="378"/>
      <c r="AU118" s="378"/>
      <c r="AV118" s="378"/>
      <c r="AW118" s="370" t="e">
        <f t="shared" si="46"/>
        <v>#N/A</v>
      </c>
      <c r="AX118" s="629"/>
    </row>
    <row r="119" spans="2:50">
      <c r="B119" s="598"/>
      <c r="C119" s="357">
        <v>13</v>
      </c>
      <c r="D119" s="231"/>
      <c r="E119" s="187"/>
      <c r="F119" s="357"/>
      <c r="G119" s="360"/>
      <c r="H119" s="633"/>
      <c r="I119" s="207"/>
      <c r="J119" s="207"/>
      <c r="K119" s="207"/>
      <c r="L119" s="572"/>
      <c r="M119" s="206" t="e">
        <f>RANK(K119, K$87:$K$101)</f>
        <v>#N/A</v>
      </c>
      <c r="N119" s="590"/>
      <c r="O119" s="590"/>
      <c r="P119" s="357"/>
      <c r="Q119" s="357"/>
      <c r="R119" s="357"/>
      <c r="S119" s="370" t="e">
        <f t="shared" si="40"/>
        <v>#N/A</v>
      </c>
      <c r="T119" s="629"/>
      <c r="U119" s="378"/>
      <c r="V119" s="378"/>
      <c r="W119" s="378"/>
      <c r="X119" s="370" t="e">
        <f t="shared" si="41"/>
        <v>#N/A</v>
      </c>
      <c r="Y119" s="629"/>
      <c r="Z119" s="378"/>
      <c r="AA119" s="378"/>
      <c r="AB119" s="378"/>
      <c r="AC119" s="370" t="e">
        <f t="shared" si="42"/>
        <v>#N/A</v>
      </c>
      <c r="AD119" s="629"/>
      <c r="AE119" s="378"/>
      <c r="AF119" s="378"/>
      <c r="AG119" s="378"/>
      <c r="AH119" s="370" t="e">
        <f t="shared" si="43"/>
        <v>#N/A</v>
      </c>
      <c r="AI119" s="629"/>
      <c r="AJ119" s="378"/>
      <c r="AK119" s="378"/>
      <c r="AL119" s="378"/>
      <c r="AM119" s="370" t="e">
        <f t="shared" si="44"/>
        <v>#N/A</v>
      </c>
      <c r="AN119" s="629"/>
      <c r="AO119" s="378"/>
      <c r="AP119" s="378"/>
      <c r="AQ119" s="378"/>
      <c r="AR119" s="370" t="e">
        <f t="shared" si="45"/>
        <v>#N/A</v>
      </c>
      <c r="AS119" s="629"/>
      <c r="AT119" s="378"/>
      <c r="AU119" s="378"/>
      <c r="AV119" s="378"/>
      <c r="AW119" s="370" t="e">
        <f t="shared" si="46"/>
        <v>#N/A</v>
      </c>
      <c r="AX119" s="629"/>
    </row>
    <row r="120" spans="2:50">
      <c r="B120" s="598"/>
      <c r="C120" s="357">
        <v>14</v>
      </c>
      <c r="D120" s="231"/>
      <c r="E120" s="187"/>
      <c r="F120" s="357"/>
      <c r="G120" s="360"/>
      <c r="H120" s="633"/>
      <c r="I120" s="207"/>
      <c r="J120" s="207"/>
      <c r="K120" s="207"/>
      <c r="L120" s="572"/>
      <c r="M120" s="206" t="e">
        <f>RANK(K120, K$87:$K$101)</f>
        <v>#N/A</v>
      </c>
      <c r="N120" s="590"/>
      <c r="O120" s="590"/>
      <c r="P120" s="357"/>
      <c r="Q120" s="357"/>
      <c r="R120" s="357"/>
      <c r="S120" s="370" t="e">
        <f t="shared" si="40"/>
        <v>#N/A</v>
      </c>
      <c r="T120" s="629"/>
      <c r="U120" s="378"/>
      <c r="V120" s="378"/>
      <c r="W120" s="378"/>
      <c r="X120" s="370" t="e">
        <f t="shared" si="41"/>
        <v>#N/A</v>
      </c>
      <c r="Y120" s="629"/>
      <c r="Z120" s="378"/>
      <c r="AA120" s="378"/>
      <c r="AB120" s="378"/>
      <c r="AC120" s="370" t="e">
        <f t="shared" si="42"/>
        <v>#N/A</v>
      </c>
      <c r="AD120" s="629"/>
      <c r="AE120" s="378"/>
      <c r="AF120" s="378"/>
      <c r="AG120" s="378"/>
      <c r="AH120" s="370" t="e">
        <f t="shared" si="43"/>
        <v>#N/A</v>
      </c>
      <c r="AI120" s="629"/>
      <c r="AJ120" s="378"/>
      <c r="AK120" s="378"/>
      <c r="AL120" s="378"/>
      <c r="AM120" s="370" t="e">
        <f t="shared" si="44"/>
        <v>#N/A</v>
      </c>
      <c r="AN120" s="629"/>
      <c r="AO120" s="378"/>
      <c r="AP120" s="378"/>
      <c r="AQ120" s="378"/>
      <c r="AR120" s="370" t="e">
        <f t="shared" si="45"/>
        <v>#N/A</v>
      </c>
      <c r="AS120" s="629"/>
      <c r="AT120" s="378"/>
      <c r="AU120" s="378"/>
      <c r="AV120" s="378"/>
      <c r="AW120" s="370" t="e">
        <f t="shared" si="46"/>
        <v>#N/A</v>
      </c>
      <c r="AX120" s="629"/>
    </row>
    <row r="121" spans="2:50">
      <c r="B121" s="598"/>
      <c r="C121" s="357">
        <v>15</v>
      </c>
      <c r="D121" s="231"/>
      <c r="E121" s="187"/>
      <c r="F121" s="357"/>
      <c r="G121" s="360"/>
      <c r="H121" s="634"/>
      <c r="I121" s="207"/>
      <c r="J121" s="207"/>
      <c r="K121" s="207"/>
      <c r="L121" s="573"/>
      <c r="M121" s="204" t="e">
        <f>RANK(K121, K$87:$K$101)</f>
        <v>#N/A</v>
      </c>
      <c r="N121" s="590"/>
      <c r="O121" s="590"/>
      <c r="P121" s="357"/>
      <c r="Q121" s="357"/>
      <c r="R121" s="357"/>
      <c r="S121" s="370" t="e">
        <f t="shared" si="40"/>
        <v>#N/A</v>
      </c>
      <c r="T121" s="629"/>
      <c r="U121" s="378"/>
      <c r="V121" s="378"/>
      <c r="W121" s="378"/>
      <c r="X121" s="370" t="e">
        <f t="shared" si="41"/>
        <v>#N/A</v>
      </c>
      <c r="Y121" s="629"/>
      <c r="Z121" s="378"/>
      <c r="AA121" s="378"/>
      <c r="AB121" s="378"/>
      <c r="AC121" s="370" t="e">
        <f t="shared" si="42"/>
        <v>#N/A</v>
      </c>
      <c r="AD121" s="629"/>
      <c r="AE121" s="378"/>
      <c r="AF121" s="378"/>
      <c r="AG121" s="378"/>
      <c r="AH121" s="370" t="e">
        <f t="shared" si="43"/>
        <v>#N/A</v>
      </c>
      <c r="AI121" s="629"/>
      <c r="AJ121" s="378"/>
      <c r="AK121" s="378"/>
      <c r="AL121" s="378"/>
      <c r="AM121" s="370" t="e">
        <f t="shared" si="44"/>
        <v>#N/A</v>
      </c>
      <c r="AN121" s="629"/>
      <c r="AO121" s="378"/>
      <c r="AP121" s="378"/>
      <c r="AQ121" s="378"/>
      <c r="AR121" s="370" t="e">
        <f t="shared" si="45"/>
        <v>#N/A</v>
      </c>
      <c r="AS121" s="629"/>
      <c r="AT121" s="378"/>
      <c r="AU121" s="378"/>
      <c r="AV121" s="378"/>
      <c r="AW121" s="370" t="e">
        <f t="shared" si="46"/>
        <v>#N/A</v>
      </c>
      <c r="AX121" s="629"/>
    </row>
    <row r="123" spans="2:50" ht="15.75">
      <c r="B123" s="623" t="s">
        <v>668</v>
      </c>
      <c r="C123" s="624"/>
      <c r="D123" s="624"/>
      <c r="E123" s="624"/>
      <c r="F123" s="624"/>
      <c r="G123" s="624"/>
      <c r="H123" s="625"/>
      <c r="I123" s="361"/>
      <c r="J123" s="361"/>
      <c r="K123" s="361"/>
      <c r="L123" s="361"/>
      <c r="M123" s="362"/>
    </row>
    <row r="124" spans="2:50" ht="15.75">
      <c r="B124" s="626"/>
      <c r="C124" s="626"/>
      <c r="D124" s="626"/>
      <c r="E124" s="626"/>
      <c r="F124" s="626"/>
      <c r="G124" s="626"/>
      <c r="H124" s="626"/>
      <c r="I124" s="363"/>
      <c r="J124" s="363"/>
      <c r="K124" s="363"/>
      <c r="L124" s="363"/>
      <c r="M124" s="364"/>
    </row>
    <row r="125" spans="2:50">
      <c r="B125" s="590" t="s">
        <v>669</v>
      </c>
      <c r="C125" s="590" t="s">
        <v>670</v>
      </c>
      <c r="D125" s="590"/>
      <c r="E125" s="590" t="s">
        <v>671</v>
      </c>
      <c r="F125" s="590"/>
      <c r="G125" s="590"/>
      <c r="H125" s="606" t="s">
        <v>672</v>
      </c>
      <c r="I125" s="627" t="s">
        <v>673</v>
      </c>
      <c r="J125" s="627"/>
      <c r="K125" s="627"/>
      <c r="L125" s="643" t="s">
        <v>672</v>
      </c>
      <c r="M125" s="646" t="s">
        <v>674</v>
      </c>
    </row>
    <row r="126" spans="2:50">
      <c r="B126" s="590"/>
      <c r="C126" s="590"/>
      <c r="D126" s="590"/>
      <c r="E126" s="590" t="s">
        <v>675</v>
      </c>
      <c r="F126" s="590"/>
      <c r="G126" s="590"/>
      <c r="H126" s="607"/>
      <c r="I126" s="627" t="s">
        <v>675</v>
      </c>
      <c r="J126" s="627"/>
      <c r="K126" s="627"/>
      <c r="L126" s="644"/>
      <c r="M126" s="647"/>
    </row>
    <row r="127" spans="2:50">
      <c r="B127" s="590"/>
      <c r="C127" s="590"/>
      <c r="D127" s="590"/>
      <c r="E127" s="358" t="s">
        <v>676</v>
      </c>
      <c r="F127" s="358" t="s">
        <v>677</v>
      </c>
      <c r="G127" s="358" t="s">
        <v>678</v>
      </c>
      <c r="H127" s="608"/>
      <c r="I127" s="365" t="s">
        <v>676</v>
      </c>
      <c r="J127" s="365" t="s">
        <v>677</v>
      </c>
      <c r="K127" s="365" t="s">
        <v>678</v>
      </c>
      <c r="L127" s="645"/>
      <c r="M127" s="648"/>
    </row>
    <row r="128" spans="2:50">
      <c r="B128" s="590" t="s">
        <v>682</v>
      </c>
      <c r="C128" s="357">
        <v>1</v>
      </c>
      <c r="D128" s="231"/>
      <c r="E128" s="187"/>
      <c r="F128" s="357"/>
      <c r="G128" s="360"/>
      <c r="H128" s="632" t="e">
        <f>AVERAGE(G128:G142)</f>
        <v>#DIV/0!</v>
      </c>
      <c r="I128" s="204" t="e">
        <f t="shared" ref="I128:J128" si="47">AVERAGEIF($D$7:$D$121,$D128,I$7:I$121)</f>
        <v>#DIV/0!</v>
      </c>
      <c r="J128" s="204" t="e">
        <f t="shared" si="47"/>
        <v>#DIV/0!</v>
      </c>
      <c r="K128" s="204" t="e">
        <f>AVERAGEIF($D$7:$D$121,$D128,K$7:K$121)</f>
        <v>#DIV/0!</v>
      </c>
      <c r="L128" s="640" t="e">
        <f>AVERAGE(K128:K142)</f>
        <v>#DIV/0!</v>
      </c>
      <c r="M128" s="204" t="e">
        <f>RANK(K128, K$128:$K$142)</f>
        <v>#DIV/0!</v>
      </c>
    </row>
    <row r="129" spans="2:13">
      <c r="B129" s="598"/>
      <c r="C129" s="357">
        <v>2</v>
      </c>
      <c r="D129" s="231"/>
      <c r="E129" s="187"/>
      <c r="F129" s="357"/>
      <c r="G129" s="360"/>
      <c r="H129" s="633"/>
      <c r="I129" s="204"/>
      <c r="J129" s="204"/>
      <c r="K129" s="204"/>
      <c r="L129" s="641"/>
      <c r="M129" s="204" t="e">
        <f>RANK(K129, K$128:$K$142)</f>
        <v>#DIV/0!</v>
      </c>
    </row>
    <row r="130" spans="2:13">
      <c r="B130" s="598"/>
      <c r="C130" s="357">
        <v>3</v>
      </c>
      <c r="D130" s="231"/>
      <c r="E130" s="187"/>
      <c r="F130" s="357"/>
      <c r="G130" s="360"/>
      <c r="H130" s="633"/>
      <c r="I130" s="204"/>
      <c r="J130" s="204"/>
      <c r="K130" s="204"/>
      <c r="L130" s="641"/>
      <c r="M130" s="204" t="e">
        <f>RANK(K130, K$128:$K$142)</f>
        <v>#DIV/0!</v>
      </c>
    </row>
    <row r="131" spans="2:13">
      <c r="B131" s="598"/>
      <c r="C131" s="357">
        <v>4</v>
      </c>
      <c r="D131" s="231"/>
      <c r="E131" s="187"/>
      <c r="F131" s="357"/>
      <c r="G131" s="360"/>
      <c r="H131" s="633"/>
      <c r="I131" s="204"/>
      <c r="J131" s="204"/>
      <c r="K131" s="204"/>
      <c r="L131" s="641"/>
      <c r="M131" s="204" t="e">
        <f>RANK(K131, K$128:$K$142)</f>
        <v>#DIV/0!</v>
      </c>
    </row>
    <row r="132" spans="2:13">
      <c r="B132" s="598"/>
      <c r="C132" s="357">
        <v>5</v>
      </c>
      <c r="D132" s="231"/>
      <c r="E132" s="187"/>
      <c r="F132" s="357"/>
      <c r="G132" s="360"/>
      <c r="H132" s="633"/>
      <c r="I132" s="204"/>
      <c r="J132" s="204"/>
      <c r="K132" s="204"/>
      <c r="L132" s="641"/>
      <c r="M132" s="204" t="e">
        <f>RANK(K132, K$128:$K$142)</f>
        <v>#DIV/0!</v>
      </c>
    </row>
    <row r="133" spans="2:13">
      <c r="B133" s="598"/>
      <c r="C133" s="357">
        <v>6</v>
      </c>
      <c r="D133" s="366"/>
      <c r="E133" s="187"/>
      <c r="F133" s="357"/>
      <c r="G133" s="360"/>
      <c r="H133" s="633"/>
      <c r="I133" s="204"/>
      <c r="J133" s="204"/>
      <c r="K133" s="204"/>
      <c r="L133" s="641"/>
      <c r="M133" s="204" t="e">
        <f>RANK(K133, K$128:$K$142)</f>
        <v>#DIV/0!</v>
      </c>
    </row>
    <row r="134" spans="2:13">
      <c r="B134" s="598"/>
      <c r="C134" s="357">
        <v>7</v>
      </c>
      <c r="D134" s="231"/>
      <c r="E134" s="187"/>
      <c r="F134" s="357"/>
      <c r="G134" s="360"/>
      <c r="H134" s="633"/>
      <c r="I134" s="204"/>
      <c r="J134" s="204"/>
      <c r="K134" s="204"/>
      <c r="L134" s="641"/>
      <c r="M134" s="204" t="e">
        <f>RANK(K134, K$128:$K$142)</f>
        <v>#DIV/0!</v>
      </c>
    </row>
    <row r="135" spans="2:13">
      <c r="B135" s="598"/>
      <c r="C135" s="357">
        <v>8</v>
      </c>
      <c r="D135" s="231"/>
      <c r="E135" s="187"/>
      <c r="F135" s="357"/>
      <c r="G135" s="360"/>
      <c r="H135" s="633"/>
      <c r="I135" s="204"/>
      <c r="J135" s="204"/>
      <c r="K135" s="204"/>
      <c r="L135" s="641"/>
      <c r="M135" s="204" t="e">
        <f>RANK(K135, K$128:$K$142)</f>
        <v>#DIV/0!</v>
      </c>
    </row>
    <row r="136" spans="2:13">
      <c r="B136" s="598"/>
      <c r="C136" s="357">
        <v>9</v>
      </c>
      <c r="D136" s="231"/>
      <c r="E136" s="357"/>
      <c r="F136" s="357"/>
      <c r="G136" s="357"/>
      <c r="H136" s="633"/>
      <c r="I136" s="204"/>
      <c r="J136" s="204"/>
      <c r="K136" s="204"/>
      <c r="L136" s="641"/>
      <c r="M136" s="204" t="e">
        <f>RANK(K136, K$128:$K$142)</f>
        <v>#DIV/0!</v>
      </c>
    </row>
    <row r="137" spans="2:13">
      <c r="B137" s="598"/>
      <c r="C137" s="357">
        <v>10</v>
      </c>
      <c r="D137" s="231"/>
      <c r="E137" s="357"/>
      <c r="F137" s="357"/>
      <c r="G137" s="357"/>
      <c r="H137" s="633"/>
      <c r="I137" s="204"/>
      <c r="J137" s="204"/>
      <c r="K137" s="204"/>
      <c r="L137" s="641"/>
      <c r="M137" s="204" t="e">
        <f>RANK(K137, K$128:$K$142)</f>
        <v>#DIV/0!</v>
      </c>
    </row>
    <row r="138" spans="2:13">
      <c r="B138" s="598"/>
      <c r="C138" s="357">
        <v>11</v>
      </c>
      <c r="D138" s="231"/>
      <c r="E138" s="357"/>
      <c r="F138" s="357"/>
      <c r="G138" s="357"/>
      <c r="H138" s="633"/>
      <c r="I138" s="204"/>
      <c r="J138" s="204"/>
      <c r="K138" s="204"/>
      <c r="L138" s="641"/>
      <c r="M138" s="204" t="e">
        <f>RANK(K138, K$128:$K$142)</f>
        <v>#DIV/0!</v>
      </c>
    </row>
    <row r="139" spans="2:13">
      <c r="B139" s="598"/>
      <c r="C139" s="357">
        <v>12</v>
      </c>
      <c r="D139" s="231"/>
      <c r="E139" s="357"/>
      <c r="F139" s="357"/>
      <c r="G139" s="357"/>
      <c r="H139" s="633"/>
      <c r="I139" s="204"/>
      <c r="J139" s="204"/>
      <c r="K139" s="204"/>
      <c r="L139" s="641"/>
      <c r="M139" s="204" t="e">
        <f>RANK(K139, K$128:$K$142)</f>
        <v>#DIV/0!</v>
      </c>
    </row>
    <row r="140" spans="2:13">
      <c r="B140" s="598"/>
      <c r="C140" s="357">
        <v>13</v>
      </c>
      <c r="D140" s="231"/>
      <c r="E140" s="357"/>
      <c r="F140" s="357"/>
      <c r="G140" s="357"/>
      <c r="H140" s="633"/>
      <c r="I140" s="204"/>
      <c r="J140" s="204"/>
      <c r="K140" s="204"/>
      <c r="L140" s="641"/>
      <c r="M140" s="204" t="e">
        <f>RANK(K140, K$128:$K$142)</f>
        <v>#DIV/0!</v>
      </c>
    </row>
    <row r="141" spans="2:13">
      <c r="B141" s="598"/>
      <c r="C141" s="357">
        <v>14</v>
      </c>
      <c r="D141" s="231"/>
      <c r="E141" s="357"/>
      <c r="F141" s="357"/>
      <c r="G141" s="357"/>
      <c r="H141" s="633"/>
      <c r="I141" s="204"/>
      <c r="J141" s="204"/>
      <c r="K141" s="204"/>
      <c r="L141" s="641"/>
      <c r="M141" s="204" t="e">
        <f>RANK(K141, K$128:$K$142)</f>
        <v>#DIV/0!</v>
      </c>
    </row>
    <row r="142" spans="2:13">
      <c r="B142" s="598"/>
      <c r="C142" s="357">
        <v>15</v>
      </c>
      <c r="D142" s="231"/>
      <c r="E142" s="357"/>
      <c r="F142" s="357"/>
      <c r="G142" s="357"/>
      <c r="H142" s="634"/>
      <c r="I142" s="204"/>
      <c r="J142" s="204"/>
      <c r="K142" s="204"/>
      <c r="L142" s="642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zoomScale="55" zoomScaleNormal="55" workbookViewId="0">
      <pane xSplit="15" topLeftCell="Z1" activePane="topRight" state="frozen"/>
      <selection sqref="A1:L2"/>
      <selection pane="topRight" activeCell="AT63" sqref="AT6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6" t="s">
        <v>332</v>
      </c>
      <c r="C1" s="225">
        <f>AVERAGE(L7,L42,L77,L112,L147,L182)</f>
        <v>85.48445866969243</v>
      </c>
    </row>
    <row r="2" spans="1:54" ht="15.75">
      <c r="A2" s="81"/>
      <c r="B2" s="602" t="s">
        <v>163</v>
      </c>
      <c r="C2" s="602"/>
      <c r="D2" s="602"/>
      <c r="E2" s="602"/>
      <c r="F2" s="602"/>
      <c r="G2" s="602"/>
      <c r="H2" s="602"/>
      <c r="I2" s="320"/>
      <c r="J2" s="320"/>
      <c r="K2" s="320"/>
      <c r="L2" s="320"/>
      <c r="M2" s="202"/>
      <c r="N2" s="591" t="s">
        <v>156</v>
      </c>
      <c r="O2" s="591" t="s">
        <v>155</v>
      </c>
      <c r="P2" s="594">
        <v>45930</v>
      </c>
      <c r="Q2" s="595"/>
      <c r="R2" s="595"/>
      <c r="S2" s="595"/>
      <c r="T2" s="596"/>
      <c r="U2" s="597">
        <f>P2+1</f>
        <v>45931</v>
      </c>
      <c r="V2" s="598"/>
      <c r="W2" s="598"/>
      <c r="X2" s="598"/>
      <c r="Y2" s="598"/>
      <c r="Z2" s="597">
        <f>U2+1</f>
        <v>45932</v>
      </c>
      <c r="AA2" s="598"/>
      <c r="AB2" s="598"/>
      <c r="AC2" s="598"/>
      <c r="AD2" s="598"/>
      <c r="AE2" s="597">
        <f>Z2+1</f>
        <v>45933</v>
      </c>
      <c r="AF2" s="598"/>
      <c r="AG2" s="598"/>
      <c r="AH2" s="598"/>
      <c r="AI2" s="598"/>
      <c r="AJ2" s="597">
        <f>AE2+1</f>
        <v>45934</v>
      </c>
      <c r="AK2" s="598"/>
      <c r="AL2" s="598"/>
      <c r="AM2" s="598"/>
      <c r="AN2" s="598"/>
      <c r="AO2" s="597">
        <f>AJ2+1</f>
        <v>45935</v>
      </c>
      <c r="AP2" s="598"/>
      <c r="AQ2" s="598"/>
      <c r="AR2" s="598"/>
      <c r="AS2" s="598"/>
      <c r="AT2" s="597">
        <f>AO2+1</f>
        <v>45936</v>
      </c>
      <c r="AU2" s="598"/>
      <c r="AV2" s="598"/>
      <c r="AW2" s="598"/>
      <c r="AX2" s="598"/>
    </row>
    <row r="3" spans="1:54" ht="15.75">
      <c r="A3" s="81"/>
      <c r="B3" s="622"/>
      <c r="C3" s="622"/>
      <c r="D3" s="622"/>
      <c r="E3" s="622"/>
      <c r="F3" s="622"/>
      <c r="G3" s="622"/>
      <c r="H3" s="622"/>
      <c r="I3" s="321"/>
      <c r="J3" s="321"/>
      <c r="K3" s="321"/>
      <c r="L3" s="321"/>
      <c r="M3" s="203"/>
      <c r="N3" s="593"/>
      <c r="O3" s="593"/>
      <c r="P3" s="594" t="s">
        <v>158</v>
      </c>
      <c r="Q3" s="595"/>
      <c r="R3" s="595"/>
      <c r="S3" s="595"/>
      <c r="T3" s="596"/>
      <c r="U3" s="594" t="s">
        <v>114</v>
      </c>
      <c r="V3" s="595"/>
      <c r="W3" s="595"/>
      <c r="X3" s="595"/>
      <c r="Y3" s="596"/>
      <c r="Z3" s="594" t="s">
        <v>159</v>
      </c>
      <c r="AA3" s="595"/>
      <c r="AB3" s="595"/>
      <c r="AC3" s="595"/>
      <c r="AD3" s="596"/>
      <c r="AE3" s="594" t="s">
        <v>157</v>
      </c>
      <c r="AF3" s="595"/>
      <c r="AG3" s="595"/>
      <c r="AH3" s="595"/>
      <c r="AI3" s="596"/>
      <c r="AJ3" s="594" t="s">
        <v>160</v>
      </c>
      <c r="AK3" s="595"/>
      <c r="AL3" s="595"/>
      <c r="AM3" s="595"/>
      <c r="AN3" s="596"/>
      <c r="AO3" s="594" t="s">
        <v>161</v>
      </c>
      <c r="AP3" s="595"/>
      <c r="AQ3" s="595"/>
      <c r="AR3" s="595"/>
      <c r="AS3" s="596"/>
      <c r="AT3" s="594" t="s">
        <v>162</v>
      </c>
      <c r="AU3" s="595"/>
      <c r="AV3" s="595"/>
      <c r="AW3" s="595"/>
      <c r="AX3" s="596"/>
    </row>
    <row r="4" spans="1:54" ht="14.25">
      <c r="A4" s="81"/>
      <c r="B4" s="590" t="s">
        <v>527</v>
      </c>
      <c r="C4" s="590" t="s">
        <v>528</v>
      </c>
      <c r="D4" s="590"/>
      <c r="E4" s="590" t="s">
        <v>529</v>
      </c>
      <c r="F4" s="590"/>
      <c r="G4" s="590"/>
      <c r="H4" s="606" t="s">
        <v>530</v>
      </c>
      <c r="I4" s="574" t="s">
        <v>531</v>
      </c>
      <c r="J4" s="574"/>
      <c r="K4" s="574"/>
      <c r="L4" s="575" t="s">
        <v>530</v>
      </c>
      <c r="M4" s="581" t="s">
        <v>532</v>
      </c>
      <c r="N4" s="590"/>
      <c r="O4" s="590" t="s">
        <v>533</v>
      </c>
      <c r="P4" s="587" t="s">
        <v>534</v>
      </c>
      <c r="Q4" s="588"/>
      <c r="R4" s="588"/>
      <c r="S4" s="589"/>
      <c r="T4" s="590" t="s">
        <v>530</v>
      </c>
      <c r="U4" s="587" t="s">
        <v>534</v>
      </c>
      <c r="V4" s="588"/>
      <c r="W4" s="588"/>
      <c r="X4" s="589"/>
      <c r="Y4" s="590" t="s">
        <v>530</v>
      </c>
      <c r="Z4" s="587" t="s">
        <v>534</v>
      </c>
      <c r="AA4" s="588"/>
      <c r="AB4" s="588"/>
      <c r="AC4" s="589"/>
      <c r="AD4" s="590" t="s">
        <v>530</v>
      </c>
      <c r="AE4" s="587" t="s">
        <v>534</v>
      </c>
      <c r="AF4" s="588"/>
      <c r="AG4" s="588"/>
      <c r="AH4" s="589"/>
      <c r="AI4" s="590" t="s">
        <v>530</v>
      </c>
      <c r="AJ4" s="587" t="s">
        <v>534</v>
      </c>
      <c r="AK4" s="588"/>
      <c r="AL4" s="588"/>
      <c r="AM4" s="589"/>
      <c r="AN4" s="590" t="s">
        <v>530</v>
      </c>
      <c r="AO4" s="587" t="s">
        <v>534</v>
      </c>
      <c r="AP4" s="588"/>
      <c r="AQ4" s="588"/>
      <c r="AR4" s="589"/>
      <c r="AS4" s="590" t="s">
        <v>530</v>
      </c>
      <c r="AT4" s="587" t="s">
        <v>534</v>
      </c>
      <c r="AU4" s="588"/>
      <c r="AV4" s="588"/>
      <c r="AW4" s="589"/>
      <c r="AX4" s="590" t="s">
        <v>530</v>
      </c>
    </row>
    <row r="5" spans="1:54" ht="14.25">
      <c r="A5" s="81"/>
      <c r="B5" s="590"/>
      <c r="C5" s="590"/>
      <c r="D5" s="590"/>
      <c r="E5" s="590" t="s">
        <v>535</v>
      </c>
      <c r="F5" s="590"/>
      <c r="G5" s="590"/>
      <c r="H5" s="607"/>
      <c r="I5" s="574" t="s">
        <v>535</v>
      </c>
      <c r="J5" s="574"/>
      <c r="K5" s="574"/>
      <c r="L5" s="576"/>
      <c r="M5" s="582"/>
      <c r="N5" s="590"/>
      <c r="O5" s="590"/>
      <c r="P5" s="587" t="s">
        <v>536</v>
      </c>
      <c r="Q5" s="588"/>
      <c r="R5" s="588"/>
      <c r="S5" s="589"/>
      <c r="T5" s="590"/>
      <c r="U5" s="587" t="s">
        <v>536</v>
      </c>
      <c r="V5" s="588"/>
      <c r="W5" s="588"/>
      <c r="X5" s="589"/>
      <c r="Y5" s="590"/>
      <c r="Z5" s="587" t="s">
        <v>536</v>
      </c>
      <c r="AA5" s="588"/>
      <c r="AB5" s="588"/>
      <c r="AC5" s="589"/>
      <c r="AD5" s="590"/>
      <c r="AE5" s="587" t="s">
        <v>536</v>
      </c>
      <c r="AF5" s="588"/>
      <c r="AG5" s="588"/>
      <c r="AH5" s="589"/>
      <c r="AI5" s="590"/>
      <c r="AJ5" s="587" t="s">
        <v>536</v>
      </c>
      <c r="AK5" s="588"/>
      <c r="AL5" s="588"/>
      <c r="AM5" s="589"/>
      <c r="AN5" s="590"/>
      <c r="AO5" s="587" t="s">
        <v>536</v>
      </c>
      <c r="AP5" s="588"/>
      <c r="AQ5" s="588"/>
      <c r="AR5" s="589"/>
      <c r="AS5" s="590"/>
      <c r="AT5" s="587" t="s">
        <v>536</v>
      </c>
      <c r="AU5" s="588"/>
      <c r="AV5" s="588"/>
      <c r="AW5" s="589"/>
      <c r="AX5" s="590"/>
    </row>
    <row r="6" spans="1:54" ht="14.25">
      <c r="A6" s="79"/>
      <c r="B6" s="590"/>
      <c r="C6" s="590"/>
      <c r="D6" s="590"/>
      <c r="E6" s="331" t="s">
        <v>537</v>
      </c>
      <c r="F6" s="331" t="s">
        <v>538</v>
      </c>
      <c r="G6" s="331" t="s">
        <v>539</v>
      </c>
      <c r="H6" s="608"/>
      <c r="I6" s="332" t="s">
        <v>537</v>
      </c>
      <c r="J6" s="332" t="s">
        <v>538</v>
      </c>
      <c r="K6" s="332" t="s">
        <v>539</v>
      </c>
      <c r="L6" s="577"/>
      <c r="M6" s="583"/>
      <c r="N6" s="590"/>
      <c r="O6" s="590"/>
      <c r="P6" s="331" t="s">
        <v>537</v>
      </c>
      <c r="Q6" s="331" t="s">
        <v>538</v>
      </c>
      <c r="R6" s="331" t="s">
        <v>539</v>
      </c>
      <c r="S6" s="331" t="s">
        <v>532</v>
      </c>
      <c r="T6" s="590"/>
      <c r="U6" s="331" t="s">
        <v>537</v>
      </c>
      <c r="V6" s="331" t="s">
        <v>538</v>
      </c>
      <c r="W6" s="331" t="s">
        <v>539</v>
      </c>
      <c r="X6" s="331" t="s">
        <v>532</v>
      </c>
      <c r="Y6" s="590"/>
      <c r="Z6" s="331" t="s">
        <v>537</v>
      </c>
      <c r="AA6" s="331" t="s">
        <v>538</v>
      </c>
      <c r="AB6" s="331" t="s">
        <v>539</v>
      </c>
      <c r="AC6" s="331" t="s">
        <v>532</v>
      </c>
      <c r="AD6" s="590"/>
      <c r="AE6" s="331" t="s">
        <v>537</v>
      </c>
      <c r="AF6" s="331" t="s">
        <v>538</v>
      </c>
      <c r="AG6" s="331" t="s">
        <v>539</v>
      </c>
      <c r="AH6" s="331" t="s">
        <v>532</v>
      </c>
      <c r="AI6" s="590"/>
      <c r="AJ6" s="331" t="s">
        <v>537</v>
      </c>
      <c r="AK6" s="331" t="s">
        <v>538</v>
      </c>
      <c r="AL6" s="331" t="s">
        <v>539</v>
      </c>
      <c r="AM6" s="331" t="s">
        <v>532</v>
      </c>
      <c r="AN6" s="590"/>
      <c r="AO6" s="331" t="s">
        <v>537</v>
      </c>
      <c r="AP6" s="331" t="s">
        <v>538</v>
      </c>
      <c r="AQ6" s="331" t="s">
        <v>539</v>
      </c>
      <c r="AR6" s="331" t="s">
        <v>532</v>
      </c>
      <c r="AS6" s="590"/>
      <c r="AT6" s="331" t="s">
        <v>537</v>
      </c>
      <c r="AU6" s="331" t="s">
        <v>538</v>
      </c>
      <c r="AV6" s="331" t="s">
        <v>539</v>
      </c>
      <c r="AW6" s="331" t="s">
        <v>532</v>
      </c>
      <c r="AX6" s="590"/>
    </row>
    <row r="7" spans="1:54" ht="14.25">
      <c r="A7" s="81"/>
      <c r="B7" s="590" t="s">
        <v>544</v>
      </c>
      <c r="C7" s="330">
        <v>1</v>
      </c>
      <c r="D7" s="231" t="s">
        <v>386</v>
      </c>
      <c r="E7" s="187">
        <v>6</v>
      </c>
      <c r="F7" s="378">
        <v>1500</v>
      </c>
      <c r="G7" s="379">
        <v>250</v>
      </c>
      <c r="H7" s="632">
        <f>AVERAGE(G7:G36)</f>
        <v>96.860767523383629</v>
      </c>
      <c r="I7" s="204">
        <f>AVERAGE(P7,U7,Z7,AE7,AJ7,AO7,AT7)</f>
        <v>6</v>
      </c>
      <c r="J7" s="204">
        <f>AVERAGE(Q7,V7,AA7,AF7,AK7,AP7,AU7)</f>
        <v>1474.024642810117</v>
      </c>
      <c r="K7" s="205">
        <f>AVERAGE(R7,W7,AB7,AG7,AL7,AQ7,AV7)</f>
        <v>245.67077380168621</v>
      </c>
      <c r="L7" s="571">
        <f>IFERROR(AVERAGE(K7:K36),"-")</f>
        <v>87.830453705037357</v>
      </c>
      <c r="M7" s="206">
        <f>RANK(K7, K$7:$K$36)</f>
        <v>1</v>
      </c>
      <c r="N7" s="590"/>
      <c r="O7" s="590"/>
      <c r="P7" s="187">
        <v>6</v>
      </c>
      <c r="Q7" s="187">
        <v>1481.5804511278195</v>
      </c>
      <c r="R7" s="187">
        <v>246.93007518796992</v>
      </c>
      <c r="S7" s="378">
        <f t="shared" ref="S7:S36" si="0">RANK(R7, R$7:R$36)</f>
        <v>1</v>
      </c>
      <c r="T7" s="629">
        <f>AVERAGE(R7:R36)</f>
        <v>86.567812842383191</v>
      </c>
      <c r="U7" s="187">
        <v>6</v>
      </c>
      <c r="V7" s="187">
        <v>1481.6181818181824</v>
      </c>
      <c r="W7" s="187">
        <v>246.93636363636372</v>
      </c>
      <c r="X7" s="378">
        <f t="shared" ref="X7:X36" si="1">RANK(W7, W$7:W$36)</f>
        <v>1</v>
      </c>
      <c r="Y7" s="629">
        <f>AVERAGE(W7:W36)</f>
        <v>88.538947923506711</v>
      </c>
      <c r="Z7" s="187">
        <v>6</v>
      </c>
      <c r="AA7" s="187">
        <v>1445.5084337349397</v>
      </c>
      <c r="AB7" s="187">
        <v>240.91807228915661</v>
      </c>
      <c r="AC7" s="378">
        <f t="shared" ref="AC7:AC36" si="2">RANK(AB7, AB$7:AB$36)</f>
        <v>2</v>
      </c>
      <c r="AD7" s="629">
        <f>AVERAGE(AB7:AB36)</f>
        <v>88.588633863311486</v>
      </c>
      <c r="AE7" s="187">
        <v>6</v>
      </c>
      <c r="AF7" s="187">
        <v>1491.3813333333333</v>
      </c>
      <c r="AG7" s="187">
        <v>248.56355555555555</v>
      </c>
      <c r="AH7" s="378">
        <f t="shared" ref="AH7:AH36" si="3">RANK(AG7, AG$7:AG$36)</f>
        <v>1</v>
      </c>
      <c r="AI7" s="629">
        <f>AVERAGE(AG7:AG36)</f>
        <v>88.143225523975318</v>
      </c>
      <c r="AJ7" s="187">
        <v>6</v>
      </c>
      <c r="AK7" s="187">
        <v>1465.9221719457014</v>
      </c>
      <c r="AL7" s="187">
        <v>244.32036199095023</v>
      </c>
      <c r="AM7" s="378">
        <f t="shared" ref="AM7:AM36" si="4">RANK(AL7, AL$7:AL$36)</f>
        <v>1</v>
      </c>
      <c r="AN7" s="629">
        <f>AVERAGE(AL7:AL36)</f>
        <v>87.689624676256187</v>
      </c>
      <c r="AO7" s="187">
        <v>6</v>
      </c>
      <c r="AP7" s="187">
        <v>1497.881927710843</v>
      </c>
      <c r="AQ7" s="187">
        <v>249.64698795180718</v>
      </c>
      <c r="AR7" s="378">
        <f t="shared" ref="AR7:AR36" si="5">RANK(AQ7, AQ$7:AQ$36)</f>
        <v>1</v>
      </c>
      <c r="AS7" s="629">
        <f>AVERAGE(AQ7:AQ36)</f>
        <v>87.513976493343421</v>
      </c>
      <c r="AT7" s="187">
        <v>6</v>
      </c>
      <c r="AU7" s="187">
        <v>1454.2800000000004</v>
      </c>
      <c r="AV7" s="187">
        <v>242.38000000000008</v>
      </c>
      <c r="AW7" s="378">
        <f t="shared" ref="AW7:AW36" si="6">RANK(AV7, AV$7:AV$36)</f>
        <v>2</v>
      </c>
      <c r="AX7" s="629">
        <f>AVERAGE(AV7:AV36)</f>
        <v>87.770954612485141</v>
      </c>
      <c r="AZ7" s="381" t="e">
        <f>RANK(AX7, $K$7:AX$36)</f>
        <v>#N/A</v>
      </c>
      <c r="BB7" s="378" t="e">
        <f t="shared" ref="BB7:BB36" si="7">RANK(BA7, BA$7:BA$36)</f>
        <v>#N/A</v>
      </c>
    </row>
    <row r="8" spans="1:54" ht="15" customHeight="1">
      <c r="A8" s="81"/>
      <c r="B8" s="598"/>
      <c r="C8" s="330">
        <v>2</v>
      </c>
      <c r="D8" s="231" t="s">
        <v>412</v>
      </c>
      <c r="E8" s="187">
        <v>7</v>
      </c>
      <c r="F8" s="378">
        <v>1500</v>
      </c>
      <c r="G8" s="379">
        <v>214.28571428571428</v>
      </c>
      <c r="H8" s="633"/>
      <c r="I8" s="204">
        <f t="shared" ref="I8:K30" si="8">AVERAGE(P8,U8,Z8,AE8,AJ8,AO8,AT8)</f>
        <v>6.1428571428571432</v>
      </c>
      <c r="J8" s="204">
        <f t="shared" si="8"/>
        <v>1475.7504590512383</v>
      </c>
      <c r="K8" s="205">
        <f t="shared" si="8"/>
        <v>241.00943025003633</v>
      </c>
      <c r="L8" s="572"/>
      <c r="M8" s="206">
        <f>RANK(K8, K$7:$K$36)</f>
        <v>2</v>
      </c>
      <c r="N8" s="590"/>
      <c r="O8" s="590"/>
      <c r="P8" s="187">
        <v>7</v>
      </c>
      <c r="Q8" s="187">
        <v>1454.9999999999998</v>
      </c>
      <c r="R8" s="187">
        <v>207.85714285714283</v>
      </c>
      <c r="S8" s="378">
        <f t="shared" si="0"/>
        <v>2</v>
      </c>
      <c r="T8" s="629"/>
      <c r="U8" s="187">
        <v>6</v>
      </c>
      <c r="V8" s="187">
        <v>1457.3195876288664</v>
      </c>
      <c r="W8" s="187">
        <v>242.8865979381444</v>
      </c>
      <c r="X8" s="378">
        <f t="shared" si="1"/>
        <v>2</v>
      </c>
      <c r="Y8" s="629"/>
      <c r="Z8" s="187">
        <v>6</v>
      </c>
      <c r="AA8" s="187">
        <v>1509.8823529411761</v>
      </c>
      <c r="AB8" s="187">
        <v>251.64705882352936</v>
      </c>
      <c r="AC8" s="378">
        <f t="shared" si="2"/>
        <v>1</v>
      </c>
      <c r="AD8" s="629"/>
      <c r="AE8" s="187">
        <v>6</v>
      </c>
      <c r="AF8" s="187">
        <v>1491.1111111111113</v>
      </c>
      <c r="AG8" s="187">
        <v>248.51851851851856</v>
      </c>
      <c r="AH8" s="378">
        <f t="shared" si="3"/>
        <v>2</v>
      </c>
      <c r="AI8" s="629"/>
      <c r="AJ8" s="187">
        <v>6</v>
      </c>
      <c r="AK8" s="187">
        <v>1465.6097560975611</v>
      </c>
      <c r="AL8" s="187">
        <v>244.26829268292684</v>
      </c>
      <c r="AM8" s="378">
        <f t="shared" si="4"/>
        <v>2</v>
      </c>
      <c r="AN8" s="629"/>
      <c r="AO8" s="187">
        <v>6</v>
      </c>
      <c r="AP8" s="187">
        <v>1479.4936708860751</v>
      </c>
      <c r="AQ8" s="187">
        <v>246.58227848101251</v>
      </c>
      <c r="AR8" s="378">
        <f t="shared" si="5"/>
        <v>2</v>
      </c>
      <c r="AS8" s="629"/>
      <c r="AT8" s="187">
        <v>6</v>
      </c>
      <c r="AU8" s="187">
        <v>1471.836734693878</v>
      </c>
      <c r="AV8" s="187">
        <v>245.30612244897966</v>
      </c>
      <c r="AW8" s="378">
        <f t="shared" si="6"/>
        <v>1</v>
      </c>
      <c r="AX8" s="629"/>
      <c r="AZ8" s="381" t="e">
        <f>RANK(AX8, $K$7:AX$36)</f>
        <v>#N/A</v>
      </c>
      <c r="BB8" s="378" t="e">
        <f t="shared" si="7"/>
        <v>#N/A</v>
      </c>
    </row>
    <row r="9" spans="1:54" ht="14.25">
      <c r="A9" s="81"/>
      <c r="B9" s="598"/>
      <c r="C9" s="330">
        <v>3</v>
      </c>
      <c r="D9" s="231" t="s">
        <v>387</v>
      </c>
      <c r="E9" s="187">
        <v>18</v>
      </c>
      <c r="F9" s="378">
        <v>1500</v>
      </c>
      <c r="G9" s="379">
        <v>83.333333333333329</v>
      </c>
      <c r="H9" s="633"/>
      <c r="I9" s="204">
        <f t="shared" si="8"/>
        <v>18</v>
      </c>
      <c r="J9" s="204">
        <f t="shared" si="8"/>
        <v>1295.0516530864193</v>
      </c>
      <c r="K9" s="205">
        <f t="shared" si="8"/>
        <v>71.947314060356618</v>
      </c>
      <c r="L9" s="572"/>
      <c r="M9" s="206">
        <f>RANK(K9, K$7:$K$36)</f>
        <v>17</v>
      </c>
      <c r="N9" s="590"/>
      <c r="O9" s="590"/>
      <c r="P9" s="187">
        <v>18</v>
      </c>
      <c r="Q9" s="187">
        <v>1316.8750000000002</v>
      </c>
      <c r="R9" s="187">
        <v>73.159722222222229</v>
      </c>
      <c r="S9" s="378">
        <f t="shared" si="0"/>
        <v>17</v>
      </c>
      <c r="T9" s="629"/>
      <c r="U9" s="187">
        <v>18</v>
      </c>
      <c r="V9" s="187">
        <v>1310</v>
      </c>
      <c r="W9" s="187">
        <v>72.777777777777771</v>
      </c>
      <c r="X9" s="378">
        <f t="shared" si="1"/>
        <v>18</v>
      </c>
      <c r="Y9" s="629"/>
      <c r="Z9" s="187">
        <v>18</v>
      </c>
      <c r="AA9" s="187">
        <v>1283.5955056179776</v>
      </c>
      <c r="AB9" s="187">
        <v>71.31086142322097</v>
      </c>
      <c r="AC9" s="378">
        <f t="shared" si="2"/>
        <v>19</v>
      </c>
      <c r="AD9" s="629"/>
      <c r="AE9" s="187">
        <v>18</v>
      </c>
      <c r="AF9" s="187">
        <v>1287.5675675675679</v>
      </c>
      <c r="AG9" s="187">
        <v>71.531531531531556</v>
      </c>
      <c r="AH9" s="378">
        <f t="shared" si="3"/>
        <v>17</v>
      </c>
      <c r="AI9" s="629"/>
      <c r="AJ9" s="187">
        <v>18</v>
      </c>
      <c r="AK9" s="187">
        <v>1314.2465753424658</v>
      </c>
      <c r="AL9" s="187">
        <v>73.013698630136986</v>
      </c>
      <c r="AM9" s="378">
        <f t="shared" si="4"/>
        <v>15</v>
      </c>
      <c r="AN9" s="629"/>
      <c r="AO9" s="187">
        <v>18</v>
      </c>
      <c r="AP9" s="187">
        <v>1293.0769230769238</v>
      </c>
      <c r="AQ9" s="187">
        <v>71.83760683760687</v>
      </c>
      <c r="AR9" s="378">
        <f t="shared" si="5"/>
        <v>18</v>
      </c>
      <c r="AS9" s="629"/>
      <c r="AT9" s="187">
        <v>18</v>
      </c>
      <c r="AU9" s="187">
        <v>1259.9999999999995</v>
      </c>
      <c r="AV9" s="187">
        <v>69.999999999999972</v>
      </c>
      <c r="AW9" s="378">
        <f t="shared" si="6"/>
        <v>19</v>
      </c>
      <c r="AX9" s="629"/>
      <c r="AZ9" s="381" t="e">
        <f>RANK(AX9, $K$7:AX$36)</f>
        <v>#N/A</v>
      </c>
      <c r="BB9" s="378" t="e">
        <f t="shared" si="7"/>
        <v>#N/A</v>
      </c>
    </row>
    <row r="10" spans="1:54" ht="14.25">
      <c r="A10" s="81"/>
      <c r="B10" s="598"/>
      <c r="C10" s="330">
        <v>4</v>
      </c>
      <c r="D10" s="231" t="s">
        <v>359</v>
      </c>
      <c r="E10" s="187">
        <v>21</v>
      </c>
      <c r="F10" s="378">
        <v>1500</v>
      </c>
      <c r="G10" s="379">
        <v>71.428571428571431</v>
      </c>
      <c r="H10" s="633"/>
      <c r="I10" s="204">
        <f t="shared" si="8"/>
        <v>20.285714285714285</v>
      </c>
      <c r="J10" s="204">
        <f t="shared" si="8"/>
        <v>1223.3819132172653</v>
      </c>
      <c r="K10" s="205">
        <f t="shared" si="8"/>
        <v>60.351149434753765</v>
      </c>
      <c r="L10" s="572"/>
      <c r="M10" s="206">
        <f>RANK(K10, K$7:$K$36)</f>
        <v>24</v>
      </c>
      <c r="N10" s="590"/>
      <c r="O10" s="590"/>
      <c r="P10" s="187">
        <v>20</v>
      </c>
      <c r="Q10" s="187">
        <v>1282.0000000000014</v>
      </c>
      <c r="R10" s="187">
        <v>64.100000000000065</v>
      </c>
      <c r="S10" s="378">
        <f t="shared" si="0"/>
        <v>23</v>
      </c>
      <c r="T10" s="629"/>
      <c r="U10" s="187">
        <v>21</v>
      </c>
      <c r="V10" s="187">
        <v>1204.761904761906</v>
      </c>
      <c r="W10" s="187">
        <v>57.369614512471713</v>
      </c>
      <c r="X10" s="378">
        <f t="shared" si="1"/>
        <v>24</v>
      </c>
      <c r="Y10" s="629"/>
      <c r="Z10" s="187">
        <v>20</v>
      </c>
      <c r="AA10" s="187">
        <v>1221.3559322033909</v>
      </c>
      <c r="AB10" s="187">
        <v>61.067796610169545</v>
      </c>
      <c r="AC10" s="378">
        <f t="shared" si="2"/>
        <v>24</v>
      </c>
      <c r="AD10" s="629"/>
      <c r="AE10" s="187">
        <v>20</v>
      </c>
      <c r="AF10" s="187">
        <v>1231.1111111111118</v>
      </c>
      <c r="AG10" s="187">
        <v>61.555555555555586</v>
      </c>
      <c r="AH10" s="378">
        <f t="shared" si="3"/>
        <v>24</v>
      </c>
      <c r="AI10" s="629"/>
      <c r="AJ10" s="187">
        <v>20</v>
      </c>
      <c r="AK10" s="187">
        <v>1184.444444444445</v>
      </c>
      <c r="AL10" s="187">
        <v>59.22222222222225</v>
      </c>
      <c r="AM10" s="378">
        <f t="shared" si="4"/>
        <v>23</v>
      </c>
      <c r="AN10" s="629"/>
      <c r="AO10" s="187">
        <v>21</v>
      </c>
      <c r="AP10" s="187">
        <v>1200.0000000000009</v>
      </c>
      <c r="AQ10" s="187">
        <v>57.142857142857189</v>
      </c>
      <c r="AR10" s="378">
        <f t="shared" si="5"/>
        <v>23</v>
      </c>
      <c r="AS10" s="629"/>
      <c r="AT10" s="187">
        <v>20</v>
      </c>
      <c r="AU10" s="187">
        <v>1240.0000000000014</v>
      </c>
      <c r="AV10" s="187">
        <v>62.000000000000071</v>
      </c>
      <c r="AW10" s="378">
        <f t="shared" si="6"/>
        <v>24</v>
      </c>
      <c r="AX10" s="629"/>
      <c r="AZ10" s="381" t="e">
        <f>RANK(AX10, $K$7:AX$36)</f>
        <v>#N/A</v>
      </c>
      <c r="BB10" s="378" t="e">
        <f t="shared" si="7"/>
        <v>#N/A</v>
      </c>
    </row>
    <row r="11" spans="1:54" ht="14.25">
      <c r="A11" s="81"/>
      <c r="B11" s="598"/>
      <c r="C11" s="330">
        <v>5</v>
      </c>
      <c r="D11" s="231" t="s">
        <v>428</v>
      </c>
      <c r="E11" s="187">
        <v>19</v>
      </c>
      <c r="F11" s="378">
        <v>1500</v>
      </c>
      <c r="G11" s="379">
        <v>78.94736842105263</v>
      </c>
      <c r="H11" s="633"/>
      <c r="I11" s="204">
        <f t="shared" si="8"/>
        <v>19</v>
      </c>
      <c r="J11" s="204">
        <f t="shared" si="8"/>
        <v>1256.6960657202519</v>
      </c>
      <c r="K11" s="205">
        <f t="shared" si="8"/>
        <v>66.141898195802725</v>
      </c>
      <c r="L11" s="572"/>
      <c r="M11" s="206">
        <f>RANK(K11, K$7:$K$36)</f>
        <v>22</v>
      </c>
      <c r="N11" s="590"/>
      <c r="O11" s="590"/>
      <c r="P11" s="187">
        <v>19</v>
      </c>
      <c r="Q11" s="187">
        <v>1298.823529411763</v>
      </c>
      <c r="R11" s="187">
        <v>68.359133126934893</v>
      </c>
      <c r="S11" s="378">
        <f t="shared" si="0"/>
        <v>20</v>
      </c>
      <c r="T11" s="629"/>
      <c r="U11" s="187">
        <v>19</v>
      </c>
      <c r="V11" s="187">
        <v>1274.5454545454559</v>
      </c>
      <c r="W11" s="187">
        <v>67.081339712918734</v>
      </c>
      <c r="X11" s="378">
        <f t="shared" si="1"/>
        <v>22</v>
      </c>
      <c r="Y11" s="629"/>
      <c r="Z11" s="187">
        <v>19</v>
      </c>
      <c r="AA11" s="187">
        <v>1246.0000000000011</v>
      </c>
      <c r="AB11" s="187">
        <v>65.578947368421112</v>
      </c>
      <c r="AC11" s="378">
        <f t="shared" si="2"/>
        <v>22</v>
      </c>
      <c r="AD11" s="629"/>
      <c r="AE11" s="187">
        <v>19</v>
      </c>
      <c r="AF11" s="187">
        <v>1274.4827586206907</v>
      </c>
      <c r="AG11" s="187">
        <v>67.078039927404774</v>
      </c>
      <c r="AH11" s="378">
        <f t="shared" si="3"/>
        <v>21</v>
      </c>
      <c r="AI11" s="629"/>
      <c r="AJ11" s="187">
        <v>19</v>
      </c>
      <c r="AK11" s="187">
        <v>1282.758620689656</v>
      </c>
      <c r="AL11" s="187">
        <v>67.513611615245054</v>
      </c>
      <c r="AM11" s="378">
        <f t="shared" si="4"/>
        <v>21</v>
      </c>
      <c r="AN11" s="629"/>
      <c r="AO11" s="187">
        <v>19</v>
      </c>
      <c r="AP11" s="187">
        <v>1111.8750000000014</v>
      </c>
      <c r="AQ11" s="187">
        <v>58.519736842105338</v>
      </c>
      <c r="AR11" s="378">
        <f t="shared" si="5"/>
        <v>22</v>
      </c>
      <c r="AS11" s="629"/>
      <c r="AT11" s="187">
        <v>19</v>
      </c>
      <c r="AU11" s="187">
        <v>1308.3870967741948</v>
      </c>
      <c r="AV11" s="187">
        <v>68.862478777589203</v>
      </c>
      <c r="AW11" s="378">
        <f t="shared" si="6"/>
        <v>20</v>
      </c>
      <c r="AX11" s="629"/>
      <c r="AZ11" s="381" t="e">
        <f>RANK(AX11, $K$7:AX$36)</f>
        <v>#N/A</v>
      </c>
      <c r="BB11" s="378" t="e">
        <f t="shared" si="7"/>
        <v>#N/A</v>
      </c>
    </row>
    <row r="12" spans="1:54" ht="14.25">
      <c r="A12" s="81"/>
      <c r="B12" s="598"/>
      <c r="C12" s="330">
        <v>6</v>
      </c>
      <c r="D12" s="231" t="s">
        <v>357</v>
      </c>
      <c r="E12" s="187">
        <v>17</v>
      </c>
      <c r="F12" s="378">
        <v>1500</v>
      </c>
      <c r="G12" s="379">
        <v>88.235294117647058</v>
      </c>
      <c r="H12" s="633"/>
      <c r="I12" s="204">
        <f t="shared" si="8"/>
        <v>17</v>
      </c>
      <c r="J12" s="204">
        <f t="shared" si="8"/>
        <v>1338.0623391738318</v>
      </c>
      <c r="K12" s="205">
        <f t="shared" si="8"/>
        <v>78.709549363166573</v>
      </c>
      <c r="L12" s="572"/>
      <c r="M12" s="206">
        <f>RANK(K12, K$7:$K$36)</f>
        <v>7</v>
      </c>
      <c r="N12" s="590"/>
      <c r="O12" s="590"/>
      <c r="P12" s="187">
        <v>17</v>
      </c>
      <c r="Q12" s="187">
        <v>1335.0000000000011</v>
      </c>
      <c r="R12" s="187">
        <v>78.529411764705955</v>
      </c>
      <c r="S12" s="378">
        <f t="shared" si="0"/>
        <v>5</v>
      </c>
      <c r="T12" s="629"/>
      <c r="U12" s="187">
        <v>17</v>
      </c>
      <c r="V12" s="187">
        <v>1357.3584905660387</v>
      </c>
      <c r="W12" s="187">
        <v>79.844617092119918</v>
      </c>
      <c r="X12" s="378">
        <f t="shared" si="1"/>
        <v>8</v>
      </c>
      <c r="Y12" s="629"/>
      <c r="Z12" s="187">
        <v>17</v>
      </c>
      <c r="AA12" s="187">
        <v>1355.7692307692314</v>
      </c>
      <c r="AB12" s="187">
        <v>79.75113122171949</v>
      </c>
      <c r="AC12" s="378">
        <f t="shared" si="2"/>
        <v>5</v>
      </c>
      <c r="AD12" s="629"/>
      <c r="AE12" s="187">
        <v>17</v>
      </c>
      <c r="AF12" s="187">
        <v>1317.5510204081636</v>
      </c>
      <c r="AG12" s="187">
        <v>77.503001200480213</v>
      </c>
      <c r="AH12" s="378">
        <f t="shared" si="3"/>
        <v>7</v>
      </c>
      <c r="AI12" s="629"/>
      <c r="AJ12" s="187">
        <v>17</v>
      </c>
      <c r="AK12" s="187">
        <v>1337.872340425532</v>
      </c>
      <c r="AL12" s="187">
        <v>78.698372966207771</v>
      </c>
      <c r="AM12" s="378">
        <f t="shared" si="4"/>
        <v>7</v>
      </c>
      <c r="AN12" s="629"/>
      <c r="AO12" s="187">
        <v>17</v>
      </c>
      <c r="AP12" s="187">
        <v>1340.8163265306125</v>
      </c>
      <c r="AQ12" s="187">
        <v>78.871548619447793</v>
      </c>
      <c r="AR12" s="378">
        <f t="shared" si="5"/>
        <v>7</v>
      </c>
      <c r="AS12" s="629"/>
      <c r="AT12" s="187">
        <v>17</v>
      </c>
      <c r="AU12" s="187">
        <v>1322.0689655172423</v>
      </c>
      <c r="AV12" s="187">
        <v>77.768762677484844</v>
      </c>
      <c r="AW12" s="378">
        <f t="shared" si="6"/>
        <v>6</v>
      </c>
      <c r="AX12" s="629"/>
      <c r="AZ12" s="381" t="e">
        <f>RANK(AX12, $K$7:AX$36)</f>
        <v>#N/A</v>
      </c>
      <c r="BB12" s="378" t="e">
        <f t="shared" si="7"/>
        <v>#N/A</v>
      </c>
    </row>
    <row r="13" spans="1:54" ht="14.25">
      <c r="A13" s="81"/>
      <c r="B13" s="598"/>
      <c r="C13" s="330">
        <v>7</v>
      </c>
      <c r="D13" s="231" t="s">
        <v>394</v>
      </c>
      <c r="E13" s="187">
        <v>17</v>
      </c>
      <c r="F13" s="378">
        <v>1565</v>
      </c>
      <c r="G13" s="379">
        <v>92.058823529411768</v>
      </c>
      <c r="H13" s="633"/>
      <c r="I13" s="204">
        <f t="shared" si="8"/>
        <v>17</v>
      </c>
      <c r="J13" s="204">
        <f t="shared" si="8"/>
        <v>1400.3823660018413</v>
      </c>
      <c r="K13" s="205">
        <f t="shared" si="8"/>
        <v>82.375433294225942</v>
      </c>
      <c r="L13" s="572"/>
      <c r="M13" s="206">
        <f>RANK(K13, K$7:$K$36)</f>
        <v>4</v>
      </c>
      <c r="N13" s="590"/>
      <c r="O13" s="590"/>
      <c r="P13" s="187">
        <v>17</v>
      </c>
      <c r="Q13" s="187">
        <v>1408.2352941176468</v>
      </c>
      <c r="R13" s="187">
        <v>82.837370242214519</v>
      </c>
      <c r="S13" s="378">
        <f t="shared" si="0"/>
        <v>3</v>
      </c>
      <c r="T13" s="629"/>
      <c r="U13" s="187">
        <v>17</v>
      </c>
      <c r="V13" s="187">
        <v>1423.703703703703</v>
      </c>
      <c r="W13" s="187">
        <v>83.747276688453113</v>
      </c>
      <c r="X13" s="378">
        <f t="shared" si="1"/>
        <v>4</v>
      </c>
      <c r="Y13" s="629"/>
      <c r="Z13" s="187">
        <v>17</v>
      </c>
      <c r="AA13" s="187">
        <v>1409.2105263157885</v>
      </c>
      <c r="AB13" s="187">
        <v>82.894736842105203</v>
      </c>
      <c r="AC13" s="378">
        <f t="shared" si="2"/>
        <v>4</v>
      </c>
      <c r="AD13" s="629"/>
      <c r="AE13" s="187">
        <v>17</v>
      </c>
      <c r="AF13" s="187">
        <v>1395.211267605634</v>
      </c>
      <c r="AG13" s="187">
        <v>82.071251035625536</v>
      </c>
      <c r="AH13" s="378">
        <f t="shared" si="3"/>
        <v>4</v>
      </c>
      <c r="AI13" s="629"/>
      <c r="AJ13" s="187">
        <v>17</v>
      </c>
      <c r="AK13" s="187">
        <v>1392.5373134328358</v>
      </c>
      <c r="AL13" s="187">
        <v>81.913959613696221</v>
      </c>
      <c r="AM13" s="378">
        <f t="shared" si="4"/>
        <v>4</v>
      </c>
      <c r="AN13" s="629"/>
      <c r="AO13" s="187">
        <v>17</v>
      </c>
      <c r="AP13" s="187">
        <v>1383.8961038961045</v>
      </c>
      <c r="AQ13" s="187">
        <v>81.405653170359088</v>
      </c>
      <c r="AR13" s="378">
        <f t="shared" si="5"/>
        <v>5</v>
      </c>
      <c r="AS13" s="629"/>
      <c r="AT13" s="187">
        <v>17</v>
      </c>
      <c r="AU13" s="187">
        <v>1389.8823529411761</v>
      </c>
      <c r="AV13" s="187">
        <v>81.757785467128002</v>
      </c>
      <c r="AW13" s="378">
        <f t="shared" si="6"/>
        <v>4</v>
      </c>
      <c r="AX13" s="629"/>
      <c r="AZ13" s="381" t="e">
        <f>RANK(AX13, $K$7:AX$36)</f>
        <v>#N/A</v>
      </c>
      <c r="BB13" s="378" t="e">
        <f t="shared" si="7"/>
        <v>#N/A</v>
      </c>
    </row>
    <row r="14" spans="1:54" ht="14.25">
      <c r="A14" s="81"/>
      <c r="B14" s="598"/>
      <c r="C14" s="330">
        <v>8</v>
      </c>
      <c r="D14" s="231" t="s">
        <v>346</v>
      </c>
      <c r="E14" s="187">
        <v>16</v>
      </c>
      <c r="F14" s="378">
        <v>1440</v>
      </c>
      <c r="G14" s="379">
        <v>90</v>
      </c>
      <c r="H14" s="633"/>
      <c r="I14" s="204">
        <f t="shared" si="8"/>
        <v>16.142857142857142</v>
      </c>
      <c r="J14" s="204">
        <f t="shared" si="8"/>
        <v>1285.8100649350636</v>
      </c>
      <c r="K14" s="205">
        <f t="shared" si="8"/>
        <v>79.677729898777599</v>
      </c>
      <c r="L14" s="572"/>
      <c r="M14" s="206">
        <f>RANK(K14, K$7:$K$36)</f>
        <v>5</v>
      </c>
      <c r="N14" s="590"/>
      <c r="O14" s="590"/>
      <c r="P14" s="187">
        <v>17</v>
      </c>
      <c r="Q14" s="187">
        <v>1304.9999999999995</v>
      </c>
      <c r="R14" s="187">
        <v>76.764705882352914</v>
      </c>
      <c r="S14" s="378">
        <f t="shared" si="0"/>
        <v>10</v>
      </c>
      <c r="T14" s="629"/>
      <c r="U14" s="187">
        <v>16</v>
      </c>
      <c r="V14" s="187">
        <v>1301.1428571428557</v>
      </c>
      <c r="W14" s="187">
        <v>81.321428571428484</v>
      </c>
      <c r="X14" s="378">
        <f t="shared" si="1"/>
        <v>5</v>
      </c>
      <c r="Y14" s="629"/>
      <c r="Z14" s="187">
        <v>16</v>
      </c>
      <c r="AA14" s="187">
        <v>1267.2727272727257</v>
      </c>
      <c r="AB14" s="187">
        <v>79.204545454545354</v>
      </c>
      <c r="AC14" s="378">
        <f t="shared" si="2"/>
        <v>8</v>
      </c>
      <c r="AD14" s="629"/>
      <c r="AE14" s="187">
        <v>16</v>
      </c>
      <c r="AF14" s="187">
        <v>1267.2727272727257</v>
      </c>
      <c r="AG14" s="187">
        <v>79.204545454545354</v>
      </c>
      <c r="AH14" s="378">
        <f t="shared" si="3"/>
        <v>5</v>
      </c>
      <c r="AI14" s="629"/>
      <c r="AJ14" s="187">
        <v>16</v>
      </c>
      <c r="AK14" s="187">
        <v>1274.9999999999982</v>
      </c>
      <c r="AL14" s="187">
        <v>79.687499999999886</v>
      </c>
      <c r="AM14" s="378">
        <f t="shared" si="4"/>
        <v>6</v>
      </c>
      <c r="AN14" s="629"/>
      <c r="AO14" s="187">
        <v>16</v>
      </c>
      <c r="AP14" s="187">
        <v>1318.1249999999982</v>
      </c>
      <c r="AQ14" s="187">
        <v>82.382812499999886</v>
      </c>
      <c r="AR14" s="378">
        <f t="shared" si="5"/>
        <v>4</v>
      </c>
      <c r="AS14" s="629"/>
      <c r="AT14" s="187">
        <v>16</v>
      </c>
      <c r="AU14" s="187">
        <v>1266.8571428571415</v>
      </c>
      <c r="AV14" s="187">
        <v>79.178571428571345</v>
      </c>
      <c r="AW14" s="378">
        <f t="shared" si="6"/>
        <v>5</v>
      </c>
      <c r="AX14" s="629"/>
      <c r="AZ14" s="381" t="e">
        <f>RANK(AX14, $K$7:AX$36)</f>
        <v>#N/A</v>
      </c>
      <c r="BB14" s="378" t="e">
        <f t="shared" si="7"/>
        <v>#N/A</v>
      </c>
    </row>
    <row r="15" spans="1:54" ht="14.25">
      <c r="A15" s="81"/>
      <c r="B15" s="598"/>
      <c r="C15" s="330">
        <v>9</v>
      </c>
      <c r="D15" s="231" t="s">
        <v>393</v>
      </c>
      <c r="E15" s="187">
        <v>17</v>
      </c>
      <c r="F15" s="378">
        <v>1440</v>
      </c>
      <c r="G15" s="379">
        <v>84.705882352941174</v>
      </c>
      <c r="H15" s="633"/>
      <c r="I15" s="204">
        <f t="shared" si="8"/>
        <v>17</v>
      </c>
      <c r="J15" s="204">
        <f t="shared" si="8"/>
        <v>1279.1066475590885</v>
      </c>
      <c r="K15" s="205">
        <f t="shared" si="8"/>
        <v>75.241567503475807</v>
      </c>
      <c r="L15" s="572"/>
      <c r="M15" s="206">
        <f>RANK(K15, K$7:$K$36)</f>
        <v>13</v>
      </c>
      <c r="N15" s="590"/>
      <c r="O15" s="590"/>
      <c r="P15" s="187">
        <v>17</v>
      </c>
      <c r="Q15" s="187">
        <v>1304.7272727272737</v>
      </c>
      <c r="R15" s="187">
        <v>76.748663101604336</v>
      </c>
      <c r="S15" s="378">
        <f t="shared" si="0"/>
        <v>11</v>
      </c>
      <c r="T15" s="629"/>
      <c r="U15" s="187">
        <v>17</v>
      </c>
      <c r="V15" s="187">
        <v>1245.5555555555561</v>
      </c>
      <c r="W15" s="187">
        <v>73.267973856209181</v>
      </c>
      <c r="X15" s="378">
        <f t="shared" si="1"/>
        <v>15</v>
      </c>
      <c r="Y15" s="629"/>
      <c r="Z15" s="187">
        <v>17</v>
      </c>
      <c r="AA15" s="187">
        <v>1275.0000000000005</v>
      </c>
      <c r="AB15" s="187">
        <v>75.000000000000028</v>
      </c>
      <c r="AC15" s="378">
        <f t="shared" si="2"/>
        <v>15</v>
      </c>
      <c r="AD15" s="629"/>
      <c r="AE15" s="187">
        <v>17</v>
      </c>
      <c r="AF15" s="187">
        <v>1256.2500000000005</v>
      </c>
      <c r="AG15" s="187">
        <v>73.897058823529434</v>
      </c>
      <c r="AH15" s="378">
        <f t="shared" si="3"/>
        <v>16</v>
      </c>
      <c r="AI15" s="629"/>
      <c r="AJ15" s="187">
        <v>17</v>
      </c>
      <c r="AK15" s="187">
        <v>1309.7872340425533</v>
      </c>
      <c r="AL15" s="187">
        <v>77.046307884856077</v>
      </c>
      <c r="AM15" s="378">
        <f t="shared" si="4"/>
        <v>9</v>
      </c>
      <c r="AN15" s="629"/>
      <c r="AO15" s="187">
        <v>17</v>
      </c>
      <c r="AP15" s="187">
        <v>1281.2500000000002</v>
      </c>
      <c r="AQ15" s="187">
        <v>75.367647058823536</v>
      </c>
      <c r="AR15" s="378">
        <f t="shared" si="5"/>
        <v>11</v>
      </c>
      <c r="AS15" s="629"/>
      <c r="AT15" s="187">
        <v>17</v>
      </c>
      <c r="AU15" s="187">
        <v>1281.1764705882358</v>
      </c>
      <c r="AV15" s="187">
        <v>75.363321799307982</v>
      </c>
      <c r="AW15" s="378">
        <f t="shared" si="6"/>
        <v>12</v>
      </c>
      <c r="AX15" s="629"/>
      <c r="AZ15" s="381" t="e">
        <f>RANK(AX15, $K$7:AX$36)</f>
        <v>#N/A</v>
      </c>
      <c r="BB15" s="378" t="e">
        <f t="shared" si="7"/>
        <v>#N/A</v>
      </c>
    </row>
    <row r="16" spans="1:54" ht="14.25">
      <c r="A16" s="81"/>
      <c r="B16" s="598"/>
      <c r="C16" s="330">
        <v>10</v>
      </c>
      <c r="D16" s="231" t="s">
        <v>662</v>
      </c>
      <c r="E16" s="187">
        <v>17</v>
      </c>
      <c r="F16" s="378">
        <v>1500</v>
      </c>
      <c r="G16" s="379">
        <v>88.235294117647058</v>
      </c>
      <c r="H16" s="633"/>
      <c r="I16" s="204">
        <f t="shared" si="8"/>
        <v>17</v>
      </c>
      <c r="J16" s="204">
        <f t="shared" si="8"/>
        <v>1313.7920389879473</v>
      </c>
      <c r="K16" s="205">
        <f t="shared" si="8"/>
        <v>77.281884646349823</v>
      </c>
      <c r="L16" s="572"/>
      <c r="M16" s="206">
        <f>RANK(K16, K$7:$K$36)</f>
        <v>8</v>
      </c>
      <c r="N16" s="590"/>
      <c r="O16" s="590"/>
      <c r="P16" s="187">
        <v>17</v>
      </c>
      <c r="Q16" s="187">
        <v>1306.2295081967209</v>
      </c>
      <c r="R16" s="187">
        <v>76.83702989392475</v>
      </c>
      <c r="S16" s="378">
        <f t="shared" si="0"/>
        <v>9</v>
      </c>
      <c r="T16" s="629"/>
      <c r="U16" s="187">
        <v>17</v>
      </c>
      <c r="V16" s="187">
        <v>1307.4193548387093</v>
      </c>
      <c r="W16" s="187">
        <v>76.907020872865246</v>
      </c>
      <c r="X16" s="378">
        <f t="shared" si="1"/>
        <v>10</v>
      </c>
      <c r="Y16" s="629"/>
      <c r="Z16" s="187">
        <v>17</v>
      </c>
      <c r="AA16" s="187">
        <v>1350.0000000000007</v>
      </c>
      <c r="AB16" s="187">
        <v>79.411764705882391</v>
      </c>
      <c r="AC16" s="378">
        <f t="shared" si="2"/>
        <v>7</v>
      </c>
      <c r="AD16" s="629"/>
      <c r="AE16" s="187">
        <v>17</v>
      </c>
      <c r="AF16" s="187">
        <v>1310.8695652173915</v>
      </c>
      <c r="AG16" s="187">
        <v>77.109974424552433</v>
      </c>
      <c r="AH16" s="378">
        <f t="shared" si="3"/>
        <v>8</v>
      </c>
      <c r="AI16" s="629"/>
      <c r="AJ16" s="187">
        <v>17</v>
      </c>
      <c r="AK16" s="187">
        <v>1334.3478260869565</v>
      </c>
      <c r="AL16" s="187">
        <v>78.491048593350385</v>
      </c>
      <c r="AM16" s="378">
        <f t="shared" si="4"/>
        <v>8</v>
      </c>
      <c r="AN16" s="629"/>
      <c r="AO16" s="187">
        <v>17</v>
      </c>
      <c r="AP16" s="187">
        <v>1292.9411764705887</v>
      </c>
      <c r="AQ16" s="187">
        <v>76.055363321799334</v>
      </c>
      <c r="AR16" s="378">
        <f t="shared" si="5"/>
        <v>9</v>
      </c>
      <c r="AS16" s="629"/>
      <c r="AT16" s="187">
        <v>17</v>
      </c>
      <c r="AU16" s="187">
        <v>1294.7368421052624</v>
      </c>
      <c r="AV16" s="187">
        <v>76.160990712074266</v>
      </c>
      <c r="AW16" s="378">
        <f t="shared" si="6"/>
        <v>11</v>
      </c>
      <c r="AX16" s="629"/>
      <c r="AZ16" s="381" t="e">
        <f>RANK(AX16, $K$7:AX$36)</f>
        <v>#N/A</v>
      </c>
      <c r="BB16" s="378" t="e">
        <f t="shared" si="7"/>
        <v>#N/A</v>
      </c>
    </row>
    <row r="17" spans="2:54">
      <c r="B17" s="598"/>
      <c r="C17" s="330">
        <v>11</v>
      </c>
      <c r="D17" s="231" t="s">
        <v>389</v>
      </c>
      <c r="E17" s="187">
        <v>18</v>
      </c>
      <c r="F17" s="378">
        <v>1440</v>
      </c>
      <c r="G17" s="379">
        <v>80</v>
      </c>
      <c r="H17" s="633"/>
      <c r="I17" s="204">
        <f t="shared" si="8"/>
        <v>16</v>
      </c>
      <c r="J17" s="204">
        <f t="shared" si="8"/>
        <v>1179.8540668932603</v>
      </c>
      <c r="K17" s="205">
        <f t="shared" si="8"/>
        <v>73.74087918082877</v>
      </c>
      <c r="L17" s="572"/>
      <c r="M17" s="206">
        <f>RANK(K17, K$7:$K$36)</f>
        <v>16</v>
      </c>
      <c r="N17" s="590"/>
      <c r="O17" s="590"/>
      <c r="P17" s="187">
        <v>16</v>
      </c>
      <c r="Q17" s="187">
        <v>1201.2000000000005</v>
      </c>
      <c r="R17" s="187">
        <v>75.075000000000031</v>
      </c>
      <c r="S17" s="378">
        <f t="shared" si="0"/>
        <v>14</v>
      </c>
      <c r="T17" s="629"/>
      <c r="U17" s="187">
        <v>16</v>
      </c>
      <c r="V17" s="187">
        <v>1167.6000000000004</v>
      </c>
      <c r="W17" s="187">
        <v>72.975000000000023</v>
      </c>
      <c r="X17" s="378">
        <f t="shared" si="1"/>
        <v>16</v>
      </c>
      <c r="Y17" s="629"/>
      <c r="Z17" s="187">
        <v>16</v>
      </c>
      <c r="AA17" s="187">
        <v>1203.9130434782608</v>
      </c>
      <c r="AB17" s="187">
        <v>75.244565217391298</v>
      </c>
      <c r="AC17" s="378">
        <f t="shared" si="2"/>
        <v>12</v>
      </c>
      <c r="AD17" s="629"/>
      <c r="AE17" s="187">
        <v>16</v>
      </c>
      <c r="AF17" s="187">
        <v>1197.2093023255811</v>
      </c>
      <c r="AG17" s="187">
        <v>74.82558139534882</v>
      </c>
      <c r="AH17" s="378">
        <f t="shared" si="3"/>
        <v>11</v>
      </c>
      <c r="AI17" s="629"/>
      <c r="AJ17" s="187">
        <v>16</v>
      </c>
      <c r="AK17" s="187">
        <v>1162.0408163265308</v>
      </c>
      <c r="AL17" s="187">
        <v>72.627551020408177</v>
      </c>
      <c r="AM17" s="378">
        <f t="shared" si="4"/>
        <v>17</v>
      </c>
      <c r="AN17" s="629"/>
      <c r="AO17" s="187">
        <v>16</v>
      </c>
      <c r="AP17" s="187">
        <v>1163.7500000000005</v>
      </c>
      <c r="AQ17" s="187">
        <v>72.734375000000028</v>
      </c>
      <c r="AR17" s="378">
        <f t="shared" si="5"/>
        <v>17</v>
      </c>
      <c r="AS17" s="629"/>
      <c r="AT17" s="187">
        <v>16</v>
      </c>
      <c r="AU17" s="187">
        <v>1163.2653061224491</v>
      </c>
      <c r="AV17" s="187">
        <v>72.704081632653072</v>
      </c>
      <c r="AW17" s="378">
        <f t="shared" si="6"/>
        <v>16</v>
      </c>
      <c r="AX17" s="629"/>
      <c r="AZ17" s="381" t="e">
        <f>RANK(AX17, $K$7:AX$36)</f>
        <v>#N/A</v>
      </c>
      <c r="BB17" s="378" t="e">
        <f t="shared" si="7"/>
        <v>#N/A</v>
      </c>
    </row>
    <row r="18" spans="2:54">
      <c r="B18" s="598"/>
      <c r="C18" s="330">
        <v>12</v>
      </c>
      <c r="D18" s="231" t="s">
        <v>392</v>
      </c>
      <c r="E18" s="187">
        <v>20</v>
      </c>
      <c r="F18" s="378">
        <v>1636</v>
      </c>
      <c r="G18" s="379">
        <v>81.8</v>
      </c>
      <c r="H18" s="633"/>
      <c r="I18" s="204">
        <f t="shared" si="8"/>
        <v>19</v>
      </c>
      <c r="J18" s="204">
        <f t="shared" si="8"/>
        <v>1285.5163717788298</v>
      </c>
      <c r="K18" s="205">
        <f t="shared" si="8"/>
        <v>67.658756409412106</v>
      </c>
      <c r="L18" s="572"/>
      <c r="M18" s="206">
        <f>RANK(K18, K$7:$K$36)</f>
        <v>21</v>
      </c>
      <c r="N18" s="590"/>
      <c r="O18" s="590"/>
      <c r="P18" s="187">
        <v>19</v>
      </c>
      <c r="Q18" s="187">
        <v>1290.9890109890111</v>
      </c>
      <c r="R18" s="187">
        <v>67.946790052053217</v>
      </c>
      <c r="S18" s="378">
        <f t="shared" si="0"/>
        <v>21</v>
      </c>
      <c r="T18" s="629"/>
      <c r="U18" s="187">
        <v>19</v>
      </c>
      <c r="V18" s="187">
        <v>1300.7142857142851</v>
      </c>
      <c r="W18" s="187">
        <v>68.458646616541316</v>
      </c>
      <c r="X18" s="378">
        <f t="shared" si="1"/>
        <v>20</v>
      </c>
      <c r="Y18" s="629"/>
      <c r="Z18" s="187">
        <v>19</v>
      </c>
      <c r="AA18" s="187">
        <v>1284.4444444444441</v>
      </c>
      <c r="AB18" s="187">
        <v>67.602339181286538</v>
      </c>
      <c r="AC18" s="378">
        <f t="shared" si="2"/>
        <v>21</v>
      </c>
      <c r="AD18" s="629"/>
      <c r="AE18" s="187">
        <v>19</v>
      </c>
      <c r="AF18" s="187">
        <v>1272.5925925925922</v>
      </c>
      <c r="AG18" s="187">
        <v>66.978557504873265</v>
      </c>
      <c r="AH18" s="378">
        <f t="shared" si="3"/>
        <v>22</v>
      </c>
      <c r="AI18" s="629"/>
      <c r="AJ18" s="187">
        <v>19</v>
      </c>
      <c r="AK18" s="187">
        <v>1269.6296296296291</v>
      </c>
      <c r="AL18" s="187">
        <v>66.822612085769947</v>
      </c>
      <c r="AM18" s="378">
        <f t="shared" si="4"/>
        <v>22</v>
      </c>
      <c r="AN18" s="629"/>
      <c r="AO18" s="187">
        <v>19</v>
      </c>
      <c r="AP18" s="187">
        <v>1322.3376623376616</v>
      </c>
      <c r="AQ18" s="187">
        <v>69.596719070403239</v>
      </c>
      <c r="AR18" s="378">
        <f t="shared" si="5"/>
        <v>20</v>
      </c>
      <c r="AS18" s="629"/>
      <c r="AT18" s="187">
        <v>19</v>
      </c>
      <c r="AU18" s="187">
        <v>1257.9069767441858</v>
      </c>
      <c r="AV18" s="187">
        <v>66.205630354957151</v>
      </c>
      <c r="AW18" s="378">
        <f t="shared" si="6"/>
        <v>22</v>
      </c>
      <c r="AX18" s="629"/>
      <c r="AZ18" s="381" t="e">
        <f>RANK(AX18, $K$7:AX$36)</f>
        <v>#N/A</v>
      </c>
      <c r="BB18" s="378" t="e">
        <f t="shared" si="7"/>
        <v>#N/A</v>
      </c>
    </row>
    <row r="19" spans="2:54">
      <c r="B19" s="598"/>
      <c r="C19" s="330">
        <v>13</v>
      </c>
      <c r="D19" s="231" t="s">
        <v>391</v>
      </c>
      <c r="E19" s="187">
        <v>19</v>
      </c>
      <c r="F19" s="378">
        <v>1636</v>
      </c>
      <c r="G19" s="379">
        <v>86.10526315789474</v>
      </c>
      <c r="H19" s="633"/>
      <c r="I19" s="204">
        <f t="shared" si="8"/>
        <v>19</v>
      </c>
      <c r="J19" s="204">
        <f t="shared" si="8"/>
        <v>1291.1414264481282</v>
      </c>
      <c r="K19" s="205">
        <f t="shared" si="8"/>
        <v>67.954811918322534</v>
      </c>
      <c r="L19" s="572"/>
      <c r="M19" s="206">
        <f>RANK(K19, K$7:$K$36)</f>
        <v>20</v>
      </c>
      <c r="N19" s="590"/>
      <c r="O19" s="590"/>
      <c r="P19" s="187">
        <v>19</v>
      </c>
      <c r="Q19" s="187">
        <v>1278.0821917808209</v>
      </c>
      <c r="R19" s="187">
        <v>67.26748377793794</v>
      </c>
      <c r="S19" s="378">
        <f t="shared" si="0"/>
        <v>22</v>
      </c>
      <c r="T19" s="629"/>
      <c r="U19" s="187">
        <v>19</v>
      </c>
      <c r="V19" s="187">
        <v>1295.0769230769245</v>
      </c>
      <c r="W19" s="187">
        <v>68.16194331983813</v>
      </c>
      <c r="X19" s="378">
        <f t="shared" si="1"/>
        <v>21</v>
      </c>
      <c r="Y19" s="629"/>
      <c r="Z19" s="187">
        <v>19</v>
      </c>
      <c r="AA19" s="187">
        <v>1302.0000000000011</v>
      </c>
      <c r="AB19" s="187">
        <v>68.526315789473742</v>
      </c>
      <c r="AC19" s="378">
        <f t="shared" si="2"/>
        <v>20</v>
      </c>
      <c r="AD19" s="629"/>
      <c r="AE19" s="187">
        <v>19</v>
      </c>
      <c r="AF19" s="187">
        <v>1282.0000000000014</v>
      </c>
      <c r="AG19" s="187">
        <v>67.473684210526386</v>
      </c>
      <c r="AH19" s="378">
        <f t="shared" si="3"/>
        <v>20</v>
      </c>
      <c r="AI19" s="629"/>
      <c r="AJ19" s="187">
        <v>19</v>
      </c>
      <c r="AK19" s="187">
        <v>1314.0000000000011</v>
      </c>
      <c r="AL19" s="187">
        <v>69.157894736842167</v>
      </c>
      <c r="AM19" s="378">
        <f t="shared" si="4"/>
        <v>20</v>
      </c>
      <c r="AN19" s="629"/>
      <c r="AO19" s="187">
        <v>19</v>
      </c>
      <c r="AP19" s="187">
        <v>1262.0689655172423</v>
      </c>
      <c r="AQ19" s="187">
        <v>66.424682395644325</v>
      </c>
      <c r="AR19" s="378">
        <f t="shared" si="5"/>
        <v>21</v>
      </c>
      <c r="AS19" s="629"/>
      <c r="AT19" s="187">
        <v>19</v>
      </c>
      <c r="AU19" s="187">
        <v>1304.7619047619062</v>
      </c>
      <c r="AV19" s="187">
        <v>68.671679197995061</v>
      </c>
      <c r="AW19" s="378">
        <f t="shared" si="6"/>
        <v>21</v>
      </c>
      <c r="AX19" s="629"/>
      <c r="AZ19" s="381" t="e">
        <f>RANK(AX19, $K$7:AX$36)</f>
        <v>#N/A</v>
      </c>
      <c r="BB19" s="378" t="e">
        <f t="shared" si="7"/>
        <v>#N/A</v>
      </c>
    </row>
    <row r="20" spans="2:54">
      <c r="B20" s="598"/>
      <c r="C20" s="330">
        <v>14</v>
      </c>
      <c r="D20" s="231" t="s">
        <v>427</v>
      </c>
      <c r="E20" s="187">
        <v>20</v>
      </c>
      <c r="F20" s="378">
        <v>1500</v>
      </c>
      <c r="G20" s="379">
        <v>75</v>
      </c>
      <c r="H20" s="633"/>
      <c r="I20" s="204">
        <f t="shared" si="8"/>
        <v>20</v>
      </c>
      <c r="J20" s="204">
        <f t="shared" si="8"/>
        <v>1227.398214569474</v>
      </c>
      <c r="K20" s="205">
        <f t="shared" si="8"/>
        <v>61.369910728473705</v>
      </c>
      <c r="L20" s="572"/>
      <c r="M20" s="206">
        <f>RANK(K20, K$7:$K$36)</f>
        <v>23</v>
      </c>
      <c r="N20" s="590"/>
      <c r="O20" s="590"/>
      <c r="P20" s="187">
        <v>20</v>
      </c>
      <c r="Q20" s="187">
        <v>1237.4999999999982</v>
      </c>
      <c r="R20" s="187">
        <v>61.874999999999908</v>
      </c>
      <c r="S20" s="378">
        <f t="shared" si="0"/>
        <v>24</v>
      </c>
      <c r="T20" s="629"/>
      <c r="U20" s="187">
        <v>20</v>
      </c>
      <c r="V20" s="187">
        <v>1305.5172413793077</v>
      </c>
      <c r="W20" s="187">
        <v>65.275862068965381</v>
      </c>
      <c r="X20" s="378">
        <f t="shared" si="1"/>
        <v>23</v>
      </c>
      <c r="Y20" s="629"/>
      <c r="Z20" s="187">
        <v>20</v>
      </c>
      <c r="AA20" s="187">
        <v>1294.2857142857115</v>
      </c>
      <c r="AB20" s="187">
        <v>64.71428571428558</v>
      </c>
      <c r="AC20" s="378">
        <f t="shared" si="2"/>
        <v>23</v>
      </c>
      <c r="AD20" s="629"/>
      <c r="AE20" s="187">
        <v>20</v>
      </c>
      <c r="AF20" s="187">
        <v>1309.2857142857115</v>
      </c>
      <c r="AG20" s="187">
        <v>65.46428571428558</v>
      </c>
      <c r="AH20" s="378">
        <f t="shared" si="3"/>
        <v>23</v>
      </c>
      <c r="AI20" s="629"/>
      <c r="AJ20" s="187">
        <v>20</v>
      </c>
      <c r="AK20" s="187">
        <v>1091.2499999999984</v>
      </c>
      <c r="AL20" s="187">
        <v>54.562499999999922</v>
      </c>
      <c r="AM20" s="378">
        <f t="shared" si="4"/>
        <v>24</v>
      </c>
      <c r="AN20" s="629"/>
      <c r="AO20" s="187">
        <v>20</v>
      </c>
      <c r="AP20" s="187">
        <v>1086.2068965517219</v>
      </c>
      <c r="AQ20" s="187">
        <v>54.310344827586093</v>
      </c>
      <c r="AR20" s="378">
        <f t="shared" si="5"/>
        <v>24</v>
      </c>
      <c r="AS20" s="629"/>
      <c r="AT20" s="187">
        <v>20</v>
      </c>
      <c r="AU20" s="187">
        <v>1267.7419354838689</v>
      </c>
      <c r="AV20" s="187">
        <v>63.387096774193445</v>
      </c>
      <c r="AW20" s="378">
        <f t="shared" si="6"/>
        <v>23</v>
      </c>
      <c r="AX20" s="629"/>
      <c r="AZ20" s="381" t="e">
        <f>RANK(AX20, $K$7:AX$36)</f>
        <v>#N/A</v>
      </c>
      <c r="BB20" s="378" t="e">
        <f t="shared" si="7"/>
        <v>#N/A</v>
      </c>
    </row>
    <row r="21" spans="2:54">
      <c r="B21" s="598"/>
      <c r="C21" s="330">
        <v>15</v>
      </c>
      <c r="D21" s="231" t="s">
        <v>395</v>
      </c>
      <c r="E21" s="187">
        <v>18</v>
      </c>
      <c r="F21" s="378">
        <v>1500</v>
      </c>
      <c r="G21" s="379">
        <v>83.333333333333329</v>
      </c>
      <c r="H21" s="633"/>
      <c r="I21" s="204">
        <f t="shared" si="8"/>
        <v>17</v>
      </c>
      <c r="J21" s="204">
        <f t="shared" si="8"/>
        <v>1283.1997751283454</v>
      </c>
      <c r="K21" s="205">
        <f t="shared" si="8"/>
        <v>75.482339713432083</v>
      </c>
      <c r="L21" s="572"/>
      <c r="M21" s="204">
        <f>RANK(K21, K$7:$K$36)</f>
        <v>11</v>
      </c>
      <c r="N21" s="590"/>
      <c r="O21" s="590"/>
      <c r="P21" s="187">
        <v>17</v>
      </c>
      <c r="Q21" s="187">
        <v>1281.4285714285711</v>
      </c>
      <c r="R21" s="187">
        <v>75.378151260504183</v>
      </c>
      <c r="S21" s="378">
        <f t="shared" si="0"/>
        <v>13</v>
      </c>
      <c r="T21" s="629"/>
      <c r="U21" s="187">
        <v>17</v>
      </c>
      <c r="V21" s="187">
        <v>1272.3076923076917</v>
      </c>
      <c r="W21" s="187">
        <v>74.84162895927598</v>
      </c>
      <c r="X21" s="378">
        <f t="shared" si="1"/>
        <v>14</v>
      </c>
      <c r="Y21" s="629"/>
      <c r="Z21" s="187">
        <v>17</v>
      </c>
      <c r="AA21" s="187">
        <v>1271.2499999999982</v>
      </c>
      <c r="AB21" s="187">
        <v>74.77941176470577</v>
      </c>
      <c r="AC21" s="378">
        <f t="shared" si="2"/>
        <v>16</v>
      </c>
      <c r="AD21" s="629"/>
      <c r="AE21" s="187">
        <v>17</v>
      </c>
      <c r="AF21" s="187">
        <v>1286.2499999999982</v>
      </c>
      <c r="AG21" s="187">
        <v>75.661764705882248</v>
      </c>
      <c r="AH21" s="378">
        <f t="shared" si="3"/>
        <v>9</v>
      </c>
      <c r="AI21" s="629"/>
      <c r="AJ21" s="187">
        <v>17</v>
      </c>
      <c r="AK21" s="187">
        <v>1283.9999999999986</v>
      </c>
      <c r="AL21" s="187">
        <v>75.529411764705799</v>
      </c>
      <c r="AM21" s="378">
        <f t="shared" si="4"/>
        <v>11</v>
      </c>
      <c r="AN21" s="629"/>
      <c r="AO21" s="187">
        <v>17</v>
      </c>
      <c r="AP21" s="187">
        <v>1284.9999999999991</v>
      </c>
      <c r="AQ21" s="187">
        <v>75.588235294117595</v>
      </c>
      <c r="AR21" s="378">
        <f t="shared" si="5"/>
        <v>10</v>
      </c>
      <c r="AS21" s="629"/>
      <c r="AT21" s="187">
        <v>17</v>
      </c>
      <c r="AU21" s="187">
        <v>1302.1621621621612</v>
      </c>
      <c r="AV21" s="187">
        <v>76.597774244833005</v>
      </c>
      <c r="AW21" s="378">
        <f t="shared" si="6"/>
        <v>9</v>
      </c>
      <c r="AX21" s="629"/>
      <c r="AZ21" s="380" t="e">
        <f>RANK(AX21, $K$7:AX$36)</f>
        <v>#N/A</v>
      </c>
      <c r="BB21" s="378" t="e">
        <f t="shared" si="7"/>
        <v>#N/A</v>
      </c>
    </row>
    <row r="22" spans="2:54">
      <c r="B22" s="598"/>
      <c r="C22" s="330">
        <v>16</v>
      </c>
      <c r="D22" s="231" t="s">
        <v>361</v>
      </c>
      <c r="E22" s="187">
        <v>18</v>
      </c>
      <c r="F22" s="378">
        <v>1500</v>
      </c>
      <c r="G22" s="379">
        <v>83.333333333333329</v>
      </c>
      <c r="H22" s="633"/>
      <c r="I22" s="204">
        <f t="shared" si="8"/>
        <v>17</v>
      </c>
      <c r="J22" s="204">
        <f t="shared" si="8"/>
        <v>1280.088457407255</v>
      </c>
      <c r="K22" s="205">
        <f t="shared" si="8"/>
        <v>75.299321023956168</v>
      </c>
      <c r="L22" s="572"/>
      <c r="M22" s="204">
        <f>RANK(K22, K$7:$K$36)</f>
        <v>12</v>
      </c>
      <c r="N22" s="590"/>
      <c r="O22" s="590"/>
      <c r="P22" s="187">
        <v>17</v>
      </c>
      <c r="Q22" s="187">
        <v>1265.2631578947378</v>
      </c>
      <c r="R22" s="187">
        <v>74.4272445820434</v>
      </c>
      <c r="S22" s="378">
        <f t="shared" si="0"/>
        <v>15</v>
      </c>
      <c r="T22" s="629"/>
      <c r="U22" s="187">
        <v>17</v>
      </c>
      <c r="V22" s="187">
        <v>1309.6153846153852</v>
      </c>
      <c r="W22" s="187">
        <v>77.036199095022653</v>
      </c>
      <c r="X22" s="378">
        <f t="shared" si="1"/>
        <v>9</v>
      </c>
      <c r="Y22" s="629"/>
      <c r="Z22" s="187">
        <v>17</v>
      </c>
      <c r="AA22" s="187">
        <v>1299.6000000000004</v>
      </c>
      <c r="AB22" s="187">
        <v>76.447058823529431</v>
      </c>
      <c r="AC22" s="378">
        <f t="shared" si="2"/>
        <v>10</v>
      </c>
      <c r="AD22" s="629"/>
      <c r="AE22" s="187">
        <v>17</v>
      </c>
      <c r="AF22" s="187">
        <v>1260.0000000000005</v>
      </c>
      <c r="AG22" s="187">
        <v>74.11764705882355</v>
      </c>
      <c r="AH22" s="378">
        <f t="shared" si="3"/>
        <v>13</v>
      </c>
      <c r="AI22" s="629"/>
      <c r="AJ22" s="187">
        <v>17</v>
      </c>
      <c r="AK22" s="187">
        <v>1280.7692307692314</v>
      </c>
      <c r="AL22" s="187">
        <v>75.339366515837142</v>
      </c>
      <c r="AM22" s="378">
        <f t="shared" si="4"/>
        <v>12</v>
      </c>
      <c r="AN22" s="629"/>
      <c r="AO22" s="187">
        <v>17</v>
      </c>
      <c r="AP22" s="187">
        <v>1276.8000000000002</v>
      </c>
      <c r="AQ22" s="187">
        <v>75.105882352941194</v>
      </c>
      <c r="AR22" s="378">
        <f t="shared" si="5"/>
        <v>13</v>
      </c>
      <c r="AS22" s="629"/>
      <c r="AT22" s="187">
        <v>17</v>
      </c>
      <c r="AU22" s="187">
        <v>1268.5714285714296</v>
      </c>
      <c r="AV22" s="187">
        <v>74.62184873949586</v>
      </c>
      <c r="AW22" s="378">
        <f t="shared" si="6"/>
        <v>13</v>
      </c>
      <c r="AX22" s="629"/>
      <c r="AZ22" s="380" t="e">
        <f>RANK(AX22, $K$7:AX$36)</f>
        <v>#N/A</v>
      </c>
      <c r="BB22" s="378" t="e">
        <f t="shared" si="7"/>
        <v>#N/A</v>
      </c>
    </row>
    <row r="23" spans="2:54">
      <c r="B23" s="598"/>
      <c r="C23" s="330">
        <v>17</v>
      </c>
      <c r="D23" s="231" t="s">
        <v>396</v>
      </c>
      <c r="E23" s="187">
        <v>17</v>
      </c>
      <c r="F23" s="378">
        <v>1440</v>
      </c>
      <c r="G23" s="379">
        <v>84.705882352941174</v>
      </c>
      <c r="H23" s="633"/>
      <c r="I23" s="204">
        <f t="shared" si="8"/>
        <v>17.857142857142858</v>
      </c>
      <c r="J23" s="204">
        <f t="shared" si="8"/>
        <v>1334.2851957279665</v>
      </c>
      <c r="K23" s="205">
        <f t="shared" si="8"/>
        <v>74.739200216179555</v>
      </c>
      <c r="L23" s="572"/>
      <c r="M23" s="204">
        <f>RANK(K23, K$7:$K$36)</f>
        <v>15</v>
      </c>
      <c r="N23" s="590"/>
      <c r="O23" s="590"/>
      <c r="P23" s="187">
        <v>17</v>
      </c>
      <c r="Q23" s="187">
        <v>1311.4285714285716</v>
      </c>
      <c r="R23" s="187">
        <v>77.142857142857153</v>
      </c>
      <c r="S23" s="378">
        <f t="shared" si="0"/>
        <v>7</v>
      </c>
      <c r="T23" s="629"/>
      <c r="U23" s="187">
        <v>18</v>
      </c>
      <c r="V23" s="187">
        <v>1369.1566265060237</v>
      </c>
      <c r="W23" s="187">
        <v>76.064257028112422</v>
      </c>
      <c r="X23" s="378">
        <f t="shared" si="1"/>
        <v>12</v>
      </c>
      <c r="Y23" s="629"/>
      <c r="Z23" s="187">
        <v>18</v>
      </c>
      <c r="AA23" s="187">
        <v>1352.2499999999995</v>
      </c>
      <c r="AB23" s="187">
        <v>75.124999999999972</v>
      </c>
      <c r="AC23" s="378">
        <f t="shared" si="2"/>
        <v>13</v>
      </c>
      <c r="AD23" s="629"/>
      <c r="AE23" s="187">
        <v>18</v>
      </c>
      <c r="AF23" s="187">
        <v>1336.9230769230762</v>
      </c>
      <c r="AG23" s="187">
        <v>74.27350427350423</v>
      </c>
      <c r="AH23" s="378">
        <f t="shared" si="3"/>
        <v>12</v>
      </c>
      <c r="AI23" s="629"/>
      <c r="AJ23" s="187">
        <v>18</v>
      </c>
      <c r="AK23" s="187">
        <v>1311.4285714285711</v>
      </c>
      <c r="AL23" s="187">
        <v>72.857142857142833</v>
      </c>
      <c r="AM23" s="378">
        <f t="shared" si="4"/>
        <v>16</v>
      </c>
      <c r="AN23" s="629"/>
      <c r="AO23" s="187">
        <v>18</v>
      </c>
      <c r="AP23" s="187">
        <v>1332.1428571428567</v>
      </c>
      <c r="AQ23" s="187">
        <v>74.007936507936478</v>
      </c>
      <c r="AR23" s="378">
        <f t="shared" si="5"/>
        <v>15</v>
      </c>
      <c r="AS23" s="629"/>
      <c r="AT23" s="187">
        <v>18</v>
      </c>
      <c r="AU23" s="187">
        <v>1326.6666666666667</v>
      </c>
      <c r="AV23" s="187">
        <v>73.703703703703709</v>
      </c>
      <c r="AW23" s="378">
        <f t="shared" si="6"/>
        <v>15</v>
      </c>
      <c r="AX23" s="629"/>
      <c r="AZ23" s="380" t="e">
        <f>RANK(AX23, $K$7:AX$36)</f>
        <v>#N/A</v>
      </c>
      <c r="BB23" s="378" t="e">
        <f t="shared" si="7"/>
        <v>#N/A</v>
      </c>
    </row>
    <row r="24" spans="2:54">
      <c r="B24" s="598"/>
      <c r="C24" s="330">
        <v>18</v>
      </c>
      <c r="D24" s="231" t="s">
        <v>397</v>
      </c>
      <c r="E24" s="187">
        <v>15</v>
      </c>
      <c r="F24" s="378">
        <v>1440</v>
      </c>
      <c r="G24" s="379">
        <v>96</v>
      </c>
      <c r="H24" s="633"/>
      <c r="I24" s="204">
        <f t="shared" si="8"/>
        <v>15.142857142857142</v>
      </c>
      <c r="J24" s="204">
        <f t="shared" si="8"/>
        <v>1279.25412977523</v>
      </c>
      <c r="K24" s="205">
        <f t="shared" si="8"/>
        <v>84.526063380052207</v>
      </c>
      <c r="L24" s="572"/>
      <c r="M24" s="204">
        <f>RANK(K24, K$7:$K$36)</f>
        <v>3</v>
      </c>
      <c r="N24" s="590"/>
      <c r="O24" s="590"/>
      <c r="P24" s="187">
        <v>16</v>
      </c>
      <c r="Q24" s="187">
        <v>1272.6760563380269</v>
      </c>
      <c r="R24" s="187">
        <v>79.542253521126682</v>
      </c>
      <c r="S24" s="378">
        <f t="shared" si="0"/>
        <v>4</v>
      </c>
      <c r="T24" s="629"/>
      <c r="U24" s="187">
        <v>15</v>
      </c>
      <c r="V24" s="187">
        <v>1279.7014925373119</v>
      </c>
      <c r="W24" s="187">
        <v>85.313432835820791</v>
      </c>
      <c r="X24" s="378">
        <f t="shared" si="1"/>
        <v>3</v>
      </c>
      <c r="Y24" s="629"/>
      <c r="Z24" s="187">
        <v>15</v>
      </c>
      <c r="AA24" s="187">
        <v>1254.4615384615397</v>
      </c>
      <c r="AB24" s="187">
        <v>83.630769230769317</v>
      </c>
      <c r="AC24" s="378">
        <f t="shared" si="2"/>
        <v>3</v>
      </c>
      <c r="AD24" s="629"/>
      <c r="AE24" s="187">
        <v>15</v>
      </c>
      <c r="AF24" s="187">
        <v>1281.9047619047631</v>
      </c>
      <c r="AG24" s="187">
        <v>85.46031746031754</v>
      </c>
      <c r="AH24" s="378">
        <f t="shared" si="3"/>
        <v>3</v>
      </c>
      <c r="AI24" s="629"/>
      <c r="AJ24" s="187">
        <v>15</v>
      </c>
      <c r="AK24" s="187">
        <v>1315.2380952380965</v>
      </c>
      <c r="AL24" s="187">
        <v>87.682539682539769</v>
      </c>
      <c r="AM24" s="378">
        <f t="shared" si="4"/>
        <v>3</v>
      </c>
      <c r="AN24" s="629"/>
      <c r="AO24" s="187">
        <v>15</v>
      </c>
      <c r="AP24" s="187">
        <v>1289.0322580645172</v>
      </c>
      <c r="AQ24" s="187">
        <v>85.935483870967815</v>
      </c>
      <c r="AR24" s="378">
        <f t="shared" si="5"/>
        <v>3</v>
      </c>
      <c r="AS24" s="629"/>
      <c r="AT24" s="187">
        <v>15</v>
      </c>
      <c r="AU24" s="187">
        <v>1261.7647058823545</v>
      </c>
      <c r="AV24" s="187">
        <v>84.117647058823636</v>
      </c>
      <c r="AW24" s="378">
        <f t="shared" si="6"/>
        <v>3</v>
      </c>
      <c r="AX24" s="629"/>
      <c r="AZ24" s="380" t="e">
        <f>RANK(AX24, $K$7:AX$36)</f>
        <v>#N/A</v>
      </c>
      <c r="BB24" s="378" t="e">
        <f t="shared" si="7"/>
        <v>#N/A</v>
      </c>
    </row>
    <row r="25" spans="2:54">
      <c r="B25" s="598"/>
      <c r="C25" s="330">
        <v>19</v>
      </c>
      <c r="D25" s="231" t="s">
        <v>349</v>
      </c>
      <c r="E25" s="187">
        <v>17</v>
      </c>
      <c r="F25" s="378">
        <v>1440</v>
      </c>
      <c r="G25" s="379">
        <v>84.705882352941174</v>
      </c>
      <c r="H25" s="633"/>
      <c r="I25" s="204">
        <f t="shared" si="8"/>
        <v>17</v>
      </c>
      <c r="J25" s="204">
        <f t="shared" si="8"/>
        <v>1340.7133044131481</v>
      </c>
      <c r="K25" s="205">
        <f t="shared" si="8"/>
        <v>78.865488494891082</v>
      </c>
      <c r="L25" s="572"/>
      <c r="M25" s="204">
        <f>RANK(K25, K$7:$K$36)</f>
        <v>6</v>
      </c>
      <c r="N25" s="590"/>
      <c r="O25" s="590"/>
      <c r="P25" s="187">
        <v>17</v>
      </c>
      <c r="Q25" s="187">
        <v>1309.9999999999993</v>
      </c>
      <c r="R25" s="187">
        <v>77.058823529411725</v>
      </c>
      <c r="S25" s="378">
        <f t="shared" si="0"/>
        <v>8</v>
      </c>
      <c r="T25" s="629"/>
      <c r="U25" s="187">
        <v>17</v>
      </c>
      <c r="V25" s="187">
        <v>1362.1782178217827</v>
      </c>
      <c r="W25" s="187">
        <v>80.12813046010487</v>
      </c>
      <c r="X25" s="378">
        <f t="shared" si="1"/>
        <v>6</v>
      </c>
      <c r="Y25" s="629"/>
      <c r="Z25" s="187">
        <v>17</v>
      </c>
      <c r="AA25" s="187">
        <v>1343.7623762376245</v>
      </c>
      <c r="AB25" s="187">
        <v>79.044845661036732</v>
      </c>
      <c r="AC25" s="378">
        <f t="shared" si="2"/>
        <v>9</v>
      </c>
      <c r="AD25" s="629"/>
      <c r="AE25" s="187">
        <v>17</v>
      </c>
      <c r="AF25" s="187">
        <v>1345.2631578947371</v>
      </c>
      <c r="AG25" s="187">
        <v>79.133126934984531</v>
      </c>
      <c r="AH25" s="378">
        <f t="shared" si="3"/>
        <v>6</v>
      </c>
      <c r="AI25" s="629"/>
      <c r="AJ25" s="187">
        <v>17</v>
      </c>
      <c r="AK25" s="187">
        <v>1356.3636363636367</v>
      </c>
      <c r="AL25" s="187">
        <v>79.786096256684516</v>
      </c>
      <c r="AM25" s="378">
        <f t="shared" si="4"/>
        <v>5</v>
      </c>
      <c r="AN25" s="629"/>
      <c r="AO25" s="187">
        <v>17</v>
      </c>
      <c r="AP25" s="187">
        <v>1357.425742574258</v>
      </c>
      <c r="AQ25" s="187">
        <v>79.848573092603417</v>
      </c>
      <c r="AR25" s="378">
        <f t="shared" si="5"/>
        <v>6</v>
      </c>
      <c r="AS25" s="629"/>
      <c r="AT25" s="187">
        <v>17</v>
      </c>
      <c r="AU25" s="187">
        <v>1309.9999999999993</v>
      </c>
      <c r="AV25" s="187">
        <v>77.058823529411725</v>
      </c>
      <c r="AW25" s="378">
        <f t="shared" si="6"/>
        <v>7</v>
      </c>
      <c r="AX25" s="629"/>
      <c r="AZ25" s="380" t="e">
        <f>RANK(AX25, $K$7:AX$36)</f>
        <v>#N/A</v>
      </c>
      <c r="BB25" s="378" t="e">
        <f t="shared" si="7"/>
        <v>#N/A</v>
      </c>
    </row>
    <row r="26" spans="2:54">
      <c r="B26" s="598"/>
      <c r="C26" s="330">
        <v>20</v>
      </c>
      <c r="D26" s="231" t="s">
        <v>388</v>
      </c>
      <c r="E26" s="187">
        <v>18</v>
      </c>
      <c r="F26" s="378">
        <v>1636</v>
      </c>
      <c r="G26" s="379">
        <v>90.888888888888886</v>
      </c>
      <c r="H26" s="633"/>
      <c r="I26" s="204">
        <f t="shared" si="8"/>
        <v>17</v>
      </c>
      <c r="J26" s="204">
        <f t="shared" si="8"/>
        <v>1283.2353414676097</v>
      </c>
      <c r="K26" s="205">
        <f t="shared" si="8"/>
        <v>75.484431851035879</v>
      </c>
      <c r="L26" s="572"/>
      <c r="M26" s="204">
        <f>RANK(K26, K$7:$K$36)</f>
        <v>10</v>
      </c>
      <c r="N26" s="590"/>
      <c r="O26" s="590"/>
      <c r="P26" s="187">
        <v>17</v>
      </c>
      <c r="Q26" s="187">
        <v>1316.5384615384623</v>
      </c>
      <c r="R26" s="187">
        <v>77.443438914027197</v>
      </c>
      <c r="S26" s="378">
        <f t="shared" si="0"/>
        <v>6</v>
      </c>
      <c r="T26" s="629"/>
      <c r="U26" s="187">
        <v>17</v>
      </c>
      <c r="V26" s="187">
        <v>1287.6923076923085</v>
      </c>
      <c r="W26" s="187">
        <v>75.746606334841672</v>
      </c>
      <c r="X26" s="378">
        <f t="shared" si="1"/>
        <v>13</v>
      </c>
      <c r="Y26" s="629"/>
      <c r="Z26" s="187">
        <v>17</v>
      </c>
      <c r="AA26" s="187">
        <v>1297.8260869565217</v>
      </c>
      <c r="AB26" s="187">
        <v>76.342710997442452</v>
      </c>
      <c r="AC26" s="378">
        <f t="shared" si="2"/>
        <v>11</v>
      </c>
      <c r="AD26" s="629"/>
      <c r="AE26" s="187">
        <v>17</v>
      </c>
      <c r="AF26" s="187">
        <v>1257.4468085106384</v>
      </c>
      <c r="AG26" s="187">
        <v>73.9674593241552</v>
      </c>
      <c r="AH26" s="378">
        <f t="shared" si="3"/>
        <v>15</v>
      </c>
      <c r="AI26" s="629"/>
      <c r="AJ26" s="187">
        <v>17</v>
      </c>
      <c r="AK26" s="187">
        <v>1291.9148936170216</v>
      </c>
      <c r="AL26" s="187">
        <v>75.994993742177741</v>
      </c>
      <c r="AM26" s="378">
        <f t="shared" si="4"/>
        <v>10</v>
      </c>
      <c r="AN26" s="629"/>
      <c r="AO26" s="187">
        <v>17</v>
      </c>
      <c r="AP26" s="187">
        <v>1265.1063829787236</v>
      </c>
      <c r="AQ26" s="187">
        <v>74.418022528160208</v>
      </c>
      <c r="AR26" s="378">
        <f t="shared" si="5"/>
        <v>14</v>
      </c>
      <c r="AS26" s="629"/>
      <c r="AT26" s="187">
        <v>17</v>
      </c>
      <c r="AU26" s="187">
        <v>1266.1224489795923</v>
      </c>
      <c r="AV26" s="187">
        <v>74.47779111644661</v>
      </c>
      <c r="AW26" s="378">
        <f t="shared" si="6"/>
        <v>14</v>
      </c>
      <c r="AX26" s="629"/>
      <c r="AZ26" s="380" t="e">
        <f>RANK(AX26, $K$7:AX$36)</f>
        <v>#N/A</v>
      </c>
      <c r="BB26" s="378" t="e">
        <f t="shared" si="7"/>
        <v>#N/A</v>
      </c>
    </row>
    <row r="27" spans="2:54">
      <c r="B27" s="598"/>
      <c r="C27" s="330">
        <v>21</v>
      </c>
      <c r="D27" s="231" t="s">
        <v>390</v>
      </c>
      <c r="E27" s="187">
        <v>18</v>
      </c>
      <c r="F27" s="378">
        <v>1440</v>
      </c>
      <c r="G27" s="379">
        <v>80</v>
      </c>
      <c r="H27" s="633"/>
      <c r="I27" s="204">
        <f t="shared" si="8"/>
        <v>18</v>
      </c>
      <c r="J27" s="204">
        <f t="shared" si="8"/>
        <v>1292.4349649712462</v>
      </c>
      <c r="K27" s="205">
        <f t="shared" si="8"/>
        <v>71.801942498402568</v>
      </c>
      <c r="L27" s="572"/>
      <c r="M27" s="204">
        <f>RANK(K27, K$7:$K$36)</f>
        <v>18</v>
      </c>
      <c r="N27" s="590"/>
      <c r="O27" s="590"/>
      <c r="P27" s="187">
        <v>18</v>
      </c>
      <c r="Q27" s="187">
        <v>1275</v>
      </c>
      <c r="R27" s="187">
        <v>70.833333333333329</v>
      </c>
      <c r="S27" s="378">
        <f t="shared" si="0"/>
        <v>19</v>
      </c>
      <c r="T27" s="629"/>
      <c r="U27" s="187">
        <v>18</v>
      </c>
      <c r="V27" s="187">
        <v>1311.7499999999995</v>
      </c>
      <c r="W27" s="187">
        <v>72.874999999999972</v>
      </c>
      <c r="X27" s="378">
        <f t="shared" si="1"/>
        <v>17</v>
      </c>
      <c r="Y27" s="629"/>
      <c r="Z27" s="187">
        <v>18</v>
      </c>
      <c r="AA27" s="187">
        <v>1289.9999999999989</v>
      </c>
      <c r="AB27" s="187">
        <v>71.6666666666666</v>
      </c>
      <c r="AC27" s="378">
        <f t="shared" si="2"/>
        <v>17</v>
      </c>
      <c r="AD27" s="629"/>
      <c r="AE27" s="187">
        <v>18</v>
      </c>
      <c r="AF27" s="187">
        <v>1286.6666666666656</v>
      </c>
      <c r="AG27" s="187">
        <v>71.481481481481424</v>
      </c>
      <c r="AH27" s="378">
        <f t="shared" si="3"/>
        <v>18</v>
      </c>
      <c r="AI27" s="629"/>
      <c r="AJ27" s="187">
        <v>18</v>
      </c>
      <c r="AK27" s="187">
        <v>1276.1538461538453</v>
      </c>
      <c r="AL27" s="187">
        <v>70.897435897435855</v>
      </c>
      <c r="AM27" s="378">
        <f t="shared" si="4"/>
        <v>19</v>
      </c>
      <c r="AN27" s="629"/>
      <c r="AO27" s="187">
        <v>18</v>
      </c>
      <c r="AP27" s="187">
        <v>1314.6835443037967</v>
      </c>
      <c r="AQ27" s="187">
        <v>73.037974683544263</v>
      </c>
      <c r="AR27" s="378">
        <f t="shared" si="5"/>
        <v>16</v>
      </c>
      <c r="AS27" s="629"/>
      <c r="AT27" s="187">
        <v>18</v>
      </c>
      <c r="AU27" s="187">
        <v>1292.7906976744184</v>
      </c>
      <c r="AV27" s="187">
        <v>71.821705426356573</v>
      </c>
      <c r="AW27" s="378">
        <f t="shared" si="6"/>
        <v>17</v>
      </c>
      <c r="AX27" s="629"/>
      <c r="AZ27" s="380" t="e">
        <f>RANK(AX27, $K$7:AX$36)</f>
        <v>#N/A</v>
      </c>
      <c r="BB27" s="378" t="e">
        <f t="shared" si="7"/>
        <v>#N/A</v>
      </c>
    </row>
    <row r="28" spans="2:54">
      <c r="B28" s="598"/>
      <c r="C28" s="330">
        <v>22</v>
      </c>
      <c r="D28" s="231" t="s">
        <v>665</v>
      </c>
      <c r="E28" s="187">
        <v>18</v>
      </c>
      <c r="F28" s="378">
        <v>1500</v>
      </c>
      <c r="G28" s="379">
        <v>83.333333333333329</v>
      </c>
      <c r="H28" s="633"/>
      <c r="I28" s="204">
        <f t="shared" si="8"/>
        <v>16.714285714285715</v>
      </c>
      <c r="J28" s="204">
        <f t="shared" si="8"/>
        <v>1280.2574385699829</v>
      </c>
      <c r="K28" s="205">
        <f t="shared" si="8"/>
        <v>76.649171031737524</v>
      </c>
      <c r="L28" s="572"/>
      <c r="M28" s="204">
        <f>RANK(K28, K$7:$K$36)</f>
        <v>9</v>
      </c>
      <c r="N28" s="590"/>
      <c r="O28" s="590"/>
      <c r="P28" s="187">
        <v>17</v>
      </c>
      <c r="Q28" s="187">
        <v>1295.4098360655732</v>
      </c>
      <c r="R28" s="187">
        <v>76.20057859209254</v>
      </c>
      <c r="S28" s="378">
        <f t="shared" si="0"/>
        <v>12</v>
      </c>
      <c r="T28" s="629"/>
      <c r="U28" s="187">
        <v>16</v>
      </c>
      <c r="V28" s="187">
        <v>1278.6885245901633</v>
      </c>
      <c r="W28" s="187">
        <v>79.918032786885206</v>
      </c>
      <c r="X28" s="378">
        <f t="shared" si="1"/>
        <v>7</v>
      </c>
      <c r="Y28" s="629"/>
      <c r="Z28" s="187">
        <v>16</v>
      </c>
      <c r="AA28" s="187">
        <v>1272.5000000000005</v>
      </c>
      <c r="AB28" s="187">
        <v>79.531250000000028</v>
      </c>
      <c r="AC28" s="378">
        <f t="shared" si="2"/>
        <v>6</v>
      </c>
      <c r="AD28" s="629"/>
      <c r="AE28" s="187">
        <v>17</v>
      </c>
      <c r="AF28" s="187">
        <v>1276.9230769230762</v>
      </c>
      <c r="AG28" s="187">
        <v>75.113122171945662</v>
      </c>
      <c r="AH28" s="378">
        <f t="shared" si="3"/>
        <v>10</v>
      </c>
      <c r="AI28" s="629"/>
      <c r="AJ28" s="187">
        <v>17</v>
      </c>
      <c r="AK28" s="187">
        <v>1259.9999999999995</v>
      </c>
      <c r="AL28" s="187">
        <v>74.117647058823508</v>
      </c>
      <c r="AM28" s="378">
        <f t="shared" si="4"/>
        <v>13</v>
      </c>
      <c r="AN28" s="629"/>
      <c r="AO28" s="187">
        <v>17</v>
      </c>
      <c r="AP28" s="187">
        <v>1280.4545454545455</v>
      </c>
      <c r="AQ28" s="187">
        <v>75.320855614973269</v>
      </c>
      <c r="AR28" s="378">
        <f t="shared" si="5"/>
        <v>12</v>
      </c>
      <c r="AS28" s="629"/>
      <c r="AT28" s="187">
        <v>17</v>
      </c>
      <c r="AU28" s="187">
        <v>1297.8260869565217</v>
      </c>
      <c r="AV28" s="187">
        <v>76.342710997442452</v>
      </c>
      <c r="AW28" s="378">
        <f t="shared" si="6"/>
        <v>10</v>
      </c>
      <c r="AX28" s="629"/>
      <c r="AZ28" s="380" t="e">
        <f>RANK(AX28, $K$7:AX$36)</f>
        <v>#N/A</v>
      </c>
      <c r="BB28" s="378" t="e">
        <f t="shared" si="7"/>
        <v>#N/A</v>
      </c>
    </row>
    <row r="29" spans="2:54">
      <c r="B29" s="598"/>
      <c r="C29" s="330">
        <v>23</v>
      </c>
      <c r="D29" s="231" t="s">
        <v>398</v>
      </c>
      <c r="E29" s="187">
        <v>18</v>
      </c>
      <c r="F29" s="378">
        <v>1500</v>
      </c>
      <c r="G29" s="379">
        <v>83.333333333333329</v>
      </c>
      <c r="H29" s="633"/>
      <c r="I29" s="204">
        <f t="shared" si="8"/>
        <v>18</v>
      </c>
      <c r="J29" s="204">
        <f t="shared" si="8"/>
        <v>1277.2240421712086</v>
      </c>
      <c r="K29" s="205">
        <f t="shared" si="8"/>
        <v>70.956891231733806</v>
      </c>
      <c r="L29" s="572"/>
      <c r="M29" s="204">
        <f>RANK(K29, K$7:$K$36)</f>
        <v>19</v>
      </c>
      <c r="N29" s="590"/>
      <c r="O29" s="590"/>
      <c r="P29" s="187">
        <v>18</v>
      </c>
      <c r="Q29" s="187">
        <v>1297.1739130434783</v>
      </c>
      <c r="R29" s="187">
        <v>72.065217391304344</v>
      </c>
      <c r="S29" s="378">
        <f t="shared" si="0"/>
        <v>18</v>
      </c>
      <c r="T29" s="629"/>
      <c r="U29" s="187">
        <v>18</v>
      </c>
      <c r="V29" s="187">
        <v>1255.7647058823527</v>
      </c>
      <c r="W29" s="187">
        <v>69.764705882352928</v>
      </c>
      <c r="X29" s="378">
        <f t="shared" si="1"/>
        <v>19</v>
      </c>
      <c r="Y29" s="629"/>
      <c r="Z29" s="187">
        <v>18</v>
      </c>
      <c r="AA29" s="187">
        <v>1288.4615384615379</v>
      </c>
      <c r="AB29" s="187">
        <v>71.581196581196551</v>
      </c>
      <c r="AC29" s="378">
        <f t="shared" si="2"/>
        <v>18</v>
      </c>
      <c r="AD29" s="629"/>
      <c r="AE29" s="187">
        <v>18</v>
      </c>
      <c r="AF29" s="187">
        <v>1267.2972972972964</v>
      </c>
      <c r="AG29" s="187">
        <v>70.405405405405361</v>
      </c>
      <c r="AH29" s="378">
        <f t="shared" si="3"/>
        <v>19</v>
      </c>
      <c r="AI29" s="629"/>
      <c r="AJ29" s="187">
        <v>18</v>
      </c>
      <c r="AK29" s="187">
        <v>1288.831168831168</v>
      </c>
      <c r="AL29" s="187">
        <v>71.601731601731558</v>
      </c>
      <c r="AM29" s="378">
        <f t="shared" si="4"/>
        <v>18</v>
      </c>
      <c r="AN29" s="629"/>
      <c r="AO29" s="187">
        <v>18</v>
      </c>
      <c r="AP29" s="187">
        <v>1261.4117647058822</v>
      </c>
      <c r="AQ29" s="187">
        <v>70.078431372549005</v>
      </c>
      <c r="AR29" s="378">
        <f t="shared" si="5"/>
        <v>19</v>
      </c>
      <c r="AS29" s="629"/>
      <c r="AT29" s="187">
        <v>18</v>
      </c>
      <c r="AU29" s="187">
        <v>1281.627906976744</v>
      </c>
      <c r="AV29" s="187">
        <v>71.201550387596896</v>
      </c>
      <c r="AW29" s="378">
        <f t="shared" si="6"/>
        <v>18</v>
      </c>
      <c r="AX29" s="629"/>
      <c r="AZ29" s="380" t="e">
        <f>RANK(AX29, $K$7:AX$36)</f>
        <v>#N/A</v>
      </c>
      <c r="BB29" s="378" t="e">
        <f t="shared" si="7"/>
        <v>#N/A</v>
      </c>
    </row>
    <row r="30" spans="2:54">
      <c r="B30" s="598"/>
      <c r="C30" s="330">
        <v>24</v>
      </c>
      <c r="D30" s="231" t="s">
        <v>569</v>
      </c>
      <c r="E30" s="187">
        <v>18</v>
      </c>
      <c r="F30" s="378">
        <v>1636</v>
      </c>
      <c r="G30" s="379">
        <v>90.888888888888886</v>
      </c>
      <c r="H30" s="633"/>
      <c r="I30" s="204">
        <f t="shared" si="8"/>
        <v>17</v>
      </c>
      <c r="J30" s="204">
        <f t="shared" si="8"/>
        <v>1274.9141634947168</v>
      </c>
      <c r="K30" s="205">
        <f t="shared" si="8"/>
        <v>74.994950793806865</v>
      </c>
      <c r="L30" s="572"/>
      <c r="M30" s="204">
        <f>RANK(K30, K$7:$K$36)</f>
        <v>14</v>
      </c>
      <c r="N30" s="590"/>
      <c r="O30" s="590"/>
      <c r="P30" s="378">
        <v>17</v>
      </c>
      <c r="Q30" s="379">
        <v>1245.2173913043466</v>
      </c>
      <c r="R30" s="379">
        <v>73.248081841432153</v>
      </c>
      <c r="S30" s="378">
        <f t="shared" si="0"/>
        <v>16</v>
      </c>
      <c r="T30" s="629"/>
      <c r="U30" s="378">
        <v>17</v>
      </c>
      <c r="V30" s="379">
        <v>1296.0000000000011</v>
      </c>
      <c r="W30" s="379">
        <v>76.235294117647129</v>
      </c>
      <c r="X30" s="378">
        <f t="shared" si="1"/>
        <v>11</v>
      </c>
      <c r="Y30" s="629"/>
      <c r="Z30" s="378">
        <v>17</v>
      </c>
      <c r="AA30" s="379">
        <v>1276.8000000000002</v>
      </c>
      <c r="AB30" s="379">
        <v>75.105882352941194</v>
      </c>
      <c r="AC30" s="378">
        <f t="shared" si="2"/>
        <v>14</v>
      </c>
      <c r="AD30" s="629"/>
      <c r="AE30" s="378">
        <v>17</v>
      </c>
      <c r="AF30" s="379">
        <v>1258.8235294117651</v>
      </c>
      <c r="AG30" s="379">
        <v>74.048442906574422</v>
      </c>
      <c r="AH30" s="378">
        <f t="shared" si="3"/>
        <v>14</v>
      </c>
      <c r="AI30" s="629"/>
      <c r="AJ30" s="378">
        <v>17</v>
      </c>
      <c r="AK30" s="379">
        <v>1247.7777777777785</v>
      </c>
      <c r="AL30" s="379">
        <v>73.398692810457561</v>
      </c>
      <c r="AM30" s="378">
        <f t="shared" si="4"/>
        <v>14</v>
      </c>
      <c r="AN30" s="629"/>
      <c r="AO30" s="378">
        <v>17</v>
      </c>
      <c r="AP30" s="379">
        <v>1293.9622641509441</v>
      </c>
      <c r="AQ30" s="379">
        <v>76.115427302996707</v>
      </c>
      <c r="AR30" s="378">
        <f t="shared" si="5"/>
        <v>8</v>
      </c>
      <c r="AS30" s="629"/>
      <c r="AT30" s="378">
        <v>17</v>
      </c>
      <c r="AU30" s="379">
        <v>1305.8181818181827</v>
      </c>
      <c r="AV30" s="379">
        <v>76.812834224598987</v>
      </c>
      <c r="AW30" s="378">
        <f t="shared" si="6"/>
        <v>8</v>
      </c>
      <c r="AX30" s="629"/>
      <c r="AZ30" s="380" t="e">
        <f>RANK(AX30, $K$7:AX$36)</f>
        <v>#N/A</v>
      </c>
      <c r="BB30" s="378" t="e">
        <f t="shared" si="7"/>
        <v>#N/A</v>
      </c>
    </row>
    <row r="31" spans="2:54">
      <c r="B31" s="598"/>
      <c r="C31" s="330">
        <v>25</v>
      </c>
      <c r="D31" s="231"/>
      <c r="E31" s="187"/>
      <c r="F31" s="330"/>
      <c r="G31" s="333"/>
      <c r="H31" s="633"/>
      <c r="I31" s="204"/>
      <c r="J31" s="204"/>
      <c r="K31" s="205"/>
      <c r="L31" s="572"/>
      <c r="M31" s="204" t="e">
        <f>RANK(K31, K$7:$K$36)</f>
        <v>#N/A</v>
      </c>
      <c r="N31" s="590"/>
      <c r="O31" s="590"/>
      <c r="P31" s="378"/>
      <c r="Q31" s="379"/>
      <c r="R31" s="379"/>
      <c r="S31" s="378" t="e">
        <f t="shared" si="0"/>
        <v>#N/A</v>
      </c>
      <c r="T31" s="629"/>
      <c r="U31" s="378"/>
      <c r="V31" s="379"/>
      <c r="W31" s="379"/>
      <c r="X31" s="378" t="e">
        <f t="shared" si="1"/>
        <v>#N/A</v>
      </c>
      <c r="Y31" s="629"/>
      <c r="Z31" s="378"/>
      <c r="AA31" s="379"/>
      <c r="AB31" s="379"/>
      <c r="AC31" s="378" t="e">
        <f t="shared" si="2"/>
        <v>#N/A</v>
      </c>
      <c r="AD31" s="629"/>
      <c r="AE31" s="378"/>
      <c r="AF31" s="379"/>
      <c r="AG31" s="379"/>
      <c r="AH31" s="378" t="e">
        <f t="shared" si="3"/>
        <v>#N/A</v>
      </c>
      <c r="AI31" s="629"/>
      <c r="AJ31" s="378"/>
      <c r="AK31" s="379"/>
      <c r="AL31" s="379"/>
      <c r="AM31" s="378" t="e">
        <f t="shared" si="4"/>
        <v>#N/A</v>
      </c>
      <c r="AN31" s="629"/>
      <c r="AO31" s="378"/>
      <c r="AP31" s="379"/>
      <c r="AQ31" s="379"/>
      <c r="AR31" s="378" t="e">
        <f t="shared" si="5"/>
        <v>#N/A</v>
      </c>
      <c r="AS31" s="629"/>
      <c r="AT31" s="378"/>
      <c r="AU31" s="379"/>
      <c r="AV31" s="379"/>
      <c r="AW31" s="378" t="e">
        <f t="shared" si="6"/>
        <v>#N/A</v>
      </c>
      <c r="AX31" s="629"/>
      <c r="AZ31" s="380" t="e">
        <f>RANK(AX31, $K$7:AX$36)</f>
        <v>#N/A</v>
      </c>
      <c r="BB31" s="378" t="e">
        <f t="shared" si="7"/>
        <v>#N/A</v>
      </c>
    </row>
    <row r="32" spans="2:54">
      <c r="B32" s="598"/>
      <c r="C32" s="330">
        <v>26</v>
      </c>
      <c r="D32" s="231"/>
      <c r="E32" s="187"/>
      <c r="F32" s="330"/>
      <c r="G32" s="333"/>
      <c r="H32" s="633"/>
      <c r="I32" s="204"/>
      <c r="J32" s="204"/>
      <c r="K32" s="205"/>
      <c r="L32" s="572"/>
      <c r="M32" s="204" t="e">
        <f>RANK(K32, K$7:$K$36)</f>
        <v>#N/A</v>
      </c>
      <c r="N32" s="590"/>
      <c r="O32" s="590"/>
      <c r="P32" s="378"/>
      <c r="Q32" s="379"/>
      <c r="R32" s="379"/>
      <c r="S32" s="378" t="e">
        <f t="shared" si="0"/>
        <v>#N/A</v>
      </c>
      <c r="T32" s="629"/>
      <c r="U32" s="378"/>
      <c r="V32" s="379"/>
      <c r="W32" s="379"/>
      <c r="X32" s="378" t="e">
        <f t="shared" si="1"/>
        <v>#N/A</v>
      </c>
      <c r="Y32" s="629"/>
      <c r="Z32" s="378"/>
      <c r="AA32" s="379"/>
      <c r="AB32" s="379"/>
      <c r="AC32" s="378" t="e">
        <f t="shared" si="2"/>
        <v>#N/A</v>
      </c>
      <c r="AD32" s="629"/>
      <c r="AE32" s="378"/>
      <c r="AF32" s="379"/>
      <c r="AG32" s="379"/>
      <c r="AH32" s="378" t="e">
        <f t="shared" si="3"/>
        <v>#N/A</v>
      </c>
      <c r="AI32" s="629"/>
      <c r="AJ32" s="378"/>
      <c r="AK32" s="379"/>
      <c r="AL32" s="379"/>
      <c r="AM32" s="378" t="e">
        <f t="shared" si="4"/>
        <v>#N/A</v>
      </c>
      <c r="AN32" s="629"/>
      <c r="AO32" s="378"/>
      <c r="AP32" s="379"/>
      <c r="AQ32" s="379"/>
      <c r="AR32" s="378" t="e">
        <f t="shared" si="5"/>
        <v>#N/A</v>
      </c>
      <c r="AS32" s="629"/>
      <c r="AT32" s="378"/>
      <c r="AU32" s="379"/>
      <c r="AV32" s="379"/>
      <c r="AW32" s="378" t="e">
        <f t="shared" si="6"/>
        <v>#N/A</v>
      </c>
      <c r="AX32" s="629"/>
      <c r="AZ32" s="380" t="e">
        <f>RANK(AX32, $K$7:AX$36)</f>
        <v>#N/A</v>
      </c>
      <c r="BB32" s="378" t="e">
        <f t="shared" si="7"/>
        <v>#N/A</v>
      </c>
    </row>
    <row r="33" spans="2:54">
      <c r="B33" s="598"/>
      <c r="C33" s="330">
        <v>27</v>
      </c>
      <c r="D33" s="231"/>
      <c r="E33" s="187"/>
      <c r="F33" s="330"/>
      <c r="G33" s="333"/>
      <c r="H33" s="633"/>
      <c r="I33" s="204"/>
      <c r="J33" s="204"/>
      <c r="K33" s="205"/>
      <c r="L33" s="572"/>
      <c r="M33" s="204" t="e">
        <f>RANK(K33, K$7:$K$36)</f>
        <v>#N/A</v>
      </c>
      <c r="N33" s="590"/>
      <c r="O33" s="590"/>
      <c r="P33" s="378"/>
      <c r="Q33" s="379"/>
      <c r="R33" s="379"/>
      <c r="S33" s="378" t="e">
        <f t="shared" si="0"/>
        <v>#N/A</v>
      </c>
      <c r="T33" s="629"/>
      <c r="U33" s="378"/>
      <c r="V33" s="379"/>
      <c r="W33" s="379"/>
      <c r="X33" s="378" t="e">
        <f t="shared" si="1"/>
        <v>#N/A</v>
      </c>
      <c r="Y33" s="629"/>
      <c r="Z33" s="378"/>
      <c r="AA33" s="379"/>
      <c r="AB33" s="379"/>
      <c r="AC33" s="378" t="e">
        <f t="shared" si="2"/>
        <v>#N/A</v>
      </c>
      <c r="AD33" s="629"/>
      <c r="AE33" s="378"/>
      <c r="AF33" s="379"/>
      <c r="AG33" s="379"/>
      <c r="AH33" s="378" t="e">
        <f t="shared" si="3"/>
        <v>#N/A</v>
      </c>
      <c r="AI33" s="629"/>
      <c r="AJ33" s="378"/>
      <c r="AK33" s="379"/>
      <c r="AL33" s="379"/>
      <c r="AM33" s="378" t="e">
        <f t="shared" si="4"/>
        <v>#N/A</v>
      </c>
      <c r="AN33" s="629"/>
      <c r="AO33" s="378"/>
      <c r="AP33" s="379"/>
      <c r="AQ33" s="379"/>
      <c r="AR33" s="378" t="e">
        <f t="shared" si="5"/>
        <v>#N/A</v>
      </c>
      <c r="AS33" s="629"/>
      <c r="AT33" s="378"/>
      <c r="AU33" s="379"/>
      <c r="AV33" s="379"/>
      <c r="AW33" s="378" t="e">
        <f t="shared" si="6"/>
        <v>#N/A</v>
      </c>
      <c r="AX33" s="629"/>
      <c r="AZ33" s="380" t="e">
        <f>RANK(AX33, $K$7:AX$36)</f>
        <v>#N/A</v>
      </c>
      <c r="BB33" s="378" t="e">
        <f t="shared" si="7"/>
        <v>#N/A</v>
      </c>
    </row>
    <row r="34" spans="2:54">
      <c r="B34" s="598"/>
      <c r="C34" s="330">
        <v>28</v>
      </c>
      <c r="D34" s="231"/>
      <c r="E34" s="187"/>
      <c r="F34" s="330"/>
      <c r="G34" s="333"/>
      <c r="H34" s="633"/>
      <c r="I34" s="204"/>
      <c r="J34" s="204"/>
      <c r="K34" s="205"/>
      <c r="L34" s="572"/>
      <c r="M34" s="204" t="e">
        <f>RANK(K34, K$7:$K$36)</f>
        <v>#N/A</v>
      </c>
      <c r="N34" s="590"/>
      <c r="O34" s="590"/>
      <c r="P34" s="378"/>
      <c r="Q34" s="379"/>
      <c r="R34" s="379"/>
      <c r="S34" s="378" t="e">
        <f t="shared" si="0"/>
        <v>#N/A</v>
      </c>
      <c r="T34" s="629"/>
      <c r="U34" s="378"/>
      <c r="V34" s="379"/>
      <c r="W34" s="379"/>
      <c r="X34" s="378" t="e">
        <f t="shared" si="1"/>
        <v>#N/A</v>
      </c>
      <c r="Y34" s="629"/>
      <c r="Z34" s="378"/>
      <c r="AA34" s="379"/>
      <c r="AB34" s="379"/>
      <c r="AC34" s="378" t="e">
        <f t="shared" si="2"/>
        <v>#N/A</v>
      </c>
      <c r="AD34" s="629"/>
      <c r="AE34" s="378"/>
      <c r="AF34" s="379"/>
      <c r="AG34" s="379"/>
      <c r="AH34" s="378" t="e">
        <f t="shared" si="3"/>
        <v>#N/A</v>
      </c>
      <c r="AI34" s="629"/>
      <c r="AJ34" s="378"/>
      <c r="AK34" s="379"/>
      <c r="AL34" s="379"/>
      <c r="AM34" s="378" t="e">
        <f t="shared" si="4"/>
        <v>#N/A</v>
      </c>
      <c r="AN34" s="629"/>
      <c r="AO34" s="378"/>
      <c r="AP34" s="378"/>
      <c r="AQ34" s="378"/>
      <c r="AR34" s="378" t="e">
        <f t="shared" si="5"/>
        <v>#N/A</v>
      </c>
      <c r="AS34" s="629"/>
      <c r="AT34" s="378"/>
      <c r="AU34" s="379"/>
      <c r="AV34" s="379"/>
      <c r="AW34" s="378" t="e">
        <f t="shared" si="6"/>
        <v>#N/A</v>
      </c>
      <c r="AX34" s="629"/>
      <c r="AZ34" s="380" t="e">
        <f>RANK(AX34, $K$7:AX$36)</f>
        <v>#N/A</v>
      </c>
      <c r="BB34" s="378" t="e">
        <f t="shared" si="7"/>
        <v>#N/A</v>
      </c>
    </row>
    <row r="35" spans="2:54">
      <c r="B35" s="598"/>
      <c r="C35" s="330">
        <v>29</v>
      </c>
      <c r="D35" s="231"/>
      <c r="E35" s="187"/>
      <c r="F35" s="330"/>
      <c r="G35" s="333"/>
      <c r="H35" s="633"/>
      <c r="I35" s="207"/>
      <c r="J35" s="207"/>
      <c r="K35" s="207"/>
      <c r="L35" s="572"/>
      <c r="M35" s="204" t="e">
        <f>RANK(K35, K$7:$K$36)</f>
        <v>#N/A</v>
      </c>
      <c r="N35" s="590"/>
      <c r="O35" s="590"/>
      <c r="P35" s="378"/>
      <c r="Q35" s="378"/>
      <c r="R35" s="378"/>
      <c r="S35" s="378" t="e">
        <f t="shared" si="0"/>
        <v>#N/A</v>
      </c>
      <c r="T35" s="629"/>
      <c r="U35" s="378"/>
      <c r="V35" s="378"/>
      <c r="W35" s="378"/>
      <c r="X35" s="378" t="e">
        <f t="shared" si="1"/>
        <v>#N/A</v>
      </c>
      <c r="Y35" s="629"/>
      <c r="Z35" s="378"/>
      <c r="AA35" s="378"/>
      <c r="AB35" s="378"/>
      <c r="AC35" s="378" t="e">
        <f t="shared" si="2"/>
        <v>#N/A</v>
      </c>
      <c r="AD35" s="629"/>
      <c r="AE35" s="378"/>
      <c r="AF35" s="378"/>
      <c r="AG35" s="378"/>
      <c r="AH35" s="378" t="e">
        <f t="shared" si="3"/>
        <v>#N/A</v>
      </c>
      <c r="AI35" s="629"/>
      <c r="AJ35" s="378"/>
      <c r="AK35" s="378"/>
      <c r="AL35" s="378"/>
      <c r="AM35" s="378" t="e">
        <f t="shared" si="4"/>
        <v>#N/A</v>
      </c>
      <c r="AN35" s="629"/>
      <c r="AO35" s="378"/>
      <c r="AP35" s="378"/>
      <c r="AQ35" s="378"/>
      <c r="AR35" s="378" t="e">
        <f t="shared" si="5"/>
        <v>#N/A</v>
      </c>
      <c r="AS35" s="629"/>
      <c r="AT35" s="378"/>
      <c r="AU35" s="378"/>
      <c r="AV35" s="378"/>
      <c r="AW35" s="378" t="e">
        <f t="shared" si="6"/>
        <v>#N/A</v>
      </c>
      <c r="AX35" s="629"/>
      <c r="AZ35" s="380" t="e">
        <f>RANK(AX35, $K$7:AX$36)</f>
        <v>#N/A</v>
      </c>
      <c r="BB35" s="378" t="e">
        <f t="shared" si="7"/>
        <v>#N/A</v>
      </c>
    </row>
    <row r="36" spans="2:54">
      <c r="B36" s="598"/>
      <c r="C36" s="330">
        <v>30</v>
      </c>
      <c r="D36" s="231"/>
      <c r="E36" s="187"/>
      <c r="F36" s="330"/>
      <c r="G36" s="333"/>
      <c r="H36" s="634"/>
      <c r="I36" s="207"/>
      <c r="J36" s="207"/>
      <c r="K36" s="207"/>
      <c r="L36" s="573"/>
      <c r="M36" s="204" t="e">
        <f>RANK(K36, K$7:$K$36)</f>
        <v>#N/A</v>
      </c>
      <c r="N36" s="590"/>
      <c r="O36" s="590"/>
      <c r="P36" s="378"/>
      <c r="Q36" s="378"/>
      <c r="R36" s="378"/>
      <c r="S36" s="378" t="e">
        <f t="shared" si="0"/>
        <v>#N/A</v>
      </c>
      <c r="T36" s="629"/>
      <c r="U36" s="378"/>
      <c r="V36" s="378"/>
      <c r="W36" s="378"/>
      <c r="X36" s="378" t="e">
        <f t="shared" si="1"/>
        <v>#N/A</v>
      </c>
      <c r="Y36" s="629"/>
      <c r="Z36" s="378"/>
      <c r="AA36" s="378"/>
      <c r="AB36" s="378"/>
      <c r="AC36" s="378" t="e">
        <f t="shared" si="2"/>
        <v>#N/A</v>
      </c>
      <c r="AD36" s="629"/>
      <c r="AE36" s="378"/>
      <c r="AF36" s="378"/>
      <c r="AG36" s="378"/>
      <c r="AH36" s="378" t="e">
        <f t="shared" si="3"/>
        <v>#N/A</v>
      </c>
      <c r="AI36" s="629"/>
      <c r="AJ36" s="378"/>
      <c r="AK36" s="378"/>
      <c r="AL36" s="378"/>
      <c r="AM36" s="378" t="e">
        <f t="shared" si="4"/>
        <v>#N/A</v>
      </c>
      <c r="AN36" s="629"/>
      <c r="AO36" s="378"/>
      <c r="AP36" s="378"/>
      <c r="AQ36" s="378"/>
      <c r="AR36" s="378" t="e">
        <f t="shared" si="5"/>
        <v>#N/A</v>
      </c>
      <c r="AS36" s="629"/>
      <c r="AT36" s="378"/>
      <c r="AU36" s="378"/>
      <c r="AV36" s="378"/>
      <c r="AW36" s="378" t="e">
        <f t="shared" si="6"/>
        <v>#N/A</v>
      </c>
      <c r="AX36" s="629"/>
      <c r="BB36" s="378" t="e">
        <f t="shared" si="7"/>
        <v>#N/A</v>
      </c>
    </row>
    <row r="37" spans="2:54" ht="15.75">
      <c r="B37" s="615" t="s">
        <v>163</v>
      </c>
      <c r="C37" s="616"/>
      <c r="D37" s="616"/>
      <c r="E37" s="616"/>
      <c r="F37" s="616"/>
      <c r="G37" s="616"/>
      <c r="H37" s="616"/>
      <c r="I37" s="208"/>
      <c r="J37" s="208"/>
      <c r="K37" s="208"/>
      <c r="L37" s="208"/>
      <c r="M37" s="209"/>
      <c r="N37" s="591" t="s">
        <v>156</v>
      </c>
      <c r="O37" s="591" t="s">
        <v>105</v>
      </c>
      <c r="P37" s="635">
        <f>AT2+1</f>
        <v>45937</v>
      </c>
      <c r="Q37" s="636"/>
      <c r="R37" s="636"/>
      <c r="S37" s="636"/>
      <c r="T37" s="636"/>
      <c r="U37" s="597">
        <f>P37+1</f>
        <v>45938</v>
      </c>
      <c r="V37" s="598"/>
      <c r="W37" s="598"/>
      <c r="X37" s="598"/>
      <c r="Y37" s="598"/>
      <c r="Z37" s="597">
        <f>U37+1</f>
        <v>45939</v>
      </c>
      <c r="AA37" s="598"/>
      <c r="AB37" s="598"/>
      <c r="AC37" s="598"/>
      <c r="AD37" s="598"/>
      <c r="AE37" s="597">
        <f>Z37+1</f>
        <v>45940</v>
      </c>
      <c r="AF37" s="598"/>
      <c r="AG37" s="598"/>
      <c r="AH37" s="598"/>
      <c r="AI37" s="598"/>
      <c r="AJ37" s="597">
        <f>AE37+1</f>
        <v>45941</v>
      </c>
      <c r="AK37" s="598"/>
      <c r="AL37" s="598"/>
      <c r="AM37" s="598"/>
      <c r="AN37" s="598"/>
      <c r="AO37" s="597">
        <f>AJ37+1</f>
        <v>45942</v>
      </c>
      <c r="AP37" s="598"/>
      <c r="AQ37" s="598"/>
      <c r="AR37" s="598"/>
      <c r="AS37" s="598"/>
      <c r="AT37" s="597">
        <f>AO37+1</f>
        <v>45943</v>
      </c>
      <c r="AU37" s="598"/>
      <c r="AV37" s="598"/>
      <c r="AW37" s="598"/>
      <c r="AX37" s="598"/>
    </row>
    <row r="38" spans="2:54" ht="15.75">
      <c r="B38" s="605"/>
      <c r="C38" s="605"/>
      <c r="D38" s="605"/>
      <c r="E38" s="605"/>
      <c r="F38" s="605"/>
      <c r="G38" s="605"/>
      <c r="H38" s="605"/>
      <c r="I38" s="210"/>
      <c r="J38" s="210"/>
      <c r="K38" s="210"/>
      <c r="L38" s="210"/>
      <c r="M38" s="211"/>
      <c r="N38" s="593"/>
      <c r="O38" s="593"/>
      <c r="P38" s="597" t="s">
        <v>336</v>
      </c>
      <c r="Q38" s="598"/>
      <c r="R38" s="598"/>
      <c r="S38" s="598"/>
      <c r="T38" s="598"/>
      <c r="U38" s="597" t="s">
        <v>337</v>
      </c>
      <c r="V38" s="598"/>
      <c r="W38" s="598"/>
      <c r="X38" s="598"/>
      <c r="Y38" s="598"/>
      <c r="Z38" s="597" t="s">
        <v>338</v>
      </c>
      <c r="AA38" s="598"/>
      <c r="AB38" s="598"/>
      <c r="AC38" s="598"/>
      <c r="AD38" s="598"/>
      <c r="AE38" s="597" t="s">
        <v>339</v>
      </c>
      <c r="AF38" s="598"/>
      <c r="AG38" s="598"/>
      <c r="AH38" s="598"/>
      <c r="AI38" s="598"/>
      <c r="AJ38" s="597" t="s">
        <v>340</v>
      </c>
      <c r="AK38" s="598"/>
      <c r="AL38" s="598"/>
      <c r="AM38" s="598"/>
      <c r="AN38" s="598"/>
      <c r="AO38" s="597" t="s">
        <v>341</v>
      </c>
      <c r="AP38" s="598"/>
      <c r="AQ38" s="598"/>
      <c r="AR38" s="598"/>
      <c r="AS38" s="598"/>
      <c r="AT38" s="597" t="s">
        <v>342</v>
      </c>
      <c r="AU38" s="598"/>
      <c r="AV38" s="598"/>
      <c r="AW38" s="598"/>
      <c r="AX38" s="598"/>
    </row>
    <row r="39" spans="2:54">
      <c r="B39" s="590" t="s">
        <v>494</v>
      </c>
      <c r="C39" s="590" t="s">
        <v>495</v>
      </c>
      <c r="D39" s="590"/>
      <c r="E39" s="590" t="s">
        <v>496</v>
      </c>
      <c r="F39" s="590"/>
      <c r="G39" s="590"/>
      <c r="H39" s="606" t="s">
        <v>497</v>
      </c>
      <c r="I39" s="574" t="s">
        <v>498</v>
      </c>
      <c r="J39" s="574"/>
      <c r="K39" s="574"/>
      <c r="L39" s="575" t="s">
        <v>497</v>
      </c>
      <c r="M39" s="581" t="s">
        <v>499</v>
      </c>
      <c r="N39" s="590"/>
      <c r="O39" s="590" t="s">
        <v>500</v>
      </c>
      <c r="P39" s="587" t="s">
        <v>501</v>
      </c>
      <c r="Q39" s="588"/>
      <c r="R39" s="588"/>
      <c r="S39" s="589"/>
      <c r="T39" s="590" t="s">
        <v>497</v>
      </c>
      <c r="U39" s="587" t="s">
        <v>501</v>
      </c>
      <c r="V39" s="588"/>
      <c r="W39" s="588"/>
      <c r="X39" s="589"/>
      <c r="Y39" s="590" t="s">
        <v>497</v>
      </c>
      <c r="Z39" s="587" t="s">
        <v>501</v>
      </c>
      <c r="AA39" s="588"/>
      <c r="AB39" s="588"/>
      <c r="AC39" s="589"/>
      <c r="AD39" s="590" t="s">
        <v>497</v>
      </c>
      <c r="AE39" s="587" t="s">
        <v>501</v>
      </c>
      <c r="AF39" s="588"/>
      <c r="AG39" s="588"/>
      <c r="AH39" s="589"/>
      <c r="AI39" s="590" t="s">
        <v>497</v>
      </c>
      <c r="AJ39" s="587" t="s">
        <v>501</v>
      </c>
      <c r="AK39" s="588"/>
      <c r="AL39" s="588"/>
      <c r="AM39" s="589"/>
      <c r="AN39" s="590" t="s">
        <v>497</v>
      </c>
      <c r="AO39" s="587" t="s">
        <v>501</v>
      </c>
      <c r="AP39" s="588"/>
      <c r="AQ39" s="588"/>
      <c r="AR39" s="589"/>
      <c r="AS39" s="590" t="s">
        <v>497</v>
      </c>
      <c r="AT39" s="587" t="s">
        <v>501</v>
      </c>
      <c r="AU39" s="588"/>
      <c r="AV39" s="588"/>
      <c r="AW39" s="589"/>
      <c r="AX39" s="590" t="s">
        <v>497</v>
      </c>
    </row>
    <row r="40" spans="2:54">
      <c r="B40" s="590"/>
      <c r="C40" s="590"/>
      <c r="D40" s="590"/>
      <c r="E40" s="590" t="s">
        <v>502</v>
      </c>
      <c r="F40" s="590"/>
      <c r="G40" s="590"/>
      <c r="H40" s="607"/>
      <c r="I40" s="574" t="s">
        <v>502</v>
      </c>
      <c r="J40" s="574"/>
      <c r="K40" s="574"/>
      <c r="L40" s="576"/>
      <c r="M40" s="582"/>
      <c r="N40" s="590"/>
      <c r="O40" s="590"/>
      <c r="P40" s="587" t="s">
        <v>503</v>
      </c>
      <c r="Q40" s="588"/>
      <c r="R40" s="588"/>
      <c r="S40" s="589"/>
      <c r="T40" s="590"/>
      <c r="U40" s="587" t="s">
        <v>503</v>
      </c>
      <c r="V40" s="588"/>
      <c r="W40" s="588"/>
      <c r="X40" s="589"/>
      <c r="Y40" s="590"/>
      <c r="Z40" s="587" t="s">
        <v>503</v>
      </c>
      <c r="AA40" s="588"/>
      <c r="AB40" s="588"/>
      <c r="AC40" s="589"/>
      <c r="AD40" s="590"/>
      <c r="AE40" s="587" t="s">
        <v>503</v>
      </c>
      <c r="AF40" s="588"/>
      <c r="AG40" s="588"/>
      <c r="AH40" s="589"/>
      <c r="AI40" s="590"/>
      <c r="AJ40" s="587" t="s">
        <v>503</v>
      </c>
      <c r="AK40" s="588"/>
      <c r="AL40" s="588"/>
      <c r="AM40" s="589"/>
      <c r="AN40" s="590"/>
      <c r="AO40" s="587" t="s">
        <v>503</v>
      </c>
      <c r="AP40" s="588"/>
      <c r="AQ40" s="588"/>
      <c r="AR40" s="589"/>
      <c r="AS40" s="590"/>
      <c r="AT40" s="587" t="s">
        <v>503</v>
      </c>
      <c r="AU40" s="588"/>
      <c r="AV40" s="588"/>
      <c r="AW40" s="589"/>
      <c r="AX40" s="590"/>
    </row>
    <row r="41" spans="2:54">
      <c r="B41" s="590"/>
      <c r="C41" s="590"/>
      <c r="D41" s="590"/>
      <c r="E41" s="318" t="s">
        <v>504</v>
      </c>
      <c r="F41" s="318" t="s">
        <v>505</v>
      </c>
      <c r="G41" s="318" t="s">
        <v>506</v>
      </c>
      <c r="H41" s="608"/>
      <c r="I41" s="317" t="s">
        <v>504</v>
      </c>
      <c r="J41" s="317" t="s">
        <v>505</v>
      </c>
      <c r="K41" s="317" t="s">
        <v>506</v>
      </c>
      <c r="L41" s="577"/>
      <c r="M41" s="583"/>
      <c r="N41" s="590"/>
      <c r="O41" s="590"/>
      <c r="P41" s="318" t="s">
        <v>504</v>
      </c>
      <c r="Q41" s="318" t="s">
        <v>505</v>
      </c>
      <c r="R41" s="318" t="s">
        <v>506</v>
      </c>
      <c r="S41" s="318" t="s">
        <v>499</v>
      </c>
      <c r="T41" s="590"/>
      <c r="U41" s="318" t="s">
        <v>504</v>
      </c>
      <c r="V41" s="318" t="s">
        <v>505</v>
      </c>
      <c r="W41" s="318" t="s">
        <v>506</v>
      </c>
      <c r="X41" s="318" t="s">
        <v>499</v>
      </c>
      <c r="Y41" s="590"/>
      <c r="Z41" s="318" t="s">
        <v>504</v>
      </c>
      <c r="AA41" s="318" t="s">
        <v>505</v>
      </c>
      <c r="AB41" s="318" t="s">
        <v>506</v>
      </c>
      <c r="AC41" s="318" t="s">
        <v>499</v>
      </c>
      <c r="AD41" s="590"/>
      <c r="AE41" s="318" t="s">
        <v>504</v>
      </c>
      <c r="AF41" s="318" t="s">
        <v>505</v>
      </c>
      <c r="AG41" s="318" t="s">
        <v>506</v>
      </c>
      <c r="AH41" s="318" t="s">
        <v>499</v>
      </c>
      <c r="AI41" s="590"/>
      <c r="AJ41" s="318" t="s">
        <v>504</v>
      </c>
      <c r="AK41" s="318" t="s">
        <v>505</v>
      </c>
      <c r="AL41" s="318" t="s">
        <v>506</v>
      </c>
      <c r="AM41" s="318" t="s">
        <v>499</v>
      </c>
      <c r="AN41" s="590"/>
      <c r="AO41" s="318" t="s">
        <v>504</v>
      </c>
      <c r="AP41" s="318" t="s">
        <v>505</v>
      </c>
      <c r="AQ41" s="318" t="s">
        <v>506</v>
      </c>
      <c r="AR41" s="318" t="s">
        <v>499</v>
      </c>
      <c r="AS41" s="590"/>
      <c r="AT41" s="318" t="s">
        <v>504</v>
      </c>
      <c r="AU41" s="318" t="s">
        <v>505</v>
      </c>
      <c r="AV41" s="318" t="s">
        <v>506</v>
      </c>
      <c r="AW41" s="318" t="s">
        <v>499</v>
      </c>
      <c r="AX41" s="590"/>
    </row>
    <row r="42" spans="2:54">
      <c r="B42" s="590" t="s">
        <v>507</v>
      </c>
      <c r="C42" s="319">
        <v>1</v>
      </c>
      <c r="D42" s="231" t="s">
        <v>386</v>
      </c>
      <c r="E42" s="187">
        <v>6</v>
      </c>
      <c r="F42" s="319">
        <v>1500</v>
      </c>
      <c r="G42" s="322">
        <v>250</v>
      </c>
      <c r="H42" s="632">
        <f>AVERAGE(G42:G71)</f>
        <v>96.186336822448283</v>
      </c>
      <c r="I42" s="204">
        <f>AVERAGE(P42,U42,Z42,AE42,AJ42,AO42,AT42)</f>
        <v>6.7142857142857144</v>
      </c>
      <c r="J42" s="204">
        <f>AVERAGE(Q42,V42,AA42,AF42,AK42,AP42,AU42)</f>
        <v>1501.0200304403809</v>
      </c>
      <c r="K42" s="205">
        <f>AVERAGE(R42,W42,AB42,AG42,AL42,AQ42,AV42)</f>
        <v>224.6893506162809</v>
      </c>
      <c r="L42" s="571">
        <f>IFERROR(AVERAGE(K42:K71),"-")</f>
        <v>85.016107327099633</v>
      </c>
      <c r="M42" s="206">
        <f>RANK(K42, K$42:$K$71)</f>
        <v>1</v>
      </c>
      <c r="N42" s="590"/>
      <c r="O42" s="590"/>
      <c r="P42" s="187">
        <v>7</v>
      </c>
      <c r="Q42" s="187">
        <v>1523.2335329341315</v>
      </c>
      <c r="R42" s="187">
        <v>217.60479041916165</v>
      </c>
      <c r="S42" s="319">
        <f t="shared" ref="S42:S71" si="9">RANK(R42, R$42:R$71)</f>
        <v>1</v>
      </c>
      <c r="T42" s="629">
        <f>AVERAGE(R42:R71)</f>
        <v>85.075104150173217</v>
      </c>
      <c r="U42" s="187">
        <v>7</v>
      </c>
      <c r="V42" s="187">
        <v>1477.8388998035362</v>
      </c>
      <c r="W42" s="187">
        <v>211.11984282907659</v>
      </c>
      <c r="X42" s="319">
        <f t="shared" ref="X42:X71" si="10">RANK(W42, W$42:W$71)</f>
        <v>2</v>
      </c>
      <c r="Y42" s="629">
        <f>AVERAGE(W42:W71)</f>
        <v>84.204650937404239</v>
      </c>
      <c r="Z42" s="187">
        <v>7</v>
      </c>
      <c r="AA42" s="187">
        <v>1514.8427672955975</v>
      </c>
      <c r="AB42" s="187">
        <v>216.40610961365678</v>
      </c>
      <c r="AC42" s="319">
        <f t="shared" ref="AC42:AC71" si="11">RANK(AB42, AB$42:AB$71)</f>
        <v>1</v>
      </c>
      <c r="AD42" s="629">
        <f>AVERAGE(AB42:AB71)</f>
        <v>84.060946801885422</v>
      </c>
      <c r="AE42" s="187">
        <v>7</v>
      </c>
      <c r="AF42" s="187">
        <v>1510.5353319057813</v>
      </c>
      <c r="AG42" s="187">
        <v>215.7907617008259</v>
      </c>
      <c r="AH42" s="319">
        <f t="shared" ref="AH42:AH71" si="12">RANK(AG42, AG$42:AG$71)</f>
        <v>1</v>
      </c>
      <c r="AI42" s="629">
        <f>AVERAGE(AG42:AG71)</f>
        <v>85.297387576238251</v>
      </c>
      <c r="AJ42" s="187">
        <v>7</v>
      </c>
      <c r="AK42" s="187">
        <v>1464.8618784530388</v>
      </c>
      <c r="AL42" s="187">
        <v>209.26598263614841</v>
      </c>
      <c r="AM42" s="319">
        <f t="shared" ref="AM42:AM71" si="13">RANK(AL42, AL$42:AL$71)</f>
        <v>1</v>
      </c>
      <c r="AN42" s="629">
        <f>AVERAGE(AL42:AL71)</f>
        <v>85.472619633918299</v>
      </c>
      <c r="AO42" s="187">
        <v>6</v>
      </c>
      <c r="AP42" s="187">
        <v>1516.6278026905827</v>
      </c>
      <c r="AQ42" s="187">
        <v>252.77130044843045</v>
      </c>
      <c r="AR42" s="319">
        <f t="shared" ref="AR42:AR71" si="14">RANK(AQ42, AQ$42:AQ$71)</f>
        <v>1</v>
      </c>
      <c r="AS42" s="629">
        <f>AVERAGE(AQ42:AQ71)</f>
        <v>88.720406246691724</v>
      </c>
      <c r="AT42" s="187">
        <v>6</v>
      </c>
      <c r="AU42" s="187">
        <v>1499.1999999999996</v>
      </c>
      <c r="AV42" s="187">
        <v>249.86666666666659</v>
      </c>
      <c r="AW42" s="319">
        <f t="shared" ref="AW42:AW71" si="15">RANK(AV42, AV$42:AV$71)</f>
        <v>1</v>
      </c>
      <c r="AX42" s="629">
        <f>AVERAGE(AV42:AV71)</f>
        <v>86.97722991654598</v>
      </c>
    </row>
    <row r="43" spans="2:54">
      <c r="B43" s="598"/>
      <c r="C43" s="319">
        <v>2</v>
      </c>
      <c r="D43" s="231" t="s">
        <v>412</v>
      </c>
      <c r="E43" s="187">
        <v>7</v>
      </c>
      <c r="F43" s="319">
        <v>1500</v>
      </c>
      <c r="G43" s="322">
        <v>214.28571428571428</v>
      </c>
      <c r="H43" s="633"/>
      <c r="I43" s="204">
        <f t="shared" ref="I43:I65" si="16">AVERAGE(P43,U43,Z43,AE43,AJ43,AO43,AT43)</f>
        <v>6.8571428571428568</v>
      </c>
      <c r="J43" s="204">
        <f t="shared" ref="J43:J65" si="17">AVERAGE(Q43,V43,AA43,AF43,AK43,AP43,AU43)</f>
        <v>1477.4345461672651</v>
      </c>
      <c r="K43" s="205">
        <f t="shared" ref="K43:K65" si="18">AVERAGE(R43,W43,AB43,AG43,AL43,AQ43,AV43)</f>
        <v>216.01489786150745</v>
      </c>
      <c r="L43" s="572"/>
      <c r="M43" s="206">
        <f>RANK(K43, K$42:$K$71)</f>
        <v>2</v>
      </c>
      <c r="N43" s="590"/>
      <c r="O43" s="590"/>
      <c r="P43" s="187">
        <v>7</v>
      </c>
      <c r="Q43" s="187">
        <v>1522.6666666666665</v>
      </c>
      <c r="R43" s="187">
        <v>217.52380952380949</v>
      </c>
      <c r="S43" s="319">
        <f t="shared" si="9"/>
        <v>2</v>
      </c>
      <c r="T43" s="629"/>
      <c r="U43" s="187">
        <v>7</v>
      </c>
      <c r="V43" s="187">
        <v>1504</v>
      </c>
      <c r="W43" s="187">
        <v>214.85714285714286</v>
      </c>
      <c r="X43" s="319">
        <f t="shared" si="10"/>
        <v>1</v>
      </c>
      <c r="Y43" s="629"/>
      <c r="Z43" s="187">
        <v>7</v>
      </c>
      <c r="AA43" s="187">
        <v>1511.8518518518522</v>
      </c>
      <c r="AB43" s="187">
        <v>215.97883597883603</v>
      </c>
      <c r="AC43" s="319">
        <f t="shared" si="11"/>
        <v>2</v>
      </c>
      <c r="AD43" s="629"/>
      <c r="AE43" s="187">
        <v>7</v>
      </c>
      <c r="AF43" s="187">
        <v>1449.2857142857144</v>
      </c>
      <c r="AG43" s="187">
        <v>207.04081632653063</v>
      </c>
      <c r="AH43" s="319">
        <f t="shared" si="12"/>
        <v>2</v>
      </c>
      <c r="AI43" s="629"/>
      <c r="AJ43" s="187">
        <v>7</v>
      </c>
      <c r="AK43" s="187">
        <v>1446.5934065934066</v>
      </c>
      <c r="AL43" s="187">
        <v>206.65620094191522</v>
      </c>
      <c r="AM43" s="319">
        <f t="shared" si="13"/>
        <v>2</v>
      </c>
      <c r="AN43" s="629"/>
      <c r="AO43" s="187">
        <v>6</v>
      </c>
      <c r="AP43" s="187">
        <v>1456.1290322580642</v>
      </c>
      <c r="AQ43" s="187">
        <v>242.6881720430107</v>
      </c>
      <c r="AR43" s="319">
        <f t="shared" si="14"/>
        <v>2</v>
      </c>
      <c r="AS43" s="629"/>
      <c r="AT43" s="187">
        <v>7</v>
      </c>
      <c r="AU43" s="187">
        <v>1451.5151515151513</v>
      </c>
      <c r="AV43" s="187">
        <v>207.35930735930734</v>
      </c>
      <c r="AW43" s="319">
        <f t="shared" si="15"/>
        <v>2</v>
      </c>
      <c r="AX43" s="629"/>
    </row>
    <row r="44" spans="2:54">
      <c r="B44" s="598"/>
      <c r="C44" s="319">
        <v>3</v>
      </c>
      <c r="D44" s="231" t="s">
        <v>387</v>
      </c>
      <c r="E44" s="187">
        <v>18</v>
      </c>
      <c r="F44" s="319">
        <v>1500</v>
      </c>
      <c r="G44" s="322">
        <v>83.333333333333329</v>
      </c>
      <c r="H44" s="633"/>
      <c r="I44" s="204">
        <f t="shared" si="16"/>
        <v>18</v>
      </c>
      <c r="J44" s="204">
        <f t="shared" si="17"/>
        <v>1291.2969682821038</v>
      </c>
      <c r="K44" s="205">
        <f t="shared" si="18"/>
        <v>71.73872046011688</v>
      </c>
      <c r="L44" s="572"/>
      <c r="M44" s="206">
        <f>RANK(K44, K$42:$K$71)</f>
        <v>16</v>
      </c>
      <c r="N44" s="590"/>
      <c r="O44" s="590"/>
      <c r="P44" s="187">
        <v>18</v>
      </c>
      <c r="Q44" s="187">
        <v>1310.148648648649</v>
      </c>
      <c r="R44" s="187">
        <v>72.786036036036052</v>
      </c>
      <c r="S44" s="319">
        <f t="shared" si="9"/>
        <v>15</v>
      </c>
      <c r="T44" s="629"/>
      <c r="U44" s="187">
        <v>18</v>
      </c>
      <c r="V44" s="187">
        <v>1275.862068965517</v>
      </c>
      <c r="W44" s="187">
        <v>70.881226053639836</v>
      </c>
      <c r="X44" s="319">
        <f t="shared" si="10"/>
        <v>17</v>
      </c>
      <c r="Y44" s="629"/>
      <c r="Z44" s="187">
        <v>18</v>
      </c>
      <c r="AA44" s="187">
        <v>1255.9459459459465</v>
      </c>
      <c r="AB44" s="187">
        <v>69.774774774774812</v>
      </c>
      <c r="AC44" s="319">
        <f t="shared" si="11"/>
        <v>19</v>
      </c>
      <c r="AD44" s="629"/>
      <c r="AE44" s="187">
        <v>18</v>
      </c>
      <c r="AF44" s="187">
        <v>1301.8421052631584</v>
      </c>
      <c r="AG44" s="187">
        <v>72.324561403508795</v>
      </c>
      <c r="AH44" s="319">
        <f t="shared" si="12"/>
        <v>15</v>
      </c>
      <c r="AI44" s="629"/>
      <c r="AJ44" s="187">
        <v>18</v>
      </c>
      <c r="AK44" s="187">
        <v>1297.0786516853932</v>
      </c>
      <c r="AL44" s="187">
        <v>72.059925093632955</v>
      </c>
      <c r="AM44" s="319">
        <f t="shared" si="13"/>
        <v>16</v>
      </c>
      <c r="AN44" s="629"/>
      <c r="AO44" s="187">
        <v>18</v>
      </c>
      <c r="AP44" s="187">
        <v>1306.4705882352937</v>
      </c>
      <c r="AQ44" s="187">
        <v>72.581699346405202</v>
      </c>
      <c r="AR44" s="319">
        <f t="shared" si="14"/>
        <v>16</v>
      </c>
      <c r="AS44" s="629"/>
      <c r="AT44" s="187">
        <v>18</v>
      </c>
      <c r="AU44" s="187">
        <v>1291.7307692307688</v>
      </c>
      <c r="AV44" s="187">
        <v>71.762820512820497</v>
      </c>
      <c r="AW44" s="319">
        <f t="shared" si="15"/>
        <v>16</v>
      </c>
      <c r="AX44" s="629"/>
    </row>
    <row r="45" spans="2:54">
      <c r="B45" s="598"/>
      <c r="C45" s="319">
        <v>4</v>
      </c>
      <c r="D45" s="231" t="s">
        <v>359</v>
      </c>
      <c r="E45" s="187">
        <v>21</v>
      </c>
      <c r="F45" s="319">
        <v>1500</v>
      </c>
      <c r="G45" s="322">
        <v>71.428571428571431</v>
      </c>
      <c r="H45" s="633"/>
      <c r="I45" s="204">
        <f t="shared" si="16"/>
        <v>20.571428571428573</v>
      </c>
      <c r="J45" s="204">
        <f t="shared" si="17"/>
        <v>1280.3530750533405</v>
      </c>
      <c r="K45" s="205">
        <f t="shared" si="18"/>
        <v>62.262243060551668</v>
      </c>
      <c r="L45" s="572"/>
      <c r="M45" s="206">
        <f>RANK(K45, K$42:$K$71)</f>
        <v>24</v>
      </c>
      <c r="N45" s="590"/>
      <c r="O45" s="590"/>
      <c r="P45" s="187">
        <v>21</v>
      </c>
      <c r="Q45" s="187">
        <v>1297.6271186440688</v>
      </c>
      <c r="R45" s="187">
        <v>61.791767554479463</v>
      </c>
      <c r="S45" s="319">
        <f t="shared" si="9"/>
        <v>25</v>
      </c>
      <c r="T45" s="629"/>
      <c r="U45" s="187">
        <v>21</v>
      </c>
      <c r="V45" s="187">
        <v>1295.7894736842115</v>
      </c>
      <c r="W45" s="187">
        <v>61.70426065162912</v>
      </c>
      <c r="X45" s="319">
        <f t="shared" si="10"/>
        <v>24</v>
      </c>
      <c r="Y45" s="629"/>
      <c r="Z45" s="187">
        <v>20</v>
      </c>
      <c r="AA45" s="187">
        <v>1275.6000000000004</v>
      </c>
      <c r="AB45" s="187">
        <v>63.780000000000015</v>
      </c>
      <c r="AC45" s="319">
        <f t="shared" si="11"/>
        <v>23</v>
      </c>
      <c r="AD45" s="629"/>
      <c r="AE45" s="187">
        <v>21</v>
      </c>
      <c r="AF45" s="187">
        <v>1286.5384615384623</v>
      </c>
      <c r="AG45" s="187">
        <v>61.263736263736305</v>
      </c>
      <c r="AH45" s="319">
        <f t="shared" si="12"/>
        <v>22</v>
      </c>
      <c r="AI45" s="629"/>
      <c r="AJ45" s="187">
        <v>20</v>
      </c>
      <c r="AK45" s="187">
        <v>1267.8688524590175</v>
      </c>
      <c r="AL45" s="187">
        <v>63.393442622950872</v>
      </c>
      <c r="AM45" s="319">
        <f t="shared" si="13"/>
        <v>23</v>
      </c>
      <c r="AN45" s="629"/>
      <c r="AO45" s="187">
        <v>20</v>
      </c>
      <c r="AP45" s="187">
        <v>1258.0952380952394</v>
      </c>
      <c r="AQ45" s="187">
        <v>62.904761904761969</v>
      </c>
      <c r="AR45" s="319">
        <f t="shared" si="14"/>
        <v>23</v>
      </c>
      <c r="AS45" s="629"/>
      <c r="AT45" s="187">
        <v>21</v>
      </c>
      <c r="AU45" s="187">
        <v>1280.9523809523821</v>
      </c>
      <c r="AV45" s="187">
        <v>60.997732426303912</v>
      </c>
      <c r="AW45" s="319">
        <f t="shared" si="15"/>
        <v>23</v>
      </c>
      <c r="AX45" s="629"/>
    </row>
    <row r="46" spans="2:54">
      <c r="B46" s="598"/>
      <c r="C46" s="319">
        <v>5</v>
      </c>
      <c r="D46" s="231" t="s">
        <v>428</v>
      </c>
      <c r="E46" s="187">
        <v>19</v>
      </c>
      <c r="F46" s="319">
        <v>1500</v>
      </c>
      <c r="G46" s="322">
        <v>78.94736842105263</v>
      </c>
      <c r="H46" s="633"/>
      <c r="I46" s="204">
        <f t="shared" si="16"/>
        <v>19</v>
      </c>
      <c r="J46" s="204">
        <f t="shared" si="17"/>
        <v>1215.0557184750714</v>
      </c>
      <c r="K46" s="205">
        <f t="shared" si="18"/>
        <v>63.950300972372183</v>
      </c>
      <c r="L46" s="572"/>
      <c r="M46" s="206">
        <f>RANK(K46, K$42:$K$71)</f>
        <v>23</v>
      </c>
      <c r="N46" s="590"/>
      <c r="O46" s="590"/>
      <c r="P46" s="187">
        <v>19</v>
      </c>
      <c r="Q46" s="187">
        <v>1261.9999999999977</v>
      </c>
      <c r="R46" s="187">
        <v>66.421052631578831</v>
      </c>
      <c r="S46" s="319">
        <f t="shared" si="9"/>
        <v>20</v>
      </c>
      <c r="T46" s="629"/>
      <c r="U46" s="187">
        <v>19</v>
      </c>
      <c r="V46" s="187">
        <v>1250.9090909090894</v>
      </c>
      <c r="W46" s="187">
        <v>65.837320574162604</v>
      </c>
      <c r="X46" s="319">
        <f t="shared" si="10"/>
        <v>22</v>
      </c>
      <c r="Y46" s="629"/>
      <c r="Z46" s="187">
        <v>19</v>
      </c>
      <c r="AA46" s="187">
        <v>1132.2580645161272</v>
      </c>
      <c r="AB46" s="187">
        <v>59.592529711375114</v>
      </c>
      <c r="AC46" s="319">
        <f t="shared" si="11"/>
        <v>24</v>
      </c>
      <c r="AD46" s="629"/>
      <c r="AE46" s="187"/>
      <c r="AF46" s="187"/>
      <c r="AG46" s="187"/>
      <c r="AH46" s="319" t="e">
        <f t="shared" si="12"/>
        <v>#N/A</v>
      </c>
      <c r="AI46" s="629"/>
      <c r="AJ46" s="187"/>
      <c r="AK46" s="187"/>
      <c r="AL46" s="187"/>
      <c r="AM46" s="319" t="e">
        <f t="shared" si="13"/>
        <v>#N/A</v>
      </c>
      <c r="AN46" s="629"/>
      <c r="AO46" s="187"/>
      <c r="AP46" s="187"/>
      <c r="AQ46" s="187"/>
      <c r="AR46" s="319" t="e">
        <f t="shared" si="14"/>
        <v>#N/A</v>
      </c>
      <c r="AS46" s="629"/>
      <c r="AT46" s="187"/>
      <c r="AU46" s="187"/>
      <c r="AV46" s="187"/>
      <c r="AW46" s="319" t="e">
        <f t="shared" si="15"/>
        <v>#N/A</v>
      </c>
      <c r="AX46" s="629"/>
    </row>
    <row r="47" spans="2:54">
      <c r="B47" s="598"/>
      <c r="C47" s="319">
        <v>6</v>
      </c>
      <c r="D47" s="231" t="s">
        <v>357</v>
      </c>
      <c r="E47" s="187">
        <v>17</v>
      </c>
      <c r="F47" s="319">
        <v>1500</v>
      </c>
      <c r="G47" s="322">
        <v>88.235294117647058</v>
      </c>
      <c r="H47" s="633"/>
      <c r="I47" s="204">
        <f t="shared" si="16"/>
        <v>17</v>
      </c>
      <c r="J47" s="204">
        <f t="shared" si="17"/>
        <v>1326.5077057924339</v>
      </c>
      <c r="K47" s="205">
        <f t="shared" si="18"/>
        <v>78.02986504661375</v>
      </c>
      <c r="L47" s="572"/>
      <c r="M47" s="206">
        <f>RANK(K47, K$42:$K$71)</f>
        <v>8</v>
      </c>
      <c r="N47" s="590"/>
      <c r="O47" s="590"/>
      <c r="P47" s="187">
        <v>17</v>
      </c>
      <c r="Q47" s="187">
        <v>1331.9999999999989</v>
      </c>
      <c r="R47" s="187">
        <v>78.352941176470523</v>
      </c>
      <c r="S47" s="319">
        <f t="shared" si="9"/>
        <v>10</v>
      </c>
      <c r="T47" s="629"/>
      <c r="U47" s="187">
        <v>17</v>
      </c>
      <c r="V47" s="187">
        <v>1295.7894736842097</v>
      </c>
      <c r="W47" s="187">
        <v>76.222910216718219</v>
      </c>
      <c r="X47" s="319">
        <f t="shared" si="10"/>
        <v>12</v>
      </c>
      <c r="Y47" s="629"/>
      <c r="Z47" s="187">
        <v>17</v>
      </c>
      <c r="AA47" s="187">
        <v>1320.0000000000005</v>
      </c>
      <c r="AB47" s="187">
        <v>77.647058823529434</v>
      </c>
      <c r="AC47" s="319">
        <f t="shared" si="11"/>
        <v>6</v>
      </c>
      <c r="AD47" s="629"/>
      <c r="AE47" s="187">
        <v>17</v>
      </c>
      <c r="AF47" s="187">
        <v>1344.23076923077</v>
      </c>
      <c r="AG47" s="187">
        <v>79.072398190045291</v>
      </c>
      <c r="AH47" s="319">
        <f t="shared" si="12"/>
        <v>7</v>
      </c>
      <c r="AI47" s="629"/>
      <c r="AJ47" s="187">
        <v>17</v>
      </c>
      <c r="AK47" s="187">
        <v>1372.2222222222229</v>
      </c>
      <c r="AL47" s="187">
        <v>80.718954248366046</v>
      </c>
      <c r="AM47" s="319">
        <f t="shared" si="13"/>
        <v>5</v>
      </c>
      <c r="AN47" s="629"/>
      <c r="AO47" s="187">
        <v>17</v>
      </c>
      <c r="AP47" s="187">
        <v>1301.3114754098356</v>
      </c>
      <c r="AQ47" s="187">
        <v>76.547733847637389</v>
      </c>
      <c r="AR47" s="319">
        <f t="shared" si="14"/>
        <v>8</v>
      </c>
      <c r="AS47" s="629"/>
      <c r="AT47" s="187">
        <v>17</v>
      </c>
      <c r="AU47" s="187">
        <v>1319.9999999999995</v>
      </c>
      <c r="AV47" s="187">
        <v>77.647058823529392</v>
      </c>
      <c r="AW47" s="319">
        <f t="shared" si="15"/>
        <v>8</v>
      </c>
      <c r="AX47" s="629"/>
    </row>
    <row r="48" spans="2:54">
      <c r="B48" s="598"/>
      <c r="C48" s="319">
        <v>7</v>
      </c>
      <c r="D48" s="231" t="s">
        <v>394</v>
      </c>
      <c r="E48" s="187">
        <v>17</v>
      </c>
      <c r="F48" s="319">
        <v>1565</v>
      </c>
      <c r="G48" s="322">
        <v>92.058823529411768</v>
      </c>
      <c r="H48" s="633"/>
      <c r="I48" s="204">
        <f t="shared" si="16"/>
        <v>17</v>
      </c>
      <c r="J48" s="204">
        <f t="shared" si="17"/>
        <v>1378.5289875059825</v>
      </c>
      <c r="K48" s="205">
        <f t="shared" si="18"/>
        <v>81.089940441528398</v>
      </c>
      <c r="L48" s="572"/>
      <c r="M48" s="206">
        <f>RANK(K48, K$42:$K$71)</f>
        <v>4</v>
      </c>
      <c r="N48" s="590"/>
      <c r="O48" s="590"/>
      <c r="P48" s="187">
        <v>17</v>
      </c>
      <c r="Q48" s="187">
        <v>1367.7108433734934</v>
      </c>
      <c r="R48" s="187">
        <v>80.453579021970199</v>
      </c>
      <c r="S48" s="319">
        <f t="shared" si="9"/>
        <v>6</v>
      </c>
      <c r="T48" s="629"/>
      <c r="U48" s="187">
        <v>17</v>
      </c>
      <c r="V48" s="187">
        <v>1359.3103448275861</v>
      </c>
      <c r="W48" s="187">
        <v>79.959432048681535</v>
      </c>
      <c r="X48" s="319">
        <f t="shared" si="10"/>
        <v>5</v>
      </c>
      <c r="Y48" s="629"/>
      <c r="Z48" s="187">
        <v>17</v>
      </c>
      <c r="AA48" s="187">
        <v>1344.9999999999995</v>
      </c>
      <c r="AB48" s="187">
        <v>79.117647058823508</v>
      </c>
      <c r="AC48" s="319">
        <f t="shared" si="11"/>
        <v>5</v>
      </c>
      <c r="AD48" s="629"/>
      <c r="AE48" s="187">
        <v>17</v>
      </c>
      <c r="AF48" s="187">
        <v>1409.2682926829277</v>
      </c>
      <c r="AG48" s="187">
        <v>82.898134863701628</v>
      </c>
      <c r="AH48" s="319">
        <f t="shared" si="12"/>
        <v>4</v>
      </c>
      <c r="AI48" s="629"/>
      <c r="AJ48" s="187">
        <v>17</v>
      </c>
      <c r="AK48" s="187">
        <v>1368.4090909090921</v>
      </c>
      <c r="AL48" s="187">
        <v>80.494652406417188</v>
      </c>
      <c r="AM48" s="319">
        <f t="shared" si="13"/>
        <v>6</v>
      </c>
      <c r="AN48" s="629"/>
      <c r="AO48" s="187">
        <v>17</v>
      </c>
      <c r="AP48" s="187">
        <v>1399.7938144329901</v>
      </c>
      <c r="AQ48" s="187">
        <v>82.340812613705296</v>
      </c>
      <c r="AR48" s="319">
        <f t="shared" si="14"/>
        <v>4</v>
      </c>
      <c r="AS48" s="629"/>
      <c r="AT48" s="187">
        <v>17</v>
      </c>
      <c r="AU48" s="187">
        <v>1400.2105263157898</v>
      </c>
      <c r="AV48" s="187">
        <v>82.365325077399405</v>
      </c>
      <c r="AW48" s="319">
        <f t="shared" si="15"/>
        <v>4</v>
      </c>
      <c r="AX48" s="629"/>
    </row>
    <row r="49" spans="2:50">
      <c r="B49" s="598"/>
      <c r="C49" s="319">
        <v>8</v>
      </c>
      <c r="D49" s="231" t="s">
        <v>346</v>
      </c>
      <c r="E49" s="187">
        <v>16</v>
      </c>
      <c r="F49" s="319">
        <v>1440</v>
      </c>
      <c r="G49" s="322">
        <v>90</v>
      </c>
      <c r="H49" s="633"/>
      <c r="I49" s="204">
        <f t="shared" si="16"/>
        <v>16</v>
      </c>
      <c r="J49" s="204">
        <f t="shared" si="17"/>
        <v>1285.7369893452358</v>
      </c>
      <c r="K49" s="205">
        <f t="shared" si="18"/>
        <v>80.358561834077236</v>
      </c>
      <c r="L49" s="572"/>
      <c r="M49" s="206">
        <f>RANK(K49, K$42:$K$71)</f>
        <v>5</v>
      </c>
      <c r="N49" s="590"/>
      <c r="O49" s="590"/>
      <c r="P49" s="187">
        <v>16</v>
      </c>
      <c r="Q49" s="187">
        <v>1314.7058823529396</v>
      </c>
      <c r="R49" s="187">
        <v>82.169117647058727</v>
      </c>
      <c r="S49" s="319">
        <f t="shared" si="9"/>
        <v>4</v>
      </c>
      <c r="T49" s="629"/>
      <c r="U49" s="187">
        <v>16</v>
      </c>
      <c r="V49" s="187">
        <v>1304.5714285714273</v>
      </c>
      <c r="W49" s="187">
        <v>81.535714285714207</v>
      </c>
      <c r="X49" s="319">
        <f t="shared" si="10"/>
        <v>4</v>
      </c>
      <c r="Y49" s="629"/>
      <c r="Z49" s="187">
        <v>16</v>
      </c>
      <c r="AA49" s="187">
        <v>1241.3793103448252</v>
      </c>
      <c r="AB49" s="187">
        <v>77.586206896551573</v>
      </c>
      <c r="AC49" s="319">
        <f t="shared" si="11"/>
        <v>7</v>
      </c>
      <c r="AD49" s="629"/>
      <c r="AE49" s="187">
        <v>16</v>
      </c>
      <c r="AF49" s="187">
        <v>1300.6451612903206</v>
      </c>
      <c r="AG49" s="187">
        <v>81.290322580645039</v>
      </c>
      <c r="AH49" s="319">
        <f t="shared" si="12"/>
        <v>5</v>
      </c>
      <c r="AI49" s="629"/>
      <c r="AJ49" s="187">
        <v>16</v>
      </c>
      <c r="AK49" s="187">
        <v>1299.9999999999984</v>
      </c>
      <c r="AL49" s="187">
        <v>81.249999999999901</v>
      </c>
      <c r="AM49" s="319">
        <f t="shared" si="13"/>
        <v>4</v>
      </c>
      <c r="AN49" s="629"/>
      <c r="AO49" s="187">
        <v>16</v>
      </c>
      <c r="AP49" s="187">
        <v>1283.9999999999986</v>
      </c>
      <c r="AQ49" s="187">
        <v>80.249999999999915</v>
      </c>
      <c r="AR49" s="319">
        <f t="shared" si="14"/>
        <v>6</v>
      </c>
      <c r="AS49" s="629"/>
      <c r="AT49" s="187">
        <v>16</v>
      </c>
      <c r="AU49" s="187">
        <v>1254.8571428571415</v>
      </c>
      <c r="AV49" s="187">
        <v>78.428571428571345</v>
      </c>
      <c r="AW49" s="319">
        <f t="shared" si="15"/>
        <v>7</v>
      </c>
      <c r="AX49" s="629"/>
    </row>
    <row r="50" spans="2:50">
      <c r="B50" s="598"/>
      <c r="C50" s="319">
        <v>9</v>
      </c>
      <c r="D50" s="231" t="s">
        <v>393</v>
      </c>
      <c r="E50" s="187">
        <v>17</v>
      </c>
      <c r="F50" s="319">
        <v>1440</v>
      </c>
      <c r="G50" s="322">
        <v>84.705882352941174</v>
      </c>
      <c r="H50" s="633"/>
      <c r="I50" s="204">
        <f t="shared" si="16"/>
        <v>17</v>
      </c>
      <c r="J50" s="204">
        <f t="shared" si="17"/>
        <v>1290.065117860863</v>
      </c>
      <c r="K50" s="205">
        <f t="shared" si="18"/>
        <v>75.886183403580176</v>
      </c>
      <c r="L50" s="572"/>
      <c r="M50" s="206">
        <f>RANK(K50, K$42:$K$71)</f>
        <v>11</v>
      </c>
      <c r="N50" s="590"/>
      <c r="O50" s="590"/>
      <c r="P50" s="187">
        <v>17</v>
      </c>
      <c r="Q50" s="187">
        <v>1266.9230769230776</v>
      </c>
      <c r="R50" s="187">
        <v>74.524886877828095</v>
      </c>
      <c r="S50" s="319">
        <f t="shared" si="9"/>
        <v>12</v>
      </c>
      <c r="T50" s="629"/>
      <c r="U50" s="187">
        <v>17</v>
      </c>
      <c r="V50" s="187">
        <v>1311.6000000000004</v>
      </c>
      <c r="W50" s="187">
        <v>77.152941176470605</v>
      </c>
      <c r="X50" s="319">
        <f t="shared" si="10"/>
        <v>9</v>
      </c>
      <c r="Y50" s="629"/>
      <c r="Z50" s="187">
        <v>17</v>
      </c>
      <c r="AA50" s="187">
        <v>1296.8181818181818</v>
      </c>
      <c r="AB50" s="187">
        <v>76.283422459893046</v>
      </c>
      <c r="AC50" s="319">
        <f t="shared" si="11"/>
        <v>10</v>
      </c>
      <c r="AD50" s="629"/>
      <c r="AE50" s="187">
        <v>17</v>
      </c>
      <c r="AF50" s="187">
        <v>1293.1914893617022</v>
      </c>
      <c r="AG50" s="187">
        <v>76.070087609511901</v>
      </c>
      <c r="AH50" s="319">
        <f t="shared" si="12"/>
        <v>9</v>
      </c>
      <c r="AI50" s="629"/>
      <c r="AJ50" s="187">
        <v>17</v>
      </c>
      <c r="AK50" s="187">
        <v>1279.6153846153852</v>
      </c>
      <c r="AL50" s="187">
        <v>75.271493212669725</v>
      </c>
      <c r="AM50" s="319">
        <f t="shared" si="13"/>
        <v>11</v>
      </c>
      <c r="AN50" s="629"/>
      <c r="AO50" s="187">
        <v>17</v>
      </c>
      <c r="AP50" s="187">
        <v>1301.5384615384623</v>
      </c>
      <c r="AQ50" s="187">
        <v>76.561085972850719</v>
      </c>
      <c r="AR50" s="319">
        <f t="shared" si="14"/>
        <v>7</v>
      </c>
      <c r="AS50" s="629"/>
      <c r="AT50" s="187">
        <v>17</v>
      </c>
      <c r="AU50" s="187">
        <v>1280.7692307692314</v>
      </c>
      <c r="AV50" s="187">
        <v>75.339366515837142</v>
      </c>
      <c r="AW50" s="319">
        <f t="shared" si="15"/>
        <v>11</v>
      </c>
      <c r="AX50" s="629"/>
    </row>
    <row r="51" spans="2:50">
      <c r="B51" s="598"/>
      <c r="C51" s="319">
        <v>10</v>
      </c>
      <c r="D51" s="231" t="s">
        <v>662</v>
      </c>
      <c r="E51" s="187">
        <v>17</v>
      </c>
      <c r="F51" s="319">
        <v>1500</v>
      </c>
      <c r="G51" s="322">
        <v>88.235294117647058</v>
      </c>
      <c r="H51" s="633"/>
      <c r="I51" s="204">
        <f t="shared" si="16"/>
        <v>16.666666666666668</v>
      </c>
      <c r="J51" s="204">
        <f t="shared" si="17"/>
        <v>1330.7879924953097</v>
      </c>
      <c r="K51" s="205">
        <f t="shared" si="18"/>
        <v>79.93605838207705</v>
      </c>
      <c r="L51" s="572"/>
      <c r="M51" s="206">
        <f>RANK(K51, K$42:$K$71)</f>
        <v>6</v>
      </c>
      <c r="N51" s="590"/>
      <c r="O51" s="590"/>
      <c r="P51" s="187">
        <v>16</v>
      </c>
      <c r="Q51" s="187">
        <v>1350.0000000000005</v>
      </c>
      <c r="R51" s="187">
        <v>84.375000000000028</v>
      </c>
      <c r="S51" s="319">
        <f t="shared" si="9"/>
        <v>3</v>
      </c>
      <c r="T51" s="629"/>
      <c r="U51" s="187">
        <v>17</v>
      </c>
      <c r="V51" s="187">
        <v>1338.4615384615392</v>
      </c>
      <c r="W51" s="187">
        <v>78.733031674208192</v>
      </c>
      <c r="X51" s="319">
        <f t="shared" si="10"/>
        <v>6</v>
      </c>
      <c r="Y51" s="629"/>
      <c r="Z51" s="187">
        <v>17</v>
      </c>
      <c r="AA51" s="187">
        <v>1303.9024390243897</v>
      </c>
      <c r="AB51" s="187">
        <v>76.700143472022916</v>
      </c>
      <c r="AC51" s="319">
        <f t="shared" si="11"/>
        <v>9</v>
      </c>
      <c r="AD51" s="629"/>
      <c r="AE51" s="187"/>
      <c r="AF51" s="187"/>
      <c r="AG51" s="187"/>
      <c r="AH51" s="319" t="e">
        <f t="shared" si="12"/>
        <v>#N/A</v>
      </c>
      <c r="AI51" s="629"/>
      <c r="AJ51" s="187"/>
      <c r="AK51" s="187"/>
      <c r="AL51" s="187"/>
      <c r="AM51" s="319" t="e">
        <f t="shared" si="13"/>
        <v>#N/A</v>
      </c>
      <c r="AN51" s="629"/>
      <c r="AO51" s="187"/>
      <c r="AP51" s="187"/>
      <c r="AQ51" s="187"/>
      <c r="AR51" s="319" t="e">
        <f t="shared" si="14"/>
        <v>#N/A</v>
      </c>
      <c r="AS51" s="629"/>
      <c r="AT51" s="187"/>
      <c r="AU51" s="187"/>
      <c r="AV51" s="187"/>
      <c r="AW51" s="319" t="e">
        <f t="shared" si="15"/>
        <v>#N/A</v>
      </c>
      <c r="AX51" s="629"/>
    </row>
    <row r="52" spans="2:50">
      <c r="B52" s="598"/>
      <c r="C52" s="319">
        <v>11</v>
      </c>
      <c r="D52" s="231" t="s">
        <v>389</v>
      </c>
      <c r="E52" s="187">
        <v>18</v>
      </c>
      <c r="F52" s="319">
        <v>1440</v>
      </c>
      <c r="G52" s="322">
        <v>80</v>
      </c>
      <c r="H52" s="633"/>
      <c r="I52" s="204">
        <f t="shared" si="16"/>
        <v>16.571428571428573</v>
      </c>
      <c r="J52" s="204">
        <f t="shared" si="17"/>
        <v>1170.5096908057606</v>
      </c>
      <c r="K52" s="205">
        <f t="shared" si="18"/>
        <v>70.689487385492797</v>
      </c>
      <c r="L52" s="572"/>
      <c r="M52" s="206">
        <f>RANK(K52, K$42:$K$71)</f>
        <v>19</v>
      </c>
      <c r="N52" s="590"/>
      <c r="O52" s="590"/>
      <c r="P52" s="187">
        <v>17</v>
      </c>
      <c r="Q52" s="187">
        <v>1195.0000000000002</v>
      </c>
      <c r="R52" s="187">
        <v>70.29411764705884</v>
      </c>
      <c r="S52" s="319">
        <f t="shared" si="9"/>
        <v>19</v>
      </c>
      <c r="T52" s="629"/>
      <c r="U52" s="187">
        <v>17</v>
      </c>
      <c r="V52" s="187">
        <v>1208.4000000000003</v>
      </c>
      <c r="W52" s="187">
        <v>71.082352941176495</v>
      </c>
      <c r="X52" s="319">
        <f t="shared" si="10"/>
        <v>16</v>
      </c>
      <c r="Y52" s="629"/>
      <c r="Z52" s="187">
        <v>16</v>
      </c>
      <c r="AA52" s="187">
        <v>1186.3636363636365</v>
      </c>
      <c r="AB52" s="187">
        <v>74.14772727272728</v>
      </c>
      <c r="AC52" s="319">
        <f t="shared" si="11"/>
        <v>14</v>
      </c>
      <c r="AD52" s="629"/>
      <c r="AE52" s="187">
        <v>16</v>
      </c>
      <c r="AF52" s="187">
        <v>1150.7142857142867</v>
      </c>
      <c r="AG52" s="187">
        <v>71.919642857142918</v>
      </c>
      <c r="AH52" s="319">
        <f t="shared" si="12"/>
        <v>16</v>
      </c>
      <c r="AI52" s="629"/>
      <c r="AJ52" s="187">
        <v>16</v>
      </c>
      <c r="AK52" s="187">
        <v>1158.6206896551732</v>
      </c>
      <c r="AL52" s="187">
        <v>72.413793103448327</v>
      </c>
      <c r="AM52" s="319">
        <f t="shared" si="13"/>
        <v>15</v>
      </c>
      <c r="AN52" s="629"/>
      <c r="AO52" s="187">
        <v>17</v>
      </c>
      <c r="AP52" s="187">
        <v>1176.8421052631588</v>
      </c>
      <c r="AQ52" s="187">
        <v>69.226006191950518</v>
      </c>
      <c r="AR52" s="319">
        <f t="shared" si="14"/>
        <v>18</v>
      </c>
      <c r="AS52" s="629"/>
      <c r="AT52" s="187">
        <v>17</v>
      </c>
      <c r="AU52" s="187">
        <v>1117.6271186440688</v>
      </c>
      <c r="AV52" s="187">
        <v>65.742771684945225</v>
      </c>
      <c r="AW52" s="319">
        <f t="shared" si="15"/>
        <v>21</v>
      </c>
      <c r="AX52" s="629"/>
    </row>
    <row r="53" spans="2:50">
      <c r="B53" s="598"/>
      <c r="C53" s="319">
        <v>12</v>
      </c>
      <c r="D53" s="231" t="s">
        <v>392</v>
      </c>
      <c r="E53" s="187">
        <v>20</v>
      </c>
      <c r="F53" s="319">
        <v>1636</v>
      </c>
      <c r="G53" s="322">
        <v>81.8</v>
      </c>
      <c r="H53" s="633"/>
      <c r="I53" s="204">
        <f t="shared" si="16"/>
        <v>19</v>
      </c>
      <c r="J53" s="204">
        <f t="shared" si="17"/>
        <v>1274.8491219538421</v>
      </c>
      <c r="K53" s="205">
        <f t="shared" si="18"/>
        <v>67.097322208096941</v>
      </c>
      <c r="L53" s="572"/>
      <c r="M53" s="206">
        <f>RANK(K53, K$42:$K$71)</f>
        <v>21</v>
      </c>
      <c r="N53" s="590"/>
      <c r="O53" s="590"/>
      <c r="P53" s="187">
        <v>19</v>
      </c>
      <c r="Q53" s="187">
        <v>1257.9069767441858</v>
      </c>
      <c r="R53" s="187">
        <v>66.205630354957151</v>
      </c>
      <c r="S53" s="319">
        <f t="shared" si="9"/>
        <v>21</v>
      </c>
      <c r="T53" s="629"/>
      <c r="U53" s="187">
        <v>19</v>
      </c>
      <c r="V53" s="187">
        <v>1284.8275862068965</v>
      </c>
      <c r="W53" s="187">
        <v>67.622504537205074</v>
      </c>
      <c r="X53" s="319">
        <f t="shared" si="10"/>
        <v>21</v>
      </c>
      <c r="Y53" s="629"/>
      <c r="Z53" s="187">
        <v>19</v>
      </c>
      <c r="AA53" s="187">
        <v>1268.9189189189178</v>
      </c>
      <c r="AB53" s="187">
        <v>66.785206258890412</v>
      </c>
      <c r="AC53" s="319">
        <f t="shared" si="11"/>
        <v>21</v>
      </c>
      <c r="AD53" s="629"/>
      <c r="AE53" s="187">
        <v>19</v>
      </c>
      <c r="AF53" s="187">
        <v>1256.8831168831161</v>
      </c>
      <c r="AG53" s="187">
        <v>66.151742993848217</v>
      </c>
      <c r="AH53" s="319">
        <f t="shared" si="12"/>
        <v>20</v>
      </c>
      <c r="AI53" s="629"/>
      <c r="AJ53" s="187">
        <v>19</v>
      </c>
      <c r="AK53" s="187">
        <v>1283.6842105263147</v>
      </c>
      <c r="AL53" s="187">
        <v>67.562326869806043</v>
      </c>
      <c r="AM53" s="319">
        <f t="shared" si="13"/>
        <v>20</v>
      </c>
      <c r="AN53" s="629"/>
      <c r="AO53" s="187">
        <v>19</v>
      </c>
      <c r="AP53" s="187">
        <v>1255.909090909091</v>
      </c>
      <c r="AQ53" s="187">
        <v>66.100478468899524</v>
      </c>
      <c r="AR53" s="319">
        <f t="shared" si="14"/>
        <v>21</v>
      </c>
      <c r="AS53" s="629"/>
      <c r="AT53" s="187">
        <v>19</v>
      </c>
      <c r="AU53" s="187">
        <v>1315.8139534883719</v>
      </c>
      <c r="AV53" s="187">
        <v>69.253365973072206</v>
      </c>
      <c r="AW53" s="319">
        <f t="shared" si="15"/>
        <v>18</v>
      </c>
      <c r="AX53" s="629"/>
    </row>
    <row r="54" spans="2:50">
      <c r="B54" s="598"/>
      <c r="C54" s="319">
        <v>13</v>
      </c>
      <c r="D54" s="231" t="s">
        <v>391</v>
      </c>
      <c r="E54" s="187">
        <v>19</v>
      </c>
      <c r="F54" s="319">
        <v>1636</v>
      </c>
      <c r="G54" s="322">
        <v>86.10526315789474</v>
      </c>
      <c r="H54" s="633"/>
      <c r="I54" s="204">
        <f t="shared" si="16"/>
        <v>19</v>
      </c>
      <c r="J54" s="204">
        <f t="shared" si="17"/>
        <v>1283.7124916271619</v>
      </c>
      <c r="K54" s="205">
        <f t="shared" si="18"/>
        <v>67.563815348797988</v>
      </c>
      <c r="L54" s="572"/>
      <c r="M54" s="206">
        <f>RANK(K54, K$42:$K$71)</f>
        <v>20</v>
      </c>
      <c r="N54" s="590"/>
      <c r="O54" s="590"/>
      <c r="P54" s="187">
        <v>19</v>
      </c>
      <c r="Q54" s="187">
        <v>1252.5000000000016</v>
      </c>
      <c r="R54" s="187">
        <v>65.92105263157903</v>
      </c>
      <c r="S54" s="319">
        <f t="shared" si="9"/>
        <v>22</v>
      </c>
      <c r="T54" s="629"/>
      <c r="U54" s="187">
        <v>19</v>
      </c>
      <c r="V54" s="187">
        <v>1304.7619047619062</v>
      </c>
      <c r="W54" s="187">
        <v>68.671679197995061</v>
      </c>
      <c r="X54" s="319">
        <f t="shared" si="10"/>
        <v>20</v>
      </c>
      <c r="Y54" s="629"/>
      <c r="Z54" s="187">
        <v>19</v>
      </c>
      <c r="AA54" s="187">
        <v>1280.3773584905668</v>
      </c>
      <c r="AB54" s="187">
        <v>67.388282025819308</v>
      </c>
      <c r="AC54" s="319">
        <f t="shared" si="11"/>
        <v>20</v>
      </c>
      <c r="AD54" s="629"/>
      <c r="AE54" s="187">
        <v>19</v>
      </c>
      <c r="AF54" s="187">
        <v>1291.578947368422</v>
      </c>
      <c r="AG54" s="187">
        <v>67.977839335180107</v>
      </c>
      <c r="AH54" s="319">
        <f t="shared" si="12"/>
        <v>19</v>
      </c>
      <c r="AI54" s="629"/>
      <c r="AJ54" s="187">
        <v>19</v>
      </c>
      <c r="AK54" s="187">
        <v>1286.0000000000014</v>
      </c>
      <c r="AL54" s="187">
        <v>67.684210526315866</v>
      </c>
      <c r="AM54" s="319">
        <f t="shared" si="13"/>
        <v>19</v>
      </c>
      <c r="AN54" s="629"/>
      <c r="AO54" s="187">
        <v>19</v>
      </c>
      <c r="AP54" s="187">
        <v>1290.4615384615399</v>
      </c>
      <c r="AQ54" s="187">
        <v>67.919028340081056</v>
      </c>
      <c r="AR54" s="319">
        <f t="shared" si="14"/>
        <v>19</v>
      </c>
      <c r="AS54" s="629"/>
      <c r="AT54" s="187">
        <v>19</v>
      </c>
      <c r="AU54" s="187">
        <v>1280.3076923076937</v>
      </c>
      <c r="AV54" s="187">
        <v>67.384615384615458</v>
      </c>
      <c r="AW54" s="319">
        <f t="shared" si="15"/>
        <v>20</v>
      </c>
      <c r="AX54" s="629"/>
    </row>
    <row r="55" spans="2:50">
      <c r="B55" s="598"/>
      <c r="C55" s="319">
        <v>14</v>
      </c>
      <c r="D55" s="231" t="s">
        <v>427</v>
      </c>
      <c r="E55" s="187">
        <v>20</v>
      </c>
      <c r="F55" s="319">
        <v>1500</v>
      </c>
      <c r="G55" s="322">
        <v>75</v>
      </c>
      <c r="H55" s="633"/>
      <c r="I55" s="204">
        <f t="shared" si="16"/>
        <v>20</v>
      </c>
      <c r="J55" s="204">
        <f t="shared" si="17"/>
        <v>1220.2192118226581</v>
      </c>
      <c r="K55" s="205">
        <f t="shared" si="18"/>
        <v>61.010960591132907</v>
      </c>
      <c r="L55" s="572"/>
      <c r="M55" s="206">
        <f>RANK(K55, K$42:$K$71)</f>
        <v>25</v>
      </c>
      <c r="N55" s="590"/>
      <c r="O55" s="590"/>
      <c r="P55" s="187">
        <v>20</v>
      </c>
      <c r="Q55" s="187">
        <v>1291.0344827586182</v>
      </c>
      <c r="R55" s="187">
        <v>64.551724137930904</v>
      </c>
      <c r="S55" s="319">
        <f t="shared" si="9"/>
        <v>23</v>
      </c>
      <c r="T55" s="629"/>
      <c r="U55" s="187">
        <v>20</v>
      </c>
      <c r="V55" s="187">
        <v>1224.3749999999982</v>
      </c>
      <c r="W55" s="187">
        <v>61.218749999999908</v>
      </c>
      <c r="X55" s="319">
        <f t="shared" si="10"/>
        <v>25</v>
      </c>
      <c r="Y55" s="629"/>
      <c r="Z55" s="187">
        <v>20</v>
      </c>
      <c r="AA55" s="187">
        <v>1113.9999999999982</v>
      </c>
      <c r="AB55" s="187">
        <v>55.69999999999991</v>
      </c>
      <c r="AC55" s="319">
        <f t="shared" si="11"/>
        <v>25</v>
      </c>
      <c r="AD55" s="629"/>
      <c r="AE55" s="187">
        <v>20</v>
      </c>
      <c r="AF55" s="187">
        <v>1078.1249999999984</v>
      </c>
      <c r="AG55" s="187">
        <v>53.906249999999922</v>
      </c>
      <c r="AH55" s="319">
        <f t="shared" si="12"/>
        <v>23</v>
      </c>
      <c r="AI55" s="629"/>
      <c r="AJ55" s="187">
        <v>20</v>
      </c>
      <c r="AK55" s="187">
        <v>1289.9999999999977</v>
      </c>
      <c r="AL55" s="187">
        <v>64.499999999999886</v>
      </c>
      <c r="AM55" s="319">
        <f t="shared" si="13"/>
        <v>22</v>
      </c>
      <c r="AN55" s="629"/>
      <c r="AO55" s="187">
        <v>20</v>
      </c>
      <c r="AP55" s="187">
        <v>1271.9999999999977</v>
      </c>
      <c r="AQ55" s="187">
        <v>63.599999999999888</v>
      </c>
      <c r="AR55" s="319">
        <f t="shared" si="14"/>
        <v>22</v>
      </c>
      <c r="AS55" s="629"/>
      <c r="AT55" s="187">
        <v>20</v>
      </c>
      <c r="AU55" s="187">
        <v>1271.9999999999977</v>
      </c>
      <c r="AV55" s="187">
        <v>63.599999999999888</v>
      </c>
      <c r="AW55" s="319">
        <f t="shared" si="15"/>
        <v>22</v>
      </c>
      <c r="AX55" s="629"/>
    </row>
    <row r="56" spans="2:50">
      <c r="B56" s="598"/>
      <c r="C56" s="319">
        <v>15</v>
      </c>
      <c r="D56" s="231" t="s">
        <v>395</v>
      </c>
      <c r="E56" s="187">
        <v>18</v>
      </c>
      <c r="F56" s="319">
        <v>1500</v>
      </c>
      <c r="G56" s="322">
        <v>83.333333333333329</v>
      </c>
      <c r="H56" s="633"/>
      <c r="I56" s="204">
        <f t="shared" si="16"/>
        <v>17</v>
      </c>
      <c r="J56" s="204">
        <f t="shared" si="17"/>
        <v>1259.702900795945</v>
      </c>
      <c r="K56" s="205">
        <f t="shared" si="18"/>
        <v>74.100170635055591</v>
      </c>
      <c r="L56" s="572"/>
      <c r="M56" s="204">
        <f>RANK(K56, K$42:$K$71)</f>
        <v>14</v>
      </c>
      <c r="N56" s="590"/>
      <c r="O56" s="590"/>
      <c r="P56" s="187">
        <v>17</v>
      </c>
      <c r="Q56" s="187">
        <v>1232.3076923076915</v>
      </c>
      <c r="R56" s="187">
        <v>72.488687782805385</v>
      </c>
      <c r="S56" s="319">
        <f t="shared" si="9"/>
        <v>16</v>
      </c>
      <c r="T56" s="629"/>
      <c r="U56" s="187">
        <v>17</v>
      </c>
      <c r="V56" s="187">
        <v>1278.3333333333323</v>
      </c>
      <c r="W56" s="187">
        <v>75.196078431372484</v>
      </c>
      <c r="X56" s="319">
        <f t="shared" si="10"/>
        <v>13</v>
      </c>
      <c r="Y56" s="629"/>
      <c r="Z56" s="187">
        <v>17</v>
      </c>
      <c r="AA56" s="187">
        <v>1246.8749999999982</v>
      </c>
      <c r="AB56" s="187">
        <v>73.345588235294016</v>
      </c>
      <c r="AC56" s="319">
        <f t="shared" si="11"/>
        <v>15</v>
      </c>
      <c r="AD56" s="629"/>
      <c r="AE56" s="187">
        <v>17</v>
      </c>
      <c r="AF56" s="187">
        <v>1263.4285714285702</v>
      </c>
      <c r="AG56" s="187">
        <v>74.319327731092358</v>
      </c>
      <c r="AH56" s="319">
        <f t="shared" si="12"/>
        <v>13</v>
      </c>
      <c r="AI56" s="629"/>
      <c r="AJ56" s="187">
        <v>17</v>
      </c>
      <c r="AK56" s="187">
        <v>1268.9999999999995</v>
      </c>
      <c r="AL56" s="187">
        <v>74.647058823529392</v>
      </c>
      <c r="AM56" s="319">
        <f t="shared" si="13"/>
        <v>12</v>
      </c>
      <c r="AN56" s="629"/>
      <c r="AO56" s="187">
        <v>17</v>
      </c>
      <c r="AP56" s="187">
        <v>1256.9230769230762</v>
      </c>
      <c r="AQ56" s="187">
        <v>73.936651583710372</v>
      </c>
      <c r="AR56" s="319">
        <f t="shared" si="14"/>
        <v>13</v>
      </c>
      <c r="AS56" s="629"/>
      <c r="AT56" s="187">
        <v>17</v>
      </c>
      <c r="AU56" s="187">
        <v>1271.0526315789464</v>
      </c>
      <c r="AV56" s="187">
        <v>74.767801857585084</v>
      </c>
      <c r="AW56" s="319">
        <f t="shared" si="15"/>
        <v>13</v>
      </c>
      <c r="AX56" s="629"/>
    </row>
    <row r="57" spans="2:50">
      <c r="B57" s="598"/>
      <c r="C57" s="319">
        <v>16</v>
      </c>
      <c r="D57" s="231" t="s">
        <v>361</v>
      </c>
      <c r="E57" s="187">
        <v>18</v>
      </c>
      <c r="F57" s="319">
        <v>1500</v>
      </c>
      <c r="G57" s="322">
        <v>83.333333333333329</v>
      </c>
      <c r="H57" s="633"/>
      <c r="I57" s="204">
        <f t="shared" si="16"/>
        <v>17</v>
      </c>
      <c r="J57" s="204">
        <f t="shared" si="17"/>
        <v>1284.2304950456182</v>
      </c>
      <c r="K57" s="205">
        <f t="shared" si="18"/>
        <v>75.542970296801073</v>
      </c>
      <c r="L57" s="572"/>
      <c r="M57" s="204">
        <f>RANK(K57, K$42:$K$71)</f>
        <v>12</v>
      </c>
      <c r="N57" s="590"/>
      <c r="O57" s="590"/>
      <c r="P57" s="187">
        <v>17</v>
      </c>
      <c r="Q57" s="187">
        <v>1298.8235294117653</v>
      </c>
      <c r="R57" s="187">
        <v>76.401384083045016</v>
      </c>
      <c r="S57" s="319">
        <f t="shared" si="9"/>
        <v>11</v>
      </c>
      <c r="T57" s="629"/>
      <c r="U57" s="187">
        <v>17</v>
      </c>
      <c r="V57" s="187">
        <v>1304.7058823529417</v>
      </c>
      <c r="W57" s="187">
        <v>76.747404844290685</v>
      </c>
      <c r="X57" s="319">
        <f t="shared" si="10"/>
        <v>10</v>
      </c>
      <c r="Y57" s="629"/>
      <c r="Z57" s="187">
        <v>17</v>
      </c>
      <c r="AA57" s="187">
        <v>1271.0204081632655</v>
      </c>
      <c r="AB57" s="187">
        <v>74.765906362545024</v>
      </c>
      <c r="AC57" s="319">
        <f t="shared" si="11"/>
        <v>13</v>
      </c>
      <c r="AD57" s="629"/>
      <c r="AE57" s="187">
        <v>17</v>
      </c>
      <c r="AF57" s="187">
        <v>1267.9245283018877</v>
      </c>
      <c r="AG57" s="187">
        <v>74.58379578246398</v>
      </c>
      <c r="AH57" s="319">
        <f t="shared" si="12"/>
        <v>12</v>
      </c>
      <c r="AI57" s="629"/>
      <c r="AJ57" s="187">
        <v>17</v>
      </c>
      <c r="AK57" s="187">
        <v>1282.6415094339629</v>
      </c>
      <c r="AL57" s="187">
        <v>75.449500554938993</v>
      </c>
      <c r="AM57" s="319">
        <f t="shared" si="13"/>
        <v>10</v>
      </c>
      <c r="AN57" s="629"/>
      <c r="AO57" s="187">
        <v>17</v>
      </c>
      <c r="AP57" s="187">
        <v>1266.3157894736853</v>
      </c>
      <c r="AQ57" s="187">
        <v>74.489164086687367</v>
      </c>
      <c r="AR57" s="319">
        <f t="shared" si="14"/>
        <v>12</v>
      </c>
      <c r="AS57" s="629"/>
      <c r="AT57" s="187">
        <v>17</v>
      </c>
      <c r="AU57" s="187">
        <v>1298.1818181818192</v>
      </c>
      <c r="AV57" s="187">
        <v>76.363636363636417</v>
      </c>
      <c r="AW57" s="319">
        <f t="shared" si="15"/>
        <v>9</v>
      </c>
      <c r="AX57" s="629"/>
    </row>
    <row r="58" spans="2:50">
      <c r="B58" s="598"/>
      <c r="C58" s="319">
        <v>17</v>
      </c>
      <c r="D58" s="231" t="s">
        <v>396</v>
      </c>
      <c r="E58" s="187">
        <v>17</v>
      </c>
      <c r="F58" s="319">
        <v>1440</v>
      </c>
      <c r="G58" s="322">
        <v>84.705882352941174</v>
      </c>
      <c r="H58" s="633"/>
      <c r="I58" s="204">
        <f t="shared" si="16"/>
        <v>18</v>
      </c>
      <c r="J58" s="204">
        <f t="shared" si="17"/>
        <v>1316.3771976808043</v>
      </c>
      <c r="K58" s="205">
        <f t="shared" si="18"/>
        <v>73.132066537822467</v>
      </c>
      <c r="L58" s="572"/>
      <c r="M58" s="204">
        <f>RANK(K58, K$42:$K$71)</f>
        <v>15</v>
      </c>
      <c r="N58" s="590"/>
      <c r="O58" s="590"/>
      <c r="P58" s="187">
        <v>18</v>
      </c>
      <c r="Q58" s="187">
        <v>1287.7894736842152</v>
      </c>
      <c r="R58" s="187">
        <v>71.543859649123064</v>
      </c>
      <c r="S58" s="319">
        <f t="shared" si="9"/>
        <v>17</v>
      </c>
      <c r="T58" s="629"/>
      <c r="U58" s="187">
        <v>18</v>
      </c>
      <c r="V58" s="187">
        <v>1259.4000000000046</v>
      </c>
      <c r="W58" s="187">
        <v>69.966666666666924</v>
      </c>
      <c r="X58" s="319">
        <f t="shared" si="10"/>
        <v>18</v>
      </c>
      <c r="Y58" s="629"/>
      <c r="Z58" s="187">
        <v>18</v>
      </c>
      <c r="AA58" s="187">
        <v>1310.1176470588234</v>
      </c>
      <c r="AB58" s="187">
        <v>72.784313725490193</v>
      </c>
      <c r="AC58" s="319">
        <f t="shared" si="11"/>
        <v>16</v>
      </c>
      <c r="AD58" s="629"/>
      <c r="AE58" s="187">
        <v>18</v>
      </c>
      <c r="AF58" s="187">
        <v>1334.4827586206895</v>
      </c>
      <c r="AG58" s="187">
        <v>74.137931034482747</v>
      </c>
      <c r="AH58" s="319">
        <f t="shared" si="12"/>
        <v>14</v>
      </c>
      <c r="AI58" s="629"/>
      <c r="AJ58" s="187">
        <v>18</v>
      </c>
      <c r="AK58" s="187">
        <v>1366.9879518072285</v>
      </c>
      <c r="AL58" s="187">
        <v>75.943775100401581</v>
      </c>
      <c r="AM58" s="319">
        <f t="shared" si="13"/>
        <v>8</v>
      </c>
      <c r="AN58" s="629"/>
      <c r="AO58" s="187">
        <v>18</v>
      </c>
      <c r="AP58" s="187">
        <v>1355.2173913043478</v>
      </c>
      <c r="AQ58" s="187">
        <v>75.289855072463766</v>
      </c>
      <c r="AR58" s="319">
        <f t="shared" si="14"/>
        <v>11</v>
      </c>
      <c r="AS58" s="629"/>
      <c r="AT58" s="187">
        <v>18</v>
      </c>
      <c r="AU58" s="187">
        <v>1300.6451612903227</v>
      </c>
      <c r="AV58" s="187">
        <v>72.258064516129039</v>
      </c>
      <c r="AW58" s="319">
        <f t="shared" si="15"/>
        <v>15</v>
      </c>
      <c r="AX58" s="629"/>
    </row>
    <row r="59" spans="2:50">
      <c r="B59" s="598"/>
      <c r="C59" s="319">
        <v>18</v>
      </c>
      <c r="D59" s="231" t="s">
        <v>397</v>
      </c>
      <c r="E59" s="187">
        <v>15</v>
      </c>
      <c r="F59" s="319">
        <v>1440</v>
      </c>
      <c r="G59" s="322">
        <v>96</v>
      </c>
      <c r="H59" s="633"/>
      <c r="I59" s="204">
        <f t="shared" si="16"/>
        <v>15.142857142857142</v>
      </c>
      <c r="J59" s="204">
        <f t="shared" si="17"/>
        <v>1290.963765008679</v>
      </c>
      <c r="K59" s="205">
        <f t="shared" si="18"/>
        <v>85.302523921687339</v>
      </c>
      <c r="L59" s="572"/>
      <c r="M59" s="204">
        <f>RANK(K59, K$42:$K$71)</f>
        <v>3</v>
      </c>
      <c r="N59" s="590"/>
      <c r="O59" s="590"/>
      <c r="P59" s="187">
        <v>16</v>
      </c>
      <c r="Q59" s="187">
        <v>1279.7014925373151</v>
      </c>
      <c r="R59" s="187">
        <v>79.981343283582191</v>
      </c>
      <c r="S59" s="319">
        <f t="shared" si="9"/>
        <v>9</v>
      </c>
      <c r="T59" s="629"/>
      <c r="U59" s="187">
        <v>15</v>
      </c>
      <c r="V59" s="187">
        <v>1295.1428571428557</v>
      </c>
      <c r="W59" s="187">
        <v>86.342857142857056</v>
      </c>
      <c r="X59" s="319">
        <f t="shared" si="10"/>
        <v>3</v>
      </c>
      <c r="Y59" s="629"/>
      <c r="Z59" s="187">
        <v>15</v>
      </c>
      <c r="AA59" s="187">
        <v>1314.0983606557388</v>
      </c>
      <c r="AB59" s="187">
        <v>87.606557377049256</v>
      </c>
      <c r="AC59" s="319">
        <f t="shared" si="11"/>
        <v>3</v>
      </c>
      <c r="AD59" s="629"/>
      <c r="AE59" s="187">
        <v>15</v>
      </c>
      <c r="AF59" s="187">
        <v>1309.6875000000016</v>
      </c>
      <c r="AG59" s="187">
        <v>87.312500000000099</v>
      </c>
      <c r="AH59" s="319">
        <f t="shared" si="12"/>
        <v>3</v>
      </c>
      <c r="AI59" s="629"/>
      <c r="AJ59" s="187">
        <v>15</v>
      </c>
      <c r="AK59" s="187">
        <v>1276.3636363636376</v>
      </c>
      <c r="AL59" s="187">
        <v>85.090909090909179</v>
      </c>
      <c r="AM59" s="319">
        <f t="shared" si="13"/>
        <v>3</v>
      </c>
      <c r="AN59" s="629"/>
      <c r="AO59" s="187">
        <v>15</v>
      </c>
      <c r="AP59" s="187">
        <v>1305.2307692307706</v>
      </c>
      <c r="AQ59" s="187">
        <v>87.015384615384704</v>
      </c>
      <c r="AR59" s="319">
        <f t="shared" si="14"/>
        <v>3</v>
      </c>
      <c r="AS59" s="629"/>
      <c r="AT59" s="187">
        <v>15</v>
      </c>
      <c r="AU59" s="187">
        <v>1256.5217391304334</v>
      </c>
      <c r="AV59" s="187">
        <v>83.768115942028899</v>
      </c>
      <c r="AW59" s="319">
        <f t="shared" si="15"/>
        <v>3</v>
      </c>
      <c r="AX59" s="629"/>
    </row>
    <row r="60" spans="2:50">
      <c r="B60" s="598"/>
      <c r="C60" s="319">
        <v>19</v>
      </c>
      <c r="D60" s="231" t="s">
        <v>349</v>
      </c>
      <c r="E60" s="187">
        <v>17</v>
      </c>
      <c r="F60" s="319">
        <v>1440</v>
      </c>
      <c r="G60" s="322">
        <v>84.705882352941174</v>
      </c>
      <c r="H60" s="633"/>
      <c r="I60" s="204">
        <f t="shared" si="16"/>
        <v>17</v>
      </c>
      <c r="J60" s="204">
        <f t="shared" si="17"/>
        <v>1350.553002772506</v>
      </c>
      <c r="K60" s="205">
        <f t="shared" si="18"/>
        <v>79.444294280735647</v>
      </c>
      <c r="L60" s="572"/>
      <c r="M60" s="204">
        <f>RANK(K60, K$42:$K$71)</f>
        <v>7</v>
      </c>
      <c r="N60" s="590"/>
      <c r="O60" s="590"/>
      <c r="P60" s="187">
        <v>17</v>
      </c>
      <c r="Q60" s="187">
        <v>1367.142857142856</v>
      </c>
      <c r="R60" s="187">
        <v>80.420168067226825</v>
      </c>
      <c r="S60" s="319">
        <f t="shared" si="9"/>
        <v>7</v>
      </c>
      <c r="T60" s="629"/>
      <c r="U60" s="187">
        <v>17</v>
      </c>
      <c r="V60" s="187">
        <v>1321.5789473684204</v>
      </c>
      <c r="W60" s="187">
        <v>77.739938080495321</v>
      </c>
      <c r="X60" s="319">
        <f t="shared" si="10"/>
        <v>7</v>
      </c>
      <c r="Y60" s="629"/>
      <c r="Z60" s="187">
        <v>17</v>
      </c>
      <c r="AA60" s="187">
        <v>1358.4466019417482</v>
      </c>
      <c r="AB60" s="187">
        <v>79.908623643632254</v>
      </c>
      <c r="AC60" s="319">
        <f t="shared" si="11"/>
        <v>4</v>
      </c>
      <c r="AD60" s="629"/>
      <c r="AE60" s="187">
        <v>17</v>
      </c>
      <c r="AF60" s="187">
        <v>1318.3177570093465</v>
      </c>
      <c r="AG60" s="187">
        <v>77.548103353490973</v>
      </c>
      <c r="AH60" s="319">
        <f t="shared" si="12"/>
        <v>8</v>
      </c>
      <c r="AI60" s="629"/>
      <c r="AJ60" s="187">
        <v>17</v>
      </c>
      <c r="AK60" s="187">
        <v>1366.8571428571436</v>
      </c>
      <c r="AL60" s="187">
        <v>80.403361344537856</v>
      </c>
      <c r="AM60" s="319">
        <f t="shared" si="13"/>
        <v>7</v>
      </c>
      <c r="AN60" s="629"/>
      <c r="AO60" s="187">
        <v>17</v>
      </c>
      <c r="AP60" s="187">
        <v>1374.1592920353971</v>
      </c>
      <c r="AQ60" s="187">
        <v>80.83289953149395</v>
      </c>
      <c r="AR60" s="319">
        <f t="shared" si="14"/>
        <v>5</v>
      </c>
      <c r="AS60" s="629"/>
      <c r="AT60" s="187">
        <v>17</v>
      </c>
      <c r="AU60" s="187">
        <v>1347.3684210526308</v>
      </c>
      <c r="AV60" s="187">
        <v>79.256965944272395</v>
      </c>
      <c r="AW60" s="319">
        <f t="shared" si="15"/>
        <v>6</v>
      </c>
      <c r="AX60" s="629"/>
    </row>
    <row r="61" spans="2:50">
      <c r="B61" s="598"/>
      <c r="C61" s="319">
        <v>20</v>
      </c>
      <c r="D61" s="231" t="s">
        <v>388</v>
      </c>
      <c r="E61" s="187">
        <v>18</v>
      </c>
      <c r="F61" s="319">
        <v>1636</v>
      </c>
      <c r="G61" s="322">
        <v>90.888888888888886</v>
      </c>
      <c r="H61" s="633"/>
      <c r="I61" s="204">
        <f t="shared" si="16"/>
        <v>16.714285714285715</v>
      </c>
      <c r="J61" s="204">
        <f t="shared" si="17"/>
        <v>1294.2274972669379</v>
      </c>
      <c r="K61" s="205">
        <f t="shared" si="18"/>
        <v>77.484975603797992</v>
      </c>
      <c r="L61" s="572"/>
      <c r="M61" s="204">
        <f>RANK(K61, K$42:$K$71)</f>
        <v>9</v>
      </c>
      <c r="N61" s="590"/>
      <c r="O61" s="590"/>
      <c r="P61" s="187">
        <v>16</v>
      </c>
      <c r="Q61" s="187">
        <v>1284.2553191489365</v>
      </c>
      <c r="R61" s="187">
        <v>80.265957446808528</v>
      </c>
      <c r="S61" s="319">
        <f t="shared" si="9"/>
        <v>8</v>
      </c>
      <c r="T61" s="629"/>
      <c r="U61" s="187">
        <v>17</v>
      </c>
      <c r="V61" s="187">
        <v>1316</v>
      </c>
      <c r="W61" s="187">
        <v>77.411764705882348</v>
      </c>
      <c r="X61" s="319">
        <f t="shared" si="10"/>
        <v>8</v>
      </c>
      <c r="Y61" s="629"/>
      <c r="Z61" s="187">
        <v>17</v>
      </c>
      <c r="AA61" s="187">
        <v>1307.3684210526305</v>
      </c>
      <c r="AB61" s="187">
        <v>76.904024767801801</v>
      </c>
      <c r="AC61" s="319">
        <f t="shared" si="11"/>
        <v>8</v>
      </c>
      <c r="AD61" s="629"/>
      <c r="AE61" s="187">
        <v>16</v>
      </c>
      <c r="AF61" s="187">
        <v>1293.6585365853655</v>
      </c>
      <c r="AG61" s="187">
        <v>80.853658536585343</v>
      </c>
      <c r="AH61" s="319">
        <f t="shared" si="12"/>
        <v>6</v>
      </c>
      <c r="AI61" s="629"/>
      <c r="AJ61" s="187">
        <v>17</v>
      </c>
      <c r="AK61" s="187">
        <v>1268</v>
      </c>
      <c r="AL61" s="187">
        <v>74.588235294117652</v>
      </c>
      <c r="AM61" s="319">
        <f t="shared" si="13"/>
        <v>13</v>
      </c>
      <c r="AN61" s="629"/>
      <c r="AO61" s="187">
        <v>17</v>
      </c>
      <c r="AP61" s="187">
        <v>1294.8000000000004</v>
      </c>
      <c r="AQ61" s="187">
        <v>76.164705882352962</v>
      </c>
      <c r="AR61" s="319">
        <f t="shared" si="14"/>
        <v>9</v>
      </c>
      <c r="AS61" s="629"/>
      <c r="AT61" s="187">
        <v>17</v>
      </c>
      <c r="AU61" s="187">
        <v>1295.5102040816332</v>
      </c>
      <c r="AV61" s="187">
        <v>76.206482593037251</v>
      </c>
      <c r="AW61" s="319">
        <f t="shared" si="15"/>
        <v>10</v>
      </c>
      <c r="AX61" s="629"/>
    </row>
    <row r="62" spans="2:50">
      <c r="B62" s="598"/>
      <c r="C62" s="319">
        <v>21</v>
      </c>
      <c r="D62" s="231" t="s">
        <v>390</v>
      </c>
      <c r="E62" s="187">
        <v>18</v>
      </c>
      <c r="F62" s="319">
        <v>1440</v>
      </c>
      <c r="G62" s="322">
        <v>80</v>
      </c>
      <c r="H62" s="633"/>
      <c r="I62" s="204">
        <f t="shared" si="16"/>
        <v>18</v>
      </c>
      <c r="J62" s="204">
        <f t="shared" si="17"/>
        <v>1290.5679739460024</v>
      </c>
      <c r="K62" s="205">
        <f t="shared" si="18"/>
        <v>71.698220774777909</v>
      </c>
      <c r="L62" s="572"/>
      <c r="M62" s="204">
        <f>RANK(K62, K$42:$K$71)</f>
        <v>17</v>
      </c>
      <c r="N62" s="590"/>
      <c r="O62" s="590"/>
      <c r="P62" s="187">
        <v>18</v>
      </c>
      <c r="Q62" s="187">
        <v>1279.9999999999993</v>
      </c>
      <c r="R62" s="187">
        <v>71.111111111111072</v>
      </c>
      <c r="S62" s="319">
        <f t="shared" si="9"/>
        <v>18</v>
      </c>
      <c r="T62" s="629"/>
      <c r="U62" s="187">
        <v>18</v>
      </c>
      <c r="V62" s="187">
        <v>1289.2307692307686</v>
      </c>
      <c r="W62" s="187">
        <v>71.623931623931583</v>
      </c>
      <c r="X62" s="319">
        <f t="shared" si="10"/>
        <v>15</v>
      </c>
      <c r="Y62" s="629"/>
      <c r="Z62" s="187">
        <v>18</v>
      </c>
      <c r="AA62" s="187">
        <v>1297.9411764705899</v>
      </c>
      <c r="AB62" s="187">
        <v>72.107843137254989</v>
      </c>
      <c r="AC62" s="319">
        <f t="shared" si="11"/>
        <v>17</v>
      </c>
      <c r="AD62" s="629"/>
      <c r="AE62" s="187">
        <v>18</v>
      </c>
      <c r="AF62" s="187">
        <v>1291.6666666666656</v>
      </c>
      <c r="AG62" s="187">
        <v>71.759259259259196</v>
      </c>
      <c r="AH62" s="319">
        <f t="shared" si="12"/>
        <v>17</v>
      </c>
      <c r="AI62" s="629"/>
      <c r="AJ62" s="187">
        <v>18</v>
      </c>
      <c r="AK62" s="187">
        <v>1279.9999999999993</v>
      </c>
      <c r="AL62" s="187">
        <v>71.111111111111072</v>
      </c>
      <c r="AM62" s="319">
        <f t="shared" si="13"/>
        <v>18</v>
      </c>
      <c r="AN62" s="629"/>
      <c r="AO62" s="187">
        <v>18</v>
      </c>
      <c r="AP62" s="187">
        <v>1286.2921348314608</v>
      </c>
      <c r="AQ62" s="187">
        <v>71.460674157303373</v>
      </c>
      <c r="AR62" s="319">
        <f t="shared" si="14"/>
        <v>17</v>
      </c>
      <c r="AS62" s="629"/>
      <c r="AT62" s="187">
        <v>18</v>
      </c>
      <c r="AU62" s="187">
        <v>1308.845070422534</v>
      </c>
      <c r="AV62" s="187">
        <v>72.713615023474119</v>
      </c>
      <c r="AW62" s="319">
        <f t="shared" si="15"/>
        <v>14</v>
      </c>
      <c r="AX62" s="629"/>
    </row>
    <row r="63" spans="2:50">
      <c r="B63" s="598"/>
      <c r="C63" s="319">
        <v>22</v>
      </c>
      <c r="D63" s="231" t="s">
        <v>665</v>
      </c>
      <c r="E63" s="187">
        <v>18</v>
      </c>
      <c r="F63" s="319">
        <v>1500</v>
      </c>
      <c r="G63" s="322">
        <v>83.333333333333329</v>
      </c>
      <c r="H63" s="633"/>
      <c r="I63" s="204">
        <f t="shared" si="16"/>
        <v>16.714285714285715</v>
      </c>
      <c r="J63" s="204">
        <f t="shared" si="17"/>
        <v>1278.6585256352698</v>
      </c>
      <c r="K63" s="205">
        <f t="shared" si="18"/>
        <v>76.572731108042333</v>
      </c>
      <c r="L63" s="572"/>
      <c r="M63" s="204">
        <f>RANK(K63, K$42:$K$71)</f>
        <v>10</v>
      </c>
      <c r="N63" s="590"/>
      <c r="O63" s="590"/>
      <c r="P63" s="187">
        <v>16</v>
      </c>
      <c r="Q63" s="187">
        <v>1296.8181818181843</v>
      </c>
      <c r="R63" s="187">
        <v>81.051136363636516</v>
      </c>
      <c r="S63" s="319">
        <f t="shared" si="9"/>
        <v>5</v>
      </c>
      <c r="T63" s="629"/>
      <c r="U63" s="187">
        <v>17</v>
      </c>
      <c r="V63" s="187">
        <v>1298.1818181818182</v>
      </c>
      <c r="W63" s="187">
        <v>76.363636363636374</v>
      </c>
      <c r="X63" s="319">
        <f t="shared" si="10"/>
        <v>11</v>
      </c>
      <c r="Y63" s="629"/>
      <c r="Z63" s="187">
        <v>17</v>
      </c>
      <c r="AA63" s="187">
        <v>1279.9999999999991</v>
      </c>
      <c r="AB63" s="187">
        <v>75.294117647058769</v>
      </c>
      <c r="AC63" s="319">
        <f t="shared" si="11"/>
        <v>11</v>
      </c>
      <c r="AD63" s="629"/>
      <c r="AE63" s="187">
        <v>17</v>
      </c>
      <c r="AF63" s="187">
        <v>1282.7027027027016</v>
      </c>
      <c r="AG63" s="187">
        <v>75.453100158982451</v>
      </c>
      <c r="AH63" s="319">
        <f t="shared" si="12"/>
        <v>11</v>
      </c>
      <c r="AI63" s="629"/>
      <c r="AJ63" s="187">
        <v>17</v>
      </c>
      <c r="AK63" s="187">
        <v>1259.9999999999995</v>
      </c>
      <c r="AL63" s="187">
        <v>74.117647058823508</v>
      </c>
      <c r="AM63" s="319">
        <f t="shared" si="13"/>
        <v>14</v>
      </c>
      <c r="AN63" s="629"/>
      <c r="AO63" s="187">
        <v>17</v>
      </c>
      <c r="AP63" s="187">
        <v>1245.0000000000005</v>
      </c>
      <c r="AQ63" s="187">
        <v>73.235294117647086</v>
      </c>
      <c r="AR63" s="319">
        <f t="shared" si="14"/>
        <v>14</v>
      </c>
      <c r="AS63" s="629"/>
      <c r="AT63" s="187">
        <v>16</v>
      </c>
      <c r="AU63" s="187">
        <v>1287.9069767441858</v>
      </c>
      <c r="AV63" s="187">
        <v>80.494186046511615</v>
      </c>
      <c r="AW63" s="319">
        <f t="shared" si="15"/>
        <v>5</v>
      </c>
      <c r="AX63" s="629"/>
    </row>
    <row r="64" spans="2:50">
      <c r="B64" s="598"/>
      <c r="C64" s="319">
        <v>23</v>
      </c>
      <c r="D64" s="231" t="s">
        <v>398</v>
      </c>
      <c r="E64" s="187">
        <v>18</v>
      </c>
      <c r="F64" s="319">
        <v>1500</v>
      </c>
      <c r="G64" s="322">
        <v>83.333333333333329</v>
      </c>
      <c r="H64" s="633"/>
      <c r="I64" s="204">
        <f t="shared" si="16"/>
        <v>18</v>
      </c>
      <c r="J64" s="204">
        <f t="shared" si="17"/>
        <v>1287.3264145557221</v>
      </c>
      <c r="K64" s="205">
        <f t="shared" si="18"/>
        <v>71.518134141984561</v>
      </c>
      <c r="L64" s="572"/>
      <c r="M64" s="204">
        <f>RANK(K64, K$42:$K$71)</f>
        <v>18</v>
      </c>
      <c r="N64" s="590"/>
      <c r="O64" s="590"/>
      <c r="P64" s="187">
        <v>18</v>
      </c>
      <c r="Q64" s="187">
        <v>1317.7777777777774</v>
      </c>
      <c r="R64" s="187">
        <v>73.209876543209859</v>
      </c>
      <c r="S64" s="319">
        <f t="shared" si="9"/>
        <v>14</v>
      </c>
      <c r="T64" s="629"/>
      <c r="U64" s="187">
        <v>18</v>
      </c>
      <c r="V64" s="187">
        <v>1257.8571428571449</v>
      </c>
      <c r="W64" s="187">
        <v>69.880952380952493</v>
      </c>
      <c r="X64" s="319">
        <f t="shared" si="10"/>
        <v>19</v>
      </c>
      <c r="Y64" s="629"/>
      <c r="Z64" s="187">
        <v>18</v>
      </c>
      <c r="AA64" s="187">
        <v>1284.6575342465744</v>
      </c>
      <c r="AB64" s="187">
        <v>71.369863013698577</v>
      </c>
      <c r="AC64" s="319">
        <f t="shared" si="11"/>
        <v>18</v>
      </c>
      <c r="AD64" s="629"/>
      <c r="AE64" s="187">
        <v>18</v>
      </c>
      <c r="AF64" s="187">
        <v>1274.2105263157887</v>
      </c>
      <c r="AG64" s="187">
        <v>70.789473684210478</v>
      </c>
      <c r="AH64" s="319">
        <f t="shared" si="12"/>
        <v>18</v>
      </c>
      <c r="AI64" s="629"/>
      <c r="AJ64" s="187">
        <v>18</v>
      </c>
      <c r="AK64" s="187">
        <v>1283.7037037037032</v>
      </c>
      <c r="AL64" s="187">
        <v>71.316872427983512</v>
      </c>
      <c r="AM64" s="319">
        <f t="shared" si="13"/>
        <v>17</v>
      </c>
      <c r="AN64" s="629"/>
      <c r="AO64" s="187">
        <v>18</v>
      </c>
      <c r="AP64" s="187">
        <v>1307.5609756097556</v>
      </c>
      <c r="AQ64" s="187">
        <v>72.642276422764198</v>
      </c>
      <c r="AR64" s="319">
        <f t="shared" si="14"/>
        <v>15</v>
      </c>
      <c r="AS64" s="629"/>
      <c r="AT64" s="187">
        <v>18</v>
      </c>
      <c r="AU64" s="187">
        <v>1285.51724137931</v>
      </c>
      <c r="AV64" s="187">
        <v>71.417624521072781</v>
      </c>
      <c r="AW64" s="319">
        <f t="shared" si="15"/>
        <v>17</v>
      </c>
      <c r="AX64" s="629"/>
    </row>
    <row r="65" spans="2:50">
      <c r="B65" s="598"/>
      <c r="C65" s="319">
        <v>24</v>
      </c>
      <c r="D65" s="231" t="s">
        <v>569</v>
      </c>
      <c r="E65" s="187">
        <v>18</v>
      </c>
      <c r="F65" s="319">
        <v>1636</v>
      </c>
      <c r="G65" s="322">
        <v>90.888888888888886</v>
      </c>
      <c r="H65" s="633"/>
      <c r="I65" s="204">
        <f t="shared" si="16"/>
        <v>17</v>
      </c>
      <c r="J65" s="204">
        <f t="shared" si="17"/>
        <v>1275.2025284767376</v>
      </c>
      <c r="K65" s="205">
        <f t="shared" si="18"/>
        <v>75.011913439808083</v>
      </c>
      <c r="L65" s="572"/>
      <c r="M65" s="204">
        <f>RANK(K65, K$42:$K$71)</f>
        <v>13</v>
      </c>
      <c r="N65" s="590"/>
      <c r="O65" s="590"/>
      <c r="P65" s="378">
        <v>17</v>
      </c>
      <c r="Q65" s="379">
        <v>1258.8679245283026</v>
      </c>
      <c r="R65" s="379">
        <v>74.051054384017803</v>
      </c>
      <c r="S65" s="319">
        <f t="shared" si="9"/>
        <v>13</v>
      </c>
      <c r="T65" s="629"/>
      <c r="U65" s="378">
        <v>17</v>
      </c>
      <c r="V65" s="379">
        <v>1262.3529411764712</v>
      </c>
      <c r="W65" s="379">
        <v>74.256055363321835</v>
      </c>
      <c r="X65" s="319">
        <f t="shared" si="10"/>
        <v>14</v>
      </c>
      <c r="Y65" s="629"/>
      <c r="Z65" s="378">
        <v>17</v>
      </c>
      <c r="AA65" s="379">
        <v>1277.1428571428567</v>
      </c>
      <c r="AB65" s="379">
        <v>75.126050420168042</v>
      </c>
      <c r="AC65" s="319">
        <f t="shared" si="11"/>
        <v>12</v>
      </c>
      <c r="AD65" s="629"/>
      <c r="AE65" s="378">
        <v>17</v>
      </c>
      <c r="AF65" s="379">
        <v>1286.2500000000005</v>
      </c>
      <c r="AG65" s="379">
        <v>75.661764705882376</v>
      </c>
      <c r="AH65" s="319">
        <f t="shared" si="12"/>
        <v>10</v>
      </c>
      <c r="AI65" s="629"/>
      <c r="AJ65" s="378">
        <v>17</v>
      </c>
      <c r="AK65" s="379">
        <v>1283.773584905661</v>
      </c>
      <c r="AL65" s="379">
        <v>75.516093229744769</v>
      </c>
      <c r="AM65" s="319">
        <f t="shared" si="13"/>
        <v>9</v>
      </c>
      <c r="AN65" s="629"/>
      <c r="AO65" s="378">
        <v>17</v>
      </c>
      <c r="AP65" s="379">
        <v>1283.7931034482767</v>
      </c>
      <c r="AQ65" s="379">
        <v>75.517241379310391</v>
      </c>
      <c r="AR65" s="319">
        <f t="shared" si="14"/>
        <v>10</v>
      </c>
      <c r="AS65" s="629"/>
      <c r="AT65" s="378">
        <v>17</v>
      </c>
      <c r="AU65" s="379">
        <v>1274.2372881355943</v>
      </c>
      <c r="AV65" s="379">
        <v>74.955134596211437</v>
      </c>
      <c r="AW65" s="319">
        <f t="shared" si="15"/>
        <v>12</v>
      </c>
      <c r="AX65" s="629"/>
    </row>
    <row r="66" spans="2:50">
      <c r="B66" s="598"/>
      <c r="C66" s="319">
        <v>25</v>
      </c>
      <c r="D66" s="231" t="s">
        <v>707</v>
      </c>
      <c r="E66" s="187">
        <v>18</v>
      </c>
      <c r="F66" s="319">
        <v>1440</v>
      </c>
      <c r="G66" s="322">
        <v>80</v>
      </c>
      <c r="H66" s="633"/>
      <c r="I66" s="465">
        <f t="shared" ref="I66" si="19">AVERAGE(P66,U66,Z66,AE66,AJ66,AO66,AT66)</f>
        <v>17.285714285714285</v>
      </c>
      <c r="J66" s="465">
        <f t="shared" ref="J66" si="20">AVERAGE(Q66,V66,AA66,AF66,AK66,AP66,AU66)</f>
        <v>1127.7607717590236</v>
      </c>
      <c r="K66" s="205">
        <f t="shared" ref="K66" si="21">AVERAGE(R66,W66,AB66,AG66,AL66,AQ66,AV66)</f>
        <v>65.276974824751605</v>
      </c>
      <c r="L66" s="572"/>
      <c r="M66" s="204">
        <f>RANK(K66, K$42:$K$71)</f>
        <v>22</v>
      </c>
      <c r="N66" s="590"/>
      <c r="O66" s="590"/>
      <c r="P66" s="463">
        <v>18</v>
      </c>
      <c r="Q66" s="464">
        <v>1140.7953488372091</v>
      </c>
      <c r="R66" s="464">
        <v>63.377519379844948</v>
      </c>
      <c r="S66" s="319">
        <f t="shared" si="9"/>
        <v>24</v>
      </c>
      <c r="T66" s="629"/>
      <c r="U66" s="378">
        <v>18</v>
      </c>
      <c r="V66" s="379">
        <v>1133.7818181818175</v>
      </c>
      <c r="W66" s="379">
        <v>62.987878787878749</v>
      </c>
      <c r="X66" s="319">
        <f t="shared" si="10"/>
        <v>23</v>
      </c>
      <c r="Y66" s="629"/>
      <c r="Z66" s="378">
        <v>17</v>
      </c>
      <c r="AA66" s="379">
        <v>1112.1882352941216</v>
      </c>
      <c r="AB66" s="379">
        <v>65.422837370242448</v>
      </c>
      <c r="AC66" s="319">
        <f t="shared" si="11"/>
        <v>22</v>
      </c>
      <c r="AD66" s="629"/>
      <c r="AE66" s="378">
        <v>17</v>
      </c>
      <c r="AF66" s="379">
        <v>1083.1500000000037</v>
      </c>
      <c r="AG66" s="379">
        <v>63.714705882353158</v>
      </c>
      <c r="AH66" s="319">
        <f t="shared" si="12"/>
        <v>21</v>
      </c>
      <c r="AI66" s="629"/>
      <c r="AJ66" s="378">
        <v>17</v>
      </c>
      <c r="AK66" s="379">
        <v>1129.050000000004</v>
      </c>
      <c r="AL66" s="379">
        <v>66.414705882353175</v>
      </c>
      <c r="AM66" s="319">
        <f t="shared" si="13"/>
        <v>21</v>
      </c>
      <c r="AN66" s="629"/>
      <c r="AO66" s="378">
        <v>17</v>
      </c>
      <c r="AP66" s="379">
        <v>1130.400000000004</v>
      </c>
      <c r="AQ66" s="379">
        <v>66.494117647059056</v>
      </c>
      <c r="AR66" s="319">
        <f t="shared" si="14"/>
        <v>20</v>
      </c>
      <c r="AS66" s="629"/>
      <c r="AT66" s="378">
        <v>17</v>
      </c>
      <c r="AU66" s="379">
        <v>1164.9600000000041</v>
      </c>
      <c r="AV66" s="379">
        <v>68.527058823529657</v>
      </c>
      <c r="AW66" s="319">
        <f t="shared" si="15"/>
        <v>19</v>
      </c>
      <c r="AX66" s="629"/>
    </row>
    <row r="67" spans="2:50">
      <c r="B67" s="598"/>
      <c r="C67" s="319">
        <v>26</v>
      </c>
      <c r="D67" s="231"/>
      <c r="E67" s="187"/>
      <c r="F67" s="319"/>
      <c r="G67" s="322"/>
      <c r="H67" s="633"/>
      <c r="I67" s="204"/>
      <c r="J67" s="204"/>
      <c r="K67" s="205"/>
      <c r="L67" s="572"/>
      <c r="M67" s="204" t="e">
        <f>RANK(K67, K$42:$K$71)</f>
        <v>#N/A</v>
      </c>
      <c r="N67" s="590"/>
      <c r="O67" s="590"/>
      <c r="P67" s="378"/>
      <c r="Q67" s="379"/>
      <c r="R67" s="379"/>
      <c r="S67" s="319" t="e">
        <f t="shared" si="9"/>
        <v>#N/A</v>
      </c>
      <c r="T67" s="629"/>
      <c r="U67" s="378"/>
      <c r="V67" s="379"/>
      <c r="W67" s="379"/>
      <c r="X67" s="319" t="e">
        <f t="shared" si="10"/>
        <v>#N/A</v>
      </c>
      <c r="Y67" s="629"/>
      <c r="Z67" s="378"/>
      <c r="AA67" s="379"/>
      <c r="AB67" s="379"/>
      <c r="AC67" s="319" t="e">
        <f t="shared" si="11"/>
        <v>#N/A</v>
      </c>
      <c r="AD67" s="629"/>
      <c r="AE67" s="378"/>
      <c r="AF67" s="379"/>
      <c r="AG67" s="379"/>
      <c r="AH67" s="319" t="e">
        <f t="shared" si="12"/>
        <v>#N/A</v>
      </c>
      <c r="AI67" s="629"/>
      <c r="AJ67" s="378"/>
      <c r="AK67" s="379"/>
      <c r="AL67" s="379"/>
      <c r="AM67" s="319" t="e">
        <f t="shared" si="13"/>
        <v>#N/A</v>
      </c>
      <c r="AN67" s="629"/>
      <c r="AO67" s="378"/>
      <c r="AP67" s="379"/>
      <c r="AQ67" s="379"/>
      <c r="AR67" s="319" t="e">
        <f t="shared" si="14"/>
        <v>#N/A</v>
      </c>
      <c r="AS67" s="629"/>
      <c r="AT67" s="378"/>
      <c r="AU67" s="379"/>
      <c r="AV67" s="379"/>
      <c r="AW67" s="319" t="e">
        <f t="shared" si="15"/>
        <v>#N/A</v>
      </c>
      <c r="AX67" s="629"/>
    </row>
    <row r="68" spans="2:50">
      <c r="B68" s="598"/>
      <c r="C68" s="319">
        <v>27</v>
      </c>
      <c r="D68" s="231"/>
      <c r="E68" s="187"/>
      <c r="F68" s="319"/>
      <c r="G68" s="322"/>
      <c r="H68" s="633"/>
      <c r="I68" s="204"/>
      <c r="J68" s="204"/>
      <c r="K68" s="205"/>
      <c r="L68" s="572"/>
      <c r="M68" s="204" t="e">
        <f>RANK(K68, K$42:$K$71)</f>
        <v>#N/A</v>
      </c>
      <c r="N68" s="590"/>
      <c r="O68" s="590"/>
      <c r="P68" s="378"/>
      <c r="Q68" s="379"/>
      <c r="R68" s="379"/>
      <c r="S68" s="319" t="e">
        <f t="shared" si="9"/>
        <v>#N/A</v>
      </c>
      <c r="T68" s="629"/>
      <c r="U68" s="378"/>
      <c r="V68" s="379"/>
      <c r="W68" s="379"/>
      <c r="X68" s="319" t="e">
        <f t="shared" si="10"/>
        <v>#N/A</v>
      </c>
      <c r="Y68" s="629"/>
      <c r="Z68" s="378"/>
      <c r="AA68" s="379"/>
      <c r="AB68" s="379"/>
      <c r="AC68" s="319" t="e">
        <f t="shared" si="11"/>
        <v>#N/A</v>
      </c>
      <c r="AD68" s="629"/>
      <c r="AE68" s="378"/>
      <c r="AF68" s="379"/>
      <c r="AG68" s="379"/>
      <c r="AH68" s="319" t="e">
        <f t="shared" si="12"/>
        <v>#N/A</v>
      </c>
      <c r="AI68" s="629"/>
      <c r="AJ68" s="378"/>
      <c r="AK68" s="379"/>
      <c r="AL68" s="379"/>
      <c r="AM68" s="319" t="e">
        <f t="shared" si="13"/>
        <v>#N/A</v>
      </c>
      <c r="AN68" s="629"/>
      <c r="AO68" s="378"/>
      <c r="AP68" s="379"/>
      <c r="AQ68" s="379"/>
      <c r="AR68" s="319" t="e">
        <f t="shared" si="14"/>
        <v>#N/A</v>
      </c>
      <c r="AS68" s="629"/>
      <c r="AT68" s="378"/>
      <c r="AU68" s="379"/>
      <c r="AV68" s="379"/>
      <c r="AW68" s="319" t="e">
        <f t="shared" si="15"/>
        <v>#N/A</v>
      </c>
      <c r="AX68" s="629"/>
    </row>
    <row r="69" spans="2:50">
      <c r="B69" s="598"/>
      <c r="C69" s="319">
        <v>28</v>
      </c>
      <c r="D69" s="231"/>
      <c r="E69" s="187"/>
      <c r="F69" s="319"/>
      <c r="G69" s="322"/>
      <c r="H69" s="633"/>
      <c r="I69" s="204"/>
      <c r="J69" s="204"/>
      <c r="K69" s="205"/>
      <c r="L69" s="572"/>
      <c r="M69" s="204" t="e">
        <f>RANK(K69, K$42:$K$71)</f>
        <v>#N/A</v>
      </c>
      <c r="N69" s="590"/>
      <c r="O69" s="590"/>
      <c r="P69" s="319"/>
      <c r="Q69" s="322"/>
      <c r="R69" s="322"/>
      <c r="S69" s="319" t="e">
        <f t="shared" si="9"/>
        <v>#N/A</v>
      </c>
      <c r="T69" s="629"/>
      <c r="U69" s="319"/>
      <c r="V69" s="322"/>
      <c r="W69" s="322"/>
      <c r="X69" s="319" t="e">
        <f t="shared" si="10"/>
        <v>#N/A</v>
      </c>
      <c r="Y69" s="629"/>
      <c r="Z69" s="319"/>
      <c r="AA69" s="322"/>
      <c r="AB69" s="322"/>
      <c r="AC69" s="319" t="e">
        <f t="shared" si="11"/>
        <v>#N/A</v>
      </c>
      <c r="AD69" s="629"/>
      <c r="AE69" s="319"/>
      <c r="AF69" s="322"/>
      <c r="AG69" s="322"/>
      <c r="AH69" s="319" t="e">
        <f t="shared" si="12"/>
        <v>#N/A</v>
      </c>
      <c r="AI69" s="629"/>
      <c r="AJ69" s="319"/>
      <c r="AK69" s="322"/>
      <c r="AL69" s="322"/>
      <c r="AM69" s="319" t="e">
        <f t="shared" si="13"/>
        <v>#N/A</v>
      </c>
      <c r="AN69" s="629"/>
      <c r="AO69" s="319"/>
      <c r="AP69" s="322"/>
      <c r="AQ69" s="322"/>
      <c r="AR69" s="319" t="e">
        <f t="shared" si="14"/>
        <v>#N/A</v>
      </c>
      <c r="AS69" s="629"/>
      <c r="AT69" s="319"/>
      <c r="AU69" s="322"/>
      <c r="AV69" s="322"/>
      <c r="AW69" s="319" t="e">
        <f t="shared" si="15"/>
        <v>#N/A</v>
      </c>
      <c r="AX69" s="629"/>
    </row>
    <row r="70" spans="2:50">
      <c r="B70" s="598"/>
      <c r="C70" s="319">
        <v>29</v>
      </c>
      <c r="D70" s="231"/>
      <c r="E70" s="187"/>
      <c r="F70" s="319"/>
      <c r="G70" s="322"/>
      <c r="H70" s="633"/>
      <c r="I70" s="207"/>
      <c r="J70" s="207"/>
      <c r="K70" s="207"/>
      <c r="L70" s="572"/>
      <c r="M70" s="204" t="e">
        <f>RANK(K70, K$42:$K$71)</f>
        <v>#N/A</v>
      </c>
      <c r="N70" s="590"/>
      <c r="O70" s="590"/>
      <c r="P70" s="319"/>
      <c r="Q70" s="319"/>
      <c r="R70" s="319"/>
      <c r="S70" s="319" t="e">
        <f t="shared" si="9"/>
        <v>#N/A</v>
      </c>
      <c r="T70" s="629"/>
      <c r="U70" s="319"/>
      <c r="V70" s="319"/>
      <c r="W70" s="319"/>
      <c r="X70" s="319" t="e">
        <f t="shared" si="10"/>
        <v>#N/A</v>
      </c>
      <c r="Y70" s="629"/>
      <c r="Z70" s="319"/>
      <c r="AA70" s="319"/>
      <c r="AB70" s="319"/>
      <c r="AC70" s="319" t="e">
        <f t="shared" si="11"/>
        <v>#N/A</v>
      </c>
      <c r="AD70" s="629"/>
      <c r="AE70" s="319"/>
      <c r="AF70" s="319"/>
      <c r="AG70" s="319"/>
      <c r="AH70" s="319" t="e">
        <f t="shared" si="12"/>
        <v>#N/A</v>
      </c>
      <c r="AI70" s="629"/>
      <c r="AJ70" s="319"/>
      <c r="AK70" s="319"/>
      <c r="AL70" s="319"/>
      <c r="AM70" s="319" t="e">
        <f t="shared" si="13"/>
        <v>#N/A</v>
      </c>
      <c r="AN70" s="629"/>
      <c r="AO70" s="319"/>
      <c r="AP70" s="319"/>
      <c r="AQ70" s="319"/>
      <c r="AR70" s="319" t="e">
        <f t="shared" si="14"/>
        <v>#N/A</v>
      </c>
      <c r="AS70" s="629"/>
      <c r="AT70" s="319"/>
      <c r="AU70" s="319"/>
      <c r="AV70" s="319"/>
      <c r="AW70" s="319" t="e">
        <f t="shared" si="15"/>
        <v>#N/A</v>
      </c>
      <c r="AX70" s="629"/>
    </row>
    <row r="71" spans="2:50">
      <c r="B71" s="598"/>
      <c r="C71" s="319">
        <v>30</v>
      </c>
      <c r="D71" s="231"/>
      <c r="E71" s="187"/>
      <c r="F71" s="319"/>
      <c r="G71" s="322"/>
      <c r="H71" s="634"/>
      <c r="I71" s="207"/>
      <c r="J71" s="207"/>
      <c r="K71" s="207"/>
      <c r="L71" s="573"/>
      <c r="M71" s="204" t="e">
        <f>RANK(K71, K$42:$K$71)</f>
        <v>#N/A</v>
      </c>
      <c r="N71" s="590"/>
      <c r="O71" s="590"/>
      <c r="P71" s="319"/>
      <c r="Q71" s="319"/>
      <c r="R71" s="319"/>
      <c r="S71" s="319" t="e">
        <f t="shared" si="9"/>
        <v>#N/A</v>
      </c>
      <c r="T71" s="629"/>
      <c r="U71" s="319"/>
      <c r="V71" s="319"/>
      <c r="W71" s="319"/>
      <c r="X71" s="319" t="e">
        <f t="shared" si="10"/>
        <v>#N/A</v>
      </c>
      <c r="Y71" s="629"/>
      <c r="Z71" s="319"/>
      <c r="AA71" s="319"/>
      <c r="AB71" s="319"/>
      <c r="AC71" s="319" t="e">
        <f t="shared" si="11"/>
        <v>#N/A</v>
      </c>
      <c r="AD71" s="629"/>
      <c r="AE71" s="319"/>
      <c r="AF71" s="319"/>
      <c r="AG71" s="319"/>
      <c r="AH71" s="319" t="e">
        <f t="shared" si="12"/>
        <v>#N/A</v>
      </c>
      <c r="AI71" s="629"/>
      <c r="AJ71" s="319"/>
      <c r="AK71" s="319"/>
      <c r="AL71" s="319"/>
      <c r="AM71" s="319" t="e">
        <f t="shared" si="13"/>
        <v>#N/A</v>
      </c>
      <c r="AN71" s="629"/>
      <c r="AO71" s="319"/>
      <c r="AP71" s="319"/>
      <c r="AQ71" s="319"/>
      <c r="AR71" s="319" t="e">
        <f t="shared" si="14"/>
        <v>#N/A</v>
      </c>
      <c r="AS71" s="629"/>
      <c r="AT71" s="319"/>
      <c r="AU71" s="319"/>
      <c r="AV71" s="319"/>
      <c r="AW71" s="319" t="e">
        <f t="shared" si="15"/>
        <v>#N/A</v>
      </c>
      <c r="AX71" s="629"/>
    </row>
    <row r="72" spans="2:50" ht="15.75">
      <c r="B72" s="615" t="s">
        <v>163</v>
      </c>
      <c r="C72" s="616"/>
      <c r="D72" s="616"/>
      <c r="E72" s="616"/>
      <c r="F72" s="616"/>
      <c r="G72" s="616"/>
      <c r="H72" s="616"/>
      <c r="I72" s="213"/>
      <c r="J72" s="208"/>
      <c r="K72" s="213"/>
      <c r="L72" s="213"/>
      <c r="M72" s="209"/>
      <c r="N72" s="591" t="s">
        <v>156</v>
      </c>
      <c r="O72" s="591" t="s">
        <v>105</v>
      </c>
      <c r="P72" s="597">
        <f>P37+7</f>
        <v>45944</v>
      </c>
      <c r="Q72" s="598"/>
      <c r="R72" s="598"/>
      <c r="S72" s="598"/>
      <c r="T72" s="598"/>
      <c r="U72" s="594">
        <f>P72+1</f>
        <v>45945</v>
      </c>
      <c r="V72" s="595"/>
      <c r="W72" s="595"/>
      <c r="X72" s="595"/>
      <c r="Y72" s="596"/>
      <c r="Z72" s="594">
        <f>U72+1</f>
        <v>45946</v>
      </c>
      <c r="AA72" s="595"/>
      <c r="AB72" s="595"/>
      <c r="AC72" s="595"/>
      <c r="AD72" s="596"/>
      <c r="AE72" s="594">
        <f>Z72+1</f>
        <v>45947</v>
      </c>
      <c r="AF72" s="595"/>
      <c r="AG72" s="595"/>
      <c r="AH72" s="595"/>
      <c r="AI72" s="596"/>
      <c r="AJ72" s="594">
        <f>AE72+1</f>
        <v>45948</v>
      </c>
      <c r="AK72" s="595"/>
      <c r="AL72" s="595"/>
      <c r="AM72" s="595"/>
      <c r="AN72" s="596"/>
      <c r="AO72" s="594">
        <f>AJ72+1</f>
        <v>45949</v>
      </c>
      <c r="AP72" s="595"/>
      <c r="AQ72" s="595"/>
      <c r="AR72" s="595"/>
      <c r="AS72" s="596"/>
      <c r="AT72" s="594">
        <f>AO72+1</f>
        <v>45950</v>
      </c>
      <c r="AU72" s="595"/>
      <c r="AV72" s="595"/>
      <c r="AW72" s="595"/>
      <c r="AX72" s="596"/>
    </row>
    <row r="73" spans="2:50" ht="15.75">
      <c r="B73" s="605"/>
      <c r="C73" s="605"/>
      <c r="D73" s="605"/>
      <c r="E73" s="605"/>
      <c r="F73" s="605"/>
      <c r="G73" s="605"/>
      <c r="H73" s="605"/>
      <c r="I73" s="210"/>
      <c r="J73" s="210"/>
      <c r="K73" s="210"/>
      <c r="L73" s="210"/>
      <c r="M73" s="211"/>
      <c r="N73" s="593"/>
      <c r="O73" s="593"/>
      <c r="P73" s="597" t="s">
        <v>336</v>
      </c>
      <c r="Q73" s="598"/>
      <c r="R73" s="598"/>
      <c r="S73" s="598"/>
      <c r="T73" s="598"/>
      <c r="U73" s="597" t="s">
        <v>337</v>
      </c>
      <c r="V73" s="598"/>
      <c r="W73" s="598"/>
      <c r="X73" s="598"/>
      <c r="Y73" s="598"/>
      <c r="Z73" s="597" t="s">
        <v>338</v>
      </c>
      <c r="AA73" s="598"/>
      <c r="AB73" s="598"/>
      <c r="AC73" s="598"/>
      <c r="AD73" s="598"/>
      <c r="AE73" s="597" t="s">
        <v>339</v>
      </c>
      <c r="AF73" s="598"/>
      <c r="AG73" s="598"/>
      <c r="AH73" s="598"/>
      <c r="AI73" s="598"/>
      <c r="AJ73" s="597" t="s">
        <v>340</v>
      </c>
      <c r="AK73" s="598"/>
      <c r="AL73" s="598"/>
      <c r="AM73" s="598"/>
      <c r="AN73" s="598"/>
      <c r="AO73" s="597" t="s">
        <v>341</v>
      </c>
      <c r="AP73" s="598"/>
      <c r="AQ73" s="598"/>
      <c r="AR73" s="598"/>
      <c r="AS73" s="598"/>
      <c r="AT73" s="597" t="s">
        <v>342</v>
      </c>
      <c r="AU73" s="598"/>
      <c r="AV73" s="598"/>
      <c r="AW73" s="598"/>
      <c r="AX73" s="598"/>
    </row>
    <row r="74" spans="2:50">
      <c r="B74" s="590" t="s">
        <v>494</v>
      </c>
      <c r="C74" s="590" t="s">
        <v>495</v>
      </c>
      <c r="D74" s="590"/>
      <c r="E74" s="590" t="s">
        <v>496</v>
      </c>
      <c r="F74" s="590"/>
      <c r="G74" s="590"/>
      <c r="H74" s="606" t="s">
        <v>497</v>
      </c>
      <c r="I74" s="574" t="s">
        <v>498</v>
      </c>
      <c r="J74" s="574"/>
      <c r="K74" s="574"/>
      <c r="L74" s="575" t="s">
        <v>497</v>
      </c>
      <c r="M74" s="581" t="s">
        <v>499</v>
      </c>
      <c r="N74" s="590"/>
      <c r="O74" s="590" t="s">
        <v>500</v>
      </c>
      <c r="P74" s="587" t="s">
        <v>501</v>
      </c>
      <c r="Q74" s="588"/>
      <c r="R74" s="588"/>
      <c r="S74" s="589"/>
      <c r="T74" s="590" t="s">
        <v>497</v>
      </c>
      <c r="U74" s="587" t="s">
        <v>501</v>
      </c>
      <c r="V74" s="588"/>
      <c r="W74" s="588"/>
      <c r="X74" s="589"/>
      <c r="Y74" s="590" t="s">
        <v>497</v>
      </c>
      <c r="Z74" s="587" t="s">
        <v>501</v>
      </c>
      <c r="AA74" s="588"/>
      <c r="AB74" s="588"/>
      <c r="AC74" s="589"/>
      <c r="AD74" s="590" t="s">
        <v>497</v>
      </c>
      <c r="AE74" s="587" t="s">
        <v>501</v>
      </c>
      <c r="AF74" s="588"/>
      <c r="AG74" s="588"/>
      <c r="AH74" s="589"/>
      <c r="AI74" s="590" t="s">
        <v>497</v>
      </c>
      <c r="AJ74" s="587" t="s">
        <v>501</v>
      </c>
      <c r="AK74" s="588"/>
      <c r="AL74" s="588"/>
      <c r="AM74" s="589"/>
      <c r="AN74" s="590" t="s">
        <v>497</v>
      </c>
      <c r="AO74" s="587" t="s">
        <v>501</v>
      </c>
      <c r="AP74" s="588"/>
      <c r="AQ74" s="588"/>
      <c r="AR74" s="589"/>
      <c r="AS74" s="590" t="s">
        <v>497</v>
      </c>
      <c r="AT74" s="587" t="s">
        <v>501</v>
      </c>
      <c r="AU74" s="588"/>
      <c r="AV74" s="588"/>
      <c r="AW74" s="589"/>
      <c r="AX74" s="590" t="s">
        <v>497</v>
      </c>
    </row>
    <row r="75" spans="2:50">
      <c r="B75" s="590"/>
      <c r="C75" s="590"/>
      <c r="D75" s="590"/>
      <c r="E75" s="590" t="s">
        <v>502</v>
      </c>
      <c r="F75" s="590"/>
      <c r="G75" s="590"/>
      <c r="H75" s="607"/>
      <c r="I75" s="574" t="s">
        <v>502</v>
      </c>
      <c r="J75" s="574"/>
      <c r="K75" s="574"/>
      <c r="L75" s="576"/>
      <c r="M75" s="582"/>
      <c r="N75" s="590"/>
      <c r="O75" s="590"/>
      <c r="P75" s="587" t="s">
        <v>503</v>
      </c>
      <c r="Q75" s="588"/>
      <c r="R75" s="588"/>
      <c r="S75" s="589"/>
      <c r="T75" s="590"/>
      <c r="U75" s="587" t="s">
        <v>503</v>
      </c>
      <c r="V75" s="588"/>
      <c r="W75" s="588"/>
      <c r="X75" s="589"/>
      <c r="Y75" s="590"/>
      <c r="Z75" s="587" t="s">
        <v>503</v>
      </c>
      <c r="AA75" s="588"/>
      <c r="AB75" s="588"/>
      <c r="AC75" s="589"/>
      <c r="AD75" s="590"/>
      <c r="AE75" s="587" t="s">
        <v>503</v>
      </c>
      <c r="AF75" s="588"/>
      <c r="AG75" s="588"/>
      <c r="AH75" s="589"/>
      <c r="AI75" s="590"/>
      <c r="AJ75" s="587" t="s">
        <v>503</v>
      </c>
      <c r="AK75" s="588"/>
      <c r="AL75" s="588"/>
      <c r="AM75" s="589"/>
      <c r="AN75" s="590"/>
      <c r="AO75" s="587" t="s">
        <v>503</v>
      </c>
      <c r="AP75" s="588"/>
      <c r="AQ75" s="588"/>
      <c r="AR75" s="589"/>
      <c r="AS75" s="590"/>
      <c r="AT75" s="587" t="s">
        <v>503</v>
      </c>
      <c r="AU75" s="588"/>
      <c r="AV75" s="588"/>
      <c r="AW75" s="589"/>
      <c r="AX75" s="590"/>
    </row>
    <row r="76" spans="2:50">
      <c r="B76" s="590"/>
      <c r="C76" s="590"/>
      <c r="D76" s="590"/>
      <c r="E76" s="318" t="s">
        <v>504</v>
      </c>
      <c r="F76" s="318" t="s">
        <v>505</v>
      </c>
      <c r="G76" s="318" t="s">
        <v>506</v>
      </c>
      <c r="H76" s="608"/>
      <c r="I76" s="317" t="s">
        <v>504</v>
      </c>
      <c r="J76" s="317" t="s">
        <v>505</v>
      </c>
      <c r="K76" s="317" t="s">
        <v>506</v>
      </c>
      <c r="L76" s="577"/>
      <c r="M76" s="583"/>
      <c r="N76" s="590"/>
      <c r="O76" s="590"/>
      <c r="P76" s="318" t="s">
        <v>504</v>
      </c>
      <c r="Q76" s="318" t="s">
        <v>505</v>
      </c>
      <c r="R76" s="318" t="s">
        <v>506</v>
      </c>
      <c r="S76" s="318" t="s">
        <v>499</v>
      </c>
      <c r="T76" s="590"/>
      <c r="U76" s="318" t="s">
        <v>504</v>
      </c>
      <c r="V76" s="318" t="s">
        <v>505</v>
      </c>
      <c r="W76" s="318" t="s">
        <v>506</v>
      </c>
      <c r="X76" s="318" t="s">
        <v>499</v>
      </c>
      <c r="Y76" s="590"/>
      <c r="Z76" s="318" t="s">
        <v>504</v>
      </c>
      <c r="AA76" s="318" t="s">
        <v>505</v>
      </c>
      <c r="AB76" s="318" t="s">
        <v>506</v>
      </c>
      <c r="AC76" s="318" t="s">
        <v>499</v>
      </c>
      <c r="AD76" s="590"/>
      <c r="AE76" s="318" t="s">
        <v>504</v>
      </c>
      <c r="AF76" s="318" t="s">
        <v>505</v>
      </c>
      <c r="AG76" s="318" t="s">
        <v>506</v>
      </c>
      <c r="AH76" s="318" t="s">
        <v>499</v>
      </c>
      <c r="AI76" s="590"/>
      <c r="AJ76" s="318" t="s">
        <v>504</v>
      </c>
      <c r="AK76" s="318" t="s">
        <v>505</v>
      </c>
      <c r="AL76" s="318" t="s">
        <v>506</v>
      </c>
      <c r="AM76" s="318" t="s">
        <v>499</v>
      </c>
      <c r="AN76" s="590"/>
      <c r="AO76" s="318" t="s">
        <v>504</v>
      </c>
      <c r="AP76" s="318" t="s">
        <v>505</v>
      </c>
      <c r="AQ76" s="318" t="s">
        <v>506</v>
      </c>
      <c r="AR76" s="318" t="s">
        <v>499</v>
      </c>
      <c r="AS76" s="590"/>
      <c r="AT76" s="318" t="s">
        <v>504</v>
      </c>
      <c r="AU76" s="318" t="s">
        <v>505</v>
      </c>
      <c r="AV76" s="318" t="s">
        <v>506</v>
      </c>
      <c r="AW76" s="318" t="s">
        <v>499</v>
      </c>
      <c r="AX76" s="590"/>
    </row>
    <row r="77" spans="2:50">
      <c r="B77" s="590" t="s">
        <v>507</v>
      </c>
      <c r="C77" s="319">
        <v>1</v>
      </c>
      <c r="D77" s="231" t="s">
        <v>386</v>
      </c>
      <c r="E77" s="187">
        <v>6</v>
      </c>
      <c r="F77" s="319">
        <v>1500</v>
      </c>
      <c r="G77" s="322">
        <v>250</v>
      </c>
      <c r="H77" s="632">
        <f>AVERAGE(G77:G106)</f>
        <v>97.281554696630735</v>
      </c>
      <c r="I77" s="204">
        <f>AVERAGE(P77,U77,Z77,AE77,AJ77,AO77,AT77)</f>
        <v>6</v>
      </c>
      <c r="J77" s="204">
        <f>AVERAGE(Q77,V77,AA77,AF77,AK77,AP77,AU77)</f>
        <v>1470.7399424611285</v>
      </c>
      <c r="K77" s="205">
        <f>AVERAGE(R77,W77,AB77,AG77,AL77,AQ77,AV77)</f>
        <v>245.12332374352133</v>
      </c>
      <c r="L77" s="571">
        <f>IFERROR(AVERAGE(K77:K106),"-")</f>
        <v>85.796578336215049</v>
      </c>
      <c r="M77" s="206">
        <f>RANK(K77, K$77:$K$106)</f>
        <v>1</v>
      </c>
      <c r="N77" s="590"/>
      <c r="O77" s="590"/>
      <c r="P77" s="187">
        <v>6</v>
      </c>
      <c r="Q77" s="187">
        <v>1495.3764705882354</v>
      </c>
      <c r="R77" s="187">
        <v>249.2294117647059</v>
      </c>
      <c r="S77" s="319">
        <f>RANK(R77, R$77:R$106)</f>
        <v>1</v>
      </c>
      <c r="T77" s="629">
        <f>AVERAGE(R77:R106)</f>
        <v>85.667408756467026</v>
      </c>
      <c r="U77" s="187">
        <v>6</v>
      </c>
      <c r="V77" s="187">
        <v>1491.3988439306358</v>
      </c>
      <c r="W77" s="187">
        <v>248.5664739884393</v>
      </c>
      <c r="X77" s="346">
        <f>RANK(W77, W$77:W$106)</f>
        <v>1</v>
      </c>
      <c r="Y77" s="629">
        <f>AVERAGE(W77:W106)</f>
        <v>85.452729201531241</v>
      </c>
      <c r="Z77" s="187">
        <v>6</v>
      </c>
      <c r="AA77" s="187">
        <v>1494.9529411764706</v>
      </c>
      <c r="AB77" s="187">
        <v>249.15882352941176</v>
      </c>
      <c r="AC77" s="346">
        <f>RANK(AB77, AB$77:AB$106)</f>
        <v>1</v>
      </c>
      <c r="AD77" s="629">
        <f>AVERAGE(AB77:AB106)</f>
        <v>85.648777353191932</v>
      </c>
      <c r="AE77" s="187">
        <v>6</v>
      </c>
      <c r="AF77" s="187">
        <v>1463.7735849056603</v>
      </c>
      <c r="AG77" s="187">
        <v>243.96226415094338</v>
      </c>
      <c r="AH77" s="346">
        <f>RANK(AG77, AG$77:AG$106)</f>
        <v>1</v>
      </c>
      <c r="AI77" s="629">
        <f>AVERAGE(AG77:AG106)</f>
        <v>86.180225255508773</v>
      </c>
      <c r="AJ77" s="187">
        <v>6</v>
      </c>
      <c r="AK77" s="187">
        <v>1464.0372670807456</v>
      </c>
      <c r="AL77" s="187">
        <v>244.00621118012427</v>
      </c>
      <c r="AM77" s="346">
        <f>RANK(AL77, AL$77:AL$106)</f>
        <v>1</v>
      </c>
      <c r="AN77" s="629">
        <f>AVERAGE(AL77:AL106)</f>
        <v>86.179922973807521</v>
      </c>
      <c r="AO77" s="187">
        <v>6</v>
      </c>
      <c r="AP77" s="187">
        <v>1426.6216216216217</v>
      </c>
      <c r="AQ77" s="187">
        <v>237.77027027027029</v>
      </c>
      <c r="AR77" s="346">
        <f>RANK(AQ77, AQ$77:AQ$106)</f>
        <v>1</v>
      </c>
      <c r="AS77" s="629">
        <f>AVERAGE(AQ77:AQ106)</f>
        <v>85.858052221511272</v>
      </c>
      <c r="AT77" s="187">
        <v>6</v>
      </c>
      <c r="AU77" s="187">
        <v>1459.0188679245284</v>
      </c>
      <c r="AV77" s="187">
        <v>243.16981132075475</v>
      </c>
      <c r="AW77" s="346">
        <f>RANK(AV77, AV$77:AV$106)</f>
        <v>1</v>
      </c>
      <c r="AX77" s="629">
        <f>AVERAGE(AV77:AV106)</f>
        <v>85.588932591487492</v>
      </c>
    </row>
    <row r="78" spans="2:50">
      <c r="B78" s="598"/>
      <c r="C78" s="319">
        <v>2</v>
      </c>
      <c r="D78" s="231" t="s">
        <v>412</v>
      </c>
      <c r="E78" s="187">
        <v>7</v>
      </c>
      <c r="F78" s="319">
        <v>1500</v>
      </c>
      <c r="G78" s="322">
        <v>214.28571428571428</v>
      </c>
      <c r="H78" s="633"/>
      <c r="I78" s="204">
        <f t="shared" ref="I78:I99" si="22">AVERAGE(P78,U78,Z78,AE78,AJ78,AO78,AT78)</f>
        <v>7.7142857142857144</v>
      </c>
      <c r="J78" s="204">
        <f t="shared" ref="J78:J99" si="23">AVERAGE(Q78,V78,AA78,AF78,AK78,AP78,AU78)</f>
        <v>1488.0180075343228</v>
      </c>
      <c r="K78" s="205">
        <f t="shared" ref="K78:K99" si="24">AVERAGE(R78,W78,AB78,AG78,AL78,AQ78,AV78)</f>
        <v>193.48146553447773</v>
      </c>
      <c r="L78" s="572"/>
      <c r="M78" s="206">
        <f>RANK(K78, K$77:$K$106)</f>
        <v>2</v>
      </c>
      <c r="N78" s="590"/>
      <c r="O78" s="590"/>
      <c r="P78" s="187">
        <v>8</v>
      </c>
      <c r="Q78" s="187">
        <v>1499.9999999999998</v>
      </c>
      <c r="R78" s="187">
        <v>187.49999999999997</v>
      </c>
      <c r="S78" s="346">
        <f t="shared" ref="S78:S106" si="25">RANK(R78, R$77:R$106)</f>
        <v>2</v>
      </c>
      <c r="T78" s="629"/>
      <c r="U78" s="187">
        <v>8</v>
      </c>
      <c r="V78" s="187">
        <v>1492.5773195876286</v>
      </c>
      <c r="W78" s="187">
        <v>186.57216494845358</v>
      </c>
      <c r="X78" s="346">
        <f t="shared" ref="X78:X106" si="26">RANK(W78, W$77:W$106)</f>
        <v>2</v>
      </c>
      <c r="Y78" s="629"/>
      <c r="Z78" s="187">
        <v>8</v>
      </c>
      <c r="AA78" s="187">
        <v>1478.5263157894733</v>
      </c>
      <c r="AB78" s="187">
        <v>184.81578947368416</v>
      </c>
      <c r="AC78" s="346">
        <f t="shared" ref="AC78:AC106" si="27">RANK(AB78, AB$77:AB$106)</f>
        <v>2</v>
      </c>
      <c r="AD78" s="629"/>
      <c r="AE78" s="187">
        <v>7</v>
      </c>
      <c r="AF78" s="187">
        <v>1490.5617977528088</v>
      </c>
      <c r="AG78" s="187">
        <v>212.9373996789727</v>
      </c>
      <c r="AH78" s="346">
        <f t="shared" ref="AH78:AH106" si="28">RANK(AG78, AG$77:AG$106)</f>
        <v>2</v>
      </c>
      <c r="AI78" s="629"/>
      <c r="AJ78" s="187">
        <v>7</v>
      </c>
      <c r="AK78" s="187">
        <v>1441.2903225806447</v>
      </c>
      <c r="AL78" s="187">
        <v>205.89861751152065</v>
      </c>
      <c r="AM78" s="346">
        <f t="shared" ref="AM78:AM106" si="29">RANK(AL78, AL$77:AL$106)</f>
        <v>2</v>
      </c>
      <c r="AN78" s="629"/>
      <c r="AO78" s="187">
        <v>8</v>
      </c>
      <c r="AP78" s="187">
        <v>1510.2</v>
      </c>
      <c r="AQ78" s="187">
        <v>188.77500000000001</v>
      </c>
      <c r="AR78" s="346">
        <f t="shared" ref="AR78:AR106" si="30">RANK(AQ78, AQ$77:AQ$106)</f>
        <v>2</v>
      </c>
      <c r="AS78" s="629"/>
      <c r="AT78" s="187">
        <v>8</v>
      </c>
      <c r="AU78" s="187">
        <v>1502.970297029703</v>
      </c>
      <c r="AV78" s="187">
        <v>187.87128712871288</v>
      </c>
      <c r="AW78" s="346">
        <f t="shared" ref="AW78:AW106" si="31">RANK(AV78, AV$77:AV$106)</f>
        <v>2</v>
      </c>
      <c r="AX78" s="629"/>
    </row>
    <row r="79" spans="2:50">
      <c r="B79" s="598"/>
      <c r="C79" s="319">
        <v>3</v>
      </c>
      <c r="D79" s="231" t="s">
        <v>387</v>
      </c>
      <c r="E79" s="187">
        <v>18</v>
      </c>
      <c r="F79" s="319">
        <v>1500</v>
      </c>
      <c r="G79" s="322">
        <v>83.333333333333329</v>
      </c>
      <c r="H79" s="633"/>
      <c r="I79" s="204">
        <f t="shared" si="22"/>
        <v>18</v>
      </c>
      <c r="J79" s="204">
        <f t="shared" si="23"/>
        <v>1276.9958901901207</v>
      </c>
      <c r="K79" s="205">
        <f t="shared" si="24"/>
        <v>70.944216121673364</v>
      </c>
      <c r="L79" s="572"/>
      <c r="M79" s="206">
        <f>RANK(K79, K$77:$K$106)</f>
        <v>18</v>
      </c>
      <c r="N79" s="590"/>
      <c r="O79" s="590"/>
      <c r="P79" s="187">
        <v>18</v>
      </c>
      <c r="Q79" s="187">
        <v>1318.2178217821777</v>
      </c>
      <c r="R79" s="187">
        <v>73.234323432343203</v>
      </c>
      <c r="S79" s="346">
        <f t="shared" si="25"/>
        <v>13</v>
      </c>
      <c r="T79" s="629"/>
      <c r="U79" s="187">
        <v>18</v>
      </c>
      <c r="V79" s="187">
        <v>1255.7575757575753</v>
      </c>
      <c r="W79" s="187">
        <v>69.764309764309743</v>
      </c>
      <c r="X79" s="346">
        <f t="shared" si="26"/>
        <v>18</v>
      </c>
      <c r="Y79" s="629"/>
      <c r="Z79" s="187">
        <v>18</v>
      </c>
      <c r="AA79" s="187">
        <v>1288.0434782608695</v>
      </c>
      <c r="AB79" s="187">
        <v>71.55797101449275</v>
      </c>
      <c r="AC79" s="346">
        <f t="shared" si="27"/>
        <v>17</v>
      </c>
      <c r="AD79" s="629"/>
      <c r="AE79" s="187">
        <v>18</v>
      </c>
      <c r="AF79" s="187">
        <v>1263.0379746835449</v>
      </c>
      <c r="AG79" s="187">
        <v>70.168776371308056</v>
      </c>
      <c r="AH79" s="346">
        <f t="shared" si="28"/>
        <v>18</v>
      </c>
      <c r="AI79" s="629"/>
      <c r="AJ79" s="187">
        <v>18</v>
      </c>
      <c r="AK79" s="187">
        <v>1282.5882352941173</v>
      </c>
      <c r="AL79" s="187">
        <v>71.254901960784295</v>
      </c>
      <c r="AM79" s="346">
        <f t="shared" si="29"/>
        <v>17</v>
      </c>
      <c r="AN79" s="629"/>
      <c r="AO79" s="187">
        <v>18</v>
      </c>
      <c r="AP79" s="187">
        <v>1260.5714285714282</v>
      </c>
      <c r="AQ79" s="187">
        <v>70.03174603174601</v>
      </c>
      <c r="AR79" s="346">
        <f t="shared" si="30"/>
        <v>18</v>
      </c>
      <c r="AS79" s="629"/>
      <c r="AT79" s="187">
        <v>18</v>
      </c>
      <c r="AU79" s="187">
        <v>1270.7547169811317</v>
      </c>
      <c r="AV79" s="187">
        <v>70.597484276729531</v>
      </c>
      <c r="AW79" s="346">
        <f t="shared" si="31"/>
        <v>19</v>
      </c>
      <c r="AX79" s="629"/>
    </row>
    <row r="80" spans="2:50">
      <c r="B80" s="598"/>
      <c r="C80" s="319">
        <v>4</v>
      </c>
      <c r="D80" s="231" t="s">
        <v>359</v>
      </c>
      <c r="E80" s="187">
        <v>21</v>
      </c>
      <c r="F80" s="319">
        <v>1500</v>
      </c>
      <c r="G80" s="322">
        <v>71.428571428571431</v>
      </c>
      <c r="H80" s="633"/>
      <c r="I80" s="204">
        <f t="shared" si="22"/>
        <v>20.142857142857142</v>
      </c>
      <c r="J80" s="204">
        <f t="shared" si="23"/>
        <v>1285.992829414876</v>
      </c>
      <c r="K80" s="205">
        <f t="shared" si="24"/>
        <v>63.864486763699702</v>
      </c>
      <c r="L80" s="572"/>
      <c r="M80" s="206">
        <f>RANK(K80, K$77:$K$106)</f>
        <v>22</v>
      </c>
      <c r="N80" s="590"/>
      <c r="O80" s="590"/>
      <c r="P80" s="187">
        <v>20</v>
      </c>
      <c r="Q80" s="187">
        <v>1270.6451612903238</v>
      </c>
      <c r="R80" s="187">
        <v>63.532258064516192</v>
      </c>
      <c r="S80" s="346">
        <f t="shared" si="25"/>
        <v>23</v>
      </c>
      <c r="T80" s="629"/>
      <c r="U80" s="187">
        <v>21</v>
      </c>
      <c r="V80" s="187">
        <v>1279.3548387096785</v>
      </c>
      <c r="W80" s="187">
        <v>60.921658986175167</v>
      </c>
      <c r="X80" s="346">
        <f t="shared" si="26"/>
        <v>23</v>
      </c>
      <c r="Y80" s="629"/>
      <c r="Z80" s="187">
        <v>20</v>
      </c>
      <c r="AA80" s="187">
        <v>1304.2105263157905</v>
      </c>
      <c r="AB80" s="187">
        <v>65.210526315789522</v>
      </c>
      <c r="AC80" s="346">
        <f t="shared" si="27"/>
        <v>21</v>
      </c>
      <c r="AD80" s="629"/>
      <c r="AE80" s="187">
        <v>20</v>
      </c>
      <c r="AF80" s="187">
        <v>1258.9090909090917</v>
      </c>
      <c r="AG80" s="187">
        <v>62.945454545454581</v>
      </c>
      <c r="AH80" s="346">
        <f t="shared" si="28"/>
        <v>22</v>
      </c>
      <c r="AI80" s="629"/>
      <c r="AJ80" s="187">
        <v>20</v>
      </c>
      <c r="AK80" s="187">
        <v>1292.830188679246</v>
      </c>
      <c r="AL80" s="187">
        <v>64.641509433962298</v>
      </c>
      <c r="AM80" s="346">
        <f t="shared" si="29"/>
        <v>22</v>
      </c>
      <c r="AN80" s="629"/>
      <c r="AO80" s="187">
        <v>20</v>
      </c>
      <c r="AP80" s="187">
        <v>1291.0000000000011</v>
      </c>
      <c r="AQ80" s="187">
        <v>64.550000000000054</v>
      </c>
      <c r="AR80" s="346">
        <f t="shared" si="30"/>
        <v>22</v>
      </c>
      <c r="AS80" s="629"/>
      <c r="AT80" s="187">
        <v>20</v>
      </c>
      <c r="AU80" s="187">
        <v>1305.0000000000016</v>
      </c>
      <c r="AV80" s="187">
        <v>65.250000000000085</v>
      </c>
      <c r="AW80" s="346">
        <f t="shared" si="31"/>
        <v>22</v>
      </c>
      <c r="AX80" s="629"/>
    </row>
    <row r="81" spans="2:50">
      <c r="B81" s="598"/>
      <c r="C81" s="319">
        <v>5</v>
      </c>
      <c r="D81" s="231" t="s">
        <v>357</v>
      </c>
      <c r="E81" s="187">
        <v>17</v>
      </c>
      <c r="F81" s="319">
        <v>1500</v>
      </c>
      <c r="G81" s="322">
        <v>88.235294117647058</v>
      </c>
      <c r="H81" s="633"/>
      <c r="I81" s="204">
        <f t="shared" si="22"/>
        <v>17</v>
      </c>
      <c r="J81" s="204">
        <f t="shared" si="23"/>
        <v>1331.8018010333203</v>
      </c>
      <c r="K81" s="205">
        <f t="shared" si="24"/>
        <v>78.341282413724727</v>
      </c>
      <c r="L81" s="572"/>
      <c r="M81" s="206">
        <f>RANK(K81, K$77:$K$106)</f>
        <v>7</v>
      </c>
      <c r="N81" s="590"/>
      <c r="O81" s="590"/>
      <c r="P81" s="187">
        <v>17</v>
      </c>
      <c r="Q81" s="187">
        <v>1315.9999999999993</v>
      </c>
      <c r="R81" s="187">
        <v>77.41176470588232</v>
      </c>
      <c r="S81" s="346">
        <f t="shared" si="25"/>
        <v>7</v>
      </c>
      <c r="T81" s="629"/>
      <c r="U81" s="187">
        <v>17</v>
      </c>
      <c r="V81" s="187">
        <v>1357.6271186440672</v>
      </c>
      <c r="W81" s="187">
        <v>79.860418743768662</v>
      </c>
      <c r="X81" s="346">
        <f t="shared" si="26"/>
        <v>4</v>
      </c>
      <c r="Y81" s="629"/>
      <c r="Z81" s="187">
        <v>17</v>
      </c>
      <c r="AA81" s="187">
        <v>1310.3571428571418</v>
      </c>
      <c r="AB81" s="187">
        <v>77.079831932773047</v>
      </c>
      <c r="AC81" s="346">
        <f t="shared" si="27"/>
        <v>8</v>
      </c>
      <c r="AD81" s="629"/>
      <c r="AE81" s="187">
        <v>17</v>
      </c>
      <c r="AF81" s="187">
        <v>1309.6153846153852</v>
      </c>
      <c r="AG81" s="187">
        <v>77.036199095022653</v>
      </c>
      <c r="AH81" s="346">
        <f t="shared" si="28"/>
        <v>7</v>
      </c>
      <c r="AI81" s="629"/>
      <c r="AJ81" s="187">
        <v>17</v>
      </c>
      <c r="AK81" s="187">
        <v>1356.4705882352946</v>
      </c>
      <c r="AL81" s="187">
        <v>79.79238754325263</v>
      </c>
      <c r="AM81" s="346">
        <f t="shared" si="29"/>
        <v>6</v>
      </c>
      <c r="AN81" s="629"/>
      <c r="AO81" s="187">
        <v>17</v>
      </c>
      <c r="AP81" s="187">
        <v>1334.2372881355927</v>
      </c>
      <c r="AQ81" s="187">
        <v>78.484546360917221</v>
      </c>
      <c r="AR81" s="346">
        <f t="shared" si="30"/>
        <v>7</v>
      </c>
      <c r="AS81" s="629"/>
      <c r="AT81" s="187">
        <v>17</v>
      </c>
      <c r="AU81" s="187">
        <v>1338.3050847457621</v>
      </c>
      <c r="AV81" s="187">
        <v>78.723828514456599</v>
      </c>
      <c r="AW81" s="346">
        <f t="shared" si="31"/>
        <v>5</v>
      </c>
      <c r="AX81" s="629"/>
    </row>
    <row r="82" spans="2:50">
      <c r="B82" s="598"/>
      <c r="C82" s="319">
        <v>6</v>
      </c>
      <c r="D82" s="231" t="s">
        <v>394</v>
      </c>
      <c r="E82" s="187">
        <v>17</v>
      </c>
      <c r="F82" s="319">
        <v>1565</v>
      </c>
      <c r="G82" s="322">
        <v>92.058823529411768</v>
      </c>
      <c r="H82" s="633"/>
      <c r="I82" s="204">
        <f t="shared" si="22"/>
        <v>17</v>
      </c>
      <c r="J82" s="204">
        <f t="shared" si="23"/>
        <v>1372.554511288278</v>
      </c>
      <c r="K82" s="205">
        <f t="shared" si="24"/>
        <v>80.738500664016357</v>
      </c>
      <c r="L82" s="572"/>
      <c r="M82" s="206">
        <f>RANK(K82, K$77:$K$106)</f>
        <v>4</v>
      </c>
      <c r="N82" s="590"/>
      <c r="O82" s="590"/>
      <c r="P82" s="187">
        <v>17</v>
      </c>
      <c r="Q82" s="187">
        <v>1349.6969696969702</v>
      </c>
      <c r="R82" s="187">
        <v>79.393939393939419</v>
      </c>
      <c r="S82" s="346">
        <f t="shared" si="25"/>
        <v>5</v>
      </c>
      <c r="T82" s="629"/>
      <c r="U82" s="187">
        <v>17</v>
      </c>
      <c r="V82" s="187">
        <v>1357.2815533980588</v>
      </c>
      <c r="W82" s="187">
        <v>79.840091376356398</v>
      </c>
      <c r="X82" s="346">
        <f t="shared" si="26"/>
        <v>5</v>
      </c>
      <c r="Y82" s="629"/>
      <c r="Z82" s="187">
        <v>17</v>
      </c>
      <c r="AA82" s="187">
        <v>1368.1250000000005</v>
      </c>
      <c r="AB82" s="187">
        <v>80.477941176470608</v>
      </c>
      <c r="AC82" s="346">
        <f t="shared" si="27"/>
        <v>5</v>
      </c>
      <c r="AD82" s="629"/>
      <c r="AE82" s="187">
        <v>17</v>
      </c>
      <c r="AF82" s="187">
        <v>1397.4683544303805</v>
      </c>
      <c r="AG82" s="187">
        <v>82.204020848845914</v>
      </c>
      <c r="AH82" s="346">
        <f t="shared" si="28"/>
        <v>3</v>
      </c>
      <c r="AI82" s="629"/>
      <c r="AJ82" s="187">
        <v>17</v>
      </c>
      <c r="AK82" s="187">
        <v>1388.0597014925372</v>
      </c>
      <c r="AL82" s="187">
        <v>81.650570676031606</v>
      </c>
      <c r="AM82" s="346">
        <f t="shared" si="29"/>
        <v>3</v>
      </c>
      <c r="AN82" s="629"/>
      <c r="AO82" s="187">
        <v>17</v>
      </c>
      <c r="AP82" s="187">
        <v>1356</v>
      </c>
      <c r="AQ82" s="187">
        <v>79.764705882352942</v>
      </c>
      <c r="AR82" s="346">
        <f t="shared" si="30"/>
        <v>4</v>
      </c>
      <c r="AS82" s="629"/>
      <c r="AT82" s="187">
        <v>17</v>
      </c>
      <c r="AU82" s="187">
        <v>1391.2500000000005</v>
      </c>
      <c r="AV82" s="187">
        <v>81.83823529411768</v>
      </c>
      <c r="AW82" s="346">
        <f t="shared" si="31"/>
        <v>3</v>
      </c>
      <c r="AX82" s="629"/>
    </row>
    <row r="83" spans="2:50">
      <c r="B83" s="598"/>
      <c r="C83" s="319">
        <v>7</v>
      </c>
      <c r="D83" s="231" t="s">
        <v>346</v>
      </c>
      <c r="E83" s="187">
        <v>16</v>
      </c>
      <c r="F83" s="319">
        <v>1440</v>
      </c>
      <c r="G83" s="322">
        <v>90</v>
      </c>
      <c r="H83" s="633"/>
      <c r="I83" s="204">
        <f t="shared" si="22"/>
        <v>16</v>
      </c>
      <c r="J83" s="204">
        <f t="shared" si="23"/>
        <v>1277.2132498004696</v>
      </c>
      <c r="K83" s="205">
        <f t="shared" si="24"/>
        <v>79.825828112529351</v>
      </c>
      <c r="L83" s="572"/>
      <c r="M83" s="206">
        <f>RANK(K83, K$77:$K$106)</f>
        <v>5</v>
      </c>
      <c r="N83" s="590"/>
      <c r="O83" s="590"/>
      <c r="P83" s="187">
        <v>16</v>
      </c>
      <c r="Q83" s="187">
        <v>1258.4999999999995</v>
      </c>
      <c r="R83" s="187">
        <v>78.656249999999972</v>
      </c>
      <c r="S83" s="346">
        <f t="shared" si="25"/>
        <v>6</v>
      </c>
      <c r="T83" s="629"/>
      <c r="U83" s="187">
        <v>16</v>
      </c>
      <c r="V83" s="187">
        <v>1259.9999999999989</v>
      </c>
      <c r="W83" s="187">
        <v>78.749999999999929</v>
      </c>
      <c r="X83" s="346">
        <f t="shared" si="26"/>
        <v>6</v>
      </c>
      <c r="Y83" s="629"/>
      <c r="Z83" s="187">
        <v>16</v>
      </c>
      <c r="AA83" s="187">
        <v>1317.9310344827561</v>
      </c>
      <c r="AB83" s="187">
        <v>82.370689655172256</v>
      </c>
      <c r="AC83" s="346">
        <f t="shared" si="27"/>
        <v>3</v>
      </c>
      <c r="AD83" s="629"/>
      <c r="AE83" s="187">
        <v>16</v>
      </c>
      <c r="AF83" s="187">
        <v>1245.8823529411748</v>
      </c>
      <c r="AG83" s="187">
        <v>77.867647058823422</v>
      </c>
      <c r="AH83" s="346">
        <f t="shared" si="28"/>
        <v>6</v>
      </c>
      <c r="AI83" s="629"/>
      <c r="AJ83" s="187">
        <v>16</v>
      </c>
      <c r="AK83" s="187">
        <v>1290.9090909090892</v>
      </c>
      <c r="AL83" s="187">
        <v>80.681818181818073</v>
      </c>
      <c r="AM83" s="346">
        <f t="shared" si="29"/>
        <v>5</v>
      </c>
      <c r="AN83" s="629"/>
      <c r="AO83" s="187">
        <v>16</v>
      </c>
      <c r="AP83" s="187">
        <v>1310.2702702702693</v>
      </c>
      <c r="AQ83" s="187">
        <v>81.891891891891831</v>
      </c>
      <c r="AR83" s="346">
        <f t="shared" si="30"/>
        <v>3</v>
      </c>
      <c r="AS83" s="629"/>
      <c r="AT83" s="187">
        <v>16</v>
      </c>
      <c r="AU83" s="187">
        <v>1256.9999999999995</v>
      </c>
      <c r="AV83" s="187">
        <v>78.562499999999972</v>
      </c>
      <c r="AW83" s="346">
        <f t="shared" si="31"/>
        <v>6</v>
      </c>
      <c r="AX83" s="629"/>
    </row>
    <row r="84" spans="2:50">
      <c r="B84" s="598"/>
      <c r="C84" s="319">
        <v>8</v>
      </c>
      <c r="D84" s="231" t="s">
        <v>393</v>
      </c>
      <c r="E84" s="187">
        <v>17</v>
      </c>
      <c r="F84" s="319">
        <v>1440</v>
      </c>
      <c r="G84" s="322">
        <v>84.705882352941174</v>
      </c>
      <c r="H84" s="633"/>
      <c r="I84" s="204">
        <f t="shared" si="22"/>
        <v>17</v>
      </c>
      <c r="J84" s="204">
        <f t="shared" si="23"/>
        <v>1269.0030481837355</v>
      </c>
      <c r="K84" s="205">
        <f t="shared" si="24"/>
        <v>74.647238128455029</v>
      </c>
      <c r="L84" s="572"/>
      <c r="M84" s="206">
        <f>RANK(K84, K$77:$K$106)</f>
        <v>12</v>
      </c>
      <c r="N84" s="590"/>
      <c r="O84" s="590"/>
      <c r="P84" s="187">
        <v>17</v>
      </c>
      <c r="Q84" s="187">
        <v>1273.9285714285722</v>
      </c>
      <c r="R84" s="187">
        <v>74.936974789916007</v>
      </c>
      <c r="S84" s="346">
        <f t="shared" si="25"/>
        <v>10</v>
      </c>
      <c r="T84" s="629"/>
      <c r="U84" s="187">
        <v>17</v>
      </c>
      <c r="V84" s="187">
        <v>1298.4000000000005</v>
      </c>
      <c r="W84" s="187">
        <v>76.376470588235321</v>
      </c>
      <c r="X84" s="346">
        <f t="shared" si="26"/>
        <v>7</v>
      </c>
      <c r="Y84" s="629"/>
      <c r="Z84" s="187">
        <v>17</v>
      </c>
      <c r="AA84" s="187">
        <v>1248.5106382978724</v>
      </c>
      <c r="AB84" s="187">
        <v>73.441802252816032</v>
      </c>
      <c r="AC84" s="346">
        <f t="shared" si="27"/>
        <v>14</v>
      </c>
      <c r="AD84" s="629"/>
      <c r="AE84" s="187">
        <v>17</v>
      </c>
      <c r="AF84" s="187">
        <v>1257.391304347826</v>
      </c>
      <c r="AG84" s="187">
        <v>73.964194373401526</v>
      </c>
      <c r="AH84" s="346">
        <f t="shared" si="28"/>
        <v>13</v>
      </c>
      <c r="AI84" s="629"/>
      <c r="AJ84" s="187">
        <v>17</v>
      </c>
      <c r="AK84" s="187">
        <v>1264.6153846153852</v>
      </c>
      <c r="AL84" s="187">
        <v>74.389140271493247</v>
      </c>
      <c r="AM84" s="346">
        <f t="shared" si="29"/>
        <v>11</v>
      </c>
      <c r="AN84" s="629"/>
      <c r="AO84" s="187">
        <v>17</v>
      </c>
      <c r="AP84" s="187">
        <v>1276.8421052631588</v>
      </c>
      <c r="AQ84" s="187">
        <v>75.108359133126996</v>
      </c>
      <c r="AR84" s="346">
        <f t="shared" si="30"/>
        <v>12</v>
      </c>
      <c r="AS84" s="629"/>
      <c r="AT84" s="187">
        <v>17</v>
      </c>
      <c r="AU84" s="187">
        <v>1263.3333333333342</v>
      </c>
      <c r="AV84" s="187">
        <v>74.313725490196134</v>
      </c>
      <c r="AW84" s="346">
        <f t="shared" si="31"/>
        <v>12</v>
      </c>
      <c r="AX84" s="629"/>
    </row>
    <row r="85" spans="2:50">
      <c r="B85" s="598"/>
      <c r="C85" s="319">
        <v>9</v>
      </c>
      <c r="D85" s="231" t="s">
        <v>389</v>
      </c>
      <c r="E85" s="187">
        <v>18</v>
      </c>
      <c r="F85" s="319">
        <v>1440</v>
      </c>
      <c r="G85" s="322">
        <v>80</v>
      </c>
      <c r="H85" s="633"/>
      <c r="I85" s="204">
        <f t="shared" si="22"/>
        <v>16.142857142857142</v>
      </c>
      <c r="J85" s="204">
        <f t="shared" si="23"/>
        <v>1164.623890095485</v>
      </c>
      <c r="K85" s="205">
        <f t="shared" si="24"/>
        <v>72.181988033846991</v>
      </c>
      <c r="L85" s="572"/>
      <c r="M85" s="206">
        <f>RANK(K85, K$77:$K$106)</f>
        <v>16</v>
      </c>
      <c r="N85" s="590"/>
      <c r="O85" s="590"/>
      <c r="P85" s="187">
        <v>17</v>
      </c>
      <c r="Q85" s="187">
        <v>1155.7377049180338</v>
      </c>
      <c r="R85" s="187">
        <v>67.984570877531397</v>
      </c>
      <c r="S85" s="346">
        <f t="shared" si="25"/>
        <v>19</v>
      </c>
      <c r="T85" s="629"/>
      <c r="U85" s="187">
        <v>16</v>
      </c>
      <c r="V85" s="187">
        <v>1165.0909090909099</v>
      </c>
      <c r="W85" s="187">
        <v>72.81818181818187</v>
      </c>
      <c r="X85" s="346">
        <f t="shared" si="26"/>
        <v>14</v>
      </c>
      <c r="Y85" s="629"/>
      <c r="Z85" s="187">
        <v>16</v>
      </c>
      <c r="AA85" s="187">
        <v>1160.0000000000005</v>
      </c>
      <c r="AB85" s="187">
        <v>72.500000000000028</v>
      </c>
      <c r="AC85" s="346">
        <f t="shared" si="27"/>
        <v>15</v>
      </c>
      <c r="AD85" s="629"/>
      <c r="AE85" s="187">
        <v>16</v>
      </c>
      <c r="AF85" s="187">
        <v>1165.0909090909099</v>
      </c>
      <c r="AG85" s="187">
        <v>72.81818181818187</v>
      </c>
      <c r="AH85" s="346">
        <f t="shared" si="28"/>
        <v>15</v>
      </c>
      <c r="AI85" s="629"/>
      <c r="AJ85" s="187">
        <v>16</v>
      </c>
      <c r="AK85" s="187">
        <v>1161.4285714285722</v>
      </c>
      <c r="AL85" s="187">
        <v>72.589285714285765</v>
      </c>
      <c r="AM85" s="346">
        <f t="shared" si="29"/>
        <v>15</v>
      </c>
      <c r="AN85" s="629"/>
      <c r="AO85" s="187">
        <v>16</v>
      </c>
      <c r="AP85" s="187">
        <v>1183.728813559323</v>
      </c>
      <c r="AQ85" s="187">
        <v>73.98305084745769</v>
      </c>
      <c r="AR85" s="346">
        <f t="shared" si="30"/>
        <v>16</v>
      </c>
      <c r="AS85" s="629"/>
      <c r="AT85" s="187">
        <v>16</v>
      </c>
      <c r="AU85" s="187">
        <v>1161.2903225806463</v>
      </c>
      <c r="AV85" s="187">
        <v>72.580645161290391</v>
      </c>
      <c r="AW85" s="346">
        <f t="shared" si="31"/>
        <v>17</v>
      </c>
      <c r="AX85" s="629"/>
    </row>
    <row r="86" spans="2:50">
      <c r="B86" s="598"/>
      <c r="C86" s="319">
        <v>10</v>
      </c>
      <c r="D86" s="231" t="s">
        <v>392</v>
      </c>
      <c r="E86" s="187">
        <v>20</v>
      </c>
      <c r="F86" s="319">
        <v>1636</v>
      </c>
      <c r="G86" s="322">
        <v>81.8</v>
      </c>
      <c r="H86" s="633"/>
      <c r="I86" s="204">
        <f t="shared" si="22"/>
        <v>19</v>
      </c>
      <c r="J86" s="204">
        <f t="shared" si="23"/>
        <v>1288.6254664875348</v>
      </c>
      <c r="K86" s="205">
        <f t="shared" si="24"/>
        <v>67.822392973028158</v>
      </c>
      <c r="L86" s="572"/>
      <c r="M86" s="206">
        <f>RANK(K86, K$77:$K$106)</f>
        <v>19</v>
      </c>
      <c r="N86" s="590"/>
      <c r="O86" s="590"/>
      <c r="P86" s="187">
        <v>19</v>
      </c>
      <c r="Q86" s="187">
        <v>1312.5</v>
      </c>
      <c r="R86" s="187">
        <v>69.078947368421055</v>
      </c>
      <c r="S86" s="346">
        <f t="shared" si="25"/>
        <v>18</v>
      </c>
      <c r="T86" s="629"/>
      <c r="U86" s="187">
        <v>19</v>
      </c>
      <c r="V86" s="187">
        <v>1309.0909090909083</v>
      </c>
      <c r="W86" s="187">
        <v>68.899521531100433</v>
      </c>
      <c r="X86" s="346">
        <f t="shared" si="26"/>
        <v>19</v>
      </c>
      <c r="Y86" s="629"/>
      <c r="Z86" s="187">
        <v>19</v>
      </c>
      <c r="AA86" s="187">
        <v>1267.9999999999991</v>
      </c>
      <c r="AB86" s="187">
        <v>66.736842105263108</v>
      </c>
      <c r="AC86" s="346">
        <f t="shared" si="27"/>
        <v>20</v>
      </c>
      <c r="AD86" s="629"/>
      <c r="AE86" s="187">
        <v>19</v>
      </c>
      <c r="AF86" s="187">
        <v>1299.9999999999986</v>
      </c>
      <c r="AG86" s="187">
        <v>68.421052631578874</v>
      </c>
      <c r="AH86" s="346">
        <f t="shared" si="28"/>
        <v>19</v>
      </c>
      <c r="AI86" s="629"/>
      <c r="AJ86" s="187">
        <v>19</v>
      </c>
      <c r="AK86" s="187">
        <v>1287.4999999999991</v>
      </c>
      <c r="AL86" s="187">
        <v>67.763157894736793</v>
      </c>
      <c r="AM86" s="346">
        <f t="shared" si="29"/>
        <v>19</v>
      </c>
      <c r="AN86" s="629"/>
      <c r="AO86" s="187">
        <v>19</v>
      </c>
      <c r="AP86" s="187">
        <v>1278.6206896551721</v>
      </c>
      <c r="AQ86" s="187">
        <v>67.295825771324843</v>
      </c>
      <c r="AR86" s="346">
        <f t="shared" si="30"/>
        <v>20</v>
      </c>
      <c r="AS86" s="629"/>
      <c r="AT86" s="187">
        <v>19</v>
      </c>
      <c r="AU86" s="187">
        <v>1264.6666666666667</v>
      </c>
      <c r="AV86" s="187">
        <v>66.561403508771932</v>
      </c>
      <c r="AW86" s="346">
        <f t="shared" si="31"/>
        <v>21</v>
      </c>
      <c r="AX86" s="629"/>
    </row>
    <row r="87" spans="2:50">
      <c r="B87" s="598"/>
      <c r="C87" s="319">
        <v>11</v>
      </c>
      <c r="D87" s="231" t="s">
        <v>391</v>
      </c>
      <c r="E87" s="187">
        <v>19</v>
      </c>
      <c r="F87" s="319">
        <v>1636</v>
      </c>
      <c r="G87" s="322">
        <v>86.10526315789474</v>
      </c>
      <c r="H87" s="633"/>
      <c r="I87" s="204">
        <f t="shared" si="22"/>
        <v>19</v>
      </c>
      <c r="J87" s="204">
        <f t="shared" si="23"/>
        <v>1283.8335846484354</v>
      </c>
      <c r="K87" s="205">
        <f t="shared" si="24"/>
        <v>67.570188665707107</v>
      </c>
      <c r="L87" s="572"/>
      <c r="M87" s="206">
        <f>RANK(K87, K$77:$K$106)</f>
        <v>20</v>
      </c>
      <c r="N87" s="590"/>
      <c r="O87" s="590"/>
      <c r="P87" s="187">
        <v>19</v>
      </c>
      <c r="Q87" s="187">
        <v>1256.5714285714273</v>
      </c>
      <c r="R87" s="187">
        <v>66.135338345864596</v>
      </c>
      <c r="S87" s="346">
        <f t="shared" si="25"/>
        <v>21</v>
      </c>
      <c r="T87" s="629"/>
      <c r="U87" s="187">
        <v>19</v>
      </c>
      <c r="V87" s="187">
        <v>1305.7142857142871</v>
      </c>
      <c r="W87" s="187">
        <v>68.721804511278265</v>
      </c>
      <c r="X87" s="346">
        <f t="shared" si="26"/>
        <v>20</v>
      </c>
      <c r="Y87" s="629"/>
      <c r="Z87" s="187">
        <v>19</v>
      </c>
      <c r="AA87" s="187">
        <v>1302.1052631578957</v>
      </c>
      <c r="AB87" s="187">
        <v>68.531855955678722</v>
      </c>
      <c r="AC87" s="346">
        <f t="shared" si="27"/>
        <v>19</v>
      </c>
      <c r="AD87" s="629"/>
      <c r="AE87" s="187">
        <v>19</v>
      </c>
      <c r="AF87" s="187">
        <v>1279.2857142857151</v>
      </c>
      <c r="AG87" s="187">
        <v>67.330827067669219</v>
      </c>
      <c r="AH87" s="346">
        <f t="shared" si="28"/>
        <v>20</v>
      </c>
      <c r="AI87" s="629"/>
      <c r="AJ87" s="187">
        <v>19</v>
      </c>
      <c r="AK87" s="187">
        <v>1261.0526315789482</v>
      </c>
      <c r="AL87" s="187">
        <v>66.371191135734122</v>
      </c>
      <c r="AM87" s="346">
        <f t="shared" si="29"/>
        <v>21</v>
      </c>
      <c r="AN87" s="629"/>
      <c r="AO87" s="187">
        <v>19</v>
      </c>
      <c r="AP87" s="187">
        <v>1276.8750000000016</v>
      </c>
      <c r="AQ87" s="187">
        <v>67.20394736842114</v>
      </c>
      <c r="AR87" s="346">
        <f t="shared" si="30"/>
        <v>21</v>
      </c>
      <c r="AS87" s="629"/>
      <c r="AT87" s="187">
        <v>19</v>
      </c>
      <c r="AU87" s="187">
        <v>1305.2307692307706</v>
      </c>
      <c r="AV87" s="187">
        <v>68.696356275303714</v>
      </c>
      <c r="AW87" s="346">
        <f t="shared" si="31"/>
        <v>20</v>
      </c>
      <c r="AX87" s="629"/>
    </row>
    <row r="88" spans="2:50">
      <c r="B88" s="598"/>
      <c r="C88" s="319">
        <v>12</v>
      </c>
      <c r="D88" s="231" t="s">
        <v>427</v>
      </c>
      <c r="E88" s="187">
        <v>20</v>
      </c>
      <c r="F88" s="319">
        <v>1500</v>
      </c>
      <c r="G88" s="322">
        <v>75</v>
      </c>
      <c r="H88" s="633"/>
      <c r="I88" s="204">
        <f t="shared" si="22"/>
        <v>20</v>
      </c>
      <c r="J88" s="204">
        <f t="shared" si="23"/>
        <v>1164.6088818022915</v>
      </c>
      <c r="K88" s="205">
        <f t="shared" si="24"/>
        <v>58.230444090114588</v>
      </c>
      <c r="L88" s="572"/>
      <c r="M88" s="206">
        <f>RANK(K88, K$77:$K$106)</f>
        <v>23</v>
      </c>
      <c r="N88" s="590"/>
      <c r="O88" s="590"/>
      <c r="P88" s="187">
        <v>20</v>
      </c>
      <c r="Q88" s="187">
        <v>1284.827586206894</v>
      </c>
      <c r="R88" s="187">
        <v>64.241379310344698</v>
      </c>
      <c r="S88" s="346">
        <f t="shared" si="25"/>
        <v>22</v>
      </c>
      <c r="T88" s="629"/>
      <c r="U88" s="187">
        <v>20</v>
      </c>
      <c r="V88" s="187">
        <v>1250.3225806451624</v>
      </c>
      <c r="W88" s="187">
        <v>62.516129032258121</v>
      </c>
      <c r="X88" s="346">
        <f t="shared" si="26"/>
        <v>22</v>
      </c>
      <c r="Y88" s="629"/>
      <c r="Z88" s="187">
        <v>20</v>
      </c>
      <c r="AA88" s="187">
        <v>1072.7272727272739</v>
      </c>
      <c r="AB88" s="187">
        <v>53.636363636363697</v>
      </c>
      <c r="AC88" s="346">
        <f t="shared" si="27"/>
        <v>23</v>
      </c>
      <c r="AD88" s="629"/>
      <c r="AE88" s="187">
        <v>20</v>
      </c>
      <c r="AF88" s="187">
        <v>1095.4838709677431</v>
      </c>
      <c r="AG88" s="187">
        <v>54.774193548387153</v>
      </c>
      <c r="AH88" s="346">
        <f t="shared" si="28"/>
        <v>23</v>
      </c>
      <c r="AI88" s="629"/>
      <c r="AJ88" s="187">
        <v>20</v>
      </c>
      <c r="AK88" s="187">
        <v>1080.0000000000011</v>
      </c>
      <c r="AL88" s="187">
        <v>54.000000000000057</v>
      </c>
      <c r="AM88" s="346">
        <f t="shared" si="29"/>
        <v>23</v>
      </c>
      <c r="AN88" s="629"/>
      <c r="AO88" s="187">
        <v>20</v>
      </c>
      <c r="AP88" s="187">
        <v>1268.2758620689665</v>
      </c>
      <c r="AQ88" s="187">
        <v>63.413793103448327</v>
      </c>
      <c r="AR88" s="346">
        <f t="shared" si="30"/>
        <v>23</v>
      </c>
      <c r="AS88" s="629"/>
      <c r="AT88" s="187">
        <v>20</v>
      </c>
      <c r="AU88" s="187">
        <v>1100.6250000000014</v>
      </c>
      <c r="AV88" s="187">
        <v>55.031250000000071</v>
      </c>
      <c r="AW88" s="346">
        <f t="shared" si="31"/>
        <v>23</v>
      </c>
      <c r="AX88" s="629"/>
    </row>
    <row r="89" spans="2:50">
      <c r="B89" s="598"/>
      <c r="C89" s="319">
        <v>13</v>
      </c>
      <c r="D89" s="231" t="s">
        <v>395</v>
      </c>
      <c r="E89" s="187">
        <v>18</v>
      </c>
      <c r="F89" s="319">
        <v>1500</v>
      </c>
      <c r="G89" s="322">
        <v>83.333333333333329</v>
      </c>
      <c r="H89" s="633"/>
      <c r="I89" s="204">
        <f t="shared" si="22"/>
        <v>17</v>
      </c>
      <c r="J89" s="204">
        <f t="shared" si="23"/>
        <v>1267.5665295643284</v>
      </c>
      <c r="K89" s="205">
        <f t="shared" si="24"/>
        <v>74.562737033195774</v>
      </c>
      <c r="L89" s="572"/>
      <c r="M89" s="206">
        <f>RANK(K89, K$77:$K$106)</f>
        <v>13</v>
      </c>
      <c r="N89" s="590"/>
      <c r="O89" s="590"/>
      <c r="P89" s="187">
        <v>17</v>
      </c>
      <c r="Q89" s="187">
        <v>1268.5714285714282</v>
      </c>
      <c r="R89" s="187">
        <v>74.621848739495775</v>
      </c>
      <c r="S89" s="346">
        <f t="shared" si="25"/>
        <v>12</v>
      </c>
      <c r="T89" s="629"/>
      <c r="U89" s="187">
        <v>17</v>
      </c>
      <c r="V89" s="187">
        <v>1251.4285714285711</v>
      </c>
      <c r="W89" s="187">
        <v>73.613445378151241</v>
      </c>
      <c r="X89" s="346">
        <f t="shared" si="26"/>
        <v>13</v>
      </c>
      <c r="Y89" s="629"/>
      <c r="Z89" s="187">
        <v>17</v>
      </c>
      <c r="AA89" s="187">
        <v>1261.5789473684201</v>
      </c>
      <c r="AB89" s="187">
        <v>74.210526315789423</v>
      </c>
      <c r="AC89" s="346">
        <f t="shared" si="27"/>
        <v>12</v>
      </c>
      <c r="AD89" s="629"/>
      <c r="AE89" s="187">
        <v>17</v>
      </c>
      <c r="AF89" s="187">
        <v>1301.1428571428557</v>
      </c>
      <c r="AG89" s="187">
        <v>76.537815126050333</v>
      </c>
      <c r="AH89" s="346">
        <f t="shared" si="28"/>
        <v>8</v>
      </c>
      <c r="AI89" s="629"/>
      <c r="AJ89" s="187">
        <v>17</v>
      </c>
      <c r="AK89" s="187">
        <v>1259.9999999999995</v>
      </c>
      <c r="AL89" s="187">
        <v>74.117647058823508</v>
      </c>
      <c r="AM89" s="346">
        <f t="shared" si="29"/>
        <v>13</v>
      </c>
      <c r="AN89" s="629"/>
      <c r="AO89" s="187">
        <v>17</v>
      </c>
      <c r="AP89" s="187">
        <v>1270.2439024390239</v>
      </c>
      <c r="AQ89" s="187">
        <v>74.720229555236699</v>
      </c>
      <c r="AR89" s="346">
        <f t="shared" si="30"/>
        <v>15</v>
      </c>
      <c r="AS89" s="629"/>
      <c r="AT89" s="187">
        <v>17</v>
      </c>
      <c r="AU89" s="187">
        <v>1259.9999999999995</v>
      </c>
      <c r="AV89" s="187">
        <v>74.117647058823508</v>
      </c>
      <c r="AW89" s="346">
        <f t="shared" si="31"/>
        <v>13</v>
      </c>
      <c r="AX89" s="629"/>
    </row>
    <row r="90" spans="2:50">
      <c r="B90" s="598"/>
      <c r="C90" s="319">
        <v>14</v>
      </c>
      <c r="D90" s="231" t="s">
        <v>361</v>
      </c>
      <c r="E90" s="187">
        <v>18</v>
      </c>
      <c r="F90" s="319">
        <v>1500</v>
      </c>
      <c r="G90" s="322">
        <v>83.333333333333329</v>
      </c>
      <c r="H90" s="633"/>
      <c r="I90" s="204">
        <f t="shared" si="22"/>
        <v>17</v>
      </c>
      <c r="J90" s="204">
        <f t="shared" si="23"/>
        <v>1285.6425073569919</v>
      </c>
      <c r="K90" s="205">
        <f t="shared" si="24"/>
        <v>75.626029844528944</v>
      </c>
      <c r="L90" s="572"/>
      <c r="M90" s="206">
        <f>RANK(K90, K$77:$K$106)</f>
        <v>9</v>
      </c>
      <c r="N90" s="590"/>
      <c r="O90" s="590"/>
      <c r="P90" s="187">
        <v>17</v>
      </c>
      <c r="Q90" s="187">
        <v>1273.3333333333339</v>
      </c>
      <c r="R90" s="187">
        <v>74.901960784313758</v>
      </c>
      <c r="S90" s="346">
        <f t="shared" si="25"/>
        <v>11</v>
      </c>
      <c r="T90" s="629"/>
      <c r="U90" s="187">
        <v>17</v>
      </c>
      <c r="V90" s="187">
        <v>1258.9090909090917</v>
      </c>
      <c r="W90" s="187">
        <v>74.053475935828928</v>
      </c>
      <c r="X90" s="346">
        <f t="shared" si="26"/>
        <v>11</v>
      </c>
      <c r="Y90" s="629"/>
      <c r="Z90" s="187">
        <v>17</v>
      </c>
      <c r="AA90" s="187">
        <v>1293.7500000000005</v>
      </c>
      <c r="AB90" s="187">
        <v>76.102941176470608</v>
      </c>
      <c r="AC90" s="346">
        <f t="shared" si="27"/>
        <v>10</v>
      </c>
      <c r="AD90" s="629"/>
      <c r="AE90" s="187">
        <v>17</v>
      </c>
      <c r="AF90" s="187">
        <v>1262.3076923076931</v>
      </c>
      <c r="AG90" s="187">
        <v>74.253393665158413</v>
      </c>
      <c r="AH90" s="346">
        <f t="shared" si="28"/>
        <v>12</v>
      </c>
      <c r="AI90" s="629"/>
      <c r="AJ90" s="187">
        <v>17</v>
      </c>
      <c r="AK90" s="187">
        <v>1281.1764705882358</v>
      </c>
      <c r="AL90" s="187">
        <v>75.363321799307982</v>
      </c>
      <c r="AM90" s="346">
        <f t="shared" si="29"/>
        <v>9</v>
      </c>
      <c r="AN90" s="629"/>
      <c r="AO90" s="187">
        <v>17</v>
      </c>
      <c r="AP90" s="187">
        <v>1321.132075471699</v>
      </c>
      <c r="AQ90" s="187">
        <v>77.713651498335238</v>
      </c>
      <c r="AR90" s="346">
        <f t="shared" si="30"/>
        <v>8</v>
      </c>
      <c r="AS90" s="629"/>
      <c r="AT90" s="187">
        <v>17</v>
      </c>
      <c r="AU90" s="187">
        <v>1308.8888888888896</v>
      </c>
      <c r="AV90" s="187">
        <v>76.993464052287621</v>
      </c>
      <c r="AW90" s="346">
        <f t="shared" si="31"/>
        <v>8</v>
      </c>
      <c r="AX90" s="629"/>
    </row>
    <row r="91" spans="2:50">
      <c r="B91" s="598"/>
      <c r="C91" s="319">
        <v>15</v>
      </c>
      <c r="D91" s="231" t="s">
        <v>396</v>
      </c>
      <c r="E91" s="187">
        <v>17</v>
      </c>
      <c r="F91" s="319">
        <v>1440</v>
      </c>
      <c r="G91" s="322">
        <v>84.705882352941174</v>
      </c>
      <c r="H91" s="633"/>
      <c r="I91" s="204">
        <f t="shared" si="22"/>
        <v>17.857142857142858</v>
      </c>
      <c r="J91" s="204">
        <f t="shared" si="23"/>
        <v>1332.4855899355059</v>
      </c>
      <c r="K91" s="205">
        <f t="shared" si="24"/>
        <v>74.664565587320013</v>
      </c>
      <c r="L91" s="572"/>
      <c r="M91" s="206">
        <f>RANK(K91, K$77:$K$106)</f>
        <v>11</v>
      </c>
      <c r="N91" s="590"/>
      <c r="O91" s="590"/>
      <c r="P91" s="187">
        <v>18</v>
      </c>
      <c r="Q91" s="187">
        <v>1302.7659574468087</v>
      </c>
      <c r="R91" s="187">
        <v>72.375886524822704</v>
      </c>
      <c r="S91" s="346">
        <f t="shared" si="25"/>
        <v>14</v>
      </c>
      <c r="T91" s="629"/>
      <c r="U91" s="187">
        <v>18</v>
      </c>
      <c r="V91" s="187">
        <v>1340.4395604395604</v>
      </c>
      <c r="W91" s="187">
        <v>74.468864468864467</v>
      </c>
      <c r="X91" s="346">
        <f t="shared" si="26"/>
        <v>10</v>
      </c>
      <c r="Y91" s="629"/>
      <c r="Z91" s="187">
        <v>17</v>
      </c>
      <c r="AA91" s="187">
        <v>1365.7142857142853</v>
      </c>
      <c r="AB91" s="187">
        <v>80.336134453781483</v>
      </c>
      <c r="AC91" s="346">
        <f t="shared" si="27"/>
        <v>6</v>
      </c>
      <c r="AD91" s="629"/>
      <c r="AE91" s="187">
        <v>18</v>
      </c>
      <c r="AF91" s="187">
        <v>1325.9999999999995</v>
      </c>
      <c r="AG91" s="187">
        <v>73.666666666666643</v>
      </c>
      <c r="AH91" s="346">
        <f t="shared" si="28"/>
        <v>14</v>
      </c>
      <c r="AI91" s="629"/>
      <c r="AJ91" s="187">
        <v>18</v>
      </c>
      <c r="AK91" s="187">
        <v>1336.5517241379307</v>
      </c>
      <c r="AL91" s="187">
        <v>74.252873563218373</v>
      </c>
      <c r="AM91" s="346">
        <f t="shared" si="29"/>
        <v>12</v>
      </c>
      <c r="AN91" s="629"/>
      <c r="AO91" s="187">
        <v>18</v>
      </c>
      <c r="AP91" s="187">
        <v>1347.6923076923076</v>
      </c>
      <c r="AQ91" s="187">
        <v>74.871794871794862</v>
      </c>
      <c r="AR91" s="346">
        <f t="shared" si="30"/>
        <v>14</v>
      </c>
      <c r="AS91" s="629"/>
      <c r="AT91" s="187">
        <v>18</v>
      </c>
      <c r="AU91" s="187">
        <v>1308.2352941176475</v>
      </c>
      <c r="AV91" s="187">
        <v>72.679738562091529</v>
      </c>
      <c r="AW91" s="346">
        <f t="shared" si="31"/>
        <v>16</v>
      </c>
      <c r="AX91" s="629"/>
    </row>
    <row r="92" spans="2:50">
      <c r="B92" s="598"/>
      <c r="C92" s="319">
        <v>16</v>
      </c>
      <c r="D92" s="231" t="s">
        <v>397</v>
      </c>
      <c r="E92" s="187">
        <v>15</v>
      </c>
      <c r="F92" s="319">
        <v>1440</v>
      </c>
      <c r="G92" s="322">
        <v>96</v>
      </c>
      <c r="H92" s="633"/>
      <c r="I92" s="204">
        <f t="shared" si="22"/>
        <v>15.714285714285714</v>
      </c>
      <c r="J92" s="204">
        <f t="shared" si="23"/>
        <v>1275.4381162769284</v>
      </c>
      <c r="K92" s="205">
        <f t="shared" si="24"/>
        <v>81.228966774350297</v>
      </c>
      <c r="L92" s="572"/>
      <c r="M92" s="206">
        <f>RANK(K92, K$77:$K$106)</f>
        <v>3</v>
      </c>
      <c r="N92" s="590"/>
      <c r="O92" s="590"/>
      <c r="P92" s="187">
        <v>15</v>
      </c>
      <c r="Q92" s="187">
        <v>1284.5070422535198</v>
      </c>
      <c r="R92" s="187">
        <v>85.633802816901323</v>
      </c>
      <c r="S92" s="346">
        <f t="shared" si="25"/>
        <v>3</v>
      </c>
      <c r="T92" s="629"/>
      <c r="U92" s="187">
        <v>15</v>
      </c>
      <c r="V92" s="187">
        <v>1259.1549295774637</v>
      </c>
      <c r="W92" s="187">
        <v>83.943661971830906</v>
      </c>
      <c r="X92" s="346">
        <f t="shared" si="26"/>
        <v>3</v>
      </c>
      <c r="Y92" s="629"/>
      <c r="Z92" s="187">
        <v>16</v>
      </c>
      <c r="AA92" s="187">
        <v>1300.3278688524604</v>
      </c>
      <c r="AB92" s="187">
        <v>81.270491803278773</v>
      </c>
      <c r="AC92" s="346">
        <f t="shared" si="27"/>
        <v>4</v>
      </c>
      <c r="AD92" s="629"/>
      <c r="AE92" s="187">
        <v>16</v>
      </c>
      <c r="AF92" s="187">
        <v>1278.0952380952392</v>
      </c>
      <c r="AG92" s="187">
        <v>79.880952380952451</v>
      </c>
      <c r="AH92" s="346">
        <f t="shared" si="28"/>
        <v>4</v>
      </c>
      <c r="AI92" s="629"/>
      <c r="AJ92" s="187">
        <v>16</v>
      </c>
      <c r="AK92" s="187">
        <v>1297.5000000000016</v>
      </c>
      <c r="AL92" s="187">
        <v>81.093750000000099</v>
      </c>
      <c r="AM92" s="346">
        <f t="shared" si="29"/>
        <v>4</v>
      </c>
      <c r="AN92" s="629"/>
      <c r="AO92" s="187">
        <v>16</v>
      </c>
      <c r="AP92" s="187">
        <v>1259.1666666666656</v>
      </c>
      <c r="AQ92" s="187">
        <v>78.6979166666666</v>
      </c>
      <c r="AR92" s="346">
        <f t="shared" si="30"/>
        <v>6</v>
      </c>
      <c r="AS92" s="629"/>
      <c r="AT92" s="187">
        <v>16</v>
      </c>
      <c r="AU92" s="187">
        <v>1249.3150684931497</v>
      </c>
      <c r="AV92" s="187">
        <v>78.082191780821859</v>
      </c>
      <c r="AW92" s="346">
        <f t="shared" si="31"/>
        <v>7</v>
      </c>
      <c r="AX92" s="629"/>
    </row>
    <row r="93" spans="2:50">
      <c r="B93" s="598"/>
      <c r="C93" s="319">
        <v>17</v>
      </c>
      <c r="D93" s="231" t="s">
        <v>349</v>
      </c>
      <c r="E93" s="187">
        <v>17</v>
      </c>
      <c r="F93" s="319">
        <v>1440</v>
      </c>
      <c r="G93" s="322">
        <v>84.705882352941174</v>
      </c>
      <c r="H93" s="633"/>
      <c r="I93" s="204">
        <f t="shared" si="22"/>
        <v>17</v>
      </c>
      <c r="J93" s="204">
        <f t="shared" si="23"/>
        <v>1333.2649808727786</v>
      </c>
      <c r="K93" s="205">
        <f t="shared" si="24"/>
        <v>78.4273518160458</v>
      </c>
      <c r="L93" s="572"/>
      <c r="M93" s="206">
        <f>RANK(K93, K$77:$K$106)</f>
        <v>6</v>
      </c>
      <c r="N93" s="590"/>
      <c r="O93" s="590"/>
      <c r="P93" s="187">
        <v>17</v>
      </c>
      <c r="Q93" s="187">
        <v>1359.5294117647106</v>
      </c>
      <c r="R93" s="187">
        <v>79.972318339100624</v>
      </c>
      <c r="S93" s="346">
        <f t="shared" si="25"/>
        <v>4</v>
      </c>
      <c r="T93" s="629"/>
      <c r="U93" s="187">
        <v>17</v>
      </c>
      <c r="V93" s="187">
        <v>1252.5882352941221</v>
      </c>
      <c r="W93" s="187">
        <v>73.681660899654247</v>
      </c>
      <c r="X93" s="346">
        <f t="shared" si="26"/>
        <v>12</v>
      </c>
      <c r="Y93" s="629"/>
      <c r="Z93" s="187">
        <v>17</v>
      </c>
      <c r="AA93" s="187">
        <v>1344.8076923076931</v>
      </c>
      <c r="AB93" s="187">
        <v>79.106334841629007</v>
      </c>
      <c r="AC93" s="346">
        <f t="shared" si="27"/>
        <v>7</v>
      </c>
      <c r="AD93" s="629"/>
      <c r="AE93" s="187">
        <v>17</v>
      </c>
      <c r="AF93" s="187">
        <v>1345.2631578947371</v>
      </c>
      <c r="AG93" s="187">
        <v>79.133126934984531</v>
      </c>
      <c r="AH93" s="346">
        <f t="shared" si="28"/>
        <v>5</v>
      </c>
      <c r="AI93" s="629"/>
      <c r="AJ93" s="187">
        <v>17</v>
      </c>
      <c r="AK93" s="187">
        <v>1340.606060606061</v>
      </c>
      <c r="AL93" s="187">
        <v>78.859180035650638</v>
      </c>
      <c r="AM93" s="346">
        <f t="shared" si="29"/>
        <v>7</v>
      </c>
      <c r="AN93" s="629"/>
      <c r="AO93" s="187">
        <v>17</v>
      </c>
      <c r="AP93" s="187">
        <v>1349.7297297297307</v>
      </c>
      <c r="AQ93" s="187">
        <v>79.395866454690037</v>
      </c>
      <c r="AR93" s="346">
        <f t="shared" si="30"/>
        <v>5</v>
      </c>
      <c r="AS93" s="629"/>
      <c r="AT93" s="187">
        <v>17</v>
      </c>
      <c r="AU93" s="187">
        <v>1340.330578512396</v>
      </c>
      <c r="AV93" s="187">
        <v>78.842975206611527</v>
      </c>
      <c r="AW93" s="346">
        <f t="shared" si="31"/>
        <v>4</v>
      </c>
      <c r="AX93" s="629"/>
    </row>
    <row r="94" spans="2:50">
      <c r="B94" s="598"/>
      <c r="C94" s="319">
        <v>18</v>
      </c>
      <c r="D94" s="231" t="s">
        <v>388</v>
      </c>
      <c r="E94" s="187">
        <v>18</v>
      </c>
      <c r="F94" s="319">
        <v>1636</v>
      </c>
      <c r="G94" s="322">
        <v>90.888888888888886</v>
      </c>
      <c r="H94" s="633"/>
      <c r="I94" s="204">
        <f t="shared" si="22"/>
        <v>17</v>
      </c>
      <c r="J94" s="204">
        <f t="shared" si="23"/>
        <v>1282.0939607034438</v>
      </c>
      <c r="K94" s="205">
        <f t="shared" si="24"/>
        <v>75.417291806084933</v>
      </c>
      <c r="L94" s="572"/>
      <c r="M94" s="206">
        <f>RANK(K94, K$77:$K$106)</f>
        <v>10</v>
      </c>
      <c r="N94" s="590"/>
      <c r="O94" s="590"/>
      <c r="P94" s="187">
        <v>17</v>
      </c>
      <c r="Q94" s="187">
        <v>1284.905660377359</v>
      </c>
      <c r="R94" s="187">
        <v>75.58268590455053</v>
      </c>
      <c r="S94" s="346">
        <f t="shared" si="25"/>
        <v>9</v>
      </c>
      <c r="T94" s="629"/>
      <c r="U94" s="187">
        <v>17</v>
      </c>
      <c r="V94" s="187">
        <v>1282.0408163265308</v>
      </c>
      <c r="W94" s="187">
        <v>75.414165666266513</v>
      </c>
      <c r="X94" s="346">
        <f t="shared" si="26"/>
        <v>8</v>
      </c>
      <c r="Y94" s="629"/>
      <c r="Z94" s="187">
        <v>17</v>
      </c>
      <c r="AA94" s="187">
        <v>1271.1627906976742</v>
      </c>
      <c r="AB94" s="187">
        <v>74.774281805745545</v>
      </c>
      <c r="AC94" s="346">
        <f t="shared" si="27"/>
        <v>11</v>
      </c>
      <c r="AD94" s="629"/>
      <c r="AE94" s="187">
        <v>17</v>
      </c>
      <c r="AF94" s="187">
        <v>1281.4285714285711</v>
      </c>
      <c r="AG94" s="187">
        <v>75.378151260504183</v>
      </c>
      <c r="AH94" s="346">
        <f t="shared" si="28"/>
        <v>9</v>
      </c>
      <c r="AI94" s="629"/>
      <c r="AJ94" s="187">
        <v>17</v>
      </c>
      <c r="AK94" s="187">
        <v>1296.2790697674418</v>
      </c>
      <c r="AL94" s="187">
        <v>76.251709986320108</v>
      </c>
      <c r="AM94" s="346">
        <f t="shared" si="29"/>
        <v>8</v>
      </c>
      <c r="AN94" s="629"/>
      <c r="AO94" s="187">
        <v>17</v>
      </c>
      <c r="AP94" s="187">
        <v>1276.8000000000002</v>
      </c>
      <c r="AQ94" s="187">
        <v>75.105882352941194</v>
      </c>
      <c r="AR94" s="346">
        <f t="shared" si="30"/>
        <v>13</v>
      </c>
      <c r="AS94" s="629"/>
      <c r="AT94" s="187">
        <v>17</v>
      </c>
      <c r="AU94" s="187">
        <v>1282.0408163265308</v>
      </c>
      <c r="AV94" s="187">
        <v>75.414165666266513</v>
      </c>
      <c r="AW94" s="346">
        <f t="shared" si="31"/>
        <v>10</v>
      </c>
      <c r="AX94" s="629"/>
    </row>
    <row r="95" spans="2:50">
      <c r="B95" s="598"/>
      <c r="C95" s="319">
        <v>19</v>
      </c>
      <c r="D95" s="231" t="s">
        <v>390</v>
      </c>
      <c r="E95" s="187">
        <v>18</v>
      </c>
      <c r="F95" s="319">
        <v>1440</v>
      </c>
      <c r="G95" s="322">
        <v>80</v>
      </c>
      <c r="H95" s="633"/>
      <c r="I95" s="204">
        <f t="shared" si="22"/>
        <v>17.714285714285715</v>
      </c>
      <c r="J95" s="204">
        <f t="shared" si="23"/>
        <v>1292.7519096733176</v>
      </c>
      <c r="K95" s="205">
        <f t="shared" si="24"/>
        <v>73.024014242041162</v>
      </c>
      <c r="L95" s="572"/>
      <c r="M95" s="206">
        <f>RANK(K95, K$77:$K$106)</f>
        <v>15</v>
      </c>
      <c r="N95" s="590"/>
      <c r="O95" s="590"/>
      <c r="P95" s="187">
        <v>18</v>
      </c>
      <c r="Q95" s="187">
        <v>1291.6483516483518</v>
      </c>
      <c r="R95" s="187">
        <v>71.758241758241766</v>
      </c>
      <c r="S95" s="346">
        <f t="shared" si="25"/>
        <v>15</v>
      </c>
      <c r="T95" s="629"/>
      <c r="U95" s="187">
        <v>18</v>
      </c>
      <c r="V95" s="187">
        <v>1292.7906976744184</v>
      </c>
      <c r="W95" s="187">
        <v>71.821705426356573</v>
      </c>
      <c r="X95" s="346">
        <f t="shared" si="26"/>
        <v>16</v>
      </c>
      <c r="Y95" s="629"/>
      <c r="Z95" s="187">
        <v>18</v>
      </c>
      <c r="AA95" s="187">
        <v>1299.7297297297289</v>
      </c>
      <c r="AB95" s="187">
        <v>72.207207207207162</v>
      </c>
      <c r="AC95" s="346">
        <f t="shared" si="27"/>
        <v>16</v>
      </c>
      <c r="AD95" s="629"/>
      <c r="AE95" s="187">
        <v>18</v>
      </c>
      <c r="AF95" s="187">
        <v>1288.3333333333321</v>
      </c>
      <c r="AG95" s="187">
        <v>71.574074074074005</v>
      </c>
      <c r="AH95" s="346">
        <f t="shared" si="28"/>
        <v>17</v>
      </c>
      <c r="AI95" s="629"/>
      <c r="AJ95" s="187">
        <v>18</v>
      </c>
      <c r="AK95" s="187">
        <v>1296.7999999999988</v>
      </c>
      <c r="AL95" s="187">
        <v>72.04444444444438</v>
      </c>
      <c r="AM95" s="346">
        <f t="shared" si="29"/>
        <v>16</v>
      </c>
      <c r="AN95" s="629"/>
      <c r="AO95" s="187">
        <v>17</v>
      </c>
      <c r="AP95" s="187">
        <v>1288.2758620689654</v>
      </c>
      <c r="AQ95" s="187">
        <v>75.780933062880308</v>
      </c>
      <c r="AR95" s="346">
        <f t="shared" si="30"/>
        <v>10</v>
      </c>
      <c r="AS95" s="629"/>
      <c r="AT95" s="187">
        <v>17</v>
      </c>
      <c r="AU95" s="187">
        <v>1291.6853932584268</v>
      </c>
      <c r="AV95" s="187">
        <v>75.981493721083922</v>
      </c>
      <c r="AW95" s="346">
        <f t="shared" si="31"/>
        <v>9</v>
      </c>
      <c r="AX95" s="629"/>
    </row>
    <row r="96" spans="2:50">
      <c r="B96" s="598"/>
      <c r="C96" s="319">
        <v>20</v>
      </c>
      <c r="D96" s="231" t="s">
        <v>665</v>
      </c>
      <c r="E96" s="187">
        <v>18</v>
      </c>
      <c r="F96" s="319">
        <v>1500</v>
      </c>
      <c r="G96" s="322">
        <v>83.333333333333329</v>
      </c>
      <c r="H96" s="633"/>
      <c r="I96" s="204">
        <f t="shared" si="22"/>
        <v>17.285714285714285</v>
      </c>
      <c r="J96" s="204">
        <f t="shared" si="23"/>
        <v>1266.5505015718022</v>
      </c>
      <c r="K96" s="205">
        <f t="shared" si="24"/>
        <v>73.30637639244469</v>
      </c>
      <c r="L96" s="572"/>
      <c r="M96" s="206">
        <f>RANK(K96, K$77:$K$106)</f>
        <v>14</v>
      </c>
      <c r="N96" s="590"/>
      <c r="O96" s="590"/>
      <c r="P96" s="187">
        <v>18</v>
      </c>
      <c r="Q96" s="187">
        <v>1264.1860465116276</v>
      </c>
      <c r="R96" s="187">
        <v>70.232558139534873</v>
      </c>
      <c r="S96" s="346">
        <f t="shared" si="25"/>
        <v>17</v>
      </c>
      <c r="T96" s="629"/>
      <c r="U96" s="187">
        <v>18</v>
      </c>
      <c r="V96" s="187">
        <v>1298.9189189189178</v>
      </c>
      <c r="W96" s="187">
        <v>72.162162162162105</v>
      </c>
      <c r="X96" s="346">
        <f t="shared" si="26"/>
        <v>15</v>
      </c>
      <c r="Y96" s="629"/>
      <c r="Z96" s="187">
        <v>17</v>
      </c>
      <c r="AA96" s="187">
        <v>1255.3846153846148</v>
      </c>
      <c r="AB96" s="187">
        <v>73.846153846153811</v>
      </c>
      <c r="AC96" s="346">
        <f t="shared" si="27"/>
        <v>13</v>
      </c>
      <c r="AD96" s="629"/>
      <c r="AE96" s="187">
        <v>17</v>
      </c>
      <c r="AF96" s="187">
        <v>1266.1538461538455</v>
      </c>
      <c r="AG96" s="187">
        <v>74.479638009049737</v>
      </c>
      <c r="AH96" s="346">
        <f t="shared" si="28"/>
        <v>11</v>
      </c>
      <c r="AI96" s="629"/>
      <c r="AJ96" s="187">
        <v>17</v>
      </c>
      <c r="AK96" s="187">
        <v>1259.9999999999995</v>
      </c>
      <c r="AL96" s="187">
        <v>74.117647058823508</v>
      </c>
      <c r="AM96" s="346">
        <f t="shared" si="29"/>
        <v>13</v>
      </c>
      <c r="AN96" s="629"/>
      <c r="AO96" s="187">
        <v>17</v>
      </c>
      <c r="AP96" s="187">
        <v>1278.8571428571415</v>
      </c>
      <c r="AQ96" s="187">
        <v>75.226890756302438</v>
      </c>
      <c r="AR96" s="346">
        <f t="shared" si="30"/>
        <v>11</v>
      </c>
      <c r="AS96" s="629"/>
      <c r="AT96" s="187">
        <v>17</v>
      </c>
      <c r="AU96" s="187">
        <v>1242.3529411764689</v>
      </c>
      <c r="AV96" s="187">
        <v>73.079584775086403</v>
      </c>
      <c r="AW96" s="346">
        <f t="shared" si="31"/>
        <v>15</v>
      </c>
      <c r="AX96" s="629"/>
    </row>
    <row r="97" spans="2:50">
      <c r="B97" s="598"/>
      <c r="C97" s="319">
        <v>21</v>
      </c>
      <c r="D97" s="231" t="s">
        <v>398</v>
      </c>
      <c r="E97" s="187">
        <v>18</v>
      </c>
      <c r="F97" s="319">
        <v>1500</v>
      </c>
      <c r="G97" s="322">
        <v>83.333333333333329</v>
      </c>
      <c r="H97" s="633"/>
      <c r="I97" s="204">
        <f t="shared" si="22"/>
        <v>17.857142857142858</v>
      </c>
      <c r="J97" s="204">
        <f t="shared" si="23"/>
        <v>1278.9826959598192</v>
      </c>
      <c r="K97" s="205">
        <f t="shared" si="24"/>
        <v>71.640575739034361</v>
      </c>
      <c r="L97" s="572"/>
      <c r="M97" s="206">
        <f>RANK(K97, K$77:$K$106)</f>
        <v>17</v>
      </c>
      <c r="N97" s="590"/>
      <c r="O97" s="590"/>
      <c r="P97" s="187">
        <v>18</v>
      </c>
      <c r="Q97" s="187">
        <v>1279.285714285714</v>
      </c>
      <c r="R97" s="187">
        <v>71.071428571428555</v>
      </c>
      <c r="S97" s="346">
        <f t="shared" si="25"/>
        <v>16</v>
      </c>
      <c r="T97" s="629"/>
      <c r="U97" s="187">
        <v>18</v>
      </c>
      <c r="V97" s="187">
        <v>1287.7499999999995</v>
      </c>
      <c r="W97" s="187">
        <v>71.541666666666643</v>
      </c>
      <c r="X97" s="346">
        <f t="shared" si="26"/>
        <v>17</v>
      </c>
      <c r="Y97" s="629"/>
      <c r="Z97" s="187">
        <v>18</v>
      </c>
      <c r="AA97" s="187">
        <v>1279.9999999999991</v>
      </c>
      <c r="AB97" s="187">
        <v>71.111111111111057</v>
      </c>
      <c r="AC97" s="346">
        <f t="shared" si="27"/>
        <v>18</v>
      </c>
      <c r="AD97" s="629"/>
      <c r="AE97" s="187">
        <v>18</v>
      </c>
      <c r="AF97" s="187">
        <v>1306.8493150684919</v>
      </c>
      <c r="AG97" s="187">
        <v>72.602739726027323</v>
      </c>
      <c r="AH97" s="346">
        <f t="shared" si="28"/>
        <v>16</v>
      </c>
      <c r="AI97" s="629"/>
      <c r="AJ97" s="187">
        <v>18</v>
      </c>
      <c r="AK97" s="187">
        <v>1265.2499999999995</v>
      </c>
      <c r="AL97" s="187">
        <v>70.291666666666643</v>
      </c>
      <c r="AM97" s="346">
        <f t="shared" si="29"/>
        <v>18</v>
      </c>
      <c r="AN97" s="629"/>
      <c r="AO97" s="187">
        <v>18</v>
      </c>
      <c r="AP97" s="187">
        <v>1278.5714285714282</v>
      </c>
      <c r="AQ97" s="187">
        <v>71.03174603174601</v>
      </c>
      <c r="AR97" s="346">
        <f t="shared" si="30"/>
        <v>17</v>
      </c>
      <c r="AS97" s="629"/>
      <c r="AT97" s="187">
        <v>17</v>
      </c>
      <c r="AU97" s="187">
        <v>1255.1724137931033</v>
      </c>
      <c r="AV97" s="187">
        <v>73.833671399594309</v>
      </c>
      <c r="AW97" s="346">
        <f t="shared" si="31"/>
        <v>14</v>
      </c>
      <c r="AX97" s="629"/>
    </row>
    <row r="98" spans="2:50">
      <c r="B98" s="598"/>
      <c r="C98" s="319">
        <v>22</v>
      </c>
      <c r="D98" s="231" t="s">
        <v>569</v>
      </c>
      <c r="E98" s="187">
        <v>18</v>
      </c>
      <c r="F98" s="319">
        <v>1636</v>
      </c>
      <c r="G98" s="322">
        <v>90.888888888888886</v>
      </c>
      <c r="H98" s="633"/>
      <c r="I98" s="204">
        <f t="shared" si="22"/>
        <v>17</v>
      </c>
      <c r="J98" s="204">
        <f t="shared" si="23"/>
        <v>1285.747051771727</v>
      </c>
      <c r="K98" s="205">
        <f t="shared" si="24"/>
        <v>75.632179515983935</v>
      </c>
      <c r="L98" s="572"/>
      <c r="M98" s="206">
        <f>RANK(K98, K$77:$K$106)</f>
        <v>8</v>
      </c>
      <c r="N98" s="590"/>
      <c r="O98" s="590"/>
      <c r="P98" s="187">
        <v>17</v>
      </c>
      <c r="Q98" s="187">
        <v>1288.9655172413804</v>
      </c>
      <c r="R98" s="187">
        <v>75.821501014198844</v>
      </c>
      <c r="S98" s="346">
        <f t="shared" si="25"/>
        <v>8</v>
      </c>
      <c r="T98" s="629"/>
      <c r="U98" s="187">
        <v>17</v>
      </c>
      <c r="V98" s="187">
        <v>1276.9811320754725</v>
      </c>
      <c r="W98" s="187">
        <v>75.116537180910143</v>
      </c>
      <c r="X98" s="346">
        <f t="shared" si="26"/>
        <v>9</v>
      </c>
      <c r="Y98" s="629"/>
      <c r="Z98" s="187">
        <v>17</v>
      </c>
      <c r="AA98" s="187">
        <v>1297.9591836734696</v>
      </c>
      <c r="AB98" s="187">
        <v>76.350540216086443</v>
      </c>
      <c r="AC98" s="346">
        <f t="shared" si="27"/>
        <v>9</v>
      </c>
      <c r="AD98" s="629"/>
      <c r="AE98" s="187">
        <v>17</v>
      </c>
      <c r="AF98" s="187">
        <v>1278.8235294117653</v>
      </c>
      <c r="AG98" s="187">
        <v>75.224913494809726</v>
      </c>
      <c r="AH98" s="346">
        <f t="shared" si="28"/>
        <v>10</v>
      </c>
      <c r="AI98" s="629"/>
      <c r="AJ98" s="187">
        <v>17</v>
      </c>
      <c r="AK98" s="187">
        <v>1277.5000000000002</v>
      </c>
      <c r="AL98" s="187">
        <v>75.14705882352942</v>
      </c>
      <c r="AM98" s="346">
        <f t="shared" si="29"/>
        <v>10</v>
      </c>
      <c r="AN98" s="629"/>
      <c r="AO98" s="187">
        <v>17</v>
      </c>
      <c r="AP98" s="187">
        <v>1298.1818181818192</v>
      </c>
      <c r="AQ98" s="187">
        <v>76.363636363636417</v>
      </c>
      <c r="AR98" s="346">
        <f t="shared" si="30"/>
        <v>9</v>
      </c>
      <c r="AS98" s="629"/>
      <c r="AT98" s="187">
        <v>17</v>
      </c>
      <c r="AU98" s="187">
        <v>1281.8181818181827</v>
      </c>
      <c r="AV98" s="187">
        <v>75.401069518716625</v>
      </c>
      <c r="AW98" s="346">
        <f t="shared" si="31"/>
        <v>11</v>
      </c>
      <c r="AX98" s="629"/>
    </row>
    <row r="99" spans="2:50">
      <c r="B99" s="598"/>
      <c r="C99" s="319">
        <v>23</v>
      </c>
      <c r="D99" s="231" t="s">
        <v>707</v>
      </c>
      <c r="E99" s="187">
        <v>18</v>
      </c>
      <c r="F99" s="319">
        <v>1440</v>
      </c>
      <c r="G99" s="322">
        <v>80</v>
      </c>
      <c r="H99" s="633"/>
      <c r="I99" s="204">
        <f t="shared" si="22"/>
        <v>17.857142857142858</v>
      </c>
      <c r="J99" s="204">
        <f t="shared" si="23"/>
        <v>1196.2255934264026</v>
      </c>
      <c r="K99" s="205">
        <f t="shared" si="24"/>
        <v>67.019857737121541</v>
      </c>
      <c r="L99" s="572"/>
      <c r="M99" s="206">
        <f>RANK(K99, K$77:$K$106)</f>
        <v>21</v>
      </c>
      <c r="N99" s="590"/>
      <c r="O99" s="590"/>
      <c r="P99" s="187">
        <v>18</v>
      </c>
      <c r="Q99" s="187">
        <v>1206.7741935483866</v>
      </c>
      <c r="R99" s="187">
        <v>67.043010752688147</v>
      </c>
      <c r="S99" s="346">
        <f t="shared" si="25"/>
        <v>20</v>
      </c>
      <c r="T99" s="629"/>
      <c r="U99" s="187">
        <v>18</v>
      </c>
      <c r="V99" s="187">
        <v>1187.7876106194681</v>
      </c>
      <c r="W99" s="187">
        <v>65.988200589970447</v>
      </c>
      <c r="X99" s="346">
        <f t="shared" si="26"/>
        <v>21</v>
      </c>
      <c r="Y99" s="629"/>
      <c r="Z99" s="187">
        <v>18</v>
      </c>
      <c r="AA99" s="187">
        <v>1171.5789473684213</v>
      </c>
      <c r="AB99" s="187">
        <v>65.087719298245631</v>
      </c>
      <c r="AC99" s="346">
        <f t="shared" si="27"/>
        <v>22</v>
      </c>
      <c r="AD99" s="629"/>
      <c r="AE99" s="187">
        <v>18</v>
      </c>
      <c r="AF99" s="187">
        <v>1169.7029702970303</v>
      </c>
      <c r="AG99" s="187">
        <v>64.983498349835017</v>
      </c>
      <c r="AH99" s="346">
        <f t="shared" si="28"/>
        <v>21</v>
      </c>
      <c r="AI99" s="629"/>
      <c r="AJ99" s="187">
        <v>18</v>
      </c>
      <c r="AK99" s="187">
        <v>1216.0824742268046</v>
      </c>
      <c r="AL99" s="187">
        <v>67.560137457044704</v>
      </c>
      <c r="AM99" s="346">
        <f t="shared" si="29"/>
        <v>20</v>
      </c>
      <c r="AN99" s="629"/>
      <c r="AO99" s="187">
        <v>18</v>
      </c>
      <c r="AP99" s="187">
        <v>1215.9633027522943</v>
      </c>
      <c r="AQ99" s="187">
        <v>67.553516819571911</v>
      </c>
      <c r="AR99" s="346">
        <f t="shared" si="30"/>
        <v>19</v>
      </c>
      <c r="AS99" s="629"/>
      <c r="AT99" s="187">
        <v>17</v>
      </c>
      <c r="AU99" s="187">
        <v>1205.689655172413</v>
      </c>
      <c r="AV99" s="187">
        <v>70.922920892494886</v>
      </c>
      <c r="AW99" s="346">
        <f t="shared" si="31"/>
        <v>18</v>
      </c>
      <c r="AX99" s="629"/>
    </row>
    <row r="100" spans="2:50">
      <c r="B100" s="598"/>
      <c r="C100" s="319">
        <v>24</v>
      </c>
      <c r="D100" s="231"/>
      <c r="E100" s="187"/>
      <c r="F100" s="319"/>
      <c r="G100" s="322"/>
      <c r="H100" s="633"/>
      <c r="I100" s="204"/>
      <c r="J100" s="204"/>
      <c r="K100" s="205"/>
      <c r="L100" s="572"/>
      <c r="M100" s="206" t="e">
        <f>RANK(K100, K$77:$K$106)</f>
        <v>#N/A</v>
      </c>
      <c r="N100" s="590"/>
      <c r="O100" s="590"/>
      <c r="P100" s="378"/>
      <c r="Q100" s="379"/>
      <c r="R100" s="379"/>
      <c r="S100" s="346" t="e">
        <f t="shared" si="25"/>
        <v>#N/A</v>
      </c>
      <c r="T100" s="629"/>
      <c r="U100" s="378"/>
      <c r="V100" s="379"/>
      <c r="W100" s="379"/>
      <c r="X100" s="346" t="e">
        <f t="shared" si="26"/>
        <v>#N/A</v>
      </c>
      <c r="Y100" s="629"/>
      <c r="Z100" s="378"/>
      <c r="AA100" s="379"/>
      <c r="AB100" s="379"/>
      <c r="AC100" s="346" t="e">
        <f t="shared" si="27"/>
        <v>#N/A</v>
      </c>
      <c r="AD100" s="629"/>
      <c r="AE100" s="378"/>
      <c r="AF100" s="379"/>
      <c r="AG100" s="379"/>
      <c r="AH100" s="346" t="e">
        <f t="shared" si="28"/>
        <v>#N/A</v>
      </c>
      <c r="AI100" s="629"/>
      <c r="AJ100" s="378"/>
      <c r="AK100" s="379"/>
      <c r="AL100" s="379"/>
      <c r="AM100" s="346" t="e">
        <f t="shared" si="29"/>
        <v>#N/A</v>
      </c>
      <c r="AN100" s="629"/>
      <c r="AO100" s="378"/>
      <c r="AP100" s="379"/>
      <c r="AQ100" s="379"/>
      <c r="AR100" s="346" t="e">
        <f t="shared" si="30"/>
        <v>#N/A</v>
      </c>
      <c r="AS100" s="629"/>
      <c r="AT100" s="378"/>
      <c r="AU100" s="379"/>
      <c r="AV100" s="379"/>
      <c r="AW100" s="346" t="e">
        <f t="shared" si="31"/>
        <v>#N/A</v>
      </c>
      <c r="AX100" s="629"/>
    </row>
    <row r="101" spans="2:50">
      <c r="B101" s="598"/>
      <c r="C101" s="319">
        <v>25</v>
      </c>
      <c r="D101" s="231"/>
      <c r="E101" s="187"/>
      <c r="F101" s="319"/>
      <c r="G101" s="322"/>
      <c r="H101" s="633"/>
      <c r="I101" s="204"/>
      <c r="J101" s="204"/>
      <c r="K101" s="205"/>
      <c r="L101" s="572"/>
      <c r="M101" s="206" t="e">
        <f>RANK(K101, K$77:$K$106)</f>
        <v>#N/A</v>
      </c>
      <c r="N101" s="590"/>
      <c r="O101" s="590"/>
      <c r="P101" s="378"/>
      <c r="Q101" s="379"/>
      <c r="R101" s="379"/>
      <c r="S101" s="346" t="e">
        <f t="shared" si="25"/>
        <v>#N/A</v>
      </c>
      <c r="T101" s="629"/>
      <c r="U101" s="378"/>
      <c r="V101" s="379"/>
      <c r="W101" s="379"/>
      <c r="X101" s="346" t="e">
        <f t="shared" si="26"/>
        <v>#N/A</v>
      </c>
      <c r="Y101" s="629"/>
      <c r="Z101" s="378"/>
      <c r="AA101" s="379"/>
      <c r="AB101" s="379"/>
      <c r="AC101" s="346" t="e">
        <f t="shared" si="27"/>
        <v>#N/A</v>
      </c>
      <c r="AD101" s="629"/>
      <c r="AE101" s="378"/>
      <c r="AF101" s="379"/>
      <c r="AG101" s="379"/>
      <c r="AH101" s="346" t="e">
        <f t="shared" si="28"/>
        <v>#N/A</v>
      </c>
      <c r="AI101" s="629"/>
      <c r="AJ101" s="378"/>
      <c r="AK101" s="379"/>
      <c r="AL101" s="379"/>
      <c r="AM101" s="346" t="e">
        <f t="shared" si="29"/>
        <v>#N/A</v>
      </c>
      <c r="AN101" s="629"/>
      <c r="AO101" s="378"/>
      <c r="AP101" s="379"/>
      <c r="AQ101" s="379"/>
      <c r="AR101" s="346" t="e">
        <f t="shared" si="30"/>
        <v>#N/A</v>
      </c>
      <c r="AS101" s="629"/>
      <c r="AT101" s="378"/>
      <c r="AU101" s="379"/>
      <c r="AV101" s="379"/>
      <c r="AW101" s="346" t="e">
        <f t="shared" si="31"/>
        <v>#N/A</v>
      </c>
      <c r="AX101" s="629"/>
    </row>
    <row r="102" spans="2:50">
      <c r="B102" s="598"/>
      <c r="C102" s="319">
        <v>26</v>
      </c>
      <c r="D102" s="231"/>
      <c r="E102" s="187"/>
      <c r="F102" s="319"/>
      <c r="G102" s="322"/>
      <c r="H102" s="633"/>
      <c r="I102" s="204"/>
      <c r="J102" s="204"/>
      <c r="K102" s="205"/>
      <c r="L102" s="572"/>
      <c r="M102" s="206" t="e">
        <f>RANK(K102, K$77:$K$106)</f>
        <v>#N/A</v>
      </c>
      <c r="N102" s="590"/>
      <c r="O102" s="590"/>
      <c r="P102" s="378"/>
      <c r="Q102" s="379"/>
      <c r="R102" s="379"/>
      <c r="S102" s="346" t="e">
        <f t="shared" si="25"/>
        <v>#N/A</v>
      </c>
      <c r="T102" s="629"/>
      <c r="U102" s="378"/>
      <c r="V102" s="379"/>
      <c r="W102" s="379"/>
      <c r="X102" s="346" t="e">
        <f t="shared" si="26"/>
        <v>#N/A</v>
      </c>
      <c r="Y102" s="629"/>
      <c r="Z102" s="378"/>
      <c r="AA102" s="379"/>
      <c r="AB102" s="379"/>
      <c r="AC102" s="346" t="e">
        <f t="shared" si="27"/>
        <v>#N/A</v>
      </c>
      <c r="AD102" s="629"/>
      <c r="AE102" s="378"/>
      <c r="AF102" s="379"/>
      <c r="AG102" s="379"/>
      <c r="AH102" s="346" t="e">
        <f t="shared" si="28"/>
        <v>#N/A</v>
      </c>
      <c r="AI102" s="629"/>
      <c r="AJ102" s="378"/>
      <c r="AK102" s="379"/>
      <c r="AL102" s="379"/>
      <c r="AM102" s="346" t="e">
        <f t="shared" si="29"/>
        <v>#N/A</v>
      </c>
      <c r="AN102" s="629"/>
      <c r="AO102" s="378"/>
      <c r="AP102" s="379"/>
      <c r="AQ102" s="379"/>
      <c r="AR102" s="346" t="e">
        <f t="shared" si="30"/>
        <v>#N/A</v>
      </c>
      <c r="AS102" s="629"/>
      <c r="AT102" s="378"/>
      <c r="AU102" s="379"/>
      <c r="AV102" s="379"/>
      <c r="AW102" s="346" t="e">
        <f t="shared" si="31"/>
        <v>#N/A</v>
      </c>
      <c r="AX102" s="629"/>
    </row>
    <row r="103" spans="2:50">
      <c r="B103" s="598"/>
      <c r="C103" s="319">
        <v>27</v>
      </c>
      <c r="D103" s="231"/>
      <c r="E103" s="187"/>
      <c r="F103" s="319"/>
      <c r="G103" s="322"/>
      <c r="H103" s="633"/>
      <c r="I103" s="204"/>
      <c r="J103" s="204"/>
      <c r="K103" s="205"/>
      <c r="L103" s="572"/>
      <c r="M103" s="206" t="e">
        <f>RANK(K103, K$77:$K$106)</f>
        <v>#N/A</v>
      </c>
      <c r="N103" s="590"/>
      <c r="O103" s="590"/>
      <c r="P103" s="378"/>
      <c r="Q103" s="379"/>
      <c r="R103" s="379"/>
      <c r="S103" s="346" t="e">
        <f t="shared" si="25"/>
        <v>#N/A</v>
      </c>
      <c r="T103" s="629"/>
      <c r="U103" s="378"/>
      <c r="V103" s="379"/>
      <c r="W103" s="379"/>
      <c r="X103" s="346" t="e">
        <f t="shared" si="26"/>
        <v>#N/A</v>
      </c>
      <c r="Y103" s="629"/>
      <c r="Z103" s="378"/>
      <c r="AA103" s="379"/>
      <c r="AB103" s="379"/>
      <c r="AC103" s="346" t="e">
        <f t="shared" si="27"/>
        <v>#N/A</v>
      </c>
      <c r="AD103" s="629"/>
      <c r="AE103" s="378"/>
      <c r="AF103" s="379"/>
      <c r="AG103" s="379"/>
      <c r="AH103" s="346" t="e">
        <f t="shared" si="28"/>
        <v>#N/A</v>
      </c>
      <c r="AI103" s="629"/>
      <c r="AJ103" s="378"/>
      <c r="AK103" s="379"/>
      <c r="AL103" s="379"/>
      <c r="AM103" s="346" t="e">
        <f t="shared" si="29"/>
        <v>#N/A</v>
      </c>
      <c r="AN103" s="629"/>
      <c r="AO103" s="378"/>
      <c r="AP103" s="379"/>
      <c r="AQ103" s="379"/>
      <c r="AR103" s="346" t="e">
        <f t="shared" si="30"/>
        <v>#N/A</v>
      </c>
      <c r="AS103" s="629"/>
      <c r="AT103" s="378"/>
      <c r="AU103" s="379"/>
      <c r="AV103" s="379"/>
      <c r="AW103" s="346" t="e">
        <f t="shared" si="31"/>
        <v>#N/A</v>
      </c>
      <c r="AX103" s="629"/>
    </row>
    <row r="104" spans="2:50">
      <c r="B104" s="598"/>
      <c r="C104" s="319">
        <v>28</v>
      </c>
      <c r="D104" s="231"/>
      <c r="E104" s="187"/>
      <c r="F104" s="319"/>
      <c r="G104" s="322"/>
      <c r="H104" s="633"/>
      <c r="I104" s="204"/>
      <c r="J104" s="204"/>
      <c r="K104" s="205"/>
      <c r="L104" s="572"/>
      <c r="M104" s="206" t="e">
        <f>RANK(K104, K$77:$K$106)</f>
        <v>#N/A</v>
      </c>
      <c r="N104" s="590"/>
      <c r="O104" s="590"/>
      <c r="P104" s="319"/>
      <c r="Q104" s="322"/>
      <c r="R104" s="322"/>
      <c r="S104" s="346" t="e">
        <f t="shared" si="25"/>
        <v>#N/A</v>
      </c>
      <c r="T104" s="629"/>
      <c r="U104" s="346"/>
      <c r="V104" s="349"/>
      <c r="W104" s="349"/>
      <c r="X104" s="346" t="e">
        <f t="shared" si="26"/>
        <v>#N/A</v>
      </c>
      <c r="Y104" s="629"/>
      <c r="Z104" s="346"/>
      <c r="AA104" s="349"/>
      <c r="AB104" s="349"/>
      <c r="AC104" s="346" t="e">
        <f t="shared" si="27"/>
        <v>#N/A</v>
      </c>
      <c r="AD104" s="629"/>
      <c r="AE104" s="346"/>
      <c r="AF104" s="349"/>
      <c r="AG104" s="349"/>
      <c r="AH104" s="346" t="e">
        <f t="shared" si="28"/>
        <v>#N/A</v>
      </c>
      <c r="AI104" s="629"/>
      <c r="AJ104" s="346"/>
      <c r="AK104" s="349"/>
      <c r="AL104" s="349"/>
      <c r="AM104" s="346" t="e">
        <f t="shared" si="29"/>
        <v>#N/A</v>
      </c>
      <c r="AN104" s="629"/>
      <c r="AO104" s="346"/>
      <c r="AP104" s="349"/>
      <c r="AQ104" s="349"/>
      <c r="AR104" s="346" t="e">
        <f t="shared" si="30"/>
        <v>#N/A</v>
      </c>
      <c r="AS104" s="629"/>
      <c r="AT104" s="346"/>
      <c r="AU104" s="349"/>
      <c r="AV104" s="349"/>
      <c r="AW104" s="346" t="e">
        <f t="shared" si="31"/>
        <v>#N/A</v>
      </c>
      <c r="AX104" s="629"/>
    </row>
    <row r="105" spans="2:50">
      <c r="B105" s="598"/>
      <c r="C105" s="319">
        <v>29</v>
      </c>
      <c r="D105" s="231"/>
      <c r="E105" s="187"/>
      <c r="F105" s="319"/>
      <c r="G105" s="322"/>
      <c r="H105" s="633"/>
      <c r="I105" s="207"/>
      <c r="J105" s="207"/>
      <c r="K105" s="207"/>
      <c r="L105" s="572"/>
      <c r="M105" s="206" t="e">
        <f>RANK(K105, K$77:$K$106)</f>
        <v>#N/A</v>
      </c>
      <c r="N105" s="590"/>
      <c r="O105" s="590"/>
      <c r="P105" s="319"/>
      <c r="Q105" s="319"/>
      <c r="R105" s="319"/>
      <c r="S105" s="346" t="e">
        <f t="shared" si="25"/>
        <v>#N/A</v>
      </c>
      <c r="T105" s="629"/>
      <c r="U105" s="346"/>
      <c r="V105" s="346"/>
      <c r="W105" s="346"/>
      <c r="X105" s="346" t="e">
        <f t="shared" si="26"/>
        <v>#N/A</v>
      </c>
      <c r="Y105" s="629"/>
      <c r="Z105" s="346"/>
      <c r="AA105" s="346"/>
      <c r="AB105" s="346"/>
      <c r="AC105" s="346" t="e">
        <f t="shared" si="27"/>
        <v>#N/A</v>
      </c>
      <c r="AD105" s="629"/>
      <c r="AE105" s="346"/>
      <c r="AF105" s="346"/>
      <c r="AG105" s="346"/>
      <c r="AH105" s="346" t="e">
        <f t="shared" si="28"/>
        <v>#N/A</v>
      </c>
      <c r="AI105" s="629"/>
      <c r="AJ105" s="346"/>
      <c r="AK105" s="346"/>
      <c r="AL105" s="346"/>
      <c r="AM105" s="346" t="e">
        <f t="shared" si="29"/>
        <v>#N/A</v>
      </c>
      <c r="AN105" s="629"/>
      <c r="AO105" s="346"/>
      <c r="AP105" s="346"/>
      <c r="AQ105" s="346"/>
      <c r="AR105" s="346" t="e">
        <f t="shared" si="30"/>
        <v>#N/A</v>
      </c>
      <c r="AS105" s="629"/>
      <c r="AT105" s="346"/>
      <c r="AU105" s="346"/>
      <c r="AV105" s="346"/>
      <c r="AW105" s="346" t="e">
        <f t="shared" si="31"/>
        <v>#N/A</v>
      </c>
      <c r="AX105" s="629"/>
    </row>
    <row r="106" spans="2:50">
      <c r="B106" s="598"/>
      <c r="C106" s="319">
        <v>30</v>
      </c>
      <c r="D106" s="231"/>
      <c r="E106" s="187"/>
      <c r="F106" s="319"/>
      <c r="G106" s="322"/>
      <c r="H106" s="634"/>
      <c r="I106" s="207"/>
      <c r="J106" s="207"/>
      <c r="K106" s="207"/>
      <c r="L106" s="573"/>
      <c r="M106" s="206" t="e">
        <f>RANK(K106, K$77:$K$106)</f>
        <v>#N/A</v>
      </c>
      <c r="N106" s="590"/>
      <c r="O106" s="590"/>
      <c r="P106" s="319"/>
      <c r="Q106" s="319"/>
      <c r="R106" s="319"/>
      <c r="S106" s="346" t="e">
        <f t="shared" si="25"/>
        <v>#N/A</v>
      </c>
      <c r="T106" s="629"/>
      <c r="U106" s="346"/>
      <c r="V106" s="346"/>
      <c r="W106" s="346"/>
      <c r="X106" s="346" t="e">
        <f t="shared" si="26"/>
        <v>#N/A</v>
      </c>
      <c r="Y106" s="629"/>
      <c r="Z106" s="346"/>
      <c r="AA106" s="346"/>
      <c r="AB106" s="346"/>
      <c r="AC106" s="346" t="e">
        <f t="shared" si="27"/>
        <v>#N/A</v>
      </c>
      <c r="AD106" s="629"/>
      <c r="AE106" s="346"/>
      <c r="AF106" s="346"/>
      <c r="AG106" s="346"/>
      <c r="AH106" s="346" t="e">
        <f t="shared" si="28"/>
        <v>#N/A</v>
      </c>
      <c r="AI106" s="629"/>
      <c r="AJ106" s="346"/>
      <c r="AK106" s="346"/>
      <c r="AL106" s="346"/>
      <c r="AM106" s="346" t="e">
        <f t="shared" si="29"/>
        <v>#N/A</v>
      </c>
      <c r="AN106" s="629"/>
      <c r="AO106" s="346"/>
      <c r="AP106" s="346"/>
      <c r="AQ106" s="346"/>
      <c r="AR106" s="346" t="e">
        <f t="shared" si="30"/>
        <v>#N/A</v>
      </c>
      <c r="AS106" s="629"/>
      <c r="AT106" s="346"/>
      <c r="AU106" s="346"/>
      <c r="AV106" s="346"/>
      <c r="AW106" s="346" t="e">
        <f t="shared" si="31"/>
        <v>#N/A</v>
      </c>
      <c r="AX106" s="629"/>
    </row>
    <row r="107" spans="2:50" ht="15.75">
      <c r="B107" s="602" t="s">
        <v>163</v>
      </c>
      <c r="C107" s="603"/>
      <c r="D107" s="603"/>
      <c r="E107" s="603"/>
      <c r="F107" s="603"/>
      <c r="G107" s="603"/>
      <c r="H107" s="604"/>
      <c r="I107" s="213"/>
      <c r="J107" s="213"/>
      <c r="K107" s="213"/>
      <c r="L107" s="213"/>
      <c r="M107" s="212"/>
      <c r="N107" s="591" t="s">
        <v>156</v>
      </c>
      <c r="O107" s="591" t="s">
        <v>105</v>
      </c>
      <c r="P107" s="597">
        <f>P72+7</f>
        <v>45951</v>
      </c>
      <c r="Q107" s="598"/>
      <c r="R107" s="598"/>
      <c r="S107" s="598"/>
      <c r="T107" s="598"/>
      <c r="U107" s="594">
        <f>P107+1</f>
        <v>45952</v>
      </c>
      <c r="V107" s="595"/>
      <c r="W107" s="595"/>
      <c r="X107" s="595"/>
      <c r="Y107" s="596"/>
      <c r="Z107" s="594">
        <f>U107+1</f>
        <v>45953</v>
      </c>
      <c r="AA107" s="595"/>
      <c r="AB107" s="595"/>
      <c r="AC107" s="595"/>
      <c r="AD107" s="596"/>
      <c r="AE107" s="594">
        <f>Z107+1</f>
        <v>45954</v>
      </c>
      <c r="AF107" s="595"/>
      <c r="AG107" s="595"/>
      <c r="AH107" s="595"/>
      <c r="AI107" s="596"/>
      <c r="AJ107" s="594">
        <f>AE107+1</f>
        <v>45955</v>
      </c>
      <c r="AK107" s="595"/>
      <c r="AL107" s="595"/>
      <c r="AM107" s="595"/>
      <c r="AN107" s="596"/>
      <c r="AO107" s="594">
        <f>AJ107+1</f>
        <v>45956</v>
      </c>
      <c r="AP107" s="595"/>
      <c r="AQ107" s="595"/>
      <c r="AR107" s="595"/>
      <c r="AS107" s="596"/>
      <c r="AT107" s="594">
        <f>AO107+1</f>
        <v>45957</v>
      </c>
      <c r="AU107" s="595"/>
      <c r="AV107" s="595"/>
      <c r="AW107" s="595"/>
      <c r="AX107" s="596"/>
    </row>
    <row r="108" spans="2:50" ht="15.75">
      <c r="B108" s="605"/>
      <c r="C108" s="605"/>
      <c r="D108" s="605"/>
      <c r="E108" s="605"/>
      <c r="F108" s="605"/>
      <c r="G108" s="605"/>
      <c r="H108" s="605"/>
      <c r="I108" s="210"/>
      <c r="J108" s="210"/>
      <c r="K108" s="210"/>
      <c r="L108" s="210"/>
      <c r="M108" s="211"/>
      <c r="N108" s="593"/>
      <c r="O108" s="593"/>
      <c r="P108" s="597" t="s">
        <v>336</v>
      </c>
      <c r="Q108" s="598"/>
      <c r="R108" s="598"/>
      <c r="S108" s="598"/>
      <c r="T108" s="598"/>
      <c r="U108" s="597" t="s">
        <v>337</v>
      </c>
      <c r="V108" s="598"/>
      <c r="W108" s="598"/>
      <c r="X108" s="598"/>
      <c r="Y108" s="598"/>
      <c r="Z108" s="597" t="s">
        <v>338</v>
      </c>
      <c r="AA108" s="598"/>
      <c r="AB108" s="598"/>
      <c r="AC108" s="598"/>
      <c r="AD108" s="598"/>
      <c r="AE108" s="597" t="s">
        <v>339</v>
      </c>
      <c r="AF108" s="598"/>
      <c r="AG108" s="598"/>
      <c r="AH108" s="598"/>
      <c r="AI108" s="598"/>
      <c r="AJ108" s="597" t="s">
        <v>340</v>
      </c>
      <c r="AK108" s="598"/>
      <c r="AL108" s="598"/>
      <c r="AM108" s="598"/>
      <c r="AN108" s="598"/>
      <c r="AO108" s="597" t="s">
        <v>341</v>
      </c>
      <c r="AP108" s="598"/>
      <c r="AQ108" s="598"/>
      <c r="AR108" s="598"/>
      <c r="AS108" s="598"/>
      <c r="AT108" s="597" t="s">
        <v>342</v>
      </c>
      <c r="AU108" s="598"/>
      <c r="AV108" s="598"/>
      <c r="AW108" s="598"/>
      <c r="AX108" s="598"/>
    </row>
    <row r="109" spans="2:50">
      <c r="B109" s="590" t="s">
        <v>494</v>
      </c>
      <c r="C109" s="590" t="s">
        <v>495</v>
      </c>
      <c r="D109" s="590"/>
      <c r="E109" s="590" t="s">
        <v>496</v>
      </c>
      <c r="F109" s="590"/>
      <c r="G109" s="590"/>
      <c r="H109" s="606" t="s">
        <v>497</v>
      </c>
      <c r="I109" s="574" t="s">
        <v>498</v>
      </c>
      <c r="J109" s="574"/>
      <c r="K109" s="574"/>
      <c r="L109" s="575" t="s">
        <v>497</v>
      </c>
      <c r="M109" s="581" t="s">
        <v>499</v>
      </c>
      <c r="N109" s="590"/>
      <c r="O109" s="590" t="s">
        <v>500</v>
      </c>
      <c r="P109" s="587" t="s">
        <v>501</v>
      </c>
      <c r="Q109" s="588"/>
      <c r="R109" s="588"/>
      <c r="S109" s="589"/>
      <c r="T109" s="590" t="s">
        <v>497</v>
      </c>
      <c r="U109" s="587" t="s">
        <v>501</v>
      </c>
      <c r="V109" s="588"/>
      <c r="W109" s="588"/>
      <c r="X109" s="589"/>
      <c r="Y109" s="590" t="s">
        <v>497</v>
      </c>
      <c r="Z109" s="587" t="s">
        <v>501</v>
      </c>
      <c r="AA109" s="588"/>
      <c r="AB109" s="588"/>
      <c r="AC109" s="589"/>
      <c r="AD109" s="590" t="s">
        <v>497</v>
      </c>
      <c r="AE109" s="587" t="s">
        <v>501</v>
      </c>
      <c r="AF109" s="588"/>
      <c r="AG109" s="588"/>
      <c r="AH109" s="589"/>
      <c r="AI109" s="590" t="s">
        <v>497</v>
      </c>
      <c r="AJ109" s="587" t="s">
        <v>501</v>
      </c>
      <c r="AK109" s="588"/>
      <c r="AL109" s="588"/>
      <c r="AM109" s="589"/>
      <c r="AN109" s="590" t="s">
        <v>497</v>
      </c>
      <c r="AO109" s="587" t="s">
        <v>501</v>
      </c>
      <c r="AP109" s="588"/>
      <c r="AQ109" s="588"/>
      <c r="AR109" s="589"/>
      <c r="AS109" s="590" t="s">
        <v>497</v>
      </c>
      <c r="AT109" s="587" t="s">
        <v>501</v>
      </c>
      <c r="AU109" s="588"/>
      <c r="AV109" s="588"/>
      <c r="AW109" s="589"/>
      <c r="AX109" s="590" t="s">
        <v>497</v>
      </c>
    </row>
    <row r="110" spans="2:50">
      <c r="B110" s="590"/>
      <c r="C110" s="590"/>
      <c r="D110" s="590"/>
      <c r="E110" s="590" t="s">
        <v>502</v>
      </c>
      <c r="F110" s="590"/>
      <c r="G110" s="590"/>
      <c r="H110" s="607"/>
      <c r="I110" s="574" t="s">
        <v>502</v>
      </c>
      <c r="J110" s="574"/>
      <c r="K110" s="574"/>
      <c r="L110" s="576"/>
      <c r="M110" s="582"/>
      <c r="N110" s="590"/>
      <c r="O110" s="590"/>
      <c r="P110" s="587" t="s">
        <v>503</v>
      </c>
      <c r="Q110" s="588"/>
      <c r="R110" s="588"/>
      <c r="S110" s="589"/>
      <c r="T110" s="590"/>
      <c r="U110" s="587" t="s">
        <v>503</v>
      </c>
      <c r="V110" s="588"/>
      <c r="W110" s="588"/>
      <c r="X110" s="589"/>
      <c r="Y110" s="590"/>
      <c r="Z110" s="587" t="s">
        <v>503</v>
      </c>
      <c r="AA110" s="588"/>
      <c r="AB110" s="588"/>
      <c r="AC110" s="589"/>
      <c r="AD110" s="590"/>
      <c r="AE110" s="587" t="s">
        <v>503</v>
      </c>
      <c r="AF110" s="588"/>
      <c r="AG110" s="588"/>
      <c r="AH110" s="589"/>
      <c r="AI110" s="590"/>
      <c r="AJ110" s="587" t="s">
        <v>503</v>
      </c>
      <c r="AK110" s="588"/>
      <c r="AL110" s="588"/>
      <c r="AM110" s="589"/>
      <c r="AN110" s="590"/>
      <c r="AO110" s="587" t="s">
        <v>503</v>
      </c>
      <c r="AP110" s="588"/>
      <c r="AQ110" s="588"/>
      <c r="AR110" s="589"/>
      <c r="AS110" s="590"/>
      <c r="AT110" s="587" t="s">
        <v>503</v>
      </c>
      <c r="AU110" s="588"/>
      <c r="AV110" s="588"/>
      <c r="AW110" s="589"/>
      <c r="AX110" s="590"/>
    </row>
    <row r="111" spans="2:50">
      <c r="B111" s="590"/>
      <c r="C111" s="590"/>
      <c r="D111" s="590"/>
      <c r="E111" s="318" t="s">
        <v>504</v>
      </c>
      <c r="F111" s="318" t="s">
        <v>505</v>
      </c>
      <c r="G111" s="318" t="s">
        <v>506</v>
      </c>
      <c r="H111" s="608"/>
      <c r="I111" s="317" t="s">
        <v>504</v>
      </c>
      <c r="J111" s="317" t="s">
        <v>505</v>
      </c>
      <c r="K111" s="317" t="s">
        <v>506</v>
      </c>
      <c r="L111" s="577"/>
      <c r="M111" s="583"/>
      <c r="N111" s="590"/>
      <c r="O111" s="590"/>
      <c r="P111" s="318" t="s">
        <v>504</v>
      </c>
      <c r="Q111" s="318" t="s">
        <v>505</v>
      </c>
      <c r="R111" s="318" t="s">
        <v>506</v>
      </c>
      <c r="S111" s="318" t="s">
        <v>499</v>
      </c>
      <c r="T111" s="590"/>
      <c r="U111" s="318" t="s">
        <v>504</v>
      </c>
      <c r="V111" s="318" t="s">
        <v>505</v>
      </c>
      <c r="W111" s="318" t="s">
        <v>506</v>
      </c>
      <c r="X111" s="318" t="s">
        <v>499</v>
      </c>
      <c r="Y111" s="590"/>
      <c r="Z111" s="318" t="s">
        <v>504</v>
      </c>
      <c r="AA111" s="318" t="s">
        <v>505</v>
      </c>
      <c r="AB111" s="318" t="s">
        <v>506</v>
      </c>
      <c r="AC111" s="318" t="s">
        <v>499</v>
      </c>
      <c r="AD111" s="590"/>
      <c r="AE111" s="318" t="s">
        <v>504</v>
      </c>
      <c r="AF111" s="318" t="s">
        <v>505</v>
      </c>
      <c r="AG111" s="318" t="s">
        <v>506</v>
      </c>
      <c r="AH111" s="318" t="s">
        <v>499</v>
      </c>
      <c r="AI111" s="590"/>
      <c r="AJ111" s="318" t="s">
        <v>504</v>
      </c>
      <c r="AK111" s="318" t="s">
        <v>505</v>
      </c>
      <c r="AL111" s="318" t="s">
        <v>506</v>
      </c>
      <c r="AM111" s="318" t="s">
        <v>499</v>
      </c>
      <c r="AN111" s="590"/>
      <c r="AO111" s="318" t="s">
        <v>504</v>
      </c>
      <c r="AP111" s="318" t="s">
        <v>505</v>
      </c>
      <c r="AQ111" s="318" t="s">
        <v>506</v>
      </c>
      <c r="AR111" s="318" t="s">
        <v>499</v>
      </c>
      <c r="AS111" s="590"/>
      <c r="AT111" s="318" t="s">
        <v>504</v>
      </c>
      <c r="AU111" s="318" t="s">
        <v>505</v>
      </c>
      <c r="AV111" s="318" t="s">
        <v>506</v>
      </c>
      <c r="AW111" s="318" t="s">
        <v>499</v>
      </c>
      <c r="AX111" s="590"/>
    </row>
    <row r="112" spans="2:50">
      <c r="B112" s="590" t="s">
        <v>507</v>
      </c>
      <c r="C112" s="319">
        <v>1</v>
      </c>
      <c r="D112" s="231" t="s">
        <v>386</v>
      </c>
      <c r="E112" s="187">
        <v>6</v>
      </c>
      <c r="F112" s="355">
        <v>1500</v>
      </c>
      <c r="G112" s="356">
        <v>250</v>
      </c>
      <c r="H112" s="632">
        <f>AVERAGE(G112:G141)</f>
        <v>97.281554696630735</v>
      </c>
      <c r="I112" s="204">
        <f>AVERAGE(P112,U112,Z112,AE112,AJ112,AO112,AT112)</f>
        <v>6</v>
      </c>
      <c r="J112" s="204">
        <f>AVERAGE(Q112,V112,AA112,AF112,AK112,AP112,AU112)</f>
        <v>1443.1253116456662</v>
      </c>
      <c r="K112" s="205">
        <f>AVERAGE(R112,W112,AB112,AG112,AL112,AQ112,AV112)</f>
        <v>240.52088527427773</v>
      </c>
      <c r="L112" s="571">
        <f>IFERROR(AVERAGE(K112:K141),"-")</f>
        <v>81.860862575914979</v>
      </c>
      <c r="M112" s="206">
        <f>RANK(K112, K$112:$K$141)</f>
        <v>1</v>
      </c>
      <c r="N112" s="590"/>
      <c r="O112" s="590"/>
      <c r="P112" s="467" t="s">
        <v>802</v>
      </c>
      <c r="Q112" s="187">
        <f>'[2]（５-5）品群別人時生產性(主食) '!Q77</f>
        <v>1426.8901734104047</v>
      </c>
      <c r="R112" s="187">
        <f>'[2]（５-5）品群別人時生產性(主食) '!R77</f>
        <v>237.81502890173411</v>
      </c>
      <c r="S112" s="319">
        <f>RANK(R112, R$112:R$141)</f>
        <v>1</v>
      </c>
      <c r="T112" s="629">
        <f>AVERAGE(R112:R141)</f>
        <v>82.551688612660385</v>
      </c>
      <c r="U112" s="187">
        <v>6</v>
      </c>
      <c r="V112" s="187">
        <v>1423.7454545454545</v>
      </c>
      <c r="W112" s="187">
        <v>237.29090909090908</v>
      </c>
      <c r="X112" s="351">
        <f>RANK(W112, W$112:W$141)</f>
        <v>1</v>
      </c>
      <c r="Y112" s="629">
        <f>AVERAGE(W112:W141)</f>
        <v>82.320687317740337</v>
      </c>
      <c r="Z112" s="187">
        <v>6</v>
      </c>
      <c r="AA112" s="187">
        <v>1449.4064516129033</v>
      </c>
      <c r="AB112" s="187">
        <v>241.56774193548389</v>
      </c>
      <c r="AC112" s="351">
        <f>RANK(AB112, AB$112:AB$141)</f>
        <v>1</v>
      </c>
      <c r="AD112" s="629">
        <f>AVERAGE(AB112:AB141)</f>
        <v>80.508569006984359</v>
      </c>
      <c r="AE112" s="187">
        <v>6</v>
      </c>
      <c r="AF112" s="187">
        <v>1444.6530612244894</v>
      </c>
      <c r="AG112" s="187">
        <v>240.77551020408157</v>
      </c>
      <c r="AH112" s="351">
        <f>RANK(AG112, AG$112:AG$141)</f>
        <v>1</v>
      </c>
      <c r="AI112" s="629">
        <f>AVERAGE(AG112:AG141)</f>
        <v>81.690721092192376</v>
      </c>
      <c r="AJ112" s="187">
        <v>6</v>
      </c>
      <c r="AK112" s="187">
        <v>1433.5629139072844</v>
      </c>
      <c r="AL112" s="187">
        <v>238.92715231788074</v>
      </c>
      <c r="AM112" s="351">
        <f>RANK(AL112, AL$112:AL$141)</f>
        <v>1</v>
      </c>
      <c r="AN112" s="629">
        <f>AVERAGE(AL112:AL141)</f>
        <v>82.046976200215212</v>
      </c>
      <c r="AO112" s="187">
        <v>6</v>
      </c>
      <c r="AP112" s="187">
        <v>1453.8461538461538</v>
      </c>
      <c r="AQ112" s="187">
        <v>242.30769230769229</v>
      </c>
      <c r="AR112" s="351">
        <f>RANK(AQ112, AQ$112:AQ$141)</f>
        <v>1</v>
      </c>
      <c r="AS112" s="629">
        <f>AVERAGE(AQ112:AQ141)</f>
        <v>82.220582024536583</v>
      </c>
      <c r="AT112" s="187">
        <v>6</v>
      </c>
      <c r="AU112" s="187">
        <v>1469.7729729729729</v>
      </c>
      <c r="AV112" s="187">
        <v>244.96216216216214</v>
      </c>
      <c r="AW112" s="351">
        <f>RANK(AV112, AV$112:AV$141)</f>
        <v>1</v>
      </c>
      <c r="AX112" s="629">
        <f>AVERAGE(AV112:AV141)</f>
        <v>86.975651286920822</v>
      </c>
    </row>
    <row r="113" spans="2:50">
      <c r="B113" s="598"/>
      <c r="C113" s="319">
        <v>2</v>
      </c>
      <c r="D113" s="231" t="s">
        <v>412</v>
      </c>
      <c r="E113" s="187">
        <v>7</v>
      </c>
      <c r="F113" s="355">
        <v>1500</v>
      </c>
      <c r="G113" s="356">
        <v>214.28571428571428</v>
      </c>
      <c r="H113" s="633"/>
      <c r="I113" s="204">
        <f t="shared" ref="I113:I135" si="32">AVERAGE(P113,U113,Z113,AE113,AJ113,AO113,AT113)</f>
        <v>7.8571428571428568</v>
      </c>
      <c r="J113" s="204">
        <f t="shared" ref="J113:J135" si="33">AVERAGE(Q113,V113,AA113,AF113,AK113,AP113,AU113)</f>
        <v>1484.2737579648915</v>
      </c>
      <c r="K113" s="205">
        <f t="shared" ref="K113:K135" si="34">AVERAGE(R113,W113,AB113,AG113,AL113,AQ113,AV113)</f>
        <v>189.27880849020019</v>
      </c>
      <c r="L113" s="572"/>
      <c r="M113" s="206">
        <f>RANK(K113, K$112:$K$141)</f>
        <v>2</v>
      </c>
      <c r="N113" s="590"/>
      <c r="O113" s="590"/>
      <c r="P113" s="187">
        <f>'[2]（５-5）品群別人時生產性(主食) '!P78</f>
        <v>8</v>
      </c>
      <c r="Q113" s="187">
        <f>'[2]（５-5）品群別人時生產性(主食) '!Q78</f>
        <v>1475.2577319587629</v>
      </c>
      <c r="R113" s="187">
        <f>'[2]（５-5）品群別人時生產性(主食) '!R78</f>
        <v>184.40721649484536</v>
      </c>
      <c r="S113" s="351">
        <f t="shared" ref="S113:S141" si="35">RANK(R113, R$112:R$141)</f>
        <v>2</v>
      </c>
      <c r="T113" s="629"/>
      <c r="U113" s="187">
        <v>8</v>
      </c>
      <c r="V113" s="187">
        <v>1503.3333333333335</v>
      </c>
      <c r="W113" s="187">
        <v>187.91666666666669</v>
      </c>
      <c r="X113" s="351">
        <f t="shared" ref="X113:X141" si="36">RANK(W113, W$112:W$141)</f>
        <v>2</v>
      </c>
      <c r="Y113" s="629"/>
      <c r="Z113" s="187">
        <v>8</v>
      </c>
      <c r="AA113" s="187">
        <v>1493.7931034482756</v>
      </c>
      <c r="AB113" s="187">
        <v>186.72413793103445</v>
      </c>
      <c r="AC113" s="351">
        <f t="shared" ref="AC113:AC141" si="37">RANK(AB113, AB$112:AB$141)</f>
        <v>2</v>
      </c>
      <c r="AD113" s="629"/>
      <c r="AE113" s="187">
        <v>8</v>
      </c>
      <c r="AF113" s="187">
        <v>1513.1034482758619</v>
      </c>
      <c r="AG113" s="187">
        <v>189.13793103448273</v>
      </c>
      <c r="AH113" s="351">
        <f t="shared" ref="AH113:AH141" si="38">RANK(AG113, AG$112:AG$141)</f>
        <v>2</v>
      </c>
      <c r="AI113" s="629"/>
      <c r="AJ113" s="187">
        <v>8</v>
      </c>
      <c r="AK113" s="187">
        <v>1468.3146067415732</v>
      </c>
      <c r="AL113" s="187">
        <v>183.53932584269666</v>
      </c>
      <c r="AM113" s="351">
        <f t="shared" ref="AM113:AM141" si="39">RANK(AL113, AL$112:AL$141)</f>
        <v>2</v>
      </c>
      <c r="AN113" s="629"/>
      <c r="AO113" s="187">
        <v>8</v>
      </c>
      <c r="AP113" s="187">
        <v>1468.2352941176468</v>
      </c>
      <c r="AQ113" s="187">
        <v>183.52941176470586</v>
      </c>
      <c r="AR113" s="351">
        <f t="shared" ref="AR113:AR141" si="40">RANK(AQ113, AQ$112:AQ$141)</f>
        <v>2</v>
      </c>
      <c r="AS113" s="629"/>
      <c r="AT113" s="187">
        <v>7</v>
      </c>
      <c r="AU113" s="187">
        <v>1467.8787878787875</v>
      </c>
      <c r="AV113" s="187">
        <v>209.69696969696966</v>
      </c>
      <c r="AW113" s="351">
        <f t="shared" ref="AW113:AW141" si="41">RANK(AV113, AV$112:AV$141)</f>
        <v>2</v>
      </c>
      <c r="AX113" s="629"/>
    </row>
    <row r="114" spans="2:50">
      <c r="B114" s="598"/>
      <c r="C114" s="319">
        <v>3</v>
      </c>
      <c r="D114" s="231" t="s">
        <v>387</v>
      </c>
      <c r="E114" s="187">
        <v>18</v>
      </c>
      <c r="F114" s="355">
        <v>1500</v>
      </c>
      <c r="G114" s="356">
        <v>83.333333333333329</v>
      </c>
      <c r="H114" s="633"/>
      <c r="I114" s="204">
        <f t="shared" si="32"/>
        <v>18</v>
      </c>
      <c r="J114" s="204">
        <f t="shared" si="33"/>
        <v>1285.5685745639198</v>
      </c>
      <c r="K114" s="205">
        <f t="shared" si="34"/>
        <v>71.420476364662207</v>
      </c>
      <c r="L114" s="572"/>
      <c r="M114" s="206">
        <f>RANK(K114, K$112:$K$141)</f>
        <v>16</v>
      </c>
      <c r="N114" s="590"/>
      <c r="O114" s="590"/>
      <c r="P114" s="187">
        <f>'[2]（５-5）品群別人時生產性(主食) '!P79</f>
        <v>18</v>
      </c>
      <c r="Q114" s="187">
        <f>'[2]（５-5）品群別人時生產性(主食) '!Q79</f>
        <v>1268.7378640776694</v>
      </c>
      <c r="R114" s="187">
        <f>'[2]（５-5）品群別人時生產性(主食) '!R79</f>
        <v>70.485436893203854</v>
      </c>
      <c r="S114" s="351">
        <f t="shared" si="35"/>
        <v>18</v>
      </c>
      <c r="T114" s="629"/>
      <c r="U114" s="187">
        <v>18</v>
      </c>
      <c r="V114" s="187">
        <v>1268.4848484848478</v>
      </c>
      <c r="W114" s="187">
        <v>70.471380471380428</v>
      </c>
      <c r="X114" s="351">
        <f t="shared" si="36"/>
        <v>16</v>
      </c>
      <c r="Y114" s="629"/>
      <c r="Z114" s="187">
        <v>18</v>
      </c>
      <c r="AA114" s="187">
        <v>1267.9518072289152</v>
      </c>
      <c r="AB114" s="187">
        <v>70.441767068273066</v>
      </c>
      <c r="AC114" s="351">
        <f t="shared" si="37"/>
        <v>16</v>
      </c>
      <c r="AD114" s="629"/>
      <c r="AE114" s="187">
        <v>18</v>
      </c>
      <c r="AF114" s="187">
        <v>1307.5609756097556</v>
      </c>
      <c r="AG114" s="187">
        <v>72.642276422764198</v>
      </c>
      <c r="AH114" s="351">
        <f t="shared" si="38"/>
        <v>15</v>
      </c>
      <c r="AI114" s="629"/>
      <c r="AJ114" s="187">
        <v>18</v>
      </c>
      <c r="AK114" s="187">
        <v>1317.9310344827584</v>
      </c>
      <c r="AL114" s="187">
        <v>73.218390804597689</v>
      </c>
      <c r="AM114" s="351">
        <f t="shared" si="39"/>
        <v>15</v>
      </c>
      <c r="AN114" s="629"/>
      <c r="AO114" s="187">
        <v>18</v>
      </c>
      <c r="AP114" s="187">
        <v>1275.5357142857144</v>
      </c>
      <c r="AQ114" s="187">
        <v>70.863095238095241</v>
      </c>
      <c r="AR114" s="351">
        <f t="shared" si="40"/>
        <v>18</v>
      </c>
      <c r="AS114" s="629"/>
      <c r="AT114" s="187">
        <v>18</v>
      </c>
      <c r="AU114" s="187">
        <v>1292.7777777777776</v>
      </c>
      <c r="AV114" s="187">
        <v>71.820987654320973</v>
      </c>
      <c r="AW114" s="351">
        <f t="shared" si="41"/>
        <v>16</v>
      </c>
      <c r="AX114" s="629"/>
    </row>
    <row r="115" spans="2:50">
      <c r="B115" s="598"/>
      <c r="C115" s="319">
        <v>4</v>
      </c>
      <c r="D115" s="231" t="s">
        <v>359</v>
      </c>
      <c r="E115" s="187">
        <v>21</v>
      </c>
      <c r="F115" s="355">
        <v>1500</v>
      </c>
      <c r="G115" s="356">
        <v>71.428571428571431</v>
      </c>
      <c r="H115" s="633"/>
      <c r="I115" s="204">
        <f t="shared" si="32"/>
        <v>20.857142857142858</v>
      </c>
      <c r="J115" s="204">
        <f t="shared" si="33"/>
        <v>1278.7018235810388</v>
      </c>
      <c r="K115" s="205">
        <f t="shared" si="34"/>
        <v>61.318146964469044</v>
      </c>
      <c r="L115" s="572"/>
      <c r="M115" s="206">
        <f>RANK(K115, K$112:$K$141)</f>
        <v>22</v>
      </c>
      <c r="N115" s="590"/>
      <c r="O115" s="590"/>
      <c r="P115" s="187">
        <f>'[2]（５-5）品群別人時生產性(主食) '!P80</f>
        <v>20</v>
      </c>
      <c r="Q115" s="187">
        <f>'[2]（５-5）品群別人時生產性(主食) '!Q80</f>
        <v>1257.0967741935494</v>
      </c>
      <c r="R115" s="187">
        <f>'[2]（５-5）品群別人時生產性(主食) '!R80</f>
        <v>62.854838709677473</v>
      </c>
      <c r="S115" s="351">
        <f t="shared" si="35"/>
        <v>23</v>
      </c>
      <c r="T115" s="629"/>
      <c r="U115" s="187">
        <v>21</v>
      </c>
      <c r="V115" s="187">
        <v>1258.9830508474586</v>
      </c>
      <c r="W115" s="187">
        <v>59.951573849878983</v>
      </c>
      <c r="X115" s="351">
        <f t="shared" si="36"/>
        <v>23</v>
      </c>
      <c r="Y115" s="629"/>
      <c r="Z115" s="187">
        <v>21</v>
      </c>
      <c r="AA115" s="187">
        <v>1298.1818181818192</v>
      </c>
      <c r="AB115" s="187">
        <v>61.818181818181863</v>
      </c>
      <c r="AC115" s="351">
        <f t="shared" si="37"/>
        <v>22</v>
      </c>
      <c r="AD115" s="629"/>
      <c r="AE115" s="187">
        <v>21</v>
      </c>
      <c r="AF115" s="187">
        <v>1299.2307692307697</v>
      </c>
      <c r="AG115" s="187">
        <v>61.86813186813189</v>
      </c>
      <c r="AH115" s="351">
        <f t="shared" si="38"/>
        <v>21</v>
      </c>
      <c r="AI115" s="629"/>
      <c r="AJ115" s="187">
        <v>21</v>
      </c>
      <c r="AK115" s="187">
        <v>1292.830188679246</v>
      </c>
      <c r="AL115" s="187">
        <v>61.563342318059334</v>
      </c>
      <c r="AM115" s="351">
        <f t="shared" si="39"/>
        <v>21</v>
      </c>
      <c r="AN115" s="629"/>
      <c r="AO115" s="187">
        <v>21</v>
      </c>
      <c r="AP115" s="187">
        <v>1262.9508196721322</v>
      </c>
      <c r="AQ115" s="187">
        <v>60.140515222482485</v>
      </c>
      <c r="AR115" s="351">
        <f t="shared" si="40"/>
        <v>21</v>
      </c>
      <c r="AS115" s="629"/>
      <c r="AT115" s="187">
        <v>21</v>
      </c>
      <c r="AU115" s="187">
        <v>1281.6393442622964</v>
      </c>
      <c r="AV115" s="187">
        <v>61.030444964871258</v>
      </c>
      <c r="AW115" s="351">
        <f t="shared" si="41"/>
        <v>23</v>
      </c>
      <c r="AX115" s="629"/>
    </row>
    <row r="116" spans="2:50">
      <c r="B116" s="598"/>
      <c r="C116" s="319">
        <v>5</v>
      </c>
      <c r="D116" s="231" t="s">
        <v>357</v>
      </c>
      <c r="E116" s="187">
        <v>17</v>
      </c>
      <c r="F116" s="355">
        <v>1500</v>
      </c>
      <c r="G116" s="356">
        <v>88.235294117647058</v>
      </c>
      <c r="H116" s="633"/>
      <c r="I116" s="204">
        <f t="shared" si="32"/>
        <v>17</v>
      </c>
      <c r="J116" s="204">
        <f t="shared" si="33"/>
        <v>1332.2561349249791</v>
      </c>
      <c r="K116" s="205">
        <f t="shared" si="34"/>
        <v>78.368007936763462</v>
      </c>
      <c r="L116" s="572"/>
      <c r="M116" s="206">
        <f>RANK(K116, K$112:$K$141)</f>
        <v>7</v>
      </c>
      <c r="N116" s="590"/>
      <c r="O116" s="590"/>
      <c r="P116" s="187">
        <f>'[2]（５-5）品群別人時生產性(主食) '!P81</f>
        <v>17</v>
      </c>
      <c r="Q116" s="187">
        <f>'[2]（５-5）品群別人時生產性(主食) '!Q81</f>
        <v>1339.0000000000014</v>
      </c>
      <c r="R116" s="187">
        <f>'[2]（５-5）品群別人時生產性(主食) '!R81</f>
        <v>78.764705882353027</v>
      </c>
      <c r="S116" s="351">
        <f t="shared" si="35"/>
        <v>8</v>
      </c>
      <c r="T116" s="629"/>
      <c r="U116" s="187">
        <v>17</v>
      </c>
      <c r="V116" s="187">
        <v>1350.5263157894747</v>
      </c>
      <c r="W116" s="187">
        <v>79.442724458204395</v>
      </c>
      <c r="X116" s="351">
        <f t="shared" si="36"/>
        <v>7</v>
      </c>
      <c r="Y116" s="629"/>
      <c r="Z116" s="187">
        <v>17</v>
      </c>
      <c r="AA116" s="187">
        <v>1345.714285714286</v>
      </c>
      <c r="AB116" s="187">
        <v>79.159663865546236</v>
      </c>
      <c r="AC116" s="351">
        <f t="shared" si="37"/>
        <v>4</v>
      </c>
      <c r="AD116" s="629"/>
      <c r="AE116" s="187">
        <v>17</v>
      </c>
      <c r="AF116" s="187">
        <v>1320.0000000000005</v>
      </c>
      <c r="AG116" s="187">
        <v>77.647058823529434</v>
      </c>
      <c r="AH116" s="351">
        <f t="shared" si="38"/>
        <v>6</v>
      </c>
      <c r="AI116" s="629"/>
      <c r="AJ116" s="187">
        <v>17</v>
      </c>
      <c r="AK116" s="187">
        <v>1318.8235294117653</v>
      </c>
      <c r="AL116" s="187">
        <v>77.577854671280306</v>
      </c>
      <c r="AM116" s="351">
        <f t="shared" si="39"/>
        <v>7</v>
      </c>
      <c r="AN116" s="629"/>
      <c r="AO116" s="187">
        <v>17</v>
      </c>
      <c r="AP116" s="187">
        <v>1303.728813559323</v>
      </c>
      <c r="AQ116" s="187">
        <v>76.689930209371937</v>
      </c>
      <c r="AR116" s="351">
        <f t="shared" si="40"/>
        <v>6</v>
      </c>
      <c r="AS116" s="629"/>
      <c r="AT116" s="187">
        <v>17</v>
      </c>
      <c r="AU116" s="187">
        <v>1348.0000000000011</v>
      </c>
      <c r="AV116" s="187">
        <v>79.294117647058897</v>
      </c>
      <c r="AW116" s="351">
        <f t="shared" si="41"/>
        <v>6</v>
      </c>
      <c r="AX116" s="629"/>
    </row>
    <row r="117" spans="2:50">
      <c r="B117" s="598"/>
      <c r="C117" s="319">
        <v>6</v>
      </c>
      <c r="D117" s="231" t="s">
        <v>394</v>
      </c>
      <c r="E117" s="187">
        <v>17</v>
      </c>
      <c r="F117" s="355">
        <v>1565</v>
      </c>
      <c r="G117" s="356">
        <v>92.058823529411768</v>
      </c>
      <c r="H117" s="633"/>
      <c r="I117" s="204">
        <f t="shared" si="32"/>
        <v>17</v>
      </c>
      <c r="J117" s="204">
        <f t="shared" si="33"/>
        <v>1378.3175610175513</v>
      </c>
      <c r="K117" s="205">
        <f t="shared" si="34"/>
        <v>81.077503589267721</v>
      </c>
      <c r="L117" s="572"/>
      <c r="M117" s="206">
        <f>RANK(K117, K$112:$K$141)</f>
        <v>4</v>
      </c>
      <c r="N117" s="590"/>
      <c r="O117" s="590"/>
      <c r="P117" s="187">
        <f>'[2]（５-5）品群別人時生產性(主食) '!P82</f>
        <v>17</v>
      </c>
      <c r="Q117" s="187">
        <f>'[2]（５-5）品群別人時生產性(主食) '!Q82</f>
        <v>1381.2500000000005</v>
      </c>
      <c r="R117" s="187">
        <f>'[2]（５-5）品群別人時生產性(主食) '!R82</f>
        <v>81.250000000000028</v>
      </c>
      <c r="S117" s="351">
        <f t="shared" si="35"/>
        <v>5</v>
      </c>
      <c r="T117" s="629"/>
      <c r="U117" s="187">
        <v>17</v>
      </c>
      <c r="V117" s="187">
        <v>1388.4782608695652</v>
      </c>
      <c r="W117" s="187">
        <v>81.675191815856778</v>
      </c>
      <c r="X117" s="351">
        <f t="shared" si="36"/>
        <v>5</v>
      </c>
      <c r="Y117" s="629"/>
      <c r="Z117" s="187">
        <v>17</v>
      </c>
      <c r="AA117" s="187">
        <v>1314.6923076923122</v>
      </c>
      <c r="AB117" s="187">
        <v>77.334841628959538</v>
      </c>
      <c r="AC117" s="351">
        <f t="shared" si="37"/>
        <v>6</v>
      </c>
      <c r="AD117" s="629"/>
      <c r="AE117" s="187">
        <v>17</v>
      </c>
      <c r="AF117" s="187">
        <v>1388.2758620689654</v>
      </c>
      <c r="AG117" s="187">
        <v>81.663286004056786</v>
      </c>
      <c r="AH117" s="351">
        <f t="shared" si="38"/>
        <v>4</v>
      </c>
      <c r="AI117" s="629"/>
      <c r="AJ117" s="187">
        <v>17</v>
      </c>
      <c r="AK117" s="187">
        <v>1401.3793103448272</v>
      </c>
      <c r="AL117" s="187">
        <v>82.434077079107482</v>
      </c>
      <c r="AM117" s="351">
        <f t="shared" si="39"/>
        <v>4</v>
      </c>
      <c r="AN117" s="629"/>
      <c r="AO117" s="187">
        <v>17</v>
      </c>
      <c r="AP117" s="187">
        <v>1356.5714285714294</v>
      </c>
      <c r="AQ117" s="187">
        <v>79.798319327731136</v>
      </c>
      <c r="AR117" s="351">
        <f t="shared" si="40"/>
        <v>4</v>
      </c>
      <c r="AS117" s="629"/>
      <c r="AT117" s="187">
        <v>17</v>
      </c>
      <c r="AU117" s="187">
        <v>1417.575757575758</v>
      </c>
      <c r="AV117" s="187">
        <v>83.386809269162228</v>
      </c>
      <c r="AW117" s="351">
        <f t="shared" si="41"/>
        <v>4</v>
      </c>
      <c r="AX117" s="629"/>
    </row>
    <row r="118" spans="2:50">
      <c r="B118" s="598"/>
      <c r="C118" s="319">
        <v>7</v>
      </c>
      <c r="D118" s="231" t="s">
        <v>346</v>
      </c>
      <c r="E118" s="187">
        <v>16</v>
      </c>
      <c r="F118" s="355">
        <v>1440</v>
      </c>
      <c r="G118" s="356">
        <v>90</v>
      </c>
      <c r="H118" s="633"/>
      <c r="I118" s="204">
        <f t="shared" si="32"/>
        <v>16.142857142857142</v>
      </c>
      <c r="J118" s="204">
        <f t="shared" si="33"/>
        <v>1278.1077430972375</v>
      </c>
      <c r="K118" s="205">
        <f t="shared" si="34"/>
        <v>79.208414615846237</v>
      </c>
      <c r="L118" s="572"/>
      <c r="M118" s="206">
        <f>RANK(K118, K$112:$K$141)</f>
        <v>5</v>
      </c>
      <c r="N118" s="590"/>
      <c r="O118" s="590"/>
      <c r="P118" s="187">
        <f>'[2]（５-5）品群別人時生產性(主食) '!P83</f>
        <v>16</v>
      </c>
      <c r="Q118" s="187">
        <f>'[2]（５-5）品群別人時生產性(主食) '!Q83</f>
        <v>1292.5714285714271</v>
      </c>
      <c r="R118" s="187">
        <f>'[2]（５-5）品群別人時生產性(主食) '!R83</f>
        <v>80.785714285714192</v>
      </c>
      <c r="S118" s="351">
        <f t="shared" si="35"/>
        <v>6</v>
      </c>
      <c r="T118" s="629"/>
      <c r="U118" s="187">
        <v>16</v>
      </c>
      <c r="V118" s="187">
        <v>1295.6249999999982</v>
      </c>
      <c r="W118" s="187">
        <v>80.976562499999886</v>
      </c>
      <c r="X118" s="351">
        <f t="shared" si="36"/>
        <v>6</v>
      </c>
      <c r="Y118" s="629"/>
      <c r="Z118" s="187">
        <v>17</v>
      </c>
      <c r="AA118" s="187">
        <v>1281.9999999999977</v>
      </c>
      <c r="AB118" s="187">
        <v>75.41176470588222</v>
      </c>
      <c r="AC118" s="351">
        <f t="shared" si="37"/>
        <v>8</v>
      </c>
      <c r="AD118" s="629"/>
      <c r="AE118" s="187">
        <v>16</v>
      </c>
      <c r="AF118" s="187">
        <v>1265.6249999999982</v>
      </c>
      <c r="AG118" s="187">
        <v>79.101562499999886</v>
      </c>
      <c r="AH118" s="351">
        <f t="shared" si="38"/>
        <v>5</v>
      </c>
      <c r="AI118" s="629"/>
      <c r="AJ118" s="187">
        <v>16</v>
      </c>
      <c r="AK118" s="187">
        <v>1258.2857142857131</v>
      </c>
      <c r="AL118" s="187">
        <v>78.642857142857068</v>
      </c>
      <c r="AM118" s="351">
        <f t="shared" si="39"/>
        <v>5</v>
      </c>
      <c r="AN118" s="629"/>
      <c r="AO118" s="187">
        <v>16</v>
      </c>
      <c r="AP118" s="187">
        <v>1244.9999999999989</v>
      </c>
      <c r="AQ118" s="187">
        <v>77.812499999999929</v>
      </c>
      <c r="AR118" s="351">
        <f t="shared" si="40"/>
        <v>5</v>
      </c>
      <c r="AS118" s="629"/>
      <c r="AT118" s="187">
        <v>16</v>
      </c>
      <c r="AU118" s="187">
        <v>1307.6470588235279</v>
      </c>
      <c r="AV118" s="187">
        <v>81.727941176470495</v>
      </c>
      <c r="AW118" s="351">
        <f t="shared" si="41"/>
        <v>5</v>
      </c>
      <c r="AX118" s="629"/>
    </row>
    <row r="119" spans="2:50">
      <c r="B119" s="598"/>
      <c r="C119" s="319">
        <v>8</v>
      </c>
      <c r="D119" s="231" t="s">
        <v>393</v>
      </c>
      <c r="E119" s="187">
        <v>17</v>
      </c>
      <c r="F119" s="355">
        <v>1440</v>
      </c>
      <c r="G119" s="356">
        <v>84.705882352941174</v>
      </c>
      <c r="H119" s="633"/>
      <c r="I119" s="204">
        <f t="shared" si="32"/>
        <v>17</v>
      </c>
      <c r="J119" s="204">
        <f t="shared" si="33"/>
        <v>1266.206009698024</v>
      </c>
      <c r="K119" s="205">
        <f t="shared" si="34"/>
        <v>74.482706452824942</v>
      </c>
      <c r="L119" s="572"/>
      <c r="M119" s="206">
        <f>RANK(K119, K$112:$K$141)</f>
        <v>12</v>
      </c>
      <c r="N119" s="590"/>
      <c r="O119" s="590"/>
      <c r="P119" s="187">
        <f>'[2]（５-5）品群別人時生產性(主食) '!P84</f>
        <v>17</v>
      </c>
      <c r="Q119" s="187">
        <f>'[2]（５-5）品群別人時生產性(主食) '!Q84</f>
        <v>1254.4444444444453</v>
      </c>
      <c r="R119" s="187">
        <f>'[2]（５-5）品群別人時生產性(主食) '!R84</f>
        <v>73.790849673202658</v>
      </c>
      <c r="S119" s="351">
        <f t="shared" si="35"/>
        <v>13</v>
      </c>
      <c r="T119" s="629"/>
      <c r="U119" s="187">
        <v>17</v>
      </c>
      <c r="V119" s="187">
        <v>1246.9565217391305</v>
      </c>
      <c r="W119" s="187">
        <v>73.350383631713555</v>
      </c>
      <c r="X119" s="351">
        <f t="shared" si="36"/>
        <v>13</v>
      </c>
      <c r="Y119" s="629"/>
      <c r="Z119" s="187">
        <v>17</v>
      </c>
      <c r="AA119" s="187">
        <v>1280.4545454545455</v>
      </c>
      <c r="AB119" s="187">
        <v>75.320855614973269</v>
      </c>
      <c r="AC119" s="351">
        <f t="shared" si="37"/>
        <v>9</v>
      </c>
      <c r="AD119" s="629"/>
      <c r="AE119" s="187">
        <v>17</v>
      </c>
      <c r="AF119" s="187">
        <v>1252.9411764705887</v>
      </c>
      <c r="AG119" s="187">
        <v>73.702422145328754</v>
      </c>
      <c r="AH119" s="351">
        <f t="shared" si="38"/>
        <v>12</v>
      </c>
      <c r="AI119" s="629"/>
      <c r="AJ119" s="187">
        <v>17</v>
      </c>
      <c r="AK119" s="187">
        <v>1283.773584905661</v>
      </c>
      <c r="AL119" s="187">
        <v>75.516093229744769</v>
      </c>
      <c r="AM119" s="351">
        <f t="shared" si="39"/>
        <v>11</v>
      </c>
      <c r="AN119" s="629"/>
      <c r="AO119" s="187">
        <v>17</v>
      </c>
      <c r="AP119" s="187">
        <v>1273.3333333333339</v>
      </c>
      <c r="AQ119" s="187">
        <v>74.901960784313758</v>
      </c>
      <c r="AR119" s="351">
        <f t="shared" si="40"/>
        <v>12</v>
      </c>
      <c r="AS119" s="629"/>
      <c r="AT119" s="187">
        <v>17</v>
      </c>
      <c r="AU119" s="187">
        <v>1271.5384615384623</v>
      </c>
      <c r="AV119" s="187">
        <v>74.796380090497792</v>
      </c>
      <c r="AW119" s="351">
        <f t="shared" si="41"/>
        <v>11</v>
      </c>
      <c r="AX119" s="629"/>
    </row>
    <row r="120" spans="2:50">
      <c r="B120" s="598"/>
      <c r="C120" s="319">
        <v>9</v>
      </c>
      <c r="D120" s="231" t="s">
        <v>389</v>
      </c>
      <c r="E120" s="187">
        <v>18</v>
      </c>
      <c r="F120" s="355">
        <v>1440</v>
      </c>
      <c r="G120" s="356">
        <v>80</v>
      </c>
      <c r="H120" s="633"/>
      <c r="I120" s="204">
        <f t="shared" si="32"/>
        <v>16.75</v>
      </c>
      <c r="J120" s="204">
        <f t="shared" si="33"/>
        <v>1149.8449292611913</v>
      </c>
      <c r="K120" s="205">
        <f t="shared" si="34"/>
        <v>68.667276789194176</v>
      </c>
      <c r="L120" s="572"/>
      <c r="M120" s="206">
        <f>RANK(K120, K$112:$K$141)</f>
        <v>18</v>
      </c>
      <c r="N120" s="590"/>
      <c r="O120" s="590"/>
      <c r="P120" s="187">
        <f>'[2]（５-5）品群別人時生產性(主食) '!P85</f>
        <v>16</v>
      </c>
      <c r="Q120" s="187">
        <f>'[2]（５-5）品群別人時生產性(主食) '!Q85</f>
        <v>1192.6315789473692</v>
      </c>
      <c r="R120" s="187">
        <f>'[2]（５-5）品群別人時生產性(主食) '!R85</f>
        <v>74.539473684210577</v>
      </c>
      <c r="S120" s="351">
        <f t="shared" si="35"/>
        <v>11</v>
      </c>
      <c r="T120" s="629"/>
      <c r="U120" s="187">
        <v>17</v>
      </c>
      <c r="V120" s="187">
        <v>1192.2222222222229</v>
      </c>
      <c r="W120" s="187">
        <v>70.130718954248408</v>
      </c>
      <c r="X120" s="351">
        <f t="shared" si="36"/>
        <v>17</v>
      </c>
      <c r="Y120" s="629"/>
      <c r="Z120" s="187">
        <v>16</v>
      </c>
      <c r="AA120" s="187">
        <v>1003.6363636363673</v>
      </c>
      <c r="AB120" s="187">
        <v>62.727272727272954</v>
      </c>
      <c r="AC120" s="351">
        <f t="shared" si="37"/>
        <v>21</v>
      </c>
      <c r="AD120" s="629"/>
      <c r="AE120" s="187"/>
      <c r="AF120" s="187"/>
      <c r="AG120" s="187"/>
      <c r="AH120" s="351">
        <f t="shared" si="38"/>
        <v>23</v>
      </c>
      <c r="AI120" s="629"/>
      <c r="AJ120" s="187"/>
      <c r="AK120" s="187"/>
      <c r="AL120" s="187"/>
      <c r="AM120" s="351">
        <f t="shared" si="39"/>
        <v>23</v>
      </c>
      <c r="AN120" s="629"/>
      <c r="AO120" s="187"/>
      <c r="AP120" s="187"/>
      <c r="AQ120" s="187"/>
      <c r="AR120" s="351">
        <f t="shared" si="40"/>
        <v>23</v>
      </c>
      <c r="AS120" s="629"/>
      <c r="AT120" s="187">
        <v>18</v>
      </c>
      <c r="AU120" s="187">
        <v>1210.8895522388059</v>
      </c>
      <c r="AV120" s="187">
        <v>67.271641791044772</v>
      </c>
      <c r="AW120" s="351">
        <f t="shared" si="41"/>
        <v>21</v>
      </c>
      <c r="AX120" s="629"/>
    </row>
    <row r="121" spans="2:50">
      <c r="B121" s="598"/>
      <c r="C121" s="319">
        <v>10</v>
      </c>
      <c r="D121" s="231" t="s">
        <v>392</v>
      </c>
      <c r="E121" s="187">
        <v>20</v>
      </c>
      <c r="F121" s="355">
        <v>1636</v>
      </c>
      <c r="G121" s="356">
        <v>81.8</v>
      </c>
      <c r="H121" s="633"/>
      <c r="I121" s="204">
        <f t="shared" si="32"/>
        <v>18.857142857142858</v>
      </c>
      <c r="J121" s="204">
        <f t="shared" si="33"/>
        <v>1291.2349008568942</v>
      </c>
      <c r="K121" s="205">
        <f t="shared" si="34"/>
        <v>68.499315878801596</v>
      </c>
      <c r="L121" s="572"/>
      <c r="M121" s="206">
        <f>RANK(K121, K$112:$K$141)</f>
        <v>19</v>
      </c>
      <c r="N121" s="590"/>
      <c r="O121" s="590"/>
      <c r="P121" s="187">
        <f>'[2]（５-5）品群別人時生產性(主食) '!P86</f>
        <v>19</v>
      </c>
      <c r="Q121" s="187">
        <f>'[2]（５-5）品群別人時生產性(主食) '!Q86</f>
        <v>1289.3181818181818</v>
      </c>
      <c r="R121" s="187">
        <f>'[2]（５-5）品群別人時生產性(主食) '!R86</f>
        <v>67.858851674641144</v>
      </c>
      <c r="S121" s="351">
        <f t="shared" si="35"/>
        <v>21</v>
      </c>
      <c r="T121" s="629"/>
      <c r="U121" s="187">
        <v>19</v>
      </c>
      <c r="V121" s="187">
        <v>1307.9999999999991</v>
      </c>
      <c r="W121" s="187">
        <v>68.842105263157848</v>
      </c>
      <c r="X121" s="351">
        <f t="shared" si="36"/>
        <v>19</v>
      </c>
      <c r="Y121" s="629"/>
      <c r="Z121" s="187">
        <v>19</v>
      </c>
      <c r="AA121" s="187">
        <v>1267.9411764705897</v>
      </c>
      <c r="AB121" s="187">
        <v>66.733746130031037</v>
      </c>
      <c r="AC121" s="351">
        <f t="shared" si="37"/>
        <v>18</v>
      </c>
      <c r="AD121" s="629"/>
      <c r="AE121" s="187">
        <v>19</v>
      </c>
      <c r="AF121" s="187">
        <v>1300.2857142857129</v>
      </c>
      <c r="AG121" s="187">
        <v>68.436090225563831</v>
      </c>
      <c r="AH121" s="351">
        <f t="shared" si="38"/>
        <v>17</v>
      </c>
      <c r="AI121" s="629"/>
      <c r="AJ121" s="187">
        <v>19</v>
      </c>
      <c r="AK121" s="187">
        <v>1289.6103896103889</v>
      </c>
      <c r="AL121" s="187">
        <v>67.874231032125735</v>
      </c>
      <c r="AM121" s="351">
        <f t="shared" si="39"/>
        <v>19</v>
      </c>
      <c r="AN121" s="629"/>
      <c r="AO121" s="187">
        <v>18</v>
      </c>
      <c r="AP121" s="187">
        <v>1291.7647058823529</v>
      </c>
      <c r="AQ121" s="187">
        <v>71.764705882352942</v>
      </c>
      <c r="AR121" s="351">
        <f t="shared" si="40"/>
        <v>16</v>
      </c>
      <c r="AS121" s="629"/>
      <c r="AT121" s="187">
        <v>19</v>
      </c>
      <c r="AU121" s="187">
        <v>1291.7241379310344</v>
      </c>
      <c r="AV121" s="187">
        <v>67.985480943738651</v>
      </c>
      <c r="AW121" s="351">
        <f t="shared" si="41"/>
        <v>19</v>
      </c>
      <c r="AX121" s="629"/>
    </row>
    <row r="122" spans="2:50">
      <c r="B122" s="598"/>
      <c r="C122" s="319">
        <v>11</v>
      </c>
      <c r="D122" s="231" t="s">
        <v>391</v>
      </c>
      <c r="E122" s="187">
        <v>19</v>
      </c>
      <c r="F122" s="355">
        <v>1636</v>
      </c>
      <c r="G122" s="356">
        <v>86.10526315789474</v>
      </c>
      <c r="H122" s="633"/>
      <c r="I122" s="204">
        <f t="shared" si="32"/>
        <v>18.857142857142858</v>
      </c>
      <c r="J122" s="204">
        <f t="shared" si="33"/>
        <v>1283.4325557926102</v>
      </c>
      <c r="K122" s="205">
        <f t="shared" si="34"/>
        <v>68.086086159215952</v>
      </c>
      <c r="L122" s="572"/>
      <c r="M122" s="206">
        <f>RANK(K122, K$112:$K$141)</f>
        <v>21</v>
      </c>
      <c r="N122" s="590"/>
      <c r="O122" s="590"/>
      <c r="P122" s="187">
        <f>'[2]（５-5）品群別人時生產性(主食) '!P87</f>
        <v>19</v>
      </c>
      <c r="Q122" s="187">
        <f>'[2]（５-5）品群別人時生產性(主食) '!Q87</f>
        <v>1305.0000000000018</v>
      </c>
      <c r="R122" s="187">
        <f>'[2]（５-5）品群別人時生產性(主食) '!R87</f>
        <v>68.68421052631588</v>
      </c>
      <c r="S122" s="351">
        <f t="shared" si="35"/>
        <v>20</v>
      </c>
      <c r="T122" s="629"/>
      <c r="U122" s="187">
        <v>19</v>
      </c>
      <c r="V122" s="187">
        <v>1257.1428571428585</v>
      </c>
      <c r="W122" s="187">
        <v>66.165413533834652</v>
      </c>
      <c r="X122" s="351">
        <f t="shared" si="36"/>
        <v>21</v>
      </c>
      <c r="Y122" s="629"/>
      <c r="Z122" s="187">
        <v>19</v>
      </c>
      <c r="AA122" s="187">
        <v>1251.9230769230776</v>
      </c>
      <c r="AB122" s="187">
        <v>65.890688259109353</v>
      </c>
      <c r="AC122" s="351">
        <f t="shared" si="37"/>
        <v>19</v>
      </c>
      <c r="AD122" s="629"/>
      <c r="AE122" s="187">
        <v>19</v>
      </c>
      <c r="AF122" s="187">
        <v>1296.8421052631588</v>
      </c>
      <c r="AG122" s="187">
        <v>68.254847645429408</v>
      </c>
      <c r="AH122" s="351">
        <f t="shared" si="38"/>
        <v>18</v>
      </c>
      <c r="AI122" s="629"/>
      <c r="AJ122" s="187">
        <v>19</v>
      </c>
      <c r="AK122" s="187">
        <v>1305.2459016393454</v>
      </c>
      <c r="AL122" s="187">
        <v>68.697152717860291</v>
      </c>
      <c r="AM122" s="351">
        <f t="shared" si="39"/>
        <v>18</v>
      </c>
      <c r="AN122" s="629"/>
      <c r="AO122" s="187">
        <v>18</v>
      </c>
      <c r="AP122" s="187">
        <v>1285.5882352941162</v>
      </c>
      <c r="AQ122" s="187">
        <v>71.421568627450895</v>
      </c>
      <c r="AR122" s="351">
        <f t="shared" si="40"/>
        <v>17</v>
      </c>
      <c r="AS122" s="629"/>
      <c r="AT122" s="187">
        <v>19</v>
      </c>
      <c r="AU122" s="187">
        <v>1282.2857142857129</v>
      </c>
      <c r="AV122" s="187">
        <v>67.488721804511201</v>
      </c>
      <c r="AW122" s="351">
        <f t="shared" si="41"/>
        <v>20</v>
      </c>
      <c r="AX122" s="629"/>
    </row>
    <row r="123" spans="2:50">
      <c r="B123" s="598"/>
      <c r="C123" s="319">
        <v>12</v>
      </c>
      <c r="D123" s="231" t="s">
        <v>427</v>
      </c>
      <c r="E123" s="187">
        <v>20</v>
      </c>
      <c r="F123" s="355">
        <v>1500</v>
      </c>
      <c r="G123" s="356">
        <v>75</v>
      </c>
      <c r="H123" s="633"/>
      <c r="I123" s="204">
        <f t="shared" si="32"/>
        <v>20</v>
      </c>
      <c r="J123" s="204">
        <f t="shared" si="33"/>
        <v>1169.9250543561891</v>
      </c>
      <c r="K123" s="205">
        <f t="shared" si="34"/>
        <v>58.496252717809455</v>
      </c>
      <c r="L123" s="572"/>
      <c r="M123" s="206">
        <f>RANK(K123, K$112:$K$141)</f>
        <v>23</v>
      </c>
      <c r="N123" s="590"/>
      <c r="O123" s="590"/>
      <c r="P123" s="187">
        <f>'[2]（５-5）品群別人時生產性(主食) '!P88</f>
        <v>20</v>
      </c>
      <c r="Q123" s="187">
        <f>'[2]（５-5）品群別人時生產性(主食) '!Q88</f>
        <v>1270.3448275862077</v>
      </c>
      <c r="R123" s="187">
        <f>'[2]（５-5）品群別人時生產性(主食) '!R88</f>
        <v>63.517241379310384</v>
      </c>
      <c r="S123" s="351">
        <f t="shared" si="35"/>
        <v>22</v>
      </c>
      <c r="T123" s="629"/>
      <c r="U123" s="187">
        <v>20</v>
      </c>
      <c r="V123" s="187">
        <v>1291.0344827586216</v>
      </c>
      <c r="W123" s="187">
        <v>64.551724137931075</v>
      </c>
      <c r="X123" s="351">
        <f t="shared" si="36"/>
        <v>22</v>
      </c>
      <c r="Y123" s="629"/>
      <c r="Z123" s="187">
        <v>20</v>
      </c>
      <c r="AA123" s="187">
        <v>1058.5714285714294</v>
      </c>
      <c r="AB123" s="187">
        <v>52.928571428571466</v>
      </c>
      <c r="AC123" s="351">
        <f t="shared" si="37"/>
        <v>23</v>
      </c>
      <c r="AD123" s="629"/>
      <c r="AE123" s="187">
        <v>20</v>
      </c>
      <c r="AF123" s="187">
        <v>1122.2222222222229</v>
      </c>
      <c r="AG123" s="187">
        <v>56.111111111111143</v>
      </c>
      <c r="AH123" s="351">
        <f t="shared" si="38"/>
        <v>22</v>
      </c>
      <c r="AI123" s="629"/>
      <c r="AJ123" s="187">
        <v>20</v>
      </c>
      <c r="AK123" s="187">
        <v>1089.6774193548397</v>
      </c>
      <c r="AL123" s="187">
        <v>54.483870967741986</v>
      </c>
      <c r="AM123" s="351">
        <f t="shared" si="39"/>
        <v>22</v>
      </c>
      <c r="AN123" s="629"/>
      <c r="AO123" s="187">
        <v>20</v>
      </c>
      <c r="AP123" s="187">
        <v>1085.6250000000014</v>
      </c>
      <c r="AQ123" s="187">
        <v>54.281250000000071</v>
      </c>
      <c r="AR123" s="351">
        <f t="shared" si="40"/>
        <v>22</v>
      </c>
      <c r="AS123" s="629"/>
      <c r="AT123" s="187">
        <v>20</v>
      </c>
      <c r="AU123" s="187">
        <v>1272.0000000000011</v>
      </c>
      <c r="AV123" s="187">
        <v>63.600000000000058</v>
      </c>
      <c r="AW123" s="351">
        <f t="shared" si="41"/>
        <v>22</v>
      </c>
      <c r="AX123" s="629"/>
    </row>
    <row r="124" spans="2:50">
      <c r="B124" s="598"/>
      <c r="C124" s="319">
        <v>13</v>
      </c>
      <c r="D124" s="231" t="s">
        <v>395</v>
      </c>
      <c r="E124" s="187">
        <v>18</v>
      </c>
      <c r="F124" s="355">
        <v>1500</v>
      </c>
      <c r="G124" s="356">
        <v>83.333333333333329</v>
      </c>
      <c r="H124" s="633"/>
      <c r="I124" s="204">
        <f t="shared" si="32"/>
        <v>17</v>
      </c>
      <c r="J124" s="204">
        <f t="shared" si="33"/>
        <v>1282.2320140571917</v>
      </c>
      <c r="K124" s="205">
        <f t="shared" si="34"/>
        <v>75.42541259159951</v>
      </c>
      <c r="L124" s="572"/>
      <c r="M124" s="206">
        <f>RANK(K124, K$112:$K$141)</f>
        <v>10</v>
      </c>
      <c r="N124" s="590"/>
      <c r="O124" s="590"/>
      <c r="P124" s="187">
        <f>'[2]（５-5）品群別人時生產性(主食) '!P89</f>
        <v>17</v>
      </c>
      <c r="Q124" s="187">
        <f>'[2]（５-5）品群別人時生產性(主食) '!Q89</f>
        <v>1244.6511627906975</v>
      </c>
      <c r="R124" s="187">
        <f>'[2]（５-5）品群別人時生產性(主食) '!R89</f>
        <v>73.214774281805731</v>
      </c>
      <c r="S124" s="351">
        <f t="shared" si="35"/>
        <v>15</v>
      </c>
      <c r="T124" s="629"/>
      <c r="U124" s="187">
        <v>17</v>
      </c>
      <c r="V124" s="187">
        <v>1289.1891891891883</v>
      </c>
      <c r="W124" s="187">
        <v>75.834658187599302</v>
      </c>
      <c r="X124" s="351">
        <f t="shared" si="36"/>
        <v>10</v>
      </c>
      <c r="Y124" s="629"/>
      <c r="Z124" s="187">
        <v>17</v>
      </c>
      <c r="AA124" s="187">
        <v>1271.9999999999986</v>
      </c>
      <c r="AB124" s="187">
        <v>74.823529411764625</v>
      </c>
      <c r="AC124" s="351">
        <f t="shared" si="37"/>
        <v>12</v>
      </c>
      <c r="AD124" s="629"/>
      <c r="AE124" s="187">
        <v>17</v>
      </c>
      <c r="AF124" s="187">
        <v>1269.4736842105253</v>
      </c>
      <c r="AG124" s="187">
        <v>74.674922600619141</v>
      </c>
      <c r="AH124" s="351">
        <f t="shared" si="38"/>
        <v>9</v>
      </c>
      <c r="AI124" s="629"/>
      <c r="AJ124" s="187">
        <v>17</v>
      </c>
      <c r="AK124" s="187">
        <v>1285.2631578947357</v>
      </c>
      <c r="AL124" s="187">
        <v>75.603715170278576</v>
      </c>
      <c r="AM124" s="351">
        <f t="shared" si="39"/>
        <v>10</v>
      </c>
      <c r="AN124" s="629"/>
      <c r="AO124" s="187">
        <v>17</v>
      </c>
      <c r="AP124" s="187">
        <v>1296.585365853658</v>
      </c>
      <c r="AQ124" s="187">
        <v>76.269727403156352</v>
      </c>
      <c r="AR124" s="351">
        <f t="shared" si="40"/>
        <v>8</v>
      </c>
      <c r="AS124" s="629"/>
      <c r="AT124" s="187">
        <v>17</v>
      </c>
      <c r="AU124" s="187">
        <v>1318.4615384615379</v>
      </c>
      <c r="AV124" s="187">
        <v>77.556561085972817</v>
      </c>
      <c r="AW124" s="351">
        <f t="shared" si="41"/>
        <v>8</v>
      </c>
      <c r="AX124" s="629"/>
    </row>
    <row r="125" spans="2:50">
      <c r="B125" s="598"/>
      <c r="C125" s="319">
        <v>14</v>
      </c>
      <c r="D125" s="231" t="s">
        <v>361</v>
      </c>
      <c r="E125" s="187">
        <v>18</v>
      </c>
      <c r="F125" s="355">
        <v>1500</v>
      </c>
      <c r="G125" s="356">
        <v>83.333333333333329</v>
      </c>
      <c r="H125" s="633"/>
      <c r="I125" s="204">
        <f t="shared" si="32"/>
        <v>17</v>
      </c>
      <c r="J125" s="204">
        <f t="shared" si="33"/>
        <v>1269.9396226415101</v>
      </c>
      <c r="K125" s="205">
        <f t="shared" si="34"/>
        <v>74.702330743618248</v>
      </c>
      <c r="L125" s="572"/>
      <c r="M125" s="206">
        <f>RANK(K125, K$112:$K$141)</f>
        <v>11</v>
      </c>
      <c r="N125" s="590"/>
      <c r="O125" s="590"/>
      <c r="P125" s="187">
        <f>'[2]（５-5）品群別人時生產性(主食) '!P90</f>
        <v>17</v>
      </c>
      <c r="Q125" s="187">
        <f>'[2]（５-5）品群別人時生產性(主食) '!Q90</f>
        <v>1261.1320754716987</v>
      </c>
      <c r="R125" s="187">
        <f>'[2]（５-5）品群別人時生產性(主食) '!R90</f>
        <v>74.18423973362934</v>
      </c>
      <c r="S125" s="351">
        <f t="shared" si="35"/>
        <v>12</v>
      </c>
      <c r="T125" s="629"/>
      <c r="U125" s="187">
        <v>17</v>
      </c>
      <c r="V125" s="187">
        <v>1279.2452830188686</v>
      </c>
      <c r="W125" s="187">
        <v>75.24972253052168</v>
      </c>
      <c r="X125" s="351">
        <f t="shared" si="36"/>
        <v>12</v>
      </c>
      <c r="Y125" s="629"/>
      <c r="Z125" s="187">
        <v>17</v>
      </c>
      <c r="AA125" s="187">
        <v>1273.2000000000003</v>
      </c>
      <c r="AB125" s="187">
        <v>74.894117647058835</v>
      </c>
      <c r="AC125" s="351">
        <f t="shared" si="37"/>
        <v>11</v>
      </c>
      <c r="AD125" s="629"/>
      <c r="AE125" s="187">
        <v>17</v>
      </c>
      <c r="AF125" s="187">
        <v>1260.0000000000005</v>
      </c>
      <c r="AG125" s="187">
        <v>74.11764705882355</v>
      </c>
      <c r="AH125" s="351">
        <f t="shared" si="38"/>
        <v>11</v>
      </c>
      <c r="AI125" s="629"/>
      <c r="AJ125" s="187">
        <v>17</v>
      </c>
      <c r="AK125" s="187">
        <v>1272.0000000000009</v>
      </c>
      <c r="AL125" s="187">
        <v>74.823529411764753</v>
      </c>
      <c r="AM125" s="351">
        <f t="shared" si="39"/>
        <v>13</v>
      </c>
      <c r="AN125" s="629"/>
      <c r="AO125" s="187">
        <v>17</v>
      </c>
      <c r="AP125" s="187">
        <v>1285.0909090909099</v>
      </c>
      <c r="AQ125" s="187">
        <v>75.593582887700578</v>
      </c>
      <c r="AR125" s="351">
        <f t="shared" si="40"/>
        <v>11</v>
      </c>
      <c r="AS125" s="629"/>
      <c r="AT125" s="187">
        <v>17</v>
      </c>
      <c r="AU125" s="187">
        <v>1258.9090909090917</v>
      </c>
      <c r="AV125" s="187">
        <v>74.053475935828928</v>
      </c>
      <c r="AW125" s="351">
        <f t="shared" si="41"/>
        <v>12</v>
      </c>
      <c r="AX125" s="629"/>
    </row>
    <row r="126" spans="2:50">
      <c r="B126" s="598"/>
      <c r="C126" s="319">
        <v>15</v>
      </c>
      <c r="D126" s="231" t="s">
        <v>396</v>
      </c>
      <c r="E126" s="187">
        <v>17</v>
      </c>
      <c r="F126" s="355">
        <v>1440</v>
      </c>
      <c r="G126" s="356">
        <v>84.705882352941174</v>
      </c>
      <c r="H126" s="633"/>
      <c r="I126" s="204">
        <f t="shared" si="32"/>
        <v>17.857142857142858</v>
      </c>
      <c r="J126" s="204">
        <f t="shared" si="33"/>
        <v>1328.1176444017924</v>
      </c>
      <c r="K126" s="205">
        <f t="shared" si="34"/>
        <v>74.407024200587983</v>
      </c>
      <c r="L126" s="572"/>
      <c r="M126" s="206">
        <f>RANK(K126, K$112:$K$141)</f>
        <v>13</v>
      </c>
      <c r="N126" s="590"/>
      <c r="O126" s="590"/>
      <c r="P126" s="187">
        <f>'[2]（５-5）品群別人時生產性(主食) '!P91</f>
        <v>18</v>
      </c>
      <c r="Q126" s="187">
        <f>'[2]（５-5）品群別人時生產性(主食) '!Q91</f>
        <v>1321.2371134020623</v>
      </c>
      <c r="R126" s="187">
        <f>'[2]（５-5）品群別人時生產性(主食) '!R91</f>
        <v>73.402061855670127</v>
      </c>
      <c r="S126" s="351">
        <f t="shared" si="35"/>
        <v>14</v>
      </c>
      <c r="T126" s="629"/>
      <c r="U126" s="187">
        <v>18</v>
      </c>
      <c r="V126" s="187">
        <v>1309.5652173913043</v>
      </c>
      <c r="W126" s="187">
        <v>72.753623188405797</v>
      </c>
      <c r="X126" s="351">
        <f t="shared" si="36"/>
        <v>14</v>
      </c>
      <c r="Y126" s="629"/>
      <c r="Z126" s="187">
        <v>18</v>
      </c>
      <c r="AA126" s="187">
        <v>1338.5714285714282</v>
      </c>
      <c r="AB126" s="187">
        <v>74.365079365079339</v>
      </c>
      <c r="AC126" s="351">
        <f t="shared" si="37"/>
        <v>13</v>
      </c>
      <c r="AD126" s="629"/>
      <c r="AE126" s="187">
        <v>18</v>
      </c>
      <c r="AF126" s="187">
        <v>1335</v>
      </c>
      <c r="AG126" s="187">
        <v>74.166666666666671</v>
      </c>
      <c r="AH126" s="351">
        <f t="shared" si="38"/>
        <v>10</v>
      </c>
      <c r="AI126" s="629"/>
      <c r="AJ126" s="187">
        <v>17</v>
      </c>
      <c r="AK126" s="187">
        <v>1333.8461538461538</v>
      </c>
      <c r="AL126" s="187">
        <v>78.461538461538453</v>
      </c>
      <c r="AM126" s="351">
        <f t="shared" si="39"/>
        <v>6</v>
      </c>
      <c r="AN126" s="629"/>
      <c r="AO126" s="187">
        <v>18</v>
      </c>
      <c r="AP126" s="187">
        <v>1333.8947368421054</v>
      </c>
      <c r="AQ126" s="187">
        <v>74.10526315789474</v>
      </c>
      <c r="AR126" s="351">
        <f t="shared" si="40"/>
        <v>13</v>
      </c>
      <c r="AS126" s="629"/>
      <c r="AT126" s="187">
        <v>18</v>
      </c>
      <c r="AU126" s="187">
        <v>1324.7088607594928</v>
      </c>
      <c r="AV126" s="187">
        <v>73.594936708860715</v>
      </c>
      <c r="AW126" s="351">
        <f t="shared" si="41"/>
        <v>13</v>
      </c>
      <c r="AX126" s="629"/>
    </row>
    <row r="127" spans="2:50">
      <c r="B127" s="598"/>
      <c r="C127" s="319">
        <v>16</v>
      </c>
      <c r="D127" s="231" t="s">
        <v>397</v>
      </c>
      <c r="E127" s="187">
        <v>15</v>
      </c>
      <c r="F127" s="355">
        <v>1440</v>
      </c>
      <c r="G127" s="356">
        <v>96</v>
      </c>
      <c r="H127" s="633"/>
      <c r="I127" s="204">
        <f t="shared" si="32"/>
        <v>15</v>
      </c>
      <c r="J127" s="204">
        <f t="shared" si="33"/>
        <v>1282.2395359597456</v>
      </c>
      <c r="K127" s="205">
        <f t="shared" si="34"/>
        <v>85.482635730649719</v>
      </c>
      <c r="L127" s="572"/>
      <c r="M127" s="206">
        <f>RANK(K127, K$112:$K$141)</f>
        <v>3</v>
      </c>
      <c r="N127" s="590"/>
      <c r="O127" s="590"/>
      <c r="P127" s="187">
        <f>'[2]（５-5）品群別人時生產性(主食) '!P92</f>
        <v>15</v>
      </c>
      <c r="Q127" s="187">
        <f>'[2]（５-5）品群別人時生產性(主食) '!Q92</f>
        <v>1301.9999999999986</v>
      </c>
      <c r="R127" s="187">
        <f>'[2]（５-5）品群別人時生產性(主食) '!R92</f>
        <v>86.799999999999912</v>
      </c>
      <c r="S127" s="351">
        <f t="shared" si="35"/>
        <v>3</v>
      </c>
      <c r="T127" s="629"/>
      <c r="U127" s="187">
        <v>15</v>
      </c>
      <c r="V127" s="187">
        <v>1282.9411764705865</v>
      </c>
      <c r="W127" s="187">
        <v>85.52941176470577</v>
      </c>
      <c r="X127" s="351">
        <f t="shared" si="36"/>
        <v>3</v>
      </c>
      <c r="Y127" s="629"/>
      <c r="Z127" s="187">
        <v>15</v>
      </c>
      <c r="AA127" s="187">
        <v>1254.0983606557388</v>
      </c>
      <c r="AB127" s="187">
        <v>83.606557377049256</v>
      </c>
      <c r="AC127" s="351">
        <f t="shared" si="37"/>
        <v>3</v>
      </c>
      <c r="AD127" s="629"/>
      <c r="AE127" s="187">
        <v>15</v>
      </c>
      <c r="AF127" s="187">
        <v>1314.2857142857156</v>
      </c>
      <c r="AG127" s="187">
        <v>87.619047619047706</v>
      </c>
      <c r="AH127" s="351">
        <f t="shared" si="38"/>
        <v>3</v>
      </c>
      <c r="AI127" s="629"/>
      <c r="AJ127" s="187">
        <v>15</v>
      </c>
      <c r="AK127" s="187">
        <v>1262.6086956521726</v>
      </c>
      <c r="AL127" s="187">
        <v>84.17391304347818</v>
      </c>
      <c r="AM127" s="351">
        <f t="shared" si="39"/>
        <v>3</v>
      </c>
      <c r="AN127" s="629"/>
      <c r="AO127" s="187">
        <v>15</v>
      </c>
      <c r="AP127" s="187">
        <v>1298.8732394366184</v>
      </c>
      <c r="AQ127" s="187">
        <v>86.591549295774556</v>
      </c>
      <c r="AR127" s="351">
        <f t="shared" si="40"/>
        <v>3</v>
      </c>
      <c r="AS127" s="629"/>
      <c r="AT127" s="187">
        <v>15</v>
      </c>
      <c r="AU127" s="187">
        <v>1260.8695652173899</v>
      </c>
      <c r="AV127" s="187">
        <v>84.057971014492665</v>
      </c>
      <c r="AW127" s="351">
        <f t="shared" si="41"/>
        <v>3</v>
      </c>
      <c r="AX127" s="629"/>
    </row>
    <row r="128" spans="2:50">
      <c r="B128" s="598"/>
      <c r="C128" s="319">
        <v>17</v>
      </c>
      <c r="D128" s="231" t="s">
        <v>349</v>
      </c>
      <c r="E128" s="187">
        <v>17</v>
      </c>
      <c r="F128" s="355">
        <v>1440</v>
      </c>
      <c r="G128" s="356">
        <v>84.705882352941174</v>
      </c>
      <c r="H128" s="633"/>
      <c r="I128" s="204">
        <f t="shared" si="32"/>
        <v>17</v>
      </c>
      <c r="J128" s="204">
        <f t="shared" si="33"/>
        <v>1309.4313386922693</v>
      </c>
      <c r="K128" s="205">
        <f t="shared" si="34"/>
        <v>77.025372864251139</v>
      </c>
      <c r="L128" s="572"/>
      <c r="M128" s="206">
        <f>RANK(K128, K$112:$K$141)</f>
        <v>8</v>
      </c>
      <c r="N128" s="590"/>
      <c r="O128" s="590"/>
      <c r="P128" s="187">
        <f>'[2]（５-5）品群別人時生產性(主食) '!P93</f>
        <v>17</v>
      </c>
      <c r="Q128" s="187">
        <f>'[2]（５-5）品群別人時生產性(主食) '!Q93</f>
        <v>1341.1764705882347</v>
      </c>
      <c r="R128" s="187">
        <f>'[2]（５-5）品群別人時生產性(主食) '!R93</f>
        <v>78.89273356401381</v>
      </c>
      <c r="S128" s="351">
        <f t="shared" si="35"/>
        <v>7</v>
      </c>
      <c r="T128" s="629"/>
      <c r="U128" s="187">
        <v>17</v>
      </c>
      <c r="V128" s="187">
        <v>1340.7272727272718</v>
      </c>
      <c r="W128" s="187">
        <v>78.866310160427759</v>
      </c>
      <c r="X128" s="351">
        <f t="shared" si="36"/>
        <v>8</v>
      </c>
      <c r="Y128" s="629"/>
      <c r="Z128" s="187">
        <v>17</v>
      </c>
      <c r="AA128" s="187">
        <v>1339.2000000000005</v>
      </c>
      <c r="AB128" s="187">
        <v>78.776470588235327</v>
      </c>
      <c r="AC128" s="351">
        <f t="shared" si="37"/>
        <v>5</v>
      </c>
      <c r="AD128" s="629"/>
      <c r="AE128" s="187">
        <v>17</v>
      </c>
      <c r="AF128" s="187">
        <v>1246.7076923076968</v>
      </c>
      <c r="AG128" s="187">
        <v>73.335746606335107</v>
      </c>
      <c r="AH128" s="351">
        <f t="shared" si="38"/>
        <v>13</v>
      </c>
      <c r="AI128" s="629"/>
      <c r="AJ128" s="187">
        <v>17</v>
      </c>
      <c r="AK128" s="187">
        <v>1308.7384615384663</v>
      </c>
      <c r="AL128" s="187">
        <v>76.984615384615665</v>
      </c>
      <c r="AM128" s="351">
        <f t="shared" si="39"/>
        <v>8</v>
      </c>
      <c r="AN128" s="629"/>
      <c r="AO128" s="187">
        <v>17</v>
      </c>
      <c r="AP128" s="187">
        <v>1243.6800000000046</v>
      </c>
      <c r="AQ128" s="187">
        <v>73.157647058823798</v>
      </c>
      <c r="AR128" s="351">
        <f t="shared" si="40"/>
        <v>14</v>
      </c>
      <c r="AS128" s="629"/>
      <c r="AT128" s="187">
        <v>17</v>
      </c>
      <c r="AU128" s="187">
        <v>1345.7894736842097</v>
      </c>
      <c r="AV128" s="187">
        <v>79.164086687306451</v>
      </c>
      <c r="AW128" s="351">
        <f t="shared" si="41"/>
        <v>7</v>
      </c>
      <c r="AX128" s="629"/>
    </row>
    <row r="129" spans="2:50">
      <c r="B129" s="598"/>
      <c r="C129" s="319">
        <v>18</v>
      </c>
      <c r="D129" s="231" t="s">
        <v>388</v>
      </c>
      <c r="E129" s="187">
        <v>18</v>
      </c>
      <c r="F129" s="355">
        <v>1636</v>
      </c>
      <c r="G129" s="356">
        <v>90.888888888888886</v>
      </c>
      <c r="H129" s="633"/>
      <c r="I129" s="204">
        <f t="shared" si="32"/>
        <v>17</v>
      </c>
      <c r="J129" s="204">
        <f t="shared" si="33"/>
        <v>1288.1488627371457</v>
      </c>
      <c r="K129" s="205">
        <f t="shared" si="34"/>
        <v>75.773462513949752</v>
      </c>
      <c r="L129" s="572"/>
      <c r="M129" s="206">
        <f>RANK(K129, K$112:$K$141)</f>
        <v>9</v>
      </c>
      <c r="N129" s="590"/>
      <c r="O129" s="590"/>
      <c r="P129" s="187">
        <f>'[2]（５-5）品群別人時生產性(主食) '!P94</f>
        <v>17</v>
      </c>
      <c r="Q129" s="187">
        <f>'[2]（５-5）品群別人時生產性(主食) '!Q94</f>
        <v>1276.2500000000005</v>
      </c>
      <c r="R129" s="187">
        <f>'[2]（５-5）品群別人時生產性(主食) '!R94</f>
        <v>75.073529411764738</v>
      </c>
      <c r="S129" s="351">
        <f t="shared" si="35"/>
        <v>10</v>
      </c>
      <c r="T129" s="629"/>
      <c r="U129" s="187">
        <v>17</v>
      </c>
      <c r="V129" s="187">
        <v>1299.9999999999995</v>
      </c>
      <c r="W129" s="187">
        <v>76.470588235294088</v>
      </c>
      <c r="X129" s="351">
        <f t="shared" si="36"/>
        <v>9</v>
      </c>
      <c r="Y129" s="629"/>
      <c r="Z129" s="187">
        <v>17</v>
      </c>
      <c r="AA129" s="187">
        <v>1274.2105263157887</v>
      </c>
      <c r="AB129" s="187">
        <v>74.953560371516986</v>
      </c>
      <c r="AC129" s="351">
        <f t="shared" si="37"/>
        <v>10</v>
      </c>
      <c r="AD129" s="629"/>
      <c r="AE129" s="187">
        <v>17</v>
      </c>
      <c r="AF129" s="187">
        <v>1292.3076923076915</v>
      </c>
      <c r="AG129" s="187">
        <v>76.01809954751127</v>
      </c>
      <c r="AH129" s="351">
        <f t="shared" si="38"/>
        <v>7</v>
      </c>
      <c r="AI129" s="629"/>
      <c r="AJ129" s="187">
        <v>17</v>
      </c>
      <c r="AK129" s="187">
        <v>1279.5652173913043</v>
      </c>
      <c r="AL129" s="187">
        <v>75.268542199488479</v>
      </c>
      <c r="AM129" s="351">
        <f t="shared" si="39"/>
        <v>12</v>
      </c>
      <c r="AN129" s="629"/>
      <c r="AO129" s="187">
        <v>17</v>
      </c>
      <c r="AP129" s="187">
        <v>1291.304347826087</v>
      </c>
      <c r="AQ129" s="187">
        <v>75.959079283887476</v>
      </c>
      <c r="AR129" s="351">
        <f t="shared" si="40"/>
        <v>10</v>
      </c>
      <c r="AS129" s="629"/>
      <c r="AT129" s="187">
        <v>17</v>
      </c>
      <c r="AU129" s="187">
        <v>1303.4042553191491</v>
      </c>
      <c r="AV129" s="187">
        <v>76.670838548185245</v>
      </c>
      <c r="AW129" s="351">
        <f t="shared" si="41"/>
        <v>9</v>
      </c>
      <c r="AX129" s="629"/>
    </row>
    <row r="130" spans="2:50">
      <c r="B130" s="598"/>
      <c r="C130" s="319">
        <v>19</v>
      </c>
      <c r="D130" s="231" t="s">
        <v>390</v>
      </c>
      <c r="E130" s="187">
        <v>18</v>
      </c>
      <c r="F130" s="355">
        <v>1440</v>
      </c>
      <c r="G130" s="356">
        <v>80</v>
      </c>
      <c r="H130" s="633"/>
      <c r="I130" s="204">
        <f t="shared" si="32"/>
        <v>17.714285714285715</v>
      </c>
      <c r="J130" s="204">
        <f t="shared" si="33"/>
        <v>1295.1297279062703</v>
      </c>
      <c r="K130" s="205">
        <f t="shared" si="34"/>
        <v>73.157541940330972</v>
      </c>
      <c r="L130" s="572"/>
      <c r="M130" s="206">
        <f>RANK(K130, K$112:$K$141)</f>
        <v>14</v>
      </c>
      <c r="N130" s="590"/>
      <c r="O130" s="590"/>
      <c r="P130" s="187">
        <f>'[2]（５-5）品群別人時生產性(主食) '!P95</f>
        <v>17</v>
      </c>
      <c r="Q130" s="187">
        <f>'[2]（５-5）品群別人時生產性(主食) '!Q95</f>
        <v>1294.1860465116276</v>
      </c>
      <c r="R130" s="187">
        <f>'[2]（５-5）品群別人時生產性(主食) '!R95</f>
        <v>76.128590971272217</v>
      </c>
      <c r="S130" s="351">
        <f t="shared" si="35"/>
        <v>9</v>
      </c>
      <c r="T130" s="629"/>
      <c r="U130" s="187">
        <v>17</v>
      </c>
      <c r="V130" s="187">
        <v>1288.831168831168</v>
      </c>
      <c r="W130" s="187">
        <v>75.813598166539293</v>
      </c>
      <c r="X130" s="351">
        <f t="shared" si="36"/>
        <v>11</v>
      </c>
      <c r="Y130" s="629"/>
      <c r="Z130" s="187">
        <v>18</v>
      </c>
      <c r="AA130" s="187">
        <v>1289.9999999999989</v>
      </c>
      <c r="AB130" s="187">
        <v>71.6666666666666</v>
      </c>
      <c r="AC130" s="351">
        <f t="shared" si="37"/>
        <v>15</v>
      </c>
      <c r="AD130" s="629"/>
      <c r="AE130" s="187">
        <v>18</v>
      </c>
      <c r="AF130" s="187">
        <v>1293.8028169014071</v>
      </c>
      <c r="AG130" s="187">
        <v>71.877934272300394</v>
      </c>
      <c r="AH130" s="351">
        <f t="shared" si="38"/>
        <v>16</v>
      </c>
      <c r="AI130" s="629"/>
      <c r="AJ130" s="187">
        <v>18</v>
      </c>
      <c r="AK130" s="187">
        <v>1289.2307692307686</v>
      </c>
      <c r="AL130" s="187">
        <v>71.623931623931583</v>
      </c>
      <c r="AM130" s="351">
        <f t="shared" si="39"/>
        <v>16</v>
      </c>
      <c r="AN130" s="629"/>
      <c r="AO130" s="187">
        <v>18</v>
      </c>
      <c r="AP130" s="187">
        <v>1296.1363636363635</v>
      </c>
      <c r="AQ130" s="187">
        <v>72.007575757575751</v>
      </c>
      <c r="AR130" s="351">
        <f t="shared" si="40"/>
        <v>15</v>
      </c>
      <c r="AS130" s="629"/>
      <c r="AT130" s="187">
        <v>18</v>
      </c>
      <c r="AU130" s="187">
        <v>1313.7209302325577</v>
      </c>
      <c r="AV130" s="187">
        <v>72.984496124030983</v>
      </c>
      <c r="AW130" s="351">
        <f t="shared" si="41"/>
        <v>14</v>
      </c>
      <c r="AX130" s="629"/>
    </row>
    <row r="131" spans="2:50">
      <c r="B131" s="598"/>
      <c r="C131" s="319">
        <v>20</v>
      </c>
      <c r="D131" s="231" t="s">
        <v>665</v>
      </c>
      <c r="E131" s="187">
        <v>18</v>
      </c>
      <c r="F131" s="355">
        <v>1500</v>
      </c>
      <c r="G131" s="356">
        <v>83.333333333333329</v>
      </c>
      <c r="H131" s="633"/>
      <c r="I131" s="204">
        <f t="shared" si="32"/>
        <v>17.285714285714285</v>
      </c>
      <c r="J131" s="204">
        <f t="shared" si="33"/>
        <v>1217.4238733616608</v>
      </c>
      <c r="K131" s="205">
        <f t="shared" si="34"/>
        <v>70.425794071294177</v>
      </c>
      <c r="L131" s="572"/>
      <c r="M131" s="206">
        <f>RANK(K131, K$112:$K$141)</f>
        <v>17</v>
      </c>
      <c r="N131" s="590"/>
      <c r="O131" s="590"/>
      <c r="P131" s="187">
        <f>'[2]（５-5）品群別人時生產性(主食) '!P96</f>
        <v>18</v>
      </c>
      <c r="Q131" s="187">
        <f>'[2]（５-5）品群別人時生產性(主食) '!Q96</f>
        <v>1290.8571428571415</v>
      </c>
      <c r="R131" s="187">
        <f>'[2]（５-5）品群別人時生產性(主食) '!R96</f>
        <v>71.714285714285637</v>
      </c>
      <c r="S131" s="351">
        <f t="shared" si="35"/>
        <v>16</v>
      </c>
      <c r="T131" s="629"/>
      <c r="U131" s="187">
        <v>18</v>
      </c>
      <c r="V131" s="187">
        <v>1252.5000000000016</v>
      </c>
      <c r="W131" s="187">
        <v>69.583333333333428</v>
      </c>
      <c r="X131" s="351">
        <f t="shared" si="36"/>
        <v>18</v>
      </c>
      <c r="Y131" s="629"/>
      <c r="Z131" s="187">
        <v>17</v>
      </c>
      <c r="AA131" s="187">
        <v>1116.7741935483882</v>
      </c>
      <c r="AB131" s="187">
        <v>65.692599620493425</v>
      </c>
      <c r="AC131" s="351">
        <f t="shared" si="37"/>
        <v>20</v>
      </c>
      <c r="AD131" s="629"/>
      <c r="AE131" s="187">
        <v>17</v>
      </c>
      <c r="AF131" s="187">
        <v>1054.5454545454556</v>
      </c>
      <c r="AG131" s="187">
        <v>62.032085561497389</v>
      </c>
      <c r="AH131" s="351">
        <f t="shared" si="38"/>
        <v>20</v>
      </c>
      <c r="AI131" s="629"/>
      <c r="AJ131" s="187">
        <v>17</v>
      </c>
      <c r="AK131" s="187">
        <v>1265.9999999999977</v>
      </c>
      <c r="AL131" s="187">
        <v>74.470588235293988</v>
      </c>
      <c r="AM131" s="351">
        <f t="shared" si="39"/>
        <v>14</v>
      </c>
      <c r="AN131" s="629"/>
      <c r="AO131" s="187">
        <v>17</v>
      </c>
      <c r="AP131" s="187">
        <v>1302.5806451612882</v>
      </c>
      <c r="AQ131" s="187">
        <v>76.622390891840482</v>
      </c>
      <c r="AR131" s="351">
        <f t="shared" si="40"/>
        <v>7</v>
      </c>
      <c r="AS131" s="629"/>
      <c r="AT131" s="187">
        <v>17</v>
      </c>
      <c r="AU131" s="187">
        <v>1238.7096774193528</v>
      </c>
      <c r="AV131" s="187">
        <v>72.865275142314871</v>
      </c>
      <c r="AW131" s="351">
        <f t="shared" si="41"/>
        <v>15</v>
      </c>
      <c r="AX131" s="629"/>
    </row>
    <row r="132" spans="2:50">
      <c r="B132" s="598"/>
      <c r="C132" s="319">
        <v>21</v>
      </c>
      <c r="D132" s="231" t="s">
        <v>398</v>
      </c>
      <c r="E132" s="187">
        <v>18</v>
      </c>
      <c r="F132" s="355">
        <v>1500</v>
      </c>
      <c r="G132" s="356">
        <v>83.333333333333329</v>
      </c>
      <c r="H132" s="633"/>
      <c r="I132" s="204">
        <f t="shared" si="32"/>
        <v>18</v>
      </c>
      <c r="J132" s="204">
        <f t="shared" si="33"/>
        <v>1291.525775815315</v>
      </c>
      <c r="K132" s="205">
        <f t="shared" si="34"/>
        <v>71.751431989739743</v>
      </c>
      <c r="L132" s="572"/>
      <c r="M132" s="206">
        <f>RANK(K132, K$112:$K$141)</f>
        <v>15</v>
      </c>
      <c r="N132" s="590"/>
      <c r="O132" s="590"/>
      <c r="P132" s="187">
        <f>'[2]（５-5）品群別人時生產性(主食) '!P97</f>
        <v>18</v>
      </c>
      <c r="Q132" s="187">
        <f>'[2]（５-5）品群別人時生產性(主食) '!Q97</f>
        <v>1277.8571428571424</v>
      </c>
      <c r="R132" s="187">
        <f>'[2]（５-5）品群別人時生產性(主食) '!R97</f>
        <v>70.992063492063465</v>
      </c>
      <c r="S132" s="351">
        <f t="shared" si="35"/>
        <v>17</v>
      </c>
      <c r="T132" s="629"/>
      <c r="U132" s="187">
        <v>18</v>
      </c>
      <c r="V132" s="187">
        <v>1308.6486486486476</v>
      </c>
      <c r="W132" s="187">
        <v>72.702702702702652</v>
      </c>
      <c r="X132" s="351">
        <f t="shared" si="36"/>
        <v>15</v>
      </c>
      <c r="Y132" s="629"/>
      <c r="Z132" s="187">
        <v>18</v>
      </c>
      <c r="AA132" s="187">
        <v>1302.8571428571418</v>
      </c>
      <c r="AB132" s="187">
        <v>72.380952380952323</v>
      </c>
      <c r="AC132" s="351">
        <f t="shared" si="37"/>
        <v>14</v>
      </c>
      <c r="AD132" s="629"/>
      <c r="AE132" s="187">
        <v>18</v>
      </c>
      <c r="AF132" s="187">
        <v>1318.2352941176487</v>
      </c>
      <c r="AG132" s="187">
        <v>73.235294117647143</v>
      </c>
      <c r="AH132" s="351">
        <f t="shared" si="38"/>
        <v>14</v>
      </c>
      <c r="AI132" s="629"/>
      <c r="AJ132" s="187">
        <v>18</v>
      </c>
      <c r="AK132" s="187">
        <v>1285.8227848101258</v>
      </c>
      <c r="AL132" s="187">
        <v>71.434599156118097</v>
      </c>
      <c r="AM132" s="351">
        <f t="shared" si="39"/>
        <v>17</v>
      </c>
      <c r="AN132" s="629"/>
      <c r="AO132" s="187">
        <v>18</v>
      </c>
      <c r="AP132" s="187">
        <v>1270.6329113924044</v>
      </c>
      <c r="AQ132" s="187">
        <v>70.590717299578017</v>
      </c>
      <c r="AR132" s="351">
        <f t="shared" si="40"/>
        <v>19</v>
      </c>
      <c r="AS132" s="629"/>
      <c r="AT132" s="187">
        <v>18</v>
      </c>
      <c r="AU132" s="187">
        <v>1276.6265060240958</v>
      </c>
      <c r="AV132" s="187">
        <v>70.923694779116431</v>
      </c>
      <c r="AW132" s="351">
        <f t="shared" si="41"/>
        <v>17</v>
      </c>
      <c r="AX132" s="629"/>
    </row>
    <row r="133" spans="2:50">
      <c r="B133" s="598"/>
      <c r="C133" s="319">
        <v>22</v>
      </c>
      <c r="D133" s="231" t="s">
        <v>569</v>
      </c>
      <c r="E133" s="187">
        <v>18</v>
      </c>
      <c r="F133" s="355">
        <v>1636</v>
      </c>
      <c r="G133" s="356">
        <v>90.888888888888886</v>
      </c>
      <c r="H133" s="633"/>
      <c r="I133" s="204">
        <f t="shared" si="32"/>
        <v>16.428571428571427</v>
      </c>
      <c r="J133" s="204">
        <f t="shared" si="33"/>
        <v>1289.3283162636824</v>
      </c>
      <c r="K133" s="205">
        <f t="shared" si="34"/>
        <v>78.714768681554929</v>
      </c>
      <c r="L133" s="572"/>
      <c r="M133" s="206">
        <f>RANK(K133, K$112:$K$141)</f>
        <v>6</v>
      </c>
      <c r="N133" s="590"/>
      <c r="O133" s="590"/>
      <c r="P133" s="187">
        <f>'[2]（５-5）品群別人時生產性(主食) '!P98</f>
        <v>15</v>
      </c>
      <c r="Q133" s="187">
        <f>'[2]（５-5）品群別人時生產性(主食) '!Q98</f>
        <v>1284.4444444444453</v>
      </c>
      <c r="R133" s="187">
        <f>'[2]（５-5）品群別人時生產性(主食) '!R98</f>
        <v>85.62962962962969</v>
      </c>
      <c r="S133" s="351">
        <f t="shared" si="35"/>
        <v>4</v>
      </c>
      <c r="T133" s="629"/>
      <c r="U133" s="187">
        <v>15</v>
      </c>
      <c r="V133" s="187">
        <v>1278.7500000000005</v>
      </c>
      <c r="W133" s="187">
        <v>85.250000000000028</v>
      </c>
      <c r="X133" s="351">
        <f t="shared" si="36"/>
        <v>4</v>
      </c>
      <c r="Y133" s="629"/>
      <c r="Z133" s="187">
        <v>17</v>
      </c>
      <c r="AA133" s="187">
        <v>1295.1219512195119</v>
      </c>
      <c r="AB133" s="187">
        <v>76.183644189383045</v>
      </c>
      <c r="AC133" s="351">
        <f t="shared" si="37"/>
        <v>7</v>
      </c>
      <c r="AD133" s="629"/>
      <c r="AE133" s="187">
        <v>17</v>
      </c>
      <c r="AF133" s="187">
        <v>1287.2727272727273</v>
      </c>
      <c r="AG133" s="187">
        <v>75.721925133689837</v>
      </c>
      <c r="AH133" s="351">
        <f t="shared" si="38"/>
        <v>8</v>
      </c>
      <c r="AI133" s="629"/>
      <c r="AJ133" s="187">
        <v>17</v>
      </c>
      <c r="AK133" s="187">
        <v>1288.8000000000004</v>
      </c>
      <c r="AL133" s="187">
        <v>75.811764705882382</v>
      </c>
      <c r="AM133" s="351">
        <f t="shared" si="39"/>
        <v>9</v>
      </c>
      <c r="AN133" s="629"/>
      <c r="AO133" s="187">
        <v>17</v>
      </c>
      <c r="AP133" s="187">
        <v>1296.0000000000009</v>
      </c>
      <c r="AQ133" s="187">
        <v>76.235294117647115</v>
      </c>
      <c r="AR133" s="351">
        <f t="shared" si="40"/>
        <v>9</v>
      </c>
      <c r="AS133" s="629"/>
      <c r="AT133" s="187">
        <v>17</v>
      </c>
      <c r="AU133" s="187">
        <v>1294.9090909090917</v>
      </c>
      <c r="AV133" s="187">
        <v>76.17112299465245</v>
      </c>
      <c r="AW133" s="351">
        <f t="shared" si="41"/>
        <v>10</v>
      </c>
      <c r="AX133" s="629"/>
    </row>
    <row r="134" spans="2:50">
      <c r="B134" s="598"/>
      <c r="C134" s="319">
        <v>23</v>
      </c>
      <c r="D134" s="231" t="s">
        <v>707</v>
      </c>
      <c r="E134" s="187">
        <v>18</v>
      </c>
      <c r="F134" s="355">
        <v>1440</v>
      </c>
      <c r="G134" s="356">
        <v>80</v>
      </c>
      <c r="H134" s="633"/>
      <c r="I134" s="204">
        <f t="shared" si="32"/>
        <v>17.428571428571427</v>
      </c>
      <c r="J134" s="204">
        <f t="shared" si="33"/>
        <v>1190.8182762982781</v>
      </c>
      <c r="K134" s="205">
        <f t="shared" si="34"/>
        <v>68.371045261051066</v>
      </c>
      <c r="L134" s="572"/>
      <c r="M134" s="206">
        <f>RANK(K134, K$112:$K$141)</f>
        <v>20</v>
      </c>
      <c r="N134" s="590"/>
      <c r="O134" s="590"/>
      <c r="P134" s="187">
        <f>'[2]（５-5）品群別人時生產性(主食) '!P99</f>
        <v>17</v>
      </c>
      <c r="Q134" s="187">
        <f>'[2]（５-5）品群別人時生產性(主食) '!Q99</f>
        <v>1197.7358490566046</v>
      </c>
      <c r="R134" s="187">
        <f>'[2]（５-5）品群別人時生產性(主食) '!R99</f>
        <v>70.455049944506158</v>
      </c>
      <c r="S134" s="351">
        <f t="shared" si="35"/>
        <v>19</v>
      </c>
      <c r="T134" s="629"/>
      <c r="U134" s="187">
        <v>18</v>
      </c>
      <c r="V134" s="187">
        <v>1203.7894736842109</v>
      </c>
      <c r="W134" s="187">
        <v>66.877192982456165</v>
      </c>
      <c r="X134" s="351">
        <f t="shared" si="36"/>
        <v>20</v>
      </c>
      <c r="Y134" s="629"/>
      <c r="Z134" s="187">
        <v>17</v>
      </c>
      <c r="AA134" s="187">
        <v>1169.655172413793</v>
      </c>
      <c r="AB134" s="187">
        <v>68.80324543610547</v>
      </c>
      <c r="AC134" s="351">
        <f t="shared" si="37"/>
        <v>17</v>
      </c>
      <c r="AD134" s="629"/>
      <c r="AE134" s="187">
        <v>18</v>
      </c>
      <c r="AF134" s="187">
        <v>1201.4457831325296</v>
      </c>
      <c r="AG134" s="187">
        <v>66.746987951807199</v>
      </c>
      <c r="AH134" s="351">
        <f t="shared" si="38"/>
        <v>19</v>
      </c>
      <c r="AI134" s="629"/>
      <c r="AJ134" s="187">
        <v>18</v>
      </c>
      <c r="AK134" s="187">
        <v>1187.0886075949361</v>
      </c>
      <c r="AL134" s="187">
        <v>65.949367088607559</v>
      </c>
      <c r="AM134" s="351">
        <f t="shared" si="39"/>
        <v>20</v>
      </c>
      <c r="AN134" s="629"/>
      <c r="AO134" s="187">
        <v>17</v>
      </c>
      <c r="AP134" s="187">
        <v>1197.3033707865168</v>
      </c>
      <c r="AQ134" s="187">
        <v>70.429610046265694</v>
      </c>
      <c r="AR134" s="351">
        <f t="shared" si="40"/>
        <v>20</v>
      </c>
      <c r="AS134" s="629"/>
      <c r="AT134" s="187">
        <v>17</v>
      </c>
      <c r="AU134" s="187">
        <v>1178.7096774193551</v>
      </c>
      <c r="AV134" s="187">
        <v>69.33586337760913</v>
      </c>
      <c r="AW134" s="351">
        <f t="shared" si="41"/>
        <v>18</v>
      </c>
      <c r="AX134" s="629"/>
    </row>
    <row r="135" spans="2:50">
      <c r="B135" s="598"/>
      <c r="C135" s="319">
        <v>24</v>
      </c>
      <c r="D135" s="231"/>
      <c r="E135" s="187"/>
      <c r="F135" s="355"/>
      <c r="G135" s="356"/>
      <c r="H135" s="633"/>
      <c r="I135" s="204">
        <f t="shared" si="32"/>
        <v>0</v>
      </c>
      <c r="J135" s="204">
        <f t="shared" si="33"/>
        <v>0</v>
      </c>
      <c r="K135" s="205">
        <f t="shared" si="34"/>
        <v>0</v>
      </c>
      <c r="L135" s="572"/>
      <c r="M135" s="206">
        <f>RANK(K135, K$112:$K$141)</f>
        <v>24</v>
      </c>
      <c r="N135" s="590"/>
      <c r="O135" s="590"/>
      <c r="P135" s="378">
        <f>'[2]（５-5）品群別人時生產性(主食) '!P100</f>
        <v>0</v>
      </c>
      <c r="Q135" s="379">
        <f>'[2]（５-5）品群別人時生產性(主食) '!Q100</f>
        <v>0</v>
      </c>
      <c r="R135" s="379">
        <f>'[2]（５-5）品群別人時生產性(主食) '!R100</f>
        <v>0</v>
      </c>
      <c r="S135" s="351">
        <f t="shared" si="35"/>
        <v>24</v>
      </c>
      <c r="T135" s="629"/>
      <c r="U135" s="472">
        <v>0</v>
      </c>
      <c r="V135" s="473">
        <v>0</v>
      </c>
      <c r="W135" s="473">
        <v>0</v>
      </c>
      <c r="X135" s="351">
        <f t="shared" si="36"/>
        <v>24</v>
      </c>
      <c r="Y135" s="629"/>
      <c r="Z135" s="472">
        <v>0</v>
      </c>
      <c r="AA135" s="473">
        <v>0</v>
      </c>
      <c r="AB135" s="473">
        <v>0</v>
      </c>
      <c r="AC135" s="351">
        <f t="shared" si="37"/>
        <v>24</v>
      </c>
      <c r="AD135" s="629"/>
      <c r="AE135" s="472">
        <v>0</v>
      </c>
      <c r="AF135" s="473">
        <v>0</v>
      </c>
      <c r="AG135" s="473">
        <v>0</v>
      </c>
      <c r="AH135" s="351">
        <f t="shared" si="38"/>
        <v>23</v>
      </c>
      <c r="AI135" s="629"/>
      <c r="AJ135" s="472">
        <v>0</v>
      </c>
      <c r="AK135" s="473">
        <v>0</v>
      </c>
      <c r="AL135" s="473">
        <v>0</v>
      </c>
      <c r="AM135" s="351">
        <f t="shared" si="39"/>
        <v>23</v>
      </c>
      <c r="AN135" s="629"/>
      <c r="AO135" s="472">
        <v>0</v>
      </c>
      <c r="AP135" s="473">
        <v>0</v>
      </c>
      <c r="AQ135" s="473">
        <v>0</v>
      </c>
      <c r="AR135" s="351">
        <f t="shared" si="40"/>
        <v>23</v>
      </c>
      <c r="AS135" s="629"/>
      <c r="AT135" s="472" t="str">
        <f>'[2]（５-5）品群別人時生產性(主食) '!AT100</f>
        <v/>
      </c>
      <c r="AU135" s="473" t="str">
        <f>'[2]（５-5）品群別人時生產性(主食) '!AU100</f>
        <v/>
      </c>
      <c r="AV135" s="473" t="str">
        <f>'[2]（５-5）品群別人時生產性(主食) '!AV100</f>
        <v/>
      </c>
      <c r="AW135" s="351" t="e">
        <f t="shared" si="41"/>
        <v>#VALUE!</v>
      </c>
      <c r="AX135" s="629"/>
    </row>
    <row r="136" spans="2:50">
      <c r="B136" s="598"/>
      <c r="C136" s="319">
        <v>25</v>
      </c>
      <c r="D136" s="231"/>
      <c r="E136" s="187"/>
      <c r="F136" s="355"/>
      <c r="G136" s="356"/>
      <c r="H136" s="633"/>
      <c r="I136" s="204"/>
      <c r="J136" s="204"/>
      <c r="K136" s="205"/>
      <c r="L136" s="572"/>
      <c r="M136" s="206">
        <f>RANK(K136, K$112:$K$141)</f>
        <v>24</v>
      </c>
      <c r="N136" s="590"/>
      <c r="O136" s="590"/>
      <c r="P136" s="378"/>
      <c r="Q136" s="379"/>
      <c r="R136" s="379"/>
      <c r="S136" s="351">
        <f t="shared" si="35"/>
        <v>24</v>
      </c>
      <c r="T136" s="629"/>
      <c r="U136" s="378"/>
      <c r="V136" s="379"/>
      <c r="W136" s="379"/>
      <c r="X136" s="351">
        <f t="shared" si="36"/>
        <v>24</v>
      </c>
      <c r="Y136" s="629"/>
      <c r="Z136" s="378"/>
      <c r="AA136" s="379"/>
      <c r="AB136" s="379"/>
      <c r="AC136" s="351">
        <f t="shared" si="37"/>
        <v>24</v>
      </c>
      <c r="AD136" s="629"/>
      <c r="AE136" s="378"/>
      <c r="AF136" s="379"/>
      <c r="AG136" s="379"/>
      <c r="AH136" s="351">
        <f t="shared" si="38"/>
        <v>23</v>
      </c>
      <c r="AI136" s="629"/>
      <c r="AJ136" s="378"/>
      <c r="AK136" s="379"/>
      <c r="AL136" s="379"/>
      <c r="AM136" s="351">
        <f t="shared" si="39"/>
        <v>23</v>
      </c>
      <c r="AN136" s="629"/>
      <c r="AO136" s="378"/>
      <c r="AP136" s="379"/>
      <c r="AQ136" s="379"/>
      <c r="AR136" s="351">
        <f t="shared" si="40"/>
        <v>23</v>
      </c>
      <c r="AS136" s="629"/>
      <c r="AT136" s="378"/>
      <c r="AU136" s="379"/>
      <c r="AV136" s="379"/>
      <c r="AW136" s="351" t="e">
        <f t="shared" si="41"/>
        <v>#N/A</v>
      </c>
      <c r="AX136" s="629"/>
    </row>
    <row r="137" spans="2:50">
      <c r="B137" s="598"/>
      <c r="C137" s="319">
        <v>26</v>
      </c>
      <c r="D137" s="231"/>
      <c r="E137" s="187"/>
      <c r="F137" s="319"/>
      <c r="G137" s="322"/>
      <c r="H137" s="633"/>
      <c r="I137" s="204"/>
      <c r="J137" s="204"/>
      <c r="K137" s="205"/>
      <c r="L137" s="572"/>
      <c r="M137" s="206">
        <f>RANK(K137, K$112:$K$141)</f>
        <v>24</v>
      </c>
      <c r="N137" s="590"/>
      <c r="O137" s="590"/>
      <c r="P137" s="378"/>
      <c r="Q137" s="379"/>
      <c r="R137" s="379"/>
      <c r="S137" s="351">
        <f t="shared" si="35"/>
        <v>24</v>
      </c>
      <c r="T137" s="629"/>
      <c r="U137" s="378"/>
      <c r="V137" s="379"/>
      <c r="W137" s="379"/>
      <c r="X137" s="351">
        <f t="shared" si="36"/>
        <v>24</v>
      </c>
      <c r="Y137" s="629"/>
      <c r="Z137" s="378"/>
      <c r="AA137" s="379"/>
      <c r="AB137" s="379"/>
      <c r="AC137" s="351">
        <f t="shared" si="37"/>
        <v>24</v>
      </c>
      <c r="AD137" s="629"/>
      <c r="AE137" s="378"/>
      <c r="AF137" s="379"/>
      <c r="AG137" s="379"/>
      <c r="AH137" s="351">
        <f t="shared" si="38"/>
        <v>23</v>
      </c>
      <c r="AI137" s="629"/>
      <c r="AJ137" s="378"/>
      <c r="AK137" s="379"/>
      <c r="AL137" s="379"/>
      <c r="AM137" s="351">
        <f t="shared" si="39"/>
        <v>23</v>
      </c>
      <c r="AN137" s="629"/>
      <c r="AO137" s="378"/>
      <c r="AP137" s="379"/>
      <c r="AQ137" s="379"/>
      <c r="AR137" s="351">
        <f t="shared" si="40"/>
        <v>23</v>
      </c>
      <c r="AS137" s="629"/>
      <c r="AT137" s="378"/>
      <c r="AU137" s="379"/>
      <c r="AV137" s="379"/>
      <c r="AW137" s="351" t="e">
        <f t="shared" si="41"/>
        <v>#N/A</v>
      </c>
      <c r="AX137" s="629"/>
    </row>
    <row r="138" spans="2:50">
      <c r="B138" s="598"/>
      <c r="C138" s="319">
        <v>27</v>
      </c>
      <c r="D138" s="231"/>
      <c r="E138" s="187"/>
      <c r="F138" s="319"/>
      <c r="G138" s="322"/>
      <c r="H138" s="633"/>
      <c r="I138" s="204"/>
      <c r="J138" s="204"/>
      <c r="K138" s="205"/>
      <c r="L138" s="572"/>
      <c r="M138" s="206">
        <f>RANK(K138, K$112:$K$141)</f>
        <v>24</v>
      </c>
      <c r="N138" s="590"/>
      <c r="O138" s="590"/>
      <c r="P138" s="378"/>
      <c r="Q138" s="379"/>
      <c r="R138" s="379"/>
      <c r="S138" s="351">
        <f t="shared" si="35"/>
        <v>24</v>
      </c>
      <c r="T138" s="629"/>
      <c r="U138" s="378"/>
      <c r="V138" s="379"/>
      <c r="W138" s="379"/>
      <c r="X138" s="351">
        <f t="shared" si="36"/>
        <v>24</v>
      </c>
      <c r="Y138" s="629"/>
      <c r="Z138" s="378"/>
      <c r="AA138" s="379"/>
      <c r="AB138" s="379"/>
      <c r="AC138" s="351">
        <f t="shared" si="37"/>
        <v>24</v>
      </c>
      <c r="AD138" s="629"/>
      <c r="AE138" s="378"/>
      <c r="AF138" s="379"/>
      <c r="AG138" s="379"/>
      <c r="AH138" s="351">
        <f t="shared" si="38"/>
        <v>23</v>
      </c>
      <c r="AI138" s="629"/>
      <c r="AJ138" s="378"/>
      <c r="AK138" s="379"/>
      <c r="AL138" s="379"/>
      <c r="AM138" s="351">
        <f t="shared" si="39"/>
        <v>23</v>
      </c>
      <c r="AN138" s="629"/>
      <c r="AO138" s="378"/>
      <c r="AP138" s="379"/>
      <c r="AQ138" s="379"/>
      <c r="AR138" s="351">
        <f t="shared" si="40"/>
        <v>23</v>
      </c>
      <c r="AS138" s="629"/>
      <c r="AT138" s="378"/>
      <c r="AU138" s="379"/>
      <c r="AV138" s="379"/>
      <c r="AW138" s="351" t="e">
        <f t="shared" si="41"/>
        <v>#N/A</v>
      </c>
      <c r="AX138" s="629"/>
    </row>
    <row r="139" spans="2:50">
      <c r="B139" s="598"/>
      <c r="C139" s="319">
        <v>28</v>
      </c>
      <c r="D139" s="231"/>
      <c r="E139" s="187"/>
      <c r="F139" s="319"/>
      <c r="G139" s="322"/>
      <c r="H139" s="633"/>
      <c r="I139" s="204"/>
      <c r="J139" s="204"/>
      <c r="K139" s="205"/>
      <c r="L139" s="572"/>
      <c r="M139" s="206">
        <f>RANK(K139, K$112:$K$141)</f>
        <v>24</v>
      </c>
      <c r="N139" s="590"/>
      <c r="O139" s="590"/>
      <c r="P139" s="319"/>
      <c r="Q139" s="322"/>
      <c r="R139" s="322"/>
      <c r="S139" s="351">
        <f t="shared" si="35"/>
        <v>24</v>
      </c>
      <c r="T139" s="629"/>
      <c r="U139" s="351"/>
      <c r="V139" s="352"/>
      <c r="W139" s="352"/>
      <c r="X139" s="351">
        <f t="shared" si="36"/>
        <v>24</v>
      </c>
      <c r="Y139" s="629"/>
      <c r="Z139" s="351"/>
      <c r="AA139" s="352"/>
      <c r="AB139" s="352"/>
      <c r="AC139" s="351">
        <f t="shared" si="37"/>
        <v>24</v>
      </c>
      <c r="AD139" s="629"/>
      <c r="AE139" s="351"/>
      <c r="AF139" s="352"/>
      <c r="AG139" s="352"/>
      <c r="AH139" s="351">
        <f t="shared" si="38"/>
        <v>23</v>
      </c>
      <c r="AI139" s="629"/>
      <c r="AJ139" s="351"/>
      <c r="AK139" s="352"/>
      <c r="AL139" s="352"/>
      <c r="AM139" s="351">
        <f t="shared" si="39"/>
        <v>23</v>
      </c>
      <c r="AN139" s="629"/>
      <c r="AO139" s="351"/>
      <c r="AP139" s="352"/>
      <c r="AQ139" s="352"/>
      <c r="AR139" s="351">
        <f t="shared" si="40"/>
        <v>23</v>
      </c>
      <c r="AS139" s="629"/>
      <c r="AT139" s="351"/>
      <c r="AU139" s="352"/>
      <c r="AV139" s="352"/>
      <c r="AW139" s="351" t="e">
        <f t="shared" si="41"/>
        <v>#N/A</v>
      </c>
      <c r="AX139" s="629"/>
    </row>
    <row r="140" spans="2:50">
      <c r="B140" s="598"/>
      <c r="C140" s="319">
        <v>29</v>
      </c>
      <c r="D140" s="231"/>
      <c r="E140" s="187"/>
      <c r="F140" s="319"/>
      <c r="G140" s="322"/>
      <c r="H140" s="633"/>
      <c r="I140" s="207"/>
      <c r="J140" s="207"/>
      <c r="K140" s="207"/>
      <c r="L140" s="572"/>
      <c r="M140" s="206">
        <f>RANK(K140, K$112:$K$141)</f>
        <v>24</v>
      </c>
      <c r="N140" s="590"/>
      <c r="O140" s="590"/>
      <c r="P140" s="319"/>
      <c r="Q140" s="319"/>
      <c r="R140" s="319"/>
      <c r="S140" s="351">
        <f t="shared" si="35"/>
        <v>24</v>
      </c>
      <c r="T140" s="629"/>
      <c r="U140" s="351"/>
      <c r="V140" s="351"/>
      <c r="W140" s="351"/>
      <c r="X140" s="351">
        <f t="shared" si="36"/>
        <v>24</v>
      </c>
      <c r="Y140" s="629"/>
      <c r="Z140" s="351"/>
      <c r="AA140" s="351"/>
      <c r="AB140" s="351"/>
      <c r="AC140" s="351">
        <f t="shared" si="37"/>
        <v>24</v>
      </c>
      <c r="AD140" s="629"/>
      <c r="AE140" s="351"/>
      <c r="AF140" s="351"/>
      <c r="AG140" s="351"/>
      <c r="AH140" s="351">
        <f t="shared" si="38"/>
        <v>23</v>
      </c>
      <c r="AI140" s="629"/>
      <c r="AJ140" s="351"/>
      <c r="AK140" s="351"/>
      <c r="AL140" s="351"/>
      <c r="AM140" s="351">
        <f t="shared" si="39"/>
        <v>23</v>
      </c>
      <c r="AN140" s="629"/>
      <c r="AO140" s="351"/>
      <c r="AP140" s="351"/>
      <c r="AQ140" s="351"/>
      <c r="AR140" s="351">
        <f t="shared" si="40"/>
        <v>23</v>
      </c>
      <c r="AS140" s="629"/>
      <c r="AT140" s="351"/>
      <c r="AU140" s="351"/>
      <c r="AV140" s="351"/>
      <c r="AW140" s="351" t="e">
        <f t="shared" si="41"/>
        <v>#N/A</v>
      </c>
      <c r="AX140" s="629"/>
    </row>
    <row r="141" spans="2:50">
      <c r="B141" s="598"/>
      <c r="C141" s="319">
        <v>30</v>
      </c>
      <c r="D141" s="231"/>
      <c r="E141" s="187"/>
      <c r="F141" s="319"/>
      <c r="G141" s="322"/>
      <c r="H141" s="634"/>
      <c r="I141" s="207"/>
      <c r="J141" s="207"/>
      <c r="K141" s="207"/>
      <c r="L141" s="573"/>
      <c r="M141" s="206">
        <f>RANK(K141, K$112:$K$141)</f>
        <v>24</v>
      </c>
      <c r="N141" s="590"/>
      <c r="O141" s="590"/>
      <c r="P141" s="319"/>
      <c r="Q141" s="319"/>
      <c r="R141" s="319"/>
      <c r="S141" s="351">
        <f t="shared" si="35"/>
        <v>24</v>
      </c>
      <c r="T141" s="629"/>
      <c r="U141" s="351"/>
      <c r="V141" s="351"/>
      <c r="W141" s="351"/>
      <c r="X141" s="351">
        <f t="shared" si="36"/>
        <v>24</v>
      </c>
      <c r="Y141" s="629"/>
      <c r="Z141" s="351"/>
      <c r="AA141" s="351"/>
      <c r="AB141" s="351"/>
      <c r="AC141" s="351">
        <f t="shared" si="37"/>
        <v>24</v>
      </c>
      <c r="AD141" s="629"/>
      <c r="AE141" s="351"/>
      <c r="AF141" s="351"/>
      <c r="AG141" s="351"/>
      <c r="AH141" s="351">
        <f t="shared" si="38"/>
        <v>23</v>
      </c>
      <c r="AI141" s="629"/>
      <c r="AJ141" s="351"/>
      <c r="AK141" s="351"/>
      <c r="AL141" s="351"/>
      <c r="AM141" s="351">
        <f t="shared" si="39"/>
        <v>23</v>
      </c>
      <c r="AN141" s="629"/>
      <c r="AO141" s="351"/>
      <c r="AP141" s="351"/>
      <c r="AQ141" s="351"/>
      <c r="AR141" s="351">
        <f t="shared" si="40"/>
        <v>23</v>
      </c>
      <c r="AS141" s="629"/>
      <c r="AT141" s="351"/>
      <c r="AU141" s="351"/>
      <c r="AV141" s="351"/>
      <c r="AW141" s="351" t="e">
        <f t="shared" si="41"/>
        <v>#N/A</v>
      </c>
      <c r="AX141" s="629"/>
    </row>
    <row r="142" spans="2:50" ht="15.75">
      <c r="B142" s="602" t="s">
        <v>163</v>
      </c>
      <c r="C142" s="603"/>
      <c r="D142" s="603"/>
      <c r="E142" s="603"/>
      <c r="F142" s="603"/>
      <c r="G142" s="603"/>
      <c r="H142" s="604"/>
      <c r="I142" s="213"/>
      <c r="J142" s="213"/>
      <c r="K142" s="213"/>
      <c r="L142" s="213"/>
      <c r="M142" s="212"/>
      <c r="N142" s="591" t="s">
        <v>156</v>
      </c>
      <c r="O142" s="591" t="s">
        <v>105</v>
      </c>
      <c r="P142" s="597">
        <f>P107+7</f>
        <v>45958</v>
      </c>
      <c r="Q142" s="598"/>
      <c r="R142" s="598"/>
      <c r="S142" s="598"/>
      <c r="T142" s="598"/>
      <c r="U142" s="594">
        <f>P142+1</f>
        <v>45959</v>
      </c>
      <c r="V142" s="595"/>
      <c r="W142" s="595"/>
      <c r="X142" s="595"/>
      <c r="Y142" s="596"/>
      <c r="Z142" s="594">
        <f>U142+1</f>
        <v>45960</v>
      </c>
      <c r="AA142" s="595"/>
      <c r="AB142" s="595"/>
      <c r="AC142" s="595"/>
      <c r="AD142" s="596"/>
      <c r="AE142" s="594">
        <f>Z142+1</f>
        <v>45961</v>
      </c>
      <c r="AF142" s="595"/>
      <c r="AG142" s="595"/>
      <c r="AH142" s="595"/>
      <c r="AI142" s="596"/>
      <c r="AJ142" s="594">
        <f>AE142+1</f>
        <v>45962</v>
      </c>
      <c r="AK142" s="595"/>
      <c r="AL142" s="595"/>
      <c r="AM142" s="595"/>
      <c r="AN142" s="596"/>
      <c r="AO142" s="594">
        <f>AJ142+1</f>
        <v>45963</v>
      </c>
      <c r="AP142" s="595"/>
      <c r="AQ142" s="595"/>
      <c r="AR142" s="595"/>
      <c r="AS142" s="596"/>
      <c r="AT142" s="594">
        <f>AO142+1</f>
        <v>45964</v>
      </c>
      <c r="AU142" s="595"/>
      <c r="AV142" s="595"/>
      <c r="AW142" s="595"/>
      <c r="AX142" s="596"/>
    </row>
    <row r="143" spans="2:50" ht="15.75">
      <c r="B143" s="605"/>
      <c r="C143" s="605"/>
      <c r="D143" s="605"/>
      <c r="E143" s="605"/>
      <c r="F143" s="605"/>
      <c r="G143" s="605"/>
      <c r="H143" s="605"/>
      <c r="I143" s="210"/>
      <c r="J143" s="210"/>
      <c r="K143" s="210"/>
      <c r="L143" s="210"/>
      <c r="M143" s="211"/>
      <c r="N143" s="593"/>
      <c r="O143" s="593"/>
      <c r="P143" s="597" t="s">
        <v>336</v>
      </c>
      <c r="Q143" s="598"/>
      <c r="R143" s="598"/>
      <c r="S143" s="598"/>
      <c r="T143" s="598"/>
      <c r="U143" s="597" t="s">
        <v>337</v>
      </c>
      <c r="V143" s="598"/>
      <c r="W143" s="598"/>
      <c r="X143" s="598"/>
      <c r="Y143" s="598"/>
      <c r="Z143" s="597" t="s">
        <v>338</v>
      </c>
      <c r="AA143" s="598"/>
      <c r="AB143" s="598"/>
      <c r="AC143" s="598"/>
      <c r="AD143" s="598"/>
      <c r="AE143" s="597" t="s">
        <v>339</v>
      </c>
      <c r="AF143" s="598"/>
      <c r="AG143" s="598"/>
      <c r="AH143" s="598"/>
      <c r="AI143" s="598"/>
      <c r="AJ143" s="597" t="s">
        <v>340</v>
      </c>
      <c r="AK143" s="598"/>
      <c r="AL143" s="598"/>
      <c r="AM143" s="598"/>
      <c r="AN143" s="598"/>
      <c r="AO143" s="597" t="s">
        <v>341</v>
      </c>
      <c r="AP143" s="598"/>
      <c r="AQ143" s="598"/>
      <c r="AR143" s="598"/>
      <c r="AS143" s="598"/>
      <c r="AT143" s="597" t="s">
        <v>342</v>
      </c>
      <c r="AU143" s="598"/>
      <c r="AV143" s="598"/>
      <c r="AW143" s="598"/>
      <c r="AX143" s="598"/>
    </row>
    <row r="144" spans="2:50">
      <c r="B144" s="590" t="s">
        <v>494</v>
      </c>
      <c r="C144" s="590" t="s">
        <v>495</v>
      </c>
      <c r="D144" s="590"/>
      <c r="E144" s="590" t="s">
        <v>496</v>
      </c>
      <c r="F144" s="590"/>
      <c r="G144" s="590"/>
      <c r="H144" s="606" t="s">
        <v>497</v>
      </c>
      <c r="I144" s="574" t="s">
        <v>498</v>
      </c>
      <c r="J144" s="574"/>
      <c r="K144" s="574"/>
      <c r="L144" s="575" t="s">
        <v>497</v>
      </c>
      <c r="M144" s="581" t="s">
        <v>499</v>
      </c>
      <c r="N144" s="590"/>
      <c r="O144" s="590" t="s">
        <v>500</v>
      </c>
      <c r="P144" s="587" t="s">
        <v>501</v>
      </c>
      <c r="Q144" s="588"/>
      <c r="R144" s="588"/>
      <c r="S144" s="589"/>
      <c r="T144" s="590" t="s">
        <v>497</v>
      </c>
      <c r="U144" s="587" t="s">
        <v>501</v>
      </c>
      <c r="V144" s="588"/>
      <c r="W144" s="588"/>
      <c r="X144" s="589"/>
      <c r="Y144" s="590" t="s">
        <v>497</v>
      </c>
      <c r="Z144" s="587" t="s">
        <v>501</v>
      </c>
      <c r="AA144" s="588"/>
      <c r="AB144" s="588"/>
      <c r="AC144" s="589"/>
      <c r="AD144" s="590" t="s">
        <v>497</v>
      </c>
      <c r="AE144" s="587" t="s">
        <v>501</v>
      </c>
      <c r="AF144" s="588"/>
      <c r="AG144" s="588"/>
      <c r="AH144" s="589"/>
      <c r="AI144" s="590" t="s">
        <v>497</v>
      </c>
      <c r="AJ144" s="587" t="s">
        <v>501</v>
      </c>
      <c r="AK144" s="588"/>
      <c r="AL144" s="588"/>
      <c r="AM144" s="589"/>
      <c r="AN144" s="590" t="s">
        <v>497</v>
      </c>
      <c r="AO144" s="587" t="s">
        <v>501</v>
      </c>
      <c r="AP144" s="588"/>
      <c r="AQ144" s="588"/>
      <c r="AR144" s="589"/>
      <c r="AS144" s="590" t="s">
        <v>497</v>
      </c>
      <c r="AT144" s="587" t="s">
        <v>501</v>
      </c>
      <c r="AU144" s="588"/>
      <c r="AV144" s="588"/>
      <c r="AW144" s="589"/>
      <c r="AX144" s="590" t="s">
        <v>497</v>
      </c>
    </row>
    <row r="145" spans="2:50">
      <c r="B145" s="590"/>
      <c r="C145" s="590"/>
      <c r="D145" s="590"/>
      <c r="E145" s="590" t="s">
        <v>502</v>
      </c>
      <c r="F145" s="590"/>
      <c r="G145" s="590"/>
      <c r="H145" s="607"/>
      <c r="I145" s="574" t="s">
        <v>502</v>
      </c>
      <c r="J145" s="574"/>
      <c r="K145" s="574"/>
      <c r="L145" s="576"/>
      <c r="M145" s="582"/>
      <c r="N145" s="590"/>
      <c r="O145" s="590"/>
      <c r="P145" s="587" t="s">
        <v>503</v>
      </c>
      <c r="Q145" s="588"/>
      <c r="R145" s="588"/>
      <c r="S145" s="589"/>
      <c r="T145" s="590"/>
      <c r="U145" s="587" t="s">
        <v>503</v>
      </c>
      <c r="V145" s="588"/>
      <c r="W145" s="588"/>
      <c r="X145" s="589"/>
      <c r="Y145" s="590"/>
      <c r="Z145" s="587" t="s">
        <v>503</v>
      </c>
      <c r="AA145" s="588"/>
      <c r="AB145" s="588"/>
      <c r="AC145" s="589"/>
      <c r="AD145" s="590"/>
      <c r="AE145" s="587" t="s">
        <v>503</v>
      </c>
      <c r="AF145" s="588"/>
      <c r="AG145" s="588"/>
      <c r="AH145" s="589"/>
      <c r="AI145" s="590"/>
      <c r="AJ145" s="587" t="s">
        <v>503</v>
      </c>
      <c r="AK145" s="588"/>
      <c r="AL145" s="588"/>
      <c r="AM145" s="589"/>
      <c r="AN145" s="590"/>
      <c r="AO145" s="587" t="s">
        <v>503</v>
      </c>
      <c r="AP145" s="588"/>
      <c r="AQ145" s="588"/>
      <c r="AR145" s="589"/>
      <c r="AS145" s="590"/>
      <c r="AT145" s="587" t="s">
        <v>503</v>
      </c>
      <c r="AU145" s="588"/>
      <c r="AV145" s="588"/>
      <c r="AW145" s="589"/>
      <c r="AX145" s="590"/>
    </row>
    <row r="146" spans="2:50">
      <c r="B146" s="590"/>
      <c r="C146" s="590"/>
      <c r="D146" s="590"/>
      <c r="E146" s="311" t="s">
        <v>504</v>
      </c>
      <c r="F146" s="311" t="s">
        <v>505</v>
      </c>
      <c r="G146" s="311" t="s">
        <v>506</v>
      </c>
      <c r="H146" s="608"/>
      <c r="I146" s="313" t="s">
        <v>504</v>
      </c>
      <c r="J146" s="313" t="s">
        <v>505</v>
      </c>
      <c r="K146" s="313" t="s">
        <v>506</v>
      </c>
      <c r="L146" s="577"/>
      <c r="M146" s="583"/>
      <c r="N146" s="590"/>
      <c r="O146" s="590"/>
      <c r="P146" s="311" t="s">
        <v>504</v>
      </c>
      <c r="Q146" s="311" t="s">
        <v>505</v>
      </c>
      <c r="R146" s="311" t="s">
        <v>506</v>
      </c>
      <c r="S146" s="311" t="s">
        <v>499</v>
      </c>
      <c r="T146" s="590"/>
      <c r="U146" s="311" t="s">
        <v>504</v>
      </c>
      <c r="V146" s="311" t="s">
        <v>505</v>
      </c>
      <c r="W146" s="311" t="s">
        <v>506</v>
      </c>
      <c r="X146" s="311" t="s">
        <v>499</v>
      </c>
      <c r="Y146" s="590"/>
      <c r="Z146" s="311" t="s">
        <v>504</v>
      </c>
      <c r="AA146" s="311" t="s">
        <v>505</v>
      </c>
      <c r="AB146" s="311" t="s">
        <v>506</v>
      </c>
      <c r="AC146" s="311" t="s">
        <v>499</v>
      </c>
      <c r="AD146" s="590"/>
      <c r="AE146" s="311" t="s">
        <v>504</v>
      </c>
      <c r="AF146" s="311" t="s">
        <v>505</v>
      </c>
      <c r="AG146" s="311" t="s">
        <v>506</v>
      </c>
      <c r="AH146" s="311" t="s">
        <v>499</v>
      </c>
      <c r="AI146" s="590"/>
      <c r="AJ146" s="311" t="s">
        <v>504</v>
      </c>
      <c r="AK146" s="311" t="s">
        <v>505</v>
      </c>
      <c r="AL146" s="311" t="s">
        <v>506</v>
      </c>
      <c r="AM146" s="311" t="s">
        <v>499</v>
      </c>
      <c r="AN146" s="590"/>
      <c r="AO146" s="311" t="s">
        <v>504</v>
      </c>
      <c r="AP146" s="311" t="s">
        <v>505</v>
      </c>
      <c r="AQ146" s="311" t="s">
        <v>506</v>
      </c>
      <c r="AR146" s="311" t="s">
        <v>499</v>
      </c>
      <c r="AS146" s="590"/>
      <c r="AT146" s="311" t="s">
        <v>504</v>
      </c>
      <c r="AU146" s="311" t="s">
        <v>505</v>
      </c>
      <c r="AV146" s="311" t="s">
        <v>506</v>
      </c>
      <c r="AW146" s="311" t="s">
        <v>499</v>
      </c>
      <c r="AX146" s="590"/>
    </row>
    <row r="147" spans="2:50">
      <c r="B147" s="590" t="s">
        <v>507</v>
      </c>
      <c r="C147" s="310">
        <v>1</v>
      </c>
      <c r="D147" s="231" t="s">
        <v>386</v>
      </c>
      <c r="E147" s="187">
        <v>6</v>
      </c>
      <c r="F147" s="355">
        <v>1600</v>
      </c>
      <c r="G147" s="356">
        <v>266.66666666666669</v>
      </c>
      <c r="H147" s="632">
        <f>AVERAGE(G147:G176)</f>
        <v>99.750515135878899</v>
      </c>
      <c r="I147" s="204">
        <f>AVERAGE(P147,U147,Z147,AE147,AJ147,AO147,AT147)</f>
        <v>6</v>
      </c>
      <c r="J147" s="204">
        <f>AVERAGE(Q147,V147,AA147,AF147,AK147,AP147,AU147)</f>
        <v>1482.0000501488171</v>
      </c>
      <c r="K147" s="205">
        <f>AVERAGE(R147,W147,AB147,AG147,AL147,AQ147,AV147)</f>
        <v>247.00000835813617</v>
      </c>
      <c r="L147" s="571">
        <f>IFERROR(AVERAGE(K147:K176),"-")</f>
        <v>86.918291404195031</v>
      </c>
      <c r="M147" s="206">
        <f>RANK(K147, K$147:$K$176)</f>
        <v>1</v>
      </c>
      <c r="N147" s="590"/>
      <c r="O147" s="590"/>
      <c r="P147" s="187">
        <v>6</v>
      </c>
      <c r="Q147" s="187">
        <v>1471.3297297297293</v>
      </c>
      <c r="R147" s="187">
        <v>245.22162162162155</v>
      </c>
      <c r="S147" s="310">
        <f>RANK(R147, R$147:R$176)</f>
        <v>2</v>
      </c>
      <c r="T147" s="629">
        <f>AVERAGE(R147:R176)</f>
        <v>87.631205085118566</v>
      </c>
      <c r="U147" s="187">
        <v>6</v>
      </c>
      <c r="V147" s="187">
        <v>1454.6187845303862</v>
      </c>
      <c r="W147" s="187">
        <v>242.43646408839768</v>
      </c>
      <c r="X147" s="310">
        <f>RANK(W147, W$147:W$176)</f>
        <v>2</v>
      </c>
      <c r="Y147" s="629">
        <f>AVERAGE(W147:W176)</f>
        <v>86.705889785364718</v>
      </c>
      <c r="Z147" s="187">
        <v>6</v>
      </c>
      <c r="AA147" s="187">
        <v>1510.7368421052631</v>
      </c>
      <c r="AB147" s="187">
        <v>251.78947368421052</v>
      </c>
      <c r="AC147" s="310">
        <f>RANK(AB147, AB$147:AB$176)</f>
        <v>1</v>
      </c>
      <c r="AD147" s="629">
        <f>AVERAGE(AB147:AB176)</f>
        <v>88.253562627597191</v>
      </c>
      <c r="AE147" s="187">
        <v>6</v>
      </c>
      <c r="AF147" s="187">
        <v>1470.2222222222222</v>
      </c>
      <c r="AG147" s="187">
        <v>245.03703703703704</v>
      </c>
      <c r="AH147" s="310">
        <f>RANK(AG147, AG$147:AG$176)</f>
        <v>1</v>
      </c>
      <c r="AI147" s="629">
        <f>AVERAGE(AG147:AG176)</f>
        <v>86.688090586845291</v>
      </c>
      <c r="AJ147" s="187">
        <v>6</v>
      </c>
      <c r="AK147" s="187">
        <v>1515.6</v>
      </c>
      <c r="AL147" s="187">
        <v>252.6</v>
      </c>
      <c r="AM147" s="310">
        <f>RANK(AL147, AL$147:AL$176)</f>
        <v>1</v>
      </c>
      <c r="AN147" s="629">
        <f>AVERAGE(AL147:AL176)</f>
        <v>88.433541984611168</v>
      </c>
      <c r="AO147" s="187">
        <v>6</v>
      </c>
      <c r="AP147" s="187">
        <v>1454.7446808510635</v>
      </c>
      <c r="AQ147" s="187">
        <v>242.45744680851058</v>
      </c>
      <c r="AR147" s="310">
        <f>RANK(AQ147, AQ$147:AQ$176)</f>
        <v>2</v>
      </c>
      <c r="AS147" s="629">
        <f>AVERAGE(AQ147:AQ176)</f>
        <v>87.641732302498539</v>
      </c>
      <c r="AT147" s="187">
        <v>6</v>
      </c>
      <c r="AU147" s="187">
        <v>1496.7480916030538</v>
      </c>
      <c r="AV147" s="187">
        <v>249.45801526717563</v>
      </c>
      <c r="AW147" s="310">
        <f>RANK(AV147, AV$147:AV$176)</f>
        <v>1</v>
      </c>
      <c r="AX147" s="629">
        <f>AVERAGE(AV147:AV176)</f>
        <v>88.72666435749808</v>
      </c>
    </row>
    <row r="148" spans="2:50">
      <c r="B148" s="598"/>
      <c r="C148" s="310">
        <v>2</v>
      </c>
      <c r="D148" s="231" t="s">
        <v>412</v>
      </c>
      <c r="E148" s="187">
        <v>6</v>
      </c>
      <c r="F148" s="355">
        <v>1500</v>
      </c>
      <c r="G148" s="356">
        <v>250</v>
      </c>
      <c r="H148" s="633"/>
      <c r="I148" s="204">
        <f t="shared" ref="I148:I170" si="42">AVERAGE(P148,U148,Z148,AE148,AJ148,AO148,AT148)</f>
        <v>6.1428571428571432</v>
      </c>
      <c r="J148" s="204">
        <f t="shared" ref="J148:J170" si="43">AVERAGE(Q148,V148,AA148,AF148,AK148,AP148,AU148)</f>
        <v>1487.3671556400006</v>
      </c>
      <c r="K148" s="205">
        <f t="shared" ref="K148:K170" si="44">AVERAGE(R148,W148,AB148,AG148,AL148,AQ148,AV148)</f>
        <v>242.75266431730228</v>
      </c>
      <c r="L148" s="572"/>
      <c r="M148" s="206">
        <f>RANK(K148, K$147:$K$176)</f>
        <v>2</v>
      </c>
      <c r="N148" s="590"/>
      <c r="O148" s="590"/>
      <c r="P148" s="187">
        <v>6</v>
      </c>
      <c r="Q148" s="187">
        <v>1514.4230769230771</v>
      </c>
      <c r="R148" s="187">
        <v>252.40384615384619</v>
      </c>
      <c r="S148" s="310">
        <f t="shared" ref="S148:S176" si="45">RANK(R148, R$147:R$176)</f>
        <v>1</v>
      </c>
      <c r="T148" s="629"/>
      <c r="U148" s="187">
        <v>6</v>
      </c>
      <c r="V148" s="187">
        <v>1472.0388349514562</v>
      </c>
      <c r="W148" s="187">
        <v>245.33980582524271</v>
      </c>
      <c r="X148" s="310">
        <f t="shared" ref="X148:X176" si="46">RANK(W148, W$147:W$176)</f>
        <v>1</v>
      </c>
      <c r="Y148" s="629"/>
      <c r="Z148" s="187">
        <v>6</v>
      </c>
      <c r="AA148" s="187">
        <v>1461.7647058823529</v>
      </c>
      <c r="AB148" s="187">
        <v>243.62745098039215</v>
      </c>
      <c r="AC148" s="310">
        <f t="shared" ref="AC148:AC176" si="47">RANK(AB148, AB$147:AB$176)</f>
        <v>2</v>
      </c>
      <c r="AD148" s="629"/>
      <c r="AE148" s="187">
        <v>7</v>
      </c>
      <c r="AF148" s="187">
        <v>1511.707317073171</v>
      </c>
      <c r="AG148" s="187">
        <v>215.95818815331015</v>
      </c>
      <c r="AH148" s="310">
        <f t="shared" ref="AH148:AH176" si="48">RANK(AG148, AG$147:AG$176)</f>
        <v>2</v>
      </c>
      <c r="AI148" s="629"/>
      <c r="AJ148" s="187">
        <v>6</v>
      </c>
      <c r="AK148" s="187">
        <v>1503.4482758620688</v>
      </c>
      <c r="AL148" s="187">
        <v>250.57471264367814</v>
      </c>
      <c r="AM148" s="310">
        <f t="shared" ref="AM148:AM176" si="49">RANK(AL148, AL$147:AL$176)</f>
        <v>2</v>
      </c>
      <c r="AN148" s="629"/>
      <c r="AO148" s="187">
        <v>6</v>
      </c>
      <c r="AP148" s="187">
        <v>1478.7878787878785</v>
      </c>
      <c r="AQ148" s="187">
        <v>246.46464646464642</v>
      </c>
      <c r="AR148" s="310">
        <f t="shared" ref="AR148:AR176" si="50">RANK(AQ148, AQ$147:AQ$176)</f>
        <v>1</v>
      </c>
      <c r="AS148" s="629"/>
      <c r="AT148" s="187">
        <v>6</v>
      </c>
      <c r="AU148" s="187">
        <v>1469.3999999999999</v>
      </c>
      <c r="AV148" s="187">
        <v>244.89999999999998</v>
      </c>
      <c r="AW148" s="310">
        <f t="shared" ref="AW148:AW176" si="51">RANK(AV148, AV$147:AV$176)</f>
        <v>2</v>
      </c>
      <c r="AX148" s="629"/>
    </row>
    <row r="149" spans="2:50">
      <c r="B149" s="598"/>
      <c r="C149" s="310">
        <v>3</v>
      </c>
      <c r="D149" s="231" t="s">
        <v>387</v>
      </c>
      <c r="E149" s="187">
        <v>17</v>
      </c>
      <c r="F149" s="355">
        <v>1500</v>
      </c>
      <c r="G149" s="356">
        <v>88.235294117647058</v>
      </c>
      <c r="H149" s="633"/>
      <c r="I149" s="204">
        <f t="shared" si="42"/>
        <v>17</v>
      </c>
      <c r="J149" s="204">
        <f t="shared" si="43"/>
        <v>1295.8541377757042</v>
      </c>
      <c r="K149" s="205">
        <f t="shared" si="44"/>
        <v>76.226713986806118</v>
      </c>
      <c r="L149" s="572"/>
      <c r="M149" s="206">
        <f>RANK(K149, K$147:$K$176)</f>
        <v>9</v>
      </c>
      <c r="N149" s="590"/>
      <c r="O149" s="590"/>
      <c r="P149" s="187">
        <v>17</v>
      </c>
      <c r="Q149" s="187">
        <v>1299.1836734693882</v>
      </c>
      <c r="R149" s="187">
        <v>76.422569027611075</v>
      </c>
      <c r="S149" s="310">
        <f t="shared" si="45"/>
        <v>10</v>
      </c>
      <c r="T149" s="629"/>
      <c r="U149" s="187">
        <v>17</v>
      </c>
      <c r="V149" s="187">
        <v>1302.7722772277223</v>
      </c>
      <c r="W149" s="187">
        <v>76.633663366336606</v>
      </c>
      <c r="X149" s="310">
        <f t="shared" si="46"/>
        <v>10</v>
      </c>
      <c r="Y149" s="629"/>
      <c r="Z149" s="187">
        <v>17</v>
      </c>
      <c r="AA149" s="187">
        <v>1270.0990099009896</v>
      </c>
      <c r="AB149" s="187">
        <v>74.711706464764092</v>
      </c>
      <c r="AC149" s="310">
        <f t="shared" si="47"/>
        <v>13</v>
      </c>
      <c r="AD149" s="629"/>
      <c r="AE149" s="187">
        <v>17</v>
      </c>
      <c r="AF149" s="187">
        <v>1299.7500000000007</v>
      </c>
      <c r="AG149" s="187">
        <v>76.455882352941217</v>
      </c>
      <c r="AH149" s="310">
        <f t="shared" si="48"/>
        <v>9</v>
      </c>
      <c r="AI149" s="629"/>
      <c r="AJ149" s="187">
        <v>17</v>
      </c>
      <c r="AK149" s="187">
        <v>1294.3902439024387</v>
      </c>
      <c r="AL149" s="187">
        <v>76.140602582496399</v>
      </c>
      <c r="AM149" s="310">
        <f t="shared" si="49"/>
        <v>11</v>
      </c>
      <c r="AN149" s="629"/>
      <c r="AO149" s="187">
        <v>17</v>
      </c>
      <c r="AP149" s="187">
        <v>1298.1818181818176</v>
      </c>
      <c r="AQ149" s="187">
        <v>76.363636363636331</v>
      </c>
      <c r="AR149" s="310">
        <f t="shared" si="50"/>
        <v>10</v>
      </c>
      <c r="AS149" s="629"/>
      <c r="AT149" s="187">
        <v>17</v>
      </c>
      <c r="AU149" s="187">
        <v>1306.6019417475723</v>
      </c>
      <c r="AV149" s="187">
        <v>76.858937749857191</v>
      </c>
      <c r="AW149" s="310">
        <f t="shared" si="51"/>
        <v>10</v>
      </c>
      <c r="AX149" s="629"/>
    </row>
    <row r="150" spans="2:50">
      <c r="B150" s="598"/>
      <c r="C150" s="310">
        <v>4</v>
      </c>
      <c r="D150" s="231" t="s">
        <v>359</v>
      </c>
      <c r="E150" s="187">
        <v>19</v>
      </c>
      <c r="F150" s="355">
        <v>1500</v>
      </c>
      <c r="G150" s="356">
        <v>78.94736842105263</v>
      </c>
      <c r="H150" s="633"/>
      <c r="I150" s="204">
        <f t="shared" si="42"/>
        <v>19.857142857142858</v>
      </c>
      <c r="J150" s="204">
        <f t="shared" si="43"/>
        <v>1287.034139382296</v>
      </c>
      <c r="K150" s="205">
        <f t="shared" si="44"/>
        <v>64.829994524738552</v>
      </c>
      <c r="L150" s="572"/>
      <c r="M150" s="206">
        <f>RANK(K150, K$147:$K$176)</f>
        <v>24</v>
      </c>
      <c r="N150" s="590"/>
      <c r="O150" s="590"/>
      <c r="P150" s="187">
        <v>20</v>
      </c>
      <c r="Q150" s="187">
        <v>1297.1428571428585</v>
      </c>
      <c r="R150" s="187">
        <v>64.857142857142918</v>
      </c>
      <c r="S150" s="310">
        <f t="shared" si="45"/>
        <v>24</v>
      </c>
      <c r="T150" s="629"/>
      <c r="U150" s="187">
        <v>20</v>
      </c>
      <c r="V150" s="187">
        <v>1303.9285714285725</v>
      </c>
      <c r="W150" s="187">
        <v>65.196428571428626</v>
      </c>
      <c r="X150" s="310">
        <f t="shared" si="46"/>
        <v>23</v>
      </c>
      <c r="Y150" s="629"/>
      <c r="Z150" s="187">
        <v>20</v>
      </c>
      <c r="AA150" s="187">
        <v>1306.9090909090917</v>
      </c>
      <c r="AB150" s="187">
        <v>65.345454545454587</v>
      </c>
      <c r="AC150" s="310">
        <f t="shared" si="47"/>
        <v>21</v>
      </c>
      <c r="AD150" s="629"/>
      <c r="AE150" s="187">
        <v>19</v>
      </c>
      <c r="AF150" s="187">
        <v>1272.2448979591841</v>
      </c>
      <c r="AG150" s="187">
        <v>66.960257787325475</v>
      </c>
      <c r="AH150" s="310">
        <f t="shared" si="48"/>
        <v>19</v>
      </c>
      <c r="AI150" s="629"/>
      <c r="AJ150" s="187">
        <v>20</v>
      </c>
      <c r="AK150" s="187">
        <v>1262.3529411764712</v>
      </c>
      <c r="AL150" s="187">
        <v>63.117647058823557</v>
      </c>
      <c r="AM150" s="310">
        <f t="shared" si="49"/>
        <v>24</v>
      </c>
      <c r="AN150" s="629"/>
      <c r="AO150" s="187">
        <v>20</v>
      </c>
      <c r="AP150" s="187">
        <v>1266.3157894736853</v>
      </c>
      <c r="AQ150" s="187">
        <v>63.315789473684262</v>
      </c>
      <c r="AR150" s="310">
        <f t="shared" si="50"/>
        <v>24</v>
      </c>
      <c r="AS150" s="629"/>
      <c r="AT150" s="187">
        <v>20</v>
      </c>
      <c r="AU150" s="187">
        <v>1300.3448275862077</v>
      </c>
      <c r="AV150" s="187">
        <v>65.017241379310377</v>
      </c>
      <c r="AW150" s="310">
        <f t="shared" si="51"/>
        <v>24</v>
      </c>
      <c r="AX150" s="629"/>
    </row>
    <row r="151" spans="2:50">
      <c r="B151" s="598"/>
      <c r="C151" s="310">
        <v>5</v>
      </c>
      <c r="D151" s="231" t="s">
        <v>357</v>
      </c>
      <c r="E151" s="187">
        <v>16</v>
      </c>
      <c r="F151" s="355">
        <v>1500</v>
      </c>
      <c r="G151" s="356">
        <v>93.75</v>
      </c>
      <c r="H151" s="633"/>
      <c r="I151" s="204">
        <f t="shared" si="42"/>
        <v>16.285714285714285</v>
      </c>
      <c r="J151" s="204">
        <f t="shared" si="43"/>
        <v>1333.078556891601</v>
      </c>
      <c r="K151" s="205">
        <f t="shared" si="44"/>
        <v>81.932871470267045</v>
      </c>
      <c r="L151" s="572"/>
      <c r="M151" s="206">
        <f>RANK(K151, K$147:$K$176)</f>
        <v>4</v>
      </c>
      <c r="N151" s="590"/>
      <c r="O151" s="590"/>
      <c r="P151" s="187">
        <v>16</v>
      </c>
      <c r="Q151" s="187">
        <v>1352.0689655172405</v>
      </c>
      <c r="R151" s="187">
        <v>84.50431034482753</v>
      </c>
      <c r="S151" s="310">
        <f t="shared" si="45"/>
        <v>4</v>
      </c>
      <c r="T151" s="629"/>
      <c r="U151" s="187">
        <v>17</v>
      </c>
      <c r="V151" s="187">
        <v>1292.6315789473676</v>
      </c>
      <c r="W151" s="187">
        <v>76.037151702786332</v>
      </c>
      <c r="X151" s="310">
        <f t="shared" si="46"/>
        <v>12</v>
      </c>
      <c r="Y151" s="629"/>
      <c r="Z151" s="187">
        <v>16</v>
      </c>
      <c r="AA151" s="187">
        <v>1314.7368421052624</v>
      </c>
      <c r="AB151" s="187">
        <v>82.171052631578902</v>
      </c>
      <c r="AC151" s="310">
        <f t="shared" si="47"/>
        <v>5</v>
      </c>
      <c r="AD151" s="629"/>
      <c r="AE151" s="187">
        <v>16</v>
      </c>
      <c r="AF151" s="187">
        <v>1302.3529411764712</v>
      </c>
      <c r="AG151" s="187">
        <v>81.397058823529449</v>
      </c>
      <c r="AH151" s="310">
        <f t="shared" si="48"/>
        <v>5</v>
      </c>
      <c r="AI151" s="629"/>
      <c r="AJ151" s="187">
        <v>17</v>
      </c>
      <c r="AK151" s="187">
        <v>1343.5294117647065</v>
      </c>
      <c r="AL151" s="187">
        <v>79.031141868512151</v>
      </c>
      <c r="AM151" s="310">
        <f t="shared" si="49"/>
        <v>6</v>
      </c>
      <c r="AN151" s="629"/>
      <c r="AO151" s="187">
        <v>16</v>
      </c>
      <c r="AP151" s="187">
        <v>1364.444444444445</v>
      </c>
      <c r="AQ151" s="187">
        <v>85.277777777777814</v>
      </c>
      <c r="AR151" s="310">
        <f t="shared" si="50"/>
        <v>3</v>
      </c>
      <c r="AS151" s="629"/>
      <c r="AT151" s="187">
        <v>16</v>
      </c>
      <c r="AU151" s="187">
        <v>1361.7857142857133</v>
      </c>
      <c r="AV151" s="187">
        <v>85.111607142857082</v>
      </c>
      <c r="AW151" s="310">
        <f t="shared" si="51"/>
        <v>4</v>
      </c>
      <c r="AX151" s="629"/>
    </row>
    <row r="152" spans="2:50">
      <c r="B152" s="598"/>
      <c r="C152" s="310">
        <v>6</v>
      </c>
      <c r="D152" s="231" t="s">
        <v>394</v>
      </c>
      <c r="E152" s="187">
        <v>16</v>
      </c>
      <c r="F152" s="355">
        <v>1565</v>
      </c>
      <c r="G152" s="356">
        <v>97.8125</v>
      </c>
      <c r="H152" s="633"/>
      <c r="I152" s="204">
        <f t="shared" si="42"/>
        <v>16.428571428571427</v>
      </c>
      <c r="J152" s="204">
        <f t="shared" si="43"/>
        <v>1392.0463719533338</v>
      </c>
      <c r="K152" s="205">
        <f t="shared" si="44"/>
        <v>84.811470371883857</v>
      </c>
      <c r="L152" s="572"/>
      <c r="M152" s="206">
        <f>RANK(K152, K$147:$K$176)</f>
        <v>3</v>
      </c>
      <c r="N152" s="590"/>
      <c r="O152" s="590"/>
      <c r="P152" s="187">
        <v>16</v>
      </c>
      <c r="Q152" s="187">
        <v>1384.2424242424245</v>
      </c>
      <c r="R152" s="187">
        <v>86.51515151515153</v>
      </c>
      <c r="S152" s="310">
        <f t="shared" si="45"/>
        <v>3</v>
      </c>
      <c r="T152" s="629"/>
      <c r="U152" s="187">
        <v>17</v>
      </c>
      <c r="V152" s="187">
        <v>1402.3404255319151</v>
      </c>
      <c r="W152" s="187">
        <v>82.490613266583239</v>
      </c>
      <c r="X152" s="310">
        <f t="shared" si="46"/>
        <v>3</v>
      </c>
      <c r="Y152" s="629"/>
      <c r="Z152" s="187">
        <v>16</v>
      </c>
      <c r="AA152" s="187">
        <v>1412.8421052631581</v>
      </c>
      <c r="AB152" s="187">
        <v>88.302631578947384</v>
      </c>
      <c r="AC152" s="310">
        <f t="shared" si="47"/>
        <v>3</v>
      </c>
      <c r="AD152" s="629"/>
      <c r="AE152" s="187">
        <v>16</v>
      </c>
      <c r="AF152" s="187">
        <v>1407.8048780487813</v>
      </c>
      <c r="AG152" s="187">
        <v>87.987804878048834</v>
      </c>
      <c r="AH152" s="310">
        <f t="shared" si="48"/>
        <v>3</v>
      </c>
      <c r="AI152" s="629"/>
      <c r="AJ152" s="187">
        <v>17</v>
      </c>
      <c r="AK152" s="187">
        <v>1358.7096774193544</v>
      </c>
      <c r="AL152" s="187">
        <v>79.924098671726725</v>
      </c>
      <c r="AM152" s="310">
        <f t="shared" si="49"/>
        <v>4</v>
      </c>
      <c r="AN152" s="629"/>
      <c r="AO152" s="187">
        <v>17</v>
      </c>
      <c r="AP152" s="187">
        <v>1411.4285714285725</v>
      </c>
      <c r="AQ152" s="187">
        <v>83.025210084033674</v>
      </c>
      <c r="AR152" s="310">
        <f t="shared" si="50"/>
        <v>4</v>
      </c>
      <c r="AS152" s="629"/>
      <c r="AT152" s="187">
        <v>16</v>
      </c>
      <c r="AU152" s="187">
        <v>1366.9565217391305</v>
      </c>
      <c r="AV152" s="187">
        <v>85.434782608695656</v>
      </c>
      <c r="AW152" s="310">
        <f t="shared" si="51"/>
        <v>3</v>
      </c>
      <c r="AX152" s="629"/>
    </row>
    <row r="153" spans="2:50">
      <c r="B153" s="598"/>
      <c r="C153" s="310">
        <v>7</v>
      </c>
      <c r="D153" s="231" t="s">
        <v>346</v>
      </c>
      <c r="E153" s="187">
        <v>16</v>
      </c>
      <c r="F153" s="355">
        <v>1440</v>
      </c>
      <c r="G153" s="356">
        <v>90</v>
      </c>
      <c r="H153" s="633"/>
      <c r="I153" s="204">
        <f t="shared" si="42"/>
        <v>16</v>
      </c>
      <c r="J153" s="204">
        <f t="shared" si="43"/>
        <v>1284.645753295755</v>
      </c>
      <c r="K153" s="205">
        <f t="shared" si="44"/>
        <v>80.290359580984685</v>
      </c>
      <c r="L153" s="572"/>
      <c r="M153" s="206">
        <f>RANK(K153, K$147:$K$176)</f>
        <v>5</v>
      </c>
      <c r="N153" s="590"/>
      <c r="O153" s="590"/>
      <c r="P153" s="187">
        <v>16</v>
      </c>
      <c r="Q153" s="187">
        <v>1281.3333333333333</v>
      </c>
      <c r="R153" s="187">
        <v>80.083333333333329</v>
      </c>
      <c r="S153" s="310">
        <f t="shared" si="45"/>
        <v>7</v>
      </c>
      <c r="T153" s="629"/>
      <c r="U153" s="187">
        <v>16</v>
      </c>
      <c r="V153" s="187">
        <v>1294.9999999999991</v>
      </c>
      <c r="W153" s="187">
        <v>80.937499999999943</v>
      </c>
      <c r="X153" s="310">
        <f t="shared" si="46"/>
        <v>4</v>
      </c>
      <c r="Y153" s="629"/>
      <c r="Z153" s="187">
        <v>16</v>
      </c>
      <c r="AA153" s="187">
        <v>1230.9677419354819</v>
      </c>
      <c r="AB153" s="187">
        <v>76.935483870967616</v>
      </c>
      <c r="AC153" s="310">
        <f t="shared" si="47"/>
        <v>8</v>
      </c>
      <c r="AD153" s="629"/>
      <c r="AE153" s="187">
        <v>16</v>
      </c>
      <c r="AF153" s="187">
        <v>1293.1034482758596</v>
      </c>
      <c r="AG153" s="187">
        <v>80.818965517241224</v>
      </c>
      <c r="AH153" s="310">
        <f t="shared" si="48"/>
        <v>6</v>
      </c>
      <c r="AI153" s="629"/>
      <c r="AJ153" s="187">
        <v>16</v>
      </c>
      <c r="AK153" s="187">
        <v>1300.6451612903206</v>
      </c>
      <c r="AL153" s="187">
        <v>81.290322580645039</v>
      </c>
      <c r="AM153" s="310">
        <f t="shared" si="49"/>
        <v>3</v>
      </c>
      <c r="AN153" s="629"/>
      <c r="AO153" s="187">
        <v>16</v>
      </c>
      <c r="AP153" s="187">
        <v>1286.4705882352923</v>
      </c>
      <c r="AQ153" s="187">
        <v>80.40441176470577</v>
      </c>
      <c r="AR153" s="310">
        <f t="shared" si="50"/>
        <v>5</v>
      </c>
      <c r="AS153" s="629"/>
      <c r="AT153" s="187">
        <v>16</v>
      </c>
      <c r="AU153" s="187">
        <v>1304.9999999999982</v>
      </c>
      <c r="AV153" s="187">
        <v>81.562499999999886</v>
      </c>
      <c r="AW153" s="310">
        <f t="shared" si="51"/>
        <v>5</v>
      </c>
      <c r="AX153" s="629"/>
    </row>
    <row r="154" spans="2:50">
      <c r="B154" s="598"/>
      <c r="C154" s="310">
        <v>8</v>
      </c>
      <c r="D154" s="231" t="s">
        <v>393</v>
      </c>
      <c r="E154" s="187">
        <v>17</v>
      </c>
      <c r="F154" s="355">
        <v>1440</v>
      </c>
      <c r="G154" s="356">
        <v>84.705882352941174</v>
      </c>
      <c r="H154" s="633"/>
      <c r="I154" s="204">
        <f t="shared" si="42"/>
        <v>17</v>
      </c>
      <c r="J154" s="204">
        <f t="shared" si="43"/>
        <v>1282.5380333951764</v>
      </c>
      <c r="K154" s="205">
        <f t="shared" si="44"/>
        <v>75.443413729128025</v>
      </c>
      <c r="L154" s="572"/>
      <c r="M154" s="206">
        <f>RANK(K154, K$147:$K$176)</f>
        <v>11</v>
      </c>
      <c r="N154" s="590"/>
      <c r="O154" s="590"/>
      <c r="P154" s="187">
        <v>17</v>
      </c>
      <c r="Q154" s="187">
        <v>1254.5454545454554</v>
      </c>
      <c r="R154" s="187">
        <v>73.796791443850324</v>
      </c>
      <c r="S154" s="310">
        <f t="shared" si="45"/>
        <v>16</v>
      </c>
      <c r="T154" s="629"/>
      <c r="U154" s="187">
        <v>17</v>
      </c>
      <c r="V154" s="187">
        <v>1295.0000000000005</v>
      </c>
      <c r="W154" s="187">
        <v>76.176470588235318</v>
      </c>
      <c r="X154" s="310">
        <f t="shared" si="46"/>
        <v>11</v>
      </c>
      <c r="Y154" s="629"/>
      <c r="Z154" s="187">
        <v>17</v>
      </c>
      <c r="AA154" s="187">
        <v>1296</v>
      </c>
      <c r="AB154" s="187">
        <v>76.235294117647058</v>
      </c>
      <c r="AC154" s="310">
        <f t="shared" si="47"/>
        <v>10</v>
      </c>
      <c r="AD154" s="629"/>
      <c r="AE154" s="187">
        <v>17</v>
      </c>
      <c r="AF154" s="187">
        <v>1276.3636363636365</v>
      </c>
      <c r="AG154" s="187">
        <v>75.080213903743328</v>
      </c>
      <c r="AH154" s="310">
        <f t="shared" si="48"/>
        <v>13</v>
      </c>
      <c r="AI154" s="629"/>
      <c r="AJ154" s="187">
        <v>17</v>
      </c>
      <c r="AK154" s="187">
        <v>1275</v>
      </c>
      <c r="AL154" s="187">
        <v>75</v>
      </c>
      <c r="AM154" s="310">
        <f t="shared" si="49"/>
        <v>12</v>
      </c>
      <c r="AN154" s="629"/>
      <c r="AO154" s="187">
        <v>17</v>
      </c>
      <c r="AP154" s="187">
        <v>1302.8571428571431</v>
      </c>
      <c r="AQ154" s="187">
        <v>76.638655462184886</v>
      </c>
      <c r="AR154" s="310">
        <f t="shared" si="50"/>
        <v>9</v>
      </c>
      <c r="AS154" s="629"/>
      <c r="AT154" s="187">
        <v>17</v>
      </c>
      <c r="AU154" s="187">
        <v>1278.0000000000005</v>
      </c>
      <c r="AV154" s="187">
        <v>75.176470588235318</v>
      </c>
      <c r="AW154" s="310">
        <f t="shared" si="51"/>
        <v>13</v>
      </c>
      <c r="AX154" s="629"/>
    </row>
    <row r="155" spans="2:50">
      <c r="B155" s="598"/>
      <c r="C155" s="310">
        <v>9</v>
      </c>
      <c r="D155" s="231" t="s">
        <v>389</v>
      </c>
      <c r="E155" s="187">
        <v>18</v>
      </c>
      <c r="F155" s="355">
        <v>1440</v>
      </c>
      <c r="G155" s="356">
        <v>80</v>
      </c>
      <c r="H155" s="633"/>
      <c r="I155" s="204">
        <f t="shared" si="42"/>
        <v>17.571428571428573</v>
      </c>
      <c r="J155" s="204">
        <f t="shared" si="43"/>
        <v>1171.724036872562</v>
      </c>
      <c r="K155" s="205">
        <f t="shared" si="44"/>
        <v>66.728322601125882</v>
      </c>
      <c r="L155" s="572"/>
      <c r="M155" s="206">
        <f>RANK(K155, K$147:$K$176)</f>
        <v>21</v>
      </c>
      <c r="N155" s="590"/>
      <c r="O155" s="590"/>
      <c r="P155" s="187">
        <v>18</v>
      </c>
      <c r="Q155" s="187">
        <v>1170.8999999999996</v>
      </c>
      <c r="R155" s="187">
        <v>65.049999999999983</v>
      </c>
      <c r="S155" s="310">
        <f t="shared" si="45"/>
        <v>22</v>
      </c>
      <c r="T155" s="629"/>
      <c r="U155" s="187">
        <v>18</v>
      </c>
      <c r="V155" s="187">
        <v>1177.0529801324508</v>
      </c>
      <c r="W155" s="187">
        <v>65.391832229580601</v>
      </c>
      <c r="X155" s="310">
        <f t="shared" si="46"/>
        <v>21</v>
      </c>
      <c r="Y155" s="629"/>
      <c r="Z155" s="187">
        <v>18</v>
      </c>
      <c r="AA155" s="187">
        <v>1173.5049504950498</v>
      </c>
      <c r="AB155" s="187">
        <v>65.194719471947209</v>
      </c>
      <c r="AC155" s="310">
        <f t="shared" si="47"/>
        <v>22</v>
      </c>
      <c r="AD155" s="629"/>
      <c r="AE155" s="187">
        <v>18</v>
      </c>
      <c r="AF155" s="187">
        <v>1183.7037037037032</v>
      </c>
      <c r="AG155" s="187">
        <v>65.761316872427955</v>
      </c>
      <c r="AH155" s="310">
        <f t="shared" si="48"/>
        <v>21</v>
      </c>
      <c r="AI155" s="629"/>
      <c r="AJ155" s="187">
        <v>17</v>
      </c>
      <c r="AK155" s="187">
        <v>1166.6249999999995</v>
      </c>
      <c r="AL155" s="187">
        <v>68.624999999999972</v>
      </c>
      <c r="AM155" s="310">
        <f t="shared" si="49"/>
        <v>19</v>
      </c>
      <c r="AN155" s="629"/>
      <c r="AO155" s="187">
        <v>17</v>
      </c>
      <c r="AP155" s="187">
        <v>1151.7977528089887</v>
      </c>
      <c r="AQ155" s="187">
        <v>67.752808988764045</v>
      </c>
      <c r="AR155" s="310">
        <f t="shared" si="50"/>
        <v>19</v>
      </c>
      <c r="AS155" s="629"/>
      <c r="AT155" s="187">
        <v>17</v>
      </c>
      <c r="AU155" s="187">
        <v>1178.4838709677422</v>
      </c>
      <c r="AV155" s="187">
        <v>69.32258064516131</v>
      </c>
      <c r="AW155" s="310">
        <f t="shared" si="51"/>
        <v>19</v>
      </c>
      <c r="AX155" s="629"/>
    </row>
    <row r="156" spans="2:50">
      <c r="B156" s="598"/>
      <c r="C156" s="310">
        <v>10</v>
      </c>
      <c r="D156" s="231" t="s">
        <v>392</v>
      </c>
      <c r="E156" s="187">
        <v>19</v>
      </c>
      <c r="F156" s="355">
        <v>1636</v>
      </c>
      <c r="G156" s="356">
        <v>86.10526315789474</v>
      </c>
      <c r="H156" s="633"/>
      <c r="I156" s="204">
        <f t="shared" si="42"/>
        <v>19</v>
      </c>
      <c r="J156" s="204">
        <f t="shared" si="43"/>
        <v>1281.5408543039991</v>
      </c>
      <c r="K156" s="205">
        <f t="shared" si="44"/>
        <v>67.449518647578898</v>
      </c>
      <c r="L156" s="572"/>
      <c r="M156" s="206">
        <f>RANK(K156, K$147:$K$176)</f>
        <v>19</v>
      </c>
      <c r="N156" s="590"/>
      <c r="O156" s="590"/>
      <c r="P156" s="187">
        <v>19</v>
      </c>
      <c r="Q156" s="187">
        <v>1257.2727272727273</v>
      </c>
      <c r="R156" s="187">
        <v>66.172248803827756</v>
      </c>
      <c r="S156" s="310">
        <f t="shared" si="45"/>
        <v>20</v>
      </c>
      <c r="T156" s="629"/>
      <c r="U156" s="187">
        <v>19</v>
      </c>
      <c r="V156" s="187">
        <v>1290.7894736842095</v>
      </c>
      <c r="W156" s="187">
        <v>67.936288088642598</v>
      </c>
      <c r="X156" s="310">
        <f t="shared" si="46"/>
        <v>19</v>
      </c>
      <c r="Y156" s="629"/>
      <c r="Z156" s="187">
        <v>19</v>
      </c>
      <c r="AA156" s="187">
        <v>1253.3333333333323</v>
      </c>
      <c r="AB156" s="187">
        <v>65.964912280701697</v>
      </c>
      <c r="AC156" s="310">
        <f t="shared" si="47"/>
        <v>20</v>
      </c>
      <c r="AD156" s="629"/>
      <c r="AE156" s="187">
        <v>19</v>
      </c>
      <c r="AF156" s="187">
        <v>1284.7058823529428</v>
      </c>
      <c r="AG156" s="187">
        <v>67.616099071207515</v>
      </c>
      <c r="AH156" s="310">
        <f t="shared" si="48"/>
        <v>18</v>
      </c>
      <c r="AI156" s="629"/>
      <c r="AJ156" s="187">
        <v>19</v>
      </c>
      <c r="AK156" s="187">
        <v>1291.3043478260856</v>
      </c>
      <c r="AL156" s="187">
        <v>67.963386727688714</v>
      </c>
      <c r="AM156" s="310">
        <f t="shared" si="49"/>
        <v>22</v>
      </c>
      <c r="AN156" s="629"/>
      <c r="AO156" s="187">
        <v>19</v>
      </c>
      <c r="AP156" s="187">
        <v>1291.8987341772145</v>
      </c>
      <c r="AQ156" s="187">
        <v>67.99467021985339</v>
      </c>
      <c r="AR156" s="310">
        <f t="shared" si="50"/>
        <v>18</v>
      </c>
      <c r="AS156" s="629"/>
      <c r="AT156" s="187">
        <v>19</v>
      </c>
      <c r="AU156" s="187">
        <v>1301.4814814814811</v>
      </c>
      <c r="AV156" s="187">
        <v>68.499025341130576</v>
      </c>
      <c r="AW156" s="310">
        <f t="shared" si="51"/>
        <v>21</v>
      </c>
      <c r="AX156" s="629"/>
    </row>
    <row r="157" spans="2:50">
      <c r="B157" s="598"/>
      <c r="C157" s="310">
        <v>11</v>
      </c>
      <c r="D157" s="231" t="s">
        <v>391</v>
      </c>
      <c r="E157" s="187">
        <v>19</v>
      </c>
      <c r="F157" s="355">
        <v>1636</v>
      </c>
      <c r="G157" s="356">
        <v>86.10526315789474</v>
      </c>
      <c r="H157" s="633"/>
      <c r="I157" s="204">
        <f t="shared" si="42"/>
        <v>19</v>
      </c>
      <c r="J157" s="204">
        <f t="shared" si="43"/>
        <v>1268.1913250518171</v>
      </c>
      <c r="K157" s="205">
        <f t="shared" si="44"/>
        <v>66.746911844832496</v>
      </c>
      <c r="L157" s="572"/>
      <c r="M157" s="206">
        <f>RANK(K157, K$147:$K$176)</f>
        <v>20</v>
      </c>
      <c r="N157" s="590"/>
      <c r="O157" s="590"/>
      <c r="P157" s="187">
        <v>19</v>
      </c>
      <c r="Q157" s="187">
        <v>1262.5352112676044</v>
      </c>
      <c r="R157" s="187">
        <v>66.449221645663386</v>
      </c>
      <c r="S157" s="310">
        <f t="shared" si="45"/>
        <v>19</v>
      </c>
      <c r="T157" s="629"/>
      <c r="U157" s="187">
        <v>19</v>
      </c>
      <c r="V157" s="187">
        <v>1261.9047619047633</v>
      </c>
      <c r="W157" s="187">
        <v>66.416040100250697</v>
      </c>
      <c r="X157" s="310">
        <f t="shared" si="46"/>
        <v>20</v>
      </c>
      <c r="Y157" s="629"/>
      <c r="Z157" s="187">
        <v>19</v>
      </c>
      <c r="AA157" s="187">
        <v>1275.0000000000011</v>
      </c>
      <c r="AB157" s="187">
        <v>67.105263157894797</v>
      </c>
      <c r="AC157" s="310">
        <f t="shared" si="47"/>
        <v>19</v>
      </c>
      <c r="AD157" s="629"/>
      <c r="AE157" s="187">
        <v>19</v>
      </c>
      <c r="AF157" s="187">
        <v>1269.6428571428582</v>
      </c>
      <c r="AG157" s="187">
        <v>66.823308270676748</v>
      </c>
      <c r="AH157" s="310">
        <f t="shared" si="48"/>
        <v>20</v>
      </c>
      <c r="AI157" s="629"/>
      <c r="AJ157" s="187">
        <v>19</v>
      </c>
      <c r="AK157" s="187">
        <v>1255.0000000000011</v>
      </c>
      <c r="AL157" s="187">
        <v>66.052631578947427</v>
      </c>
      <c r="AM157" s="310">
        <f t="shared" si="49"/>
        <v>23</v>
      </c>
      <c r="AN157" s="629"/>
      <c r="AO157" s="187">
        <v>19</v>
      </c>
      <c r="AP157" s="187">
        <v>1268.1818181818194</v>
      </c>
      <c r="AQ157" s="187">
        <v>66.746411483253652</v>
      </c>
      <c r="AR157" s="310">
        <f t="shared" si="50"/>
        <v>21</v>
      </c>
      <c r="AS157" s="629"/>
      <c r="AT157" s="187">
        <v>19</v>
      </c>
      <c r="AU157" s="187">
        <v>1285.0746268656733</v>
      </c>
      <c r="AV157" s="187">
        <v>67.635506677140697</v>
      </c>
      <c r="AW157" s="310">
        <f t="shared" si="51"/>
        <v>22</v>
      </c>
      <c r="AX157" s="629"/>
    </row>
    <row r="158" spans="2:50">
      <c r="B158" s="598"/>
      <c r="C158" s="310">
        <v>12</v>
      </c>
      <c r="D158" s="231" t="s">
        <v>427</v>
      </c>
      <c r="E158" s="187">
        <v>20</v>
      </c>
      <c r="F158" s="355">
        <v>1500</v>
      </c>
      <c r="G158" s="356">
        <v>75</v>
      </c>
      <c r="H158" s="633"/>
      <c r="I158" s="204">
        <f t="shared" si="42"/>
        <v>20</v>
      </c>
      <c r="J158" s="204">
        <f t="shared" si="43"/>
        <v>1193.709677419356</v>
      </c>
      <c r="K158" s="205">
        <f t="shared" si="44"/>
        <v>59.685483870967794</v>
      </c>
      <c r="L158" s="572"/>
      <c r="M158" s="206">
        <f>RANK(K158, K$147:$K$176)</f>
        <v>25</v>
      </c>
      <c r="N158" s="590"/>
      <c r="O158" s="590"/>
      <c r="P158" s="187">
        <v>20</v>
      </c>
      <c r="Q158" s="187">
        <v>1290.0000000000011</v>
      </c>
      <c r="R158" s="187">
        <v>64.500000000000057</v>
      </c>
      <c r="S158" s="310">
        <f t="shared" si="45"/>
        <v>25</v>
      </c>
      <c r="T158" s="629"/>
      <c r="U158" s="187">
        <v>20</v>
      </c>
      <c r="V158" s="187">
        <v>1097.4193548387107</v>
      </c>
      <c r="W158" s="187">
        <v>54.87096774193553</v>
      </c>
      <c r="X158" s="310">
        <f t="shared" si="46"/>
        <v>25</v>
      </c>
      <c r="Y158" s="629"/>
      <c r="Z158" s="187"/>
      <c r="AA158" s="187"/>
      <c r="AB158" s="187"/>
      <c r="AC158" s="310" t="e">
        <f t="shared" si="47"/>
        <v>#N/A</v>
      </c>
      <c r="AD158" s="629"/>
      <c r="AE158" s="187"/>
      <c r="AF158" s="187"/>
      <c r="AG158" s="187"/>
      <c r="AH158" s="310" t="e">
        <f t="shared" si="48"/>
        <v>#N/A</v>
      </c>
      <c r="AI158" s="629"/>
      <c r="AJ158" s="187"/>
      <c r="AK158" s="187"/>
      <c r="AL158" s="187"/>
      <c r="AM158" s="310" t="e">
        <f t="shared" si="49"/>
        <v>#N/A</v>
      </c>
      <c r="AN158" s="629"/>
      <c r="AO158" s="187"/>
      <c r="AP158" s="187"/>
      <c r="AQ158" s="187"/>
      <c r="AR158" s="310" t="e">
        <f t="shared" si="50"/>
        <v>#N/A</v>
      </c>
      <c r="AS158" s="629"/>
      <c r="AT158" s="187"/>
      <c r="AU158" s="187"/>
      <c r="AV158" s="187"/>
      <c r="AW158" s="310" t="e">
        <f t="shared" si="51"/>
        <v>#N/A</v>
      </c>
      <c r="AX158" s="629"/>
    </row>
    <row r="159" spans="2:50">
      <c r="B159" s="598"/>
      <c r="C159" s="310">
        <v>13</v>
      </c>
      <c r="D159" s="231" t="s">
        <v>395</v>
      </c>
      <c r="E159" s="187">
        <v>17</v>
      </c>
      <c r="F159" s="355">
        <v>1500</v>
      </c>
      <c r="G159" s="356">
        <v>88.235294117647058</v>
      </c>
      <c r="H159" s="633"/>
      <c r="I159" s="204">
        <f t="shared" si="42"/>
        <v>17</v>
      </c>
      <c r="J159" s="204">
        <f t="shared" si="43"/>
        <v>1263.3173540769949</v>
      </c>
      <c r="K159" s="205">
        <f t="shared" si="44"/>
        <v>74.312785533940882</v>
      </c>
      <c r="L159" s="572"/>
      <c r="M159" s="206">
        <f>RANK(K159, K$147:$K$176)</f>
        <v>15</v>
      </c>
      <c r="N159" s="590"/>
      <c r="O159" s="590"/>
      <c r="P159" s="187">
        <v>17</v>
      </c>
      <c r="Q159" s="187">
        <v>1308.8372093023254</v>
      </c>
      <c r="R159" s="187">
        <v>76.990424076607383</v>
      </c>
      <c r="S159" s="310">
        <f t="shared" si="45"/>
        <v>9</v>
      </c>
      <c r="T159" s="629"/>
      <c r="U159" s="187">
        <v>17</v>
      </c>
      <c r="V159" s="187">
        <v>1246.3636363636365</v>
      </c>
      <c r="W159" s="187">
        <v>73.315508021390386</v>
      </c>
      <c r="X159" s="310">
        <f t="shared" si="46"/>
        <v>16</v>
      </c>
      <c r="Y159" s="629"/>
      <c r="Z159" s="187">
        <v>17</v>
      </c>
      <c r="AA159" s="187">
        <v>1250.2702702702693</v>
      </c>
      <c r="AB159" s="187">
        <v>73.545310015898195</v>
      </c>
      <c r="AC159" s="310">
        <f t="shared" si="47"/>
        <v>16</v>
      </c>
      <c r="AD159" s="629"/>
      <c r="AE159" s="187">
        <v>17</v>
      </c>
      <c r="AF159" s="187">
        <v>1289.0909090909074</v>
      </c>
      <c r="AG159" s="187">
        <v>75.828877005347493</v>
      </c>
      <c r="AH159" s="310">
        <f t="shared" si="48"/>
        <v>10</v>
      </c>
      <c r="AI159" s="629"/>
      <c r="AJ159" s="187">
        <v>17</v>
      </c>
      <c r="AK159" s="187">
        <v>1242.6315789473674</v>
      </c>
      <c r="AL159" s="187">
        <v>73.095975232198086</v>
      </c>
      <c r="AM159" s="310">
        <f t="shared" si="49"/>
        <v>16</v>
      </c>
      <c r="AN159" s="629"/>
      <c r="AO159" s="187">
        <v>17</v>
      </c>
      <c r="AP159" s="187">
        <v>1232.8571428571424</v>
      </c>
      <c r="AQ159" s="187">
        <v>72.521008403361321</v>
      </c>
      <c r="AR159" s="310">
        <f t="shared" si="50"/>
        <v>15</v>
      </c>
      <c r="AS159" s="629"/>
      <c r="AT159" s="187">
        <v>17</v>
      </c>
      <c r="AU159" s="187">
        <v>1273.1707317073167</v>
      </c>
      <c r="AV159" s="187">
        <v>74.892395982783341</v>
      </c>
      <c r="AW159" s="310">
        <f t="shared" si="51"/>
        <v>14</v>
      </c>
      <c r="AX159" s="629"/>
    </row>
    <row r="160" spans="2:50">
      <c r="B160" s="598"/>
      <c r="C160" s="310">
        <v>14</v>
      </c>
      <c r="D160" s="231" t="s">
        <v>361</v>
      </c>
      <c r="E160" s="187">
        <v>17</v>
      </c>
      <c r="F160" s="355">
        <v>1500</v>
      </c>
      <c r="G160" s="356">
        <v>88.235294117647058</v>
      </c>
      <c r="H160" s="633"/>
      <c r="I160" s="204">
        <f t="shared" si="42"/>
        <v>17</v>
      </c>
      <c r="J160" s="204">
        <f t="shared" si="43"/>
        <v>1279.448956438104</v>
      </c>
      <c r="K160" s="205">
        <f t="shared" si="44"/>
        <v>75.261703319888468</v>
      </c>
      <c r="L160" s="572"/>
      <c r="M160" s="206">
        <f>RANK(K160, K$147:$K$176)</f>
        <v>13</v>
      </c>
      <c r="N160" s="590"/>
      <c r="O160" s="590"/>
      <c r="P160" s="187">
        <v>17</v>
      </c>
      <c r="Q160" s="187">
        <v>1287.9310344827597</v>
      </c>
      <c r="R160" s="187">
        <v>75.760649087221168</v>
      </c>
      <c r="S160" s="310">
        <f t="shared" si="45"/>
        <v>11</v>
      </c>
      <c r="T160" s="629"/>
      <c r="U160" s="187">
        <v>17</v>
      </c>
      <c r="V160" s="187">
        <v>1270.3846153846162</v>
      </c>
      <c r="W160" s="187">
        <v>74.72850678733036</v>
      </c>
      <c r="X160" s="310">
        <f t="shared" si="46"/>
        <v>15</v>
      </c>
      <c r="Y160" s="629"/>
      <c r="Z160" s="187">
        <v>17</v>
      </c>
      <c r="AA160" s="187">
        <v>1251.7647058823534</v>
      </c>
      <c r="AB160" s="187">
        <v>73.633217993079612</v>
      </c>
      <c r="AC160" s="310">
        <f t="shared" si="47"/>
        <v>15</v>
      </c>
      <c r="AD160" s="629"/>
      <c r="AE160" s="187">
        <v>17</v>
      </c>
      <c r="AF160" s="187">
        <v>1262.6666666666667</v>
      </c>
      <c r="AG160" s="187">
        <v>74.274509803921575</v>
      </c>
      <c r="AH160" s="310">
        <f t="shared" si="48"/>
        <v>14</v>
      </c>
      <c r="AI160" s="629"/>
      <c r="AJ160" s="187">
        <v>17</v>
      </c>
      <c r="AK160" s="187">
        <v>1309.5652173913043</v>
      </c>
      <c r="AL160" s="187">
        <v>77.033248081841421</v>
      </c>
      <c r="AM160" s="310">
        <f t="shared" si="49"/>
        <v>9</v>
      </c>
      <c r="AN160" s="629"/>
      <c r="AO160" s="187">
        <v>17</v>
      </c>
      <c r="AP160" s="187">
        <v>1293.0612244897964</v>
      </c>
      <c r="AQ160" s="187">
        <v>76.062424969988015</v>
      </c>
      <c r="AR160" s="310">
        <f t="shared" si="50"/>
        <v>12</v>
      </c>
      <c r="AS160" s="629"/>
      <c r="AT160" s="187">
        <v>17</v>
      </c>
      <c r="AU160" s="187">
        <v>1280.7692307692314</v>
      </c>
      <c r="AV160" s="187">
        <v>75.339366515837142</v>
      </c>
      <c r="AW160" s="310">
        <f t="shared" si="51"/>
        <v>12</v>
      </c>
      <c r="AX160" s="629"/>
    </row>
    <row r="161" spans="2:50">
      <c r="B161" s="598"/>
      <c r="C161" s="310">
        <v>15</v>
      </c>
      <c r="D161" s="231" t="s">
        <v>396</v>
      </c>
      <c r="E161" s="187">
        <v>17</v>
      </c>
      <c r="F161" s="355">
        <v>1440</v>
      </c>
      <c r="G161" s="356">
        <v>84.705882352941174</v>
      </c>
      <c r="H161" s="633"/>
      <c r="I161" s="204">
        <f t="shared" si="42"/>
        <v>17</v>
      </c>
      <c r="J161" s="204">
        <f t="shared" si="43"/>
        <v>1330.9297483376879</v>
      </c>
      <c r="K161" s="205">
        <f t="shared" si="44"/>
        <v>78.289985196334584</v>
      </c>
      <c r="L161" s="572"/>
      <c r="M161" s="204">
        <f>RANK(K161, K$147:$K$176)</f>
        <v>8</v>
      </c>
      <c r="N161" s="590"/>
      <c r="O161" s="590"/>
      <c r="P161" s="187">
        <v>17</v>
      </c>
      <c r="Q161" s="187">
        <v>1329.8249999999994</v>
      </c>
      <c r="R161" s="187">
        <v>78.224999999999966</v>
      </c>
      <c r="S161" s="310">
        <f t="shared" ref="S161:S175" si="52">RANK(R161, R$147:R$176)</f>
        <v>8</v>
      </c>
      <c r="T161" s="629"/>
      <c r="U161" s="187">
        <v>17</v>
      </c>
      <c r="V161" s="187">
        <v>1355.4315789473674</v>
      </c>
      <c r="W161" s="187">
        <v>79.731269349845135</v>
      </c>
      <c r="X161" s="310">
        <f t="shared" ref="X161:X175" si="53">RANK(W161, W$147:W$176)</f>
        <v>6</v>
      </c>
      <c r="Y161" s="629"/>
      <c r="Z161" s="187">
        <v>17</v>
      </c>
      <c r="AA161" s="187">
        <v>1318.5534246575332</v>
      </c>
      <c r="AB161" s="187">
        <v>77.561966156325482</v>
      </c>
      <c r="AC161" s="310">
        <f t="shared" ref="AC161:AC175" si="54">RANK(AB161, AB$147:AB$176)</f>
        <v>7</v>
      </c>
      <c r="AD161" s="629"/>
      <c r="AE161" s="187">
        <v>17</v>
      </c>
      <c r="AF161" s="187">
        <v>1305.0268656716403</v>
      </c>
      <c r="AG161" s="187">
        <v>76.766286215978838</v>
      </c>
      <c r="AH161" s="310">
        <f t="shared" ref="AH161:AH175" si="55">RANK(AG161, AG$147:AG$176)</f>
        <v>8</v>
      </c>
      <c r="AI161" s="629"/>
      <c r="AJ161" s="187">
        <v>17</v>
      </c>
      <c r="AK161" s="187">
        <v>1347.2250000000015</v>
      </c>
      <c r="AL161" s="187">
        <v>79.248529411764792</v>
      </c>
      <c r="AM161" s="310">
        <f t="shared" ref="AM161:AM175" si="56">RANK(AL161, AL$147:AL$176)</f>
        <v>5</v>
      </c>
      <c r="AN161" s="629"/>
      <c r="AO161" s="187">
        <v>17</v>
      </c>
      <c r="AP161" s="187">
        <v>1330.421052631578</v>
      </c>
      <c r="AQ161" s="187">
        <v>78.260061919504594</v>
      </c>
      <c r="AR161" s="310">
        <f t="shared" ref="AR161:AR175" si="57">RANK(AQ161, AQ$147:AQ$176)</f>
        <v>8</v>
      </c>
      <c r="AS161" s="629"/>
      <c r="AT161" s="187">
        <v>17</v>
      </c>
      <c r="AU161" s="187">
        <v>1330.0253164556957</v>
      </c>
      <c r="AV161" s="187">
        <v>78.23678332092328</v>
      </c>
      <c r="AW161" s="310">
        <f t="shared" ref="AW161:AW175" si="58">RANK(AV161, AV$147:AV$176)</f>
        <v>8</v>
      </c>
      <c r="AX161" s="629"/>
    </row>
    <row r="162" spans="2:50">
      <c r="B162" s="598"/>
      <c r="C162" s="310">
        <v>16</v>
      </c>
      <c r="D162" s="231" t="s">
        <v>397</v>
      </c>
      <c r="E162" s="187">
        <v>15</v>
      </c>
      <c r="F162" s="355">
        <v>1440</v>
      </c>
      <c r="G162" s="356">
        <v>96</v>
      </c>
      <c r="H162" s="633"/>
      <c r="I162" s="204">
        <f t="shared" si="42"/>
        <v>16</v>
      </c>
      <c r="J162" s="204">
        <f t="shared" si="43"/>
        <v>1269.5781825098277</v>
      </c>
      <c r="K162" s="205">
        <f t="shared" si="44"/>
        <v>79.34863640686423</v>
      </c>
      <c r="L162" s="572"/>
      <c r="M162" s="204">
        <f>RANK(K162, K$147:$K$176)</f>
        <v>7</v>
      </c>
      <c r="N162" s="590"/>
      <c r="O162" s="590"/>
      <c r="P162" s="187">
        <v>16</v>
      </c>
      <c r="Q162" s="187">
        <v>1290.8823529411779</v>
      </c>
      <c r="R162" s="187">
        <v>80.680147058823621</v>
      </c>
      <c r="S162" s="310">
        <f t="shared" si="52"/>
        <v>5</v>
      </c>
      <c r="T162" s="629"/>
      <c r="U162" s="187">
        <v>16</v>
      </c>
      <c r="V162" s="187">
        <v>1264.4776119403</v>
      </c>
      <c r="W162" s="187">
        <v>79.02985074626875</v>
      </c>
      <c r="X162" s="310">
        <f t="shared" si="53"/>
        <v>7</v>
      </c>
      <c r="Y162" s="629"/>
      <c r="Z162" s="187">
        <v>16</v>
      </c>
      <c r="AA162" s="187">
        <v>1299.0000000000011</v>
      </c>
      <c r="AB162" s="187">
        <v>81.187500000000071</v>
      </c>
      <c r="AC162" s="310">
        <f t="shared" si="54"/>
        <v>6</v>
      </c>
      <c r="AD162" s="629"/>
      <c r="AE162" s="187">
        <v>16</v>
      </c>
      <c r="AF162" s="187">
        <v>1252.0000000000011</v>
      </c>
      <c r="AG162" s="187">
        <v>78.250000000000071</v>
      </c>
      <c r="AH162" s="310">
        <f t="shared" si="55"/>
        <v>7</v>
      </c>
      <c r="AI162" s="629"/>
      <c r="AJ162" s="187">
        <v>16</v>
      </c>
      <c r="AK162" s="187">
        <v>1259.0769230769245</v>
      </c>
      <c r="AL162" s="187">
        <v>78.692307692307779</v>
      </c>
      <c r="AM162" s="310">
        <f t="shared" si="56"/>
        <v>7</v>
      </c>
      <c r="AN162" s="629"/>
      <c r="AO162" s="187">
        <v>16</v>
      </c>
      <c r="AP162" s="187">
        <v>1263.4285714285702</v>
      </c>
      <c r="AQ162" s="187">
        <v>78.964285714285637</v>
      </c>
      <c r="AR162" s="310">
        <f t="shared" si="57"/>
        <v>6</v>
      </c>
      <c r="AS162" s="629"/>
      <c r="AT162" s="187">
        <v>16</v>
      </c>
      <c r="AU162" s="187">
        <v>1258.1818181818196</v>
      </c>
      <c r="AV162" s="187">
        <v>78.636363636363726</v>
      </c>
      <c r="AW162" s="310">
        <f t="shared" si="58"/>
        <v>7</v>
      </c>
      <c r="AX162" s="629"/>
    </row>
    <row r="163" spans="2:50">
      <c r="B163" s="598"/>
      <c r="C163" s="310">
        <v>17</v>
      </c>
      <c r="D163" s="231" t="s">
        <v>349</v>
      </c>
      <c r="E163" s="187">
        <v>16</v>
      </c>
      <c r="F163" s="355">
        <v>1440</v>
      </c>
      <c r="G163" s="356">
        <v>90</v>
      </c>
      <c r="H163" s="633"/>
      <c r="I163" s="204">
        <f t="shared" si="42"/>
        <v>16.714285714285715</v>
      </c>
      <c r="J163" s="204">
        <f t="shared" si="43"/>
        <v>1340.4985686588147</v>
      </c>
      <c r="K163" s="205">
        <f t="shared" si="44"/>
        <v>80.244585768219807</v>
      </c>
      <c r="L163" s="572"/>
      <c r="M163" s="204">
        <f>RANK(K163, K$147:$K$176)</f>
        <v>6</v>
      </c>
      <c r="N163" s="590"/>
      <c r="O163" s="590"/>
      <c r="P163" s="187">
        <v>17</v>
      </c>
      <c r="Q163" s="187">
        <v>1365.263157894738</v>
      </c>
      <c r="R163" s="187">
        <v>80.309597523219878</v>
      </c>
      <c r="S163" s="310">
        <f t="shared" si="52"/>
        <v>6</v>
      </c>
      <c r="T163" s="629"/>
      <c r="U163" s="187">
        <v>17</v>
      </c>
      <c r="V163" s="187">
        <v>1359.2079207920797</v>
      </c>
      <c r="W163" s="187">
        <v>79.953407105416446</v>
      </c>
      <c r="X163" s="310">
        <f t="shared" si="53"/>
        <v>5</v>
      </c>
      <c r="Y163" s="629"/>
      <c r="Z163" s="187">
        <v>16</v>
      </c>
      <c r="AA163" s="187">
        <v>1343.4000000000005</v>
      </c>
      <c r="AB163" s="187">
        <v>83.962500000000034</v>
      </c>
      <c r="AC163" s="310">
        <f t="shared" si="54"/>
        <v>4</v>
      </c>
      <c r="AD163" s="629"/>
      <c r="AE163" s="187">
        <v>16</v>
      </c>
      <c r="AF163" s="187">
        <v>1306.4516129032261</v>
      </c>
      <c r="AG163" s="187">
        <v>81.65322580645163</v>
      </c>
      <c r="AH163" s="310">
        <f t="shared" si="55"/>
        <v>4</v>
      </c>
      <c r="AI163" s="629"/>
      <c r="AJ163" s="187">
        <v>17</v>
      </c>
      <c r="AK163" s="187">
        <v>1315.3846153846155</v>
      </c>
      <c r="AL163" s="187">
        <v>77.375565610859738</v>
      </c>
      <c r="AM163" s="310">
        <f t="shared" si="56"/>
        <v>8</v>
      </c>
      <c r="AN163" s="629"/>
      <c r="AO163" s="187">
        <v>17</v>
      </c>
      <c r="AP163" s="187">
        <v>1333.3980582524277</v>
      </c>
      <c r="AQ163" s="187">
        <v>78.435179897201635</v>
      </c>
      <c r="AR163" s="310">
        <f t="shared" si="57"/>
        <v>7</v>
      </c>
      <c r="AS163" s="629"/>
      <c r="AT163" s="187">
        <v>17</v>
      </c>
      <c r="AU163" s="187">
        <v>1360.3846153846162</v>
      </c>
      <c r="AV163" s="187">
        <v>80.022624434389186</v>
      </c>
      <c r="AW163" s="310">
        <f t="shared" si="58"/>
        <v>6</v>
      </c>
      <c r="AX163" s="629"/>
    </row>
    <row r="164" spans="2:50">
      <c r="B164" s="598"/>
      <c r="C164" s="310">
        <v>18</v>
      </c>
      <c r="D164" s="231" t="s">
        <v>388</v>
      </c>
      <c r="E164" s="187">
        <v>17</v>
      </c>
      <c r="F164" s="355">
        <v>1636</v>
      </c>
      <c r="G164" s="356">
        <v>96.235294117647058</v>
      </c>
      <c r="H164" s="633"/>
      <c r="I164" s="204">
        <f t="shared" si="42"/>
        <v>17</v>
      </c>
      <c r="J164" s="204">
        <f t="shared" si="43"/>
        <v>1282.431949090718</v>
      </c>
      <c r="K164" s="205">
        <f t="shared" si="44"/>
        <v>75.437173475924581</v>
      </c>
      <c r="L164" s="572"/>
      <c r="M164" s="204">
        <f>RANK(K164, K$147:$K$176)</f>
        <v>12</v>
      </c>
      <c r="N164" s="590"/>
      <c r="O164" s="590"/>
      <c r="P164" s="187">
        <v>17</v>
      </c>
      <c r="Q164" s="187">
        <v>1279.6153846153852</v>
      </c>
      <c r="R164" s="187">
        <v>75.271493212669725</v>
      </c>
      <c r="S164" s="310">
        <f t="shared" si="52"/>
        <v>12</v>
      </c>
      <c r="T164" s="629"/>
      <c r="U164" s="187">
        <v>17</v>
      </c>
      <c r="V164" s="187">
        <v>1289.3333333333333</v>
      </c>
      <c r="W164" s="187">
        <v>75.843137254901961</v>
      </c>
      <c r="X164" s="310">
        <f t="shared" si="53"/>
        <v>13</v>
      </c>
      <c r="Y164" s="629"/>
      <c r="Z164" s="187">
        <v>17</v>
      </c>
      <c r="AA164" s="187">
        <v>1296.3157894736833</v>
      </c>
      <c r="AB164" s="187">
        <v>76.253869969040196</v>
      </c>
      <c r="AC164" s="310">
        <f t="shared" si="54"/>
        <v>9</v>
      </c>
      <c r="AD164" s="629"/>
      <c r="AE164" s="187">
        <v>17</v>
      </c>
      <c r="AF164" s="187">
        <v>1249.4999999999995</v>
      </c>
      <c r="AG164" s="187">
        <v>73.499999999999972</v>
      </c>
      <c r="AH164" s="310">
        <f t="shared" si="55"/>
        <v>15</v>
      </c>
      <c r="AI164" s="629"/>
      <c r="AJ164" s="187">
        <v>17</v>
      </c>
      <c r="AK164" s="187">
        <v>1257.1428571428567</v>
      </c>
      <c r="AL164" s="187">
        <v>73.949579831932738</v>
      </c>
      <c r="AM164" s="310">
        <f t="shared" si="56"/>
        <v>14</v>
      </c>
      <c r="AN164" s="629"/>
      <c r="AO164" s="187">
        <v>17</v>
      </c>
      <c r="AP164" s="187">
        <v>1296.2790697674418</v>
      </c>
      <c r="AQ164" s="187">
        <v>76.251709986320108</v>
      </c>
      <c r="AR164" s="310">
        <f t="shared" si="57"/>
        <v>11</v>
      </c>
      <c r="AS164" s="629"/>
      <c r="AT164" s="187">
        <v>17</v>
      </c>
      <c r="AU164" s="187">
        <v>1308.8372093023254</v>
      </c>
      <c r="AV164" s="187">
        <v>76.990424076607383</v>
      </c>
      <c r="AW164" s="310">
        <f t="shared" si="58"/>
        <v>9</v>
      </c>
      <c r="AX164" s="629"/>
    </row>
    <row r="165" spans="2:50">
      <c r="B165" s="598"/>
      <c r="C165" s="310">
        <v>19</v>
      </c>
      <c r="D165" s="231" t="s">
        <v>390</v>
      </c>
      <c r="E165" s="187">
        <v>18</v>
      </c>
      <c r="F165" s="355">
        <v>1440</v>
      </c>
      <c r="G165" s="356">
        <v>80</v>
      </c>
      <c r="H165" s="633"/>
      <c r="I165" s="204">
        <f t="shared" si="42"/>
        <v>18</v>
      </c>
      <c r="J165" s="204">
        <f t="shared" si="43"/>
        <v>1287.4090709573973</v>
      </c>
      <c r="K165" s="205">
        <f t="shared" si="44"/>
        <v>71.52272616429984</v>
      </c>
      <c r="L165" s="572"/>
      <c r="M165" s="204">
        <f>RANK(K165, K$147:$K$176)</f>
        <v>16</v>
      </c>
      <c r="N165" s="590"/>
      <c r="O165" s="590"/>
      <c r="P165" s="187">
        <v>18</v>
      </c>
      <c r="Q165" s="187">
        <v>1306.0465116279067</v>
      </c>
      <c r="R165" s="187">
        <v>72.558139534883708</v>
      </c>
      <c r="S165" s="310">
        <f t="shared" si="52"/>
        <v>17</v>
      </c>
      <c r="T165" s="629"/>
      <c r="U165" s="187">
        <v>18</v>
      </c>
      <c r="V165" s="187">
        <v>1311.3157894736833</v>
      </c>
      <c r="W165" s="187">
        <v>72.850877192982409</v>
      </c>
      <c r="X165" s="310">
        <f t="shared" si="53"/>
        <v>17</v>
      </c>
      <c r="Y165" s="629"/>
      <c r="Z165" s="187">
        <v>18</v>
      </c>
      <c r="AA165" s="187">
        <v>1250.8333333333323</v>
      </c>
      <c r="AB165" s="187">
        <v>69.490740740740691</v>
      </c>
      <c r="AC165" s="310">
        <f t="shared" si="54"/>
        <v>18</v>
      </c>
      <c r="AD165" s="629"/>
      <c r="AE165" s="187">
        <v>18</v>
      </c>
      <c r="AF165" s="187">
        <v>1310.0000000000014</v>
      </c>
      <c r="AG165" s="187">
        <v>72.777777777777857</v>
      </c>
      <c r="AH165" s="310">
        <f t="shared" si="55"/>
        <v>16</v>
      </c>
      <c r="AI165" s="629"/>
      <c r="AJ165" s="187">
        <v>18</v>
      </c>
      <c r="AK165" s="187">
        <v>1292.4999999999991</v>
      </c>
      <c r="AL165" s="187">
        <v>71.8055555555555</v>
      </c>
      <c r="AM165" s="310">
        <f t="shared" si="56"/>
        <v>17</v>
      </c>
      <c r="AN165" s="629"/>
      <c r="AO165" s="187">
        <v>18</v>
      </c>
      <c r="AP165" s="187">
        <v>1261.4117647058822</v>
      </c>
      <c r="AQ165" s="187">
        <v>70.078431372549005</v>
      </c>
      <c r="AR165" s="310">
        <f t="shared" si="57"/>
        <v>17</v>
      </c>
      <c r="AS165" s="629"/>
      <c r="AT165" s="187">
        <v>18</v>
      </c>
      <c r="AU165" s="187">
        <v>1279.7560975609751</v>
      </c>
      <c r="AV165" s="187">
        <v>71.097560975609724</v>
      </c>
      <c r="AW165" s="310">
        <f t="shared" si="58"/>
        <v>16</v>
      </c>
      <c r="AX165" s="629"/>
    </row>
    <row r="166" spans="2:50">
      <c r="B166" s="598"/>
      <c r="C166" s="310">
        <v>20</v>
      </c>
      <c r="D166" s="231" t="s">
        <v>665</v>
      </c>
      <c r="E166" s="187">
        <v>18</v>
      </c>
      <c r="F166" s="355">
        <v>1500</v>
      </c>
      <c r="G166" s="356">
        <v>83.333333333333329</v>
      </c>
      <c r="H166" s="633"/>
      <c r="I166" s="204">
        <f t="shared" si="42"/>
        <v>17</v>
      </c>
      <c r="J166" s="204">
        <f t="shared" si="43"/>
        <v>1199.9908827268373</v>
      </c>
      <c r="K166" s="205">
        <f t="shared" si="44"/>
        <v>70.587698983931617</v>
      </c>
      <c r="L166" s="572"/>
      <c r="M166" s="204">
        <f>RANK(K166, K$147:$K$176)</f>
        <v>17</v>
      </c>
      <c r="N166" s="590"/>
      <c r="O166" s="590"/>
      <c r="P166" s="187">
        <v>17</v>
      </c>
      <c r="Q166" s="187">
        <v>1276.8749999999982</v>
      </c>
      <c r="R166" s="187">
        <v>75.110294117646959</v>
      </c>
      <c r="S166" s="310">
        <f t="shared" si="52"/>
        <v>13</v>
      </c>
      <c r="T166" s="629"/>
      <c r="U166" s="187">
        <v>17</v>
      </c>
      <c r="V166" s="187">
        <v>1285.9999999999977</v>
      </c>
      <c r="W166" s="187">
        <v>75.647058823529278</v>
      </c>
      <c r="X166" s="310">
        <f t="shared" si="53"/>
        <v>14</v>
      </c>
      <c r="Y166" s="629"/>
      <c r="Z166" s="187">
        <v>17</v>
      </c>
      <c r="AA166" s="187">
        <v>1271.6129032258045</v>
      </c>
      <c r="AB166" s="187">
        <v>74.800759013282615</v>
      </c>
      <c r="AC166" s="310">
        <f t="shared" si="54"/>
        <v>12</v>
      </c>
      <c r="AD166" s="629"/>
      <c r="AE166" s="187">
        <v>17</v>
      </c>
      <c r="AF166" s="187">
        <v>1109.9999999999984</v>
      </c>
      <c r="AG166" s="187">
        <v>65.294117647058727</v>
      </c>
      <c r="AH166" s="310">
        <f t="shared" si="55"/>
        <v>23</v>
      </c>
      <c r="AI166" s="629"/>
      <c r="AJ166" s="187">
        <v>17</v>
      </c>
      <c r="AK166" s="187">
        <v>1243.4482758620666</v>
      </c>
      <c r="AL166" s="187">
        <v>73.144016227180387</v>
      </c>
      <c r="AM166" s="310">
        <f t="shared" si="56"/>
        <v>15</v>
      </c>
      <c r="AN166" s="629"/>
      <c r="AO166" s="187">
        <v>17</v>
      </c>
      <c r="AP166" s="187">
        <v>1101.9999999999982</v>
      </c>
      <c r="AQ166" s="187">
        <v>64.823529411764596</v>
      </c>
      <c r="AR166" s="310">
        <f t="shared" si="57"/>
        <v>23</v>
      </c>
      <c r="AS166" s="629"/>
      <c r="AT166" s="187">
        <v>17</v>
      </c>
      <c r="AU166" s="187">
        <v>1109.9999999999982</v>
      </c>
      <c r="AV166" s="187">
        <v>65.294117647058712</v>
      </c>
      <c r="AW166" s="310">
        <f t="shared" si="58"/>
        <v>23</v>
      </c>
      <c r="AX166" s="629"/>
    </row>
    <row r="167" spans="2:50">
      <c r="B167" s="598"/>
      <c r="C167" s="310">
        <v>21</v>
      </c>
      <c r="D167" s="231" t="s">
        <v>398</v>
      </c>
      <c r="E167" s="187">
        <v>18</v>
      </c>
      <c r="F167" s="355">
        <v>1500</v>
      </c>
      <c r="G167" s="356">
        <v>83.333333333333329</v>
      </c>
      <c r="H167" s="633"/>
      <c r="I167" s="204">
        <f t="shared" si="42"/>
        <v>18</v>
      </c>
      <c r="J167" s="204">
        <f t="shared" si="43"/>
        <v>1268.3137700568925</v>
      </c>
      <c r="K167" s="205">
        <f t="shared" si="44"/>
        <v>70.461876114271803</v>
      </c>
      <c r="L167" s="572"/>
      <c r="M167" s="204">
        <f>RANK(K167, K$147:$K$176)</f>
        <v>18</v>
      </c>
      <c r="N167" s="590"/>
      <c r="O167" s="590"/>
      <c r="P167" s="187">
        <v>18</v>
      </c>
      <c r="Q167" s="187">
        <v>1259.2682926829264</v>
      </c>
      <c r="R167" s="187">
        <v>69.959349593495915</v>
      </c>
      <c r="S167" s="310">
        <f t="shared" si="52"/>
        <v>18</v>
      </c>
      <c r="T167" s="629"/>
      <c r="U167" s="187">
        <v>18</v>
      </c>
      <c r="V167" s="187">
        <v>1299.4520547945197</v>
      </c>
      <c r="W167" s="187">
        <v>72.19178082191776</v>
      </c>
      <c r="X167" s="310">
        <f t="shared" si="53"/>
        <v>18</v>
      </c>
      <c r="Y167" s="629"/>
      <c r="Z167" s="187">
        <v>18</v>
      </c>
      <c r="AA167" s="187">
        <v>1270.4347826086944</v>
      </c>
      <c r="AB167" s="187">
        <v>70.579710144927461</v>
      </c>
      <c r="AC167" s="310">
        <f t="shared" si="54"/>
        <v>17</v>
      </c>
      <c r="AD167" s="629"/>
      <c r="AE167" s="187">
        <v>18</v>
      </c>
      <c r="AF167" s="187">
        <v>1269.8507462686553</v>
      </c>
      <c r="AG167" s="187">
        <v>70.547263681591957</v>
      </c>
      <c r="AH167" s="310">
        <f t="shared" si="55"/>
        <v>17</v>
      </c>
      <c r="AI167" s="629"/>
      <c r="AJ167" s="187">
        <v>18</v>
      </c>
      <c r="AK167" s="187">
        <v>1250.2941176470572</v>
      </c>
      <c r="AL167" s="187">
        <v>69.460784313725398</v>
      </c>
      <c r="AM167" s="310">
        <f t="shared" si="56"/>
        <v>18</v>
      </c>
      <c r="AN167" s="629"/>
      <c r="AO167" s="187">
        <v>18</v>
      </c>
      <c r="AP167" s="187">
        <v>1269.7297297297289</v>
      </c>
      <c r="AQ167" s="187">
        <v>70.540540540540491</v>
      </c>
      <c r="AR167" s="310">
        <f t="shared" si="57"/>
        <v>16</v>
      </c>
      <c r="AS167" s="629"/>
      <c r="AT167" s="187">
        <v>18</v>
      </c>
      <c r="AU167" s="187">
        <v>1259.1666666666656</v>
      </c>
      <c r="AV167" s="187">
        <v>69.953703703703638</v>
      </c>
      <c r="AW167" s="310">
        <f t="shared" si="58"/>
        <v>18</v>
      </c>
      <c r="AX167" s="629"/>
    </row>
    <row r="168" spans="2:50">
      <c r="B168" s="598"/>
      <c r="C168" s="310">
        <v>22</v>
      </c>
      <c r="D168" s="231" t="s">
        <v>569</v>
      </c>
      <c r="E168" s="187">
        <v>17</v>
      </c>
      <c r="F168" s="355">
        <v>1440</v>
      </c>
      <c r="G168" s="356">
        <v>84.705882352941174</v>
      </c>
      <c r="H168" s="633"/>
      <c r="I168" s="204">
        <f t="shared" si="42"/>
        <v>17</v>
      </c>
      <c r="J168" s="204">
        <f t="shared" si="43"/>
        <v>1277.0626498556553</v>
      </c>
      <c r="K168" s="205">
        <f t="shared" si="44"/>
        <v>75.121332344450295</v>
      </c>
      <c r="L168" s="572"/>
      <c r="M168" s="204">
        <f>RANK(K168, K$147:$K$176)</f>
        <v>14</v>
      </c>
      <c r="N168" s="590"/>
      <c r="O168" s="590"/>
      <c r="P168" s="187">
        <v>17</v>
      </c>
      <c r="Q168" s="187">
        <v>1258.9285714285722</v>
      </c>
      <c r="R168" s="187">
        <v>74.054621848739544</v>
      </c>
      <c r="S168" s="310">
        <f t="shared" si="52"/>
        <v>15</v>
      </c>
      <c r="T168" s="629"/>
      <c r="U168" s="187">
        <v>17</v>
      </c>
      <c r="V168" s="187">
        <v>1318.695652173913</v>
      </c>
      <c r="W168" s="187">
        <v>77.570332480818408</v>
      </c>
      <c r="X168" s="310">
        <f t="shared" si="53"/>
        <v>8</v>
      </c>
      <c r="Y168" s="629"/>
      <c r="Z168" s="187">
        <v>17</v>
      </c>
      <c r="AA168" s="187">
        <v>1258.6363636363635</v>
      </c>
      <c r="AB168" s="187">
        <v>74.037433155080208</v>
      </c>
      <c r="AC168" s="310">
        <f t="shared" si="54"/>
        <v>14</v>
      </c>
      <c r="AD168" s="629"/>
      <c r="AE168" s="187">
        <v>17</v>
      </c>
      <c r="AF168" s="187">
        <v>1288.4999999999995</v>
      </c>
      <c r="AG168" s="187">
        <v>75.794117647058798</v>
      </c>
      <c r="AH168" s="310">
        <f t="shared" si="55"/>
        <v>11</v>
      </c>
      <c r="AI168" s="629"/>
      <c r="AJ168" s="187">
        <v>17</v>
      </c>
      <c r="AK168" s="187">
        <v>1269.3333333333333</v>
      </c>
      <c r="AL168" s="187">
        <v>74.666666666666657</v>
      </c>
      <c r="AM168" s="310">
        <f t="shared" si="56"/>
        <v>13</v>
      </c>
      <c r="AN168" s="629"/>
      <c r="AO168" s="187">
        <v>17</v>
      </c>
      <c r="AP168" s="187">
        <v>1264.5283018867931</v>
      </c>
      <c r="AQ168" s="187">
        <v>74.384017758046653</v>
      </c>
      <c r="AR168" s="310">
        <f t="shared" si="57"/>
        <v>13</v>
      </c>
      <c r="AS168" s="629"/>
      <c r="AT168" s="187">
        <v>17</v>
      </c>
      <c r="AU168" s="187">
        <v>1280.8163265306125</v>
      </c>
      <c r="AV168" s="187">
        <v>75.342136854741909</v>
      </c>
      <c r="AW168" s="310">
        <f t="shared" si="58"/>
        <v>11</v>
      </c>
      <c r="AX168" s="629"/>
    </row>
    <row r="169" spans="2:50">
      <c r="B169" s="598"/>
      <c r="C169" s="310">
        <v>23</v>
      </c>
      <c r="D169" s="231" t="s">
        <v>707</v>
      </c>
      <c r="E169" s="187">
        <v>18</v>
      </c>
      <c r="F169" s="355">
        <v>1385</v>
      </c>
      <c r="G169" s="356">
        <v>76.944444444444443</v>
      </c>
      <c r="H169" s="633"/>
      <c r="I169" s="204">
        <f t="shared" si="42"/>
        <v>17.714285714285715</v>
      </c>
      <c r="J169" s="204">
        <f t="shared" si="43"/>
        <v>1172.8891853951004</v>
      </c>
      <c r="K169" s="205">
        <f t="shared" si="44"/>
        <v>66.267105218397006</v>
      </c>
      <c r="L169" s="572"/>
      <c r="M169" s="204">
        <f>RANK(K169, K$147:$K$176)</f>
        <v>23</v>
      </c>
      <c r="N169" s="590"/>
      <c r="O169" s="590"/>
      <c r="P169" s="187">
        <v>18</v>
      </c>
      <c r="Q169" s="187">
        <v>1189.5652173913043</v>
      </c>
      <c r="R169" s="187">
        <v>66.086956521739125</v>
      </c>
      <c r="S169" s="310">
        <f t="shared" si="52"/>
        <v>21</v>
      </c>
      <c r="T169" s="629"/>
      <c r="U169" s="187">
        <v>18</v>
      </c>
      <c r="V169" s="187">
        <v>1160.2247191011236</v>
      </c>
      <c r="W169" s="187">
        <v>64.456928838951313</v>
      </c>
      <c r="X169" s="310">
        <f t="shared" si="53"/>
        <v>24</v>
      </c>
      <c r="Y169" s="629"/>
      <c r="Z169" s="187">
        <v>18</v>
      </c>
      <c r="AA169" s="187">
        <v>1157.5999999999992</v>
      </c>
      <c r="AB169" s="187">
        <v>64.311111111111074</v>
      </c>
      <c r="AC169" s="310">
        <f t="shared" si="54"/>
        <v>24</v>
      </c>
      <c r="AD169" s="629"/>
      <c r="AE169" s="187">
        <v>18</v>
      </c>
      <c r="AF169" s="187">
        <v>1164.4067796610179</v>
      </c>
      <c r="AG169" s="187">
        <v>64.689265536723212</v>
      </c>
      <c r="AH169" s="310">
        <f t="shared" si="55"/>
        <v>24</v>
      </c>
      <c r="AI169" s="629"/>
      <c r="AJ169" s="187">
        <v>17</v>
      </c>
      <c r="AK169" s="187">
        <v>1164.7999999999993</v>
      </c>
      <c r="AL169" s="187">
        <v>68.517647058823485</v>
      </c>
      <c r="AM169" s="310">
        <f t="shared" si="56"/>
        <v>21</v>
      </c>
      <c r="AN169" s="629"/>
      <c r="AO169" s="187">
        <v>18</v>
      </c>
      <c r="AP169" s="187">
        <v>1168.1012658227842</v>
      </c>
      <c r="AQ169" s="187">
        <v>64.894514767932449</v>
      </c>
      <c r="AR169" s="310">
        <f t="shared" si="57"/>
        <v>22</v>
      </c>
      <c r="AS169" s="629"/>
      <c r="AT169" s="187">
        <v>17</v>
      </c>
      <c r="AU169" s="187">
        <v>1205.5263157894728</v>
      </c>
      <c r="AV169" s="187">
        <v>70.913312693498398</v>
      </c>
      <c r="AW169" s="310">
        <f t="shared" si="58"/>
        <v>17</v>
      </c>
      <c r="AX169" s="629"/>
    </row>
    <row r="170" spans="2:50">
      <c r="B170" s="598"/>
      <c r="C170" s="310">
        <v>24</v>
      </c>
      <c r="D170" s="231" t="s">
        <v>389</v>
      </c>
      <c r="E170" s="187">
        <v>18</v>
      </c>
      <c r="F170" s="355">
        <v>1440</v>
      </c>
      <c r="G170" s="356">
        <v>80</v>
      </c>
      <c r="H170" s="633"/>
      <c r="I170" s="204">
        <f t="shared" si="42"/>
        <v>17.571428571428573</v>
      </c>
      <c r="J170" s="204">
        <f t="shared" si="43"/>
        <v>1171.724036872562</v>
      </c>
      <c r="K170" s="205">
        <f t="shared" si="44"/>
        <v>66.728322601125882</v>
      </c>
      <c r="L170" s="572"/>
      <c r="M170" s="204">
        <f>RANK(K170, K$147:$K$176)</f>
        <v>21</v>
      </c>
      <c r="N170" s="590"/>
      <c r="O170" s="590"/>
      <c r="P170" s="378">
        <v>18</v>
      </c>
      <c r="Q170" s="379">
        <v>1170.8999999999996</v>
      </c>
      <c r="R170" s="379">
        <v>65.049999999999983</v>
      </c>
      <c r="S170" s="310">
        <f t="shared" si="52"/>
        <v>22</v>
      </c>
      <c r="T170" s="629"/>
      <c r="U170" s="495">
        <v>18</v>
      </c>
      <c r="V170" s="496">
        <v>1177.0529801324508</v>
      </c>
      <c r="W170" s="496">
        <v>65.391832229580601</v>
      </c>
      <c r="X170" s="310">
        <f t="shared" si="53"/>
        <v>21</v>
      </c>
      <c r="Y170" s="629"/>
      <c r="Z170" s="495">
        <v>18</v>
      </c>
      <c r="AA170" s="496">
        <v>1173.5049504950498</v>
      </c>
      <c r="AB170" s="496">
        <v>65.194719471947209</v>
      </c>
      <c r="AC170" s="310">
        <f t="shared" si="54"/>
        <v>22</v>
      </c>
      <c r="AD170" s="629"/>
      <c r="AE170" s="495">
        <v>18</v>
      </c>
      <c r="AF170" s="496">
        <v>1183.7037037037032</v>
      </c>
      <c r="AG170" s="496">
        <v>65.761316872427955</v>
      </c>
      <c r="AH170" s="310">
        <f t="shared" si="55"/>
        <v>21</v>
      </c>
      <c r="AI170" s="629"/>
      <c r="AJ170" s="495">
        <v>17</v>
      </c>
      <c r="AK170" s="496">
        <v>1166.6249999999995</v>
      </c>
      <c r="AL170" s="496">
        <v>68.624999999999972</v>
      </c>
      <c r="AM170" s="310">
        <f t="shared" si="56"/>
        <v>19</v>
      </c>
      <c r="AN170" s="629"/>
      <c r="AO170" s="495">
        <v>17</v>
      </c>
      <c r="AP170" s="496">
        <v>1151.7977528089887</v>
      </c>
      <c r="AQ170" s="496">
        <v>67.752808988764045</v>
      </c>
      <c r="AR170" s="310">
        <f t="shared" si="57"/>
        <v>19</v>
      </c>
      <c r="AS170" s="629"/>
      <c r="AT170" s="495">
        <v>17</v>
      </c>
      <c r="AU170" s="496">
        <v>1178.4838709677422</v>
      </c>
      <c r="AV170" s="496">
        <v>69.32258064516131</v>
      </c>
      <c r="AW170" s="310">
        <f t="shared" si="58"/>
        <v>19</v>
      </c>
      <c r="AX170" s="629"/>
    </row>
    <row r="171" spans="2:50">
      <c r="B171" s="598"/>
      <c r="C171" s="310">
        <v>25</v>
      </c>
      <c r="D171" s="231" t="s">
        <v>819</v>
      </c>
      <c r="E171" s="187">
        <v>17</v>
      </c>
      <c r="F171" s="355">
        <v>1440</v>
      </c>
      <c r="G171" s="356">
        <v>84.705882352941174</v>
      </c>
      <c r="H171" s="633"/>
      <c r="I171" s="497">
        <f t="shared" ref="I171" si="59">AVERAGE(P171,U171,Z171,AE171,AJ171,AO171,AT171)</f>
        <v>17</v>
      </c>
      <c r="J171" s="497">
        <f t="shared" ref="J171" si="60">AVERAGE(Q171,V171,AA171,AF171,AK171,AP171,AU171)</f>
        <v>1283.0855514490663</v>
      </c>
      <c r="K171" s="205">
        <f t="shared" ref="K171" si="61">AVERAGE(R171,W171,AB171,AG171,AL171,AQ171,AV171)</f>
        <v>75.475620673474481</v>
      </c>
      <c r="L171" s="572"/>
      <c r="M171" s="204">
        <f>RANK(K171, K$147:$K$176)</f>
        <v>10</v>
      </c>
      <c r="N171" s="590"/>
      <c r="O171" s="590"/>
      <c r="P171" s="378">
        <v>17</v>
      </c>
      <c r="Q171" s="379">
        <v>1270.7027027027029</v>
      </c>
      <c r="R171" s="379">
        <v>74.747217806041348</v>
      </c>
      <c r="S171" s="310">
        <f t="shared" si="52"/>
        <v>14</v>
      </c>
      <c r="T171" s="629"/>
      <c r="U171" s="495">
        <v>17</v>
      </c>
      <c r="V171" s="496">
        <v>1310.2499999999995</v>
      </c>
      <c r="W171" s="496">
        <v>77.073529411764682</v>
      </c>
      <c r="X171" s="310">
        <f t="shared" si="53"/>
        <v>9</v>
      </c>
      <c r="Y171" s="629"/>
      <c r="Z171" s="495">
        <v>17</v>
      </c>
      <c r="AA171" s="496">
        <v>1294.4347826086948</v>
      </c>
      <c r="AB171" s="496">
        <v>76.143222506393812</v>
      </c>
      <c r="AC171" s="310">
        <f t="shared" si="54"/>
        <v>11</v>
      </c>
      <c r="AD171" s="629"/>
      <c r="AE171" s="495">
        <v>17</v>
      </c>
      <c r="AF171" s="496">
        <v>1283.1818181818182</v>
      </c>
      <c r="AG171" s="496">
        <v>75.481283422459896</v>
      </c>
      <c r="AH171" s="310">
        <f t="shared" si="55"/>
        <v>12</v>
      </c>
      <c r="AI171" s="629"/>
      <c r="AJ171" s="495">
        <v>17</v>
      </c>
      <c r="AK171" s="496">
        <v>1299.9999999999995</v>
      </c>
      <c r="AL171" s="496">
        <v>76.470588235294088</v>
      </c>
      <c r="AM171" s="310">
        <f t="shared" si="56"/>
        <v>10</v>
      </c>
      <c r="AN171" s="629"/>
      <c r="AO171" s="495">
        <v>17</v>
      </c>
      <c r="AP171" s="496">
        <v>1257.8571428571438</v>
      </c>
      <c r="AQ171" s="496">
        <v>73.991596638655523</v>
      </c>
      <c r="AR171" s="310">
        <f t="shared" si="57"/>
        <v>14</v>
      </c>
      <c r="AS171" s="629"/>
      <c r="AT171" s="495">
        <v>17</v>
      </c>
      <c r="AU171" s="496">
        <v>1265.1724137931044</v>
      </c>
      <c r="AV171" s="496">
        <v>74.421906693712017</v>
      </c>
      <c r="AW171" s="310">
        <f t="shared" si="58"/>
        <v>15</v>
      </c>
      <c r="AX171" s="629"/>
    </row>
    <row r="172" spans="2:50">
      <c r="B172" s="598"/>
      <c r="C172" s="310">
        <v>26</v>
      </c>
      <c r="D172" s="231"/>
      <c r="E172" s="187"/>
      <c r="F172" s="355"/>
      <c r="G172" s="356"/>
      <c r="H172" s="633"/>
      <c r="I172" s="204"/>
      <c r="J172" s="204"/>
      <c r="K172" s="205"/>
      <c r="L172" s="572"/>
      <c r="M172" s="204" t="e">
        <f>RANK(K172, K$147:$K$176)</f>
        <v>#N/A</v>
      </c>
      <c r="N172" s="590"/>
      <c r="O172" s="590"/>
      <c r="P172" s="378"/>
      <c r="Q172" s="379"/>
      <c r="R172" s="379"/>
      <c r="S172" s="310" t="e">
        <f t="shared" si="52"/>
        <v>#N/A</v>
      </c>
      <c r="T172" s="629"/>
      <c r="U172" s="378"/>
      <c r="V172" s="379"/>
      <c r="W172" s="379"/>
      <c r="X172" s="310" t="e">
        <f t="shared" si="53"/>
        <v>#N/A</v>
      </c>
      <c r="Y172" s="629"/>
      <c r="Z172" s="378"/>
      <c r="AA172" s="379"/>
      <c r="AB172" s="379"/>
      <c r="AC172" s="310" t="e">
        <f t="shared" si="54"/>
        <v>#N/A</v>
      </c>
      <c r="AD172" s="629"/>
      <c r="AE172" s="378"/>
      <c r="AF172" s="379"/>
      <c r="AG172" s="379"/>
      <c r="AH172" s="310" t="e">
        <f t="shared" si="55"/>
        <v>#N/A</v>
      </c>
      <c r="AI172" s="629"/>
      <c r="AJ172" s="378"/>
      <c r="AK172" s="379"/>
      <c r="AL172" s="379"/>
      <c r="AM172" s="310" t="e">
        <f t="shared" si="56"/>
        <v>#N/A</v>
      </c>
      <c r="AN172" s="629"/>
      <c r="AO172" s="378"/>
      <c r="AP172" s="379"/>
      <c r="AQ172" s="379"/>
      <c r="AR172" s="310" t="e">
        <f t="shared" si="57"/>
        <v>#N/A</v>
      </c>
      <c r="AS172" s="629"/>
      <c r="AT172" s="378"/>
      <c r="AU172" s="379"/>
      <c r="AV172" s="379"/>
      <c r="AW172" s="310" t="e">
        <f t="shared" si="58"/>
        <v>#N/A</v>
      </c>
      <c r="AX172" s="629"/>
    </row>
    <row r="173" spans="2:50">
      <c r="B173" s="598"/>
      <c r="C173" s="310">
        <v>27</v>
      </c>
      <c r="D173" s="231"/>
      <c r="E173" s="187"/>
      <c r="F173" s="310"/>
      <c r="G173" s="312"/>
      <c r="H173" s="633"/>
      <c r="I173" s="204"/>
      <c r="J173" s="204"/>
      <c r="K173" s="205"/>
      <c r="L173" s="572"/>
      <c r="M173" s="204" t="e">
        <f>RANK(K173, K$147:$K$176)</f>
        <v>#N/A</v>
      </c>
      <c r="N173" s="590"/>
      <c r="O173" s="590"/>
      <c r="P173" s="378"/>
      <c r="Q173" s="379"/>
      <c r="R173" s="379"/>
      <c r="S173" s="310" t="e">
        <f t="shared" si="52"/>
        <v>#N/A</v>
      </c>
      <c r="T173" s="629"/>
      <c r="U173" s="378"/>
      <c r="V173" s="379"/>
      <c r="W173" s="379"/>
      <c r="X173" s="310" t="e">
        <f t="shared" si="53"/>
        <v>#N/A</v>
      </c>
      <c r="Y173" s="629"/>
      <c r="Z173" s="378"/>
      <c r="AA173" s="379"/>
      <c r="AB173" s="379"/>
      <c r="AC173" s="310" t="e">
        <f t="shared" si="54"/>
        <v>#N/A</v>
      </c>
      <c r="AD173" s="629"/>
      <c r="AE173" s="378"/>
      <c r="AF173" s="379"/>
      <c r="AG173" s="379"/>
      <c r="AH173" s="310" t="e">
        <f t="shared" si="55"/>
        <v>#N/A</v>
      </c>
      <c r="AI173" s="629"/>
      <c r="AJ173" s="378"/>
      <c r="AK173" s="379"/>
      <c r="AL173" s="379"/>
      <c r="AM173" s="310" t="e">
        <f t="shared" si="56"/>
        <v>#N/A</v>
      </c>
      <c r="AN173" s="629"/>
      <c r="AO173" s="378"/>
      <c r="AP173" s="379"/>
      <c r="AQ173" s="379"/>
      <c r="AR173" s="310" t="e">
        <f t="shared" si="57"/>
        <v>#N/A</v>
      </c>
      <c r="AS173" s="629"/>
      <c r="AT173" s="378"/>
      <c r="AU173" s="379"/>
      <c r="AV173" s="379"/>
      <c r="AW173" s="310" t="e">
        <f t="shared" si="58"/>
        <v>#N/A</v>
      </c>
      <c r="AX173" s="629"/>
    </row>
    <row r="174" spans="2:50">
      <c r="B174" s="598"/>
      <c r="C174" s="310">
        <v>28</v>
      </c>
      <c r="D174" s="231"/>
      <c r="E174" s="187"/>
      <c r="F174" s="310"/>
      <c r="G174" s="312"/>
      <c r="H174" s="633"/>
      <c r="I174" s="204"/>
      <c r="J174" s="204"/>
      <c r="K174" s="205"/>
      <c r="L174" s="572"/>
      <c r="M174" s="204" t="e">
        <f>RANK(K174, K$147:$K$176)</f>
        <v>#N/A</v>
      </c>
      <c r="N174" s="590"/>
      <c r="O174" s="590"/>
      <c r="P174" s="310"/>
      <c r="Q174" s="312"/>
      <c r="R174" s="312"/>
      <c r="S174" s="310" t="e">
        <f t="shared" si="52"/>
        <v>#N/A</v>
      </c>
      <c r="T174" s="629"/>
      <c r="U174" s="319"/>
      <c r="V174" s="322"/>
      <c r="W174" s="322"/>
      <c r="X174" s="310" t="e">
        <f t="shared" si="53"/>
        <v>#N/A</v>
      </c>
      <c r="Y174" s="629"/>
      <c r="Z174" s="319"/>
      <c r="AA174" s="322"/>
      <c r="AB174" s="322"/>
      <c r="AC174" s="310" t="e">
        <f t="shared" si="54"/>
        <v>#N/A</v>
      </c>
      <c r="AD174" s="629"/>
      <c r="AE174" s="319"/>
      <c r="AF174" s="322"/>
      <c r="AG174" s="322"/>
      <c r="AH174" s="310" t="e">
        <f t="shared" si="55"/>
        <v>#N/A</v>
      </c>
      <c r="AI174" s="629"/>
      <c r="AJ174" s="319"/>
      <c r="AK174" s="322"/>
      <c r="AL174" s="322"/>
      <c r="AM174" s="310" t="e">
        <f t="shared" si="56"/>
        <v>#N/A</v>
      </c>
      <c r="AN174" s="629"/>
      <c r="AO174" s="355"/>
      <c r="AP174" s="355"/>
      <c r="AQ174" s="355"/>
      <c r="AR174" s="310" t="e">
        <f t="shared" si="57"/>
        <v>#N/A</v>
      </c>
      <c r="AS174" s="629"/>
      <c r="AT174" s="310"/>
      <c r="AU174" s="312"/>
      <c r="AV174" s="312"/>
      <c r="AW174" s="310" t="e">
        <f t="shared" si="58"/>
        <v>#N/A</v>
      </c>
      <c r="AX174" s="629"/>
    </row>
    <row r="175" spans="2:50">
      <c r="B175" s="598"/>
      <c r="C175" s="310">
        <v>29</v>
      </c>
      <c r="D175" s="231"/>
      <c r="E175" s="187"/>
      <c r="F175" s="310"/>
      <c r="G175" s="312"/>
      <c r="H175" s="633"/>
      <c r="I175" s="207"/>
      <c r="J175" s="207"/>
      <c r="K175" s="207"/>
      <c r="L175" s="572"/>
      <c r="M175" s="204" t="e">
        <f>RANK(K175, K$147:$K$176)</f>
        <v>#N/A</v>
      </c>
      <c r="N175" s="590"/>
      <c r="O175" s="590"/>
      <c r="P175" s="310"/>
      <c r="Q175" s="310"/>
      <c r="R175" s="310"/>
      <c r="S175" s="310" t="e">
        <f t="shared" si="52"/>
        <v>#N/A</v>
      </c>
      <c r="T175" s="629"/>
      <c r="U175" s="319"/>
      <c r="V175" s="319"/>
      <c r="W175" s="319"/>
      <c r="X175" s="310" t="e">
        <f t="shared" si="53"/>
        <v>#N/A</v>
      </c>
      <c r="Y175" s="629"/>
      <c r="Z175" s="319"/>
      <c r="AA175" s="319"/>
      <c r="AB175" s="319"/>
      <c r="AC175" s="310" t="e">
        <f t="shared" si="54"/>
        <v>#N/A</v>
      </c>
      <c r="AD175" s="629"/>
      <c r="AE175" s="319"/>
      <c r="AF175" s="319"/>
      <c r="AG175" s="319"/>
      <c r="AH175" s="310" t="e">
        <f t="shared" si="55"/>
        <v>#N/A</v>
      </c>
      <c r="AI175" s="629"/>
      <c r="AJ175" s="319"/>
      <c r="AK175" s="319"/>
      <c r="AL175" s="319"/>
      <c r="AM175" s="310" t="e">
        <f t="shared" si="56"/>
        <v>#N/A</v>
      </c>
      <c r="AN175" s="629"/>
      <c r="AO175" s="319"/>
      <c r="AP175" s="319"/>
      <c r="AQ175" s="319"/>
      <c r="AR175" s="310" t="e">
        <f t="shared" si="57"/>
        <v>#N/A</v>
      </c>
      <c r="AS175" s="629"/>
      <c r="AT175" s="310"/>
      <c r="AU175" s="310"/>
      <c r="AV175" s="310"/>
      <c r="AW175" s="310" t="e">
        <f t="shared" si="58"/>
        <v>#N/A</v>
      </c>
      <c r="AX175" s="629"/>
    </row>
    <row r="176" spans="2:50">
      <c r="B176" s="598"/>
      <c r="C176" s="310">
        <v>30</v>
      </c>
      <c r="D176" s="231"/>
      <c r="E176" s="187"/>
      <c r="F176" s="310"/>
      <c r="G176" s="312"/>
      <c r="H176" s="634"/>
      <c r="I176" s="207"/>
      <c r="J176" s="207"/>
      <c r="K176" s="207"/>
      <c r="L176" s="573"/>
      <c r="M176" s="204" t="e">
        <f>RANK(K176, K$147:$K$176)</f>
        <v>#N/A</v>
      </c>
      <c r="N176" s="590"/>
      <c r="O176" s="590"/>
      <c r="P176" s="310"/>
      <c r="Q176" s="310"/>
      <c r="R176" s="310"/>
      <c r="S176" s="310" t="e">
        <f t="shared" si="45"/>
        <v>#N/A</v>
      </c>
      <c r="T176" s="629"/>
      <c r="U176" s="319"/>
      <c r="V176" s="319"/>
      <c r="W176" s="319"/>
      <c r="X176" s="310" t="e">
        <f t="shared" si="46"/>
        <v>#N/A</v>
      </c>
      <c r="Y176" s="629"/>
      <c r="Z176" s="319"/>
      <c r="AA176" s="319"/>
      <c r="AB176" s="319"/>
      <c r="AC176" s="310" t="e">
        <f t="shared" si="47"/>
        <v>#N/A</v>
      </c>
      <c r="AD176" s="629"/>
      <c r="AE176" s="319"/>
      <c r="AF176" s="319"/>
      <c r="AG176" s="319"/>
      <c r="AH176" s="310" t="e">
        <f t="shared" si="48"/>
        <v>#N/A</v>
      </c>
      <c r="AI176" s="629"/>
      <c r="AJ176" s="319"/>
      <c r="AK176" s="319"/>
      <c r="AL176" s="319"/>
      <c r="AM176" s="310" t="e">
        <f t="shared" si="49"/>
        <v>#N/A</v>
      </c>
      <c r="AN176" s="629"/>
      <c r="AO176" s="319"/>
      <c r="AP176" s="319"/>
      <c r="AQ176" s="319"/>
      <c r="AR176" s="310" t="e">
        <f t="shared" si="50"/>
        <v>#N/A</v>
      </c>
      <c r="AS176" s="629"/>
      <c r="AT176" s="310"/>
      <c r="AU176" s="310"/>
      <c r="AV176" s="310"/>
      <c r="AW176" s="310" t="e">
        <f t="shared" si="51"/>
        <v>#N/A</v>
      </c>
      <c r="AX176" s="629"/>
    </row>
    <row r="177" spans="2:50" ht="15.75">
      <c r="B177" s="602" t="s">
        <v>163</v>
      </c>
      <c r="C177" s="603"/>
      <c r="D177" s="603"/>
      <c r="E177" s="603"/>
      <c r="F177" s="603"/>
      <c r="G177" s="603"/>
      <c r="H177" s="604"/>
      <c r="I177" s="213"/>
      <c r="J177" s="213"/>
      <c r="K177" s="213"/>
      <c r="L177" s="213"/>
      <c r="M177" s="212"/>
      <c r="N177" s="591" t="s">
        <v>156</v>
      </c>
      <c r="O177" s="591" t="s">
        <v>105</v>
      </c>
      <c r="P177" s="597">
        <f>P142+7</f>
        <v>45965</v>
      </c>
      <c r="Q177" s="598"/>
      <c r="R177" s="598"/>
      <c r="S177" s="598"/>
      <c r="T177" s="598"/>
      <c r="U177" s="594">
        <f>P177+1</f>
        <v>45966</v>
      </c>
      <c r="V177" s="595"/>
      <c r="W177" s="595"/>
      <c r="X177" s="595"/>
      <c r="Y177" s="596"/>
      <c r="Z177" s="594">
        <f>U177+1</f>
        <v>45967</v>
      </c>
      <c r="AA177" s="595"/>
      <c r="AB177" s="595"/>
      <c r="AC177" s="595"/>
      <c r="AD177" s="596"/>
      <c r="AE177" s="594">
        <f>Z177+1</f>
        <v>45968</v>
      </c>
      <c r="AF177" s="595"/>
      <c r="AG177" s="595"/>
      <c r="AH177" s="595"/>
      <c r="AI177" s="596"/>
      <c r="AJ177" s="594">
        <f>AE177+1</f>
        <v>45969</v>
      </c>
      <c r="AK177" s="595"/>
      <c r="AL177" s="595"/>
      <c r="AM177" s="595"/>
      <c r="AN177" s="596"/>
      <c r="AO177" s="594">
        <f>AJ177+1</f>
        <v>45970</v>
      </c>
      <c r="AP177" s="595"/>
      <c r="AQ177" s="595"/>
      <c r="AR177" s="595"/>
      <c r="AS177" s="596"/>
      <c r="AT177" s="594">
        <f>AO177+1</f>
        <v>45971</v>
      </c>
      <c r="AU177" s="595"/>
      <c r="AV177" s="595"/>
      <c r="AW177" s="595"/>
      <c r="AX177" s="596"/>
    </row>
    <row r="178" spans="2:50" ht="15.75">
      <c r="B178" s="605"/>
      <c r="C178" s="605"/>
      <c r="D178" s="605"/>
      <c r="E178" s="605"/>
      <c r="F178" s="605"/>
      <c r="G178" s="605"/>
      <c r="H178" s="605"/>
      <c r="I178" s="210"/>
      <c r="J178" s="210"/>
      <c r="K178" s="210"/>
      <c r="L178" s="210"/>
      <c r="M178" s="211"/>
      <c r="N178" s="593"/>
      <c r="O178" s="593"/>
      <c r="P178" s="597" t="s">
        <v>158</v>
      </c>
      <c r="Q178" s="598"/>
      <c r="R178" s="598"/>
      <c r="S178" s="598"/>
      <c r="T178" s="598"/>
      <c r="U178" s="597" t="s">
        <v>114</v>
      </c>
      <c r="V178" s="598"/>
      <c r="W178" s="598"/>
      <c r="X178" s="598"/>
      <c r="Y178" s="598"/>
      <c r="Z178" s="597" t="s">
        <v>159</v>
      </c>
      <c r="AA178" s="598"/>
      <c r="AB178" s="598"/>
      <c r="AC178" s="598"/>
      <c r="AD178" s="598"/>
      <c r="AE178" s="597" t="s">
        <v>157</v>
      </c>
      <c r="AF178" s="598"/>
      <c r="AG178" s="598"/>
      <c r="AH178" s="598"/>
      <c r="AI178" s="598"/>
      <c r="AJ178" s="597" t="s">
        <v>160</v>
      </c>
      <c r="AK178" s="598"/>
      <c r="AL178" s="598"/>
      <c r="AM178" s="598"/>
      <c r="AN178" s="598"/>
      <c r="AO178" s="597" t="s">
        <v>115</v>
      </c>
      <c r="AP178" s="598"/>
      <c r="AQ178" s="598"/>
      <c r="AR178" s="598"/>
      <c r="AS178" s="598"/>
      <c r="AT178" s="597" t="s">
        <v>162</v>
      </c>
      <c r="AU178" s="598"/>
      <c r="AV178" s="598"/>
      <c r="AW178" s="598"/>
      <c r="AX178" s="598"/>
    </row>
    <row r="179" spans="2:50">
      <c r="B179" s="590" t="s">
        <v>154</v>
      </c>
      <c r="C179" s="590" t="s">
        <v>454</v>
      </c>
      <c r="D179" s="590"/>
      <c r="E179" s="590" t="s">
        <v>445</v>
      </c>
      <c r="F179" s="590"/>
      <c r="G179" s="590"/>
      <c r="H179" s="606" t="s">
        <v>441</v>
      </c>
      <c r="I179" s="574" t="s">
        <v>446</v>
      </c>
      <c r="J179" s="574"/>
      <c r="K179" s="574"/>
      <c r="L179" s="575" t="s">
        <v>441</v>
      </c>
      <c r="M179" s="581" t="s">
        <v>442</v>
      </c>
      <c r="N179" s="590"/>
      <c r="O179" s="590" t="s">
        <v>447</v>
      </c>
      <c r="P179" s="587" t="s">
        <v>443</v>
      </c>
      <c r="Q179" s="588"/>
      <c r="R179" s="588"/>
      <c r="S179" s="589"/>
      <c r="T179" s="590" t="s">
        <v>441</v>
      </c>
      <c r="U179" s="587" t="s">
        <v>443</v>
      </c>
      <c r="V179" s="588"/>
      <c r="W179" s="588"/>
      <c r="X179" s="589"/>
      <c r="Y179" s="590" t="s">
        <v>441</v>
      </c>
      <c r="Z179" s="587" t="s">
        <v>443</v>
      </c>
      <c r="AA179" s="588"/>
      <c r="AB179" s="588"/>
      <c r="AC179" s="589"/>
      <c r="AD179" s="590" t="s">
        <v>441</v>
      </c>
      <c r="AE179" s="587" t="s">
        <v>443</v>
      </c>
      <c r="AF179" s="588"/>
      <c r="AG179" s="588"/>
      <c r="AH179" s="589"/>
      <c r="AI179" s="590" t="s">
        <v>441</v>
      </c>
      <c r="AJ179" s="587" t="s">
        <v>443</v>
      </c>
      <c r="AK179" s="588"/>
      <c r="AL179" s="588"/>
      <c r="AM179" s="589"/>
      <c r="AN179" s="590" t="s">
        <v>441</v>
      </c>
      <c r="AO179" s="587" t="s">
        <v>443</v>
      </c>
      <c r="AP179" s="588"/>
      <c r="AQ179" s="588"/>
      <c r="AR179" s="589"/>
      <c r="AS179" s="590" t="s">
        <v>441</v>
      </c>
      <c r="AT179" s="587" t="s">
        <v>443</v>
      </c>
      <c r="AU179" s="588"/>
      <c r="AV179" s="588"/>
      <c r="AW179" s="589"/>
      <c r="AX179" s="590" t="s">
        <v>441</v>
      </c>
    </row>
    <row r="180" spans="2:50">
      <c r="B180" s="590"/>
      <c r="C180" s="590"/>
      <c r="D180" s="590"/>
      <c r="E180" s="590" t="s">
        <v>448</v>
      </c>
      <c r="F180" s="590"/>
      <c r="G180" s="590"/>
      <c r="H180" s="607"/>
      <c r="I180" s="574" t="s">
        <v>448</v>
      </c>
      <c r="J180" s="574"/>
      <c r="K180" s="574"/>
      <c r="L180" s="576"/>
      <c r="M180" s="582"/>
      <c r="N180" s="590"/>
      <c r="O180" s="590"/>
      <c r="P180" s="587" t="s">
        <v>449</v>
      </c>
      <c r="Q180" s="588"/>
      <c r="R180" s="588"/>
      <c r="S180" s="589"/>
      <c r="T180" s="590"/>
      <c r="U180" s="587" t="s">
        <v>449</v>
      </c>
      <c r="V180" s="588"/>
      <c r="W180" s="588"/>
      <c r="X180" s="589"/>
      <c r="Y180" s="590"/>
      <c r="Z180" s="587" t="s">
        <v>449</v>
      </c>
      <c r="AA180" s="588"/>
      <c r="AB180" s="588"/>
      <c r="AC180" s="589"/>
      <c r="AD180" s="590"/>
      <c r="AE180" s="587" t="s">
        <v>449</v>
      </c>
      <c r="AF180" s="588"/>
      <c r="AG180" s="588"/>
      <c r="AH180" s="589"/>
      <c r="AI180" s="590"/>
      <c r="AJ180" s="587" t="s">
        <v>449</v>
      </c>
      <c r="AK180" s="588"/>
      <c r="AL180" s="588"/>
      <c r="AM180" s="589"/>
      <c r="AN180" s="590"/>
      <c r="AO180" s="587" t="s">
        <v>449</v>
      </c>
      <c r="AP180" s="588"/>
      <c r="AQ180" s="588"/>
      <c r="AR180" s="589"/>
      <c r="AS180" s="590"/>
      <c r="AT180" s="587" t="s">
        <v>449</v>
      </c>
      <c r="AU180" s="588"/>
      <c r="AV180" s="588"/>
      <c r="AW180" s="589"/>
      <c r="AX180" s="590"/>
    </row>
    <row r="181" spans="2:50">
      <c r="B181" s="590"/>
      <c r="C181" s="590"/>
      <c r="D181" s="590"/>
      <c r="E181" s="358" t="s">
        <v>450</v>
      </c>
      <c r="F181" s="358" t="s">
        <v>451</v>
      </c>
      <c r="G181" s="358" t="s">
        <v>452</v>
      </c>
      <c r="H181" s="608"/>
      <c r="I181" s="359" t="s">
        <v>450</v>
      </c>
      <c r="J181" s="359" t="s">
        <v>451</v>
      </c>
      <c r="K181" s="359" t="s">
        <v>452</v>
      </c>
      <c r="L181" s="577"/>
      <c r="M181" s="583"/>
      <c r="N181" s="590"/>
      <c r="O181" s="590"/>
      <c r="P181" s="358" t="s">
        <v>450</v>
      </c>
      <c r="Q181" s="358" t="s">
        <v>451</v>
      </c>
      <c r="R181" s="358" t="s">
        <v>452</v>
      </c>
      <c r="S181" s="358" t="s">
        <v>442</v>
      </c>
      <c r="T181" s="590"/>
      <c r="U181" s="358" t="s">
        <v>450</v>
      </c>
      <c r="V181" s="358" t="s">
        <v>451</v>
      </c>
      <c r="W181" s="358" t="s">
        <v>452</v>
      </c>
      <c r="X181" s="358" t="s">
        <v>442</v>
      </c>
      <c r="Y181" s="590"/>
      <c r="Z181" s="358" t="s">
        <v>450</v>
      </c>
      <c r="AA181" s="358" t="s">
        <v>451</v>
      </c>
      <c r="AB181" s="358" t="s">
        <v>452</v>
      </c>
      <c r="AC181" s="358" t="s">
        <v>442</v>
      </c>
      <c r="AD181" s="590"/>
      <c r="AE181" s="358" t="s">
        <v>450</v>
      </c>
      <c r="AF181" s="358" t="s">
        <v>451</v>
      </c>
      <c r="AG181" s="358" t="s">
        <v>452</v>
      </c>
      <c r="AH181" s="358" t="s">
        <v>442</v>
      </c>
      <c r="AI181" s="590"/>
      <c r="AJ181" s="358" t="s">
        <v>450</v>
      </c>
      <c r="AK181" s="358" t="s">
        <v>451</v>
      </c>
      <c r="AL181" s="358" t="s">
        <v>452</v>
      </c>
      <c r="AM181" s="358" t="s">
        <v>442</v>
      </c>
      <c r="AN181" s="590"/>
      <c r="AO181" s="358" t="s">
        <v>450</v>
      </c>
      <c r="AP181" s="358" t="s">
        <v>451</v>
      </c>
      <c r="AQ181" s="358" t="s">
        <v>452</v>
      </c>
      <c r="AR181" s="358" t="s">
        <v>442</v>
      </c>
      <c r="AS181" s="590"/>
      <c r="AT181" s="358" t="s">
        <v>450</v>
      </c>
      <c r="AU181" s="358" t="s">
        <v>451</v>
      </c>
      <c r="AV181" s="358" t="s">
        <v>452</v>
      </c>
      <c r="AW181" s="358" t="s">
        <v>442</v>
      </c>
      <c r="AX181" s="590"/>
    </row>
    <row r="182" spans="2:50">
      <c r="B182" s="590" t="s">
        <v>134</v>
      </c>
      <c r="C182" s="357">
        <v>1</v>
      </c>
      <c r="D182" s="231"/>
      <c r="E182" s="187"/>
      <c r="F182" s="357"/>
      <c r="G182" s="360"/>
      <c r="H182" s="632" t="e">
        <f>AVERAGE(G182:G211)</f>
        <v>#DIV/0!</v>
      </c>
      <c r="I182" s="204" t="e">
        <f>AVERAGE(P182,U182,Z182,AE182,AJ182,AO182,AT182)</f>
        <v>#DIV/0!</v>
      </c>
      <c r="J182" s="204" t="e">
        <f>AVERAGE(Q182,V182,AA182,AF182,AK182,AP182,AU182)</f>
        <v>#DIV/0!</v>
      </c>
      <c r="K182" s="205" t="e">
        <f>AVERAGE(R182,W182,AB182,AG182,AL182,AQ182,AV182)</f>
        <v>#DIV/0!</v>
      </c>
      <c r="L182" s="571" t="str">
        <f>IFERROR(AVERAGE(K182:K211),"-")</f>
        <v>-</v>
      </c>
      <c r="M182" s="206" t="e">
        <f>RANK(K182, K$147:$K$176)</f>
        <v>#DIV/0!</v>
      </c>
      <c r="N182" s="590"/>
      <c r="O182" s="590"/>
      <c r="P182" s="187"/>
      <c r="Q182" s="187"/>
      <c r="R182" s="187"/>
      <c r="S182" s="357" t="e">
        <f>RANK(R182, R$147:R$176)</f>
        <v>#N/A</v>
      </c>
      <c r="T182" s="629" t="e">
        <f>AVERAGE(R182:R211)</f>
        <v>#DIV/0!</v>
      </c>
      <c r="U182" s="187"/>
      <c r="V182" s="187"/>
      <c r="W182" s="187"/>
      <c r="X182" s="357" t="e">
        <f>RANK(W182, W$147:W$176)</f>
        <v>#N/A</v>
      </c>
      <c r="Y182" s="629" t="e">
        <f>AVERAGE(W182:W211)</f>
        <v>#DIV/0!</v>
      </c>
      <c r="Z182" s="187"/>
      <c r="AA182" s="187"/>
      <c r="AB182" s="187"/>
      <c r="AC182" s="357" t="e">
        <f>RANK(AB182, AB$147:AB$176)</f>
        <v>#N/A</v>
      </c>
      <c r="AD182" s="629" t="e">
        <f>AVERAGE(AB182:AB211)</f>
        <v>#DIV/0!</v>
      </c>
      <c r="AE182" s="187"/>
      <c r="AF182" s="187"/>
      <c r="AG182" s="187"/>
      <c r="AH182" s="357" t="e">
        <f>RANK(AG182, AG$147:AG$176)</f>
        <v>#N/A</v>
      </c>
      <c r="AI182" s="629" t="e">
        <f>AVERAGE(AG182:AG211)</f>
        <v>#DIV/0!</v>
      </c>
      <c r="AJ182" s="187"/>
      <c r="AK182" s="187"/>
      <c r="AL182" s="187"/>
      <c r="AM182" s="357" t="e">
        <f>RANK(AL182, AL$147:AL$176)</f>
        <v>#N/A</v>
      </c>
      <c r="AN182" s="629" t="e">
        <f>AVERAGE(AL182:AL211)</f>
        <v>#DIV/0!</v>
      </c>
      <c r="AO182" s="187"/>
      <c r="AP182" s="187"/>
      <c r="AQ182" s="187"/>
      <c r="AR182" s="357" t="e">
        <f>RANK(AQ182, AQ$147:AQ$176)</f>
        <v>#N/A</v>
      </c>
      <c r="AS182" s="629" t="e">
        <f>AVERAGE(AQ182:AQ211)</f>
        <v>#DIV/0!</v>
      </c>
      <c r="AT182" s="187"/>
      <c r="AU182" s="187"/>
      <c r="AV182" s="187"/>
      <c r="AW182" s="357" t="e">
        <f>RANK(AV182, AV$147:AV$176)</f>
        <v>#N/A</v>
      </c>
      <c r="AX182" s="629" t="e">
        <f>AVERAGE(AV182:AV211)</f>
        <v>#DIV/0!</v>
      </c>
    </row>
    <row r="183" spans="2:50">
      <c r="B183" s="598"/>
      <c r="C183" s="357">
        <v>2</v>
      </c>
      <c r="D183" s="231"/>
      <c r="E183" s="187"/>
      <c r="F183" s="357"/>
      <c r="G183" s="360"/>
      <c r="H183" s="633"/>
      <c r="I183" s="204" t="e">
        <f t="shared" ref="I183:I205" si="62">AVERAGE(P183,U183,Z183,AE183,AJ183,AO183,AT183)</f>
        <v>#DIV/0!</v>
      </c>
      <c r="J183" s="204" t="e">
        <f t="shared" ref="J183:J205" si="63">AVERAGE(Q183,V183,AA183,AF183,AK183,AP183,AU183)</f>
        <v>#DIV/0!</v>
      </c>
      <c r="K183" s="205" t="e">
        <f t="shared" ref="K183:K205" si="64">AVERAGE(R183,W183,AB183,AG183,AL183,AQ183,AV183)</f>
        <v>#DIV/0!</v>
      </c>
      <c r="L183" s="572"/>
      <c r="M183" s="206" t="e">
        <f>RANK(K183, K$147:$K$176)</f>
        <v>#DIV/0!</v>
      </c>
      <c r="N183" s="590"/>
      <c r="O183" s="590"/>
      <c r="P183" s="187"/>
      <c r="Q183" s="187"/>
      <c r="R183" s="187"/>
      <c r="S183" s="357" t="e">
        <f t="shared" ref="S183:S211" si="65">RANK(R183, R$147:R$176)</f>
        <v>#N/A</v>
      </c>
      <c r="T183" s="629"/>
      <c r="U183" s="187"/>
      <c r="V183" s="187"/>
      <c r="W183" s="187"/>
      <c r="X183" s="357" t="e">
        <f t="shared" ref="X183:X211" si="66">RANK(W183, W$147:W$176)</f>
        <v>#N/A</v>
      </c>
      <c r="Y183" s="629"/>
      <c r="Z183" s="187"/>
      <c r="AA183" s="187"/>
      <c r="AB183" s="187"/>
      <c r="AC183" s="357" t="e">
        <f t="shared" ref="AC183:AC211" si="67">RANK(AB183, AB$147:AB$176)</f>
        <v>#N/A</v>
      </c>
      <c r="AD183" s="629"/>
      <c r="AE183" s="187"/>
      <c r="AF183" s="187"/>
      <c r="AG183" s="187"/>
      <c r="AH183" s="357" t="e">
        <f t="shared" ref="AH183:AH211" si="68">RANK(AG183, AG$147:AG$176)</f>
        <v>#N/A</v>
      </c>
      <c r="AI183" s="629"/>
      <c r="AJ183" s="187"/>
      <c r="AK183" s="187"/>
      <c r="AL183" s="187"/>
      <c r="AM183" s="357" t="e">
        <f t="shared" ref="AM183:AM211" si="69">RANK(AL183, AL$147:AL$176)</f>
        <v>#N/A</v>
      </c>
      <c r="AN183" s="629"/>
      <c r="AO183" s="187"/>
      <c r="AP183" s="187"/>
      <c r="AQ183" s="187"/>
      <c r="AR183" s="357" t="e">
        <f t="shared" ref="AR183:AR211" si="70">RANK(AQ183, AQ$147:AQ$176)</f>
        <v>#N/A</v>
      </c>
      <c r="AS183" s="629"/>
      <c r="AT183" s="187"/>
      <c r="AU183" s="187"/>
      <c r="AV183" s="187"/>
      <c r="AW183" s="357" t="e">
        <f t="shared" ref="AW183:AW211" si="71">RANK(AV183, AV$147:AV$176)</f>
        <v>#N/A</v>
      </c>
      <c r="AX183" s="629"/>
    </row>
    <row r="184" spans="2:50">
      <c r="B184" s="598"/>
      <c r="C184" s="357">
        <v>3</v>
      </c>
      <c r="D184" s="231"/>
      <c r="E184" s="187"/>
      <c r="F184" s="357"/>
      <c r="G184" s="360"/>
      <c r="H184" s="633"/>
      <c r="I184" s="204" t="e">
        <f t="shared" si="62"/>
        <v>#DIV/0!</v>
      </c>
      <c r="J184" s="204" t="e">
        <f t="shared" si="63"/>
        <v>#DIV/0!</v>
      </c>
      <c r="K184" s="205" t="e">
        <f t="shared" si="64"/>
        <v>#DIV/0!</v>
      </c>
      <c r="L184" s="572"/>
      <c r="M184" s="206" t="e">
        <f>RANK(K184, K$147:$K$176)</f>
        <v>#DIV/0!</v>
      </c>
      <c r="N184" s="590"/>
      <c r="O184" s="590"/>
      <c r="P184" s="187"/>
      <c r="Q184" s="187"/>
      <c r="R184" s="187"/>
      <c r="S184" s="357" t="e">
        <f t="shared" si="65"/>
        <v>#N/A</v>
      </c>
      <c r="T184" s="629"/>
      <c r="U184" s="187"/>
      <c r="V184" s="187"/>
      <c r="W184" s="187"/>
      <c r="X184" s="357" t="e">
        <f t="shared" si="66"/>
        <v>#N/A</v>
      </c>
      <c r="Y184" s="629"/>
      <c r="Z184" s="187"/>
      <c r="AA184" s="187"/>
      <c r="AB184" s="187"/>
      <c r="AC184" s="357" t="e">
        <f t="shared" si="67"/>
        <v>#N/A</v>
      </c>
      <c r="AD184" s="629"/>
      <c r="AE184" s="187"/>
      <c r="AF184" s="187"/>
      <c r="AG184" s="187"/>
      <c r="AH184" s="357" t="e">
        <f t="shared" si="68"/>
        <v>#N/A</v>
      </c>
      <c r="AI184" s="629"/>
      <c r="AJ184" s="187"/>
      <c r="AK184" s="187"/>
      <c r="AL184" s="187"/>
      <c r="AM184" s="357" t="e">
        <f t="shared" si="69"/>
        <v>#N/A</v>
      </c>
      <c r="AN184" s="629"/>
      <c r="AO184" s="187"/>
      <c r="AP184" s="187"/>
      <c r="AQ184" s="187"/>
      <c r="AR184" s="357" t="e">
        <f t="shared" si="70"/>
        <v>#N/A</v>
      </c>
      <c r="AS184" s="629"/>
      <c r="AT184" s="187"/>
      <c r="AU184" s="187"/>
      <c r="AV184" s="187"/>
      <c r="AW184" s="357" t="e">
        <f t="shared" si="71"/>
        <v>#N/A</v>
      </c>
      <c r="AX184" s="629"/>
    </row>
    <row r="185" spans="2:50">
      <c r="B185" s="598"/>
      <c r="C185" s="357">
        <v>4</v>
      </c>
      <c r="D185" s="231"/>
      <c r="E185" s="187"/>
      <c r="F185" s="357"/>
      <c r="G185" s="360"/>
      <c r="H185" s="633"/>
      <c r="I185" s="204" t="e">
        <f t="shared" si="62"/>
        <v>#DIV/0!</v>
      </c>
      <c r="J185" s="204" t="e">
        <f t="shared" si="63"/>
        <v>#DIV/0!</v>
      </c>
      <c r="K185" s="205" t="e">
        <f t="shared" si="64"/>
        <v>#DIV/0!</v>
      </c>
      <c r="L185" s="572"/>
      <c r="M185" s="206" t="e">
        <f>RANK(K185, K$147:$K$176)</f>
        <v>#DIV/0!</v>
      </c>
      <c r="N185" s="590"/>
      <c r="O185" s="590"/>
      <c r="P185" s="187"/>
      <c r="Q185" s="187"/>
      <c r="R185" s="187"/>
      <c r="S185" s="357" t="e">
        <f t="shared" si="65"/>
        <v>#N/A</v>
      </c>
      <c r="T185" s="629"/>
      <c r="U185" s="187"/>
      <c r="V185" s="187"/>
      <c r="W185" s="187"/>
      <c r="X185" s="357" t="e">
        <f t="shared" si="66"/>
        <v>#N/A</v>
      </c>
      <c r="Y185" s="629"/>
      <c r="Z185" s="187"/>
      <c r="AA185" s="187"/>
      <c r="AB185" s="187"/>
      <c r="AC185" s="357" t="e">
        <f t="shared" si="67"/>
        <v>#N/A</v>
      </c>
      <c r="AD185" s="629"/>
      <c r="AE185" s="187"/>
      <c r="AF185" s="187"/>
      <c r="AG185" s="187"/>
      <c r="AH185" s="357" t="e">
        <f t="shared" si="68"/>
        <v>#N/A</v>
      </c>
      <c r="AI185" s="629"/>
      <c r="AJ185" s="187"/>
      <c r="AK185" s="187"/>
      <c r="AL185" s="187"/>
      <c r="AM185" s="357" t="e">
        <f t="shared" si="69"/>
        <v>#N/A</v>
      </c>
      <c r="AN185" s="629"/>
      <c r="AO185" s="187"/>
      <c r="AP185" s="187"/>
      <c r="AQ185" s="187"/>
      <c r="AR185" s="357" t="e">
        <f t="shared" si="70"/>
        <v>#N/A</v>
      </c>
      <c r="AS185" s="629"/>
      <c r="AT185" s="187"/>
      <c r="AU185" s="187"/>
      <c r="AV185" s="187"/>
      <c r="AW185" s="357" t="e">
        <f t="shared" si="71"/>
        <v>#N/A</v>
      </c>
      <c r="AX185" s="629"/>
    </row>
    <row r="186" spans="2:50">
      <c r="B186" s="598"/>
      <c r="C186" s="357">
        <v>5</v>
      </c>
      <c r="D186" s="231"/>
      <c r="E186" s="187"/>
      <c r="F186" s="357"/>
      <c r="G186" s="360"/>
      <c r="H186" s="633"/>
      <c r="I186" s="204" t="e">
        <f t="shared" si="62"/>
        <v>#DIV/0!</v>
      </c>
      <c r="J186" s="204" t="e">
        <f t="shared" si="63"/>
        <v>#DIV/0!</v>
      </c>
      <c r="K186" s="205" t="e">
        <f t="shared" si="64"/>
        <v>#DIV/0!</v>
      </c>
      <c r="L186" s="572"/>
      <c r="M186" s="206" t="e">
        <f>RANK(K186, K$147:$K$176)</f>
        <v>#DIV/0!</v>
      </c>
      <c r="N186" s="590"/>
      <c r="O186" s="590"/>
      <c r="P186" s="187"/>
      <c r="Q186" s="187"/>
      <c r="R186" s="187"/>
      <c r="S186" s="357" t="e">
        <f t="shared" si="65"/>
        <v>#N/A</v>
      </c>
      <c r="T186" s="629"/>
      <c r="U186" s="187"/>
      <c r="V186" s="187"/>
      <c r="W186" s="187"/>
      <c r="X186" s="357" t="e">
        <f t="shared" si="66"/>
        <v>#N/A</v>
      </c>
      <c r="Y186" s="629"/>
      <c r="Z186" s="187"/>
      <c r="AA186" s="187"/>
      <c r="AB186" s="187"/>
      <c r="AC186" s="357" t="e">
        <f t="shared" si="67"/>
        <v>#N/A</v>
      </c>
      <c r="AD186" s="629"/>
      <c r="AE186" s="187"/>
      <c r="AF186" s="187"/>
      <c r="AG186" s="187"/>
      <c r="AH186" s="357" t="e">
        <f t="shared" si="68"/>
        <v>#N/A</v>
      </c>
      <c r="AI186" s="629"/>
      <c r="AJ186" s="187"/>
      <c r="AK186" s="187"/>
      <c r="AL186" s="187"/>
      <c r="AM186" s="357" t="e">
        <f t="shared" si="69"/>
        <v>#N/A</v>
      </c>
      <c r="AN186" s="629"/>
      <c r="AO186" s="187"/>
      <c r="AP186" s="187"/>
      <c r="AQ186" s="187"/>
      <c r="AR186" s="357" t="e">
        <f t="shared" si="70"/>
        <v>#N/A</v>
      </c>
      <c r="AS186" s="629"/>
      <c r="AT186" s="187"/>
      <c r="AU186" s="187"/>
      <c r="AV186" s="187"/>
      <c r="AW186" s="357" t="e">
        <f t="shared" si="71"/>
        <v>#N/A</v>
      </c>
      <c r="AX186" s="629"/>
    </row>
    <row r="187" spans="2:50">
      <c r="B187" s="598"/>
      <c r="C187" s="357">
        <v>6</v>
      </c>
      <c r="D187" s="231"/>
      <c r="E187" s="187"/>
      <c r="F187" s="357"/>
      <c r="G187" s="360"/>
      <c r="H187" s="633"/>
      <c r="I187" s="204" t="e">
        <f t="shared" si="62"/>
        <v>#DIV/0!</v>
      </c>
      <c r="J187" s="204" t="e">
        <f t="shared" si="63"/>
        <v>#DIV/0!</v>
      </c>
      <c r="K187" s="205" t="e">
        <f t="shared" si="64"/>
        <v>#DIV/0!</v>
      </c>
      <c r="L187" s="572"/>
      <c r="M187" s="206" t="e">
        <f>RANK(K187, K$147:$K$176)</f>
        <v>#DIV/0!</v>
      </c>
      <c r="N187" s="590"/>
      <c r="O187" s="590"/>
      <c r="P187" s="187"/>
      <c r="Q187" s="187"/>
      <c r="R187" s="187"/>
      <c r="S187" s="357" t="e">
        <f t="shared" si="65"/>
        <v>#N/A</v>
      </c>
      <c r="T187" s="629"/>
      <c r="U187" s="187"/>
      <c r="V187" s="187"/>
      <c r="W187" s="187"/>
      <c r="X187" s="357" t="e">
        <f t="shared" si="66"/>
        <v>#N/A</v>
      </c>
      <c r="Y187" s="629"/>
      <c r="Z187" s="187"/>
      <c r="AA187" s="187"/>
      <c r="AB187" s="187"/>
      <c r="AC187" s="357" t="e">
        <f t="shared" si="67"/>
        <v>#N/A</v>
      </c>
      <c r="AD187" s="629"/>
      <c r="AE187" s="187"/>
      <c r="AF187" s="187"/>
      <c r="AG187" s="187"/>
      <c r="AH187" s="357" t="e">
        <f t="shared" si="68"/>
        <v>#N/A</v>
      </c>
      <c r="AI187" s="629"/>
      <c r="AJ187" s="187"/>
      <c r="AK187" s="187"/>
      <c r="AL187" s="187"/>
      <c r="AM187" s="357" t="e">
        <f t="shared" si="69"/>
        <v>#N/A</v>
      </c>
      <c r="AN187" s="629"/>
      <c r="AO187" s="187"/>
      <c r="AP187" s="187"/>
      <c r="AQ187" s="187"/>
      <c r="AR187" s="357" t="e">
        <f t="shared" si="70"/>
        <v>#N/A</v>
      </c>
      <c r="AS187" s="629"/>
      <c r="AT187" s="187"/>
      <c r="AU187" s="187"/>
      <c r="AV187" s="187"/>
      <c r="AW187" s="357" t="e">
        <f t="shared" si="71"/>
        <v>#N/A</v>
      </c>
      <c r="AX187" s="629"/>
    </row>
    <row r="188" spans="2:50">
      <c r="B188" s="598"/>
      <c r="C188" s="357">
        <v>7</v>
      </c>
      <c r="D188" s="231"/>
      <c r="E188" s="187"/>
      <c r="F188" s="357"/>
      <c r="G188" s="360"/>
      <c r="H188" s="633"/>
      <c r="I188" s="204" t="e">
        <f t="shared" si="62"/>
        <v>#DIV/0!</v>
      </c>
      <c r="J188" s="204" t="e">
        <f t="shared" si="63"/>
        <v>#DIV/0!</v>
      </c>
      <c r="K188" s="205" t="e">
        <f t="shared" si="64"/>
        <v>#DIV/0!</v>
      </c>
      <c r="L188" s="572"/>
      <c r="M188" s="206" t="e">
        <f>RANK(K188, K$147:$K$176)</f>
        <v>#DIV/0!</v>
      </c>
      <c r="N188" s="590"/>
      <c r="O188" s="590"/>
      <c r="P188" s="187"/>
      <c r="Q188" s="187"/>
      <c r="R188" s="187"/>
      <c r="S188" s="357" t="e">
        <f t="shared" si="65"/>
        <v>#N/A</v>
      </c>
      <c r="T188" s="629"/>
      <c r="U188" s="187"/>
      <c r="V188" s="187"/>
      <c r="W188" s="187"/>
      <c r="X188" s="357" t="e">
        <f t="shared" si="66"/>
        <v>#N/A</v>
      </c>
      <c r="Y188" s="629"/>
      <c r="Z188" s="187"/>
      <c r="AA188" s="187"/>
      <c r="AB188" s="187"/>
      <c r="AC188" s="357" t="e">
        <f t="shared" si="67"/>
        <v>#N/A</v>
      </c>
      <c r="AD188" s="629"/>
      <c r="AE188" s="187"/>
      <c r="AF188" s="187"/>
      <c r="AG188" s="187"/>
      <c r="AH188" s="357" t="e">
        <f t="shared" si="68"/>
        <v>#N/A</v>
      </c>
      <c r="AI188" s="629"/>
      <c r="AJ188" s="187"/>
      <c r="AK188" s="187"/>
      <c r="AL188" s="187"/>
      <c r="AM188" s="357" t="e">
        <f t="shared" si="69"/>
        <v>#N/A</v>
      </c>
      <c r="AN188" s="629"/>
      <c r="AO188" s="187"/>
      <c r="AP188" s="187"/>
      <c r="AQ188" s="187"/>
      <c r="AR188" s="357" t="e">
        <f t="shared" si="70"/>
        <v>#N/A</v>
      </c>
      <c r="AS188" s="629"/>
      <c r="AT188" s="187"/>
      <c r="AU188" s="187"/>
      <c r="AV188" s="187"/>
      <c r="AW188" s="357" t="e">
        <f t="shared" si="71"/>
        <v>#N/A</v>
      </c>
      <c r="AX188" s="629"/>
    </row>
    <row r="189" spans="2:50">
      <c r="B189" s="598"/>
      <c r="C189" s="357">
        <v>8</v>
      </c>
      <c r="D189" s="231"/>
      <c r="E189" s="187"/>
      <c r="F189" s="357"/>
      <c r="G189" s="360"/>
      <c r="H189" s="633"/>
      <c r="I189" s="204" t="e">
        <f t="shared" si="62"/>
        <v>#DIV/0!</v>
      </c>
      <c r="J189" s="204" t="e">
        <f t="shared" si="63"/>
        <v>#DIV/0!</v>
      </c>
      <c r="K189" s="205" t="e">
        <f t="shared" si="64"/>
        <v>#DIV/0!</v>
      </c>
      <c r="L189" s="572"/>
      <c r="M189" s="206" t="e">
        <f>RANK(K189, K$147:$K$176)</f>
        <v>#DIV/0!</v>
      </c>
      <c r="N189" s="590"/>
      <c r="O189" s="590"/>
      <c r="P189" s="187"/>
      <c r="Q189" s="187"/>
      <c r="R189" s="187"/>
      <c r="S189" s="357" t="e">
        <f t="shared" si="65"/>
        <v>#N/A</v>
      </c>
      <c r="T189" s="629"/>
      <c r="U189" s="187"/>
      <c r="V189" s="187"/>
      <c r="W189" s="187"/>
      <c r="X189" s="357" t="e">
        <f t="shared" si="66"/>
        <v>#N/A</v>
      </c>
      <c r="Y189" s="629"/>
      <c r="Z189" s="187"/>
      <c r="AA189" s="187"/>
      <c r="AB189" s="187"/>
      <c r="AC189" s="357" t="e">
        <f t="shared" si="67"/>
        <v>#N/A</v>
      </c>
      <c r="AD189" s="629"/>
      <c r="AE189" s="187"/>
      <c r="AF189" s="187"/>
      <c r="AG189" s="187"/>
      <c r="AH189" s="357" t="e">
        <f t="shared" si="68"/>
        <v>#N/A</v>
      </c>
      <c r="AI189" s="629"/>
      <c r="AJ189" s="187"/>
      <c r="AK189" s="187"/>
      <c r="AL189" s="187"/>
      <c r="AM189" s="357" t="e">
        <f t="shared" si="69"/>
        <v>#N/A</v>
      </c>
      <c r="AN189" s="629"/>
      <c r="AO189" s="187"/>
      <c r="AP189" s="187"/>
      <c r="AQ189" s="187"/>
      <c r="AR189" s="357" t="e">
        <f t="shared" si="70"/>
        <v>#N/A</v>
      </c>
      <c r="AS189" s="629"/>
      <c r="AT189" s="187"/>
      <c r="AU189" s="187"/>
      <c r="AV189" s="187"/>
      <c r="AW189" s="357" t="e">
        <f t="shared" si="71"/>
        <v>#N/A</v>
      </c>
      <c r="AX189" s="629"/>
    </row>
    <row r="190" spans="2:50">
      <c r="B190" s="598"/>
      <c r="C190" s="357">
        <v>9</v>
      </c>
      <c r="D190" s="231"/>
      <c r="E190" s="187"/>
      <c r="F190" s="357"/>
      <c r="G190" s="360"/>
      <c r="H190" s="633"/>
      <c r="I190" s="204" t="e">
        <f t="shared" si="62"/>
        <v>#DIV/0!</v>
      </c>
      <c r="J190" s="204" t="e">
        <f t="shared" si="63"/>
        <v>#DIV/0!</v>
      </c>
      <c r="K190" s="205" t="e">
        <f t="shared" si="64"/>
        <v>#DIV/0!</v>
      </c>
      <c r="L190" s="572"/>
      <c r="M190" s="206" t="e">
        <f>RANK(K190, K$147:$K$176)</f>
        <v>#DIV/0!</v>
      </c>
      <c r="N190" s="590"/>
      <c r="O190" s="590"/>
      <c r="P190" s="187"/>
      <c r="Q190" s="187"/>
      <c r="R190" s="187"/>
      <c r="S190" s="357" t="e">
        <f t="shared" si="65"/>
        <v>#N/A</v>
      </c>
      <c r="T190" s="629"/>
      <c r="U190" s="187"/>
      <c r="V190" s="187"/>
      <c r="W190" s="187"/>
      <c r="X190" s="357" t="e">
        <f t="shared" si="66"/>
        <v>#N/A</v>
      </c>
      <c r="Y190" s="629"/>
      <c r="Z190" s="187"/>
      <c r="AA190" s="187"/>
      <c r="AB190" s="187"/>
      <c r="AC190" s="357" t="e">
        <f t="shared" si="67"/>
        <v>#N/A</v>
      </c>
      <c r="AD190" s="629"/>
      <c r="AE190" s="187"/>
      <c r="AF190" s="187"/>
      <c r="AG190" s="187"/>
      <c r="AH190" s="357" t="e">
        <f t="shared" si="68"/>
        <v>#N/A</v>
      </c>
      <c r="AI190" s="629"/>
      <c r="AJ190" s="187"/>
      <c r="AK190" s="187"/>
      <c r="AL190" s="187"/>
      <c r="AM190" s="357" t="e">
        <f t="shared" si="69"/>
        <v>#N/A</v>
      </c>
      <c r="AN190" s="629"/>
      <c r="AO190" s="187"/>
      <c r="AP190" s="187"/>
      <c r="AQ190" s="187"/>
      <c r="AR190" s="357" t="e">
        <f t="shared" si="70"/>
        <v>#N/A</v>
      </c>
      <c r="AS190" s="629"/>
      <c r="AT190" s="187"/>
      <c r="AU190" s="187"/>
      <c r="AV190" s="187"/>
      <c r="AW190" s="357" t="e">
        <f t="shared" si="71"/>
        <v>#N/A</v>
      </c>
      <c r="AX190" s="629"/>
    </row>
    <row r="191" spans="2:50">
      <c r="B191" s="598"/>
      <c r="C191" s="357">
        <v>10</v>
      </c>
      <c r="D191" s="231"/>
      <c r="E191" s="187"/>
      <c r="F191" s="357"/>
      <c r="G191" s="360"/>
      <c r="H191" s="633"/>
      <c r="I191" s="204" t="e">
        <f t="shared" si="62"/>
        <v>#DIV/0!</v>
      </c>
      <c r="J191" s="204" t="e">
        <f t="shared" si="63"/>
        <v>#DIV/0!</v>
      </c>
      <c r="K191" s="205" t="e">
        <f t="shared" si="64"/>
        <v>#DIV/0!</v>
      </c>
      <c r="L191" s="572"/>
      <c r="M191" s="206" t="e">
        <f>RANK(K191, K$147:$K$176)</f>
        <v>#DIV/0!</v>
      </c>
      <c r="N191" s="590"/>
      <c r="O191" s="590"/>
      <c r="P191" s="187"/>
      <c r="Q191" s="187"/>
      <c r="R191" s="187"/>
      <c r="S191" s="357" t="e">
        <f t="shared" si="65"/>
        <v>#N/A</v>
      </c>
      <c r="T191" s="629"/>
      <c r="U191" s="187"/>
      <c r="V191" s="187"/>
      <c r="W191" s="187"/>
      <c r="X191" s="357" t="e">
        <f t="shared" si="66"/>
        <v>#N/A</v>
      </c>
      <c r="Y191" s="629"/>
      <c r="Z191" s="187"/>
      <c r="AA191" s="187"/>
      <c r="AB191" s="187"/>
      <c r="AC191" s="357" t="e">
        <f t="shared" si="67"/>
        <v>#N/A</v>
      </c>
      <c r="AD191" s="629"/>
      <c r="AE191" s="187"/>
      <c r="AF191" s="187"/>
      <c r="AG191" s="187"/>
      <c r="AH191" s="357" t="e">
        <f t="shared" si="68"/>
        <v>#N/A</v>
      </c>
      <c r="AI191" s="629"/>
      <c r="AJ191" s="187"/>
      <c r="AK191" s="187"/>
      <c r="AL191" s="187"/>
      <c r="AM191" s="357" t="e">
        <f t="shared" si="69"/>
        <v>#N/A</v>
      </c>
      <c r="AN191" s="629"/>
      <c r="AO191" s="187"/>
      <c r="AP191" s="187"/>
      <c r="AQ191" s="187"/>
      <c r="AR191" s="357" t="e">
        <f t="shared" si="70"/>
        <v>#N/A</v>
      </c>
      <c r="AS191" s="629"/>
      <c r="AT191" s="187"/>
      <c r="AU191" s="187"/>
      <c r="AV191" s="187"/>
      <c r="AW191" s="357" t="e">
        <f t="shared" si="71"/>
        <v>#N/A</v>
      </c>
      <c r="AX191" s="629"/>
    </row>
    <row r="192" spans="2:50">
      <c r="B192" s="598"/>
      <c r="C192" s="357">
        <v>11</v>
      </c>
      <c r="D192" s="231"/>
      <c r="E192" s="187"/>
      <c r="F192" s="357"/>
      <c r="G192" s="360"/>
      <c r="H192" s="633"/>
      <c r="I192" s="204" t="e">
        <f t="shared" si="62"/>
        <v>#DIV/0!</v>
      </c>
      <c r="J192" s="204" t="e">
        <f t="shared" si="63"/>
        <v>#DIV/0!</v>
      </c>
      <c r="K192" s="205" t="e">
        <f t="shared" si="64"/>
        <v>#DIV/0!</v>
      </c>
      <c r="L192" s="572"/>
      <c r="M192" s="206" t="e">
        <f>RANK(K192, K$147:$K$176)</f>
        <v>#DIV/0!</v>
      </c>
      <c r="N192" s="590"/>
      <c r="O192" s="590"/>
      <c r="P192" s="187"/>
      <c r="Q192" s="187"/>
      <c r="R192" s="187"/>
      <c r="S192" s="357" t="e">
        <f t="shared" si="65"/>
        <v>#N/A</v>
      </c>
      <c r="T192" s="629"/>
      <c r="U192" s="187"/>
      <c r="V192" s="187"/>
      <c r="W192" s="187"/>
      <c r="X192" s="357" t="e">
        <f t="shared" si="66"/>
        <v>#N/A</v>
      </c>
      <c r="Y192" s="629"/>
      <c r="Z192" s="187"/>
      <c r="AA192" s="187"/>
      <c r="AB192" s="187"/>
      <c r="AC192" s="357" t="e">
        <f t="shared" si="67"/>
        <v>#N/A</v>
      </c>
      <c r="AD192" s="629"/>
      <c r="AE192" s="187"/>
      <c r="AF192" s="187"/>
      <c r="AG192" s="187"/>
      <c r="AH192" s="357" t="e">
        <f t="shared" si="68"/>
        <v>#N/A</v>
      </c>
      <c r="AI192" s="629"/>
      <c r="AJ192" s="187"/>
      <c r="AK192" s="187"/>
      <c r="AL192" s="187"/>
      <c r="AM192" s="357" t="e">
        <f t="shared" si="69"/>
        <v>#N/A</v>
      </c>
      <c r="AN192" s="629"/>
      <c r="AO192" s="187"/>
      <c r="AP192" s="187"/>
      <c r="AQ192" s="187"/>
      <c r="AR192" s="357" t="e">
        <f t="shared" si="70"/>
        <v>#N/A</v>
      </c>
      <c r="AS192" s="629"/>
      <c r="AT192" s="187"/>
      <c r="AU192" s="187"/>
      <c r="AV192" s="187"/>
      <c r="AW192" s="357" t="e">
        <f t="shared" si="71"/>
        <v>#N/A</v>
      </c>
      <c r="AX192" s="629"/>
    </row>
    <row r="193" spans="2:50">
      <c r="B193" s="598"/>
      <c r="C193" s="357">
        <v>12</v>
      </c>
      <c r="D193" s="231"/>
      <c r="E193" s="187"/>
      <c r="F193" s="357"/>
      <c r="G193" s="360"/>
      <c r="H193" s="633"/>
      <c r="I193" s="204" t="e">
        <f t="shared" si="62"/>
        <v>#DIV/0!</v>
      </c>
      <c r="J193" s="204" t="e">
        <f t="shared" si="63"/>
        <v>#DIV/0!</v>
      </c>
      <c r="K193" s="205" t="e">
        <f t="shared" si="64"/>
        <v>#DIV/0!</v>
      </c>
      <c r="L193" s="572"/>
      <c r="M193" s="206" t="e">
        <f>RANK(K193, K$147:$K$176)</f>
        <v>#DIV/0!</v>
      </c>
      <c r="N193" s="590"/>
      <c r="O193" s="590"/>
      <c r="P193" s="187"/>
      <c r="Q193" s="187"/>
      <c r="R193" s="187"/>
      <c r="S193" s="357" t="e">
        <f t="shared" si="65"/>
        <v>#N/A</v>
      </c>
      <c r="T193" s="629"/>
      <c r="U193" s="187"/>
      <c r="V193" s="187"/>
      <c r="W193" s="187"/>
      <c r="X193" s="357" t="e">
        <f t="shared" si="66"/>
        <v>#N/A</v>
      </c>
      <c r="Y193" s="629"/>
      <c r="Z193" s="187"/>
      <c r="AA193" s="187"/>
      <c r="AB193" s="187"/>
      <c r="AC193" s="357" t="e">
        <f t="shared" si="67"/>
        <v>#N/A</v>
      </c>
      <c r="AD193" s="629"/>
      <c r="AE193" s="187"/>
      <c r="AF193" s="187"/>
      <c r="AG193" s="187"/>
      <c r="AH193" s="357" t="e">
        <f t="shared" si="68"/>
        <v>#N/A</v>
      </c>
      <c r="AI193" s="629"/>
      <c r="AJ193" s="187"/>
      <c r="AK193" s="187"/>
      <c r="AL193" s="187"/>
      <c r="AM193" s="357" t="e">
        <f t="shared" si="69"/>
        <v>#N/A</v>
      </c>
      <c r="AN193" s="629"/>
      <c r="AO193" s="187"/>
      <c r="AP193" s="187"/>
      <c r="AQ193" s="187"/>
      <c r="AR193" s="357" t="e">
        <f t="shared" si="70"/>
        <v>#N/A</v>
      </c>
      <c r="AS193" s="629"/>
      <c r="AT193" s="187"/>
      <c r="AU193" s="187"/>
      <c r="AV193" s="187"/>
      <c r="AW193" s="357" t="e">
        <f t="shared" si="71"/>
        <v>#N/A</v>
      </c>
      <c r="AX193" s="629"/>
    </row>
    <row r="194" spans="2:50">
      <c r="B194" s="598"/>
      <c r="C194" s="357">
        <v>13</v>
      </c>
      <c r="D194" s="231"/>
      <c r="E194" s="187"/>
      <c r="F194" s="357"/>
      <c r="G194" s="360"/>
      <c r="H194" s="633"/>
      <c r="I194" s="204" t="e">
        <f t="shared" si="62"/>
        <v>#DIV/0!</v>
      </c>
      <c r="J194" s="204" t="e">
        <f t="shared" si="63"/>
        <v>#DIV/0!</v>
      </c>
      <c r="K194" s="205" t="e">
        <f t="shared" si="64"/>
        <v>#DIV/0!</v>
      </c>
      <c r="L194" s="572"/>
      <c r="M194" s="206" t="e">
        <f>RANK(K194, K$147:$K$176)</f>
        <v>#DIV/0!</v>
      </c>
      <c r="N194" s="590"/>
      <c r="O194" s="590"/>
      <c r="P194" s="187"/>
      <c r="Q194" s="187"/>
      <c r="R194" s="187"/>
      <c r="S194" s="357" t="e">
        <f t="shared" si="65"/>
        <v>#N/A</v>
      </c>
      <c r="T194" s="629"/>
      <c r="U194" s="187"/>
      <c r="V194" s="187"/>
      <c r="W194" s="187"/>
      <c r="X194" s="357" t="e">
        <f t="shared" si="66"/>
        <v>#N/A</v>
      </c>
      <c r="Y194" s="629"/>
      <c r="Z194" s="187"/>
      <c r="AA194" s="187"/>
      <c r="AB194" s="187"/>
      <c r="AC194" s="357" t="e">
        <f t="shared" si="67"/>
        <v>#N/A</v>
      </c>
      <c r="AD194" s="629"/>
      <c r="AE194" s="187"/>
      <c r="AF194" s="187"/>
      <c r="AG194" s="187"/>
      <c r="AH194" s="357" t="e">
        <f t="shared" si="68"/>
        <v>#N/A</v>
      </c>
      <c r="AI194" s="629"/>
      <c r="AJ194" s="187"/>
      <c r="AK194" s="187"/>
      <c r="AL194" s="187"/>
      <c r="AM194" s="357" t="e">
        <f t="shared" si="69"/>
        <v>#N/A</v>
      </c>
      <c r="AN194" s="629"/>
      <c r="AO194" s="187"/>
      <c r="AP194" s="187"/>
      <c r="AQ194" s="187"/>
      <c r="AR194" s="357" t="e">
        <f t="shared" si="70"/>
        <v>#N/A</v>
      </c>
      <c r="AS194" s="629"/>
      <c r="AT194" s="187"/>
      <c r="AU194" s="187"/>
      <c r="AV194" s="187"/>
      <c r="AW194" s="357" t="e">
        <f t="shared" si="71"/>
        <v>#N/A</v>
      </c>
      <c r="AX194" s="629"/>
    </row>
    <row r="195" spans="2:50">
      <c r="B195" s="598"/>
      <c r="C195" s="357">
        <v>14</v>
      </c>
      <c r="D195" s="231"/>
      <c r="E195" s="187"/>
      <c r="F195" s="357"/>
      <c r="G195" s="360"/>
      <c r="H195" s="633"/>
      <c r="I195" s="204" t="e">
        <f t="shared" si="62"/>
        <v>#DIV/0!</v>
      </c>
      <c r="J195" s="204" t="e">
        <f t="shared" si="63"/>
        <v>#DIV/0!</v>
      </c>
      <c r="K195" s="205" t="e">
        <f t="shared" si="64"/>
        <v>#DIV/0!</v>
      </c>
      <c r="L195" s="572"/>
      <c r="M195" s="206" t="e">
        <f>RANK(K195, K$147:$K$176)</f>
        <v>#DIV/0!</v>
      </c>
      <c r="N195" s="590"/>
      <c r="O195" s="590"/>
      <c r="P195" s="187"/>
      <c r="Q195" s="187"/>
      <c r="R195" s="187"/>
      <c r="S195" s="357" t="e">
        <f t="shared" si="65"/>
        <v>#N/A</v>
      </c>
      <c r="T195" s="629"/>
      <c r="U195" s="187"/>
      <c r="V195" s="187"/>
      <c r="W195" s="187"/>
      <c r="X195" s="357" t="e">
        <f t="shared" si="66"/>
        <v>#N/A</v>
      </c>
      <c r="Y195" s="629"/>
      <c r="Z195" s="187"/>
      <c r="AA195" s="187"/>
      <c r="AB195" s="187"/>
      <c r="AC195" s="357" t="e">
        <f t="shared" si="67"/>
        <v>#N/A</v>
      </c>
      <c r="AD195" s="629"/>
      <c r="AE195" s="187"/>
      <c r="AF195" s="187"/>
      <c r="AG195" s="187"/>
      <c r="AH195" s="357" t="e">
        <f t="shared" si="68"/>
        <v>#N/A</v>
      </c>
      <c r="AI195" s="629"/>
      <c r="AJ195" s="187"/>
      <c r="AK195" s="187"/>
      <c r="AL195" s="187"/>
      <c r="AM195" s="357" t="e">
        <f t="shared" si="69"/>
        <v>#N/A</v>
      </c>
      <c r="AN195" s="629"/>
      <c r="AO195" s="187"/>
      <c r="AP195" s="187"/>
      <c r="AQ195" s="187"/>
      <c r="AR195" s="357" t="e">
        <f t="shared" si="70"/>
        <v>#N/A</v>
      </c>
      <c r="AS195" s="629"/>
      <c r="AT195" s="187"/>
      <c r="AU195" s="187"/>
      <c r="AV195" s="187"/>
      <c r="AW195" s="357" t="e">
        <f t="shared" si="71"/>
        <v>#N/A</v>
      </c>
      <c r="AX195" s="629"/>
    </row>
    <row r="196" spans="2:50">
      <c r="B196" s="598"/>
      <c r="C196" s="357">
        <v>15</v>
      </c>
      <c r="D196" s="231"/>
      <c r="E196" s="187"/>
      <c r="F196" s="357"/>
      <c r="G196" s="360"/>
      <c r="H196" s="633"/>
      <c r="I196" s="204" t="e">
        <f t="shared" si="62"/>
        <v>#DIV/0!</v>
      </c>
      <c r="J196" s="204" t="e">
        <f t="shared" si="63"/>
        <v>#DIV/0!</v>
      </c>
      <c r="K196" s="205" t="e">
        <f t="shared" si="64"/>
        <v>#DIV/0!</v>
      </c>
      <c r="L196" s="572"/>
      <c r="M196" s="204" t="e">
        <f>RANK(K196, K$147:$K$176)</f>
        <v>#DIV/0!</v>
      </c>
      <c r="N196" s="590"/>
      <c r="O196" s="590"/>
      <c r="P196" s="187"/>
      <c r="Q196" s="187"/>
      <c r="R196" s="187"/>
      <c r="S196" s="357" t="e">
        <f t="shared" si="65"/>
        <v>#N/A</v>
      </c>
      <c r="T196" s="629"/>
      <c r="U196" s="187"/>
      <c r="V196" s="187"/>
      <c r="W196" s="187"/>
      <c r="X196" s="357" t="e">
        <f t="shared" si="66"/>
        <v>#N/A</v>
      </c>
      <c r="Y196" s="629"/>
      <c r="Z196" s="187"/>
      <c r="AA196" s="187"/>
      <c r="AB196" s="187"/>
      <c r="AC196" s="357" t="e">
        <f t="shared" si="67"/>
        <v>#N/A</v>
      </c>
      <c r="AD196" s="629"/>
      <c r="AE196" s="187"/>
      <c r="AF196" s="187"/>
      <c r="AG196" s="187"/>
      <c r="AH196" s="357" t="e">
        <f t="shared" si="68"/>
        <v>#N/A</v>
      </c>
      <c r="AI196" s="629"/>
      <c r="AJ196" s="187"/>
      <c r="AK196" s="187"/>
      <c r="AL196" s="187"/>
      <c r="AM196" s="357" t="e">
        <f t="shared" si="69"/>
        <v>#N/A</v>
      </c>
      <c r="AN196" s="629"/>
      <c r="AO196" s="187"/>
      <c r="AP196" s="187"/>
      <c r="AQ196" s="187"/>
      <c r="AR196" s="357" t="e">
        <f t="shared" si="70"/>
        <v>#N/A</v>
      </c>
      <c r="AS196" s="629"/>
      <c r="AT196" s="187"/>
      <c r="AU196" s="187"/>
      <c r="AV196" s="187"/>
      <c r="AW196" s="357" t="e">
        <f t="shared" si="71"/>
        <v>#N/A</v>
      </c>
      <c r="AX196" s="629"/>
    </row>
    <row r="197" spans="2:50">
      <c r="B197" s="598"/>
      <c r="C197" s="357">
        <v>16</v>
      </c>
      <c r="D197" s="231"/>
      <c r="E197" s="187"/>
      <c r="F197" s="357"/>
      <c r="G197" s="360"/>
      <c r="H197" s="633"/>
      <c r="I197" s="204" t="e">
        <f t="shared" si="62"/>
        <v>#DIV/0!</v>
      </c>
      <c r="J197" s="204" t="e">
        <f t="shared" si="63"/>
        <v>#DIV/0!</v>
      </c>
      <c r="K197" s="205" t="e">
        <f t="shared" si="64"/>
        <v>#DIV/0!</v>
      </c>
      <c r="L197" s="572"/>
      <c r="M197" s="204" t="e">
        <f>RANK(K197, K$147:$K$176)</f>
        <v>#DIV/0!</v>
      </c>
      <c r="N197" s="590"/>
      <c r="O197" s="590"/>
      <c r="P197" s="187"/>
      <c r="Q197" s="187"/>
      <c r="R197" s="187"/>
      <c r="S197" s="357" t="e">
        <f t="shared" si="65"/>
        <v>#N/A</v>
      </c>
      <c r="T197" s="629"/>
      <c r="U197" s="187"/>
      <c r="V197" s="187"/>
      <c r="W197" s="187"/>
      <c r="X197" s="357" t="e">
        <f t="shared" si="66"/>
        <v>#N/A</v>
      </c>
      <c r="Y197" s="629"/>
      <c r="Z197" s="187"/>
      <c r="AA197" s="187"/>
      <c r="AB197" s="187"/>
      <c r="AC197" s="357" t="e">
        <f t="shared" si="67"/>
        <v>#N/A</v>
      </c>
      <c r="AD197" s="629"/>
      <c r="AE197" s="187"/>
      <c r="AF197" s="187"/>
      <c r="AG197" s="187"/>
      <c r="AH197" s="357" t="e">
        <f t="shared" si="68"/>
        <v>#N/A</v>
      </c>
      <c r="AI197" s="629"/>
      <c r="AJ197" s="187"/>
      <c r="AK197" s="187"/>
      <c r="AL197" s="187"/>
      <c r="AM197" s="357" t="e">
        <f t="shared" si="69"/>
        <v>#N/A</v>
      </c>
      <c r="AN197" s="629"/>
      <c r="AO197" s="187"/>
      <c r="AP197" s="187"/>
      <c r="AQ197" s="187"/>
      <c r="AR197" s="357" t="e">
        <f t="shared" si="70"/>
        <v>#N/A</v>
      </c>
      <c r="AS197" s="629"/>
      <c r="AT197" s="187"/>
      <c r="AU197" s="187"/>
      <c r="AV197" s="187"/>
      <c r="AW197" s="357" t="e">
        <f t="shared" si="71"/>
        <v>#N/A</v>
      </c>
      <c r="AX197" s="629"/>
    </row>
    <row r="198" spans="2:50">
      <c r="B198" s="598"/>
      <c r="C198" s="357">
        <v>17</v>
      </c>
      <c r="D198" s="231"/>
      <c r="E198" s="187"/>
      <c r="F198" s="357"/>
      <c r="G198" s="360"/>
      <c r="H198" s="633"/>
      <c r="I198" s="204" t="e">
        <f t="shared" si="62"/>
        <v>#DIV/0!</v>
      </c>
      <c r="J198" s="204" t="e">
        <f t="shared" si="63"/>
        <v>#DIV/0!</v>
      </c>
      <c r="K198" s="205" t="e">
        <f t="shared" si="64"/>
        <v>#DIV/0!</v>
      </c>
      <c r="L198" s="572"/>
      <c r="M198" s="204" t="e">
        <f>RANK(K198, K$147:$K$176)</f>
        <v>#DIV/0!</v>
      </c>
      <c r="N198" s="590"/>
      <c r="O198" s="590"/>
      <c r="P198" s="187"/>
      <c r="Q198" s="187"/>
      <c r="R198" s="187"/>
      <c r="S198" s="357" t="e">
        <f t="shared" si="65"/>
        <v>#N/A</v>
      </c>
      <c r="T198" s="629"/>
      <c r="U198" s="187"/>
      <c r="V198" s="187"/>
      <c r="W198" s="187"/>
      <c r="X198" s="357" t="e">
        <f t="shared" si="66"/>
        <v>#N/A</v>
      </c>
      <c r="Y198" s="629"/>
      <c r="Z198" s="187"/>
      <c r="AA198" s="187"/>
      <c r="AB198" s="187"/>
      <c r="AC198" s="357" t="e">
        <f t="shared" si="67"/>
        <v>#N/A</v>
      </c>
      <c r="AD198" s="629"/>
      <c r="AE198" s="187"/>
      <c r="AF198" s="187"/>
      <c r="AG198" s="187"/>
      <c r="AH198" s="357" t="e">
        <f t="shared" si="68"/>
        <v>#N/A</v>
      </c>
      <c r="AI198" s="629"/>
      <c r="AJ198" s="187"/>
      <c r="AK198" s="187"/>
      <c r="AL198" s="187"/>
      <c r="AM198" s="357" t="e">
        <f t="shared" si="69"/>
        <v>#N/A</v>
      </c>
      <c r="AN198" s="629"/>
      <c r="AO198" s="187"/>
      <c r="AP198" s="187"/>
      <c r="AQ198" s="187"/>
      <c r="AR198" s="357" t="e">
        <f t="shared" si="70"/>
        <v>#N/A</v>
      </c>
      <c r="AS198" s="629"/>
      <c r="AT198" s="187"/>
      <c r="AU198" s="187"/>
      <c r="AV198" s="187"/>
      <c r="AW198" s="357" t="e">
        <f t="shared" si="71"/>
        <v>#N/A</v>
      </c>
      <c r="AX198" s="629"/>
    </row>
    <row r="199" spans="2:50">
      <c r="B199" s="598"/>
      <c r="C199" s="357">
        <v>18</v>
      </c>
      <c r="D199" s="231"/>
      <c r="E199" s="187"/>
      <c r="F199" s="357"/>
      <c r="G199" s="360"/>
      <c r="H199" s="633"/>
      <c r="I199" s="204" t="e">
        <f t="shared" si="62"/>
        <v>#DIV/0!</v>
      </c>
      <c r="J199" s="204" t="e">
        <f t="shared" si="63"/>
        <v>#DIV/0!</v>
      </c>
      <c r="K199" s="205" t="e">
        <f t="shared" si="64"/>
        <v>#DIV/0!</v>
      </c>
      <c r="L199" s="572"/>
      <c r="M199" s="204" t="e">
        <f>RANK(K199, K$147:$K$176)</f>
        <v>#DIV/0!</v>
      </c>
      <c r="N199" s="590"/>
      <c r="O199" s="590"/>
      <c r="P199" s="187"/>
      <c r="Q199" s="187"/>
      <c r="R199" s="187"/>
      <c r="S199" s="357" t="e">
        <f t="shared" si="65"/>
        <v>#N/A</v>
      </c>
      <c r="T199" s="629"/>
      <c r="U199" s="187"/>
      <c r="V199" s="187"/>
      <c r="W199" s="187"/>
      <c r="X199" s="357" t="e">
        <f t="shared" si="66"/>
        <v>#N/A</v>
      </c>
      <c r="Y199" s="629"/>
      <c r="Z199" s="187"/>
      <c r="AA199" s="187"/>
      <c r="AB199" s="187"/>
      <c r="AC199" s="357" t="e">
        <f t="shared" si="67"/>
        <v>#N/A</v>
      </c>
      <c r="AD199" s="629"/>
      <c r="AE199" s="187"/>
      <c r="AF199" s="187"/>
      <c r="AG199" s="187"/>
      <c r="AH199" s="357" t="e">
        <f t="shared" si="68"/>
        <v>#N/A</v>
      </c>
      <c r="AI199" s="629"/>
      <c r="AJ199" s="187"/>
      <c r="AK199" s="187"/>
      <c r="AL199" s="187"/>
      <c r="AM199" s="357" t="e">
        <f t="shared" si="69"/>
        <v>#N/A</v>
      </c>
      <c r="AN199" s="629"/>
      <c r="AO199" s="187"/>
      <c r="AP199" s="187"/>
      <c r="AQ199" s="187"/>
      <c r="AR199" s="357" t="e">
        <f t="shared" si="70"/>
        <v>#N/A</v>
      </c>
      <c r="AS199" s="629"/>
      <c r="AT199" s="187"/>
      <c r="AU199" s="187"/>
      <c r="AV199" s="187"/>
      <c r="AW199" s="357" t="e">
        <f t="shared" si="71"/>
        <v>#N/A</v>
      </c>
      <c r="AX199" s="629"/>
    </row>
    <row r="200" spans="2:50">
      <c r="B200" s="598"/>
      <c r="C200" s="357">
        <v>19</v>
      </c>
      <c r="D200" s="231"/>
      <c r="E200" s="187"/>
      <c r="F200" s="357"/>
      <c r="G200" s="360"/>
      <c r="H200" s="633"/>
      <c r="I200" s="204" t="e">
        <f t="shared" si="62"/>
        <v>#DIV/0!</v>
      </c>
      <c r="J200" s="204" t="e">
        <f t="shared" si="63"/>
        <v>#DIV/0!</v>
      </c>
      <c r="K200" s="205" t="e">
        <f t="shared" si="64"/>
        <v>#DIV/0!</v>
      </c>
      <c r="L200" s="572"/>
      <c r="M200" s="204" t="e">
        <f>RANK(K200, K$147:$K$176)</f>
        <v>#DIV/0!</v>
      </c>
      <c r="N200" s="590"/>
      <c r="O200" s="590"/>
      <c r="P200" s="187"/>
      <c r="Q200" s="187"/>
      <c r="R200" s="187"/>
      <c r="S200" s="357" t="e">
        <f t="shared" si="65"/>
        <v>#N/A</v>
      </c>
      <c r="T200" s="629"/>
      <c r="U200" s="187"/>
      <c r="V200" s="187"/>
      <c r="W200" s="187"/>
      <c r="X200" s="357" t="e">
        <f t="shared" si="66"/>
        <v>#N/A</v>
      </c>
      <c r="Y200" s="629"/>
      <c r="Z200" s="187"/>
      <c r="AA200" s="187"/>
      <c r="AB200" s="187"/>
      <c r="AC200" s="357" t="e">
        <f t="shared" si="67"/>
        <v>#N/A</v>
      </c>
      <c r="AD200" s="629"/>
      <c r="AE200" s="187"/>
      <c r="AF200" s="187"/>
      <c r="AG200" s="187"/>
      <c r="AH200" s="357" t="e">
        <f t="shared" si="68"/>
        <v>#N/A</v>
      </c>
      <c r="AI200" s="629"/>
      <c r="AJ200" s="187"/>
      <c r="AK200" s="187"/>
      <c r="AL200" s="187"/>
      <c r="AM200" s="357" t="e">
        <f t="shared" si="69"/>
        <v>#N/A</v>
      </c>
      <c r="AN200" s="629"/>
      <c r="AO200" s="187"/>
      <c r="AP200" s="187"/>
      <c r="AQ200" s="187"/>
      <c r="AR200" s="357" t="e">
        <f t="shared" si="70"/>
        <v>#N/A</v>
      </c>
      <c r="AS200" s="629"/>
      <c r="AT200" s="187"/>
      <c r="AU200" s="187"/>
      <c r="AV200" s="187"/>
      <c r="AW200" s="357" t="e">
        <f t="shared" si="71"/>
        <v>#N/A</v>
      </c>
      <c r="AX200" s="629"/>
    </row>
    <row r="201" spans="2:50">
      <c r="B201" s="598"/>
      <c r="C201" s="357">
        <v>20</v>
      </c>
      <c r="D201" s="231"/>
      <c r="E201" s="187"/>
      <c r="F201" s="357"/>
      <c r="G201" s="360"/>
      <c r="H201" s="633"/>
      <c r="I201" s="204" t="e">
        <f t="shared" si="62"/>
        <v>#DIV/0!</v>
      </c>
      <c r="J201" s="204" t="e">
        <f t="shared" si="63"/>
        <v>#DIV/0!</v>
      </c>
      <c r="K201" s="205" t="e">
        <f t="shared" si="64"/>
        <v>#DIV/0!</v>
      </c>
      <c r="L201" s="572"/>
      <c r="M201" s="204" t="e">
        <f>RANK(K201, K$147:$K$176)</f>
        <v>#DIV/0!</v>
      </c>
      <c r="N201" s="590"/>
      <c r="O201" s="590"/>
      <c r="P201" s="187"/>
      <c r="Q201" s="187"/>
      <c r="R201" s="187"/>
      <c r="S201" s="357" t="e">
        <f t="shared" si="65"/>
        <v>#N/A</v>
      </c>
      <c r="T201" s="629"/>
      <c r="U201" s="187"/>
      <c r="V201" s="187"/>
      <c r="W201" s="187"/>
      <c r="X201" s="357" t="e">
        <f t="shared" si="66"/>
        <v>#N/A</v>
      </c>
      <c r="Y201" s="629"/>
      <c r="Z201" s="187"/>
      <c r="AA201" s="187"/>
      <c r="AB201" s="187"/>
      <c r="AC201" s="357" t="e">
        <f t="shared" si="67"/>
        <v>#N/A</v>
      </c>
      <c r="AD201" s="629"/>
      <c r="AE201" s="187"/>
      <c r="AF201" s="187"/>
      <c r="AG201" s="187"/>
      <c r="AH201" s="357" t="e">
        <f t="shared" si="68"/>
        <v>#N/A</v>
      </c>
      <c r="AI201" s="629"/>
      <c r="AJ201" s="187"/>
      <c r="AK201" s="187"/>
      <c r="AL201" s="187"/>
      <c r="AM201" s="357" t="e">
        <f t="shared" si="69"/>
        <v>#N/A</v>
      </c>
      <c r="AN201" s="629"/>
      <c r="AO201" s="187"/>
      <c r="AP201" s="187"/>
      <c r="AQ201" s="187"/>
      <c r="AR201" s="357" t="e">
        <f t="shared" si="70"/>
        <v>#N/A</v>
      </c>
      <c r="AS201" s="629"/>
      <c r="AT201" s="187"/>
      <c r="AU201" s="187"/>
      <c r="AV201" s="187"/>
      <c r="AW201" s="357" t="e">
        <f t="shared" si="71"/>
        <v>#N/A</v>
      </c>
      <c r="AX201" s="629"/>
    </row>
    <row r="202" spans="2:50">
      <c r="B202" s="598"/>
      <c r="C202" s="357">
        <v>21</v>
      </c>
      <c r="D202" s="231"/>
      <c r="E202" s="187"/>
      <c r="F202" s="357"/>
      <c r="G202" s="360"/>
      <c r="H202" s="633"/>
      <c r="I202" s="204" t="e">
        <f t="shared" si="62"/>
        <v>#DIV/0!</v>
      </c>
      <c r="J202" s="204" t="e">
        <f t="shared" si="63"/>
        <v>#DIV/0!</v>
      </c>
      <c r="K202" s="205" t="e">
        <f t="shared" si="64"/>
        <v>#DIV/0!</v>
      </c>
      <c r="L202" s="572"/>
      <c r="M202" s="204" t="e">
        <f>RANK(K202, K$147:$K$176)</f>
        <v>#DIV/0!</v>
      </c>
      <c r="N202" s="590"/>
      <c r="O202" s="590"/>
      <c r="P202" s="187"/>
      <c r="Q202" s="187"/>
      <c r="R202" s="187"/>
      <c r="S202" s="357" t="e">
        <f t="shared" si="65"/>
        <v>#N/A</v>
      </c>
      <c r="T202" s="629"/>
      <c r="U202" s="187"/>
      <c r="V202" s="187"/>
      <c r="W202" s="187"/>
      <c r="X202" s="357" t="e">
        <f t="shared" si="66"/>
        <v>#N/A</v>
      </c>
      <c r="Y202" s="629"/>
      <c r="Z202" s="187"/>
      <c r="AA202" s="187"/>
      <c r="AB202" s="187"/>
      <c r="AC202" s="357" t="e">
        <f t="shared" si="67"/>
        <v>#N/A</v>
      </c>
      <c r="AD202" s="629"/>
      <c r="AE202" s="187"/>
      <c r="AF202" s="187"/>
      <c r="AG202" s="187"/>
      <c r="AH202" s="357" t="e">
        <f t="shared" si="68"/>
        <v>#N/A</v>
      </c>
      <c r="AI202" s="629"/>
      <c r="AJ202" s="187"/>
      <c r="AK202" s="187"/>
      <c r="AL202" s="187"/>
      <c r="AM202" s="357" t="e">
        <f t="shared" si="69"/>
        <v>#N/A</v>
      </c>
      <c r="AN202" s="629"/>
      <c r="AO202" s="187"/>
      <c r="AP202" s="187"/>
      <c r="AQ202" s="187"/>
      <c r="AR202" s="357" t="e">
        <f t="shared" si="70"/>
        <v>#N/A</v>
      </c>
      <c r="AS202" s="629"/>
      <c r="AT202" s="187"/>
      <c r="AU202" s="187"/>
      <c r="AV202" s="187"/>
      <c r="AW202" s="357" t="e">
        <f t="shared" si="71"/>
        <v>#N/A</v>
      </c>
      <c r="AX202" s="629"/>
    </row>
    <row r="203" spans="2:50">
      <c r="B203" s="598"/>
      <c r="C203" s="357">
        <v>22</v>
      </c>
      <c r="D203" s="231"/>
      <c r="E203" s="187"/>
      <c r="F203" s="357"/>
      <c r="G203" s="360"/>
      <c r="H203" s="633"/>
      <c r="I203" s="204" t="e">
        <f t="shared" si="62"/>
        <v>#DIV/0!</v>
      </c>
      <c r="J203" s="204" t="e">
        <f t="shared" si="63"/>
        <v>#DIV/0!</v>
      </c>
      <c r="K203" s="205" t="e">
        <f t="shared" si="64"/>
        <v>#DIV/0!</v>
      </c>
      <c r="L203" s="572"/>
      <c r="M203" s="204" t="e">
        <f>RANK(K203, K$147:$K$176)</f>
        <v>#DIV/0!</v>
      </c>
      <c r="N203" s="590"/>
      <c r="O203" s="590"/>
      <c r="P203" s="187"/>
      <c r="Q203" s="187"/>
      <c r="R203" s="187"/>
      <c r="S203" s="357" t="e">
        <f t="shared" si="65"/>
        <v>#N/A</v>
      </c>
      <c r="T203" s="629"/>
      <c r="U203" s="187"/>
      <c r="V203" s="187"/>
      <c r="W203" s="187"/>
      <c r="X203" s="357" t="e">
        <f t="shared" si="66"/>
        <v>#N/A</v>
      </c>
      <c r="Y203" s="629"/>
      <c r="Z203" s="187"/>
      <c r="AA203" s="187"/>
      <c r="AB203" s="187"/>
      <c r="AC203" s="357" t="e">
        <f t="shared" si="67"/>
        <v>#N/A</v>
      </c>
      <c r="AD203" s="629"/>
      <c r="AE203" s="187"/>
      <c r="AF203" s="187"/>
      <c r="AG203" s="187"/>
      <c r="AH203" s="357" t="e">
        <f t="shared" si="68"/>
        <v>#N/A</v>
      </c>
      <c r="AI203" s="629"/>
      <c r="AJ203" s="187"/>
      <c r="AK203" s="187"/>
      <c r="AL203" s="187"/>
      <c r="AM203" s="357" t="e">
        <f t="shared" si="69"/>
        <v>#N/A</v>
      </c>
      <c r="AN203" s="629"/>
      <c r="AO203" s="187"/>
      <c r="AP203" s="187"/>
      <c r="AQ203" s="187"/>
      <c r="AR203" s="357" t="e">
        <f t="shared" si="70"/>
        <v>#N/A</v>
      </c>
      <c r="AS203" s="629"/>
      <c r="AT203" s="187"/>
      <c r="AU203" s="187"/>
      <c r="AV203" s="187"/>
      <c r="AW203" s="357" t="e">
        <f t="shared" si="71"/>
        <v>#N/A</v>
      </c>
      <c r="AX203" s="629"/>
    </row>
    <row r="204" spans="2:50">
      <c r="B204" s="598"/>
      <c r="C204" s="357">
        <v>23</v>
      </c>
      <c r="D204" s="231"/>
      <c r="E204" s="187"/>
      <c r="F204" s="357"/>
      <c r="G204" s="360"/>
      <c r="H204" s="633"/>
      <c r="I204" s="204" t="e">
        <f t="shared" si="62"/>
        <v>#DIV/0!</v>
      </c>
      <c r="J204" s="204" t="e">
        <f t="shared" si="63"/>
        <v>#DIV/0!</v>
      </c>
      <c r="K204" s="205" t="e">
        <f t="shared" si="64"/>
        <v>#DIV/0!</v>
      </c>
      <c r="L204" s="572"/>
      <c r="M204" s="204" t="e">
        <f>RANK(K204, K$147:$K$176)</f>
        <v>#DIV/0!</v>
      </c>
      <c r="N204" s="590"/>
      <c r="O204" s="590"/>
      <c r="P204" s="187"/>
      <c r="Q204" s="187"/>
      <c r="R204" s="187"/>
      <c r="S204" s="357" t="e">
        <f t="shared" si="65"/>
        <v>#N/A</v>
      </c>
      <c r="T204" s="629"/>
      <c r="U204" s="187"/>
      <c r="V204" s="187"/>
      <c r="W204" s="187"/>
      <c r="X204" s="357" t="e">
        <f t="shared" si="66"/>
        <v>#N/A</v>
      </c>
      <c r="Y204" s="629"/>
      <c r="Z204" s="187"/>
      <c r="AA204" s="187"/>
      <c r="AB204" s="187"/>
      <c r="AC204" s="357" t="e">
        <f t="shared" si="67"/>
        <v>#N/A</v>
      </c>
      <c r="AD204" s="629"/>
      <c r="AE204" s="187"/>
      <c r="AF204" s="187"/>
      <c r="AG204" s="187"/>
      <c r="AH204" s="357" t="e">
        <f t="shared" si="68"/>
        <v>#N/A</v>
      </c>
      <c r="AI204" s="629"/>
      <c r="AJ204" s="187"/>
      <c r="AK204" s="187"/>
      <c r="AL204" s="187"/>
      <c r="AM204" s="357" t="e">
        <f t="shared" si="69"/>
        <v>#N/A</v>
      </c>
      <c r="AN204" s="629"/>
      <c r="AO204" s="187"/>
      <c r="AP204" s="187"/>
      <c r="AQ204" s="187"/>
      <c r="AR204" s="357" t="e">
        <f t="shared" si="70"/>
        <v>#N/A</v>
      </c>
      <c r="AS204" s="629"/>
      <c r="AT204" s="187"/>
      <c r="AU204" s="187"/>
      <c r="AV204" s="187"/>
      <c r="AW204" s="357" t="e">
        <f t="shared" si="71"/>
        <v>#N/A</v>
      </c>
      <c r="AX204" s="629"/>
    </row>
    <row r="205" spans="2:50">
      <c r="B205" s="598"/>
      <c r="C205" s="357">
        <v>24</v>
      </c>
      <c r="D205" s="231"/>
      <c r="E205" s="187"/>
      <c r="F205" s="357"/>
      <c r="G205" s="360"/>
      <c r="H205" s="633"/>
      <c r="I205" s="204" t="e">
        <f t="shared" si="62"/>
        <v>#DIV/0!</v>
      </c>
      <c r="J205" s="204" t="e">
        <f t="shared" si="63"/>
        <v>#DIV/0!</v>
      </c>
      <c r="K205" s="205" t="e">
        <f t="shared" si="64"/>
        <v>#DIV/0!</v>
      </c>
      <c r="L205" s="572"/>
      <c r="M205" s="204" t="e">
        <f>RANK(K205, K$147:$K$176)</f>
        <v>#DIV/0!</v>
      </c>
      <c r="N205" s="590"/>
      <c r="O205" s="590"/>
      <c r="P205" s="357"/>
      <c r="Q205" s="360"/>
      <c r="R205" s="360"/>
      <c r="S205" s="357" t="e">
        <f t="shared" si="65"/>
        <v>#N/A</v>
      </c>
      <c r="T205" s="629"/>
      <c r="U205" s="378"/>
      <c r="V205" s="379"/>
      <c r="W205" s="379"/>
      <c r="X205" s="357" t="e">
        <f t="shared" si="66"/>
        <v>#N/A</v>
      </c>
      <c r="Y205" s="629"/>
      <c r="Z205" s="378"/>
      <c r="AA205" s="379"/>
      <c r="AB205" s="379"/>
      <c r="AC205" s="357" t="e">
        <f t="shared" si="67"/>
        <v>#N/A</v>
      </c>
      <c r="AD205" s="629"/>
      <c r="AE205" s="378"/>
      <c r="AF205" s="379"/>
      <c r="AG205" s="379"/>
      <c r="AH205" s="357" t="e">
        <f t="shared" si="68"/>
        <v>#N/A</v>
      </c>
      <c r="AI205" s="629"/>
      <c r="AJ205" s="378"/>
      <c r="AK205" s="379"/>
      <c r="AL205" s="379"/>
      <c r="AM205" s="357" t="e">
        <f t="shared" si="69"/>
        <v>#N/A</v>
      </c>
      <c r="AN205" s="629"/>
      <c r="AO205" s="378"/>
      <c r="AP205" s="379"/>
      <c r="AQ205" s="379"/>
      <c r="AR205" s="357" t="e">
        <f t="shared" si="70"/>
        <v>#N/A</v>
      </c>
      <c r="AS205" s="629"/>
      <c r="AT205" s="378"/>
      <c r="AU205" s="379"/>
      <c r="AV205" s="379"/>
      <c r="AW205" s="357" t="e">
        <f t="shared" si="71"/>
        <v>#N/A</v>
      </c>
      <c r="AX205" s="629"/>
    </row>
    <row r="206" spans="2:50">
      <c r="B206" s="598"/>
      <c r="C206" s="357">
        <v>25</v>
      </c>
      <c r="D206" s="231"/>
      <c r="E206" s="187"/>
      <c r="F206" s="357"/>
      <c r="G206" s="360"/>
      <c r="H206" s="633"/>
      <c r="I206" s="204"/>
      <c r="J206" s="204"/>
      <c r="K206" s="205"/>
      <c r="L206" s="572"/>
      <c r="M206" s="204" t="e">
        <f>RANK(K206, K$147:$K$176)</f>
        <v>#N/A</v>
      </c>
      <c r="N206" s="590"/>
      <c r="O206" s="590"/>
      <c r="P206" s="357"/>
      <c r="Q206" s="360"/>
      <c r="R206" s="360"/>
      <c r="S206" s="357" t="e">
        <f t="shared" si="65"/>
        <v>#N/A</v>
      </c>
      <c r="T206" s="629"/>
      <c r="U206" s="378"/>
      <c r="V206" s="379"/>
      <c r="W206" s="379"/>
      <c r="X206" s="357" t="e">
        <f t="shared" si="66"/>
        <v>#N/A</v>
      </c>
      <c r="Y206" s="629"/>
      <c r="Z206" s="378"/>
      <c r="AA206" s="379"/>
      <c r="AB206" s="379"/>
      <c r="AC206" s="357" t="e">
        <f t="shared" si="67"/>
        <v>#N/A</v>
      </c>
      <c r="AD206" s="629"/>
      <c r="AE206" s="378"/>
      <c r="AF206" s="379"/>
      <c r="AG206" s="379"/>
      <c r="AH206" s="357" t="e">
        <f t="shared" si="68"/>
        <v>#N/A</v>
      </c>
      <c r="AI206" s="629"/>
      <c r="AJ206" s="378"/>
      <c r="AK206" s="379"/>
      <c r="AL206" s="379"/>
      <c r="AM206" s="357" t="e">
        <f t="shared" si="69"/>
        <v>#N/A</v>
      </c>
      <c r="AN206" s="629"/>
      <c r="AO206" s="378"/>
      <c r="AP206" s="379"/>
      <c r="AQ206" s="379"/>
      <c r="AR206" s="357" t="e">
        <f t="shared" si="70"/>
        <v>#N/A</v>
      </c>
      <c r="AS206" s="629"/>
      <c r="AT206" s="378"/>
      <c r="AU206" s="379"/>
      <c r="AV206" s="379"/>
      <c r="AW206" s="357" t="e">
        <f t="shared" si="71"/>
        <v>#N/A</v>
      </c>
      <c r="AX206" s="629"/>
    </row>
    <row r="207" spans="2:50">
      <c r="B207" s="598"/>
      <c r="C207" s="357">
        <v>26</v>
      </c>
      <c r="D207" s="231"/>
      <c r="E207" s="187"/>
      <c r="F207" s="357"/>
      <c r="G207" s="360"/>
      <c r="H207" s="633"/>
      <c r="I207" s="204"/>
      <c r="J207" s="204"/>
      <c r="K207" s="205"/>
      <c r="L207" s="572"/>
      <c r="M207" s="204" t="e">
        <f>RANK(K207, K$147:$K$176)</f>
        <v>#N/A</v>
      </c>
      <c r="N207" s="590"/>
      <c r="O207" s="590"/>
      <c r="P207" s="357"/>
      <c r="Q207" s="360"/>
      <c r="R207" s="360"/>
      <c r="S207" s="357" t="e">
        <f t="shared" si="65"/>
        <v>#N/A</v>
      </c>
      <c r="T207" s="629"/>
      <c r="U207" s="378"/>
      <c r="V207" s="379"/>
      <c r="W207" s="379"/>
      <c r="X207" s="357" t="e">
        <f t="shared" si="66"/>
        <v>#N/A</v>
      </c>
      <c r="Y207" s="629"/>
      <c r="Z207" s="378"/>
      <c r="AA207" s="379"/>
      <c r="AB207" s="379"/>
      <c r="AC207" s="357" t="e">
        <f t="shared" si="67"/>
        <v>#N/A</v>
      </c>
      <c r="AD207" s="629"/>
      <c r="AE207" s="378"/>
      <c r="AF207" s="379"/>
      <c r="AG207" s="379"/>
      <c r="AH207" s="357" t="e">
        <f t="shared" si="68"/>
        <v>#N/A</v>
      </c>
      <c r="AI207" s="629"/>
      <c r="AJ207" s="378"/>
      <c r="AK207" s="379"/>
      <c r="AL207" s="379"/>
      <c r="AM207" s="357" t="e">
        <f t="shared" si="69"/>
        <v>#N/A</v>
      </c>
      <c r="AN207" s="629"/>
      <c r="AO207" s="378"/>
      <c r="AP207" s="379"/>
      <c r="AQ207" s="379"/>
      <c r="AR207" s="357" t="e">
        <f t="shared" si="70"/>
        <v>#N/A</v>
      </c>
      <c r="AS207" s="629"/>
      <c r="AT207" s="378"/>
      <c r="AU207" s="379"/>
      <c r="AV207" s="379"/>
      <c r="AW207" s="357" t="e">
        <f t="shared" si="71"/>
        <v>#N/A</v>
      </c>
      <c r="AX207" s="629"/>
    </row>
    <row r="208" spans="2:50">
      <c r="B208" s="598"/>
      <c r="C208" s="357">
        <v>27</v>
      </c>
      <c r="D208" s="231"/>
      <c r="E208" s="187"/>
      <c r="F208" s="357"/>
      <c r="G208" s="360"/>
      <c r="H208" s="633"/>
      <c r="I208" s="204"/>
      <c r="J208" s="204"/>
      <c r="K208" s="205"/>
      <c r="L208" s="572"/>
      <c r="M208" s="204" t="e">
        <f>RANK(K208, K$147:$K$176)</f>
        <v>#N/A</v>
      </c>
      <c r="N208" s="590"/>
      <c r="O208" s="590"/>
      <c r="P208" s="357"/>
      <c r="Q208" s="360"/>
      <c r="R208" s="360"/>
      <c r="S208" s="357" t="e">
        <f t="shared" si="65"/>
        <v>#N/A</v>
      </c>
      <c r="T208" s="629"/>
      <c r="U208" s="378"/>
      <c r="V208" s="379"/>
      <c r="W208" s="379"/>
      <c r="X208" s="357" t="e">
        <f t="shared" si="66"/>
        <v>#N/A</v>
      </c>
      <c r="Y208" s="629"/>
      <c r="Z208" s="378"/>
      <c r="AA208" s="379"/>
      <c r="AB208" s="379"/>
      <c r="AC208" s="357" t="e">
        <f t="shared" si="67"/>
        <v>#N/A</v>
      </c>
      <c r="AD208" s="629"/>
      <c r="AE208" s="378"/>
      <c r="AF208" s="379"/>
      <c r="AG208" s="379"/>
      <c r="AH208" s="357" t="e">
        <f t="shared" si="68"/>
        <v>#N/A</v>
      </c>
      <c r="AI208" s="629"/>
      <c r="AJ208" s="378"/>
      <c r="AK208" s="379"/>
      <c r="AL208" s="379"/>
      <c r="AM208" s="357" t="e">
        <f t="shared" si="69"/>
        <v>#N/A</v>
      </c>
      <c r="AN208" s="629"/>
      <c r="AO208" s="378"/>
      <c r="AP208" s="379"/>
      <c r="AQ208" s="379"/>
      <c r="AR208" s="357" t="e">
        <f t="shared" si="70"/>
        <v>#N/A</v>
      </c>
      <c r="AS208" s="629"/>
      <c r="AT208" s="378"/>
      <c r="AU208" s="379"/>
      <c r="AV208" s="379"/>
      <c r="AW208" s="357" t="e">
        <f t="shared" si="71"/>
        <v>#N/A</v>
      </c>
      <c r="AX208" s="629"/>
    </row>
    <row r="209" spans="2:50">
      <c r="B209" s="598"/>
      <c r="C209" s="357">
        <v>28</v>
      </c>
      <c r="D209" s="231"/>
      <c r="E209" s="187"/>
      <c r="F209" s="357"/>
      <c r="G209" s="360"/>
      <c r="H209" s="633"/>
      <c r="I209" s="204"/>
      <c r="J209" s="204"/>
      <c r="K209" s="205"/>
      <c r="L209" s="572"/>
      <c r="M209" s="204" t="e">
        <f>RANK(K209, K$147:$K$176)</f>
        <v>#N/A</v>
      </c>
      <c r="N209" s="590"/>
      <c r="O209" s="590"/>
      <c r="P209" s="357"/>
      <c r="Q209" s="360"/>
      <c r="R209" s="360"/>
      <c r="S209" s="357" t="e">
        <f t="shared" si="65"/>
        <v>#N/A</v>
      </c>
      <c r="T209" s="629"/>
      <c r="U209" s="357"/>
      <c r="V209" s="360"/>
      <c r="W209" s="360"/>
      <c r="X209" s="357" t="e">
        <f t="shared" si="66"/>
        <v>#N/A</v>
      </c>
      <c r="Y209" s="629"/>
      <c r="Z209" s="357"/>
      <c r="AA209" s="360"/>
      <c r="AB209" s="360"/>
      <c r="AC209" s="357" t="e">
        <f t="shared" si="67"/>
        <v>#N/A</v>
      </c>
      <c r="AD209" s="629"/>
      <c r="AE209" s="357"/>
      <c r="AF209" s="360"/>
      <c r="AG209" s="360"/>
      <c r="AH209" s="357" t="e">
        <f t="shared" si="68"/>
        <v>#N/A</v>
      </c>
      <c r="AI209" s="629"/>
      <c r="AJ209" s="357"/>
      <c r="AK209" s="360"/>
      <c r="AL209" s="360"/>
      <c r="AM209" s="357" t="e">
        <f t="shared" si="69"/>
        <v>#N/A</v>
      </c>
      <c r="AN209" s="629"/>
      <c r="AO209" s="357"/>
      <c r="AP209" s="357"/>
      <c r="AQ209" s="357"/>
      <c r="AR209" s="357" t="e">
        <f t="shared" si="70"/>
        <v>#N/A</v>
      </c>
      <c r="AS209" s="629"/>
      <c r="AT209" s="357"/>
      <c r="AU209" s="360"/>
      <c r="AV209" s="360"/>
      <c r="AW209" s="357" t="e">
        <f t="shared" si="71"/>
        <v>#N/A</v>
      </c>
      <c r="AX209" s="629"/>
    </row>
    <row r="210" spans="2:50">
      <c r="B210" s="598"/>
      <c r="C210" s="357">
        <v>29</v>
      </c>
      <c r="D210" s="231"/>
      <c r="E210" s="187"/>
      <c r="F210" s="357"/>
      <c r="G210" s="360"/>
      <c r="H210" s="633"/>
      <c r="I210" s="207"/>
      <c r="J210" s="207"/>
      <c r="K210" s="207"/>
      <c r="L210" s="572"/>
      <c r="M210" s="204" t="e">
        <f>RANK(K210, K$147:$K$176)</f>
        <v>#N/A</v>
      </c>
      <c r="N210" s="590"/>
      <c r="O210" s="590"/>
      <c r="P210" s="357"/>
      <c r="Q210" s="357"/>
      <c r="R210" s="357"/>
      <c r="S210" s="357" t="e">
        <f t="shared" si="65"/>
        <v>#N/A</v>
      </c>
      <c r="T210" s="629"/>
      <c r="U210" s="357"/>
      <c r="V210" s="357"/>
      <c r="W210" s="357"/>
      <c r="X210" s="357" t="e">
        <f t="shared" si="66"/>
        <v>#N/A</v>
      </c>
      <c r="Y210" s="629"/>
      <c r="Z210" s="357"/>
      <c r="AA210" s="357"/>
      <c r="AB210" s="357"/>
      <c r="AC210" s="357" t="e">
        <f t="shared" si="67"/>
        <v>#N/A</v>
      </c>
      <c r="AD210" s="629"/>
      <c r="AE210" s="357"/>
      <c r="AF210" s="357"/>
      <c r="AG210" s="357"/>
      <c r="AH210" s="357" t="e">
        <f t="shared" si="68"/>
        <v>#N/A</v>
      </c>
      <c r="AI210" s="629"/>
      <c r="AJ210" s="357"/>
      <c r="AK210" s="357"/>
      <c r="AL210" s="357"/>
      <c r="AM210" s="357" t="e">
        <f t="shared" si="69"/>
        <v>#N/A</v>
      </c>
      <c r="AN210" s="629"/>
      <c r="AO210" s="357"/>
      <c r="AP210" s="357"/>
      <c r="AQ210" s="357"/>
      <c r="AR210" s="357" t="e">
        <f t="shared" si="70"/>
        <v>#N/A</v>
      </c>
      <c r="AS210" s="629"/>
      <c r="AT210" s="357"/>
      <c r="AU210" s="357"/>
      <c r="AV210" s="357"/>
      <c r="AW210" s="357" t="e">
        <f t="shared" si="71"/>
        <v>#N/A</v>
      </c>
      <c r="AX210" s="629"/>
    </row>
    <row r="211" spans="2:50">
      <c r="B211" s="598"/>
      <c r="C211" s="357">
        <v>30</v>
      </c>
      <c r="D211" s="231"/>
      <c r="E211" s="187"/>
      <c r="F211" s="357"/>
      <c r="G211" s="360"/>
      <c r="H211" s="634"/>
      <c r="I211" s="207"/>
      <c r="J211" s="207"/>
      <c r="K211" s="207"/>
      <c r="L211" s="573"/>
      <c r="M211" s="204" t="e">
        <f>RANK(K211, K$147:$K$176)</f>
        <v>#N/A</v>
      </c>
      <c r="N211" s="590"/>
      <c r="O211" s="590"/>
      <c r="P211" s="357"/>
      <c r="Q211" s="357"/>
      <c r="R211" s="357"/>
      <c r="S211" s="357" t="e">
        <f t="shared" si="65"/>
        <v>#N/A</v>
      </c>
      <c r="T211" s="629"/>
      <c r="U211" s="357"/>
      <c r="V211" s="357"/>
      <c r="W211" s="357"/>
      <c r="X211" s="357" t="e">
        <f t="shared" si="66"/>
        <v>#N/A</v>
      </c>
      <c r="Y211" s="629"/>
      <c r="Z211" s="357"/>
      <c r="AA211" s="357"/>
      <c r="AB211" s="357"/>
      <c r="AC211" s="357" t="e">
        <f t="shared" si="67"/>
        <v>#N/A</v>
      </c>
      <c r="AD211" s="629"/>
      <c r="AE211" s="357"/>
      <c r="AF211" s="357"/>
      <c r="AG211" s="357"/>
      <c r="AH211" s="357" t="e">
        <f t="shared" si="68"/>
        <v>#N/A</v>
      </c>
      <c r="AI211" s="629"/>
      <c r="AJ211" s="357"/>
      <c r="AK211" s="357"/>
      <c r="AL211" s="357"/>
      <c r="AM211" s="357" t="e">
        <f t="shared" si="69"/>
        <v>#N/A</v>
      </c>
      <c r="AN211" s="629"/>
      <c r="AO211" s="357"/>
      <c r="AP211" s="357"/>
      <c r="AQ211" s="357"/>
      <c r="AR211" s="357" t="e">
        <f t="shared" si="70"/>
        <v>#N/A</v>
      </c>
      <c r="AS211" s="629"/>
      <c r="AT211" s="357"/>
      <c r="AU211" s="357"/>
      <c r="AV211" s="357"/>
      <c r="AW211" s="357" t="e">
        <f t="shared" si="71"/>
        <v>#N/A</v>
      </c>
      <c r="AX211" s="629"/>
    </row>
    <row r="213" spans="2:50" ht="15.75">
      <c r="B213" s="623" t="s">
        <v>668</v>
      </c>
      <c r="C213" s="624"/>
      <c r="D213" s="624"/>
      <c r="E213" s="624"/>
      <c r="F213" s="624"/>
      <c r="G213" s="624"/>
      <c r="H213" s="625"/>
      <c r="I213" s="361"/>
      <c r="J213" s="361"/>
      <c r="K213" s="361"/>
      <c r="L213" s="361"/>
      <c r="M213" s="362"/>
    </row>
    <row r="214" spans="2:50" ht="15.75">
      <c r="B214" s="626"/>
      <c r="C214" s="626"/>
      <c r="D214" s="626"/>
      <c r="E214" s="626"/>
      <c r="F214" s="626"/>
      <c r="G214" s="626"/>
      <c r="H214" s="626"/>
      <c r="I214" s="363"/>
      <c r="J214" s="363"/>
      <c r="K214" s="363"/>
      <c r="L214" s="363"/>
      <c r="M214" s="364"/>
    </row>
    <row r="215" spans="2:50">
      <c r="B215" s="590" t="s">
        <v>669</v>
      </c>
      <c r="C215" s="590" t="s">
        <v>670</v>
      </c>
      <c r="D215" s="590"/>
      <c r="E215" s="590" t="s">
        <v>671</v>
      </c>
      <c r="F215" s="590"/>
      <c r="G215" s="590"/>
      <c r="H215" s="590" t="s">
        <v>672</v>
      </c>
      <c r="I215" s="627" t="s">
        <v>673</v>
      </c>
      <c r="J215" s="627"/>
      <c r="K215" s="627"/>
      <c r="L215" s="627" t="s">
        <v>672</v>
      </c>
      <c r="M215" s="627" t="s">
        <v>674</v>
      </c>
    </row>
    <row r="216" spans="2:50">
      <c r="B216" s="590"/>
      <c r="C216" s="590"/>
      <c r="D216" s="590"/>
      <c r="E216" s="590" t="s">
        <v>675</v>
      </c>
      <c r="F216" s="590"/>
      <c r="G216" s="590"/>
      <c r="H216" s="590"/>
      <c r="I216" s="627" t="s">
        <v>675</v>
      </c>
      <c r="J216" s="627"/>
      <c r="K216" s="627"/>
      <c r="L216" s="627"/>
      <c r="M216" s="627"/>
    </row>
    <row r="217" spans="2:50">
      <c r="B217" s="590"/>
      <c r="C217" s="590"/>
      <c r="D217" s="590"/>
      <c r="E217" s="358" t="s">
        <v>676</v>
      </c>
      <c r="F217" s="358" t="s">
        <v>677</v>
      </c>
      <c r="G217" s="358" t="s">
        <v>678</v>
      </c>
      <c r="H217" s="590"/>
      <c r="I217" s="365" t="s">
        <v>676</v>
      </c>
      <c r="J217" s="365" t="s">
        <v>677</v>
      </c>
      <c r="K217" s="365" t="s">
        <v>678</v>
      </c>
      <c r="L217" s="627"/>
      <c r="M217" s="627"/>
    </row>
    <row r="218" spans="2:50">
      <c r="B218" s="590" t="s">
        <v>683</v>
      </c>
      <c r="C218" s="357">
        <v>1</v>
      </c>
      <c r="D218" s="357"/>
      <c r="E218" s="187"/>
      <c r="F218" s="357"/>
      <c r="G218" s="360"/>
      <c r="H218" s="629" t="e">
        <f>AVERAGE(G218:G247)</f>
        <v>#DIV/0!</v>
      </c>
      <c r="I218" s="204" t="e">
        <f t="shared" ref="I218:J241" si="72">AVERAGEIF($D$7:$D$211,$D218,I$7:I$211)</f>
        <v>#DIV/0!</v>
      </c>
      <c r="J218" s="204" t="e">
        <f t="shared" si="72"/>
        <v>#DIV/0!</v>
      </c>
      <c r="K218" s="204" t="e">
        <f t="shared" ref="K218:K241" si="73">AVERAGEIF($D$7:$D$211,$D218,K$7:K$211)</f>
        <v>#DIV/0!</v>
      </c>
      <c r="L218" s="630" t="e">
        <f>AVERAGE(K218:K247)</f>
        <v>#DIV/0!</v>
      </c>
      <c r="M218" s="204" t="e">
        <f>RANK(K218, K$218:$K$247)</f>
        <v>#DIV/0!</v>
      </c>
    </row>
    <row r="219" spans="2:50">
      <c r="B219" s="598"/>
      <c r="C219" s="357">
        <v>2</v>
      </c>
      <c r="D219" s="357"/>
      <c r="E219" s="187"/>
      <c r="F219" s="357"/>
      <c r="G219" s="360"/>
      <c r="H219" s="629"/>
      <c r="I219" s="204" t="e">
        <f t="shared" si="72"/>
        <v>#DIV/0!</v>
      </c>
      <c r="J219" s="204" t="e">
        <f t="shared" si="72"/>
        <v>#DIV/0!</v>
      </c>
      <c r="K219" s="204" t="e">
        <f t="shared" si="73"/>
        <v>#DIV/0!</v>
      </c>
      <c r="L219" s="630"/>
      <c r="M219" s="204" t="e">
        <f>RANK(K219, K$218:$K$247)</f>
        <v>#DIV/0!</v>
      </c>
    </row>
    <row r="220" spans="2:50">
      <c r="B220" s="598"/>
      <c r="C220" s="357">
        <v>3</v>
      </c>
      <c r="D220" s="357"/>
      <c r="E220" s="187"/>
      <c r="F220" s="357"/>
      <c r="G220" s="360"/>
      <c r="H220" s="629"/>
      <c r="I220" s="204" t="e">
        <f t="shared" si="72"/>
        <v>#DIV/0!</v>
      </c>
      <c r="J220" s="204" t="e">
        <f t="shared" si="72"/>
        <v>#DIV/0!</v>
      </c>
      <c r="K220" s="204" t="e">
        <f t="shared" si="73"/>
        <v>#DIV/0!</v>
      </c>
      <c r="L220" s="630"/>
      <c r="M220" s="204" t="e">
        <f>RANK(K220, K$218:$K$247)</f>
        <v>#DIV/0!</v>
      </c>
    </row>
    <row r="221" spans="2:50">
      <c r="B221" s="598"/>
      <c r="C221" s="357">
        <v>4</v>
      </c>
      <c r="D221" s="357"/>
      <c r="E221" s="187"/>
      <c r="F221" s="357"/>
      <c r="G221" s="360"/>
      <c r="H221" s="629"/>
      <c r="I221" s="204" t="e">
        <f t="shared" si="72"/>
        <v>#DIV/0!</v>
      </c>
      <c r="J221" s="204" t="e">
        <f t="shared" si="72"/>
        <v>#DIV/0!</v>
      </c>
      <c r="K221" s="204" t="e">
        <f t="shared" si="73"/>
        <v>#DIV/0!</v>
      </c>
      <c r="L221" s="630"/>
      <c r="M221" s="204" t="e">
        <f>RANK(K221, K$218:$K$247)</f>
        <v>#DIV/0!</v>
      </c>
    </row>
    <row r="222" spans="2:50">
      <c r="B222" s="598"/>
      <c r="C222" s="357">
        <v>5</v>
      </c>
      <c r="D222" s="357"/>
      <c r="E222" s="187"/>
      <c r="F222" s="357"/>
      <c r="G222" s="360"/>
      <c r="H222" s="629"/>
      <c r="I222" s="204" t="e">
        <f t="shared" si="72"/>
        <v>#DIV/0!</v>
      </c>
      <c r="J222" s="204" t="e">
        <f t="shared" si="72"/>
        <v>#DIV/0!</v>
      </c>
      <c r="K222" s="204" t="e">
        <f t="shared" si="73"/>
        <v>#DIV/0!</v>
      </c>
      <c r="L222" s="630"/>
      <c r="M222" s="204" t="e">
        <f>RANK(K222, K$218:$K$247)</f>
        <v>#DIV/0!</v>
      </c>
    </row>
    <row r="223" spans="2:50">
      <c r="B223" s="598"/>
      <c r="C223" s="357">
        <v>6</v>
      </c>
      <c r="D223" s="357"/>
      <c r="E223" s="187"/>
      <c r="F223" s="357"/>
      <c r="G223" s="360"/>
      <c r="H223" s="629"/>
      <c r="I223" s="204" t="e">
        <f t="shared" si="72"/>
        <v>#DIV/0!</v>
      </c>
      <c r="J223" s="204" t="e">
        <f t="shared" si="72"/>
        <v>#DIV/0!</v>
      </c>
      <c r="K223" s="204" t="e">
        <f t="shared" si="73"/>
        <v>#DIV/0!</v>
      </c>
      <c r="L223" s="630"/>
      <c r="M223" s="204" t="e">
        <f>RANK(K223, K$218:$K$247)</f>
        <v>#DIV/0!</v>
      </c>
    </row>
    <row r="224" spans="2:50">
      <c r="B224" s="598"/>
      <c r="C224" s="357">
        <v>7</v>
      </c>
      <c r="D224" s="357"/>
      <c r="E224" s="187"/>
      <c r="F224" s="357"/>
      <c r="G224" s="360"/>
      <c r="H224" s="629"/>
      <c r="I224" s="204" t="e">
        <f t="shared" si="72"/>
        <v>#DIV/0!</v>
      </c>
      <c r="J224" s="204" t="e">
        <f t="shared" si="72"/>
        <v>#DIV/0!</v>
      </c>
      <c r="K224" s="204" t="e">
        <f t="shared" si="73"/>
        <v>#DIV/0!</v>
      </c>
      <c r="L224" s="630"/>
      <c r="M224" s="204" t="e">
        <f>RANK(K224, K$218:$K$247)</f>
        <v>#DIV/0!</v>
      </c>
    </row>
    <row r="225" spans="2:13">
      <c r="B225" s="598"/>
      <c r="C225" s="357">
        <v>8</v>
      </c>
      <c r="D225" s="357"/>
      <c r="E225" s="187"/>
      <c r="F225" s="357"/>
      <c r="G225" s="360"/>
      <c r="H225" s="629"/>
      <c r="I225" s="204" t="e">
        <f t="shared" si="72"/>
        <v>#DIV/0!</v>
      </c>
      <c r="J225" s="204" t="e">
        <f t="shared" si="72"/>
        <v>#DIV/0!</v>
      </c>
      <c r="K225" s="204" t="e">
        <f t="shared" si="73"/>
        <v>#DIV/0!</v>
      </c>
      <c r="L225" s="630"/>
      <c r="M225" s="204" t="e">
        <f>RANK(K225, K$218:$K$247)</f>
        <v>#DIV/0!</v>
      </c>
    </row>
    <row r="226" spans="2:13">
      <c r="B226" s="598"/>
      <c r="C226" s="357">
        <v>9</v>
      </c>
      <c r="D226" s="357"/>
      <c r="E226" s="187"/>
      <c r="F226" s="357"/>
      <c r="G226" s="360"/>
      <c r="H226" s="629"/>
      <c r="I226" s="204" t="e">
        <f t="shared" si="72"/>
        <v>#DIV/0!</v>
      </c>
      <c r="J226" s="204" t="e">
        <f t="shared" si="72"/>
        <v>#DIV/0!</v>
      </c>
      <c r="K226" s="204" t="e">
        <f t="shared" si="73"/>
        <v>#DIV/0!</v>
      </c>
      <c r="L226" s="630"/>
      <c r="M226" s="204" t="e">
        <f>RANK(K226, K$218:$K$247)</f>
        <v>#DIV/0!</v>
      </c>
    </row>
    <row r="227" spans="2:13">
      <c r="B227" s="598"/>
      <c r="C227" s="357">
        <v>10</v>
      </c>
      <c r="D227" s="357"/>
      <c r="E227" s="187"/>
      <c r="F227" s="357"/>
      <c r="G227" s="360"/>
      <c r="H227" s="629"/>
      <c r="I227" s="204" t="e">
        <f t="shared" si="72"/>
        <v>#DIV/0!</v>
      </c>
      <c r="J227" s="204" t="e">
        <f t="shared" si="72"/>
        <v>#DIV/0!</v>
      </c>
      <c r="K227" s="204" t="e">
        <f t="shared" si="73"/>
        <v>#DIV/0!</v>
      </c>
      <c r="L227" s="630"/>
      <c r="M227" s="204" t="e">
        <f>RANK(K227, K$218:$K$247)</f>
        <v>#DIV/0!</v>
      </c>
    </row>
    <row r="228" spans="2:13">
      <c r="B228" s="598"/>
      <c r="C228" s="357">
        <v>11</v>
      </c>
      <c r="D228" s="357"/>
      <c r="E228" s="187"/>
      <c r="F228" s="357"/>
      <c r="G228" s="360"/>
      <c r="H228" s="629"/>
      <c r="I228" s="204" t="e">
        <f t="shared" si="72"/>
        <v>#DIV/0!</v>
      </c>
      <c r="J228" s="204" t="e">
        <f t="shared" si="72"/>
        <v>#DIV/0!</v>
      </c>
      <c r="K228" s="204" t="e">
        <f t="shared" si="73"/>
        <v>#DIV/0!</v>
      </c>
      <c r="L228" s="630"/>
      <c r="M228" s="204" t="e">
        <f>RANK(K228, K$218:$K$247)</f>
        <v>#DIV/0!</v>
      </c>
    </row>
    <row r="229" spans="2:13">
      <c r="B229" s="598"/>
      <c r="C229" s="357">
        <v>12</v>
      </c>
      <c r="D229" s="357"/>
      <c r="E229" s="187"/>
      <c r="F229" s="357"/>
      <c r="G229" s="360"/>
      <c r="H229" s="629"/>
      <c r="I229" s="204" t="e">
        <f t="shared" si="72"/>
        <v>#DIV/0!</v>
      </c>
      <c r="J229" s="204" t="e">
        <f t="shared" si="72"/>
        <v>#DIV/0!</v>
      </c>
      <c r="K229" s="204" t="e">
        <f t="shared" si="73"/>
        <v>#DIV/0!</v>
      </c>
      <c r="L229" s="630"/>
      <c r="M229" s="204" t="e">
        <f>RANK(K229, K$218:$K$247)</f>
        <v>#DIV/0!</v>
      </c>
    </row>
    <row r="230" spans="2:13">
      <c r="B230" s="598"/>
      <c r="C230" s="357">
        <v>13</v>
      </c>
      <c r="D230" s="357"/>
      <c r="E230" s="187"/>
      <c r="F230" s="357"/>
      <c r="G230" s="360"/>
      <c r="H230" s="629"/>
      <c r="I230" s="204" t="e">
        <f t="shared" si="72"/>
        <v>#DIV/0!</v>
      </c>
      <c r="J230" s="204" t="e">
        <f t="shared" si="72"/>
        <v>#DIV/0!</v>
      </c>
      <c r="K230" s="204" t="e">
        <f t="shared" si="73"/>
        <v>#DIV/0!</v>
      </c>
      <c r="L230" s="630"/>
      <c r="M230" s="204" t="e">
        <f>RANK(K230, K$218:$K$247)</f>
        <v>#DIV/0!</v>
      </c>
    </row>
    <row r="231" spans="2:13">
      <c r="B231" s="598"/>
      <c r="C231" s="357">
        <v>14</v>
      </c>
      <c r="D231" s="357"/>
      <c r="E231" s="187"/>
      <c r="F231" s="357"/>
      <c r="G231" s="360"/>
      <c r="H231" s="629"/>
      <c r="I231" s="204" t="e">
        <f t="shared" si="72"/>
        <v>#DIV/0!</v>
      </c>
      <c r="J231" s="204" t="e">
        <f t="shared" si="72"/>
        <v>#DIV/0!</v>
      </c>
      <c r="K231" s="204" t="e">
        <f t="shared" si="73"/>
        <v>#DIV/0!</v>
      </c>
      <c r="L231" s="630"/>
      <c r="M231" s="204" t="e">
        <f>RANK(K231, K$218:$K$247)</f>
        <v>#DIV/0!</v>
      </c>
    </row>
    <row r="232" spans="2:13">
      <c r="B232" s="598"/>
      <c r="C232" s="357">
        <v>15</v>
      </c>
      <c r="D232" s="357"/>
      <c r="E232" s="187"/>
      <c r="F232" s="357"/>
      <c r="G232" s="360"/>
      <c r="H232" s="629"/>
      <c r="I232" s="204" t="e">
        <f t="shared" si="72"/>
        <v>#DIV/0!</v>
      </c>
      <c r="J232" s="204" t="e">
        <f t="shared" si="72"/>
        <v>#DIV/0!</v>
      </c>
      <c r="K232" s="204" t="e">
        <f t="shared" si="73"/>
        <v>#DIV/0!</v>
      </c>
      <c r="L232" s="630"/>
      <c r="M232" s="204" t="e">
        <f>RANK(K232, K$218:$K$247)</f>
        <v>#DIV/0!</v>
      </c>
    </row>
    <row r="233" spans="2:13">
      <c r="B233" s="598"/>
      <c r="C233" s="357">
        <v>16</v>
      </c>
      <c r="D233" s="357"/>
      <c r="E233" s="187"/>
      <c r="F233" s="357"/>
      <c r="G233" s="360"/>
      <c r="H233" s="629"/>
      <c r="I233" s="204" t="e">
        <f t="shared" si="72"/>
        <v>#DIV/0!</v>
      </c>
      <c r="J233" s="204" t="e">
        <f t="shared" si="72"/>
        <v>#DIV/0!</v>
      </c>
      <c r="K233" s="204" t="e">
        <f t="shared" si="73"/>
        <v>#DIV/0!</v>
      </c>
      <c r="L233" s="630"/>
      <c r="M233" s="204" t="e">
        <f>RANK(K233, K$218:$K$247)</f>
        <v>#DIV/0!</v>
      </c>
    </row>
    <row r="234" spans="2:13">
      <c r="B234" s="598"/>
      <c r="C234" s="357">
        <v>17</v>
      </c>
      <c r="D234" s="357"/>
      <c r="E234" s="187"/>
      <c r="F234" s="357"/>
      <c r="G234" s="360"/>
      <c r="H234" s="629"/>
      <c r="I234" s="204" t="e">
        <f t="shared" si="72"/>
        <v>#DIV/0!</v>
      </c>
      <c r="J234" s="204" t="e">
        <f t="shared" si="72"/>
        <v>#DIV/0!</v>
      </c>
      <c r="K234" s="204" t="e">
        <f t="shared" si="73"/>
        <v>#DIV/0!</v>
      </c>
      <c r="L234" s="630"/>
      <c r="M234" s="204" t="e">
        <f>RANK(K234, K$218:$K$247)</f>
        <v>#DIV/0!</v>
      </c>
    </row>
    <row r="235" spans="2:13">
      <c r="B235" s="598"/>
      <c r="C235" s="357">
        <v>18</v>
      </c>
      <c r="D235" s="357"/>
      <c r="E235" s="187"/>
      <c r="F235" s="357"/>
      <c r="G235" s="360"/>
      <c r="H235" s="629"/>
      <c r="I235" s="204" t="e">
        <f t="shared" si="72"/>
        <v>#DIV/0!</v>
      </c>
      <c r="J235" s="204" t="e">
        <f t="shared" si="72"/>
        <v>#DIV/0!</v>
      </c>
      <c r="K235" s="204" t="e">
        <f t="shared" si="73"/>
        <v>#DIV/0!</v>
      </c>
      <c r="L235" s="630"/>
      <c r="M235" s="204" t="e">
        <f>RANK(K235, K$218:$K$247)</f>
        <v>#DIV/0!</v>
      </c>
    </row>
    <row r="236" spans="2:13">
      <c r="B236" s="598"/>
      <c r="C236" s="357">
        <v>19</v>
      </c>
      <c r="D236" s="357"/>
      <c r="E236" s="187"/>
      <c r="F236" s="357"/>
      <c r="G236" s="360"/>
      <c r="H236" s="629"/>
      <c r="I236" s="204" t="e">
        <f t="shared" si="72"/>
        <v>#DIV/0!</v>
      </c>
      <c r="J236" s="204" t="e">
        <f t="shared" si="72"/>
        <v>#DIV/0!</v>
      </c>
      <c r="K236" s="204" t="e">
        <f t="shared" si="73"/>
        <v>#DIV/0!</v>
      </c>
      <c r="L236" s="630"/>
      <c r="M236" s="204" t="e">
        <f>RANK(K236, K$218:$K$247)</f>
        <v>#DIV/0!</v>
      </c>
    </row>
    <row r="237" spans="2:13">
      <c r="B237" s="598"/>
      <c r="C237" s="357">
        <v>20</v>
      </c>
      <c r="D237" s="357"/>
      <c r="E237" s="187"/>
      <c r="F237" s="357"/>
      <c r="G237" s="360"/>
      <c r="H237" s="629"/>
      <c r="I237" s="204" t="e">
        <f t="shared" si="72"/>
        <v>#DIV/0!</v>
      </c>
      <c r="J237" s="204" t="e">
        <f t="shared" si="72"/>
        <v>#DIV/0!</v>
      </c>
      <c r="K237" s="204" t="e">
        <f t="shared" si="73"/>
        <v>#DIV/0!</v>
      </c>
      <c r="L237" s="630"/>
      <c r="M237" s="204" t="e">
        <f>RANK(K237, K$218:$K$247)</f>
        <v>#DIV/0!</v>
      </c>
    </row>
    <row r="238" spans="2:13">
      <c r="B238" s="598"/>
      <c r="C238" s="357">
        <v>21</v>
      </c>
      <c r="D238" s="357"/>
      <c r="E238" s="187"/>
      <c r="F238" s="357"/>
      <c r="G238" s="360"/>
      <c r="H238" s="629"/>
      <c r="I238" s="204" t="e">
        <f t="shared" si="72"/>
        <v>#DIV/0!</v>
      </c>
      <c r="J238" s="204" t="e">
        <f t="shared" si="72"/>
        <v>#DIV/0!</v>
      </c>
      <c r="K238" s="204" t="e">
        <f t="shared" si="73"/>
        <v>#DIV/0!</v>
      </c>
      <c r="L238" s="630"/>
      <c r="M238" s="204" t="e">
        <f>RANK(K238, K$218:$K$247)</f>
        <v>#DIV/0!</v>
      </c>
    </row>
    <row r="239" spans="2:13">
      <c r="B239" s="598"/>
      <c r="C239" s="357">
        <v>22</v>
      </c>
      <c r="D239" s="357"/>
      <c r="E239" s="187"/>
      <c r="F239" s="357"/>
      <c r="G239" s="360"/>
      <c r="H239" s="629"/>
      <c r="I239" s="204" t="e">
        <f t="shared" si="72"/>
        <v>#DIV/0!</v>
      </c>
      <c r="J239" s="204" t="e">
        <f t="shared" si="72"/>
        <v>#DIV/0!</v>
      </c>
      <c r="K239" s="204" t="e">
        <f t="shared" si="73"/>
        <v>#DIV/0!</v>
      </c>
      <c r="L239" s="630"/>
      <c r="M239" s="204" t="e">
        <f>RANK(K239, K$218:$K$247)</f>
        <v>#DIV/0!</v>
      </c>
    </row>
    <row r="240" spans="2:13">
      <c r="B240" s="598"/>
      <c r="C240" s="357">
        <v>23</v>
      </c>
      <c r="D240" s="357"/>
      <c r="E240" s="187"/>
      <c r="F240" s="357"/>
      <c r="G240" s="360"/>
      <c r="H240" s="629"/>
      <c r="I240" s="204" t="e">
        <f t="shared" si="72"/>
        <v>#DIV/0!</v>
      </c>
      <c r="J240" s="204" t="e">
        <f t="shared" si="72"/>
        <v>#DIV/0!</v>
      </c>
      <c r="K240" s="204" t="e">
        <f t="shared" si="73"/>
        <v>#DIV/0!</v>
      </c>
      <c r="L240" s="630"/>
      <c r="M240" s="204" t="e">
        <f>RANK(K240, K$218:$K$247)</f>
        <v>#DIV/0!</v>
      </c>
    </row>
    <row r="241" spans="2:13">
      <c r="B241" s="598"/>
      <c r="C241" s="357">
        <v>24</v>
      </c>
      <c r="D241" s="357"/>
      <c r="E241" s="187"/>
      <c r="F241" s="357"/>
      <c r="G241" s="360"/>
      <c r="H241" s="629"/>
      <c r="I241" s="204" t="e">
        <f t="shared" si="72"/>
        <v>#DIV/0!</v>
      </c>
      <c r="J241" s="204" t="e">
        <f t="shared" si="72"/>
        <v>#DIV/0!</v>
      </c>
      <c r="K241" s="204" t="e">
        <f t="shared" si="73"/>
        <v>#DIV/0!</v>
      </c>
      <c r="L241" s="630"/>
      <c r="M241" s="204" t="e">
        <f>RANK(K241, K$218:$K$247)</f>
        <v>#DIV/0!</v>
      </c>
    </row>
    <row r="242" spans="2:13">
      <c r="B242" s="598"/>
      <c r="C242" s="357">
        <v>25</v>
      </c>
      <c r="D242" s="357"/>
      <c r="E242" s="187"/>
      <c r="F242" s="357"/>
      <c r="G242" s="360"/>
      <c r="H242" s="629"/>
      <c r="I242" s="204"/>
      <c r="J242" s="204"/>
      <c r="K242" s="204"/>
      <c r="L242" s="630"/>
      <c r="M242" s="204" t="e">
        <f>RANK(K242, K$218:$K$247)</f>
        <v>#DIV/0!</v>
      </c>
    </row>
    <row r="243" spans="2:13">
      <c r="B243" s="598"/>
      <c r="C243" s="357">
        <v>26</v>
      </c>
      <c r="D243" s="357"/>
      <c r="E243" s="187"/>
      <c r="F243" s="357"/>
      <c r="G243" s="360"/>
      <c r="H243" s="629"/>
      <c r="I243" s="204"/>
      <c r="J243" s="204"/>
      <c r="K243" s="204"/>
      <c r="L243" s="630"/>
      <c r="M243" s="204" t="e">
        <f>RANK(K243, K$218:$K$247)</f>
        <v>#DIV/0!</v>
      </c>
    </row>
    <row r="244" spans="2:13">
      <c r="B244" s="598"/>
      <c r="C244" s="357">
        <v>27</v>
      </c>
      <c r="D244" s="357"/>
      <c r="E244" s="187"/>
      <c r="F244" s="357"/>
      <c r="G244" s="360"/>
      <c r="H244" s="629"/>
      <c r="I244" s="204"/>
      <c r="J244" s="204"/>
      <c r="K244" s="204"/>
      <c r="L244" s="630"/>
      <c r="M244" s="204" t="e">
        <f>RANK(K244, K$218:$K$247)</f>
        <v>#DIV/0!</v>
      </c>
    </row>
    <row r="245" spans="2:13">
      <c r="B245" s="598"/>
      <c r="C245" s="357">
        <v>28</v>
      </c>
      <c r="D245" s="357"/>
      <c r="E245" s="187"/>
      <c r="F245" s="357"/>
      <c r="G245" s="360"/>
      <c r="H245" s="629"/>
      <c r="I245" s="204"/>
      <c r="J245" s="204"/>
      <c r="K245" s="204"/>
      <c r="L245" s="630"/>
      <c r="M245" s="204" t="e">
        <f>RANK(K245, K$218:$K$247)</f>
        <v>#DIV/0!</v>
      </c>
    </row>
    <row r="246" spans="2:13">
      <c r="B246" s="598"/>
      <c r="C246" s="357">
        <v>29</v>
      </c>
      <c r="D246" s="357"/>
      <c r="E246" s="187"/>
      <c r="F246" s="357"/>
      <c r="G246" s="360"/>
      <c r="H246" s="629"/>
      <c r="I246" s="204"/>
      <c r="J246" s="204"/>
      <c r="K246" s="204"/>
      <c r="L246" s="630"/>
      <c r="M246" s="204" t="e">
        <f>RANK(K246, K$218:$K$247)</f>
        <v>#DIV/0!</v>
      </c>
    </row>
    <row r="247" spans="2:13">
      <c r="B247" s="598"/>
      <c r="C247" s="357">
        <v>30</v>
      </c>
      <c r="D247" s="357"/>
      <c r="E247" s="187"/>
      <c r="F247" s="357"/>
      <c r="G247" s="360"/>
      <c r="H247" s="629"/>
      <c r="I247" s="204"/>
      <c r="J247" s="204"/>
      <c r="K247" s="204"/>
      <c r="L247" s="630"/>
      <c r="M247" s="204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BA49" sqref="BA49"/>
      <selection pane="topRight" activeCell="AT87" sqref="AT8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6" t="s">
        <v>332</v>
      </c>
      <c r="C1" s="225">
        <f>AVERAGE(L7,L27,L47,L67,L87,L107)</f>
        <v>67.056532673210796</v>
      </c>
    </row>
    <row r="2" spans="1:54" ht="15.75">
      <c r="A2" s="81"/>
      <c r="B2" s="602" t="s">
        <v>163</v>
      </c>
      <c r="C2" s="602"/>
      <c r="D2" s="602"/>
      <c r="E2" s="602"/>
      <c r="F2" s="602"/>
      <c r="G2" s="602"/>
      <c r="H2" s="602"/>
      <c r="I2" s="320"/>
      <c r="J2" s="320"/>
      <c r="K2" s="320"/>
      <c r="L2" s="320"/>
      <c r="M2" s="202"/>
      <c r="N2" s="591" t="s">
        <v>156</v>
      </c>
      <c r="O2" s="591" t="s">
        <v>155</v>
      </c>
      <c r="P2" s="637">
        <v>45930</v>
      </c>
      <c r="Q2" s="638"/>
      <c r="R2" s="638"/>
      <c r="S2" s="638"/>
      <c r="T2" s="639"/>
      <c r="U2" s="597">
        <f>P2+1</f>
        <v>45931</v>
      </c>
      <c r="V2" s="598"/>
      <c r="W2" s="598"/>
      <c r="X2" s="598"/>
      <c r="Y2" s="598"/>
      <c r="Z2" s="597">
        <f>U2+1</f>
        <v>45932</v>
      </c>
      <c r="AA2" s="598"/>
      <c r="AB2" s="598"/>
      <c r="AC2" s="598"/>
      <c r="AD2" s="598"/>
      <c r="AE2" s="597">
        <f>Z2+1</f>
        <v>45933</v>
      </c>
      <c r="AF2" s="598"/>
      <c r="AG2" s="598"/>
      <c r="AH2" s="598"/>
      <c r="AI2" s="598"/>
      <c r="AJ2" s="597">
        <f>AE2+1</f>
        <v>45934</v>
      </c>
      <c r="AK2" s="598"/>
      <c r="AL2" s="598"/>
      <c r="AM2" s="598"/>
      <c r="AN2" s="598"/>
      <c r="AO2" s="597">
        <f>AJ2+1</f>
        <v>45935</v>
      </c>
      <c r="AP2" s="598"/>
      <c r="AQ2" s="598"/>
      <c r="AR2" s="598"/>
      <c r="AS2" s="598"/>
      <c r="AT2" s="597">
        <f>AO2+1</f>
        <v>45936</v>
      </c>
      <c r="AU2" s="598"/>
      <c r="AV2" s="598"/>
      <c r="AW2" s="598"/>
      <c r="AX2" s="598"/>
    </row>
    <row r="3" spans="1:54" ht="15.75">
      <c r="A3" s="81"/>
      <c r="B3" s="622"/>
      <c r="C3" s="622"/>
      <c r="D3" s="622"/>
      <c r="E3" s="622"/>
      <c r="F3" s="622"/>
      <c r="G3" s="622"/>
      <c r="H3" s="622"/>
      <c r="I3" s="321"/>
      <c r="J3" s="321"/>
      <c r="K3" s="321"/>
      <c r="L3" s="321"/>
      <c r="M3" s="203"/>
      <c r="N3" s="593"/>
      <c r="O3" s="593"/>
      <c r="P3" s="594" t="s">
        <v>158</v>
      </c>
      <c r="Q3" s="595"/>
      <c r="R3" s="595"/>
      <c r="S3" s="595"/>
      <c r="T3" s="596"/>
      <c r="U3" s="594" t="s">
        <v>114</v>
      </c>
      <c r="V3" s="595"/>
      <c r="W3" s="595"/>
      <c r="X3" s="595"/>
      <c r="Y3" s="596"/>
      <c r="Z3" s="594" t="s">
        <v>159</v>
      </c>
      <c r="AA3" s="595"/>
      <c r="AB3" s="595"/>
      <c r="AC3" s="595"/>
      <c r="AD3" s="596"/>
      <c r="AE3" s="594" t="s">
        <v>157</v>
      </c>
      <c r="AF3" s="595"/>
      <c r="AG3" s="595"/>
      <c r="AH3" s="595"/>
      <c r="AI3" s="596"/>
      <c r="AJ3" s="594" t="s">
        <v>160</v>
      </c>
      <c r="AK3" s="595"/>
      <c r="AL3" s="595"/>
      <c r="AM3" s="595"/>
      <c r="AN3" s="596"/>
      <c r="AO3" s="594" t="s">
        <v>161</v>
      </c>
      <c r="AP3" s="595"/>
      <c r="AQ3" s="595"/>
      <c r="AR3" s="595"/>
      <c r="AS3" s="596"/>
      <c r="AT3" s="594" t="s">
        <v>162</v>
      </c>
      <c r="AU3" s="595"/>
      <c r="AV3" s="595"/>
      <c r="AW3" s="595"/>
      <c r="AX3" s="596"/>
    </row>
    <row r="4" spans="1:54" ht="14.25">
      <c r="A4" s="81"/>
      <c r="B4" s="590" t="s">
        <v>154</v>
      </c>
      <c r="C4" s="590" t="s">
        <v>454</v>
      </c>
      <c r="D4" s="590"/>
      <c r="E4" s="590" t="s">
        <v>445</v>
      </c>
      <c r="F4" s="590"/>
      <c r="G4" s="590"/>
      <c r="H4" s="606" t="s">
        <v>441</v>
      </c>
      <c r="I4" s="574" t="s">
        <v>446</v>
      </c>
      <c r="J4" s="574"/>
      <c r="K4" s="574"/>
      <c r="L4" s="575" t="s">
        <v>441</v>
      </c>
      <c r="M4" s="581" t="s">
        <v>442</v>
      </c>
      <c r="N4" s="590"/>
      <c r="O4" s="590" t="s">
        <v>447</v>
      </c>
      <c r="P4" s="587" t="s">
        <v>443</v>
      </c>
      <c r="Q4" s="588"/>
      <c r="R4" s="588"/>
      <c r="S4" s="589"/>
      <c r="T4" s="590" t="s">
        <v>441</v>
      </c>
      <c r="U4" s="587" t="s">
        <v>443</v>
      </c>
      <c r="V4" s="588"/>
      <c r="W4" s="588"/>
      <c r="X4" s="589"/>
      <c r="Y4" s="590" t="s">
        <v>441</v>
      </c>
      <c r="Z4" s="587" t="s">
        <v>443</v>
      </c>
      <c r="AA4" s="588"/>
      <c r="AB4" s="588"/>
      <c r="AC4" s="589"/>
      <c r="AD4" s="590" t="s">
        <v>441</v>
      </c>
      <c r="AE4" s="587" t="s">
        <v>443</v>
      </c>
      <c r="AF4" s="588"/>
      <c r="AG4" s="588"/>
      <c r="AH4" s="589"/>
      <c r="AI4" s="590" t="s">
        <v>441</v>
      </c>
      <c r="AJ4" s="587" t="s">
        <v>443</v>
      </c>
      <c r="AK4" s="588"/>
      <c r="AL4" s="588"/>
      <c r="AM4" s="589"/>
      <c r="AN4" s="590" t="s">
        <v>441</v>
      </c>
      <c r="AO4" s="587" t="s">
        <v>443</v>
      </c>
      <c r="AP4" s="588"/>
      <c r="AQ4" s="588"/>
      <c r="AR4" s="589"/>
      <c r="AS4" s="590" t="s">
        <v>441</v>
      </c>
      <c r="AT4" s="587" t="s">
        <v>443</v>
      </c>
      <c r="AU4" s="588"/>
      <c r="AV4" s="588"/>
      <c r="AW4" s="589"/>
      <c r="AX4" s="590" t="s">
        <v>441</v>
      </c>
    </row>
    <row r="5" spans="1:54" ht="14.25">
      <c r="A5" s="81"/>
      <c r="B5" s="590"/>
      <c r="C5" s="590"/>
      <c r="D5" s="590"/>
      <c r="E5" s="590" t="s">
        <v>448</v>
      </c>
      <c r="F5" s="590"/>
      <c r="G5" s="590"/>
      <c r="H5" s="607"/>
      <c r="I5" s="574" t="s">
        <v>448</v>
      </c>
      <c r="J5" s="574"/>
      <c r="K5" s="574"/>
      <c r="L5" s="576"/>
      <c r="M5" s="582"/>
      <c r="N5" s="590"/>
      <c r="O5" s="590"/>
      <c r="P5" s="587" t="s">
        <v>449</v>
      </c>
      <c r="Q5" s="588"/>
      <c r="R5" s="588"/>
      <c r="S5" s="589"/>
      <c r="T5" s="590"/>
      <c r="U5" s="587" t="s">
        <v>449</v>
      </c>
      <c r="V5" s="588"/>
      <c r="W5" s="588"/>
      <c r="X5" s="589"/>
      <c r="Y5" s="590"/>
      <c r="Z5" s="587" t="s">
        <v>449</v>
      </c>
      <c r="AA5" s="588"/>
      <c r="AB5" s="588"/>
      <c r="AC5" s="589"/>
      <c r="AD5" s="590"/>
      <c r="AE5" s="587" t="s">
        <v>449</v>
      </c>
      <c r="AF5" s="588"/>
      <c r="AG5" s="588"/>
      <c r="AH5" s="589"/>
      <c r="AI5" s="590"/>
      <c r="AJ5" s="587" t="s">
        <v>449</v>
      </c>
      <c r="AK5" s="588"/>
      <c r="AL5" s="588"/>
      <c r="AM5" s="589"/>
      <c r="AN5" s="590"/>
      <c r="AO5" s="587" t="s">
        <v>449</v>
      </c>
      <c r="AP5" s="588"/>
      <c r="AQ5" s="588"/>
      <c r="AR5" s="589"/>
      <c r="AS5" s="590"/>
      <c r="AT5" s="587" t="s">
        <v>449</v>
      </c>
      <c r="AU5" s="588"/>
      <c r="AV5" s="588"/>
      <c r="AW5" s="589"/>
      <c r="AX5" s="590"/>
    </row>
    <row r="6" spans="1:54" ht="14.25">
      <c r="A6" s="79"/>
      <c r="B6" s="590"/>
      <c r="C6" s="590"/>
      <c r="D6" s="590"/>
      <c r="E6" s="377" t="s">
        <v>450</v>
      </c>
      <c r="F6" s="377" t="s">
        <v>451</v>
      </c>
      <c r="G6" s="377" t="s">
        <v>452</v>
      </c>
      <c r="H6" s="608"/>
      <c r="I6" s="376" t="s">
        <v>450</v>
      </c>
      <c r="J6" s="376" t="s">
        <v>451</v>
      </c>
      <c r="K6" s="376" t="s">
        <v>452</v>
      </c>
      <c r="L6" s="577"/>
      <c r="M6" s="583"/>
      <c r="N6" s="590"/>
      <c r="O6" s="590"/>
      <c r="P6" s="377" t="s">
        <v>450</v>
      </c>
      <c r="Q6" s="377" t="s">
        <v>451</v>
      </c>
      <c r="R6" s="377" t="s">
        <v>452</v>
      </c>
      <c r="S6" s="377" t="s">
        <v>442</v>
      </c>
      <c r="T6" s="590"/>
      <c r="U6" s="377" t="s">
        <v>450</v>
      </c>
      <c r="V6" s="377" t="s">
        <v>451</v>
      </c>
      <c r="W6" s="377" t="s">
        <v>452</v>
      </c>
      <c r="X6" s="377" t="s">
        <v>442</v>
      </c>
      <c r="Y6" s="590"/>
      <c r="Z6" s="377" t="s">
        <v>450</v>
      </c>
      <c r="AA6" s="377" t="s">
        <v>451</v>
      </c>
      <c r="AB6" s="377" t="s">
        <v>452</v>
      </c>
      <c r="AC6" s="377" t="s">
        <v>442</v>
      </c>
      <c r="AD6" s="590"/>
      <c r="AE6" s="377" t="s">
        <v>450</v>
      </c>
      <c r="AF6" s="377" t="s">
        <v>451</v>
      </c>
      <c r="AG6" s="377" t="s">
        <v>452</v>
      </c>
      <c r="AH6" s="377" t="s">
        <v>442</v>
      </c>
      <c r="AI6" s="590"/>
      <c r="AJ6" s="377" t="s">
        <v>450</v>
      </c>
      <c r="AK6" s="377" t="s">
        <v>451</v>
      </c>
      <c r="AL6" s="377" t="s">
        <v>452</v>
      </c>
      <c r="AM6" s="377" t="s">
        <v>442</v>
      </c>
      <c r="AN6" s="590"/>
      <c r="AO6" s="377" t="s">
        <v>450</v>
      </c>
      <c r="AP6" s="377" t="s">
        <v>451</v>
      </c>
      <c r="AQ6" s="377" t="s">
        <v>452</v>
      </c>
      <c r="AR6" s="377" t="s">
        <v>442</v>
      </c>
      <c r="AS6" s="590"/>
      <c r="AT6" s="377" t="s">
        <v>450</v>
      </c>
      <c r="AU6" s="377" t="s">
        <v>451</v>
      </c>
      <c r="AV6" s="377" t="s">
        <v>452</v>
      </c>
      <c r="AW6" s="377" t="s">
        <v>442</v>
      </c>
      <c r="AX6" s="590"/>
    </row>
    <row r="7" spans="1:54" ht="14.25">
      <c r="A7" s="81"/>
      <c r="B7" s="590" t="s">
        <v>132</v>
      </c>
      <c r="C7" s="378">
        <v>1</v>
      </c>
      <c r="D7" s="231" t="s">
        <v>399</v>
      </c>
      <c r="E7" s="187">
        <v>19</v>
      </c>
      <c r="F7" s="378">
        <v>1440</v>
      </c>
      <c r="G7" s="379">
        <v>75.78947368421052</v>
      </c>
      <c r="H7" s="632">
        <f>AVERAGE(G7:G21)</f>
        <v>76.175257997936001</v>
      </c>
      <c r="I7" s="380">
        <f>AVERAGE(P7,U7,Z7,AE7,AJ7,AO7,AT7)</f>
        <v>18.857142857142858</v>
      </c>
      <c r="J7" s="380">
        <f>AVERAGE(Q7,V7,AA7,AF7,AK7,AP7,AU7)</f>
        <v>1237.2061515718779</v>
      </c>
      <c r="K7" s="205">
        <f>AVERAGE(R7,W7,AB7,AG7,AL7,AQ7,AV7)</f>
        <v>65.622859558474573</v>
      </c>
      <c r="L7" s="571">
        <f>IFERROR(AVERAGE(K7:K21),"-")</f>
        <v>66.554459199368893</v>
      </c>
      <c r="M7" s="381">
        <f>RANK(K7, $K$7:K$21)</f>
        <v>3</v>
      </c>
      <c r="N7" s="590"/>
      <c r="O7" s="590"/>
      <c r="P7" s="187">
        <v>18</v>
      </c>
      <c r="Q7" s="379">
        <v>1213.1506849315072</v>
      </c>
      <c r="R7" s="379">
        <v>67.39726027397262</v>
      </c>
      <c r="S7" s="378">
        <f>RANK(R7, R$7:R$21)</f>
        <v>4</v>
      </c>
      <c r="T7" s="632">
        <f>AVERAGE(R7:R21)</f>
        <v>67.335139114850492</v>
      </c>
      <c r="U7" s="187">
        <v>19</v>
      </c>
      <c r="V7" s="379">
        <v>1230</v>
      </c>
      <c r="W7" s="379">
        <v>64.736842105263165</v>
      </c>
      <c r="X7" s="378">
        <f>RANK(W7, W$7:W$21)</f>
        <v>5</v>
      </c>
      <c r="Y7" s="632">
        <f>AVERAGE(W7:W21)</f>
        <v>66.318498281592653</v>
      </c>
      <c r="Z7" s="187">
        <v>19</v>
      </c>
      <c r="AA7" s="379">
        <v>1255.3846153846152</v>
      </c>
      <c r="AB7" s="379">
        <v>66.072874493927117</v>
      </c>
      <c r="AC7" s="378">
        <f>RANK(AB7, AB$7:AB$21)</f>
        <v>4</v>
      </c>
      <c r="AD7" s="632">
        <f>AVERAGE(AB7:AB21)</f>
        <v>67.388440634882514</v>
      </c>
      <c r="AE7" s="187">
        <v>19</v>
      </c>
      <c r="AF7" s="379">
        <v>1230.285714285714</v>
      </c>
      <c r="AG7" s="379">
        <v>64.751879699248107</v>
      </c>
      <c r="AH7" s="378">
        <f>RANK(AG7, AG$7:AG$21)</f>
        <v>5</v>
      </c>
      <c r="AI7" s="632">
        <f>AVERAGE(AG7:AG21)</f>
        <v>66.072606598767578</v>
      </c>
      <c r="AJ7" s="187">
        <v>19</v>
      </c>
      <c r="AK7" s="379">
        <v>1227.1698113207544</v>
      </c>
      <c r="AL7" s="379">
        <v>64.58788480635549</v>
      </c>
      <c r="AM7" s="378">
        <f>RANK(AL7, AL$7:AL$21)</f>
        <v>5</v>
      </c>
      <c r="AN7" s="632">
        <f>AVERAGE(AL7:AL21)</f>
        <v>66.383208609360423</v>
      </c>
      <c r="AO7" s="187">
        <v>19</v>
      </c>
      <c r="AP7" s="379">
        <v>1242.4778761061948</v>
      </c>
      <c r="AQ7" s="379">
        <v>65.393572426641825</v>
      </c>
      <c r="AR7" s="378">
        <f>RANK(AQ7, AQ$7:AQ$21)</f>
        <v>4</v>
      </c>
      <c r="AS7" s="632">
        <f>AVERAGE(AQ7:AQ21)</f>
        <v>66.088228883245847</v>
      </c>
      <c r="AT7" s="187">
        <v>19</v>
      </c>
      <c r="AU7" s="379">
        <v>1261.9743589743591</v>
      </c>
      <c r="AV7" s="379">
        <v>66.419703103913633</v>
      </c>
      <c r="AW7" s="378">
        <f>RANK(AV7, AV$7:AV$21)</f>
        <v>3</v>
      </c>
      <c r="AX7" s="629">
        <f>AVERAGE(AV7:AV21)</f>
        <v>66.295092272882883</v>
      </c>
      <c r="AZ7" s="381" t="e">
        <f>RANK(AX7, $K$7:AX$21)</f>
        <v>#N/A</v>
      </c>
      <c r="BB7" s="378" t="e">
        <f>RANK(BA7, BA$7:BA$21)</f>
        <v>#N/A</v>
      </c>
    </row>
    <row r="8" spans="1:54" ht="15" customHeight="1">
      <c r="A8" s="81"/>
      <c r="B8" s="598"/>
      <c r="C8" s="378">
        <v>2</v>
      </c>
      <c r="D8" s="231" t="s">
        <v>400</v>
      </c>
      <c r="E8" s="187">
        <v>19</v>
      </c>
      <c r="F8" s="378">
        <v>1440</v>
      </c>
      <c r="G8" s="379">
        <v>75.78947368421052</v>
      </c>
      <c r="H8" s="633"/>
      <c r="I8" s="380">
        <f t="shared" ref="I8:I16" si="0">AVERAGE(P8,U8,Z8,AE8,AJ8,AO8,AT8)</f>
        <v>18.857142857142858</v>
      </c>
      <c r="J8" s="380">
        <f t="shared" ref="J8:J16" si="1">AVERAGE(Q8,V8,AA8,AF8,AK8,AP8,AU8)</f>
        <v>1232.5510055828981</v>
      </c>
      <c r="K8" s="205">
        <f t="shared" ref="K8:K16" si="2">AVERAGE(R8,W8,AB8,AG8,AL8,AQ8,AV8)</f>
        <v>65.382702008440717</v>
      </c>
      <c r="L8" s="572"/>
      <c r="M8" s="381">
        <f>RANK(K8, $K$7:K$21)</f>
        <v>4</v>
      </c>
      <c r="N8" s="590"/>
      <c r="O8" s="590"/>
      <c r="P8" s="378">
        <v>18</v>
      </c>
      <c r="Q8" s="379">
        <v>1224.761904761906</v>
      </c>
      <c r="R8" s="379">
        <v>68.042328042328108</v>
      </c>
      <c r="S8" s="378">
        <f t="shared" ref="S8:S21" si="3">RANK(R8, R$7:R$21)</f>
        <v>3</v>
      </c>
      <c r="T8" s="633"/>
      <c r="U8" s="378">
        <v>19</v>
      </c>
      <c r="V8" s="379">
        <v>1261.0169491525435</v>
      </c>
      <c r="W8" s="379">
        <v>66.369313113291767</v>
      </c>
      <c r="X8" s="378">
        <f t="shared" ref="X8:X21" si="4">RANK(W8, W$7:W$21)</f>
        <v>3</v>
      </c>
      <c r="Y8" s="633"/>
      <c r="Z8" s="378">
        <v>19</v>
      </c>
      <c r="AA8" s="379">
        <v>1249.4736842105274</v>
      </c>
      <c r="AB8" s="379">
        <v>65.761772853185647</v>
      </c>
      <c r="AC8" s="378">
        <f t="shared" ref="AC8:AC21" si="5">RANK(AB8, AB$7:AB$21)</f>
        <v>5</v>
      </c>
      <c r="AD8" s="633"/>
      <c r="AE8" s="378">
        <v>19</v>
      </c>
      <c r="AF8" s="379">
        <v>1238.8235294117653</v>
      </c>
      <c r="AG8" s="379">
        <v>65.201238390092911</v>
      </c>
      <c r="AH8" s="378">
        <f t="shared" ref="AH8:AH21" si="6">RANK(AG8, AG$7:AG$21)</f>
        <v>3</v>
      </c>
      <c r="AI8" s="633"/>
      <c r="AJ8" s="378">
        <v>19</v>
      </c>
      <c r="AK8" s="379">
        <v>1228.1632653061229</v>
      </c>
      <c r="AL8" s="379">
        <v>64.640171858216988</v>
      </c>
      <c r="AM8" s="378">
        <f t="shared" ref="AM8:AM21" si="7">RANK(AL8, AL$7:AL$21)</f>
        <v>4</v>
      </c>
      <c r="AN8" s="633"/>
      <c r="AO8" s="378">
        <v>19</v>
      </c>
      <c r="AP8" s="379">
        <v>1206.7605633802818</v>
      </c>
      <c r="AQ8" s="379">
        <v>63.513713862120099</v>
      </c>
      <c r="AR8" s="378">
        <f t="shared" ref="AR8:AR21" si="8">RANK(AQ8, AQ$7:AQ$21)</f>
        <v>6</v>
      </c>
      <c r="AS8" s="633"/>
      <c r="AT8" s="378">
        <v>19</v>
      </c>
      <c r="AU8" s="379">
        <v>1218.8571428571418</v>
      </c>
      <c r="AV8" s="379">
        <v>64.150375939849567</v>
      </c>
      <c r="AW8" s="378">
        <f t="shared" ref="AW8:AW21" si="9">RANK(AV8, AV$7:AV$21)</f>
        <v>5</v>
      </c>
      <c r="AX8" s="629"/>
      <c r="AZ8" s="381" t="e">
        <f>RANK(AX8, $K$7:AX$21)</f>
        <v>#N/A</v>
      </c>
      <c r="BB8" s="378" t="e">
        <f t="shared" ref="BB8:BB21" si="10">RANK(BA8, BA$7:BA$21)</f>
        <v>#N/A</v>
      </c>
    </row>
    <row r="9" spans="1:54" ht="14.25">
      <c r="A9" s="81"/>
      <c r="B9" s="598"/>
      <c r="C9" s="378">
        <v>3</v>
      </c>
      <c r="D9" s="231" t="s">
        <v>402</v>
      </c>
      <c r="E9" s="187">
        <v>17</v>
      </c>
      <c r="F9" s="378">
        <v>1636</v>
      </c>
      <c r="G9" s="379">
        <v>96.235294117647058</v>
      </c>
      <c r="H9" s="633"/>
      <c r="I9" s="380">
        <f t="shared" si="0"/>
        <v>17</v>
      </c>
      <c r="J9" s="380">
        <f t="shared" si="1"/>
        <v>1382.8711385139943</v>
      </c>
      <c r="K9" s="205">
        <f t="shared" si="2"/>
        <v>81.3453610890585</v>
      </c>
      <c r="L9" s="572"/>
      <c r="M9" s="381">
        <f>RANK(K9, $K$7:K$21)</f>
        <v>1</v>
      </c>
      <c r="N9" s="590"/>
      <c r="O9" s="590"/>
      <c r="P9" s="378">
        <v>17</v>
      </c>
      <c r="Q9" s="379">
        <v>1423.7837837837828</v>
      </c>
      <c r="R9" s="379">
        <v>83.751987281398996</v>
      </c>
      <c r="S9" s="378">
        <f t="shared" si="3"/>
        <v>1</v>
      </c>
      <c r="T9" s="633"/>
      <c r="U9" s="378">
        <v>17</v>
      </c>
      <c r="V9" s="379">
        <v>1352.3076923076915</v>
      </c>
      <c r="W9" s="379">
        <v>79.547511312217139</v>
      </c>
      <c r="X9" s="378">
        <f t="shared" si="4"/>
        <v>1</v>
      </c>
      <c r="Y9" s="633"/>
      <c r="Z9" s="378">
        <v>17</v>
      </c>
      <c r="AA9" s="379">
        <v>1397.1428571428557</v>
      </c>
      <c r="AB9" s="379">
        <v>82.184873949579753</v>
      </c>
      <c r="AC9" s="378">
        <f t="shared" si="5"/>
        <v>1</v>
      </c>
      <c r="AD9" s="633"/>
      <c r="AE9" s="378">
        <v>17</v>
      </c>
      <c r="AF9" s="379">
        <v>1379.9999999999982</v>
      </c>
      <c r="AG9" s="379">
        <v>81.17647058823519</v>
      </c>
      <c r="AH9" s="378">
        <f t="shared" si="6"/>
        <v>1</v>
      </c>
      <c r="AI9" s="633"/>
      <c r="AJ9" s="378">
        <v>17</v>
      </c>
      <c r="AK9" s="379">
        <v>1367.2727272727254</v>
      </c>
      <c r="AL9" s="379">
        <v>80.427807486630911</v>
      </c>
      <c r="AM9" s="378">
        <f t="shared" si="7"/>
        <v>1</v>
      </c>
      <c r="AN9" s="633"/>
      <c r="AO9" s="378">
        <v>17</v>
      </c>
      <c r="AP9" s="379">
        <v>1369.0909090909072</v>
      </c>
      <c r="AQ9" s="379">
        <v>80.534759358288653</v>
      </c>
      <c r="AR9" s="378">
        <f t="shared" si="8"/>
        <v>1</v>
      </c>
      <c r="AS9" s="633"/>
      <c r="AT9" s="378">
        <v>17</v>
      </c>
      <c r="AU9" s="379">
        <v>1390.4999999999993</v>
      </c>
      <c r="AV9" s="379">
        <v>81.794117647058783</v>
      </c>
      <c r="AW9" s="378">
        <f t="shared" si="9"/>
        <v>1</v>
      </c>
      <c r="AX9" s="629"/>
      <c r="AZ9" s="381" t="e">
        <f>RANK(AX9, $K$7:AX$21)</f>
        <v>#N/A</v>
      </c>
      <c r="BB9" s="378" t="e">
        <f t="shared" si="10"/>
        <v>#N/A</v>
      </c>
    </row>
    <row r="10" spans="1:54" ht="14.25">
      <c r="A10" s="81"/>
      <c r="B10" s="598"/>
      <c r="C10" s="378">
        <v>4</v>
      </c>
      <c r="D10" s="231" t="s">
        <v>401</v>
      </c>
      <c r="E10" s="187">
        <v>17</v>
      </c>
      <c r="F10" s="378">
        <v>1440</v>
      </c>
      <c r="G10" s="379">
        <v>84.705882352941174</v>
      </c>
      <c r="H10" s="633"/>
      <c r="I10" s="380">
        <f t="shared" si="0"/>
        <v>17</v>
      </c>
      <c r="J10" s="380">
        <f t="shared" si="1"/>
        <v>1285.5564920256179</v>
      </c>
      <c r="K10" s="205">
        <f t="shared" si="2"/>
        <v>75.620970119153995</v>
      </c>
      <c r="L10" s="572"/>
      <c r="M10" s="381">
        <f>RANK(K10, $K$7:K$21)</f>
        <v>2</v>
      </c>
      <c r="N10" s="590"/>
      <c r="O10" s="590"/>
      <c r="P10" s="378">
        <v>17</v>
      </c>
      <c r="Q10" s="379">
        <v>1306.1791304347828</v>
      </c>
      <c r="R10" s="379">
        <v>76.8340664961637</v>
      </c>
      <c r="S10" s="378">
        <f t="shared" si="3"/>
        <v>2</v>
      </c>
      <c r="T10" s="633"/>
      <c r="U10" s="378">
        <v>17</v>
      </c>
      <c r="V10" s="379">
        <v>1274.6834645669289</v>
      </c>
      <c r="W10" s="379">
        <v>74.98138026864288</v>
      </c>
      <c r="X10" s="378">
        <f t="shared" si="4"/>
        <v>2</v>
      </c>
      <c r="Y10" s="633"/>
      <c r="Z10" s="378">
        <v>17</v>
      </c>
      <c r="AA10" s="379">
        <v>1294.0474576271188</v>
      </c>
      <c r="AB10" s="379">
        <v>76.120438683948166</v>
      </c>
      <c r="AC10" s="378">
        <f t="shared" si="5"/>
        <v>2</v>
      </c>
      <c r="AD10" s="633"/>
      <c r="AE10" s="378">
        <v>17</v>
      </c>
      <c r="AF10" s="379">
        <v>1295.2631578947369</v>
      </c>
      <c r="AG10" s="379">
        <v>76.191950464396285</v>
      </c>
      <c r="AH10" s="378">
        <f t="shared" si="6"/>
        <v>2</v>
      </c>
      <c r="AI10" s="633"/>
      <c r="AJ10" s="378">
        <v>17</v>
      </c>
      <c r="AK10" s="379">
        <v>1299.8230088495577</v>
      </c>
      <c r="AL10" s="379">
        <v>76.460176991150448</v>
      </c>
      <c r="AM10" s="378">
        <f t="shared" si="7"/>
        <v>2</v>
      </c>
      <c r="AN10" s="633"/>
      <c r="AO10" s="378">
        <v>17</v>
      </c>
      <c r="AP10" s="379">
        <v>1270.2325581395346</v>
      </c>
      <c r="AQ10" s="379">
        <v>74.71956224350204</v>
      </c>
      <c r="AR10" s="378">
        <f t="shared" si="8"/>
        <v>2</v>
      </c>
      <c r="AS10" s="633"/>
      <c r="AT10" s="378">
        <v>17</v>
      </c>
      <c r="AU10" s="379">
        <v>1258.6666666666665</v>
      </c>
      <c r="AV10" s="379">
        <v>74.039215686274503</v>
      </c>
      <c r="AW10" s="378">
        <f t="shared" si="9"/>
        <v>2</v>
      </c>
      <c r="AX10" s="629"/>
      <c r="AZ10" s="381" t="e">
        <f>RANK(AX10, $K$7:AX$21)</f>
        <v>#N/A</v>
      </c>
      <c r="BB10" s="378" t="e">
        <f t="shared" si="10"/>
        <v>#N/A</v>
      </c>
    </row>
    <row r="11" spans="1:54" ht="14.25">
      <c r="A11" s="81"/>
      <c r="B11" s="598"/>
      <c r="C11" s="378">
        <v>5</v>
      </c>
      <c r="D11" s="231" t="s">
        <v>403</v>
      </c>
      <c r="E11" s="187">
        <v>19</v>
      </c>
      <c r="F11" s="378">
        <v>1440</v>
      </c>
      <c r="G11" s="379">
        <v>75.78947368421052</v>
      </c>
      <c r="H11" s="633"/>
      <c r="I11" s="380">
        <f t="shared" si="0"/>
        <v>19</v>
      </c>
      <c r="J11" s="380">
        <f t="shared" si="1"/>
        <v>1228.0321843537042</v>
      </c>
      <c r="K11" s="205">
        <f t="shared" si="2"/>
        <v>64.633272860721277</v>
      </c>
      <c r="L11" s="572"/>
      <c r="M11" s="381">
        <f>RANK(K11, $K$7:K$21)</f>
        <v>5</v>
      </c>
      <c r="N11" s="590"/>
      <c r="O11" s="590"/>
      <c r="P11" s="378">
        <v>19</v>
      </c>
      <c r="Q11" s="379">
        <v>1261.7391304347825</v>
      </c>
      <c r="R11" s="379">
        <v>66.407322654462234</v>
      </c>
      <c r="S11" s="378">
        <f t="shared" si="3"/>
        <v>5</v>
      </c>
      <c r="T11" s="633"/>
      <c r="U11" s="378">
        <v>19</v>
      </c>
      <c r="V11" s="379">
        <v>1259.1063829787215</v>
      </c>
      <c r="W11" s="379">
        <v>66.268756998880079</v>
      </c>
      <c r="X11" s="378">
        <f t="shared" si="4"/>
        <v>4</v>
      </c>
      <c r="Y11" s="633"/>
      <c r="Z11" s="378">
        <v>19</v>
      </c>
      <c r="AA11" s="379">
        <v>1233.1343283582089</v>
      </c>
      <c r="AB11" s="379">
        <v>64.901806755695205</v>
      </c>
      <c r="AC11" s="378">
        <f t="shared" si="5"/>
        <v>6</v>
      </c>
      <c r="AD11" s="633"/>
      <c r="AE11" s="378">
        <v>19</v>
      </c>
      <c r="AF11" s="379">
        <v>1208.5714285714282</v>
      </c>
      <c r="AG11" s="379">
        <v>63.609022556390961</v>
      </c>
      <c r="AH11" s="378">
        <f t="shared" si="6"/>
        <v>6</v>
      </c>
      <c r="AI11" s="633"/>
      <c r="AJ11" s="378">
        <v>19</v>
      </c>
      <c r="AK11" s="379">
        <v>1210.2857142857129</v>
      </c>
      <c r="AL11" s="379">
        <v>63.699248120300673</v>
      </c>
      <c r="AM11" s="378">
        <f t="shared" si="7"/>
        <v>7</v>
      </c>
      <c r="AN11" s="633"/>
      <c r="AO11" s="378">
        <v>19</v>
      </c>
      <c r="AP11" s="379">
        <v>1213.0434782608695</v>
      </c>
      <c r="AQ11" s="379">
        <v>63.844393592677342</v>
      </c>
      <c r="AR11" s="378">
        <f t="shared" si="8"/>
        <v>5</v>
      </c>
      <c r="AS11" s="633"/>
      <c r="AT11" s="378">
        <v>19</v>
      </c>
      <c r="AU11" s="379">
        <v>1210.3448275862061</v>
      </c>
      <c r="AV11" s="379">
        <v>63.702359346642424</v>
      </c>
      <c r="AW11" s="378">
        <f t="shared" si="9"/>
        <v>6</v>
      </c>
      <c r="AX11" s="629"/>
      <c r="AZ11" s="381" t="e">
        <f>RANK(AX11, $K$7:AX$21)</f>
        <v>#N/A</v>
      </c>
      <c r="BB11" s="378" t="e">
        <f t="shared" si="10"/>
        <v>#N/A</v>
      </c>
    </row>
    <row r="12" spans="1:54" ht="14.25">
      <c r="A12" s="81"/>
      <c r="B12" s="598"/>
      <c r="C12" s="378">
        <v>6</v>
      </c>
      <c r="D12" s="231" t="s">
        <v>404</v>
      </c>
      <c r="E12" s="187">
        <v>20</v>
      </c>
      <c r="F12" s="378">
        <v>1385</v>
      </c>
      <c r="G12" s="379">
        <v>69.25</v>
      </c>
      <c r="H12" s="633"/>
      <c r="I12" s="380">
        <f t="shared" si="0"/>
        <v>20</v>
      </c>
      <c r="J12" s="380">
        <f t="shared" si="1"/>
        <v>1231.3904031829445</v>
      </c>
      <c r="K12" s="205">
        <f t="shared" si="2"/>
        <v>61.569520159147224</v>
      </c>
      <c r="L12" s="572"/>
      <c r="M12" s="381">
        <f>RANK(K12, $K$7:K$21)</f>
        <v>10</v>
      </c>
      <c r="N12" s="590"/>
      <c r="O12" s="590"/>
      <c r="P12" s="378">
        <v>20</v>
      </c>
      <c r="Q12" s="379">
        <v>1207.3170731707312</v>
      </c>
      <c r="R12" s="379">
        <v>60.365853658536558</v>
      </c>
      <c r="S12" s="378">
        <f t="shared" si="3"/>
        <v>10</v>
      </c>
      <c r="T12" s="633"/>
      <c r="U12" s="378">
        <v>20</v>
      </c>
      <c r="V12" s="379">
        <v>1261.5126050420163</v>
      </c>
      <c r="W12" s="379">
        <v>63.075630252100815</v>
      </c>
      <c r="X12" s="378">
        <f t="shared" si="4"/>
        <v>6</v>
      </c>
      <c r="Y12" s="633"/>
      <c r="Z12" s="378">
        <v>20</v>
      </c>
      <c r="AA12" s="379">
        <v>1213.6134453781508</v>
      </c>
      <c r="AB12" s="379">
        <v>60.680672268907543</v>
      </c>
      <c r="AC12" s="378">
        <f t="shared" si="5"/>
        <v>9</v>
      </c>
      <c r="AD12" s="633"/>
      <c r="AE12" s="378">
        <v>20</v>
      </c>
      <c r="AF12" s="379">
        <v>1253.3333333333333</v>
      </c>
      <c r="AG12" s="379">
        <v>62.666666666666664</v>
      </c>
      <c r="AH12" s="378">
        <f t="shared" si="6"/>
        <v>7</v>
      </c>
      <c r="AI12" s="633"/>
      <c r="AJ12" s="378">
        <v>20</v>
      </c>
      <c r="AK12" s="379">
        <v>1221.4736842105265</v>
      </c>
      <c r="AL12" s="379">
        <v>61.073684210526324</v>
      </c>
      <c r="AM12" s="378">
        <f t="shared" si="7"/>
        <v>9</v>
      </c>
      <c r="AN12" s="633"/>
      <c r="AO12" s="378">
        <v>20</v>
      </c>
      <c r="AP12" s="379">
        <v>1226.972477064221</v>
      </c>
      <c r="AQ12" s="379">
        <v>61.348623853211052</v>
      </c>
      <c r="AR12" s="378">
        <f t="shared" si="8"/>
        <v>9</v>
      </c>
      <c r="AS12" s="633"/>
      <c r="AT12" s="378">
        <v>20</v>
      </c>
      <c r="AU12" s="379">
        <v>1235.5102040816332</v>
      </c>
      <c r="AV12" s="379">
        <v>61.775510204081662</v>
      </c>
      <c r="AW12" s="378">
        <f t="shared" si="9"/>
        <v>9</v>
      </c>
      <c r="AX12" s="629"/>
      <c r="AZ12" s="381" t="e">
        <f>RANK(AX12, $K$7:AX$21)</f>
        <v>#N/A</v>
      </c>
      <c r="BB12" s="378" t="e">
        <f t="shared" si="10"/>
        <v>#N/A</v>
      </c>
    </row>
    <row r="13" spans="1:54" ht="14.25">
      <c r="A13" s="81"/>
      <c r="B13" s="598"/>
      <c r="C13" s="378">
        <v>7</v>
      </c>
      <c r="D13" s="231" t="s">
        <v>405</v>
      </c>
      <c r="E13" s="187">
        <v>20</v>
      </c>
      <c r="F13" s="378">
        <v>1440</v>
      </c>
      <c r="G13" s="379">
        <v>72</v>
      </c>
      <c r="H13" s="633"/>
      <c r="I13" s="380">
        <f t="shared" si="0"/>
        <v>20</v>
      </c>
      <c r="J13" s="380">
        <f t="shared" si="1"/>
        <v>1239.3230489393884</v>
      </c>
      <c r="K13" s="205">
        <f t="shared" si="2"/>
        <v>61.966152446969431</v>
      </c>
      <c r="L13" s="572"/>
      <c r="M13" s="381">
        <f>RANK(K13, $K$7:K$21)</f>
        <v>9</v>
      </c>
      <c r="N13" s="590"/>
      <c r="O13" s="590"/>
      <c r="P13" s="378">
        <v>20</v>
      </c>
      <c r="Q13" s="379">
        <v>1241.935483870968</v>
      </c>
      <c r="R13" s="379">
        <v>62.096774193548399</v>
      </c>
      <c r="S13" s="378">
        <f t="shared" si="3"/>
        <v>7</v>
      </c>
      <c r="T13" s="633"/>
      <c r="U13" s="378">
        <v>20</v>
      </c>
      <c r="V13" s="379">
        <v>1229.3617021276598</v>
      </c>
      <c r="W13" s="379">
        <v>61.468085106382986</v>
      </c>
      <c r="X13" s="378">
        <f t="shared" si="4"/>
        <v>9</v>
      </c>
      <c r="Y13" s="633"/>
      <c r="Z13" s="378">
        <v>20</v>
      </c>
      <c r="AA13" s="379">
        <v>1222.0689655172412</v>
      </c>
      <c r="AB13" s="379">
        <v>61.103448275862057</v>
      </c>
      <c r="AC13" s="378">
        <f t="shared" si="5"/>
        <v>8</v>
      </c>
      <c r="AD13" s="633"/>
      <c r="AE13" s="378">
        <v>20</v>
      </c>
      <c r="AF13" s="379">
        <v>1227.3529411764689</v>
      </c>
      <c r="AG13" s="379">
        <v>61.367647058823444</v>
      </c>
      <c r="AH13" s="378">
        <f t="shared" si="6"/>
        <v>8</v>
      </c>
      <c r="AI13" s="633"/>
      <c r="AJ13" s="378">
        <v>20</v>
      </c>
      <c r="AK13" s="379">
        <v>1250.2702702702693</v>
      </c>
      <c r="AL13" s="379">
        <v>62.513513513513466</v>
      </c>
      <c r="AM13" s="378">
        <f t="shared" si="7"/>
        <v>8</v>
      </c>
      <c r="AN13" s="633"/>
      <c r="AO13" s="378">
        <v>20</v>
      </c>
      <c r="AP13" s="379">
        <v>1241.7977528089887</v>
      </c>
      <c r="AQ13" s="379">
        <v>62.089887640449433</v>
      </c>
      <c r="AR13" s="378">
        <f t="shared" si="8"/>
        <v>8</v>
      </c>
      <c r="AS13" s="633"/>
      <c r="AT13" s="378">
        <v>20</v>
      </c>
      <c r="AU13" s="379">
        <v>1262.4742268041241</v>
      </c>
      <c r="AV13" s="379">
        <v>63.123711340206206</v>
      </c>
      <c r="AW13" s="378">
        <f t="shared" si="9"/>
        <v>8</v>
      </c>
      <c r="AX13" s="629"/>
      <c r="AZ13" s="381" t="e">
        <f>RANK(AX13, $K$7:AX$21)</f>
        <v>#N/A</v>
      </c>
      <c r="BB13" s="378" t="e">
        <f t="shared" si="10"/>
        <v>#N/A</v>
      </c>
    </row>
    <row r="14" spans="1:54" ht="14.25">
      <c r="A14" s="81"/>
      <c r="B14" s="598"/>
      <c r="C14" s="378">
        <v>8</v>
      </c>
      <c r="D14" s="231" t="s">
        <v>666</v>
      </c>
      <c r="E14" s="187">
        <v>19</v>
      </c>
      <c r="F14" s="378">
        <v>1565</v>
      </c>
      <c r="G14" s="379">
        <v>82.368421052631575</v>
      </c>
      <c r="H14" s="633"/>
      <c r="I14" s="380">
        <f t="shared" si="0"/>
        <v>18</v>
      </c>
      <c r="J14" s="380">
        <f t="shared" si="1"/>
        <v>1119.8002981342172</v>
      </c>
      <c r="K14" s="205">
        <f t="shared" si="2"/>
        <v>62.211127674123155</v>
      </c>
      <c r="L14" s="572"/>
      <c r="M14" s="381">
        <f>RANK(K14, $K$7:K$21)</f>
        <v>8</v>
      </c>
      <c r="N14" s="590"/>
      <c r="O14" s="590"/>
      <c r="P14" s="378">
        <v>18</v>
      </c>
      <c r="Q14" s="379">
        <v>1098.6206896551732</v>
      </c>
      <c r="R14" s="379">
        <v>61.034482758620733</v>
      </c>
      <c r="S14" s="378">
        <f t="shared" si="3"/>
        <v>9</v>
      </c>
      <c r="T14" s="633"/>
      <c r="U14" s="378">
        <v>18</v>
      </c>
      <c r="V14" s="379">
        <v>1103.5714285714294</v>
      </c>
      <c r="W14" s="379">
        <v>61.309523809523853</v>
      </c>
      <c r="X14" s="378">
        <f t="shared" si="4"/>
        <v>10</v>
      </c>
      <c r="Y14" s="633"/>
      <c r="Z14" s="378">
        <v>18</v>
      </c>
      <c r="AA14" s="379">
        <v>1316.1290322580658</v>
      </c>
      <c r="AB14" s="379">
        <v>73.118279569892536</v>
      </c>
      <c r="AC14" s="378">
        <f t="shared" si="5"/>
        <v>3</v>
      </c>
      <c r="AD14" s="633"/>
      <c r="AE14" s="378">
        <v>18</v>
      </c>
      <c r="AF14" s="379">
        <v>1075.3846153846162</v>
      </c>
      <c r="AG14" s="379">
        <v>59.743589743589787</v>
      </c>
      <c r="AH14" s="378">
        <f t="shared" si="6"/>
        <v>10</v>
      </c>
      <c r="AI14" s="633"/>
      <c r="AJ14" s="378">
        <v>18</v>
      </c>
      <c r="AK14" s="379">
        <v>1090.4347826086957</v>
      </c>
      <c r="AL14" s="379">
        <v>60.579710144927539</v>
      </c>
      <c r="AM14" s="378">
        <f t="shared" si="7"/>
        <v>10</v>
      </c>
      <c r="AN14" s="633"/>
      <c r="AO14" s="378">
        <v>18</v>
      </c>
      <c r="AP14" s="379">
        <v>1085.9999999999995</v>
      </c>
      <c r="AQ14" s="379">
        <v>60.333333333333307</v>
      </c>
      <c r="AR14" s="378">
        <f t="shared" si="8"/>
        <v>10</v>
      </c>
      <c r="AS14" s="633"/>
      <c r="AT14" s="378">
        <v>18</v>
      </c>
      <c r="AU14" s="379">
        <v>1068.461538461539</v>
      </c>
      <c r="AV14" s="379">
        <v>59.358974358974393</v>
      </c>
      <c r="AW14" s="378">
        <f t="shared" si="9"/>
        <v>10</v>
      </c>
      <c r="AX14" s="629"/>
      <c r="AZ14" s="381" t="e">
        <f>RANK(AX14, $K$7:AX$21)</f>
        <v>#N/A</v>
      </c>
      <c r="BB14" s="378" t="e">
        <f t="shared" si="10"/>
        <v>#N/A</v>
      </c>
    </row>
    <row r="15" spans="1:54" ht="14.25">
      <c r="A15" s="81"/>
      <c r="B15" s="598"/>
      <c r="C15" s="378">
        <v>9</v>
      </c>
      <c r="D15" s="231" t="s">
        <v>690</v>
      </c>
      <c r="E15" s="187">
        <v>19</v>
      </c>
      <c r="F15" s="378">
        <v>1200</v>
      </c>
      <c r="G15" s="379">
        <v>63.157894736842103</v>
      </c>
      <c r="H15" s="633"/>
      <c r="I15" s="380">
        <f t="shared" si="0"/>
        <v>19</v>
      </c>
      <c r="J15" s="380">
        <f t="shared" si="1"/>
        <v>1195.020753792518</v>
      </c>
      <c r="K15" s="205">
        <f t="shared" si="2"/>
        <v>62.895829146974627</v>
      </c>
      <c r="L15" s="572"/>
      <c r="M15" s="381">
        <f>RANK(K15, $K$7:K$21)</f>
        <v>7</v>
      </c>
      <c r="N15" s="590"/>
      <c r="O15" s="590"/>
      <c r="P15" s="378">
        <v>19</v>
      </c>
      <c r="Q15" s="379">
        <v>1172.8049999999996</v>
      </c>
      <c r="R15" s="379">
        <v>61.726578947368402</v>
      </c>
      <c r="S15" s="378">
        <f t="shared" si="3"/>
        <v>8</v>
      </c>
      <c r="T15" s="633"/>
      <c r="U15" s="378">
        <v>19</v>
      </c>
      <c r="V15" s="379">
        <v>1194.6428571428582</v>
      </c>
      <c r="W15" s="379">
        <v>62.875939849624118</v>
      </c>
      <c r="X15" s="378">
        <f t="shared" si="4"/>
        <v>7</v>
      </c>
      <c r="Y15" s="633"/>
      <c r="Z15" s="378">
        <v>19</v>
      </c>
      <c r="AA15" s="379">
        <v>1212.6605504587164</v>
      </c>
      <c r="AB15" s="379">
        <v>63.824239497827179</v>
      </c>
      <c r="AC15" s="378">
        <f t="shared" si="5"/>
        <v>7</v>
      </c>
      <c r="AD15" s="633"/>
      <c r="AE15" s="378">
        <v>19</v>
      </c>
      <c r="AF15" s="379">
        <v>1163.0357142857133</v>
      </c>
      <c r="AG15" s="379">
        <v>61.212406015037544</v>
      </c>
      <c r="AH15" s="378">
        <f t="shared" si="6"/>
        <v>9</v>
      </c>
      <c r="AI15" s="633"/>
      <c r="AJ15" s="378">
        <v>19</v>
      </c>
      <c r="AK15" s="379">
        <v>1216.4885496183206</v>
      </c>
      <c r="AL15" s="379">
        <v>64.025713137806349</v>
      </c>
      <c r="AM15" s="378">
        <f t="shared" si="7"/>
        <v>6</v>
      </c>
      <c r="AN15" s="633"/>
      <c r="AO15" s="378">
        <v>19</v>
      </c>
      <c r="AP15" s="379">
        <v>1202.5714285714289</v>
      </c>
      <c r="AQ15" s="379">
        <v>63.293233082706784</v>
      </c>
      <c r="AR15" s="378">
        <f t="shared" si="8"/>
        <v>7</v>
      </c>
      <c r="AS15" s="633"/>
      <c r="AT15" s="378">
        <v>19</v>
      </c>
      <c r="AU15" s="379">
        <v>1202.9411764705887</v>
      </c>
      <c r="AV15" s="379">
        <v>63.312693498452042</v>
      </c>
      <c r="AW15" s="378">
        <f t="shared" si="9"/>
        <v>7</v>
      </c>
      <c r="AX15" s="629"/>
      <c r="AZ15" s="381" t="e">
        <f>RANK(AX15, $K$7:AX$21)</f>
        <v>#N/A</v>
      </c>
      <c r="BB15" s="378" t="e">
        <f t="shared" si="10"/>
        <v>#N/A</v>
      </c>
    </row>
    <row r="16" spans="1:54" ht="14.25">
      <c r="A16" s="81"/>
      <c r="B16" s="598"/>
      <c r="C16" s="378">
        <v>10</v>
      </c>
      <c r="D16" s="231" t="s">
        <v>695</v>
      </c>
      <c r="E16" s="187">
        <v>18</v>
      </c>
      <c r="F16" s="378">
        <v>1200</v>
      </c>
      <c r="G16" s="379">
        <v>66.666666666666671</v>
      </c>
      <c r="H16" s="633"/>
      <c r="I16" s="380">
        <f t="shared" si="0"/>
        <v>18</v>
      </c>
      <c r="J16" s="380">
        <f t="shared" si="1"/>
        <v>1157.3423447512605</v>
      </c>
      <c r="K16" s="205">
        <f t="shared" si="2"/>
        <v>64.296796930625575</v>
      </c>
      <c r="L16" s="572"/>
      <c r="M16" s="381">
        <f>RANK(K16, $K$7:K$21)</f>
        <v>6</v>
      </c>
      <c r="N16" s="590"/>
      <c r="O16" s="590"/>
      <c r="P16" s="378">
        <v>18</v>
      </c>
      <c r="Q16" s="379">
        <v>1182.5052631578953</v>
      </c>
      <c r="R16" s="379">
        <v>65.6947368421053</v>
      </c>
      <c r="S16" s="378">
        <f t="shared" si="3"/>
        <v>6</v>
      </c>
      <c r="T16" s="633"/>
      <c r="U16" s="378">
        <v>18</v>
      </c>
      <c r="V16" s="379">
        <v>1125.9359999999967</v>
      </c>
      <c r="W16" s="379">
        <v>62.551999999999822</v>
      </c>
      <c r="X16" s="378">
        <f t="shared" si="4"/>
        <v>8</v>
      </c>
      <c r="Y16" s="633"/>
      <c r="Z16" s="378">
        <v>18</v>
      </c>
      <c r="AA16" s="379">
        <v>1082.0879999999968</v>
      </c>
      <c r="AB16" s="379">
        <v>60.115999999999822</v>
      </c>
      <c r="AC16" s="378">
        <f t="shared" si="5"/>
        <v>10</v>
      </c>
      <c r="AD16" s="633"/>
      <c r="AE16" s="378">
        <v>18</v>
      </c>
      <c r="AF16" s="379">
        <v>1166.4935064935059</v>
      </c>
      <c r="AG16" s="379">
        <v>64.805194805194773</v>
      </c>
      <c r="AH16" s="378">
        <f t="shared" si="6"/>
        <v>4</v>
      </c>
      <c r="AI16" s="633"/>
      <c r="AJ16" s="378">
        <v>18</v>
      </c>
      <c r="AK16" s="379">
        <v>1184.8351648351659</v>
      </c>
      <c r="AL16" s="379">
        <v>65.824175824175882</v>
      </c>
      <c r="AM16" s="378">
        <f t="shared" si="7"/>
        <v>3</v>
      </c>
      <c r="AN16" s="633"/>
      <c r="AO16" s="378">
        <v>18</v>
      </c>
      <c r="AP16" s="379">
        <v>1184.6017699115034</v>
      </c>
      <c r="AQ16" s="379">
        <v>65.811209439527971</v>
      </c>
      <c r="AR16" s="378">
        <f t="shared" si="8"/>
        <v>3</v>
      </c>
      <c r="AS16" s="633"/>
      <c r="AT16" s="378">
        <v>18</v>
      </c>
      <c r="AU16" s="379">
        <v>1174.9367088607589</v>
      </c>
      <c r="AV16" s="379">
        <v>65.274261603375493</v>
      </c>
      <c r="AW16" s="378">
        <f t="shared" si="9"/>
        <v>4</v>
      </c>
      <c r="AX16" s="629"/>
      <c r="AZ16" s="381" t="e">
        <f>RANK(AX16, $K$7:AX$21)</f>
        <v>#N/A</v>
      </c>
      <c r="BB16" s="378" t="e">
        <f t="shared" si="10"/>
        <v>#N/A</v>
      </c>
    </row>
    <row r="17" spans="2:54">
      <c r="B17" s="598"/>
      <c r="C17" s="378">
        <v>11</v>
      </c>
      <c r="D17" s="231"/>
      <c r="E17" s="187"/>
      <c r="F17" s="378"/>
      <c r="G17" s="379"/>
      <c r="H17" s="633"/>
      <c r="I17" s="207"/>
      <c r="J17" s="207"/>
      <c r="K17" s="207"/>
      <c r="L17" s="572"/>
      <c r="M17" s="381" t="e">
        <f>RANK(K17, $K$7:K$21)</f>
        <v>#N/A</v>
      </c>
      <c r="N17" s="590"/>
      <c r="O17" s="590"/>
      <c r="P17" s="378"/>
      <c r="Q17" s="379"/>
      <c r="R17" s="379"/>
      <c r="S17" s="378" t="e">
        <f t="shared" si="3"/>
        <v>#N/A</v>
      </c>
      <c r="T17" s="633"/>
      <c r="U17" s="378"/>
      <c r="V17" s="379"/>
      <c r="W17" s="379"/>
      <c r="X17" s="378" t="e">
        <f t="shared" si="4"/>
        <v>#N/A</v>
      </c>
      <c r="Y17" s="633"/>
      <c r="Z17" s="378"/>
      <c r="AA17" s="379"/>
      <c r="AB17" s="379"/>
      <c r="AC17" s="378" t="e">
        <f t="shared" si="5"/>
        <v>#N/A</v>
      </c>
      <c r="AD17" s="633"/>
      <c r="AE17" s="378"/>
      <c r="AF17" s="379"/>
      <c r="AG17" s="379"/>
      <c r="AH17" s="378" t="e">
        <f t="shared" si="6"/>
        <v>#N/A</v>
      </c>
      <c r="AI17" s="633"/>
      <c r="AJ17" s="378"/>
      <c r="AK17" s="379"/>
      <c r="AL17" s="379"/>
      <c r="AM17" s="378" t="e">
        <f t="shared" si="7"/>
        <v>#N/A</v>
      </c>
      <c r="AN17" s="633"/>
      <c r="AO17" s="378"/>
      <c r="AP17" s="379"/>
      <c r="AQ17" s="379"/>
      <c r="AR17" s="378" t="e">
        <f t="shared" si="8"/>
        <v>#N/A</v>
      </c>
      <c r="AS17" s="633"/>
      <c r="AT17" s="378"/>
      <c r="AU17" s="379"/>
      <c r="AV17" s="379"/>
      <c r="AW17" s="378" t="e">
        <f t="shared" si="9"/>
        <v>#N/A</v>
      </c>
      <c r="AX17" s="629"/>
      <c r="AZ17" s="381" t="e">
        <f>RANK(AX17, $K$7:AX$21)</f>
        <v>#N/A</v>
      </c>
      <c r="BB17" s="378" t="e">
        <f t="shared" si="10"/>
        <v>#N/A</v>
      </c>
    </row>
    <row r="18" spans="2:54">
      <c r="B18" s="598"/>
      <c r="C18" s="378">
        <v>12</v>
      </c>
      <c r="D18" s="231"/>
      <c r="E18" s="187"/>
      <c r="F18" s="378"/>
      <c r="G18" s="379"/>
      <c r="H18" s="633"/>
      <c r="I18" s="207"/>
      <c r="J18" s="207"/>
      <c r="K18" s="207"/>
      <c r="L18" s="572"/>
      <c r="M18" s="381" t="e">
        <f>RANK(K18, $K$7:K$21)</f>
        <v>#N/A</v>
      </c>
      <c r="N18" s="590"/>
      <c r="O18" s="590"/>
      <c r="P18" s="378"/>
      <c r="Q18" s="379"/>
      <c r="R18" s="379"/>
      <c r="S18" s="378" t="e">
        <f t="shared" si="3"/>
        <v>#N/A</v>
      </c>
      <c r="T18" s="633"/>
      <c r="U18" s="378"/>
      <c r="V18" s="379"/>
      <c r="W18" s="379"/>
      <c r="X18" s="378" t="e">
        <f t="shared" si="4"/>
        <v>#N/A</v>
      </c>
      <c r="Y18" s="633"/>
      <c r="Z18" s="378"/>
      <c r="AA18" s="379"/>
      <c r="AB18" s="379"/>
      <c r="AC18" s="378" t="e">
        <f t="shared" si="5"/>
        <v>#N/A</v>
      </c>
      <c r="AD18" s="633"/>
      <c r="AE18" s="378"/>
      <c r="AF18" s="379"/>
      <c r="AG18" s="379"/>
      <c r="AH18" s="378" t="e">
        <f t="shared" si="6"/>
        <v>#N/A</v>
      </c>
      <c r="AI18" s="633"/>
      <c r="AJ18" s="378"/>
      <c r="AK18" s="379"/>
      <c r="AL18" s="379"/>
      <c r="AM18" s="378" t="e">
        <f t="shared" si="7"/>
        <v>#N/A</v>
      </c>
      <c r="AN18" s="633"/>
      <c r="AO18" s="378"/>
      <c r="AP18" s="379"/>
      <c r="AQ18" s="379"/>
      <c r="AR18" s="378" t="e">
        <f t="shared" si="8"/>
        <v>#N/A</v>
      </c>
      <c r="AS18" s="633"/>
      <c r="AT18" s="378"/>
      <c r="AU18" s="378"/>
      <c r="AV18" s="378"/>
      <c r="AW18" s="378" t="e">
        <f t="shared" si="9"/>
        <v>#N/A</v>
      </c>
      <c r="AX18" s="629"/>
      <c r="AZ18" s="381" t="e">
        <f>RANK(AX18, $K$7:AX$21)</f>
        <v>#N/A</v>
      </c>
      <c r="BB18" s="378" t="e">
        <f t="shared" si="10"/>
        <v>#N/A</v>
      </c>
    </row>
    <row r="19" spans="2:54">
      <c r="B19" s="598"/>
      <c r="C19" s="378">
        <v>13</v>
      </c>
      <c r="D19" s="231"/>
      <c r="E19" s="187"/>
      <c r="F19" s="378"/>
      <c r="G19" s="379"/>
      <c r="H19" s="633"/>
      <c r="I19" s="207"/>
      <c r="J19" s="207"/>
      <c r="K19" s="207"/>
      <c r="L19" s="572"/>
      <c r="M19" s="381" t="e">
        <f>RANK(K19, $K$7:K$21)</f>
        <v>#N/A</v>
      </c>
      <c r="N19" s="590"/>
      <c r="O19" s="590"/>
      <c r="P19" s="378"/>
      <c r="Q19" s="379"/>
      <c r="R19" s="379"/>
      <c r="S19" s="378" t="e">
        <f t="shared" si="3"/>
        <v>#N/A</v>
      </c>
      <c r="T19" s="633"/>
      <c r="U19" s="378"/>
      <c r="V19" s="379"/>
      <c r="W19" s="379"/>
      <c r="X19" s="378" t="e">
        <f t="shared" si="4"/>
        <v>#N/A</v>
      </c>
      <c r="Y19" s="633"/>
      <c r="Z19" s="378"/>
      <c r="AA19" s="379"/>
      <c r="AB19" s="379"/>
      <c r="AC19" s="378" t="e">
        <f t="shared" si="5"/>
        <v>#N/A</v>
      </c>
      <c r="AD19" s="633"/>
      <c r="AE19" s="378"/>
      <c r="AF19" s="379"/>
      <c r="AG19" s="379"/>
      <c r="AH19" s="378" t="e">
        <f t="shared" si="6"/>
        <v>#N/A</v>
      </c>
      <c r="AI19" s="633"/>
      <c r="AJ19" s="378"/>
      <c r="AK19" s="379"/>
      <c r="AL19" s="379"/>
      <c r="AM19" s="378" t="e">
        <f t="shared" si="7"/>
        <v>#N/A</v>
      </c>
      <c r="AN19" s="633"/>
      <c r="AO19" s="378"/>
      <c r="AP19" s="379"/>
      <c r="AQ19" s="379"/>
      <c r="AR19" s="378" t="e">
        <f t="shared" si="8"/>
        <v>#N/A</v>
      </c>
      <c r="AS19" s="633"/>
      <c r="AT19" s="378"/>
      <c r="AU19" s="378"/>
      <c r="AV19" s="378"/>
      <c r="AW19" s="378" t="e">
        <f t="shared" si="9"/>
        <v>#N/A</v>
      </c>
      <c r="AX19" s="629"/>
      <c r="AZ19" s="381" t="e">
        <f>RANK(AX19, $K$7:AX$21)</f>
        <v>#N/A</v>
      </c>
      <c r="BB19" s="378" t="e">
        <f t="shared" si="10"/>
        <v>#N/A</v>
      </c>
    </row>
    <row r="20" spans="2:54">
      <c r="B20" s="598"/>
      <c r="C20" s="378">
        <v>14</v>
      </c>
      <c r="D20" s="231"/>
      <c r="E20" s="187"/>
      <c r="F20" s="378"/>
      <c r="G20" s="379"/>
      <c r="H20" s="633"/>
      <c r="I20" s="207"/>
      <c r="J20" s="207"/>
      <c r="K20" s="207"/>
      <c r="L20" s="572"/>
      <c r="M20" s="381" t="e">
        <f>RANK(K20, $K$7:K$21)</f>
        <v>#N/A</v>
      </c>
      <c r="N20" s="590"/>
      <c r="O20" s="590"/>
      <c r="P20" s="378"/>
      <c r="Q20" s="379"/>
      <c r="R20" s="379"/>
      <c r="S20" s="378" t="e">
        <f t="shared" si="3"/>
        <v>#N/A</v>
      </c>
      <c r="T20" s="633"/>
      <c r="U20" s="378"/>
      <c r="V20" s="379"/>
      <c r="W20" s="379"/>
      <c r="X20" s="378" t="e">
        <f t="shared" si="4"/>
        <v>#N/A</v>
      </c>
      <c r="Y20" s="633"/>
      <c r="Z20" s="378"/>
      <c r="AA20" s="379"/>
      <c r="AB20" s="379"/>
      <c r="AC20" s="378" t="e">
        <f t="shared" si="5"/>
        <v>#N/A</v>
      </c>
      <c r="AD20" s="633"/>
      <c r="AE20" s="378"/>
      <c r="AF20" s="379"/>
      <c r="AG20" s="379"/>
      <c r="AH20" s="378" t="e">
        <f t="shared" si="6"/>
        <v>#N/A</v>
      </c>
      <c r="AI20" s="633"/>
      <c r="AJ20" s="378"/>
      <c r="AK20" s="379"/>
      <c r="AL20" s="379"/>
      <c r="AM20" s="378" t="e">
        <f t="shared" si="7"/>
        <v>#N/A</v>
      </c>
      <c r="AN20" s="633"/>
      <c r="AO20" s="378"/>
      <c r="AP20" s="379"/>
      <c r="AQ20" s="379"/>
      <c r="AR20" s="378" t="e">
        <f t="shared" si="8"/>
        <v>#N/A</v>
      </c>
      <c r="AS20" s="633"/>
      <c r="AT20" s="378"/>
      <c r="AU20" s="378"/>
      <c r="AV20" s="378"/>
      <c r="AW20" s="378" t="e">
        <f t="shared" si="9"/>
        <v>#N/A</v>
      </c>
      <c r="AX20" s="629"/>
      <c r="AZ20" s="381" t="e">
        <f>RANK(AX20, $K$7:AX$21)</f>
        <v>#N/A</v>
      </c>
      <c r="BB20" s="378" t="e">
        <f t="shared" si="10"/>
        <v>#N/A</v>
      </c>
    </row>
    <row r="21" spans="2:54">
      <c r="B21" s="598"/>
      <c r="C21" s="378">
        <v>15</v>
      </c>
      <c r="D21" s="231"/>
      <c r="E21" s="187"/>
      <c r="F21" s="378"/>
      <c r="G21" s="379"/>
      <c r="H21" s="634"/>
      <c r="I21" s="207"/>
      <c r="J21" s="207"/>
      <c r="K21" s="207"/>
      <c r="L21" s="573"/>
      <c r="M21" s="380" t="e">
        <f>RANK(K21, $K$7:K$21)</f>
        <v>#N/A</v>
      </c>
      <c r="N21" s="590"/>
      <c r="O21" s="590"/>
      <c r="P21" s="378"/>
      <c r="Q21" s="379"/>
      <c r="R21" s="379"/>
      <c r="S21" s="378" t="e">
        <f t="shared" si="3"/>
        <v>#N/A</v>
      </c>
      <c r="T21" s="634"/>
      <c r="U21" s="378"/>
      <c r="V21" s="379"/>
      <c r="W21" s="379"/>
      <c r="X21" s="378" t="e">
        <f t="shared" si="4"/>
        <v>#N/A</v>
      </c>
      <c r="Y21" s="634"/>
      <c r="Z21" s="378"/>
      <c r="AA21" s="379"/>
      <c r="AB21" s="379"/>
      <c r="AC21" s="378" t="e">
        <f t="shared" si="5"/>
        <v>#N/A</v>
      </c>
      <c r="AD21" s="634"/>
      <c r="AE21" s="378"/>
      <c r="AF21" s="379"/>
      <c r="AG21" s="379"/>
      <c r="AH21" s="378" t="e">
        <f t="shared" si="6"/>
        <v>#N/A</v>
      </c>
      <c r="AI21" s="634"/>
      <c r="AJ21" s="378"/>
      <c r="AK21" s="379"/>
      <c r="AL21" s="379"/>
      <c r="AM21" s="378" t="e">
        <f t="shared" si="7"/>
        <v>#N/A</v>
      </c>
      <c r="AN21" s="634"/>
      <c r="AO21" s="378"/>
      <c r="AP21" s="379"/>
      <c r="AQ21" s="379"/>
      <c r="AR21" s="378" t="e">
        <f t="shared" si="8"/>
        <v>#N/A</v>
      </c>
      <c r="AS21" s="634"/>
      <c r="AT21" s="378"/>
      <c r="AU21" s="378"/>
      <c r="AV21" s="378"/>
      <c r="AW21" s="378" t="e">
        <f t="shared" si="9"/>
        <v>#N/A</v>
      </c>
      <c r="AX21" s="629"/>
      <c r="AZ21" s="380" t="e">
        <f>RANK(AX21, $K$7:AX$21)</f>
        <v>#N/A</v>
      </c>
      <c r="BB21" s="378" t="e">
        <f t="shared" si="10"/>
        <v>#N/A</v>
      </c>
    </row>
    <row r="22" spans="2:54" ht="15.75">
      <c r="B22" s="615" t="s">
        <v>163</v>
      </c>
      <c r="C22" s="616"/>
      <c r="D22" s="616"/>
      <c r="E22" s="616"/>
      <c r="F22" s="616"/>
      <c r="G22" s="616"/>
      <c r="H22" s="616"/>
      <c r="I22" s="208"/>
      <c r="J22" s="208"/>
      <c r="K22" s="208"/>
      <c r="L22" s="208"/>
      <c r="M22" s="209"/>
      <c r="N22" s="591" t="s">
        <v>156</v>
      </c>
      <c r="O22" s="591" t="s">
        <v>105</v>
      </c>
      <c r="P22" s="635">
        <f>AT2+1</f>
        <v>45937</v>
      </c>
      <c r="Q22" s="636"/>
      <c r="R22" s="636"/>
      <c r="S22" s="636"/>
      <c r="T22" s="636"/>
      <c r="U22" s="597">
        <f>P22+1</f>
        <v>45938</v>
      </c>
      <c r="V22" s="598"/>
      <c r="W22" s="598"/>
      <c r="X22" s="598"/>
      <c r="Y22" s="598"/>
      <c r="Z22" s="597">
        <f>U22+1</f>
        <v>45939</v>
      </c>
      <c r="AA22" s="598"/>
      <c r="AB22" s="598"/>
      <c r="AC22" s="598"/>
      <c r="AD22" s="598"/>
      <c r="AE22" s="597">
        <f>Z22+1</f>
        <v>45940</v>
      </c>
      <c r="AF22" s="598"/>
      <c r="AG22" s="598"/>
      <c r="AH22" s="598"/>
      <c r="AI22" s="598"/>
      <c r="AJ22" s="597">
        <f>AE22+1</f>
        <v>45941</v>
      </c>
      <c r="AK22" s="598"/>
      <c r="AL22" s="598"/>
      <c r="AM22" s="598"/>
      <c r="AN22" s="598"/>
      <c r="AO22" s="597">
        <f>AJ22+1</f>
        <v>45942</v>
      </c>
      <c r="AP22" s="598"/>
      <c r="AQ22" s="598"/>
      <c r="AR22" s="598"/>
      <c r="AS22" s="598"/>
      <c r="AT22" s="597">
        <f>AO22+1</f>
        <v>45943</v>
      </c>
      <c r="AU22" s="598"/>
      <c r="AV22" s="598"/>
      <c r="AW22" s="598"/>
      <c r="AX22" s="598"/>
    </row>
    <row r="23" spans="2:54" ht="15.75">
      <c r="B23" s="605"/>
      <c r="C23" s="605"/>
      <c r="D23" s="605"/>
      <c r="E23" s="605"/>
      <c r="F23" s="605"/>
      <c r="G23" s="605"/>
      <c r="H23" s="605"/>
      <c r="I23" s="210"/>
      <c r="J23" s="210"/>
      <c r="K23" s="210"/>
      <c r="L23" s="210"/>
      <c r="M23" s="211"/>
      <c r="N23" s="593"/>
      <c r="O23" s="593"/>
      <c r="P23" s="597" t="s">
        <v>336</v>
      </c>
      <c r="Q23" s="598"/>
      <c r="R23" s="598"/>
      <c r="S23" s="598"/>
      <c r="T23" s="598"/>
      <c r="U23" s="597" t="s">
        <v>337</v>
      </c>
      <c r="V23" s="598"/>
      <c r="W23" s="598"/>
      <c r="X23" s="598"/>
      <c r="Y23" s="598"/>
      <c r="Z23" s="597" t="s">
        <v>338</v>
      </c>
      <c r="AA23" s="598"/>
      <c r="AB23" s="598"/>
      <c r="AC23" s="598"/>
      <c r="AD23" s="598"/>
      <c r="AE23" s="597" t="s">
        <v>339</v>
      </c>
      <c r="AF23" s="598"/>
      <c r="AG23" s="598"/>
      <c r="AH23" s="598"/>
      <c r="AI23" s="598"/>
      <c r="AJ23" s="597" t="s">
        <v>340</v>
      </c>
      <c r="AK23" s="598"/>
      <c r="AL23" s="598"/>
      <c r="AM23" s="598"/>
      <c r="AN23" s="598"/>
      <c r="AO23" s="597" t="s">
        <v>341</v>
      </c>
      <c r="AP23" s="598"/>
      <c r="AQ23" s="598"/>
      <c r="AR23" s="598"/>
      <c r="AS23" s="598"/>
      <c r="AT23" s="597" t="s">
        <v>342</v>
      </c>
      <c r="AU23" s="598"/>
      <c r="AV23" s="598"/>
      <c r="AW23" s="598"/>
      <c r="AX23" s="598"/>
    </row>
    <row r="24" spans="2:54">
      <c r="B24" s="590" t="s">
        <v>154</v>
      </c>
      <c r="C24" s="590" t="s">
        <v>454</v>
      </c>
      <c r="D24" s="590"/>
      <c r="E24" s="590" t="s">
        <v>570</v>
      </c>
      <c r="F24" s="590"/>
      <c r="G24" s="590"/>
      <c r="H24" s="606" t="s">
        <v>441</v>
      </c>
      <c r="I24" s="574" t="s">
        <v>571</v>
      </c>
      <c r="J24" s="574"/>
      <c r="K24" s="574"/>
      <c r="L24" s="575" t="s">
        <v>441</v>
      </c>
      <c r="M24" s="581" t="s">
        <v>442</v>
      </c>
      <c r="N24" s="590"/>
      <c r="O24" s="590" t="s">
        <v>572</v>
      </c>
      <c r="P24" s="587" t="s">
        <v>573</v>
      </c>
      <c r="Q24" s="588"/>
      <c r="R24" s="588"/>
      <c r="S24" s="589"/>
      <c r="T24" s="590" t="s">
        <v>574</v>
      </c>
      <c r="U24" s="587" t="s">
        <v>573</v>
      </c>
      <c r="V24" s="588"/>
      <c r="W24" s="588"/>
      <c r="X24" s="589"/>
      <c r="Y24" s="590" t="s">
        <v>574</v>
      </c>
      <c r="Z24" s="587" t="s">
        <v>573</v>
      </c>
      <c r="AA24" s="588"/>
      <c r="AB24" s="588"/>
      <c r="AC24" s="589"/>
      <c r="AD24" s="590" t="s">
        <v>575</v>
      </c>
      <c r="AE24" s="587" t="s">
        <v>573</v>
      </c>
      <c r="AF24" s="588"/>
      <c r="AG24" s="588"/>
      <c r="AH24" s="589"/>
      <c r="AI24" s="590" t="s">
        <v>575</v>
      </c>
      <c r="AJ24" s="587" t="s">
        <v>443</v>
      </c>
      <c r="AK24" s="588"/>
      <c r="AL24" s="588"/>
      <c r="AM24" s="589"/>
      <c r="AN24" s="590" t="s">
        <v>575</v>
      </c>
      <c r="AO24" s="587" t="s">
        <v>576</v>
      </c>
      <c r="AP24" s="588"/>
      <c r="AQ24" s="588"/>
      <c r="AR24" s="589"/>
      <c r="AS24" s="590" t="s">
        <v>575</v>
      </c>
      <c r="AT24" s="587" t="s">
        <v>576</v>
      </c>
      <c r="AU24" s="588"/>
      <c r="AV24" s="588"/>
      <c r="AW24" s="589"/>
      <c r="AX24" s="590" t="s">
        <v>441</v>
      </c>
    </row>
    <row r="25" spans="2:54">
      <c r="B25" s="590"/>
      <c r="C25" s="590"/>
      <c r="D25" s="590"/>
      <c r="E25" s="590" t="s">
        <v>577</v>
      </c>
      <c r="F25" s="590"/>
      <c r="G25" s="590"/>
      <c r="H25" s="607"/>
      <c r="I25" s="574" t="s">
        <v>578</v>
      </c>
      <c r="J25" s="574"/>
      <c r="K25" s="574"/>
      <c r="L25" s="576"/>
      <c r="M25" s="582"/>
      <c r="N25" s="590"/>
      <c r="O25" s="590"/>
      <c r="P25" s="587" t="s">
        <v>449</v>
      </c>
      <c r="Q25" s="588"/>
      <c r="R25" s="588"/>
      <c r="S25" s="589"/>
      <c r="T25" s="590"/>
      <c r="U25" s="587" t="s">
        <v>449</v>
      </c>
      <c r="V25" s="588"/>
      <c r="W25" s="588"/>
      <c r="X25" s="589"/>
      <c r="Y25" s="590"/>
      <c r="Z25" s="587" t="s">
        <v>579</v>
      </c>
      <c r="AA25" s="588"/>
      <c r="AB25" s="588"/>
      <c r="AC25" s="589"/>
      <c r="AD25" s="590"/>
      <c r="AE25" s="587" t="s">
        <v>579</v>
      </c>
      <c r="AF25" s="588"/>
      <c r="AG25" s="588"/>
      <c r="AH25" s="589"/>
      <c r="AI25" s="590"/>
      <c r="AJ25" s="587" t="s">
        <v>449</v>
      </c>
      <c r="AK25" s="588"/>
      <c r="AL25" s="588"/>
      <c r="AM25" s="589"/>
      <c r="AN25" s="590"/>
      <c r="AO25" s="587" t="s">
        <v>579</v>
      </c>
      <c r="AP25" s="588"/>
      <c r="AQ25" s="588"/>
      <c r="AR25" s="589"/>
      <c r="AS25" s="590"/>
      <c r="AT25" s="587" t="s">
        <v>580</v>
      </c>
      <c r="AU25" s="588"/>
      <c r="AV25" s="588"/>
      <c r="AW25" s="589"/>
      <c r="AX25" s="590"/>
    </row>
    <row r="26" spans="2:54">
      <c r="B26" s="590"/>
      <c r="C26" s="590"/>
      <c r="D26" s="590"/>
      <c r="E26" s="335" t="s">
        <v>450</v>
      </c>
      <c r="F26" s="335" t="s">
        <v>451</v>
      </c>
      <c r="G26" s="335" t="s">
        <v>452</v>
      </c>
      <c r="H26" s="608"/>
      <c r="I26" s="334" t="s">
        <v>581</v>
      </c>
      <c r="J26" s="334" t="s">
        <v>451</v>
      </c>
      <c r="K26" s="334" t="s">
        <v>582</v>
      </c>
      <c r="L26" s="577"/>
      <c r="M26" s="583"/>
      <c r="N26" s="590"/>
      <c r="O26" s="590"/>
      <c r="P26" s="335" t="s">
        <v>583</v>
      </c>
      <c r="Q26" s="335" t="s">
        <v>451</v>
      </c>
      <c r="R26" s="335" t="s">
        <v>584</v>
      </c>
      <c r="S26" s="335" t="s">
        <v>585</v>
      </c>
      <c r="T26" s="590"/>
      <c r="U26" s="335" t="s">
        <v>450</v>
      </c>
      <c r="V26" s="335" t="s">
        <v>451</v>
      </c>
      <c r="W26" s="335" t="s">
        <v>452</v>
      </c>
      <c r="X26" s="335" t="s">
        <v>442</v>
      </c>
      <c r="Y26" s="590"/>
      <c r="Z26" s="335" t="s">
        <v>450</v>
      </c>
      <c r="AA26" s="335" t="s">
        <v>586</v>
      </c>
      <c r="AB26" s="335" t="s">
        <v>452</v>
      </c>
      <c r="AC26" s="335" t="s">
        <v>587</v>
      </c>
      <c r="AD26" s="590"/>
      <c r="AE26" s="335" t="s">
        <v>450</v>
      </c>
      <c r="AF26" s="335" t="s">
        <v>451</v>
      </c>
      <c r="AG26" s="335" t="s">
        <v>452</v>
      </c>
      <c r="AH26" s="335" t="s">
        <v>442</v>
      </c>
      <c r="AI26" s="590"/>
      <c r="AJ26" s="335" t="s">
        <v>588</v>
      </c>
      <c r="AK26" s="335" t="s">
        <v>451</v>
      </c>
      <c r="AL26" s="335" t="s">
        <v>584</v>
      </c>
      <c r="AM26" s="335" t="s">
        <v>585</v>
      </c>
      <c r="AN26" s="590"/>
      <c r="AO26" s="335" t="s">
        <v>450</v>
      </c>
      <c r="AP26" s="335" t="s">
        <v>451</v>
      </c>
      <c r="AQ26" s="335" t="s">
        <v>452</v>
      </c>
      <c r="AR26" s="335" t="s">
        <v>442</v>
      </c>
      <c r="AS26" s="590"/>
      <c r="AT26" s="335" t="s">
        <v>450</v>
      </c>
      <c r="AU26" s="335" t="s">
        <v>589</v>
      </c>
      <c r="AV26" s="335" t="s">
        <v>452</v>
      </c>
      <c r="AW26" s="335" t="s">
        <v>442</v>
      </c>
      <c r="AX26" s="590"/>
    </row>
    <row r="27" spans="2:54">
      <c r="B27" s="590" t="s">
        <v>132</v>
      </c>
      <c r="C27" s="336">
        <v>1</v>
      </c>
      <c r="D27" s="231" t="s">
        <v>399</v>
      </c>
      <c r="E27" s="187">
        <v>19</v>
      </c>
      <c r="F27" s="336">
        <v>1440</v>
      </c>
      <c r="G27" s="337">
        <v>75.78947368421052</v>
      </c>
      <c r="H27" s="632">
        <f>AVERAGE(G27:G41)</f>
        <v>75.667346843043433</v>
      </c>
      <c r="I27" s="204">
        <f>AVERAGE(P27,U27,Z27,AE27,AJ27,AO27,AT27)</f>
        <v>19</v>
      </c>
      <c r="J27" s="204">
        <f>AVERAGE(Q27,V27,AA27,AF27,AK27,AP27,AU27)</f>
        <v>1248.8946878635918</v>
      </c>
      <c r="K27" s="205">
        <f>AVERAGE(R27,W27,AB27,AG27,AL27,AQ27,AV27)</f>
        <v>65.731299361241653</v>
      </c>
      <c r="L27" s="571">
        <f>IFERROR(AVERAGE(K27:K41),"-")</f>
        <v>66.428956035583894</v>
      </c>
      <c r="M27" s="206">
        <f>RANK(K27, K$27:$K$41)</f>
        <v>5</v>
      </c>
      <c r="N27" s="590"/>
      <c r="O27" s="590"/>
      <c r="P27" s="187">
        <v>19</v>
      </c>
      <c r="Q27" s="379">
        <v>1260.8634146341469</v>
      </c>
      <c r="R27" s="379">
        <v>66.361232349165633</v>
      </c>
      <c r="S27" s="336">
        <f t="shared" ref="S27:S41" si="11">RANK(R27, R$27:R$41)</f>
        <v>4</v>
      </c>
      <c r="T27" s="632">
        <f>AVERAGE(R27:R41)</f>
        <v>66.246775997737416</v>
      </c>
      <c r="U27" s="187">
        <v>19</v>
      </c>
      <c r="V27" s="464">
        <v>1255.5473684210526</v>
      </c>
      <c r="W27" s="464">
        <v>66.081440443213296</v>
      </c>
      <c r="X27" s="336">
        <f t="shared" ref="X27:X41" si="12">RANK(W27, W$27:W$41)</f>
        <v>6</v>
      </c>
      <c r="Y27" s="632">
        <f>AVERAGE(W27:W41)</f>
        <v>67.522543510557711</v>
      </c>
      <c r="Z27" s="187">
        <v>19</v>
      </c>
      <c r="AA27" s="464">
        <v>1261.1009174311923</v>
      </c>
      <c r="AB27" s="464">
        <v>66.373732496378537</v>
      </c>
      <c r="AC27" s="336">
        <f t="shared" ref="AC27:AC41" si="13">RANK(AB27, AB$27:AB$41)</f>
        <v>3</v>
      </c>
      <c r="AD27" s="632">
        <f>AVERAGE(AB27:AB41)</f>
        <v>65.878068059645869</v>
      </c>
      <c r="AE27" s="187">
        <v>19</v>
      </c>
      <c r="AF27" s="464">
        <v>1259.9999999999995</v>
      </c>
      <c r="AG27" s="464">
        <v>66.315789473684191</v>
      </c>
      <c r="AH27" s="336">
        <f t="shared" ref="AH27:AH41" si="14">RANK(AG27, AG$27:AG$41)</f>
        <v>5</v>
      </c>
      <c r="AI27" s="632">
        <f>AVERAGE(AG27:AG41)</f>
        <v>66.386953235949051</v>
      </c>
      <c r="AJ27" s="187">
        <v>19</v>
      </c>
      <c r="AK27" s="464">
        <v>1235.0847457627121</v>
      </c>
      <c r="AL27" s="464">
        <v>65.004460303300633</v>
      </c>
      <c r="AM27" s="336">
        <f t="shared" ref="AM27:AM41" si="15">RANK(AL27, AL$27:AL$41)</f>
        <v>6</v>
      </c>
      <c r="AN27" s="632">
        <f>AVERAGE(AL27:AL41)</f>
        <v>66.625976390602105</v>
      </c>
      <c r="AO27" s="187">
        <v>19</v>
      </c>
      <c r="AP27" s="464">
        <v>1234.7928994082843</v>
      </c>
      <c r="AQ27" s="464">
        <v>64.989099968857062</v>
      </c>
      <c r="AR27" s="336">
        <f t="shared" ref="AR27:AR41" si="16">RANK(AQ27, AQ$27:AQ$41)</f>
        <v>5</v>
      </c>
      <c r="AS27" s="632">
        <f>AVERAGE(AQ27:AQ41)</f>
        <v>66.310159854973193</v>
      </c>
      <c r="AT27" s="187">
        <v>19</v>
      </c>
      <c r="AU27" s="464">
        <v>1234.873469387755</v>
      </c>
      <c r="AV27" s="464">
        <v>64.993340494092365</v>
      </c>
      <c r="AW27" s="336">
        <f t="shared" ref="AW27:AW41" si="17">RANK(AV27, AV$27:AV$41)</f>
        <v>7</v>
      </c>
      <c r="AX27" s="629">
        <f>AVERAGE(AV27:AV41)</f>
        <v>66.032215199621902</v>
      </c>
    </row>
    <row r="28" spans="2:54">
      <c r="B28" s="598"/>
      <c r="C28" s="336">
        <v>2</v>
      </c>
      <c r="D28" s="231" t="s">
        <v>400</v>
      </c>
      <c r="E28" s="187">
        <v>19</v>
      </c>
      <c r="F28" s="336">
        <v>1440</v>
      </c>
      <c r="G28" s="337">
        <v>75.78947368421052</v>
      </c>
      <c r="H28" s="633"/>
      <c r="I28" s="204">
        <f t="shared" ref="I28:I33" si="18">AVERAGE(P28,U28,Z28,AE28,AJ28,AO28,AT28)</f>
        <v>19</v>
      </c>
      <c r="J28" s="204">
        <f t="shared" ref="J28:J33" si="19">AVERAGE(Q28,V28,AA28,AF28,AK28,AP28,AU28)</f>
        <v>1230.9372182204356</v>
      </c>
      <c r="K28" s="205">
        <f t="shared" ref="K28:K33" si="20">AVERAGE(R28,W28,AB28,AG28,AL28,AQ28,AV28)</f>
        <v>64.78616938002294</v>
      </c>
      <c r="L28" s="572"/>
      <c r="M28" s="206">
        <f>RANK(K28, K$27:$K$41)</f>
        <v>6</v>
      </c>
      <c r="N28" s="590"/>
      <c r="O28" s="590"/>
      <c r="P28" s="378">
        <v>19</v>
      </c>
      <c r="Q28" s="379">
        <v>1232.6470588235293</v>
      </c>
      <c r="R28" s="379">
        <v>64.876160990712066</v>
      </c>
      <c r="S28" s="336">
        <f t="shared" si="11"/>
        <v>6</v>
      </c>
      <c r="T28" s="633"/>
      <c r="U28" s="463">
        <v>19</v>
      </c>
      <c r="V28" s="464">
        <v>1227.8260869565217</v>
      </c>
      <c r="W28" s="464">
        <v>64.622425629290618</v>
      </c>
      <c r="X28" s="336">
        <f t="shared" si="12"/>
        <v>8</v>
      </c>
      <c r="Y28" s="633"/>
      <c r="Z28" s="463">
        <v>19</v>
      </c>
      <c r="AA28" s="464">
        <v>1213.913043478261</v>
      </c>
      <c r="AB28" s="464">
        <v>63.890160183066371</v>
      </c>
      <c r="AC28" s="336">
        <f t="shared" si="13"/>
        <v>6</v>
      </c>
      <c r="AD28" s="633"/>
      <c r="AE28" s="463">
        <v>19</v>
      </c>
      <c r="AF28" s="464">
        <v>1213.3333333333333</v>
      </c>
      <c r="AG28" s="464">
        <v>63.859649122807014</v>
      </c>
      <c r="AH28" s="336">
        <f t="shared" si="14"/>
        <v>7</v>
      </c>
      <c r="AI28" s="633"/>
      <c r="AJ28" s="463">
        <v>19</v>
      </c>
      <c r="AK28" s="464">
        <v>1236.585365853658</v>
      </c>
      <c r="AL28" s="464">
        <v>65.083440308087262</v>
      </c>
      <c r="AM28" s="336">
        <f t="shared" si="15"/>
        <v>5</v>
      </c>
      <c r="AN28" s="633"/>
      <c r="AO28" s="463">
        <v>19</v>
      </c>
      <c r="AP28" s="464">
        <v>1253.6842105263167</v>
      </c>
      <c r="AQ28" s="464">
        <v>65.983379501385087</v>
      </c>
      <c r="AR28" s="336">
        <f t="shared" si="16"/>
        <v>4</v>
      </c>
      <c r="AS28" s="633"/>
      <c r="AT28" s="463">
        <v>19</v>
      </c>
      <c r="AU28" s="464">
        <v>1238.5714285714296</v>
      </c>
      <c r="AV28" s="464">
        <v>65.18796992481208</v>
      </c>
      <c r="AW28" s="336">
        <f t="shared" si="17"/>
        <v>6</v>
      </c>
      <c r="AX28" s="629"/>
    </row>
    <row r="29" spans="2:54">
      <c r="B29" s="598"/>
      <c r="C29" s="336">
        <v>3</v>
      </c>
      <c r="D29" s="231" t="s">
        <v>402</v>
      </c>
      <c r="E29" s="187">
        <v>17</v>
      </c>
      <c r="F29" s="336">
        <v>1636</v>
      </c>
      <c r="G29" s="337">
        <v>96.235294117647058</v>
      </c>
      <c r="H29" s="633"/>
      <c r="I29" s="204">
        <f t="shared" si="18"/>
        <v>17</v>
      </c>
      <c r="J29" s="204">
        <f t="shared" si="19"/>
        <v>1366.6299867307919</v>
      </c>
      <c r="K29" s="205">
        <f t="shared" si="20"/>
        <v>80.389999219458346</v>
      </c>
      <c r="L29" s="572"/>
      <c r="M29" s="206">
        <f>RANK(K29, K$27:$K$41)</f>
        <v>1</v>
      </c>
      <c r="N29" s="590"/>
      <c r="O29" s="590"/>
      <c r="P29" s="378">
        <v>17</v>
      </c>
      <c r="Q29" s="379">
        <v>1376.7567567567557</v>
      </c>
      <c r="R29" s="379">
        <v>80.985691573926815</v>
      </c>
      <c r="S29" s="336">
        <f t="shared" si="11"/>
        <v>1</v>
      </c>
      <c r="T29" s="633"/>
      <c r="U29" s="463">
        <v>17</v>
      </c>
      <c r="V29" s="464">
        <v>1349.9999999999989</v>
      </c>
      <c r="W29" s="464">
        <v>79.411764705882291</v>
      </c>
      <c r="X29" s="336">
        <f t="shared" si="12"/>
        <v>1</v>
      </c>
      <c r="Y29" s="633"/>
      <c r="Z29" s="463">
        <v>17</v>
      </c>
      <c r="AA29" s="464">
        <v>1381.8749999999982</v>
      </c>
      <c r="AB29" s="464">
        <v>81.286764705882248</v>
      </c>
      <c r="AC29" s="336">
        <f t="shared" si="13"/>
        <v>1</v>
      </c>
      <c r="AD29" s="633"/>
      <c r="AE29" s="463">
        <v>17</v>
      </c>
      <c r="AF29" s="464">
        <v>1362.580645161288</v>
      </c>
      <c r="AG29" s="464">
        <v>80.151802656546351</v>
      </c>
      <c r="AH29" s="336">
        <f t="shared" si="14"/>
        <v>1</v>
      </c>
      <c r="AI29" s="633"/>
      <c r="AJ29" s="463">
        <v>17</v>
      </c>
      <c r="AK29" s="464">
        <v>1349.9999999999989</v>
      </c>
      <c r="AL29" s="464">
        <v>79.411764705882291</v>
      </c>
      <c r="AM29" s="336">
        <f t="shared" si="15"/>
        <v>1</v>
      </c>
      <c r="AN29" s="633"/>
      <c r="AO29" s="463">
        <v>17</v>
      </c>
      <c r="AP29" s="464">
        <v>1391.3513513513503</v>
      </c>
      <c r="AQ29" s="464">
        <v>81.844197138314726</v>
      </c>
      <c r="AR29" s="336">
        <f t="shared" si="16"/>
        <v>1</v>
      </c>
      <c r="AS29" s="633"/>
      <c r="AT29" s="463">
        <v>17</v>
      </c>
      <c r="AU29" s="464">
        <v>1353.8461538461531</v>
      </c>
      <c r="AV29" s="464">
        <v>79.638009049773714</v>
      </c>
      <c r="AW29" s="336">
        <f t="shared" si="17"/>
        <v>1</v>
      </c>
      <c r="AX29" s="629"/>
    </row>
    <row r="30" spans="2:54">
      <c r="B30" s="598"/>
      <c r="C30" s="336">
        <v>4</v>
      </c>
      <c r="D30" s="231" t="s">
        <v>401</v>
      </c>
      <c r="E30" s="187">
        <v>17</v>
      </c>
      <c r="F30" s="336">
        <v>1440</v>
      </c>
      <c r="G30" s="337">
        <v>84.705882352941174</v>
      </c>
      <c r="H30" s="633"/>
      <c r="I30" s="204">
        <f t="shared" si="18"/>
        <v>17</v>
      </c>
      <c r="J30" s="204">
        <f t="shared" si="19"/>
        <v>1271.3302016262321</v>
      </c>
      <c r="K30" s="205">
        <f t="shared" si="20"/>
        <v>74.784129507425419</v>
      </c>
      <c r="L30" s="572"/>
      <c r="M30" s="206">
        <f>RANK(K30, K$27:$K$41)</f>
        <v>2</v>
      </c>
      <c r="N30" s="590"/>
      <c r="O30" s="590"/>
      <c r="P30" s="378">
        <v>17</v>
      </c>
      <c r="Q30" s="379">
        <v>1300.2684563758394</v>
      </c>
      <c r="R30" s="379">
        <v>76.486379786814084</v>
      </c>
      <c r="S30" s="336">
        <f t="shared" si="11"/>
        <v>2</v>
      </c>
      <c r="T30" s="633"/>
      <c r="U30" s="463">
        <v>17</v>
      </c>
      <c r="V30" s="464">
        <v>1293.9999999999998</v>
      </c>
      <c r="W30" s="464">
        <v>76.117647058823522</v>
      </c>
      <c r="X30" s="336">
        <f t="shared" si="12"/>
        <v>2</v>
      </c>
      <c r="Y30" s="633"/>
      <c r="Z30" s="463">
        <v>17</v>
      </c>
      <c r="AA30" s="464">
        <v>1267.0072992700732</v>
      </c>
      <c r="AB30" s="464">
        <v>74.529841133533722</v>
      </c>
      <c r="AC30" s="336">
        <f t="shared" si="13"/>
        <v>2</v>
      </c>
      <c r="AD30" s="633"/>
      <c r="AE30" s="463">
        <v>17</v>
      </c>
      <c r="AF30" s="464">
        <v>1268.3606557377045</v>
      </c>
      <c r="AG30" s="464">
        <v>74.60945033751203</v>
      </c>
      <c r="AH30" s="336">
        <f t="shared" si="14"/>
        <v>2</v>
      </c>
      <c r="AI30" s="633"/>
      <c r="AJ30" s="463">
        <v>17</v>
      </c>
      <c r="AK30" s="464">
        <v>1293.5999999999997</v>
      </c>
      <c r="AL30" s="464">
        <v>76.094117647058809</v>
      </c>
      <c r="AM30" s="336">
        <f t="shared" si="15"/>
        <v>2</v>
      </c>
      <c r="AN30" s="633"/>
      <c r="AO30" s="463">
        <v>17</v>
      </c>
      <c r="AP30" s="464">
        <v>1247.2000000000044</v>
      </c>
      <c r="AQ30" s="464">
        <v>73.364705882353192</v>
      </c>
      <c r="AR30" s="336">
        <f t="shared" si="16"/>
        <v>2</v>
      </c>
      <c r="AS30" s="633"/>
      <c r="AT30" s="463">
        <v>17</v>
      </c>
      <c r="AU30" s="464">
        <v>1228.8750000000045</v>
      </c>
      <c r="AV30" s="464">
        <v>72.286764705882618</v>
      </c>
      <c r="AW30" s="336">
        <f t="shared" si="17"/>
        <v>2</v>
      </c>
      <c r="AX30" s="629"/>
    </row>
    <row r="31" spans="2:54">
      <c r="B31" s="598"/>
      <c r="C31" s="336">
        <v>5</v>
      </c>
      <c r="D31" s="231" t="s">
        <v>403</v>
      </c>
      <c r="E31" s="187">
        <v>19</v>
      </c>
      <c r="F31" s="336">
        <v>1440</v>
      </c>
      <c r="G31" s="337">
        <v>75.78947368421052</v>
      </c>
      <c r="H31" s="633"/>
      <c r="I31" s="204">
        <f t="shared" si="18"/>
        <v>19</v>
      </c>
      <c r="J31" s="204">
        <f t="shared" si="19"/>
        <v>1225.4737375513328</v>
      </c>
      <c r="K31" s="205">
        <f t="shared" si="20"/>
        <v>64.49861776585962</v>
      </c>
      <c r="L31" s="572"/>
      <c r="M31" s="206">
        <f>RANK(K31, K$27:$K$41)</f>
        <v>7</v>
      </c>
      <c r="N31" s="590"/>
      <c r="O31" s="590"/>
      <c r="P31" s="378">
        <v>19</v>
      </c>
      <c r="Q31" s="379">
        <v>1252.9411764705887</v>
      </c>
      <c r="R31" s="379">
        <v>65.944272445820459</v>
      </c>
      <c r="S31" s="336">
        <f t="shared" si="11"/>
        <v>5</v>
      </c>
      <c r="T31" s="633"/>
      <c r="U31" s="463">
        <v>19</v>
      </c>
      <c r="V31" s="464">
        <v>1251.6000000000004</v>
      </c>
      <c r="W31" s="464">
        <v>65.873684210526335</v>
      </c>
      <c r="X31" s="336">
        <f t="shared" si="12"/>
        <v>7</v>
      </c>
      <c r="Y31" s="633"/>
      <c r="Z31" s="463">
        <v>19</v>
      </c>
      <c r="AA31" s="464">
        <v>1200.000000000002</v>
      </c>
      <c r="AB31" s="464">
        <v>63.157894736842216</v>
      </c>
      <c r="AC31" s="336">
        <f t="shared" si="13"/>
        <v>8</v>
      </c>
      <c r="AD31" s="633"/>
      <c r="AE31" s="463">
        <v>19</v>
      </c>
      <c r="AF31" s="464">
        <v>1218.1395348837207</v>
      </c>
      <c r="AG31" s="464">
        <v>64.11260709914319</v>
      </c>
      <c r="AH31" s="336">
        <f t="shared" si="14"/>
        <v>6</v>
      </c>
      <c r="AI31" s="633"/>
      <c r="AJ31" s="463">
        <v>19</v>
      </c>
      <c r="AK31" s="464">
        <v>1192.1739130434783</v>
      </c>
      <c r="AL31" s="464">
        <v>62.745995423340958</v>
      </c>
      <c r="AM31" s="336">
        <f t="shared" si="15"/>
        <v>8</v>
      </c>
      <c r="AN31" s="633"/>
      <c r="AO31" s="463">
        <v>19</v>
      </c>
      <c r="AP31" s="464">
        <v>1224.2307692307697</v>
      </c>
      <c r="AQ31" s="464">
        <v>64.433198380566822</v>
      </c>
      <c r="AR31" s="336">
        <f t="shared" si="16"/>
        <v>7</v>
      </c>
      <c r="AS31" s="633"/>
      <c r="AT31" s="463">
        <v>19</v>
      </c>
      <c r="AU31" s="464">
        <v>1239.2307692307697</v>
      </c>
      <c r="AV31" s="464">
        <v>65.222672064777356</v>
      </c>
      <c r="AW31" s="336">
        <f t="shared" si="17"/>
        <v>5</v>
      </c>
      <c r="AX31" s="629"/>
    </row>
    <row r="32" spans="2:54">
      <c r="B32" s="598"/>
      <c r="C32" s="336">
        <v>6</v>
      </c>
      <c r="D32" s="231" t="s">
        <v>404</v>
      </c>
      <c r="E32" s="187">
        <v>20</v>
      </c>
      <c r="F32" s="336">
        <v>1385</v>
      </c>
      <c r="G32" s="337">
        <v>69.25</v>
      </c>
      <c r="H32" s="633"/>
      <c r="I32" s="204">
        <f t="shared" si="18"/>
        <v>20</v>
      </c>
      <c r="J32" s="204">
        <f t="shared" si="19"/>
        <v>1223.6531750914903</v>
      </c>
      <c r="K32" s="205">
        <f t="shared" si="20"/>
        <v>61.182658754574511</v>
      </c>
      <c r="L32" s="572"/>
      <c r="M32" s="206">
        <f>RANK(K32, K$27:$K$41)</f>
        <v>10</v>
      </c>
      <c r="N32" s="590"/>
      <c r="O32" s="590"/>
      <c r="P32" s="378">
        <v>20</v>
      </c>
      <c r="Q32" s="379">
        <v>1206.9642857142867</v>
      </c>
      <c r="R32" s="379">
        <v>60.348214285714334</v>
      </c>
      <c r="S32" s="336">
        <f t="shared" si="11"/>
        <v>10</v>
      </c>
      <c r="T32" s="633"/>
      <c r="U32" s="463">
        <v>20</v>
      </c>
      <c r="V32" s="464">
        <v>1237.9245283018874</v>
      </c>
      <c r="W32" s="464">
        <v>61.896226415094375</v>
      </c>
      <c r="X32" s="336">
        <f t="shared" si="12"/>
        <v>10</v>
      </c>
      <c r="Y32" s="633"/>
      <c r="Z32" s="463">
        <v>20</v>
      </c>
      <c r="AA32" s="464">
        <v>1223.7623762376243</v>
      </c>
      <c r="AB32" s="464">
        <v>61.18811881188121</v>
      </c>
      <c r="AC32" s="336">
        <f t="shared" si="13"/>
        <v>9</v>
      </c>
      <c r="AD32" s="633"/>
      <c r="AE32" s="463">
        <v>20</v>
      </c>
      <c r="AF32" s="464">
        <v>1205.2499999999995</v>
      </c>
      <c r="AG32" s="464">
        <v>60.262499999999974</v>
      </c>
      <c r="AH32" s="336">
        <f t="shared" si="14"/>
        <v>10</v>
      </c>
      <c r="AI32" s="633"/>
      <c r="AJ32" s="463">
        <v>20</v>
      </c>
      <c r="AK32" s="464">
        <v>1229.9999999999998</v>
      </c>
      <c r="AL32" s="464">
        <v>61.499999999999986</v>
      </c>
      <c r="AM32" s="336">
        <f t="shared" si="15"/>
        <v>10</v>
      </c>
      <c r="AN32" s="633"/>
      <c r="AO32" s="463">
        <v>20</v>
      </c>
      <c r="AP32" s="464">
        <v>1242.3853211009182</v>
      </c>
      <c r="AQ32" s="464">
        <v>62.119266055045912</v>
      </c>
      <c r="AR32" s="336">
        <f t="shared" si="16"/>
        <v>8</v>
      </c>
      <c r="AS32" s="633"/>
      <c r="AT32" s="463">
        <v>20</v>
      </c>
      <c r="AU32" s="464">
        <v>1219.2857142857151</v>
      </c>
      <c r="AV32" s="464">
        <v>60.964285714285758</v>
      </c>
      <c r="AW32" s="336">
        <f t="shared" si="17"/>
        <v>10</v>
      </c>
      <c r="AX32" s="629"/>
    </row>
    <row r="33" spans="2:50">
      <c r="B33" s="598"/>
      <c r="C33" s="336">
        <v>7</v>
      </c>
      <c r="D33" s="231" t="s">
        <v>405</v>
      </c>
      <c r="E33" s="187">
        <v>20</v>
      </c>
      <c r="F33" s="336">
        <v>1440</v>
      </c>
      <c r="G33" s="337">
        <v>72</v>
      </c>
      <c r="H33" s="633"/>
      <c r="I33" s="204">
        <f t="shared" si="18"/>
        <v>20</v>
      </c>
      <c r="J33" s="204">
        <f t="shared" si="19"/>
        <v>1230.3237406135177</v>
      </c>
      <c r="K33" s="205">
        <f t="shared" si="20"/>
        <v>61.51618703067588</v>
      </c>
      <c r="L33" s="572"/>
      <c r="M33" s="206">
        <f>RANK(K33, K$27:$K$41)</f>
        <v>9</v>
      </c>
      <c r="N33" s="590"/>
      <c r="O33" s="590"/>
      <c r="P33" s="378">
        <v>20</v>
      </c>
      <c r="Q33" s="379">
        <v>1258.0851063829789</v>
      </c>
      <c r="R33" s="379">
        <v>62.904255319148945</v>
      </c>
      <c r="S33" s="336">
        <f t="shared" si="11"/>
        <v>8</v>
      </c>
      <c r="T33" s="633"/>
      <c r="U33" s="463">
        <v>20</v>
      </c>
      <c r="V33" s="464">
        <v>1209.5744680851064</v>
      </c>
      <c r="W33" s="464">
        <v>60.478723404255319</v>
      </c>
      <c r="X33" s="336">
        <f t="shared" si="12"/>
        <v>11</v>
      </c>
      <c r="Y33" s="633"/>
      <c r="Z33" s="463">
        <v>20</v>
      </c>
      <c r="AA33" s="464">
        <v>1215.862068965517</v>
      </c>
      <c r="AB33" s="464">
        <v>60.793103448275851</v>
      </c>
      <c r="AC33" s="336">
        <f t="shared" si="13"/>
        <v>10</v>
      </c>
      <c r="AD33" s="633"/>
      <c r="AE33" s="463">
        <v>20</v>
      </c>
      <c r="AF33" s="464">
        <v>1248.9230769230783</v>
      </c>
      <c r="AG33" s="464">
        <v>62.446153846153912</v>
      </c>
      <c r="AH33" s="336">
        <f t="shared" si="14"/>
        <v>9</v>
      </c>
      <c r="AI33" s="633"/>
      <c r="AJ33" s="463">
        <v>20</v>
      </c>
      <c r="AK33" s="464">
        <v>1248.4931506849305</v>
      </c>
      <c r="AL33" s="464">
        <v>62.424657534246521</v>
      </c>
      <c r="AM33" s="336">
        <f t="shared" si="15"/>
        <v>9</v>
      </c>
      <c r="AN33" s="633"/>
      <c r="AO33" s="463">
        <v>20</v>
      </c>
      <c r="AP33" s="464">
        <v>1206.7499999999995</v>
      </c>
      <c r="AQ33" s="464">
        <v>60.337499999999977</v>
      </c>
      <c r="AR33" s="336">
        <f t="shared" si="16"/>
        <v>11</v>
      </c>
      <c r="AS33" s="633"/>
      <c r="AT33" s="463">
        <v>20</v>
      </c>
      <c r="AU33" s="464">
        <v>1224.5783132530116</v>
      </c>
      <c r="AV33" s="464">
        <v>61.228915662650579</v>
      </c>
      <c r="AW33" s="336">
        <f t="shared" si="17"/>
        <v>9</v>
      </c>
      <c r="AX33" s="629"/>
    </row>
    <row r="34" spans="2:50">
      <c r="B34" s="598"/>
      <c r="C34" s="336">
        <v>8</v>
      </c>
      <c r="D34" s="231" t="s">
        <v>666</v>
      </c>
      <c r="E34" s="187">
        <v>19</v>
      </c>
      <c r="F34" s="336">
        <v>1565</v>
      </c>
      <c r="G34" s="337">
        <v>82.368421052631575</v>
      </c>
      <c r="H34" s="633"/>
      <c r="I34" s="465">
        <f t="shared" ref="I34:I37" si="21">AVERAGE(P34,U34,Z34,AE34,AJ34,AO34,AT34)</f>
        <v>18</v>
      </c>
      <c r="J34" s="465">
        <f t="shared" ref="J34:J37" si="22">AVERAGE(Q34,V34,AA34,AF34,AK34,AP34,AU34)</f>
        <v>1097.2399047063136</v>
      </c>
      <c r="K34" s="205">
        <f t="shared" ref="K34:K37" si="23">AVERAGE(R34,W34,AB34,AG34,AL34,AQ34,AV34)</f>
        <v>60.957772483684089</v>
      </c>
      <c r="L34" s="572"/>
      <c r="M34" s="206">
        <f>RANK(K34, K$27:$K$41)</f>
        <v>11</v>
      </c>
      <c r="N34" s="590"/>
      <c r="O34" s="590"/>
      <c r="P34" s="378">
        <v>18</v>
      </c>
      <c r="Q34" s="379">
        <v>1060.909090909091</v>
      </c>
      <c r="R34" s="379">
        <v>58.939393939393945</v>
      </c>
      <c r="S34" s="336">
        <f t="shared" si="11"/>
        <v>11</v>
      </c>
      <c r="T34" s="633"/>
      <c r="U34" s="463">
        <v>18</v>
      </c>
      <c r="V34" s="464">
        <v>1274.4827586206907</v>
      </c>
      <c r="W34" s="464">
        <v>70.804597701149476</v>
      </c>
      <c r="X34" s="336">
        <f t="shared" si="12"/>
        <v>3</v>
      </c>
      <c r="Y34" s="633"/>
      <c r="Z34" s="463">
        <v>18</v>
      </c>
      <c r="AA34" s="464">
        <v>1045.7142857142853</v>
      </c>
      <c r="AB34" s="464">
        <v>58.095238095238074</v>
      </c>
      <c r="AC34" s="336">
        <f t="shared" si="13"/>
        <v>11</v>
      </c>
      <c r="AD34" s="633"/>
      <c r="AE34" s="463">
        <v>18</v>
      </c>
      <c r="AF34" s="464">
        <v>1067.1428571428548</v>
      </c>
      <c r="AG34" s="464">
        <v>59.285714285714157</v>
      </c>
      <c r="AH34" s="336">
        <f t="shared" si="14"/>
        <v>11</v>
      </c>
      <c r="AI34" s="633"/>
      <c r="AJ34" s="463">
        <v>18</v>
      </c>
      <c r="AK34" s="464">
        <v>1076.8421052631572</v>
      </c>
      <c r="AL34" s="464">
        <v>59.824561403508739</v>
      </c>
      <c r="AM34" s="336">
        <f t="shared" si="15"/>
        <v>11</v>
      </c>
      <c r="AN34" s="633"/>
      <c r="AO34" s="463">
        <v>18</v>
      </c>
      <c r="AP34" s="464">
        <v>1090.5882352941164</v>
      </c>
      <c r="AQ34" s="464">
        <v>60.588235294117581</v>
      </c>
      <c r="AR34" s="336">
        <f t="shared" si="16"/>
        <v>10</v>
      </c>
      <c r="AS34" s="633"/>
      <c r="AT34" s="463">
        <v>18</v>
      </c>
      <c r="AU34" s="464">
        <v>1064.9999999999995</v>
      </c>
      <c r="AV34" s="464">
        <v>59.166666666666643</v>
      </c>
      <c r="AW34" s="336">
        <f t="shared" si="17"/>
        <v>11</v>
      </c>
      <c r="AX34" s="629"/>
    </row>
    <row r="35" spans="2:50">
      <c r="B35" s="598"/>
      <c r="C35" s="336">
        <v>9</v>
      </c>
      <c r="D35" s="231" t="s">
        <v>690</v>
      </c>
      <c r="E35" s="187">
        <v>19</v>
      </c>
      <c r="F35" s="336">
        <v>1200</v>
      </c>
      <c r="G35" s="337">
        <v>63.157894736842103</v>
      </c>
      <c r="H35" s="633"/>
      <c r="I35" s="465">
        <f t="shared" si="21"/>
        <v>19</v>
      </c>
      <c r="J35" s="465">
        <f t="shared" si="22"/>
        <v>1190.2702835673576</v>
      </c>
      <c r="K35" s="205">
        <f t="shared" si="23"/>
        <v>62.645804398281989</v>
      </c>
      <c r="L35" s="572"/>
      <c r="M35" s="206">
        <f>RANK(K35, K$27:$K$41)</f>
        <v>8</v>
      </c>
      <c r="N35" s="590"/>
      <c r="O35" s="590"/>
      <c r="P35" s="378">
        <v>19</v>
      </c>
      <c r="Q35" s="379">
        <v>1152.5925925925922</v>
      </c>
      <c r="R35" s="379">
        <v>60.66276803118906</v>
      </c>
      <c r="S35" s="336">
        <f t="shared" si="11"/>
        <v>9</v>
      </c>
      <c r="T35" s="633"/>
      <c r="U35" s="463">
        <v>19</v>
      </c>
      <c r="V35" s="464">
        <v>1211.489361702128</v>
      </c>
      <c r="W35" s="464">
        <v>63.762597984322525</v>
      </c>
      <c r="X35" s="336">
        <f t="shared" si="12"/>
        <v>9</v>
      </c>
      <c r="Y35" s="633"/>
      <c r="Z35" s="463">
        <v>19</v>
      </c>
      <c r="AA35" s="464">
        <v>1203.4951456310685</v>
      </c>
      <c r="AB35" s="464">
        <v>63.341849770056236</v>
      </c>
      <c r="AC35" s="336">
        <f t="shared" si="13"/>
        <v>7</v>
      </c>
      <c r="AD35" s="633"/>
      <c r="AE35" s="463">
        <v>19</v>
      </c>
      <c r="AF35" s="464">
        <v>1203.9622641509441</v>
      </c>
      <c r="AG35" s="464">
        <v>63.366434955312847</v>
      </c>
      <c r="AH35" s="336">
        <f t="shared" si="14"/>
        <v>8</v>
      </c>
      <c r="AI35" s="633"/>
      <c r="AJ35" s="463">
        <v>19</v>
      </c>
      <c r="AK35" s="464">
        <v>1205.6603773584911</v>
      </c>
      <c r="AL35" s="464">
        <v>63.455809334657431</v>
      </c>
      <c r="AM35" s="336">
        <f t="shared" si="15"/>
        <v>7</v>
      </c>
      <c r="AN35" s="633"/>
      <c r="AO35" s="463">
        <v>19</v>
      </c>
      <c r="AP35" s="464">
        <v>1158.5454545454536</v>
      </c>
      <c r="AQ35" s="464">
        <v>60.976076555023873</v>
      </c>
      <c r="AR35" s="336">
        <f t="shared" si="16"/>
        <v>9</v>
      </c>
      <c r="AS35" s="633"/>
      <c r="AT35" s="463">
        <v>19</v>
      </c>
      <c r="AU35" s="464">
        <v>1196.1467889908265</v>
      </c>
      <c r="AV35" s="464">
        <v>62.955094157411921</v>
      </c>
      <c r="AW35" s="336">
        <f t="shared" si="17"/>
        <v>8</v>
      </c>
      <c r="AX35" s="629"/>
    </row>
    <row r="36" spans="2:50">
      <c r="B36" s="598"/>
      <c r="C36" s="336">
        <v>10</v>
      </c>
      <c r="D36" s="231" t="s">
        <v>695</v>
      </c>
      <c r="E36" s="187">
        <v>18</v>
      </c>
      <c r="F36" s="336">
        <v>1200</v>
      </c>
      <c r="G36" s="337">
        <v>66.666666666666671</v>
      </c>
      <c r="H36" s="633"/>
      <c r="I36" s="465">
        <f t="shared" si="21"/>
        <v>18</v>
      </c>
      <c r="J36" s="465">
        <f t="shared" si="22"/>
        <v>1190.0626110024871</v>
      </c>
      <c r="K36" s="205">
        <f t="shared" si="23"/>
        <v>66.114589500138166</v>
      </c>
      <c r="L36" s="572"/>
      <c r="M36" s="206">
        <f>RANK(K36, K$27:$K$41)</f>
        <v>4</v>
      </c>
      <c r="N36" s="590"/>
      <c r="O36" s="590"/>
      <c r="P36" s="378">
        <v>18</v>
      </c>
      <c r="Q36" s="379">
        <v>1196.5384615384623</v>
      </c>
      <c r="R36" s="379">
        <v>66.474358974359021</v>
      </c>
      <c r="S36" s="336">
        <f t="shared" si="11"/>
        <v>3</v>
      </c>
      <c r="T36" s="633"/>
      <c r="U36" s="463">
        <v>18</v>
      </c>
      <c r="V36" s="464">
        <v>1190.9090909090921</v>
      </c>
      <c r="W36" s="464">
        <v>66.161616161616223</v>
      </c>
      <c r="X36" s="336">
        <f t="shared" si="12"/>
        <v>5</v>
      </c>
      <c r="Y36" s="633"/>
      <c r="Z36" s="463">
        <v>18</v>
      </c>
      <c r="AA36" s="464">
        <v>1187.3239436619706</v>
      </c>
      <c r="AB36" s="464">
        <v>65.962441314553928</v>
      </c>
      <c r="AC36" s="336">
        <f t="shared" si="13"/>
        <v>5</v>
      </c>
      <c r="AD36" s="633"/>
      <c r="AE36" s="463">
        <v>18</v>
      </c>
      <c r="AF36" s="464">
        <v>1204.109589041095</v>
      </c>
      <c r="AG36" s="464">
        <v>66.894977168949723</v>
      </c>
      <c r="AH36" s="336">
        <f t="shared" si="14"/>
        <v>4</v>
      </c>
      <c r="AI36" s="633"/>
      <c r="AJ36" s="463">
        <v>18</v>
      </c>
      <c r="AK36" s="464">
        <v>1192.7027027027018</v>
      </c>
      <c r="AL36" s="464">
        <v>66.261261261261211</v>
      </c>
      <c r="AM36" s="336">
        <f t="shared" si="15"/>
        <v>4</v>
      </c>
      <c r="AN36" s="633"/>
      <c r="AO36" s="463">
        <v>18</v>
      </c>
      <c r="AP36" s="464">
        <v>1169.117647058825</v>
      </c>
      <c r="AQ36" s="464">
        <v>64.95098039215695</v>
      </c>
      <c r="AR36" s="336">
        <f t="shared" si="16"/>
        <v>6</v>
      </c>
      <c r="AS36" s="633"/>
      <c r="AT36" s="463">
        <v>18</v>
      </c>
      <c r="AU36" s="464">
        <v>1189.7368421052622</v>
      </c>
      <c r="AV36" s="464">
        <v>66.096491228070121</v>
      </c>
      <c r="AW36" s="336">
        <f t="shared" si="17"/>
        <v>4</v>
      </c>
      <c r="AX36" s="629"/>
    </row>
    <row r="37" spans="2:50">
      <c r="B37" s="598"/>
      <c r="C37" s="336">
        <v>11</v>
      </c>
      <c r="D37" s="231" t="s">
        <v>746</v>
      </c>
      <c r="E37" s="187">
        <v>17</v>
      </c>
      <c r="F37" s="336">
        <v>1200</v>
      </c>
      <c r="G37" s="337">
        <v>70.588235294117652</v>
      </c>
      <c r="H37" s="633"/>
      <c r="I37" s="465">
        <f t="shared" si="21"/>
        <v>17.428571428571427</v>
      </c>
      <c r="J37" s="465">
        <f t="shared" si="22"/>
        <v>1186.2217224226263</v>
      </c>
      <c r="K37" s="205">
        <f t="shared" si="23"/>
        <v>68.111288990060174</v>
      </c>
      <c r="L37" s="572"/>
      <c r="M37" s="206">
        <f>RANK(K37, K$27:$K$41)</f>
        <v>3</v>
      </c>
      <c r="N37" s="590"/>
      <c r="O37" s="590"/>
      <c r="P37" s="378">
        <v>18</v>
      </c>
      <c r="Q37" s="379">
        <v>1165.1725490196081</v>
      </c>
      <c r="R37" s="379">
        <v>64.731808278867121</v>
      </c>
      <c r="S37" s="336">
        <f t="shared" si="11"/>
        <v>7</v>
      </c>
      <c r="T37" s="633"/>
      <c r="U37" s="463">
        <v>18</v>
      </c>
      <c r="V37" s="464">
        <v>1215.670588235294</v>
      </c>
      <c r="W37" s="464">
        <v>67.537254901960779</v>
      </c>
      <c r="X37" s="336">
        <f t="shared" si="12"/>
        <v>4</v>
      </c>
      <c r="Y37" s="633"/>
      <c r="Z37" s="463">
        <v>18</v>
      </c>
      <c r="AA37" s="464">
        <v>1188.7128712871292</v>
      </c>
      <c r="AB37" s="464">
        <v>66.039603960396065</v>
      </c>
      <c r="AC37" s="336">
        <f t="shared" si="13"/>
        <v>4</v>
      </c>
      <c r="AD37" s="633"/>
      <c r="AE37" s="463">
        <v>17</v>
      </c>
      <c r="AF37" s="464">
        <v>1172.1739130434771</v>
      </c>
      <c r="AG37" s="464">
        <v>68.951406649616303</v>
      </c>
      <c r="AH37" s="336">
        <f t="shared" si="14"/>
        <v>3</v>
      </c>
      <c r="AI37" s="633"/>
      <c r="AJ37" s="463">
        <v>17</v>
      </c>
      <c r="AK37" s="464">
        <v>1208.3544303797462</v>
      </c>
      <c r="AL37" s="464">
        <v>71.079672375279188</v>
      </c>
      <c r="AM37" s="336">
        <f t="shared" si="15"/>
        <v>3</v>
      </c>
      <c r="AN37" s="633"/>
      <c r="AO37" s="463">
        <v>17</v>
      </c>
      <c r="AP37" s="464">
        <v>1187.0270270270278</v>
      </c>
      <c r="AQ37" s="464">
        <v>69.825119236883992</v>
      </c>
      <c r="AR37" s="336">
        <f t="shared" si="16"/>
        <v>3</v>
      </c>
      <c r="AS37" s="633"/>
      <c r="AT37" s="463">
        <v>17</v>
      </c>
      <c r="AU37" s="464">
        <v>1166.4406779661026</v>
      </c>
      <c r="AV37" s="464">
        <v>68.614157527417802</v>
      </c>
      <c r="AW37" s="336">
        <f t="shared" si="17"/>
        <v>3</v>
      </c>
      <c r="AX37" s="629"/>
    </row>
    <row r="38" spans="2:50">
      <c r="B38" s="598"/>
      <c r="C38" s="336">
        <v>12</v>
      </c>
      <c r="D38" s="231"/>
      <c r="E38" s="187"/>
      <c r="F38" s="336"/>
      <c r="G38" s="337"/>
      <c r="H38" s="633"/>
      <c r="I38" s="207"/>
      <c r="J38" s="207"/>
      <c r="K38" s="207"/>
      <c r="L38" s="572"/>
      <c r="M38" s="206" t="e">
        <f>RANK(K38, K$27:$K$41)</f>
        <v>#N/A</v>
      </c>
      <c r="N38" s="590"/>
      <c r="O38" s="590"/>
      <c r="P38" s="378"/>
      <c r="Q38" s="379"/>
      <c r="R38" s="379"/>
      <c r="S38" s="336" t="e">
        <f t="shared" si="11"/>
        <v>#N/A</v>
      </c>
      <c r="T38" s="633"/>
      <c r="U38" s="378"/>
      <c r="V38" s="379"/>
      <c r="W38" s="379"/>
      <c r="X38" s="336" t="e">
        <f t="shared" si="12"/>
        <v>#N/A</v>
      </c>
      <c r="Y38" s="633"/>
      <c r="Z38" s="378"/>
      <c r="AA38" s="379"/>
      <c r="AB38" s="379"/>
      <c r="AC38" s="336" t="e">
        <f t="shared" si="13"/>
        <v>#N/A</v>
      </c>
      <c r="AD38" s="633"/>
      <c r="AE38" s="378"/>
      <c r="AF38" s="379"/>
      <c r="AG38" s="379"/>
      <c r="AH38" s="336" t="e">
        <f t="shared" si="14"/>
        <v>#N/A</v>
      </c>
      <c r="AI38" s="633"/>
      <c r="AJ38" s="378"/>
      <c r="AK38" s="379"/>
      <c r="AL38" s="379"/>
      <c r="AM38" s="336" t="e">
        <f t="shared" si="15"/>
        <v>#N/A</v>
      </c>
      <c r="AN38" s="633"/>
      <c r="AO38" s="378"/>
      <c r="AP38" s="379"/>
      <c r="AQ38" s="379"/>
      <c r="AR38" s="336" t="e">
        <f t="shared" si="16"/>
        <v>#N/A</v>
      </c>
      <c r="AS38" s="633"/>
      <c r="AT38" s="378"/>
      <c r="AU38" s="379"/>
      <c r="AV38" s="379"/>
      <c r="AW38" s="336" t="e">
        <f t="shared" si="17"/>
        <v>#N/A</v>
      </c>
      <c r="AX38" s="629"/>
    </row>
    <row r="39" spans="2:50">
      <c r="B39" s="598"/>
      <c r="C39" s="336">
        <v>13</v>
      </c>
      <c r="D39" s="231"/>
      <c r="E39" s="187"/>
      <c r="F39" s="336"/>
      <c r="G39" s="337"/>
      <c r="H39" s="633"/>
      <c r="I39" s="207"/>
      <c r="J39" s="207"/>
      <c r="K39" s="207"/>
      <c r="L39" s="572"/>
      <c r="M39" s="206" t="e">
        <f>RANK(K39, K$27:$K$41)</f>
        <v>#N/A</v>
      </c>
      <c r="N39" s="590"/>
      <c r="O39" s="590"/>
      <c r="P39" s="378"/>
      <c r="Q39" s="379"/>
      <c r="R39" s="379"/>
      <c r="S39" s="336" t="e">
        <f t="shared" si="11"/>
        <v>#N/A</v>
      </c>
      <c r="T39" s="633"/>
      <c r="U39" s="378"/>
      <c r="V39" s="379"/>
      <c r="W39" s="379"/>
      <c r="X39" s="336" t="e">
        <f t="shared" si="12"/>
        <v>#N/A</v>
      </c>
      <c r="Y39" s="633"/>
      <c r="Z39" s="378"/>
      <c r="AA39" s="379"/>
      <c r="AB39" s="379"/>
      <c r="AC39" s="336" t="e">
        <f t="shared" si="13"/>
        <v>#N/A</v>
      </c>
      <c r="AD39" s="633"/>
      <c r="AE39" s="378"/>
      <c r="AF39" s="379"/>
      <c r="AG39" s="379"/>
      <c r="AH39" s="336" t="e">
        <f t="shared" si="14"/>
        <v>#N/A</v>
      </c>
      <c r="AI39" s="633"/>
      <c r="AJ39" s="378"/>
      <c r="AK39" s="379"/>
      <c r="AL39" s="379"/>
      <c r="AM39" s="336" t="e">
        <f t="shared" si="15"/>
        <v>#N/A</v>
      </c>
      <c r="AN39" s="633"/>
      <c r="AO39" s="378"/>
      <c r="AP39" s="379"/>
      <c r="AQ39" s="379"/>
      <c r="AR39" s="336" t="e">
        <f t="shared" si="16"/>
        <v>#N/A</v>
      </c>
      <c r="AS39" s="633"/>
      <c r="AT39" s="378"/>
      <c r="AU39" s="379"/>
      <c r="AV39" s="379"/>
      <c r="AW39" s="336" t="e">
        <f t="shared" si="17"/>
        <v>#N/A</v>
      </c>
      <c r="AX39" s="629"/>
    </row>
    <row r="40" spans="2:50">
      <c r="B40" s="598"/>
      <c r="C40" s="336">
        <v>14</v>
      </c>
      <c r="D40" s="231"/>
      <c r="E40" s="187"/>
      <c r="F40" s="336"/>
      <c r="G40" s="337"/>
      <c r="H40" s="633"/>
      <c r="I40" s="207"/>
      <c r="J40" s="207"/>
      <c r="K40" s="207"/>
      <c r="L40" s="572"/>
      <c r="M40" s="206" t="e">
        <f>RANK(K40, K$27:$K$41)</f>
        <v>#N/A</v>
      </c>
      <c r="N40" s="590"/>
      <c r="O40" s="590"/>
      <c r="P40" s="378"/>
      <c r="Q40" s="379"/>
      <c r="R40" s="379"/>
      <c r="S40" s="336" t="e">
        <f t="shared" si="11"/>
        <v>#N/A</v>
      </c>
      <c r="T40" s="633"/>
      <c r="U40" s="378"/>
      <c r="V40" s="379"/>
      <c r="W40" s="379"/>
      <c r="X40" s="336" t="e">
        <f t="shared" si="12"/>
        <v>#N/A</v>
      </c>
      <c r="Y40" s="633"/>
      <c r="Z40" s="378"/>
      <c r="AA40" s="379"/>
      <c r="AB40" s="379"/>
      <c r="AC40" s="336" t="e">
        <f t="shared" si="13"/>
        <v>#N/A</v>
      </c>
      <c r="AD40" s="633"/>
      <c r="AE40" s="378"/>
      <c r="AF40" s="379"/>
      <c r="AG40" s="379"/>
      <c r="AH40" s="336" t="e">
        <f t="shared" si="14"/>
        <v>#N/A</v>
      </c>
      <c r="AI40" s="633"/>
      <c r="AJ40" s="378"/>
      <c r="AK40" s="379"/>
      <c r="AL40" s="379"/>
      <c r="AM40" s="336" t="e">
        <f t="shared" si="15"/>
        <v>#N/A</v>
      </c>
      <c r="AN40" s="633"/>
      <c r="AO40" s="378"/>
      <c r="AP40" s="379"/>
      <c r="AQ40" s="379"/>
      <c r="AR40" s="336" t="e">
        <f t="shared" si="16"/>
        <v>#N/A</v>
      </c>
      <c r="AS40" s="633"/>
      <c r="AT40" s="378"/>
      <c r="AU40" s="379"/>
      <c r="AV40" s="379"/>
      <c r="AW40" s="336" t="e">
        <f t="shared" si="17"/>
        <v>#N/A</v>
      </c>
      <c r="AX40" s="629"/>
    </row>
    <row r="41" spans="2:50">
      <c r="B41" s="598"/>
      <c r="C41" s="336">
        <v>15</v>
      </c>
      <c r="D41" s="231"/>
      <c r="E41" s="187"/>
      <c r="F41" s="336"/>
      <c r="G41" s="337"/>
      <c r="H41" s="634"/>
      <c r="I41" s="207"/>
      <c r="J41" s="207"/>
      <c r="K41" s="207"/>
      <c r="L41" s="573"/>
      <c r="M41" s="204" t="e">
        <f>RANK(K41, K$27:$K$41)</f>
        <v>#N/A</v>
      </c>
      <c r="N41" s="590"/>
      <c r="O41" s="590"/>
      <c r="P41" s="378"/>
      <c r="Q41" s="379"/>
      <c r="R41" s="379"/>
      <c r="S41" s="336" t="e">
        <f t="shared" si="11"/>
        <v>#N/A</v>
      </c>
      <c r="T41" s="634"/>
      <c r="U41" s="378"/>
      <c r="V41" s="379"/>
      <c r="W41" s="379"/>
      <c r="X41" s="336" t="e">
        <f t="shared" si="12"/>
        <v>#N/A</v>
      </c>
      <c r="Y41" s="634"/>
      <c r="Z41" s="378"/>
      <c r="AA41" s="379"/>
      <c r="AB41" s="379"/>
      <c r="AC41" s="336" t="e">
        <f t="shared" si="13"/>
        <v>#N/A</v>
      </c>
      <c r="AD41" s="634"/>
      <c r="AE41" s="378"/>
      <c r="AF41" s="379"/>
      <c r="AG41" s="379"/>
      <c r="AH41" s="336" t="e">
        <f t="shared" si="14"/>
        <v>#N/A</v>
      </c>
      <c r="AI41" s="634"/>
      <c r="AJ41" s="378"/>
      <c r="AK41" s="379"/>
      <c r="AL41" s="379"/>
      <c r="AM41" s="336" t="e">
        <f t="shared" si="15"/>
        <v>#N/A</v>
      </c>
      <c r="AN41" s="634"/>
      <c r="AO41" s="378"/>
      <c r="AP41" s="379"/>
      <c r="AQ41" s="379"/>
      <c r="AR41" s="336" t="e">
        <f t="shared" si="16"/>
        <v>#N/A</v>
      </c>
      <c r="AS41" s="634"/>
      <c r="AT41" s="378"/>
      <c r="AU41" s="379"/>
      <c r="AV41" s="379"/>
      <c r="AW41" s="336" t="e">
        <f t="shared" si="17"/>
        <v>#N/A</v>
      </c>
      <c r="AX41" s="629"/>
    </row>
    <row r="42" spans="2:50" ht="15.75">
      <c r="B42" s="615" t="s">
        <v>163</v>
      </c>
      <c r="C42" s="616"/>
      <c r="D42" s="616"/>
      <c r="E42" s="616"/>
      <c r="F42" s="616"/>
      <c r="G42" s="616"/>
      <c r="H42" s="616"/>
      <c r="I42" s="213"/>
      <c r="J42" s="208"/>
      <c r="K42" s="213"/>
      <c r="L42" s="213"/>
      <c r="M42" s="209"/>
      <c r="N42" s="591" t="s">
        <v>156</v>
      </c>
      <c r="O42" s="591" t="s">
        <v>105</v>
      </c>
      <c r="P42" s="597">
        <f>P22+7</f>
        <v>45944</v>
      </c>
      <c r="Q42" s="598"/>
      <c r="R42" s="598"/>
      <c r="S42" s="598"/>
      <c r="T42" s="598"/>
      <c r="U42" s="594">
        <f>P42+1</f>
        <v>45945</v>
      </c>
      <c r="V42" s="595"/>
      <c r="W42" s="595"/>
      <c r="X42" s="595"/>
      <c r="Y42" s="596"/>
      <c r="Z42" s="594">
        <f>U42+1</f>
        <v>45946</v>
      </c>
      <c r="AA42" s="595"/>
      <c r="AB42" s="595"/>
      <c r="AC42" s="595"/>
      <c r="AD42" s="596"/>
      <c r="AE42" s="594">
        <f>Z42+1</f>
        <v>45947</v>
      </c>
      <c r="AF42" s="595"/>
      <c r="AG42" s="595"/>
      <c r="AH42" s="595"/>
      <c r="AI42" s="596"/>
      <c r="AJ42" s="594">
        <f>AE42+1</f>
        <v>45948</v>
      </c>
      <c r="AK42" s="595"/>
      <c r="AL42" s="595"/>
      <c r="AM42" s="595"/>
      <c r="AN42" s="596"/>
      <c r="AO42" s="594">
        <f>AJ42+1</f>
        <v>45949</v>
      </c>
      <c r="AP42" s="595"/>
      <c r="AQ42" s="595"/>
      <c r="AR42" s="595"/>
      <c r="AS42" s="596"/>
      <c r="AT42" s="594">
        <f>AO42+1</f>
        <v>45950</v>
      </c>
      <c r="AU42" s="595"/>
      <c r="AV42" s="595"/>
      <c r="AW42" s="595"/>
      <c r="AX42" s="596"/>
    </row>
    <row r="43" spans="2:50" ht="15.75">
      <c r="B43" s="605"/>
      <c r="C43" s="605"/>
      <c r="D43" s="605"/>
      <c r="E43" s="605"/>
      <c r="F43" s="605"/>
      <c r="G43" s="605"/>
      <c r="H43" s="605"/>
      <c r="I43" s="210"/>
      <c r="J43" s="210"/>
      <c r="K43" s="210"/>
      <c r="L43" s="210"/>
      <c r="M43" s="211"/>
      <c r="N43" s="593"/>
      <c r="O43" s="593"/>
      <c r="P43" s="597" t="s">
        <v>336</v>
      </c>
      <c r="Q43" s="598"/>
      <c r="R43" s="598"/>
      <c r="S43" s="598"/>
      <c r="T43" s="598"/>
      <c r="U43" s="597" t="s">
        <v>337</v>
      </c>
      <c r="V43" s="598"/>
      <c r="W43" s="598"/>
      <c r="X43" s="598"/>
      <c r="Y43" s="598"/>
      <c r="Z43" s="597" t="s">
        <v>338</v>
      </c>
      <c r="AA43" s="598"/>
      <c r="AB43" s="598"/>
      <c r="AC43" s="598"/>
      <c r="AD43" s="598"/>
      <c r="AE43" s="597" t="s">
        <v>339</v>
      </c>
      <c r="AF43" s="598"/>
      <c r="AG43" s="598"/>
      <c r="AH43" s="598"/>
      <c r="AI43" s="598"/>
      <c r="AJ43" s="597" t="s">
        <v>340</v>
      </c>
      <c r="AK43" s="598"/>
      <c r="AL43" s="598"/>
      <c r="AM43" s="598"/>
      <c r="AN43" s="598"/>
      <c r="AO43" s="597" t="s">
        <v>341</v>
      </c>
      <c r="AP43" s="598"/>
      <c r="AQ43" s="598"/>
      <c r="AR43" s="598"/>
      <c r="AS43" s="598"/>
      <c r="AT43" s="597" t="s">
        <v>342</v>
      </c>
      <c r="AU43" s="598"/>
      <c r="AV43" s="598"/>
      <c r="AW43" s="598"/>
      <c r="AX43" s="598"/>
    </row>
    <row r="44" spans="2:50">
      <c r="B44" s="590" t="s">
        <v>627</v>
      </c>
      <c r="C44" s="590" t="s">
        <v>628</v>
      </c>
      <c r="D44" s="590"/>
      <c r="E44" s="590" t="s">
        <v>629</v>
      </c>
      <c r="F44" s="590"/>
      <c r="G44" s="590"/>
      <c r="H44" s="606" t="s">
        <v>630</v>
      </c>
      <c r="I44" s="574" t="s">
        <v>631</v>
      </c>
      <c r="J44" s="574"/>
      <c r="K44" s="574"/>
      <c r="L44" s="575" t="s">
        <v>630</v>
      </c>
      <c r="M44" s="581" t="s">
        <v>632</v>
      </c>
      <c r="N44" s="590"/>
      <c r="O44" s="590" t="s">
        <v>633</v>
      </c>
      <c r="P44" s="587" t="s">
        <v>634</v>
      </c>
      <c r="Q44" s="588"/>
      <c r="R44" s="588"/>
      <c r="S44" s="589"/>
      <c r="T44" s="590" t="s">
        <v>630</v>
      </c>
      <c r="U44" s="587" t="s">
        <v>634</v>
      </c>
      <c r="V44" s="588"/>
      <c r="W44" s="588"/>
      <c r="X44" s="589"/>
      <c r="Y44" s="590" t="s">
        <v>630</v>
      </c>
      <c r="Z44" s="587" t="s">
        <v>634</v>
      </c>
      <c r="AA44" s="588"/>
      <c r="AB44" s="588"/>
      <c r="AC44" s="589"/>
      <c r="AD44" s="590" t="s">
        <v>630</v>
      </c>
      <c r="AE44" s="587" t="s">
        <v>634</v>
      </c>
      <c r="AF44" s="588"/>
      <c r="AG44" s="588"/>
      <c r="AH44" s="589"/>
      <c r="AI44" s="590" t="s">
        <v>630</v>
      </c>
      <c r="AJ44" s="587" t="s">
        <v>634</v>
      </c>
      <c r="AK44" s="588"/>
      <c r="AL44" s="588"/>
      <c r="AM44" s="589"/>
      <c r="AN44" s="590" t="s">
        <v>630</v>
      </c>
      <c r="AO44" s="587" t="s">
        <v>634</v>
      </c>
      <c r="AP44" s="588"/>
      <c r="AQ44" s="588"/>
      <c r="AR44" s="589"/>
      <c r="AS44" s="590" t="s">
        <v>630</v>
      </c>
      <c r="AT44" s="587" t="s">
        <v>634</v>
      </c>
      <c r="AU44" s="588"/>
      <c r="AV44" s="588"/>
      <c r="AW44" s="589"/>
      <c r="AX44" s="590" t="s">
        <v>630</v>
      </c>
    </row>
    <row r="45" spans="2:50">
      <c r="B45" s="590"/>
      <c r="C45" s="590"/>
      <c r="D45" s="590"/>
      <c r="E45" s="590" t="s">
        <v>635</v>
      </c>
      <c r="F45" s="590"/>
      <c r="G45" s="590"/>
      <c r="H45" s="607"/>
      <c r="I45" s="574" t="s">
        <v>635</v>
      </c>
      <c r="J45" s="574"/>
      <c r="K45" s="574"/>
      <c r="L45" s="576"/>
      <c r="M45" s="582"/>
      <c r="N45" s="590"/>
      <c r="O45" s="590"/>
      <c r="P45" s="587" t="s">
        <v>636</v>
      </c>
      <c r="Q45" s="588"/>
      <c r="R45" s="588"/>
      <c r="S45" s="589"/>
      <c r="T45" s="590"/>
      <c r="U45" s="587" t="s">
        <v>636</v>
      </c>
      <c r="V45" s="588"/>
      <c r="W45" s="588"/>
      <c r="X45" s="589"/>
      <c r="Y45" s="590"/>
      <c r="Z45" s="587" t="s">
        <v>636</v>
      </c>
      <c r="AA45" s="588"/>
      <c r="AB45" s="588"/>
      <c r="AC45" s="589"/>
      <c r="AD45" s="590"/>
      <c r="AE45" s="587" t="s">
        <v>636</v>
      </c>
      <c r="AF45" s="588"/>
      <c r="AG45" s="588"/>
      <c r="AH45" s="589"/>
      <c r="AI45" s="590"/>
      <c r="AJ45" s="587" t="s">
        <v>636</v>
      </c>
      <c r="AK45" s="588"/>
      <c r="AL45" s="588"/>
      <c r="AM45" s="589"/>
      <c r="AN45" s="590"/>
      <c r="AO45" s="587" t="s">
        <v>636</v>
      </c>
      <c r="AP45" s="588"/>
      <c r="AQ45" s="588"/>
      <c r="AR45" s="589"/>
      <c r="AS45" s="590"/>
      <c r="AT45" s="587" t="s">
        <v>636</v>
      </c>
      <c r="AU45" s="588"/>
      <c r="AV45" s="588"/>
      <c r="AW45" s="589"/>
      <c r="AX45" s="590"/>
    </row>
    <row r="46" spans="2:50">
      <c r="B46" s="590"/>
      <c r="C46" s="590"/>
      <c r="D46" s="590"/>
      <c r="E46" s="339" t="s">
        <v>637</v>
      </c>
      <c r="F46" s="339" t="s">
        <v>638</v>
      </c>
      <c r="G46" s="339" t="s">
        <v>639</v>
      </c>
      <c r="H46" s="608"/>
      <c r="I46" s="338" t="s">
        <v>637</v>
      </c>
      <c r="J46" s="338" t="s">
        <v>638</v>
      </c>
      <c r="K46" s="338" t="s">
        <v>639</v>
      </c>
      <c r="L46" s="577"/>
      <c r="M46" s="583"/>
      <c r="N46" s="590"/>
      <c r="O46" s="590"/>
      <c r="P46" s="339" t="s">
        <v>637</v>
      </c>
      <c r="Q46" s="339" t="s">
        <v>638</v>
      </c>
      <c r="R46" s="339" t="s">
        <v>639</v>
      </c>
      <c r="S46" s="339" t="s">
        <v>632</v>
      </c>
      <c r="T46" s="590"/>
      <c r="U46" s="339" t="s">
        <v>637</v>
      </c>
      <c r="V46" s="339" t="s">
        <v>638</v>
      </c>
      <c r="W46" s="339" t="s">
        <v>639</v>
      </c>
      <c r="X46" s="339" t="s">
        <v>632</v>
      </c>
      <c r="Y46" s="590"/>
      <c r="Z46" s="339" t="s">
        <v>637</v>
      </c>
      <c r="AA46" s="339" t="s">
        <v>638</v>
      </c>
      <c r="AB46" s="339" t="s">
        <v>639</v>
      </c>
      <c r="AC46" s="339" t="s">
        <v>632</v>
      </c>
      <c r="AD46" s="590"/>
      <c r="AE46" s="339" t="s">
        <v>637</v>
      </c>
      <c r="AF46" s="339" t="s">
        <v>638</v>
      </c>
      <c r="AG46" s="339" t="s">
        <v>639</v>
      </c>
      <c r="AH46" s="339" t="s">
        <v>632</v>
      </c>
      <c r="AI46" s="590"/>
      <c r="AJ46" s="339" t="s">
        <v>637</v>
      </c>
      <c r="AK46" s="339" t="s">
        <v>638</v>
      </c>
      <c r="AL46" s="339" t="s">
        <v>639</v>
      </c>
      <c r="AM46" s="339" t="s">
        <v>632</v>
      </c>
      <c r="AN46" s="590"/>
      <c r="AO46" s="339" t="s">
        <v>637</v>
      </c>
      <c r="AP46" s="339" t="s">
        <v>638</v>
      </c>
      <c r="AQ46" s="339" t="s">
        <v>639</v>
      </c>
      <c r="AR46" s="339" t="s">
        <v>632</v>
      </c>
      <c r="AS46" s="590"/>
      <c r="AT46" s="339" t="s">
        <v>637</v>
      </c>
      <c r="AU46" s="339" t="s">
        <v>638</v>
      </c>
      <c r="AV46" s="339" t="s">
        <v>639</v>
      </c>
      <c r="AW46" s="339" t="s">
        <v>632</v>
      </c>
      <c r="AX46" s="590"/>
    </row>
    <row r="47" spans="2:50">
      <c r="B47" s="590" t="s">
        <v>641</v>
      </c>
      <c r="C47" s="340">
        <v>1</v>
      </c>
      <c r="D47" s="231" t="s">
        <v>399</v>
      </c>
      <c r="E47" s="187">
        <v>19</v>
      </c>
      <c r="F47" s="340">
        <v>1440</v>
      </c>
      <c r="G47" s="341">
        <v>75.78947368421052</v>
      </c>
      <c r="H47" s="632">
        <f>AVERAGE(G47:G61)</f>
        <v>78.086936704506357</v>
      </c>
      <c r="I47" s="204">
        <f>AVERAGE(P47,U47,Z47,AE47,AJ47,AO47,AT47)</f>
        <v>19</v>
      </c>
      <c r="J47" s="204">
        <f>AVERAGE(Q47,V47,AA47,AF47,AK47,AP47,AU47)</f>
        <v>1239.1751125060821</v>
      </c>
      <c r="K47" s="205">
        <f>AVERAGE(R47,W47,AB47,AG47,AL47,AQ47,AV47)</f>
        <v>65.21974276347801</v>
      </c>
      <c r="L47" s="571">
        <f>IFERROR(AVERAGE(K47:K61),"-")</f>
        <v>66.973463068258937</v>
      </c>
      <c r="M47" s="206">
        <f>RANK(K47, K$47:$K$61)</f>
        <v>4</v>
      </c>
      <c r="N47" s="590"/>
      <c r="O47" s="590"/>
      <c r="P47" s="187">
        <v>19</v>
      </c>
      <c r="Q47" s="379">
        <v>1273.6046511627906</v>
      </c>
      <c r="R47" s="379">
        <v>67.031823745410023</v>
      </c>
      <c r="S47" s="346">
        <f>RANK(R47, R$47:R$61)</f>
        <v>3</v>
      </c>
      <c r="T47" s="632">
        <f>AVERAGE(R47:R61)</f>
        <v>66.669715182786348</v>
      </c>
      <c r="U47" s="187">
        <v>19</v>
      </c>
      <c r="V47" s="469">
        <v>1212.1387283236993</v>
      </c>
      <c r="W47" s="469">
        <v>63.79677517493154</v>
      </c>
      <c r="X47" s="346">
        <f>RANK(W47, W$47:W$61)</f>
        <v>7</v>
      </c>
      <c r="Y47" s="632">
        <f>AVERAGE(W47:W61)</f>
        <v>66.308884425319917</v>
      </c>
      <c r="Z47" s="187">
        <v>19</v>
      </c>
      <c r="AA47" s="469">
        <v>1246.875</v>
      </c>
      <c r="AB47" s="469">
        <v>65.625</v>
      </c>
      <c r="AC47" s="346">
        <f>RANK(AB47, AB$47:AB$61)</f>
        <v>4</v>
      </c>
      <c r="AD47" s="632">
        <f>AVERAGE(AB47:AB61)</f>
        <v>66.569450296990652</v>
      </c>
      <c r="AE47" s="187">
        <v>19</v>
      </c>
      <c r="AF47" s="469">
        <v>1249.5918367346944</v>
      </c>
      <c r="AG47" s="469">
        <v>65.767991407089184</v>
      </c>
      <c r="AH47" s="346">
        <f>RANK(AG47, AG$47:AG$61)</f>
        <v>5</v>
      </c>
      <c r="AI47" s="632">
        <f>AVERAGE(AG47:AG61)</f>
        <v>67.549311370654223</v>
      </c>
      <c r="AJ47" s="187">
        <v>19</v>
      </c>
      <c r="AK47" s="469">
        <v>1233.5779816513761</v>
      </c>
      <c r="AL47" s="469">
        <v>64.925156929019792</v>
      </c>
      <c r="AM47" s="346">
        <f>RANK(AL47, AL$47:AL$61)</f>
        <v>6</v>
      </c>
      <c r="AN47" s="632">
        <f>AVERAGE(AL47:AL61)</f>
        <v>67.234401126170468</v>
      </c>
      <c r="AO47" s="187">
        <v>19</v>
      </c>
      <c r="AP47" s="469">
        <v>1215.7317073170734</v>
      </c>
      <c r="AQ47" s="469">
        <v>63.985879332477545</v>
      </c>
      <c r="AR47" s="346">
        <f>RANK(AQ47, AQ$47:AQ$61)</f>
        <v>6</v>
      </c>
      <c r="AS47" s="632">
        <f>AVERAGE(AQ47:AQ61)</f>
        <v>67.098498081796592</v>
      </c>
      <c r="AT47" s="187">
        <v>19</v>
      </c>
      <c r="AU47" s="469">
        <v>1242.7058823529414</v>
      </c>
      <c r="AV47" s="469">
        <v>65.405572755417964</v>
      </c>
      <c r="AW47" s="346">
        <f>RANK(AV47, AV$47:AV$61)</f>
        <v>7</v>
      </c>
      <c r="AX47" s="629">
        <f>AVERAGE(AV47:AV61)</f>
        <v>67.383980994094387</v>
      </c>
    </row>
    <row r="48" spans="2:50">
      <c r="B48" s="598"/>
      <c r="C48" s="340">
        <v>2</v>
      </c>
      <c r="D48" s="231" t="s">
        <v>400</v>
      </c>
      <c r="E48" s="187">
        <v>19</v>
      </c>
      <c r="F48" s="340">
        <v>1440</v>
      </c>
      <c r="G48" s="341">
        <v>75.78947368421052</v>
      </c>
      <c r="H48" s="633"/>
      <c r="I48" s="204">
        <f t="shared" ref="I48:I53" si="24">AVERAGE(P48,U48,Z48,AE48,AJ48,AO48,AT48)</f>
        <v>19</v>
      </c>
      <c r="J48" s="204">
        <f t="shared" ref="J48:J53" si="25">AVERAGE(Q48,V48,AA48,AF48,AK48,AP48,AU48)</f>
        <v>1225.0851137541099</v>
      </c>
      <c r="K48" s="205">
        <f t="shared" ref="K48:K53" si="26">AVERAGE(R48,W48,AB48,AG48,AL48,AQ48,AV48)</f>
        <v>64.478163881795254</v>
      </c>
      <c r="L48" s="572"/>
      <c r="M48" s="206">
        <f>RANK(K48, K$47:$K$61)</f>
        <v>7</v>
      </c>
      <c r="N48" s="590"/>
      <c r="O48" s="590"/>
      <c r="P48" s="378">
        <v>19</v>
      </c>
      <c r="Q48" s="379">
        <v>1214.5161290322592</v>
      </c>
      <c r="R48" s="379">
        <v>63.921901528013642</v>
      </c>
      <c r="S48" s="346">
        <f t="shared" ref="S48:S61" si="27">RANK(R48, R$47:R$61)</f>
        <v>7</v>
      </c>
      <c r="T48" s="633"/>
      <c r="U48" s="468">
        <v>19</v>
      </c>
      <c r="V48" s="469">
        <v>1235.8064516129043</v>
      </c>
      <c r="W48" s="469">
        <v>65.042444821731806</v>
      </c>
      <c r="X48" s="346">
        <f t="shared" ref="X48:X61" si="28">RANK(W48, W$47:W$61)</f>
        <v>4</v>
      </c>
      <c r="Y48" s="633"/>
      <c r="Z48" s="468">
        <v>19</v>
      </c>
      <c r="AA48" s="469">
        <v>1197.9661016949162</v>
      </c>
      <c r="AB48" s="469">
        <v>63.050847457627171</v>
      </c>
      <c r="AC48" s="346">
        <f t="shared" ref="AC48:AC61" si="29">RANK(AB48, AB$47:AB$61)</f>
        <v>7</v>
      </c>
      <c r="AD48" s="633"/>
      <c r="AE48" s="468">
        <v>19</v>
      </c>
      <c r="AF48" s="469">
        <v>1205.2631578947362</v>
      </c>
      <c r="AG48" s="469">
        <v>63.434903047091382</v>
      </c>
      <c r="AH48" s="346">
        <f t="shared" ref="AH48:AH61" si="30">RANK(AG48, AG$47:AG$61)</f>
        <v>7</v>
      </c>
      <c r="AI48" s="633"/>
      <c r="AJ48" s="468">
        <v>19</v>
      </c>
      <c r="AK48" s="469">
        <v>1255.3846153846139</v>
      </c>
      <c r="AL48" s="469">
        <v>66.072874493927046</v>
      </c>
      <c r="AM48" s="346">
        <f t="shared" ref="AM48:AM61" si="31">RANK(AL48, AL$47:AL$61)</f>
        <v>5</v>
      </c>
      <c r="AN48" s="633"/>
      <c r="AO48" s="468">
        <v>19</v>
      </c>
      <c r="AP48" s="469">
        <v>1209.2307692307686</v>
      </c>
      <c r="AQ48" s="469">
        <v>63.643724696356244</v>
      </c>
      <c r="AR48" s="346">
        <f t="shared" ref="AR48:AR61" si="32">RANK(AQ48, AQ$47:AQ$61)</f>
        <v>8</v>
      </c>
      <c r="AS48" s="633"/>
      <c r="AT48" s="468">
        <v>19</v>
      </c>
      <c r="AU48" s="469">
        <v>1257.42857142857</v>
      </c>
      <c r="AV48" s="469">
        <v>66.180451127819467</v>
      </c>
      <c r="AW48" s="346">
        <f t="shared" ref="AW48:AW61" si="33">RANK(AV48, AV$47:AV$61)</f>
        <v>6</v>
      </c>
      <c r="AX48" s="629"/>
    </row>
    <row r="49" spans="2:50">
      <c r="B49" s="598"/>
      <c r="C49" s="340">
        <v>3</v>
      </c>
      <c r="D49" s="231" t="s">
        <v>402</v>
      </c>
      <c r="E49" s="187">
        <v>17</v>
      </c>
      <c r="F49" s="340">
        <v>1636</v>
      </c>
      <c r="G49" s="341">
        <v>96.235294117647058</v>
      </c>
      <c r="H49" s="633"/>
      <c r="I49" s="204">
        <f t="shared" si="24"/>
        <v>17</v>
      </c>
      <c r="J49" s="204">
        <f t="shared" si="25"/>
        <v>1377.1191576915269</v>
      </c>
      <c r="K49" s="205">
        <f t="shared" si="26"/>
        <v>81.007009275972152</v>
      </c>
      <c r="L49" s="572"/>
      <c r="M49" s="206">
        <f>RANK(K49, K$47:$K$61)</f>
        <v>1</v>
      </c>
      <c r="N49" s="590"/>
      <c r="O49" s="590"/>
      <c r="P49" s="378">
        <v>17</v>
      </c>
      <c r="Q49" s="379">
        <v>1386.3157894736862</v>
      </c>
      <c r="R49" s="379">
        <v>81.547987616099192</v>
      </c>
      <c r="S49" s="346">
        <f t="shared" si="27"/>
        <v>1</v>
      </c>
      <c r="T49" s="633"/>
      <c r="U49" s="468">
        <v>17</v>
      </c>
      <c r="V49" s="469">
        <v>1368.9473684210548</v>
      </c>
      <c r="W49" s="469">
        <v>80.526315789473813</v>
      </c>
      <c r="X49" s="346">
        <f t="shared" si="28"/>
        <v>1</v>
      </c>
      <c r="Y49" s="633"/>
      <c r="Z49" s="468">
        <v>17</v>
      </c>
      <c r="AA49" s="469">
        <v>1354.054054054053</v>
      </c>
      <c r="AB49" s="469">
        <v>79.650238473767828</v>
      </c>
      <c r="AC49" s="346">
        <f t="shared" si="29"/>
        <v>1</v>
      </c>
      <c r="AD49" s="633"/>
      <c r="AE49" s="468">
        <v>17</v>
      </c>
      <c r="AF49" s="469">
        <v>1402.0000000000014</v>
      </c>
      <c r="AG49" s="469">
        <v>82.470588235294201</v>
      </c>
      <c r="AH49" s="346">
        <f t="shared" si="30"/>
        <v>1</v>
      </c>
      <c r="AI49" s="633"/>
      <c r="AJ49" s="468">
        <v>17</v>
      </c>
      <c r="AK49" s="469">
        <v>1378.1250000000016</v>
      </c>
      <c r="AL49" s="469">
        <v>81.066176470588331</v>
      </c>
      <c r="AM49" s="346">
        <f t="shared" si="31"/>
        <v>1</v>
      </c>
      <c r="AN49" s="633"/>
      <c r="AO49" s="468">
        <v>17</v>
      </c>
      <c r="AP49" s="469">
        <v>1371.891891891891</v>
      </c>
      <c r="AQ49" s="469">
        <v>80.699523052464173</v>
      </c>
      <c r="AR49" s="346">
        <f t="shared" si="32"/>
        <v>1</v>
      </c>
      <c r="AS49" s="633"/>
      <c r="AT49" s="468">
        <v>17</v>
      </c>
      <c r="AU49" s="469">
        <v>1378.4999999999995</v>
      </c>
      <c r="AV49" s="469">
        <v>81.088235294117624</v>
      </c>
      <c r="AW49" s="346">
        <f t="shared" si="33"/>
        <v>1</v>
      </c>
      <c r="AX49" s="629"/>
    </row>
    <row r="50" spans="2:50">
      <c r="B50" s="598"/>
      <c r="C50" s="340">
        <v>4</v>
      </c>
      <c r="D50" s="231" t="s">
        <v>401</v>
      </c>
      <c r="E50" s="187">
        <v>17</v>
      </c>
      <c r="F50" s="340">
        <v>1440</v>
      </c>
      <c r="G50" s="341">
        <v>84.705882352941174</v>
      </c>
      <c r="H50" s="633"/>
      <c r="I50" s="204">
        <f t="shared" si="24"/>
        <v>17</v>
      </c>
      <c r="J50" s="204">
        <f t="shared" si="25"/>
        <v>1256.8025302185345</v>
      </c>
      <c r="K50" s="205">
        <f t="shared" si="26"/>
        <v>73.929560601090245</v>
      </c>
      <c r="L50" s="572"/>
      <c r="M50" s="206">
        <f>RANK(K50, K$47:$K$61)</f>
        <v>2</v>
      </c>
      <c r="N50" s="590"/>
      <c r="O50" s="590"/>
      <c r="P50" s="378">
        <v>17</v>
      </c>
      <c r="Q50" s="379">
        <v>1204.8000000000043</v>
      </c>
      <c r="R50" s="379">
        <v>70.870588235294363</v>
      </c>
      <c r="S50" s="346">
        <f t="shared" si="27"/>
        <v>2</v>
      </c>
      <c r="T50" s="633"/>
      <c r="U50" s="468">
        <v>17</v>
      </c>
      <c r="V50" s="469">
        <v>1213.2923076923119</v>
      </c>
      <c r="W50" s="469">
        <v>71.370135746606579</v>
      </c>
      <c r="X50" s="346">
        <f t="shared" si="28"/>
        <v>2</v>
      </c>
      <c r="Y50" s="633"/>
      <c r="Z50" s="468">
        <v>17</v>
      </c>
      <c r="AA50" s="469">
        <v>1276.9565217391305</v>
      </c>
      <c r="AB50" s="469">
        <v>75.115089514066497</v>
      </c>
      <c r="AC50" s="346">
        <f t="shared" si="29"/>
        <v>2</v>
      </c>
      <c r="AD50" s="633"/>
      <c r="AE50" s="468">
        <v>17</v>
      </c>
      <c r="AF50" s="469">
        <v>1263.0252100840339</v>
      </c>
      <c r="AG50" s="469">
        <v>74.295600593178463</v>
      </c>
      <c r="AH50" s="346">
        <f t="shared" si="30"/>
        <v>2</v>
      </c>
      <c r="AI50" s="633"/>
      <c r="AJ50" s="468">
        <v>17</v>
      </c>
      <c r="AK50" s="469">
        <v>1284.7058823529414</v>
      </c>
      <c r="AL50" s="469">
        <v>75.570934256055381</v>
      </c>
      <c r="AM50" s="346">
        <f t="shared" si="31"/>
        <v>2</v>
      </c>
      <c r="AN50" s="633"/>
      <c r="AO50" s="468">
        <v>17</v>
      </c>
      <c r="AP50" s="469">
        <v>1289.019607843137</v>
      </c>
      <c r="AQ50" s="469">
        <v>75.824682814302179</v>
      </c>
      <c r="AR50" s="346">
        <f t="shared" si="32"/>
        <v>2</v>
      </c>
      <c r="AS50" s="633"/>
      <c r="AT50" s="468">
        <v>17</v>
      </c>
      <c r="AU50" s="469">
        <v>1265.818181818182</v>
      </c>
      <c r="AV50" s="469">
        <v>74.45989304812835</v>
      </c>
      <c r="AW50" s="346">
        <f t="shared" si="33"/>
        <v>2</v>
      </c>
      <c r="AX50" s="629"/>
    </row>
    <row r="51" spans="2:50">
      <c r="B51" s="598"/>
      <c r="C51" s="340">
        <v>5</v>
      </c>
      <c r="D51" s="231" t="s">
        <v>403</v>
      </c>
      <c r="E51" s="187">
        <v>19</v>
      </c>
      <c r="F51" s="340">
        <v>1440</v>
      </c>
      <c r="G51" s="341">
        <v>75.78947368421052</v>
      </c>
      <c r="H51" s="633"/>
      <c r="I51" s="204">
        <f t="shared" si="24"/>
        <v>19</v>
      </c>
      <c r="J51" s="204">
        <f t="shared" si="25"/>
        <v>1234.0486141309673</v>
      </c>
      <c r="K51" s="205">
        <f t="shared" si="26"/>
        <v>64.949927059524583</v>
      </c>
      <c r="L51" s="572"/>
      <c r="M51" s="206">
        <f>RANK(K51, K$47:$K$61)</f>
        <v>6</v>
      </c>
      <c r="N51" s="590"/>
      <c r="O51" s="590"/>
      <c r="P51" s="378">
        <v>19</v>
      </c>
      <c r="Q51" s="379">
        <v>1231.1538461538469</v>
      </c>
      <c r="R51" s="379">
        <v>64.797570850202462</v>
      </c>
      <c r="S51" s="346">
        <f t="shared" si="27"/>
        <v>6</v>
      </c>
      <c r="T51" s="633"/>
      <c r="U51" s="468">
        <v>19</v>
      </c>
      <c r="V51" s="469">
        <v>1227.2727272727263</v>
      </c>
      <c r="W51" s="469">
        <v>64.593301435406644</v>
      </c>
      <c r="X51" s="346">
        <f t="shared" si="28"/>
        <v>5</v>
      </c>
      <c r="Y51" s="633"/>
      <c r="Z51" s="468">
        <v>19</v>
      </c>
      <c r="AA51" s="469">
        <v>1245.6000000000004</v>
      </c>
      <c r="AB51" s="469">
        <v>65.55789473684213</v>
      </c>
      <c r="AC51" s="346">
        <f t="shared" si="29"/>
        <v>5</v>
      </c>
      <c r="AD51" s="633"/>
      <c r="AE51" s="468">
        <v>19</v>
      </c>
      <c r="AF51" s="469">
        <v>1229.9999999999995</v>
      </c>
      <c r="AG51" s="469">
        <v>64.736842105263136</v>
      </c>
      <c r="AH51" s="346">
        <f t="shared" si="30"/>
        <v>6</v>
      </c>
      <c r="AI51" s="633"/>
      <c r="AJ51" s="468">
        <v>19</v>
      </c>
      <c r="AK51" s="469">
        <v>1206.6666666666667</v>
      </c>
      <c r="AL51" s="469">
        <v>63.508771929824569</v>
      </c>
      <c r="AM51" s="346">
        <f t="shared" si="31"/>
        <v>7</v>
      </c>
      <c r="AN51" s="633"/>
      <c r="AO51" s="468">
        <v>19</v>
      </c>
      <c r="AP51" s="469">
        <v>1232.9411764705887</v>
      </c>
      <c r="AQ51" s="469">
        <v>64.89164086687309</v>
      </c>
      <c r="AR51" s="346">
        <f t="shared" si="32"/>
        <v>4</v>
      </c>
      <c r="AS51" s="633"/>
      <c r="AT51" s="468">
        <v>19</v>
      </c>
      <c r="AU51" s="469">
        <v>1264.7058823529419</v>
      </c>
      <c r="AV51" s="469">
        <v>66.563467492260102</v>
      </c>
      <c r="AW51" s="346">
        <f t="shared" si="33"/>
        <v>5</v>
      </c>
      <c r="AX51" s="629"/>
    </row>
    <row r="52" spans="2:50">
      <c r="B52" s="598"/>
      <c r="C52" s="340">
        <v>6</v>
      </c>
      <c r="D52" s="231" t="s">
        <v>404</v>
      </c>
      <c r="E52" s="187">
        <v>20</v>
      </c>
      <c r="F52" s="340">
        <v>1385</v>
      </c>
      <c r="G52" s="341">
        <v>69.25</v>
      </c>
      <c r="H52" s="633"/>
      <c r="I52" s="204">
        <f t="shared" si="24"/>
        <v>20</v>
      </c>
      <c r="J52" s="204">
        <f t="shared" si="25"/>
        <v>1226.9011609699567</v>
      </c>
      <c r="K52" s="205">
        <f t="shared" si="26"/>
        <v>61.345058048497833</v>
      </c>
      <c r="L52" s="572"/>
      <c r="M52" s="206">
        <f>RANK(K52, K$47:$K$61)</f>
        <v>10</v>
      </c>
      <c r="N52" s="590"/>
      <c r="O52" s="590"/>
      <c r="P52" s="378">
        <v>20</v>
      </c>
      <c r="Q52" s="379">
        <v>1228.9090909090917</v>
      </c>
      <c r="R52" s="379">
        <v>61.445454545454581</v>
      </c>
      <c r="S52" s="346">
        <f t="shared" si="27"/>
        <v>10</v>
      </c>
      <c r="T52" s="633"/>
      <c r="U52" s="468">
        <v>20</v>
      </c>
      <c r="V52" s="469">
        <v>1207.9687499999998</v>
      </c>
      <c r="W52" s="469">
        <v>60.398437499999986</v>
      </c>
      <c r="X52" s="346">
        <f t="shared" si="28"/>
        <v>10</v>
      </c>
      <c r="Y52" s="633"/>
      <c r="Z52" s="468">
        <v>20</v>
      </c>
      <c r="AA52" s="469">
        <v>1254.4954128440374</v>
      </c>
      <c r="AB52" s="469">
        <v>62.724770642201875</v>
      </c>
      <c r="AC52" s="346">
        <f t="shared" si="29"/>
        <v>8</v>
      </c>
      <c r="AD52" s="633"/>
      <c r="AE52" s="468">
        <v>20</v>
      </c>
      <c r="AF52" s="469">
        <v>1260</v>
      </c>
      <c r="AG52" s="469">
        <v>63</v>
      </c>
      <c r="AH52" s="346">
        <f t="shared" si="30"/>
        <v>8</v>
      </c>
      <c r="AI52" s="633"/>
      <c r="AJ52" s="468">
        <v>20</v>
      </c>
      <c r="AK52" s="469">
        <v>1205.2747252747254</v>
      </c>
      <c r="AL52" s="469">
        <v>60.26373626373627</v>
      </c>
      <c r="AM52" s="346">
        <f t="shared" si="31"/>
        <v>10</v>
      </c>
      <c r="AN52" s="633"/>
      <c r="AO52" s="468">
        <v>20</v>
      </c>
      <c r="AP52" s="469">
        <v>1215.8974358974351</v>
      </c>
      <c r="AQ52" s="469">
        <v>60.794871794871753</v>
      </c>
      <c r="AR52" s="346">
        <f t="shared" si="32"/>
        <v>10</v>
      </c>
      <c r="AS52" s="633"/>
      <c r="AT52" s="468">
        <v>20</v>
      </c>
      <c r="AU52" s="469">
        <v>1215.7627118644064</v>
      </c>
      <c r="AV52" s="469">
        <v>60.788135593220318</v>
      </c>
      <c r="AW52" s="346">
        <f t="shared" si="33"/>
        <v>10</v>
      </c>
      <c r="AX52" s="629"/>
    </row>
    <row r="53" spans="2:50">
      <c r="B53" s="598"/>
      <c r="C53" s="340">
        <v>7</v>
      </c>
      <c r="D53" s="231" t="s">
        <v>405</v>
      </c>
      <c r="E53" s="187">
        <v>20</v>
      </c>
      <c r="F53" s="340">
        <v>1440</v>
      </c>
      <c r="G53" s="341">
        <v>72</v>
      </c>
      <c r="H53" s="633"/>
      <c r="I53" s="204">
        <f t="shared" si="24"/>
        <v>20</v>
      </c>
      <c r="J53" s="204">
        <f t="shared" si="25"/>
        <v>1244.6073349820922</v>
      </c>
      <c r="K53" s="205">
        <f t="shared" si="26"/>
        <v>62.23036674910459</v>
      </c>
      <c r="L53" s="572"/>
      <c r="M53" s="206">
        <f>RANK(K53, K$47:$K$61)</f>
        <v>9</v>
      </c>
      <c r="N53" s="590"/>
      <c r="O53" s="590"/>
      <c r="P53" s="378">
        <v>20</v>
      </c>
      <c r="Q53" s="379">
        <v>1254.2857142857138</v>
      </c>
      <c r="R53" s="379">
        <v>62.714285714285687</v>
      </c>
      <c r="S53" s="346">
        <f t="shared" si="27"/>
        <v>8</v>
      </c>
      <c r="T53" s="633"/>
      <c r="U53" s="468">
        <v>20</v>
      </c>
      <c r="V53" s="469">
        <v>1254.4827586206893</v>
      </c>
      <c r="W53" s="469">
        <v>62.724137931034463</v>
      </c>
      <c r="X53" s="346">
        <f t="shared" si="28"/>
        <v>9</v>
      </c>
      <c r="Y53" s="633"/>
      <c r="Z53" s="468">
        <v>20</v>
      </c>
      <c r="AA53" s="469">
        <v>1219.5180722891562</v>
      </c>
      <c r="AB53" s="469">
        <v>60.975903614457806</v>
      </c>
      <c r="AC53" s="346">
        <f t="shared" si="29"/>
        <v>10</v>
      </c>
      <c r="AD53" s="633"/>
      <c r="AE53" s="468">
        <v>20</v>
      </c>
      <c r="AF53" s="469">
        <v>1253.766233766233</v>
      </c>
      <c r="AG53" s="469">
        <v>62.68831168831165</v>
      </c>
      <c r="AH53" s="346">
        <f t="shared" si="30"/>
        <v>9</v>
      </c>
      <c r="AI53" s="633"/>
      <c r="AJ53" s="468">
        <v>20</v>
      </c>
      <c r="AK53" s="469">
        <v>1260.8108108108099</v>
      </c>
      <c r="AL53" s="469">
        <v>63.040540540540498</v>
      </c>
      <c r="AM53" s="346">
        <f t="shared" si="31"/>
        <v>8</v>
      </c>
      <c r="AN53" s="633"/>
      <c r="AO53" s="468">
        <v>20</v>
      </c>
      <c r="AP53" s="469">
        <v>1240.0000000000005</v>
      </c>
      <c r="AQ53" s="469">
        <v>62.000000000000021</v>
      </c>
      <c r="AR53" s="346">
        <f t="shared" si="32"/>
        <v>9</v>
      </c>
      <c r="AS53" s="633"/>
      <c r="AT53" s="468">
        <v>20</v>
      </c>
      <c r="AU53" s="469">
        <v>1229.3877551020412</v>
      </c>
      <c r="AV53" s="469">
        <v>61.469387755102062</v>
      </c>
      <c r="AW53" s="346">
        <f t="shared" si="33"/>
        <v>9</v>
      </c>
      <c r="AX53" s="629"/>
    </row>
    <row r="54" spans="2:50">
      <c r="B54" s="598"/>
      <c r="C54" s="340">
        <v>8</v>
      </c>
      <c r="D54" s="231" t="s">
        <v>690</v>
      </c>
      <c r="E54" s="187">
        <v>19</v>
      </c>
      <c r="F54" s="340">
        <v>1385</v>
      </c>
      <c r="G54" s="341">
        <v>72.89473684210526</v>
      </c>
      <c r="H54" s="633"/>
      <c r="I54" s="470">
        <f t="shared" ref="I54:I56" si="34">AVERAGE(P54,U54,Z54,AE54,AJ54,AO54,AT54)</f>
        <v>19</v>
      </c>
      <c r="J54" s="470">
        <f t="shared" ref="J54:J56" si="35">AVERAGE(Q54,V54,AA54,AF54,AK54,AP54,AU54)</f>
        <v>1193.2152621829612</v>
      </c>
      <c r="K54" s="205">
        <f t="shared" ref="K54:K56" si="36">AVERAGE(R54,W54,AB54,AG54,AL54,AQ54,AV54)</f>
        <v>62.800803272787441</v>
      </c>
      <c r="L54" s="572"/>
      <c r="M54" s="206">
        <f>RANK(K54, K$47:$K$61)</f>
        <v>8</v>
      </c>
      <c r="N54" s="590"/>
      <c r="O54" s="590"/>
      <c r="P54" s="378">
        <v>19</v>
      </c>
      <c r="Q54" s="379">
        <v>1178.1818181818173</v>
      </c>
      <c r="R54" s="379">
        <v>62.009569377990388</v>
      </c>
      <c r="S54" s="346">
        <f t="shared" si="27"/>
        <v>9</v>
      </c>
      <c r="T54" s="633"/>
      <c r="U54" s="468">
        <v>19</v>
      </c>
      <c r="V54" s="469">
        <v>1202.9999999999993</v>
      </c>
      <c r="W54" s="469">
        <v>63.315789473684177</v>
      </c>
      <c r="X54" s="346">
        <f t="shared" si="28"/>
        <v>8</v>
      </c>
      <c r="Y54" s="633"/>
      <c r="Z54" s="468">
        <v>19</v>
      </c>
      <c r="AA54" s="469">
        <v>1206.8571428571436</v>
      </c>
      <c r="AB54" s="469">
        <v>63.518796992481242</v>
      </c>
      <c r="AC54" s="346">
        <f t="shared" si="29"/>
        <v>6</v>
      </c>
      <c r="AD54" s="633"/>
      <c r="AE54" s="468">
        <v>19</v>
      </c>
      <c r="AF54" s="469">
        <v>1181.2048192771081</v>
      </c>
      <c r="AG54" s="469">
        <v>62.168674698795165</v>
      </c>
      <c r="AH54" s="346">
        <f t="shared" si="30"/>
        <v>10</v>
      </c>
      <c r="AI54" s="633"/>
      <c r="AJ54" s="468">
        <v>19</v>
      </c>
      <c r="AK54" s="469">
        <v>1177.8947368421045</v>
      </c>
      <c r="AL54" s="469">
        <v>61.994459833794977</v>
      </c>
      <c r="AM54" s="346">
        <f t="shared" si="31"/>
        <v>9</v>
      </c>
      <c r="AN54" s="633"/>
      <c r="AO54" s="468">
        <v>19</v>
      </c>
      <c r="AP54" s="469">
        <v>1210.961538461539</v>
      </c>
      <c r="AQ54" s="469">
        <v>63.734817813765211</v>
      </c>
      <c r="AR54" s="346">
        <f t="shared" si="32"/>
        <v>7</v>
      </c>
      <c r="AS54" s="633"/>
      <c r="AT54" s="468">
        <v>19</v>
      </c>
      <c r="AU54" s="469">
        <v>1194.4067796610166</v>
      </c>
      <c r="AV54" s="469">
        <v>62.863514719000875</v>
      </c>
      <c r="AW54" s="346">
        <f t="shared" si="33"/>
        <v>8</v>
      </c>
      <c r="AX54" s="629"/>
    </row>
    <row r="55" spans="2:50">
      <c r="B55" s="598"/>
      <c r="C55" s="340">
        <v>9</v>
      </c>
      <c r="D55" s="231" t="s">
        <v>695</v>
      </c>
      <c r="E55" s="187">
        <v>18</v>
      </c>
      <c r="F55" s="340">
        <v>1385</v>
      </c>
      <c r="G55" s="341">
        <v>76.944444444444443</v>
      </c>
      <c r="H55" s="633"/>
      <c r="I55" s="470">
        <f t="shared" si="34"/>
        <v>18</v>
      </c>
      <c r="J55" s="470">
        <f t="shared" si="35"/>
        <v>1172.9156146776836</v>
      </c>
      <c r="K55" s="205">
        <f t="shared" si="36"/>
        <v>65.161978593204651</v>
      </c>
      <c r="L55" s="572"/>
      <c r="M55" s="206">
        <f>RANK(K55, K$47:$K$61)</f>
        <v>5</v>
      </c>
      <c r="N55" s="590"/>
      <c r="O55" s="590"/>
      <c r="P55" s="378">
        <v>18</v>
      </c>
      <c r="Q55" s="379">
        <v>1200.8108108108099</v>
      </c>
      <c r="R55" s="379">
        <v>66.711711711711658</v>
      </c>
      <c r="S55" s="346">
        <f t="shared" si="27"/>
        <v>4</v>
      </c>
      <c r="T55" s="633"/>
      <c r="U55" s="468">
        <v>18</v>
      </c>
      <c r="V55" s="469">
        <v>1161.8823529411761</v>
      </c>
      <c r="W55" s="469">
        <v>64.549019607843121</v>
      </c>
      <c r="X55" s="346">
        <f t="shared" si="28"/>
        <v>6</v>
      </c>
      <c r="Y55" s="633"/>
      <c r="Z55" s="468">
        <v>18</v>
      </c>
      <c r="AA55" s="469">
        <v>1098.6923076923115</v>
      </c>
      <c r="AB55" s="469">
        <v>61.038461538461746</v>
      </c>
      <c r="AC55" s="346">
        <f t="shared" si="29"/>
        <v>9</v>
      </c>
      <c r="AD55" s="633"/>
      <c r="AE55" s="468">
        <v>18</v>
      </c>
      <c r="AF55" s="469">
        <v>1197.0000000000043</v>
      </c>
      <c r="AG55" s="469">
        <v>66.500000000000242</v>
      </c>
      <c r="AH55" s="346">
        <f t="shared" si="30"/>
        <v>4</v>
      </c>
      <c r="AI55" s="633"/>
      <c r="AJ55" s="468">
        <v>18</v>
      </c>
      <c r="AK55" s="469">
        <v>1192.6530612244901</v>
      </c>
      <c r="AL55" s="469">
        <v>66.258503401360556</v>
      </c>
      <c r="AM55" s="346">
        <f t="shared" si="31"/>
        <v>4</v>
      </c>
      <c r="AN55" s="633"/>
      <c r="AO55" s="468">
        <v>18</v>
      </c>
      <c r="AP55" s="469">
        <v>1158.5915492957736</v>
      </c>
      <c r="AQ55" s="469">
        <v>64.366197183098535</v>
      </c>
      <c r="AR55" s="346">
        <f t="shared" si="32"/>
        <v>5</v>
      </c>
      <c r="AS55" s="633"/>
      <c r="AT55" s="468">
        <v>18</v>
      </c>
      <c r="AU55" s="469">
        <v>1200.7792207792199</v>
      </c>
      <c r="AV55" s="469">
        <v>66.709956709956657</v>
      </c>
      <c r="AW55" s="346">
        <f t="shared" si="33"/>
        <v>4</v>
      </c>
      <c r="AX55" s="629"/>
    </row>
    <row r="56" spans="2:50">
      <c r="B56" s="598"/>
      <c r="C56" s="340">
        <v>10</v>
      </c>
      <c r="D56" s="231" t="s">
        <v>746</v>
      </c>
      <c r="E56" s="187">
        <v>17</v>
      </c>
      <c r="F56" s="340">
        <v>1385</v>
      </c>
      <c r="G56" s="341">
        <v>81.470588235294116</v>
      </c>
      <c r="H56" s="633"/>
      <c r="I56" s="470">
        <f t="shared" si="34"/>
        <v>17.285714285714285</v>
      </c>
      <c r="J56" s="470">
        <f t="shared" si="35"/>
        <v>1185.3213110421286</v>
      </c>
      <c r="K56" s="205">
        <f t="shared" si="36"/>
        <v>68.612020437134547</v>
      </c>
      <c r="L56" s="572"/>
      <c r="M56" s="206">
        <f>RANK(K56, K$47:$K$61)</f>
        <v>3</v>
      </c>
      <c r="N56" s="590"/>
      <c r="O56" s="590"/>
      <c r="P56" s="378">
        <v>18</v>
      </c>
      <c r="Q56" s="379">
        <v>1181.6326530612248</v>
      </c>
      <c r="R56" s="379">
        <v>65.646258503401384</v>
      </c>
      <c r="S56" s="346">
        <f t="shared" si="27"/>
        <v>5</v>
      </c>
      <c r="T56" s="633"/>
      <c r="U56" s="468">
        <v>18</v>
      </c>
      <c r="V56" s="469">
        <v>1201.9047619047633</v>
      </c>
      <c r="W56" s="469">
        <v>66.772486772486843</v>
      </c>
      <c r="X56" s="346">
        <f t="shared" si="28"/>
        <v>3</v>
      </c>
      <c r="Y56" s="633"/>
      <c r="Z56" s="468">
        <v>17</v>
      </c>
      <c r="AA56" s="469">
        <v>1163.4375000000014</v>
      </c>
      <c r="AB56" s="469">
        <v>68.437500000000085</v>
      </c>
      <c r="AC56" s="346">
        <f t="shared" si="29"/>
        <v>3</v>
      </c>
      <c r="AD56" s="633"/>
      <c r="AE56" s="468">
        <v>17</v>
      </c>
      <c r="AF56" s="469">
        <v>1197.3134328358194</v>
      </c>
      <c r="AG56" s="469">
        <v>70.430201931518795</v>
      </c>
      <c r="AH56" s="346">
        <f t="shared" si="30"/>
        <v>3</v>
      </c>
      <c r="AI56" s="633"/>
      <c r="AJ56" s="468">
        <v>17</v>
      </c>
      <c r="AK56" s="469">
        <v>1183.9285714285722</v>
      </c>
      <c r="AL56" s="469">
        <v>69.642857142857196</v>
      </c>
      <c r="AM56" s="346">
        <f t="shared" si="31"/>
        <v>3</v>
      </c>
      <c r="AN56" s="633"/>
      <c r="AO56" s="468">
        <v>17</v>
      </c>
      <c r="AP56" s="469">
        <v>1207.7419354838721</v>
      </c>
      <c r="AQ56" s="469">
        <v>71.04364326375719</v>
      </c>
      <c r="AR56" s="346">
        <f t="shared" si="32"/>
        <v>3</v>
      </c>
      <c r="AS56" s="633"/>
      <c r="AT56" s="468">
        <v>17</v>
      </c>
      <c r="AU56" s="469">
        <v>1161.2903225806463</v>
      </c>
      <c r="AV56" s="469">
        <v>68.311195445920362</v>
      </c>
      <c r="AW56" s="346">
        <f t="shared" si="33"/>
        <v>3</v>
      </c>
      <c r="AX56" s="629"/>
    </row>
    <row r="57" spans="2:50">
      <c r="B57" s="598"/>
      <c r="C57" s="340">
        <v>11</v>
      </c>
      <c r="D57" s="231"/>
      <c r="E57" s="187"/>
      <c r="F57" s="340"/>
      <c r="G57" s="341"/>
      <c r="H57" s="633"/>
      <c r="I57" s="207"/>
      <c r="J57" s="207"/>
      <c r="K57" s="207"/>
      <c r="L57" s="572"/>
      <c r="M57" s="206" t="e">
        <f>RANK(K57, K$47:$K$61)</f>
        <v>#N/A</v>
      </c>
      <c r="N57" s="590"/>
      <c r="O57" s="590"/>
      <c r="P57" s="378"/>
      <c r="Q57" s="379"/>
      <c r="R57" s="379"/>
      <c r="S57" s="346" t="e">
        <f t="shared" si="27"/>
        <v>#N/A</v>
      </c>
      <c r="T57" s="633"/>
      <c r="U57" s="378"/>
      <c r="V57" s="379"/>
      <c r="W57" s="379"/>
      <c r="X57" s="346" t="e">
        <f t="shared" si="28"/>
        <v>#N/A</v>
      </c>
      <c r="Y57" s="633"/>
      <c r="Z57" s="378"/>
      <c r="AA57" s="379"/>
      <c r="AB57" s="379"/>
      <c r="AC57" s="346" t="e">
        <f t="shared" si="29"/>
        <v>#N/A</v>
      </c>
      <c r="AD57" s="633"/>
      <c r="AE57" s="378"/>
      <c r="AF57" s="379"/>
      <c r="AG57" s="379"/>
      <c r="AH57" s="346" t="e">
        <f t="shared" si="30"/>
        <v>#N/A</v>
      </c>
      <c r="AI57" s="633"/>
      <c r="AJ57" s="378"/>
      <c r="AK57" s="379"/>
      <c r="AL57" s="379"/>
      <c r="AM57" s="346" t="e">
        <f t="shared" si="31"/>
        <v>#N/A</v>
      </c>
      <c r="AN57" s="633"/>
      <c r="AO57" s="378"/>
      <c r="AP57" s="379"/>
      <c r="AQ57" s="379"/>
      <c r="AR57" s="346" t="e">
        <f t="shared" si="32"/>
        <v>#N/A</v>
      </c>
      <c r="AS57" s="633"/>
      <c r="AT57" s="378"/>
      <c r="AU57" s="379"/>
      <c r="AV57" s="379"/>
      <c r="AW57" s="346" t="e">
        <f t="shared" si="33"/>
        <v>#N/A</v>
      </c>
      <c r="AX57" s="629"/>
    </row>
    <row r="58" spans="2:50">
      <c r="B58" s="598"/>
      <c r="C58" s="340">
        <v>12</v>
      </c>
      <c r="D58" s="231"/>
      <c r="E58" s="187"/>
      <c r="F58" s="340"/>
      <c r="G58" s="341"/>
      <c r="H58" s="633"/>
      <c r="I58" s="207"/>
      <c r="J58" s="207"/>
      <c r="K58" s="207"/>
      <c r="L58" s="572"/>
      <c r="M58" s="206" t="e">
        <f>RANK(K58, K$47:$K$61)</f>
        <v>#N/A</v>
      </c>
      <c r="N58" s="590"/>
      <c r="O58" s="590"/>
      <c r="P58" s="378"/>
      <c r="Q58" s="379"/>
      <c r="R58" s="379"/>
      <c r="S58" s="346" t="e">
        <f t="shared" si="27"/>
        <v>#N/A</v>
      </c>
      <c r="T58" s="633"/>
      <c r="U58" s="378"/>
      <c r="V58" s="379"/>
      <c r="W58" s="379"/>
      <c r="X58" s="346" t="e">
        <f t="shared" si="28"/>
        <v>#N/A</v>
      </c>
      <c r="Y58" s="633"/>
      <c r="Z58" s="378"/>
      <c r="AA58" s="379"/>
      <c r="AB58" s="379"/>
      <c r="AC58" s="346" t="e">
        <f t="shared" si="29"/>
        <v>#N/A</v>
      </c>
      <c r="AD58" s="633"/>
      <c r="AE58" s="378"/>
      <c r="AF58" s="379"/>
      <c r="AG58" s="379"/>
      <c r="AH58" s="346" t="e">
        <f t="shared" si="30"/>
        <v>#N/A</v>
      </c>
      <c r="AI58" s="633"/>
      <c r="AJ58" s="378"/>
      <c r="AK58" s="379"/>
      <c r="AL58" s="379"/>
      <c r="AM58" s="346" t="e">
        <f t="shared" si="31"/>
        <v>#N/A</v>
      </c>
      <c r="AN58" s="633"/>
      <c r="AO58" s="378"/>
      <c r="AP58" s="379"/>
      <c r="AQ58" s="379"/>
      <c r="AR58" s="346" t="e">
        <f t="shared" si="32"/>
        <v>#N/A</v>
      </c>
      <c r="AS58" s="633"/>
      <c r="AT58" s="378"/>
      <c r="AU58" s="379"/>
      <c r="AV58" s="379"/>
      <c r="AW58" s="346" t="e">
        <f t="shared" si="33"/>
        <v>#N/A</v>
      </c>
      <c r="AX58" s="629"/>
    </row>
    <row r="59" spans="2:50">
      <c r="B59" s="598"/>
      <c r="C59" s="340">
        <v>13</v>
      </c>
      <c r="D59" s="231"/>
      <c r="E59" s="187"/>
      <c r="F59" s="340"/>
      <c r="G59" s="341"/>
      <c r="H59" s="633"/>
      <c r="I59" s="207"/>
      <c r="J59" s="207"/>
      <c r="K59" s="207"/>
      <c r="L59" s="572"/>
      <c r="M59" s="206" t="e">
        <f>RANK(K59, K$47:$K$61)</f>
        <v>#N/A</v>
      </c>
      <c r="N59" s="590"/>
      <c r="O59" s="590"/>
      <c r="P59" s="378"/>
      <c r="Q59" s="379"/>
      <c r="R59" s="379"/>
      <c r="S59" s="346" t="e">
        <f t="shared" si="27"/>
        <v>#N/A</v>
      </c>
      <c r="T59" s="633"/>
      <c r="U59" s="378"/>
      <c r="V59" s="379"/>
      <c r="W59" s="379"/>
      <c r="X59" s="346" t="e">
        <f t="shared" si="28"/>
        <v>#N/A</v>
      </c>
      <c r="Y59" s="633"/>
      <c r="Z59" s="378"/>
      <c r="AA59" s="379"/>
      <c r="AB59" s="379"/>
      <c r="AC59" s="346" t="e">
        <f t="shared" si="29"/>
        <v>#N/A</v>
      </c>
      <c r="AD59" s="633"/>
      <c r="AE59" s="378"/>
      <c r="AF59" s="379"/>
      <c r="AG59" s="379"/>
      <c r="AH59" s="346" t="e">
        <f t="shared" si="30"/>
        <v>#N/A</v>
      </c>
      <c r="AI59" s="633"/>
      <c r="AJ59" s="378"/>
      <c r="AK59" s="379"/>
      <c r="AL59" s="379"/>
      <c r="AM59" s="346" t="e">
        <f t="shared" si="31"/>
        <v>#N/A</v>
      </c>
      <c r="AN59" s="633"/>
      <c r="AO59" s="378"/>
      <c r="AP59" s="379"/>
      <c r="AQ59" s="379"/>
      <c r="AR59" s="346" t="e">
        <f t="shared" si="32"/>
        <v>#N/A</v>
      </c>
      <c r="AS59" s="633"/>
      <c r="AT59" s="378"/>
      <c r="AU59" s="379"/>
      <c r="AV59" s="379"/>
      <c r="AW59" s="346" t="e">
        <f t="shared" si="33"/>
        <v>#N/A</v>
      </c>
      <c r="AX59" s="629"/>
    </row>
    <row r="60" spans="2:50">
      <c r="B60" s="598"/>
      <c r="C60" s="340">
        <v>14</v>
      </c>
      <c r="D60" s="231"/>
      <c r="E60" s="187"/>
      <c r="F60" s="340"/>
      <c r="G60" s="341"/>
      <c r="H60" s="633"/>
      <c r="I60" s="207"/>
      <c r="J60" s="207"/>
      <c r="K60" s="207"/>
      <c r="L60" s="572"/>
      <c r="M60" s="206" t="e">
        <f>RANK(K60, K$47:$K$61)</f>
        <v>#N/A</v>
      </c>
      <c r="N60" s="590"/>
      <c r="O60" s="590"/>
      <c r="P60" s="378"/>
      <c r="Q60" s="379"/>
      <c r="R60" s="379"/>
      <c r="S60" s="346" t="e">
        <f t="shared" si="27"/>
        <v>#N/A</v>
      </c>
      <c r="T60" s="633"/>
      <c r="U60" s="378"/>
      <c r="V60" s="379"/>
      <c r="W60" s="379"/>
      <c r="X60" s="346" t="e">
        <f t="shared" si="28"/>
        <v>#N/A</v>
      </c>
      <c r="Y60" s="633"/>
      <c r="Z60" s="378"/>
      <c r="AA60" s="379"/>
      <c r="AB60" s="379"/>
      <c r="AC60" s="346" t="e">
        <f t="shared" si="29"/>
        <v>#N/A</v>
      </c>
      <c r="AD60" s="633"/>
      <c r="AE60" s="378"/>
      <c r="AF60" s="379"/>
      <c r="AG60" s="379"/>
      <c r="AH60" s="346" t="e">
        <f t="shared" si="30"/>
        <v>#N/A</v>
      </c>
      <c r="AI60" s="633"/>
      <c r="AJ60" s="378"/>
      <c r="AK60" s="379"/>
      <c r="AL60" s="379"/>
      <c r="AM60" s="346" t="e">
        <f t="shared" si="31"/>
        <v>#N/A</v>
      </c>
      <c r="AN60" s="633"/>
      <c r="AO60" s="378"/>
      <c r="AP60" s="379"/>
      <c r="AQ60" s="379"/>
      <c r="AR60" s="346" t="e">
        <f t="shared" si="32"/>
        <v>#N/A</v>
      </c>
      <c r="AS60" s="633"/>
      <c r="AT60" s="378"/>
      <c r="AU60" s="379"/>
      <c r="AV60" s="379"/>
      <c r="AW60" s="346" t="e">
        <f t="shared" si="33"/>
        <v>#N/A</v>
      </c>
      <c r="AX60" s="629"/>
    </row>
    <row r="61" spans="2:50">
      <c r="B61" s="598"/>
      <c r="C61" s="340">
        <v>15</v>
      </c>
      <c r="D61" s="231"/>
      <c r="E61" s="187"/>
      <c r="F61" s="340"/>
      <c r="G61" s="341"/>
      <c r="H61" s="634"/>
      <c r="I61" s="207"/>
      <c r="J61" s="207"/>
      <c r="K61" s="207"/>
      <c r="L61" s="573"/>
      <c r="M61" s="206" t="e">
        <f>RANK(K61, K$47:$K$61)</f>
        <v>#N/A</v>
      </c>
      <c r="N61" s="590"/>
      <c r="O61" s="590"/>
      <c r="P61" s="378"/>
      <c r="Q61" s="379"/>
      <c r="R61" s="379"/>
      <c r="S61" s="346" t="e">
        <f t="shared" si="27"/>
        <v>#N/A</v>
      </c>
      <c r="T61" s="634"/>
      <c r="U61" s="378"/>
      <c r="V61" s="379"/>
      <c r="W61" s="379"/>
      <c r="X61" s="346" t="e">
        <f t="shared" si="28"/>
        <v>#N/A</v>
      </c>
      <c r="Y61" s="634"/>
      <c r="Z61" s="378"/>
      <c r="AA61" s="379"/>
      <c r="AB61" s="379"/>
      <c r="AC61" s="346" t="e">
        <f t="shared" si="29"/>
        <v>#N/A</v>
      </c>
      <c r="AD61" s="634"/>
      <c r="AE61" s="378"/>
      <c r="AF61" s="379"/>
      <c r="AG61" s="379"/>
      <c r="AH61" s="346" t="e">
        <f t="shared" si="30"/>
        <v>#N/A</v>
      </c>
      <c r="AI61" s="634"/>
      <c r="AJ61" s="378"/>
      <c r="AK61" s="379"/>
      <c r="AL61" s="379"/>
      <c r="AM61" s="346" t="e">
        <f t="shared" si="31"/>
        <v>#N/A</v>
      </c>
      <c r="AN61" s="634"/>
      <c r="AO61" s="378"/>
      <c r="AP61" s="379"/>
      <c r="AQ61" s="379"/>
      <c r="AR61" s="346" t="e">
        <f t="shared" si="32"/>
        <v>#N/A</v>
      </c>
      <c r="AS61" s="634"/>
      <c r="AT61" s="378"/>
      <c r="AU61" s="379"/>
      <c r="AV61" s="379"/>
      <c r="AW61" s="346" t="e">
        <f t="shared" si="33"/>
        <v>#N/A</v>
      </c>
      <c r="AX61" s="629"/>
    </row>
    <row r="62" spans="2:50" ht="15.75">
      <c r="B62" s="602" t="s">
        <v>163</v>
      </c>
      <c r="C62" s="603"/>
      <c r="D62" s="603"/>
      <c r="E62" s="603"/>
      <c r="F62" s="603"/>
      <c r="G62" s="603"/>
      <c r="H62" s="604"/>
      <c r="I62" s="213"/>
      <c r="J62" s="213"/>
      <c r="K62" s="213"/>
      <c r="L62" s="213"/>
      <c r="M62" s="212"/>
      <c r="N62" s="591" t="s">
        <v>156</v>
      </c>
      <c r="O62" s="591" t="s">
        <v>105</v>
      </c>
      <c r="P62" s="597">
        <f>P42+7</f>
        <v>45951</v>
      </c>
      <c r="Q62" s="598"/>
      <c r="R62" s="598"/>
      <c r="S62" s="598"/>
      <c r="T62" s="598"/>
      <c r="U62" s="594">
        <f>P62+1</f>
        <v>45952</v>
      </c>
      <c r="V62" s="595"/>
      <c r="W62" s="595"/>
      <c r="X62" s="595"/>
      <c r="Y62" s="596"/>
      <c r="Z62" s="594">
        <f>U62+1</f>
        <v>45953</v>
      </c>
      <c r="AA62" s="595"/>
      <c r="AB62" s="595"/>
      <c r="AC62" s="595"/>
      <c r="AD62" s="596"/>
      <c r="AE62" s="594">
        <f>Z62+1</f>
        <v>45954</v>
      </c>
      <c r="AF62" s="595"/>
      <c r="AG62" s="595"/>
      <c r="AH62" s="595"/>
      <c r="AI62" s="596"/>
      <c r="AJ62" s="594">
        <f>AE62+1</f>
        <v>45955</v>
      </c>
      <c r="AK62" s="595"/>
      <c r="AL62" s="595"/>
      <c r="AM62" s="595"/>
      <c r="AN62" s="596"/>
      <c r="AO62" s="594">
        <f>AJ62+1</f>
        <v>45956</v>
      </c>
      <c r="AP62" s="595"/>
      <c r="AQ62" s="595"/>
      <c r="AR62" s="595"/>
      <c r="AS62" s="596"/>
      <c r="AT62" s="594">
        <f>AO62+1</f>
        <v>45957</v>
      </c>
      <c r="AU62" s="595"/>
      <c r="AV62" s="595"/>
      <c r="AW62" s="595"/>
      <c r="AX62" s="596"/>
    </row>
    <row r="63" spans="2:50" ht="15.75">
      <c r="B63" s="605"/>
      <c r="C63" s="605"/>
      <c r="D63" s="605"/>
      <c r="E63" s="605"/>
      <c r="F63" s="605"/>
      <c r="G63" s="605"/>
      <c r="H63" s="605"/>
      <c r="I63" s="210"/>
      <c r="J63" s="210"/>
      <c r="K63" s="210"/>
      <c r="L63" s="210"/>
      <c r="M63" s="211"/>
      <c r="N63" s="593"/>
      <c r="O63" s="593"/>
      <c r="P63" s="597" t="s">
        <v>336</v>
      </c>
      <c r="Q63" s="598"/>
      <c r="R63" s="598"/>
      <c r="S63" s="598"/>
      <c r="T63" s="598"/>
      <c r="U63" s="597" t="s">
        <v>337</v>
      </c>
      <c r="V63" s="598"/>
      <c r="W63" s="598"/>
      <c r="X63" s="598"/>
      <c r="Y63" s="598"/>
      <c r="Z63" s="597" t="s">
        <v>338</v>
      </c>
      <c r="AA63" s="598"/>
      <c r="AB63" s="598"/>
      <c r="AC63" s="598"/>
      <c r="AD63" s="598"/>
      <c r="AE63" s="597" t="s">
        <v>339</v>
      </c>
      <c r="AF63" s="598"/>
      <c r="AG63" s="598"/>
      <c r="AH63" s="598"/>
      <c r="AI63" s="598"/>
      <c r="AJ63" s="597" t="s">
        <v>340</v>
      </c>
      <c r="AK63" s="598"/>
      <c r="AL63" s="598"/>
      <c r="AM63" s="598"/>
      <c r="AN63" s="598"/>
      <c r="AO63" s="597" t="s">
        <v>341</v>
      </c>
      <c r="AP63" s="598"/>
      <c r="AQ63" s="598"/>
      <c r="AR63" s="598"/>
      <c r="AS63" s="598"/>
      <c r="AT63" s="597" t="s">
        <v>342</v>
      </c>
      <c r="AU63" s="598"/>
      <c r="AV63" s="598"/>
      <c r="AW63" s="598"/>
      <c r="AX63" s="598"/>
    </row>
    <row r="64" spans="2:50">
      <c r="B64" s="590" t="s">
        <v>444</v>
      </c>
      <c r="C64" s="590" t="s">
        <v>454</v>
      </c>
      <c r="D64" s="590"/>
      <c r="E64" s="590" t="s">
        <v>445</v>
      </c>
      <c r="F64" s="590"/>
      <c r="G64" s="590"/>
      <c r="H64" s="606" t="s">
        <v>441</v>
      </c>
      <c r="I64" s="574" t="s">
        <v>446</v>
      </c>
      <c r="J64" s="574"/>
      <c r="K64" s="574"/>
      <c r="L64" s="575" t="s">
        <v>441</v>
      </c>
      <c r="M64" s="581" t="s">
        <v>442</v>
      </c>
      <c r="N64" s="590"/>
      <c r="O64" s="590" t="s">
        <v>447</v>
      </c>
      <c r="P64" s="587" t="s">
        <v>443</v>
      </c>
      <c r="Q64" s="588"/>
      <c r="R64" s="588"/>
      <c r="S64" s="589"/>
      <c r="T64" s="590" t="s">
        <v>441</v>
      </c>
      <c r="U64" s="587" t="s">
        <v>443</v>
      </c>
      <c r="V64" s="588"/>
      <c r="W64" s="588"/>
      <c r="X64" s="589"/>
      <c r="Y64" s="590" t="s">
        <v>441</v>
      </c>
      <c r="Z64" s="587" t="s">
        <v>443</v>
      </c>
      <c r="AA64" s="588"/>
      <c r="AB64" s="588"/>
      <c r="AC64" s="589"/>
      <c r="AD64" s="590" t="s">
        <v>441</v>
      </c>
      <c r="AE64" s="587" t="s">
        <v>443</v>
      </c>
      <c r="AF64" s="588"/>
      <c r="AG64" s="588"/>
      <c r="AH64" s="589"/>
      <c r="AI64" s="590" t="s">
        <v>441</v>
      </c>
      <c r="AJ64" s="587" t="s">
        <v>443</v>
      </c>
      <c r="AK64" s="588"/>
      <c r="AL64" s="588"/>
      <c r="AM64" s="589"/>
      <c r="AN64" s="590" t="s">
        <v>441</v>
      </c>
      <c r="AO64" s="587" t="s">
        <v>443</v>
      </c>
      <c r="AP64" s="588"/>
      <c r="AQ64" s="588"/>
      <c r="AR64" s="589"/>
      <c r="AS64" s="590" t="s">
        <v>441</v>
      </c>
      <c r="AT64" s="587" t="s">
        <v>443</v>
      </c>
      <c r="AU64" s="588"/>
      <c r="AV64" s="588"/>
      <c r="AW64" s="589"/>
      <c r="AX64" s="590" t="s">
        <v>441</v>
      </c>
    </row>
    <row r="65" spans="2:50">
      <c r="B65" s="590"/>
      <c r="C65" s="590"/>
      <c r="D65" s="590"/>
      <c r="E65" s="590" t="s">
        <v>448</v>
      </c>
      <c r="F65" s="590"/>
      <c r="G65" s="590"/>
      <c r="H65" s="607"/>
      <c r="I65" s="574" t="s">
        <v>448</v>
      </c>
      <c r="J65" s="574"/>
      <c r="K65" s="574"/>
      <c r="L65" s="576"/>
      <c r="M65" s="582"/>
      <c r="N65" s="590"/>
      <c r="O65" s="590"/>
      <c r="P65" s="587" t="s">
        <v>449</v>
      </c>
      <c r="Q65" s="588"/>
      <c r="R65" s="588"/>
      <c r="S65" s="589"/>
      <c r="T65" s="590"/>
      <c r="U65" s="587" t="s">
        <v>449</v>
      </c>
      <c r="V65" s="588"/>
      <c r="W65" s="588"/>
      <c r="X65" s="589"/>
      <c r="Y65" s="590"/>
      <c r="Z65" s="587" t="s">
        <v>449</v>
      </c>
      <c r="AA65" s="588"/>
      <c r="AB65" s="588"/>
      <c r="AC65" s="589"/>
      <c r="AD65" s="590"/>
      <c r="AE65" s="587" t="s">
        <v>449</v>
      </c>
      <c r="AF65" s="588"/>
      <c r="AG65" s="588"/>
      <c r="AH65" s="589"/>
      <c r="AI65" s="590"/>
      <c r="AJ65" s="587" t="s">
        <v>449</v>
      </c>
      <c r="AK65" s="588"/>
      <c r="AL65" s="588"/>
      <c r="AM65" s="589"/>
      <c r="AN65" s="590"/>
      <c r="AO65" s="587" t="s">
        <v>449</v>
      </c>
      <c r="AP65" s="588"/>
      <c r="AQ65" s="588"/>
      <c r="AR65" s="589"/>
      <c r="AS65" s="590"/>
      <c r="AT65" s="587" t="s">
        <v>449</v>
      </c>
      <c r="AU65" s="588"/>
      <c r="AV65" s="588"/>
      <c r="AW65" s="589"/>
      <c r="AX65" s="590"/>
    </row>
    <row r="66" spans="2:50">
      <c r="B66" s="590"/>
      <c r="C66" s="590"/>
      <c r="D66" s="590"/>
      <c r="E66" s="318" t="s">
        <v>450</v>
      </c>
      <c r="F66" s="318" t="s">
        <v>451</v>
      </c>
      <c r="G66" s="318" t="s">
        <v>452</v>
      </c>
      <c r="H66" s="608"/>
      <c r="I66" s="317" t="s">
        <v>450</v>
      </c>
      <c r="J66" s="317" t="s">
        <v>451</v>
      </c>
      <c r="K66" s="317" t="s">
        <v>452</v>
      </c>
      <c r="L66" s="577"/>
      <c r="M66" s="583"/>
      <c r="N66" s="590"/>
      <c r="O66" s="590"/>
      <c r="P66" s="318" t="s">
        <v>450</v>
      </c>
      <c r="Q66" s="318" t="s">
        <v>451</v>
      </c>
      <c r="R66" s="318" t="s">
        <v>452</v>
      </c>
      <c r="S66" s="318" t="s">
        <v>442</v>
      </c>
      <c r="T66" s="590"/>
      <c r="U66" s="318" t="s">
        <v>450</v>
      </c>
      <c r="V66" s="318" t="s">
        <v>451</v>
      </c>
      <c r="W66" s="318" t="s">
        <v>452</v>
      </c>
      <c r="X66" s="318" t="s">
        <v>442</v>
      </c>
      <c r="Y66" s="590"/>
      <c r="Z66" s="318" t="s">
        <v>450</v>
      </c>
      <c r="AA66" s="318" t="s">
        <v>451</v>
      </c>
      <c r="AB66" s="318" t="s">
        <v>452</v>
      </c>
      <c r="AC66" s="318" t="s">
        <v>442</v>
      </c>
      <c r="AD66" s="590"/>
      <c r="AE66" s="318" t="s">
        <v>450</v>
      </c>
      <c r="AF66" s="318" t="s">
        <v>451</v>
      </c>
      <c r="AG66" s="318" t="s">
        <v>452</v>
      </c>
      <c r="AH66" s="318" t="s">
        <v>442</v>
      </c>
      <c r="AI66" s="590"/>
      <c r="AJ66" s="318" t="s">
        <v>450</v>
      </c>
      <c r="AK66" s="318" t="s">
        <v>451</v>
      </c>
      <c r="AL66" s="318" t="s">
        <v>452</v>
      </c>
      <c r="AM66" s="318" t="s">
        <v>442</v>
      </c>
      <c r="AN66" s="590"/>
      <c r="AO66" s="318" t="s">
        <v>450</v>
      </c>
      <c r="AP66" s="318" t="s">
        <v>451</v>
      </c>
      <c r="AQ66" s="318" t="s">
        <v>452</v>
      </c>
      <c r="AR66" s="318" t="s">
        <v>442</v>
      </c>
      <c r="AS66" s="590"/>
      <c r="AT66" s="318" t="s">
        <v>450</v>
      </c>
      <c r="AU66" s="318" t="s">
        <v>451</v>
      </c>
      <c r="AV66" s="318" t="s">
        <v>452</v>
      </c>
      <c r="AW66" s="318" t="s">
        <v>442</v>
      </c>
      <c r="AX66" s="590"/>
    </row>
    <row r="67" spans="2:50">
      <c r="B67" s="590" t="s">
        <v>472</v>
      </c>
      <c r="C67" s="319">
        <v>1</v>
      </c>
      <c r="D67" s="231" t="s">
        <v>399</v>
      </c>
      <c r="E67" s="187">
        <v>19</v>
      </c>
      <c r="F67" s="319">
        <v>1440</v>
      </c>
      <c r="G67" s="322">
        <v>75.78947368421052</v>
      </c>
      <c r="H67" s="632">
        <f>AVERAGE(G67:G81)</f>
        <v>78.086936704506357</v>
      </c>
      <c r="I67" s="204">
        <f>AVERAGE(P67,U67,Z67,AE67,AJ67,AO67,AT67)</f>
        <v>19</v>
      </c>
      <c r="J67" s="204">
        <f>AVERAGE(Q67,V67,AA67,AF67,AK67,AP67,AU67)</f>
        <v>1232.2348417766154</v>
      </c>
      <c r="K67" s="205">
        <f>AVERAGE(R67,W67,AB67,AG67,AL67,AQ67,AV67)</f>
        <v>64.854465356663965</v>
      </c>
      <c r="L67" s="571">
        <f>IFERROR(AVERAGE(K67:K81),"-")</f>
        <v>67.178894134654527</v>
      </c>
      <c r="M67" s="206">
        <f>RANK(K67, K$67:$K$81)</f>
        <v>5</v>
      </c>
      <c r="N67" s="590"/>
      <c r="O67" s="590"/>
      <c r="P67" s="187">
        <v>19</v>
      </c>
      <c r="Q67" s="379">
        <v>1232.1504000000004</v>
      </c>
      <c r="R67" s="379">
        <v>64.850021052631604</v>
      </c>
      <c r="S67" s="319">
        <f>RANK(R67, R$67:R$81)</f>
        <v>5</v>
      </c>
      <c r="T67" s="632">
        <f>AVERAGE(R67:R81)</f>
        <v>66.950450337914134</v>
      </c>
      <c r="U67" s="187">
        <v>19</v>
      </c>
      <c r="V67" s="473">
        <v>1220.3921568627447</v>
      </c>
      <c r="W67" s="473">
        <v>64.231166150670774</v>
      </c>
      <c r="X67" s="351">
        <f>RANK(W67, W$67:W$81)</f>
        <v>6</v>
      </c>
      <c r="Y67" s="632">
        <f>AVERAGE(W67:W81)</f>
        <v>67.097298540056144</v>
      </c>
      <c r="Z67" s="187">
        <v>19</v>
      </c>
      <c r="AA67" s="473">
        <v>1220.4761904761904</v>
      </c>
      <c r="AB67" s="473">
        <v>64.235588972431074</v>
      </c>
      <c r="AC67" s="351">
        <f>RANK(AB67, AB$67:AB$81)</f>
        <v>6</v>
      </c>
      <c r="AD67" s="632">
        <f>AVERAGE(AB67:AB81)</f>
        <v>67.162072128756847</v>
      </c>
      <c r="AE67" s="187">
        <v>19</v>
      </c>
      <c r="AF67" s="473">
        <v>1223.4795918367349</v>
      </c>
      <c r="AG67" s="473">
        <v>64.393662728249211</v>
      </c>
      <c r="AH67" s="351">
        <f>RANK(AG67, AG$67:AG$81)</f>
        <v>5</v>
      </c>
      <c r="AI67" s="632">
        <f>AVERAGE(AG67:AG81)</f>
        <v>66.692834758410328</v>
      </c>
      <c r="AJ67" s="187">
        <v>19</v>
      </c>
      <c r="AK67" s="473">
        <v>1266.1909090909087</v>
      </c>
      <c r="AL67" s="473">
        <v>66.641626794258357</v>
      </c>
      <c r="AM67" s="351">
        <f>RANK(AL67, AL$67:AL$81)</f>
        <v>4</v>
      </c>
      <c r="AN67" s="632">
        <f>AVERAGE(AL67:AL81)</f>
        <v>67.503583378924418</v>
      </c>
      <c r="AO67" s="187">
        <v>19</v>
      </c>
      <c r="AP67" s="473">
        <v>1221.2012195121952</v>
      </c>
      <c r="AQ67" s="473">
        <v>64.273748395378689</v>
      </c>
      <c r="AR67" s="351">
        <f>RANK(AQ67, AQ$67:AQ$81)</f>
        <v>7</v>
      </c>
      <c r="AS67" s="632">
        <f>AVERAGE(AQ67:AQ81)</f>
        <v>67.398819056831698</v>
      </c>
      <c r="AT67" s="187">
        <v>19</v>
      </c>
      <c r="AU67" s="473">
        <v>1241.7534246575342</v>
      </c>
      <c r="AV67" s="473">
        <v>65.355443403028119</v>
      </c>
      <c r="AW67" s="351">
        <f>RANK(AV67, AV$67:AV$81)</f>
        <v>5</v>
      </c>
      <c r="AX67" s="629">
        <f>AVERAGE(AV67:AV81)</f>
        <v>67.447200741688064</v>
      </c>
    </row>
    <row r="68" spans="2:50">
      <c r="B68" s="598"/>
      <c r="C68" s="319">
        <v>2</v>
      </c>
      <c r="D68" s="231" t="s">
        <v>400</v>
      </c>
      <c r="E68" s="187">
        <v>19</v>
      </c>
      <c r="F68" s="319">
        <v>1440</v>
      </c>
      <c r="G68" s="322">
        <v>75.78947368421052</v>
      </c>
      <c r="H68" s="633"/>
      <c r="I68" s="204">
        <f t="shared" ref="I68:I74" si="37">AVERAGE(P68,U68,Z68,AE68,AJ68,AO68,AT68)</f>
        <v>19</v>
      </c>
      <c r="J68" s="204">
        <f t="shared" ref="J68:J74" si="38">AVERAGE(Q68,V68,AA68,AF68,AK68,AP68,AU68)</f>
        <v>1231.3682749662562</v>
      </c>
      <c r="K68" s="205">
        <f t="shared" ref="K68:K74" si="39">AVERAGE(R68,W68,AB68,AG68,AL68,AQ68,AV68)</f>
        <v>64.808856577171383</v>
      </c>
      <c r="L68" s="572"/>
      <c r="M68" s="206">
        <f>RANK(K68, K$67:$K$81)</f>
        <v>6</v>
      </c>
      <c r="N68" s="590"/>
      <c r="O68" s="590"/>
      <c r="P68" s="378">
        <v>19</v>
      </c>
      <c r="Q68" s="379">
        <v>1208.6842105263149</v>
      </c>
      <c r="R68" s="379">
        <v>63.61495844875342</v>
      </c>
      <c r="S68" s="351">
        <f t="shared" ref="S68:S81" si="40">RANK(R68, R$67:R$81)</f>
        <v>7</v>
      </c>
      <c r="T68" s="633"/>
      <c r="U68" s="472">
        <v>19</v>
      </c>
      <c r="V68" s="473">
        <v>1255.7142857142844</v>
      </c>
      <c r="W68" s="473">
        <v>66.090225563909712</v>
      </c>
      <c r="X68" s="351">
        <f t="shared" ref="X68:X81" si="41">RANK(W68, W$67:W$81)</f>
        <v>5</v>
      </c>
      <c r="Y68" s="633"/>
      <c r="Z68" s="472">
        <v>19</v>
      </c>
      <c r="AA68" s="473">
        <v>1193.4000000000008</v>
      </c>
      <c r="AB68" s="473">
        <v>62.810526315789517</v>
      </c>
      <c r="AC68" s="351">
        <f t="shared" ref="AC68:AC81" si="42">RANK(AB68, AB$67:AB$81)</f>
        <v>9</v>
      </c>
      <c r="AD68" s="633"/>
      <c r="AE68" s="472">
        <v>19</v>
      </c>
      <c r="AF68" s="473">
        <v>1247.4418604651162</v>
      </c>
      <c r="AG68" s="473">
        <v>65.654834761321908</v>
      </c>
      <c r="AH68" s="351">
        <f t="shared" ref="AH68:AH81" si="43">RANK(AG68, AG$67:AG$81)</f>
        <v>4</v>
      </c>
      <c r="AI68" s="633"/>
      <c r="AJ68" s="472">
        <v>19</v>
      </c>
      <c r="AK68" s="473">
        <v>1231.5789473684201</v>
      </c>
      <c r="AL68" s="473">
        <v>64.819944598337898</v>
      </c>
      <c r="AM68" s="351">
        <f t="shared" ref="AM68:AM81" si="44">RANK(AL68, AL$67:AL$81)</f>
        <v>6</v>
      </c>
      <c r="AN68" s="633"/>
      <c r="AO68" s="472">
        <v>19</v>
      </c>
      <c r="AP68" s="473">
        <v>1243.44827586207</v>
      </c>
      <c r="AQ68" s="473">
        <v>65.444646098003687</v>
      </c>
      <c r="AR68" s="351">
        <f t="shared" ref="AR68:AR81" si="45">RANK(AQ68, AQ$67:AQ$81)</f>
        <v>4</v>
      </c>
      <c r="AS68" s="633"/>
      <c r="AT68" s="472">
        <v>19</v>
      </c>
      <c r="AU68" s="473">
        <v>1239.310344827587</v>
      </c>
      <c r="AV68" s="473">
        <v>65.226860254083519</v>
      </c>
      <c r="AW68" s="351">
        <f t="shared" ref="AW68:AW81" si="46">RANK(AV68, AV$67:AV$81)</f>
        <v>6</v>
      </c>
      <c r="AX68" s="629"/>
    </row>
    <row r="69" spans="2:50">
      <c r="B69" s="598"/>
      <c r="C69" s="319">
        <v>3</v>
      </c>
      <c r="D69" s="231" t="s">
        <v>402</v>
      </c>
      <c r="E69" s="187">
        <v>17</v>
      </c>
      <c r="F69" s="319">
        <v>1636</v>
      </c>
      <c r="G69" s="322">
        <v>96.235294117647058</v>
      </c>
      <c r="H69" s="633"/>
      <c r="I69" s="204">
        <f t="shared" si="37"/>
        <v>17</v>
      </c>
      <c r="J69" s="204">
        <f t="shared" si="38"/>
        <v>1378.3796074935979</v>
      </c>
      <c r="K69" s="205">
        <f t="shared" si="39"/>
        <v>81.081153381976364</v>
      </c>
      <c r="L69" s="572"/>
      <c r="M69" s="206">
        <f>RANK(K69, K$67:$K$81)</f>
        <v>1</v>
      </c>
      <c r="N69" s="590"/>
      <c r="O69" s="590"/>
      <c r="P69" s="378">
        <v>17</v>
      </c>
      <c r="Q69" s="379">
        <v>1383.1578947368412</v>
      </c>
      <c r="R69" s="379">
        <v>81.362229102167134</v>
      </c>
      <c r="S69" s="351">
        <f t="shared" si="40"/>
        <v>1</v>
      </c>
      <c r="T69" s="633"/>
      <c r="U69" s="472">
        <v>17</v>
      </c>
      <c r="V69" s="473">
        <v>1361.6666666666656</v>
      </c>
      <c r="W69" s="473">
        <v>80.098039215686214</v>
      </c>
      <c r="X69" s="351">
        <f t="shared" si="41"/>
        <v>1</v>
      </c>
      <c r="Y69" s="633"/>
      <c r="Z69" s="472">
        <v>17</v>
      </c>
      <c r="AA69" s="473">
        <v>1383.8709677419333</v>
      </c>
      <c r="AB69" s="473">
        <v>81.404174573054902</v>
      </c>
      <c r="AC69" s="351">
        <f t="shared" si="42"/>
        <v>1</v>
      </c>
      <c r="AD69" s="633"/>
      <c r="AE69" s="472">
        <v>17</v>
      </c>
      <c r="AF69" s="473">
        <v>1354.838709677417</v>
      </c>
      <c r="AG69" s="473">
        <v>79.696394686906885</v>
      </c>
      <c r="AH69" s="351">
        <f t="shared" si="43"/>
        <v>1</v>
      </c>
      <c r="AI69" s="633"/>
      <c r="AJ69" s="472">
        <v>17</v>
      </c>
      <c r="AK69" s="473">
        <v>1372.7272727272709</v>
      </c>
      <c r="AL69" s="473">
        <v>80.748663101604166</v>
      </c>
      <c r="AM69" s="351">
        <f t="shared" si="44"/>
        <v>1</v>
      </c>
      <c r="AN69" s="633"/>
      <c r="AO69" s="472">
        <v>17</v>
      </c>
      <c r="AP69" s="473">
        <v>1403.2653061224494</v>
      </c>
      <c r="AQ69" s="473">
        <v>82.545018007202899</v>
      </c>
      <c r="AR69" s="351">
        <f t="shared" si="45"/>
        <v>1</v>
      </c>
      <c r="AS69" s="633"/>
      <c r="AT69" s="472">
        <v>17</v>
      </c>
      <c r="AU69" s="473">
        <v>1389.1304347826085</v>
      </c>
      <c r="AV69" s="473">
        <v>81.713554987212262</v>
      </c>
      <c r="AW69" s="351">
        <f t="shared" si="46"/>
        <v>1</v>
      </c>
      <c r="AX69" s="629"/>
    </row>
    <row r="70" spans="2:50">
      <c r="B70" s="598"/>
      <c r="C70" s="319">
        <v>4</v>
      </c>
      <c r="D70" s="231" t="s">
        <v>401</v>
      </c>
      <c r="E70" s="187">
        <v>17</v>
      </c>
      <c r="F70" s="319">
        <v>1440</v>
      </c>
      <c r="G70" s="322">
        <v>84.705882352941174</v>
      </c>
      <c r="H70" s="633"/>
      <c r="I70" s="204">
        <f t="shared" si="37"/>
        <v>17</v>
      </c>
      <c r="J70" s="204">
        <f t="shared" si="38"/>
        <v>1283.6114198238881</v>
      </c>
      <c r="K70" s="205">
        <f t="shared" si="39"/>
        <v>75.506554107287542</v>
      </c>
      <c r="L70" s="572"/>
      <c r="M70" s="206">
        <f>RANK(K70, K$67:$K$81)</f>
        <v>2</v>
      </c>
      <c r="N70" s="590"/>
      <c r="O70" s="590"/>
      <c r="P70" s="378">
        <v>17</v>
      </c>
      <c r="Q70" s="379">
        <v>1268.4094488188975</v>
      </c>
      <c r="R70" s="379">
        <v>74.612320518758679</v>
      </c>
      <c r="S70" s="351">
        <f t="shared" si="40"/>
        <v>2</v>
      </c>
      <c r="T70" s="633"/>
      <c r="U70" s="472">
        <v>17</v>
      </c>
      <c r="V70" s="473">
        <v>1312.4102564102566</v>
      </c>
      <c r="W70" s="473">
        <v>77.200603318250387</v>
      </c>
      <c r="X70" s="351">
        <f t="shared" si="41"/>
        <v>2</v>
      </c>
      <c r="Y70" s="633"/>
      <c r="Z70" s="472">
        <v>17</v>
      </c>
      <c r="AA70" s="473">
        <v>1253.3288135593223</v>
      </c>
      <c r="AB70" s="473">
        <v>73.725224327018964</v>
      </c>
      <c r="AC70" s="351">
        <f t="shared" si="42"/>
        <v>2</v>
      </c>
      <c r="AD70" s="633"/>
      <c r="AE70" s="472">
        <v>17</v>
      </c>
      <c r="AF70" s="473">
        <v>1285.6410256410259</v>
      </c>
      <c r="AG70" s="473">
        <v>75.62594268476623</v>
      </c>
      <c r="AH70" s="351">
        <f t="shared" si="43"/>
        <v>2</v>
      </c>
      <c r="AI70" s="633"/>
      <c r="AJ70" s="472">
        <v>17</v>
      </c>
      <c r="AK70" s="473">
        <v>1304.1860465116276</v>
      </c>
      <c r="AL70" s="473">
        <v>76.716826265389855</v>
      </c>
      <c r="AM70" s="351">
        <f t="shared" si="44"/>
        <v>2</v>
      </c>
      <c r="AN70" s="633"/>
      <c r="AO70" s="472">
        <v>17</v>
      </c>
      <c r="AP70" s="473">
        <v>1270</v>
      </c>
      <c r="AQ70" s="473">
        <v>74.705882352941174</v>
      </c>
      <c r="AR70" s="351">
        <f t="shared" si="45"/>
        <v>2</v>
      </c>
      <c r="AS70" s="633"/>
      <c r="AT70" s="472">
        <v>17</v>
      </c>
      <c r="AU70" s="473">
        <v>1291.304347826087</v>
      </c>
      <c r="AV70" s="473">
        <v>75.959079283887476</v>
      </c>
      <c r="AW70" s="351">
        <f t="shared" si="46"/>
        <v>2</v>
      </c>
      <c r="AX70" s="629"/>
    </row>
    <row r="71" spans="2:50">
      <c r="B71" s="598"/>
      <c r="C71" s="319">
        <v>5</v>
      </c>
      <c r="D71" s="231" t="s">
        <v>403</v>
      </c>
      <c r="E71" s="187">
        <v>19</v>
      </c>
      <c r="F71" s="319">
        <v>1440</v>
      </c>
      <c r="G71" s="322">
        <v>75.78947368421052</v>
      </c>
      <c r="H71" s="633"/>
      <c r="I71" s="204">
        <f t="shared" si="37"/>
        <v>19</v>
      </c>
      <c r="J71" s="204">
        <f t="shared" si="38"/>
        <v>1222.0736860278575</v>
      </c>
      <c r="K71" s="205">
        <f t="shared" si="39"/>
        <v>64.31966768567672</v>
      </c>
      <c r="L71" s="572"/>
      <c r="M71" s="206">
        <f>RANK(K71, K$67:$K$81)</f>
        <v>7</v>
      </c>
      <c r="N71" s="590"/>
      <c r="O71" s="590"/>
      <c r="P71" s="378">
        <v>19</v>
      </c>
      <c r="Q71" s="379">
        <v>1223.4146341463411</v>
      </c>
      <c r="R71" s="379">
        <v>64.390243902439011</v>
      </c>
      <c r="S71" s="351">
        <f t="shared" si="40"/>
        <v>6</v>
      </c>
      <c r="T71" s="633"/>
      <c r="U71" s="472">
        <v>19</v>
      </c>
      <c r="V71" s="473">
        <v>1212.6315789473674</v>
      </c>
      <c r="W71" s="473">
        <v>63.822714681440388</v>
      </c>
      <c r="X71" s="351">
        <f t="shared" si="41"/>
        <v>7</v>
      </c>
      <c r="Y71" s="633"/>
      <c r="Z71" s="472">
        <v>19</v>
      </c>
      <c r="AA71" s="473">
        <v>1253.3333333333323</v>
      </c>
      <c r="AB71" s="473">
        <v>65.964912280701697</v>
      </c>
      <c r="AC71" s="351">
        <f t="shared" si="42"/>
        <v>4</v>
      </c>
      <c r="AD71" s="633"/>
      <c r="AE71" s="472">
        <v>19</v>
      </c>
      <c r="AF71" s="473">
        <v>1201.6216216216205</v>
      </c>
      <c r="AG71" s="473">
        <v>63.243243243243185</v>
      </c>
      <c r="AH71" s="351">
        <f t="shared" si="43"/>
        <v>7</v>
      </c>
      <c r="AI71" s="633"/>
      <c r="AJ71" s="472">
        <v>19</v>
      </c>
      <c r="AK71" s="473">
        <v>1223.4146341463411</v>
      </c>
      <c r="AL71" s="473">
        <v>64.390243902439011</v>
      </c>
      <c r="AM71" s="351">
        <f t="shared" si="44"/>
        <v>7</v>
      </c>
      <c r="AN71" s="633"/>
      <c r="AO71" s="472">
        <v>19</v>
      </c>
      <c r="AP71" s="473">
        <v>1227.6000000000004</v>
      </c>
      <c r="AQ71" s="473">
        <v>64.6105263157895</v>
      </c>
      <c r="AR71" s="351">
        <f t="shared" si="45"/>
        <v>6</v>
      </c>
      <c r="AS71" s="633"/>
      <c r="AT71" s="472">
        <v>19</v>
      </c>
      <c r="AU71" s="473">
        <v>1212.5000000000005</v>
      </c>
      <c r="AV71" s="473">
        <v>63.815789473684234</v>
      </c>
      <c r="AW71" s="351">
        <f t="shared" si="46"/>
        <v>7</v>
      </c>
      <c r="AX71" s="629"/>
    </row>
    <row r="72" spans="2:50">
      <c r="B72" s="598"/>
      <c r="C72" s="319">
        <v>6</v>
      </c>
      <c r="D72" s="231" t="s">
        <v>404</v>
      </c>
      <c r="E72" s="187">
        <v>20</v>
      </c>
      <c r="F72" s="319">
        <v>1385</v>
      </c>
      <c r="G72" s="322">
        <v>69.25</v>
      </c>
      <c r="H72" s="633"/>
      <c r="I72" s="204">
        <f t="shared" si="37"/>
        <v>20</v>
      </c>
      <c r="J72" s="204">
        <f t="shared" si="38"/>
        <v>1241.7475307601962</v>
      </c>
      <c r="K72" s="205">
        <f t="shared" si="39"/>
        <v>62.087376538009785</v>
      </c>
      <c r="L72" s="572"/>
      <c r="M72" s="206">
        <f>RANK(K72, K$67:$K$81)</f>
        <v>10</v>
      </c>
      <c r="N72" s="590"/>
      <c r="O72" s="590"/>
      <c r="P72" s="378">
        <v>20</v>
      </c>
      <c r="Q72" s="379">
        <v>1266.5454545454554</v>
      </c>
      <c r="R72" s="379">
        <v>63.327272727272771</v>
      </c>
      <c r="S72" s="351">
        <f t="shared" si="40"/>
        <v>9</v>
      </c>
      <c r="T72" s="633"/>
      <c r="U72" s="472">
        <v>20</v>
      </c>
      <c r="V72" s="473">
        <v>1221.0810810810801</v>
      </c>
      <c r="W72" s="473">
        <v>61.054054054054006</v>
      </c>
      <c r="X72" s="351">
        <f t="shared" si="41"/>
        <v>10</v>
      </c>
      <c r="Y72" s="633"/>
      <c r="Z72" s="472">
        <v>20</v>
      </c>
      <c r="AA72" s="473">
        <v>1235.1063829787236</v>
      </c>
      <c r="AB72" s="473">
        <v>61.755319148936181</v>
      </c>
      <c r="AC72" s="351">
        <f t="shared" si="42"/>
        <v>10</v>
      </c>
      <c r="AD72" s="633"/>
      <c r="AE72" s="472">
        <v>20</v>
      </c>
      <c r="AF72" s="473">
        <v>1239.7183098591536</v>
      </c>
      <c r="AG72" s="473">
        <v>61.98591549295768</v>
      </c>
      <c r="AH72" s="351">
        <f t="shared" si="43"/>
        <v>10</v>
      </c>
      <c r="AI72" s="633"/>
      <c r="AJ72" s="472">
        <v>20</v>
      </c>
      <c r="AK72" s="473">
        <v>1232.3076923076915</v>
      </c>
      <c r="AL72" s="473">
        <v>61.615384615384571</v>
      </c>
      <c r="AM72" s="351">
        <f t="shared" si="44"/>
        <v>10</v>
      </c>
      <c r="AN72" s="633"/>
      <c r="AO72" s="472">
        <v>20</v>
      </c>
      <c r="AP72" s="473">
        <v>1273.5849056603779</v>
      </c>
      <c r="AQ72" s="473">
        <v>63.679245283018894</v>
      </c>
      <c r="AR72" s="351">
        <f t="shared" si="45"/>
        <v>8</v>
      </c>
      <c r="AS72" s="633"/>
      <c r="AT72" s="472">
        <v>20</v>
      </c>
      <c r="AU72" s="473">
        <v>1223.8888888888896</v>
      </c>
      <c r="AV72" s="473">
        <v>61.194444444444478</v>
      </c>
      <c r="AW72" s="351">
        <f t="shared" si="46"/>
        <v>10</v>
      </c>
      <c r="AX72" s="629"/>
    </row>
    <row r="73" spans="2:50">
      <c r="B73" s="598"/>
      <c r="C73" s="319">
        <v>7</v>
      </c>
      <c r="D73" s="231" t="s">
        <v>405</v>
      </c>
      <c r="E73" s="187">
        <v>20</v>
      </c>
      <c r="F73" s="319">
        <v>1440</v>
      </c>
      <c r="G73" s="322">
        <v>72</v>
      </c>
      <c r="H73" s="633"/>
      <c r="I73" s="204">
        <f t="shared" si="37"/>
        <v>20</v>
      </c>
      <c r="J73" s="204">
        <f t="shared" si="38"/>
        <v>1244.915679287072</v>
      </c>
      <c r="K73" s="205">
        <f t="shared" si="39"/>
        <v>62.245783964353599</v>
      </c>
      <c r="L73" s="572"/>
      <c r="M73" s="206">
        <f>RANK(K73, K$67:$K$81)</f>
        <v>9</v>
      </c>
      <c r="N73" s="590"/>
      <c r="O73" s="590"/>
      <c r="P73" s="378">
        <v>20</v>
      </c>
      <c r="Q73" s="379">
        <v>1237.8947368421054</v>
      </c>
      <c r="R73" s="379">
        <v>61.894736842105274</v>
      </c>
      <c r="S73" s="351">
        <f t="shared" si="40"/>
        <v>10</v>
      </c>
      <c r="T73" s="633"/>
      <c r="U73" s="472">
        <v>20</v>
      </c>
      <c r="V73" s="473">
        <v>1236.1290322580646</v>
      </c>
      <c r="W73" s="473">
        <v>61.806451612903231</v>
      </c>
      <c r="X73" s="351">
        <f t="shared" si="41"/>
        <v>9</v>
      </c>
      <c r="Y73" s="633"/>
      <c r="Z73" s="472">
        <v>20</v>
      </c>
      <c r="AA73" s="473">
        <v>1267.9518072289152</v>
      </c>
      <c r="AB73" s="473">
        <v>63.397590361445758</v>
      </c>
      <c r="AC73" s="351">
        <f t="shared" si="42"/>
        <v>7</v>
      </c>
      <c r="AD73" s="633"/>
      <c r="AE73" s="472">
        <v>20</v>
      </c>
      <c r="AF73" s="473">
        <v>1254.4615384615397</v>
      </c>
      <c r="AG73" s="473">
        <v>62.723076923076988</v>
      </c>
      <c r="AH73" s="351">
        <f t="shared" si="43"/>
        <v>8</v>
      </c>
      <c r="AI73" s="633"/>
      <c r="AJ73" s="472">
        <v>20</v>
      </c>
      <c r="AK73" s="473">
        <v>1249.4117647058829</v>
      </c>
      <c r="AL73" s="473">
        <v>62.470588235294144</v>
      </c>
      <c r="AM73" s="351">
        <f t="shared" si="44"/>
        <v>9</v>
      </c>
      <c r="AN73" s="633"/>
      <c r="AO73" s="472">
        <v>20</v>
      </c>
      <c r="AP73" s="473">
        <v>1216.2352941176468</v>
      </c>
      <c r="AQ73" s="473">
        <v>60.811764705882339</v>
      </c>
      <c r="AR73" s="351">
        <f t="shared" si="45"/>
        <v>10</v>
      </c>
      <c r="AS73" s="633"/>
      <c r="AT73" s="472">
        <v>20</v>
      </c>
      <c r="AU73" s="473">
        <v>1252.3255813953488</v>
      </c>
      <c r="AV73" s="473">
        <v>62.616279069767437</v>
      </c>
      <c r="AW73" s="351">
        <f t="shared" si="46"/>
        <v>9</v>
      </c>
      <c r="AX73" s="629"/>
    </row>
    <row r="74" spans="2:50">
      <c r="B74" s="598"/>
      <c r="C74" s="319">
        <v>8</v>
      </c>
      <c r="D74" s="231" t="s">
        <v>690</v>
      </c>
      <c r="E74" s="187">
        <v>19</v>
      </c>
      <c r="F74" s="319">
        <v>1385</v>
      </c>
      <c r="G74" s="322">
        <v>72.89473684210526</v>
      </c>
      <c r="H74" s="633"/>
      <c r="I74" s="204">
        <f t="shared" si="37"/>
        <v>19</v>
      </c>
      <c r="J74" s="204">
        <f t="shared" si="38"/>
        <v>1193.5149110599389</v>
      </c>
      <c r="K74" s="205">
        <f t="shared" si="39"/>
        <v>62.81657426631255</v>
      </c>
      <c r="L74" s="572"/>
      <c r="M74" s="206">
        <f>RANK(K74, K$67:$K$81)</f>
        <v>8</v>
      </c>
      <c r="N74" s="590"/>
      <c r="O74" s="590"/>
      <c r="P74" s="378">
        <v>19</v>
      </c>
      <c r="Q74" s="379">
        <v>1206.1016949152536</v>
      </c>
      <c r="R74" s="379">
        <v>63.479036574487033</v>
      </c>
      <c r="S74" s="351">
        <f t="shared" si="40"/>
        <v>8</v>
      </c>
      <c r="T74" s="633"/>
      <c r="U74" s="472">
        <v>19</v>
      </c>
      <c r="V74" s="473">
        <v>1196.2247191011236</v>
      </c>
      <c r="W74" s="473">
        <v>62.959195742164397</v>
      </c>
      <c r="X74" s="351">
        <f t="shared" si="41"/>
        <v>8</v>
      </c>
      <c r="Y74" s="633"/>
      <c r="Z74" s="472">
        <v>19</v>
      </c>
      <c r="AA74" s="473">
        <v>1194.7058823529417</v>
      </c>
      <c r="AB74" s="473">
        <v>62.8792569659443</v>
      </c>
      <c r="AC74" s="351">
        <f t="shared" si="42"/>
        <v>8</v>
      </c>
      <c r="AD74" s="633"/>
      <c r="AE74" s="472">
        <v>19</v>
      </c>
      <c r="AF74" s="473">
        <v>1180.9756097560971</v>
      </c>
      <c r="AG74" s="473">
        <v>62.156611039794583</v>
      </c>
      <c r="AH74" s="351">
        <f t="shared" si="43"/>
        <v>9</v>
      </c>
      <c r="AI74" s="633"/>
      <c r="AJ74" s="472">
        <v>19</v>
      </c>
      <c r="AK74" s="473">
        <v>1209.8630136986292</v>
      </c>
      <c r="AL74" s="473">
        <v>63.67700072098048</v>
      </c>
      <c r="AM74" s="351">
        <f t="shared" si="44"/>
        <v>8</v>
      </c>
      <c r="AN74" s="633"/>
      <c r="AO74" s="472">
        <v>19</v>
      </c>
      <c r="AP74" s="473">
        <v>1170.5172413793096</v>
      </c>
      <c r="AQ74" s="473">
        <v>61.606170598911028</v>
      </c>
      <c r="AR74" s="351">
        <f t="shared" si="45"/>
        <v>9</v>
      </c>
      <c r="AS74" s="633"/>
      <c r="AT74" s="472">
        <v>19</v>
      </c>
      <c r="AU74" s="473">
        <v>1196.2162162162151</v>
      </c>
      <c r="AV74" s="473">
        <v>62.958748221906056</v>
      </c>
      <c r="AW74" s="351">
        <f t="shared" si="46"/>
        <v>8</v>
      </c>
      <c r="AX74" s="629"/>
    </row>
    <row r="75" spans="2:50">
      <c r="B75" s="598"/>
      <c r="C75" s="319">
        <v>9</v>
      </c>
      <c r="D75" s="231" t="s">
        <v>695</v>
      </c>
      <c r="E75" s="187">
        <v>18</v>
      </c>
      <c r="F75" s="319">
        <v>1385</v>
      </c>
      <c r="G75" s="322">
        <v>76.944444444444443</v>
      </c>
      <c r="H75" s="633"/>
      <c r="I75" s="474">
        <f t="shared" ref="I75:I76" si="47">AVERAGE(P75,U75,Z75,AE75,AJ75,AO75,AT75)</f>
        <v>18</v>
      </c>
      <c r="J75" s="474">
        <f t="shared" ref="J75:J76" si="48">AVERAGE(Q75,V75,AA75,AF75,AK75,AP75,AU75)</f>
        <v>1178.1760867497053</v>
      </c>
      <c r="K75" s="205">
        <f t="shared" ref="K75:K76" si="49">AVERAGE(R75,W75,AB75,AG75,AL75,AQ75,AV75)</f>
        <v>65.454227041650313</v>
      </c>
      <c r="L75" s="572"/>
      <c r="M75" s="206">
        <f>RANK(K75, K$67:$K$81)</f>
        <v>4</v>
      </c>
      <c r="N75" s="590"/>
      <c r="O75" s="590"/>
      <c r="P75" s="378">
        <v>18</v>
      </c>
      <c r="Q75" s="379">
        <v>1175.5263157894728</v>
      </c>
      <c r="R75" s="379">
        <v>65.307017543859601</v>
      </c>
      <c r="S75" s="351">
        <f t="shared" si="40"/>
        <v>4</v>
      </c>
      <c r="T75" s="633"/>
      <c r="U75" s="472">
        <v>18</v>
      </c>
      <c r="V75" s="473">
        <v>1208.8235294117662</v>
      </c>
      <c r="W75" s="473">
        <v>67.156862745098124</v>
      </c>
      <c r="X75" s="351">
        <f t="shared" si="41"/>
        <v>3</v>
      </c>
      <c r="Y75" s="633"/>
      <c r="Z75" s="472">
        <v>18</v>
      </c>
      <c r="AA75" s="473">
        <v>1181.4545454545462</v>
      </c>
      <c r="AB75" s="473">
        <v>65.636363636363683</v>
      </c>
      <c r="AC75" s="351">
        <f t="shared" si="42"/>
        <v>5</v>
      </c>
      <c r="AD75" s="633"/>
      <c r="AE75" s="472">
        <v>18</v>
      </c>
      <c r="AF75" s="473">
        <v>1148.8524590163945</v>
      </c>
      <c r="AG75" s="473">
        <v>63.825136612021915</v>
      </c>
      <c r="AH75" s="351">
        <f t="shared" si="43"/>
        <v>6</v>
      </c>
      <c r="AI75" s="633"/>
      <c r="AJ75" s="472">
        <v>18</v>
      </c>
      <c r="AK75" s="473">
        <v>1180.0000000000011</v>
      </c>
      <c r="AL75" s="473">
        <v>65.555555555555614</v>
      </c>
      <c r="AM75" s="351">
        <f t="shared" si="44"/>
        <v>5</v>
      </c>
      <c r="AN75" s="633"/>
      <c r="AO75" s="472">
        <v>18</v>
      </c>
      <c r="AP75" s="473">
        <v>1165.909090909091</v>
      </c>
      <c r="AQ75" s="473">
        <v>64.77272727272728</v>
      </c>
      <c r="AR75" s="351">
        <f t="shared" si="45"/>
        <v>5</v>
      </c>
      <c r="AS75" s="633"/>
      <c r="AT75" s="472">
        <v>18</v>
      </c>
      <c r="AU75" s="473">
        <v>1186.6666666666663</v>
      </c>
      <c r="AV75" s="473">
        <v>65.92592592592591</v>
      </c>
      <c r="AW75" s="351">
        <f t="shared" si="46"/>
        <v>4</v>
      </c>
      <c r="AX75" s="629"/>
    </row>
    <row r="76" spans="2:50">
      <c r="B76" s="598"/>
      <c r="C76" s="319">
        <v>10</v>
      </c>
      <c r="D76" s="231" t="s">
        <v>746</v>
      </c>
      <c r="E76" s="187">
        <v>17</v>
      </c>
      <c r="F76" s="319">
        <v>1385</v>
      </c>
      <c r="G76" s="322">
        <v>81.470588235294116</v>
      </c>
      <c r="H76" s="633"/>
      <c r="I76" s="474">
        <f t="shared" si="47"/>
        <v>17.285714285714285</v>
      </c>
      <c r="J76" s="474">
        <f t="shared" si="48"/>
        <v>1185.4742782641094</v>
      </c>
      <c r="K76" s="205">
        <f t="shared" si="49"/>
        <v>68.614282427442973</v>
      </c>
      <c r="L76" s="572"/>
      <c r="M76" s="206">
        <f>RANK(K76, K$67:$K$81)</f>
        <v>3</v>
      </c>
      <c r="N76" s="590"/>
      <c r="O76" s="590"/>
      <c r="P76" s="378">
        <v>18</v>
      </c>
      <c r="Q76" s="379">
        <v>1200.0000000000011</v>
      </c>
      <c r="R76" s="379">
        <v>66.666666666666728</v>
      </c>
      <c r="S76" s="351">
        <f t="shared" si="40"/>
        <v>3</v>
      </c>
      <c r="T76" s="633"/>
      <c r="U76" s="472">
        <v>18</v>
      </c>
      <c r="V76" s="473">
        <v>1197.9661016949162</v>
      </c>
      <c r="W76" s="473">
        <v>66.553672316384237</v>
      </c>
      <c r="X76" s="351">
        <f t="shared" si="41"/>
        <v>4</v>
      </c>
      <c r="Y76" s="633"/>
      <c r="Z76" s="472">
        <v>17</v>
      </c>
      <c r="AA76" s="473">
        <v>1186.8000000000002</v>
      </c>
      <c r="AB76" s="473">
        <v>69.811764705882368</v>
      </c>
      <c r="AC76" s="351">
        <f t="shared" si="42"/>
        <v>3</v>
      </c>
      <c r="AD76" s="633"/>
      <c r="AE76" s="472">
        <v>17</v>
      </c>
      <c r="AF76" s="473">
        <v>1149.6000000000001</v>
      </c>
      <c r="AG76" s="473">
        <v>67.623529411764707</v>
      </c>
      <c r="AH76" s="351">
        <f t="shared" si="43"/>
        <v>3</v>
      </c>
      <c r="AI76" s="633"/>
      <c r="AJ76" s="472">
        <v>17</v>
      </c>
      <c r="AK76" s="473">
        <v>1162.8000000000004</v>
      </c>
      <c r="AL76" s="473">
        <v>68.40000000000002</v>
      </c>
      <c r="AM76" s="351">
        <f t="shared" si="44"/>
        <v>3</v>
      </c>
      <c r="AN76" s="633"/>
      <c r="AO76" s="472">
        <v>17</v>
      </c>
      <c r="AP76" s="473">
        <v>1216.1538461538469</v>
      </c>
      <c r="AQ76" s="473">
        <v>71.538461538461576</v>
      </c>
      <c r="AR76" s="351">
        <f t="shared" si="45"/>
        <v>3</v>
      </c>
      <c r="AS76" s="633"/>
      <c r="AT76" s="472">
        <v>17</v>
      </c>
      <c r="AU76" s="473">
        <v>1185.0000000000007</v>
      </c>
      <c r="AV76" s="473">
        <v>69.705882352941217</v>
      </c>
      <c r="AW76" s="351">
        <f t="shared" si="46"/>
        <v>3</v>
      </c>
      <c r="AX76" s="629"/>
    </row>
    <row r="77" spans="2:50">
      <c r="B77" s="598"/>
      <c r="C77" s="319">
        <v>11</v>
      </c>
      <c r="D77" s="231"/>
      <c r="E77" s="187"/>
      <c r="F77" s="319"/>
      <c r="G77" s="322"/>
      <c r="H77" s="633"/>
      <c r="I77" s="207"/>
      <c r="J77" s="207"/>
      <c r="K77" s="207"/>
      <c r="L77" s="572"/>
      <c r="M77" s="206" t="e">
        <f>RANK(K77, K$67:$K$81)</f>
        <v>#N/A</v>
      </c>
      <c r="N77" s="590"/>
      <c r="O77" s="590"/>
      <c r="P77" s="378"/>
      <c r="Q77" s="379"/>
      <c r="R77" s="379"/>
      <c r="S77" s="351" t="e">
        <f t="shared" si="40"/>
        <v>#N/A</v>
      </c>
      <c r="T77" s="633"/>
      <c r="U77" s="378"/>
      <c r="V77" s="379"/>
      <c r="W77" s="379"/>
      <c r="X77" s="351" t="e">
        <f t="shared" si="41"/>
        <v>#N/A</v>
      </c>
      <c r="Y77" s="633"/>
      <c r="Z77" s="378"/>
      <c r="AA77" s="379"/>
      <c r="AB77" s="379"/>
      <c r="AC77" s="351" t="e">
        <f t="shared" si="42"/>
        <v>#N/A</v>
      </c>
      <c r="AD77" s="633"/>
      <c r="AE77" s="378"/>
      <c r="AF77" s="379"/>
      <c r="AG77" s="379"/>
      <c r="AH77" s="351" t="e">
        <f t="shared" si="43"/>
        <v>#N/A</v>
      </c>
      <c r="AI77" s="633"/>
      <c r="AJ77" s="378"/>
      <c r="AK77" s="379"/>
      <c r="AL77" s="379"/>
      <c r="AM77" s="351" t="e">
        <f t="shared" si="44"/>
        <v>#N/A</v>
      </c>
      <c r="AN77" s="633"/>
      <c r="AO77" s="378"/>
      <c r="AP77" s="379"/>
      <c r="AQ77" s="379"/>
      <c r="AR77" s="351" t="e">
        <f t="shared" si="45"/>
        <v>#N/A</v>
      </c>
      <c r="AS77" s="633"/>
      <c r="AT77" s="378"/>
      <c r="AU77" s="379"/>
      <c r="AV77" s="379"/>
      <c r="AW77" s="351" t="e">
        <f t="shared" si="46"/>
        <v>#N/A</v>
      </c>
      <c r="AX77" s="629"/>
    </row>
    <row r="78" spans="2:50">
      <c r="B78" s="598"/>
      <c r="C78" s="319">
        <v>12</v>
      </c>
      <c r="D78" s="231"/>
      <c r="E78" s="187"/>
      <c r="F78" s="319"/>
      <c r="G78" s="322"/>
      <c r="H78" s="633"/>
      <c r="I78" s="207"/>
      <c r="J78" s="207"/>
      <c r="K78" s="207"/>
      <c r="L78" s="572"/>
      <c r="M78" s="206" t="e">
        <f>RANK(K78, K$67:$K$81)</f>
        <v>#N/A</v>
      </c>
      <c r="N78" s="590"/>
      <c r="O78" s="590"/>
      <c r="P78" s="378"/>
      <c r="Q78" s="379"/>
      <c r="R78" s="379"/>
      <c r="S78" s="351" t="e">
        <f t="shared" si="40"/>
        <v>#N/A</v>
      </c>
      <c r="T78" s="633"/>
      <c r="U78" s="378"/>
      <c r="V78" s="379"/>
      <c r="W78" s="379"/>
      <c r="X78" s="351" t="e">
        <f t="shared" si="41"/>
        <v>#N/A</v>
      </c>
      <c r="Y78" s="633"/>
      <c r="Z78" s="378"/>
      <c r="AA78" s="379"/>
      <c r="AB78" s="379"/>
      <c r="AC78" s="351" t="e">
        <f t="shared" si="42"/>
        <v>#N/A</v>
      </c>
      <c r="AD78" s="633"/>
      <c r="AE78" s="378"/>
      <c r="AF78" s="379"/>
      <c r="AG78" s="379"/>
      <c r="AH78" s="351" t="e">
        <f t="shared" si="43"/>
        <v>#N/A</v>
      </c>
      <c r="AI78" s="633"/>
      <c r="AJ78" s="378"/>
      <c r="AK78" s="379"/>
      <c r="AL78" s="379"/>
      <c r="AM78" s="351" t="e">
        <f t="shared" si="44"/>
        <v>#N/A</v>
      </c>
      <c r="AN78" s="633"/>
      <c r="AO78" s="378"/>
      <c r="AP78" s="379"/>
      <c r="AQ78" s="379"/>
      <c r="AR78" s="351" t="e">
        <f t="shared" si="45"/>
        <v>#N/A</v>
      </c>
      <c r="AS78" s="633"/>
      <c r="AT78" s="378"/>
      <c r="AU78" s="379"/>
      <c r="AV78" s="379"/>
      <c r="AW78" s="351" t="e">
        <f t="shared" si="46"/>
        <v>#N/A</v>
      </c>
      <c r="AX78" s="629"/>
    </row>
    <row r="79" spans="2:50">
      <c r="B79" s="598"/>
      <c r="C79" s="319">
        <v>13</v>
      </c>
      <c r="D79" s="231"/>
      <c r="E79" s="187"/>
      <c r="F79" s="319"/>
      <c r="G79" s="322"/>
      <c r="H79" s="633"/>
      <c r="I79" s="207"/>
      <c r="J79" s="207"/>
      <c r="K79" s="207"/>
      <c r="L79" s="572"/>
      <c r="M79" s="206" t="e">
        <f>RANK(K79, K$67:$K$81)</f>
        <v>#N/A</v>
      </c>
      <c r="N79" s="590"/>
      <c r="O79" s="590"/>
      <c r="P79" s="378"/>
      <c r="Q79" s="379"/>
      <c r="R79" s="379"/>
      <c r="S79" s="351" t="e">
        <f t="shared" si="40"/>
        <v>#N/A</v>
      </c>
      <c r="T79" s="633"/>
      <c r="U79" s="378"/>
      <c r="V79" s="379"/>
      <c r="W79" s="379"/>
      <c r="X79" s="351" t="e">
        <f t="shared" si="41"/>
        <v>#N/A</v>
      </c>
      <c r="Y79" s="633"/>
      <c r="Z79" s="378"/>
      <c r="AA79" s="379"/>
      <c r="AB79" s="379"/>
      <c r="AC79" s="351" t="e">
        <f t="shared" si="42"/>
        <v>#N/A</v>
      </c>
      <c r="AD79" s="633"/>
      <c r="AE79" s="378"/>
      <c r="AF79" s="379"/>
      <c r="AG79" s="379"/>
      <c r="AH79" s="351" t="e">
        <f t="shared" si="43"/>
        <v>#N/A</v>
      </c>
      <c r="AI79" s="633"/>
      <c r="AJ79" s="378"/>
      <c r="AK79" s="379"/>
      <c r="AL79" s="379"/>
      <c r="AM79" s="351" t="e">
        <f t="shared" si="44"/>
        <v>#N/A</v>
      </c>
      <c r="AN79" s="633"/>
      <c r="AO79" s="378"/>
      <c r="AP79" s="379"/>
      <c r="AQ79" s="379"/>
      <c r="AR79" s="351" t="e">
        <f t="shared" si="45"/>
        <v>#N/A</v>
      </c>
      <c r="AS79" s="633"/>
      <c r="AT79" s="378"/>
      <c r="AU79" s="379"/>
      <c r="AV79" s="379"/>
      <c r="AW79" s="351" t="e">
        <f t="shared" si="46"/>
        <v>#N/A</v>
      </c>
      <c r="AX79" s="629"/>
    </row>
    <row r="80" spans="2:50">
      <c r="B80" s="598"/>
      <c r="C80" s="319">
        <v>14</v>
      </c>
      <c r="D80" s="231"/>
      <c r="E80" s="187"/>
      <c r="F80" s="319"/>
      <c r="G80" s="322"/>
      <c r="H80" s="633"/>
      <c r="I80" s="207"/>
      <c r="J80" s="207"/>
      <c r="K80" s="207"/>
      <c r="L80" s="572"/>
      <c r="M80" s="206" t="e">
        <f>RANK(K80, K$67:$K$81)</f>
        <v>#N/A</v>
      </c>
      <c r="N80" s="590"/>
      <c r="O80" s="590"/>
      <c r="P80" s="378"/>
      <c r="Q80" s="379"/>
      <c r="R80" s="379"/>
      <c r="S80" s="351" t="e">
        <f t="shared" si="40"/>
        <v>#N/A</v>
      </c>
      <c r="T80" s="633"/>
      <c r="U80" s="378"/>
      <c r="V80" s="379"/>
      <c r="W80" s="379"/>
      <c r="X80" s="351" t="e">
        <f t="shared" si="41"/>
        <v>#N/A</v>
      </c>
      <c r="Y80" s="633"/>
      <c r="Z80" s="378"/>
      <c r="AA80" s="379"/>
      <c r="AB80" s="379"/>
      <c r="AC80" s="351" t="e">
        <f t="shared" si="42"/>
        <v>#N/A</v>
      </c>
      <c r="AD80" s="633"/>
      <c r="AE80" s="378"/>
      <c r="AF80" s="379"/>
      <c r="AG80" s="379"/>
      <c r="AH80" s="351" t="e">
        <f t="shared" si="43"/>
        <v>#N/A</v>
      </c>
      <c r="AI80" s="633"/>
      <c r="AJ80" s="378"/>
      <c r="AK80" s="379"/>
      <c r="AL80" s="379"/>
      <c r="AM80" s="351" t="e">
        <f t="shared" si="44"/>
        <v>#N/A</v>
      </c>
      <c r="AN80" s="633"/>
      <c r="AO80" s="378"/>
      <c r="AP80" s="379"/>
      <c r="AQ80" s="379"/>
      <c r="AR80" s="351" t="e">
        <f t="shared" si="45"/>
        <v>#N/A</v>
      </c>
      <c r="AS80" s="633"/>
      <c r="AT80" s="378"/>
      <c r="AU80" s="379"/>
      <c r="AV80" s="379"/>
      <c r="AW80" s="351" t="e">
        <f t="shared" si="46"/>
        <v>#N/A</v>
      </c>
      <c r="AX80" s="629"/>
    </row>
    <row r="81" spans="2:50">
      <c r="B81" s="598"/>
      <c r="C81" s="319">
        <v>15</v>
      </c>
      <c r="D81" s="231"/>
      <c r="E81" s="187"/>
      <c r="F81" s="319"/>
      <c r="G81" s="322"/>
      <c r="H81" s="634"/>
      <c r="I81" s="207"/>
      <c r="J81" s="207"/>
      <c r="K81" s="207"/>
      <c r="L81" s="573"/>
      <c r="M81" s="206" t="e">
        <f>RANK(K81, K$67:$K$81)</f>
        <v>#N/A</v>
      </c>
      <c r="N81" s="590"/>
      <c r="O81" s="590"/>
      <c r="P81" s="378"/>
      <c r="Q81" s="379"/>
      <c r="R81" s="379"/>
      <c r="S81" s="351" t="e">
        <f t="shared" si="40"/>
        <v>#N/A</v>
      </c>
      <c r="T81" s="634"/>
      <c r="U81" s="378"/>
      <c r="V81" s="379"/>
      <c r="W81" s="379"/>
      <c r="X81" s="351" t="e">
        <f t="shared" si="41"/>
        <v>#N/A</v>
      </c>
      <c r="Y81" s="634"/>
      <c r="Z81" s="378"/>
      <c r="AA81" s="379"/>
      <c r="AB81" s="379"/>
      <c r="AC81" s="351" t="e">
        <f t="shared" si="42"/>
        <v>#N/A</v>
      </c>
      <c r="AD81" s="634"/>
      <c r="AE81" s="378"/>
      <c r="AF81" s="379"/>
      <c r="AG81" s="379"/>
      <c r="AH81" s="351" t="e">
        <f t="shared" si="43"/>
        <v>#N/A</v>
      </c>
      <c r="AI81" s="634"/>
      <c r="AJ81" s="378"/>
      <c r="AK81" s="379"/>
      <c r="AL81" s="379"/>
      <c r="AM81" s="351" t="e">
        <f t="shared" si="44"/>
        <v>#N/A</v>
      </c>
      <c r="AN81" s="634"/>
      <c r="AO81" s="378"/>
      <c r="AP81" s="379"/>
      <c r="AQ81" s="379"/>
      <c r="AR81" s="351" t="e">
        <f t="shared" si="45"/>
        <v>#N/A</v>
      </c>
      <c r="AS81" s="634"/>
      <c r="AT81" s="378"/>
      <c r="AU81" s="379"/>
      <c r="AV81" s="379"/>
      <c r="AW81" s="351" t="e">
        <f t="shared" si="46"/>
        <v>#N/A</v>
      </c>
      <c r="AX81" s="629"/>
    </row>
    <row r="82" spans="2:50" ht="15.75">
      <c r="B82" s="602" t="s">
        <v>163</v>
      </c>
      <c r="C82" s="603"/>
      <c r="D82" s="603"/>
      <c r="E82" s="603"/>
      <c r="F82" s="603"/>
      <c r="G82" s="603"/>
      <c r="H82" s="604"/>
      <c r="I82" s="213"/>
      <c r="J82" s="213"/>
      <c r="K82" s="213"/>
      <c r="L82" s="213"/>
      <c r="M82" s="212"/>
      <c r="N82" s="591" t="s">
        <v>156</v>
      </c>
      <c r="O82" s="591" t="s">
        <v>105</v>
      </c>
      <c r="P82" s="597">
        <f>P62+7</f>
        <v>45958</v>
      </c>
      <c r="Q82" s="598"/>
      <c r="R82" s="598"/>
      <c r="S82" s="598"/>
      <c r="T82" s="598"/>
      <c r="U82" s="594">
        <f>P82+1</f>
        <v>45959</v>
      </c>
      <c r="V82" s="595"/>
      <c r="W82" s="595"/>
      <c r="X82" s="595"/>
      <c r="Y82" s="596"/>
      <c r="Z82" s="594">
        <f>U82+1</f>
        <v>45960</v>
      </c>
      <c r="AA82" s="595"/>
      <c r="AB82" s="595"/>
      <c r="AC82" s="595"/>
      <c r="AD82" s="596"/>
      <c r="AE82" s="594">
        <f>Z82+1</f>
        <v>45961</v>
      </c>
      <c r="AF82" s="595"/>
      <c r="AG82" s="595"/>
      <c r="AH82" s="595"/>
      <c r="AI82" s="596"/>
      <c r="AJ82" s="594">
        <f>AE82+1</f>
        <v>45962</v>
      </c>
      <c r="AK82" s="595"/>
      <c r="AL82" s="595"/>
      <c r="AM82" s="595"/>
      <c r="AN82" s="596"/>
      <c r="AO82" s="594">
        <f>AJ82+1</f>
        <v>45963</v>
      </c>
      <c r="AP82" s="595"/>
      <c r="AQ82" s="595"/>
      <c r="AR82" s="595"/>
      <c r="AS82" s="596"/>
      <c r="AT82" s="594">
        <f>AO82+1</f>
        <v>45964</v>
      </c>
      <c r="AU82" s="595"/>
      <c r="AV82" s="595"/>
      <c r="AW82" s="595"/>
      <c r="AX82" s="596"/>
    </row>
    <row r="83" spans="2:50" ht="15.75">
      <c r="B83" s="605"/>
      <c r="C83" s="605"/>
      <c r="D83" s="605"/>
      <c r="E83" s="605"/>
      <c r="F83" s="605"/>
      <c r="G83" s="605"/>
      <c r="H83" s="605"/>
      <c r="I83" s="210"/>
      <c r="J83" s="210"/>
      <c r="K83" s="210"/>
      <c r="L83" s="210"/>
      <c r="M83" s="211"/>
      <c r="N83" s="593"/>
      <c r="O83" s="593"/>
      <c r="P83" s="597" t="s">
        <v>336</v>
      </c>
      <c r="Q83" s="598"/>
      <c r="R83" s="598"/>
      <c r="S83" s="598"/>
      <c r="T83" s="598"/>
      <c r="U83" s="597" t="s">
        <v>337</v>
      </c>
      <c r="V83" s="598"/>
      <c r="W83" s="598"/>
      <c r="X83" s="598"/>
      <c r="Y83" s="598"/>
      <c r="Z83" s="597" t="s">
        <v>338</v>
      </c>
      <c r="AA83" s="598"/>
      <c r="AB83" s="598"/>
      <c r="AC83" s="598"/>
      <c r="AD83" s="598"/>
      <c r="AE83" s="597" t="s">
        <v>339</v>
      </c>
      <c r="AF83" s="598"/>
      <c r="AG83" s="598"/>
      <c r="AH83" s="598"/>
      <c r="AI83" s="598"/>
      <c r="AJ83" s="597" t="s">
        <v>340</v>
      </c>
      <c r="AK83" s="598"/>
      <c r="AL83" s="598"/>
      <c r="AM83" s="598"/>
      <c r="AN83" s="598"/>
      <c r="AO83" s="597" t="s">
        <v>341</v>
      </c>
      <c r="AP83" s="598"/>
      <c r="AQ83" s="598"/>
      <c r="AR83" s="598"/>
      <c r="AS83" s="598"/>
      <c r="AT83" s="597" t="s">
        <v>342</v>
      </c>
      <c r="AU83" s="598"/>
      <c r="AV83" s="598"/>
      <c r="AW83" s="598"/>
      <c r="AX83" s="598"/>
    </row>
    <row r="84" spans="2:50">
      <c r="B84" s="590" t="s">
        <v>476</v>
      </c>
      <c r="C84" s="590" t="s">
        <v>477</v>
      </c>
      <c r="D84" s="590"/>
      <c r="E84" s="590" t="s">
        <v>478</v>
      </c>
      <c r="F84" s="590"/>
      <c r="G84" s="590"/>
      <c r="H84" s="606" t="s">
        <v>479</v>
      </c>
      <c r="I84" s="574" t="s">
        <v>480</v>
      </c>
      <c r="J84" s="574"/>
      <c r="K84" s="574"/>
      <c r="L84" s="575" t="s">
        <v>479</v>
      </c>
      <c r="M84" s="581" t="s">
        <v>481</v>
      </c>
      <c r="N84" s="590"/>
      <c r="O84" s="590" t="s">
        <v>482</v>
      </c>
      <c r="P84" s="587" t="s">
        <v>483</v>
      </c>
      <c r="Q84" s="588"/>
      <c r="R84" s="588"/>
      <c r="S84" s="589"/>
      <c r="T84" s="590" t="s">
        <v>479</v>
      </c>
      <c r="U84" s="587" t="s">
        <v>483</v>
      </c>
      <c r="V84" s="588"/>
      <c r="W84" s="588"/>
      <c r="X84" s="589"/>
      <c r="Y84" s="590" t="s">
        <v>479</v>
      </c>
      <c r="Z84" s="587" t="s">
        <v>483</v>
      </c>
      <c r="AA84" s="588"/>
      <c r="AB84" s="588"/>
      <c r="AC84" s="589"/>
      <c r="AD84" s="590" t="s">
        <v>479</v>
      </c>
      <c r="AE84" s="587" t="s">
        <v>483</v>
      </c>
      <c r="AF84" s="588"/>
      <c r="AG84" s="588"/>
      <c r="AH84" s="589"/>
      <c r="AI84" s="590" t="s">
        <v>479</v>
      </c>
      <c r="AJ84" s="587" t="s">
        <v>483</v>
      </c>
      <c r="AK84" s="588"/>
      <c r="AL84" s="588"/>
      <c r="AM84" s="589"/>
      <c r="AN84" s="590" t="s">
        <v>479</v>
      </c>
      <c r="AO84" s="587" t="s">
        <v>483</v>
      </c>
      <c r="AP84" s="588"/>
      <c r="AQ84" s="588"/>
      <c r="AR84" s="589"/>
      <c r="AS84" s="590" t="s">
        <v>479</v>
      </c>
      <c r="AT84" s="587" t="s">
        <v>483</v>
      </c>
      <c r="AU84" s="588"/>
      <c r="AV84" s="588"/>
      <c r="AW84" s="589"/>
      <c r="AX84" s="590" t="s">
        <v>479</v>
      </c>
    </row>
    <row r="85" spans="2:50">
      <c r="B85" s="590"/>
      <c r="C85" s="590"/>
      <c r="D85" s="590"/>
      <c r="E85" s="590" t="s">
        <v>484</v>
      </c>
      <c r="F85" s="590"/>
      <c r="G85" s="590"/>
      <c r="H85" s="607"/>
      <c r="I85" s="574" t="s">
        <v>484</v>
      </c>
      <c r="J85" s="574"/>
      <c r="K85" s="574"/>
      <c r="L85" s="576"/>
      <c r="M85" s="582"/>
      <c r="N85" s="590"/>
      <c r="O85" s="590"/>
      <c r="P85" s="587" t="s">
        <v>485</v>
      </c>
      <c r="Q85" s="588"/>
      <c r="R85" s="588"/>
      <c r="S85" s="589"/>
      <c r="T85" s="590"/>
      <c r="U85" s="587" t="s">
        <v>485</v>
      </c>
      <c r="V85" s="588"/>
      <c r="W85" s="588"/>
      <c r="X85" s="589"/>
      <c r="Y85" s="590"/>
      <c r="Z85" s="587" t="s">
        <v>485</v>
      </c>
      <c r="AA85" s="588"/>
      <c r="AB85" s="588"/>
      <c r="AC85" s="589"/>
      <c r="AD85" s="590"/>
      <c r="AE85" s="587" t="s">
        <v>485</v>
      </c>
      <c r="AF85" s="588"/>
      <c r="AG85" s="588"/>
      <c r="AH85" s="589"/>
      <c r="AI85" s="590"/>
      <c r="AJ85" s="587" t="s">
        <v>485</v>
      </c>
      <c r="AK85" s="588"/>
      <c r="AL85" s="588"/>
      <c r="AM85" s="589"/>
      <c r="AN85" s="590"/>
      <c r="AO85" s="587" t="s">
        <v>485</v>
      </c>
      <c r="AP85" s="588"/>
      <c r="AQ85" s="588"/>
      <c r="AR85" s="589"/>
      <c r="AS85" s="590"/>
      <c r="AT85" s="587" t="s">
        <v>485</v>
      </c>
      <c r="AU85" s="588"/>
      <c r="AV85" s="588"/>
      <c r="AW85" s="589"/>
      <c r="AX85" s="590"/>
    </row>
    <row r="86" spans="2:50">
      <c r="B86" s="590"/>
      <c r="C86" s="590"/>
      <c r="D86" s="590"/>
      <c r="E86" s="307" t="s">
        <v>486</v>
      </c>
      <c r="F86" s="307" t="s">
        <v>487</v>
      </c>
      <c r="G86" s="307" t="s">
        <v>488</v>
      </c>
      <c r="H86" s="608"/>
      <c r="I86" s="309" t="s">
        <v>486</v>
      </c>
      <c r="J86" s="309" t="s">
        <v>487</v>
      </c>
      <c r="K86" s="309" t="s">
        <v>488</v>
      </c>
      <c r="L86" s="577"/>
      <c r="M86" s="583"/>
      <c r="N86" s="590"/>
      <c r="O86" s="590"/>
      <c r="P86" s="307" t="s">
        <v>486</v>
      </c>
      <c r="Q86" s="307" t="s">
        <v>487</v>
      </c>
      <c r="R86" s="307" t="s">
        <v>488</v>
      </c>
      <c r="S86" s="307" t="s">
        <v>481</v>
      </c>
      <c r="T86" s="590"/>
      <c r="U86" s="307" t="s">
        <v>486</v>
      </c>
      <c r="V86" s="307" t="s">
        <v>487</v>
      </c>
      <c r="W86" s="307" t="s">
        <v>488</v>
      </c>
      <c r="X86" s="307" t="s">
        <v>481</v>
      </c>
      <c r="Y86" s="590"/>
      <c r="Z86" s="307" t="s">
        <v>486</v>
      </c>
      <c r="AA86" s="307" t="s">
        <v>487</v>
      </c>
      <c r="AB86" s="307" t="s">
        <v>488</v>
      </c>
      <c r="AC86" s="307" t="s">
        <v>481</v>
      </c>
      <c r="AD86" s="590"/>
      <c r="AE86" s="307" t="s">
        <v>486</v>
      </c>
      <c r="AF86" s="307" t="s">
        <v>487</v>
      </c>
      <c r="AG86" s="307" t="s">
        <v>488</v>
      </c>
      <c r="AH86" s="307" t="s">
        <v>481</v>
      </c>
      <c r="AI86" s="590"/>
      <c r="AJ86" s="307" t="s">
        <v>486</v>
      </c>
      <c r="AK86" s="307" t="s">
        <v>487</v>
      </c>
      <c r="AL86" s="307" t="s">
        <v>488</v>
      </c>
      <c r="AM86" s="307" t="s">
        <v>481</v>
      </c>
      <c r="AN86" s="590"/>
      <c r="AO86" s="307" t="s">
        <v>486</v>
      </c>
      <c r="AP86" s="307" t="s">
        <v>487</v>
      </c>
      <c r="AQ86" s="307" t="s">
        <v>488</v>
      </c>
      <c r="AR86" s="307" t="s">
        <v>481</v>
      </c>
      <c r="AS86" s="590"/>
      <c r="AT86" s="307" t="s">
        <v>486</v>
      </c>
      <c r="AU86" s="307" t="s">
        <v>487</v>
      </c>
      <c r="AV86" s="307" t="s">
        <v>488</v>
      </c>
      <c r="AW86" s="307" t="s">
        <v>481</v>
      </c>
      <c r="AX86" s="590"/>
    </row>
    <row r="87" spans="2:50">
      <c r="B87" s="590" t="s">
        <v>492</v>
      </c>
      <c r="C87" s="306">
        <v>1</v>
      </c>
      <c r="D87" s="231" t="s">
        <v>399</v>
      </c>
      <c r="E87" s="187">
        <v>18</v>
      </c>
      <c r="F87" s="306">
        <v>1440</v>
      </c>
      <c r="G87" s="308">
        <v>80</v>
      </c>
      <c r="H87" s="632">
        <f>AVERAGE(G87:G101)</f>
        <v>80.655209771308847</v>
      </c>
      <c r="I87" s="204">
        <f>AVERAGE(P87,U87,Z87,AE87,AJ87,AO87,AT87)</f>
        <v>18</v>
      </c>
      <c r="J87" s="204">
        <f>AVERAGE(Q87,V87,AA87,AF87,AK87,AP87,AU87)</f>
        <v>1230.0969054341183</v>
      </c>
      <c r="K87" s="205">
        <f>AVERAGE(R87,W87,AB87,AG87,AL87,AQ87,AV87)</f>
        <v>68.338716968562125</v>
      </c>
      <c r="L87" s="571">
        <f>IFERROR(AVERAGE(K87:K101),"-")</f>
        <v>68.146890928187773</v>
      </c>
      <c r="M87" s="206">
        <f>RANK(K87, K$87:$K$101)</f>
        <v>6</v>
      </c>
      <c r="N87" s="590"/>
      <c r="O87" s="590"/>
      <c r="P87" s="187">
        <v>18</v>
      </c>
      <c r="Q87" s="379">
        <v>1232.60625</v>
      </c>
      <c r="R87" s="379">
        <v>68.478125000000006</v>
      </c>
      <c r="S87" s="306">
        <f>RANK(R87, R$87:R$101)</f>
        <v>5</v>
      </c>
      <c r="T87" s="632">
        <f>AVERAGE(R87:R101)</f>
        <v>68.184064549963637</v>
      </c>
      <c r="U87" s="187">
        <v>18</v>
      </c>
      <c r="V87" s="496">
        <v>1233.6416184971094</v>
      </c>
      <c r="W87" s="496">
        <v>68.535645472061631</v>
      </c>
      <c r="X87" s="306">
        <f>RANK(W87, W$87:W$101)</f>
        <v>5</v>
      </c>
      <c r="Y87" s="632">
        <f>AVERAGE(W87:W101)</f>
        <v>68.098464112041682</v>
      </c>
      <c r="Z87" s="187">
        <v>18</v>
      </c>
      <c r="AA87" s="496">
        <v>1221.4545454545457</v>
      </c>
      <c r="AB87" s="496">
        <v>67.858585858585869</v>
      </c>
      <c r="AC87" s="306">
        <f>RANK(AB87, AB$87:AB$101)</f>
        <v>6</v>
      </c>
      <c r="AD87" s="632">
        <f>AVERAGE(AB87:AB101)</f>
        <v>67.560715521497158</v>
      </c>
      <c r="AE87" s="187">
        <v>18</v>
      </c>
      <c r="AF87" s="496">
        <v>1229.7196261682241</v>
      </c>
      <c r="AG87" s="496">
        <v>68.317757009345783</v>
      </c>
      <c r="AH87" s="306">
        <f>RANK(AG87, AG$87:AG$101)</f>
        <v>5</v>
      </c>
      <c r="AI87" s="632">
        <f>AVERAGE(AG87:AG101)</f>
        <v>67.006391852767862</v>
      </c>
      <c r="AJ87" s="187">
        <v>18</v>
      </c>
      <c r="AK87" s="496">
        <v>1265</v>
      </c>
      <c r="AL87" s="496">
        <v>70.277777777777771</v>
      </c>
      <c r="AM87" s="306">
        <f>RANK(AL87, AL$87:AL$101)</f>
        <v>5</v>
      </c>
      <c r="AN87" s="632">
        <f>AVERAGE(AL87:AL101)</f>
        <v>68.065362944435734</v>
      </c>
      <c r="AO87" s="187">
        <v>18</v>
      </c>
      <c r="AP87" s="496">
        <v>1210.5454545454547</v>
      </c>
      <c r="AQ87" s="496">
        <v>67.25252525252526</v>
      </c>
      <c r="AR87" s="306">
        <f>RANK(AQ87, AQ$87:AQ$101)</f>
        <v>6</v>
      </c>
      <c r="AS87" s="632">
        <f>AVERAGE(AQ87:AQ101)</f>
        <v>69.244048407999486</v>
      </c>
      <c r="AT87" s="187">
        <v>18</v>
      </c>
      <c r="AU87" s="496">
        <v>1217.7108433734941</v>
      </c>
      <c r="AV87" s="496">
        <v>67.650602409638566</v>
      </c>
      <c r="AW87" s="306">
        <f>RANK(AV87, AV$87:AV$101)</f>
        <v>6</v>
      </c>
      <c r="AX87" s="629">
        <f>AVERAGE(AV87:AV101)</f>
        <v>68.869189108608907</v>
      </c>
    </row>
    <row r="88" spans="2:50">
      <c r="B88" s="598"/>
      <c r="C88" s="306">
        <v>2</v>
      </c>
      <c r="D88" s="231" t="s">
        <v>400</v>
      </c>
      <c r="E88" s="187">
        <v>18</v>
      </c>
      <c r="F88" s="306">
        <v>1440</v>
      </c>
      <c r="G88" s="308">
        <v>80</v>
      </c>
      <c r="H88" s="633"/>
      <c r="I88" s="204">
        <f t="shared" ref="I88:K94" si="50">AVERAGE(P88,U88,Z88,AE88,AJ88,AO88,AT88)</f>
        <v>18</v>
      </c>
      <c r="J88" s="204">
        <f t="shared" si="50"/>
        <v>1236.9483391055478</v>
      </c>
      <c r="K88" s="205">
        <f t="shared" si="50"/>
        <v>68.719352172530435</v>
      </c>
      <c r="L88" s="572"/>
      <c r="M88" s="206">
        <f>RANK(K88, K$87:$K$101)</f>
        <v>5</v>
      </c>
      <c r="N88" s="590"/>
      <c r="O88" s="590"/>
      <c r="P88" s="378">
        <v>18</v>
      </c>
      <c r="Q88" s="379">
        <v>1226.0000000000011</v>
      </c>
      <c r="R88" s="379">
        <v>68.111111111111171</v>
      </c>
      <c r="S88" s="306">
        <f t="shared" ref="S88:S101" si="51">RANK(R88, R$87:R$101)</f>
        <v>6</v>
      </c>
      <c r="T88" s="633"/>
      <c r="U88" s="495">
        <v>18</v>
      </c>
      <c r="V88" s="496">
        <v>1246.5517241379321</v>
      </c>
      <c r="W88" s="496">
        <v>69.252873563218444</v>
      </c>
      <c r="X88" s="306">
        <f t="shared" ref="X88:X101" si="52">RANK(W88, W$87:W$101)</f>
        <v>4</v>
      </c>
      <c r="Y88" s="633"/>
      <c r="Z88" s="495">
        <v>18</v>
      </c>
      <c r="AA88" s="496">
        <v>1224.905660377359</v>
      </c>
      <c r="AB88" s="496">
        <v>68.050314465408832</v>
      </c>
      <c r="AC88" s="306">
        <f t="shared" ref="AC88:AC101" si="53">RANK(AB88, AB$87:AB$101)</f>
        <v>5</v>
      </c>
      <c r="AD88" s="633"/>
      <c r="AE88" s="495">
        <v>18</v>
      </c>
      <c r="AF88" s="496">
        <v>1261.3636363636365</v>
      </c>
      <c r="AG88" s="496">
        <v>70.075757575757578</v>
      </c>
      <c r="AH88" s="306">
        <f t="shared" ref="AH88:AH101" si="54">RANK(AG88, AG$87:AG$101)</f>
        <v>3</v>
      </c>
      <c r="AI88" s="633"/>
      <c r="AJ88" s="495">
        <v>18</v>
      </c>
      <c r="AK88" s="496">
        <v>1238.2978723404237</v>
      </c>
      <c r="AL88" s="496">
        <v>68.794326241134655</v>
      </c>
      <c r="AM88" s="306">
        <f t="shared" ref="AM88:AM101" si="55">RANK(AL88, AL$87:AL$101)</f>
        <v>6</v>
      </c>
      <c r="AN88" s="633"/>
      <c r="AO88" s="495">
        <v>18</v>
      </c>
      <c r="AP88" s="496">
        <v>1236.4285714285722</v>
      </c>
      <c r="AQ88" s="496">
        <v>68.690476190476232</v>
      </c>
      <c r="AR88" s="306">
        <f t="shared" ref="AR88:AR101" si="56">RANK(AQ88, AQ$87:AQ$101)</f>
        <v>5</v>
      </c>
      <c r="AS88" s="633"/>
      <c r="AT88" s="495">
        <v>18</v>
      </c>
      <c r="AU88" s="496">
        <v>1225.0909090909099</v>
      </c>
      <c r="AV88" s="496">
        <v>68.060606060606105</v>
      </c>
      <c r="AW88" s="306">
        <f t="shared" ref="AW88:AW101" si="57">RANK(AV88, AV$87:AV$101)</f>
        <v>5</v>
      </c>
      <c r="AX88" s="629"/>
    </row>
    <row r="89" spans="2:50">
      <c r="B89" s="598"/>
      <c r="C89" s="306">
        <v>3</v>
      </c>
      <c r="D89" s="231" t="s">
        <v>402</v>
      </c>
      <c r="E89" s="187">
        <v>17</v>
      </c>
      <c r="F89" s="306">
        <v>1636</v>
      </c>
      <c r="G89" s="308">
        <v>96.235294117647058</v>
      </c>
      <c r="H89" s="633"/>
      <c r="I89" s="204">
        <f t="shared" si="50"/>
        <v>17</v>
      </c>
      <c r="J89" s="204">
        <f t="shared" si="50"/>
        <v>1328.6833769405202</v>
      </c>
      <c r="K89" s="205">
        <f t="shared" si="50"/>
        <v>78.15784570238354</v>
      </c>
      <c r="L89" s="572"/>
      <c r="M89" s="206">
        <f>RANK(K89, K$87:$K$101)</f>
        <v>1</v>
      </c>
      <c r="N89" s="590"/>
      <c r="O89" s="590"/>
      <c r="P89" s="378">
        <v>17</v>
      </c>
      <c r="Q89" s="379">
        <v>1339.6153846153854</v>
      </c>
      <c r="R89" s="379">
        <v>78.800904977375609</v>
      </c>
      <c r="S89" s="306">
        <f t="shared" si="51"/>
        <v>2</v>
      </c>
      <c r="T89" s="633"/>
      <c r="U89" s="495">
        <v>17</v>
      </c>
      <c r="V89" s="496">
        <v>1357.2000000000005</v>
      </c>
      <c r="W89" s="496">
        <v>79.835294117647095</v>
      </c>
      <c r="X89" s="306">
        <f t="shared" si="52"/>
        <v>1</v>
      </c>
      <c r="Y89" s="633"/>
      <c r="Z89" s="495">
        <v>17</v>
      </c>
      <c r="AA89" s="496">
        <v>1353.3333333333358</v>
      </c>
      <c r="AB89" s="496">
        <v>79.607843137255045</v>
      </c>
      <c r="AC89" s="306">
        <f t="shared" si="53"/>
        <v>1</v>
      </c>
      <c r="AD89" s="633"/>
      <c r="AE89" s="495">
        <v>17</v>
      </c>
      <c r="AF89" s="496">
        <v>1173.999999999998</v>
      </c>
      <c r="AG89" s="496">
        <v>69.05882352941164</v>
      </c>
      <c r="AH89" s="306">
        <f t="shared" si="54"/>
        <v>4</v>
      </c>
      <c r="AI89" s="633"/>
      <c r="AJ89" s="495">
        <v>17</v>
      </c>
      <c r="AK89" s="496">
        <v>1357.7777777777785</v>
      </c>
      <c r="AL89" s="496">
        <v>79.869281045751677</v>
      </c>
      <c r="AM89" s="306">
        <f t="shared" si="55"/>
        <v>1</v>
      </c>
      <c r="AN89" s="633"/>
      <c r="AO89" s="495">
        <v>17</v>
      </c>
      <c r="AP89" s="496">
        <v>1374.8571428571413</v>
      </c>
      <c r="AQ89" s="496">
        <v>80.873949579831844</v>
      </c>
      <c r="AR89" s="306">
        <f t="shared" si="56"/>
        <v>2</v>
      </c>
      <c r="AS89" s="633"/>
      <c r="AT89" s="495">
        <v>17</v>
      </c>
      <c r="AU89" s="496">
        <v>1344.000000000002</v>
      </c>
      <c r="AV89" s="496">
        <v>79.058823529411882</v>
      </c>
      <c r="AW89" s="306">
        <f t="shared" si="57"/>
        <v>2</v>
      </c>
      <c r="AX89" s="629"/>
    </row>
    <row r="90" spans="2:50">
      <c r="B90" s="598"/>
      <c r="C90" s="306">
        <v>4</v>
      </c>
      <c r="D90" s="231" t="s">
        <v>401</v>
      </c>
      <c r="E90" s="187">
        <v>18</v>
      </c>
      <c r="F90" s="306">
        <v>1440</v>
      </c>
      <c r="G90" s="308">
        <v>80</v>
      </c>
      <c r="H90" s="633"/>
      <c r="I90" s="204">
        <f t="shared" si="50"/>
        <v>18</v>
      </c>
      <c r="J90" s="204">
        <f t="shared" si="50"/>
        <v>1260.3719609089437</v>
      </c>
      <c r="K90" s="205">
        <f t="shared" si="50"/>
        <v>70.020664494941315</v>
      </c>
      <c r="L90" s="572"/>
      <c r="M90" s="206">
        <f>RANK(K90, K$87:$K$101)</f>
        <v>4</v>
      </c>
      <c r="N90" s="590"/>
      <c r="O90" s="590"/>
      <c r="P90" s="378">
        <v>18</v>
      </c>
      <c r="Q90" s="379">
        <v>1271.2499999999982</v>
      </c>
      <c r="R90" s="379">
        <v>70.624999999999901</v>
      </c>
      <c r="S90" s="306">
        <f t="shared" si="51"/>
        <v>4</v>
      </c>
      <c r="T90" s="633"/>
      <c r="U90" s="495">
        <v>18</v>
      </c>
      <c r="V90" s="496">
        <v>1218.9677419354821</v>
      </c>
      <c r="W90" s="496">
        <v>67.720430107526781</v>
      </c>
      <c r="X90" s="306">
        <f t="shared" si="52"/>
        <v>6</v>
      </c>
      <c r="Y90" s="633"/>
      <c r="Z90" s="495">
        <v>18</v>
      </c>
      <c r="AA90" s="496">
        <v>1268.9999999999973</v>
      </c>
      <c r="AB90" s="496">
        <v>70.499999999999844</v>
      </c>
      <c r="AC90" s="306">
        <f t="shared" si="53"/>
        <v>3</v>
      </c>
      <c r="AD90" s="633"/>
      <c r="AE90" s="495">
        <v>18</v>
      </c>
      <c r="AF90" s="496">
        <v>1220.3478260869524</v>
      </c>
      <c r="AG90" s="496">
        <v>67.797101449275132</v>
      </c>
      <c r="AH90" s="306">
        <f t="shared" si="54"/>
        <v>6</v>
      </c>
      <c r="AI90" s="633"/>
      <c r="AJ90" s="495">
        <v>18</v>
      </c>
      <c r="AK90" s="496">
        <v>1275.6521739130392</v>
      </c>
      <c r="AL90" s="496">
        <v>70.86956521739107</v>
      </c>
      <c r="AM90" s="306">
        <f t="shared" si="55"/>
        <v>4</v>
      </c>
      <c r="AN90" s="633"/>
      <c r="AO90" s="495">
        <v>18</v>
      </c>
      <c r="AP90" s="496">
        <v>1286.4827586206873</v>
      </c>
      <c r="AQ90" s="496">
        <v>71.471264367815962</v>
      </c>
      <c r="AR90" s="306">
        <f t="shared" si="56"/>
        <v>4</v>
      </c>
      <c r="AS90" s="633"/>
      <c r="AT90" s="495">
        <v>18</v>
      </c>
      <c r="AU90" s="496">
        <v>1280.9032258064497</v>
      </c>
      <c r="AV90" s="496">
        <v>71.161290322580541</v>
      </c>
      <c r="AW90" s="306">
        <f t="shared" si="57"/>
        <v>4</v>
      </c>
      <c r="AX90" s="629"/>
    </row>
    <row r="91" spans="2:50">
      <c r="B91" s="598"/>
      <c r="C91" s="306">
        <v>5</v>
      </c>
      <c r="D91" s="231" t="s">
        <v>403</v>
      </c>
      <c r="E91" s="187">
        <v>19</v>
      </c>
      <c r="F91" s="306">
        <v>1440</v>
      </c>
      <c r="G91" s="308">
        <v>75.78947368421052</v>
      </c>
      <c r="H91" s="633"/>
      <c r="I91" s="204">
        <f t="shared" si="50"/>
        <v>19</v>
      </c>
      <c r="J91" s="204">
        <f t="shared" si="50"/>
        <v>1224.1206134149791</v>
      </c>
      <c r="K91" s="205">
        <f t="shared" si="50"/>
        <v>64.427400706051515</v>
      </c>
      <c r="L91" s="572"/>
      <c r="M91" s="206">
        <f>RANK(K91, K$87:$K$101)</f>
        <v>8</v>
      </c>
      <c r="N91" s="590"/>
      <c r="O91" s="590"/>
      <c r="P91" s="378">
        <v>19</v>
      </c>
      <c r="Q91" s="379">
        <v>1231.2500000000005</v>
      </c>
      <c r="R91" s="379">
        <v>64.802631578947398</v>
      </c>
      <c r="S91" s="306">
        <f t="shared" si="51"/>
        <v>7</v>
      </c>
      <c r="T91" s="633"/>
      <c r="U91" s="495">
        <v>19</v>
      </c>
      <c r="V91" s="496">
        <v>1226.9387755102043</v>
      </c>
      <c r="W91" s="496">
        <v>64.575725026852865</v>
      </c>
      <c r="X91" s="306">
        <f t="shared" si="52"/>
        <v>8</v>
      </c>
      <c r="Y91" s="633"/>
      <c r="Z91" s="495">
        <v>19</v>
      </c>
      <c r="AA91" s="496">
        <v>1212</v>
      </c>
      <c r="AB91" s="496">
        <v>63.789473684210527</v>
      </c>
      <c r="AC91" s="306">
        <f t="shared" si="53"/>
        <v>8</v>
      </c>
      <c r="AD91" s="633"/>
      <c r="AE91" s="495">
        <v>19</v>
      </c>
      <c r="AF91" s="496">
        <v>1218.4615384615377</v>
      </c>
      <c r="AG91" s="496">
        <v>64.129554655870407</v>
      </c>
      <c r="AH91" s="306">
        <f t="shared" si="54"/>
        <v>8</v>
      </c>
      <c r="AI91" s="633"/>
      <c r="AJ91" s="495">
        <v>19</v>
      </c>
      <c r="AK91" s="496">
        <v>1213.8461538461531</v>
      </c>
      <c r="AL91" s="496">
        <v>63.886639676113326</v>
      </c>
      <c r="AM91" s="306">
        <f t="shared" si="55"/>
        <v>8</v>
      </c>
      <c r="AN91" s="633"/>
      <c r="AO91" s="495">
        <v>19</v>
      </c>
      <c r="AP91" s="496">
        <v>1214.3478260869565</v>
      </c>
      <c r="AQ91" s="496">
        <v>63.913043478260867</v>
      </c>
      <c r="AR91" s="306">
        <f t="shared" si="56"/>
        <v>8</v>
      </c>
      <c r="AS91" s="633"/>
      <c r="AT91" s="495">
        <v>19</v>
      </c>
      <c r="AU91" s="496">
        <v>1252</v>
      </c>
      <c r="AV91" s="496">
        <v>65.89473684210526</v>
      </c>
      <c r="AW91" s="306">
        <f t="shared" si="57"/>
        <v>7</v>
      </c>
      <c r="AX91" s="629"/>
    </row>
    <row r="92" spans="2:50">
      <c r="B92" s="598"/>
      <c r="C92" s="306">
        <v>6</v>
      </c>
      <c r="D92" s="231" t="s">
        <v>404</v>
      </c>
      <c r="E92" s="187">
        <v>21</v>
      </c>
      <c r="F92" s="306">
        <v>1385</v>
      </c>
      <c r="G92" s="308">
        <v>65.952380952380949</v>
      </c>
      <c r="H92" s="633"/>
      <c r="I92" s="204">
        <f t="shared" si="50"/>
        <v>20</v>
      </c>
      <c r="J92" s="204">
        <f t="shared" si="50"/>
        <v>1233.1934006454273</v>
      </c>
      <c r="K92" s="205">
        <f t="shared" si="50"/>
        <v>61.659670032271372</v>
      </c>
      <c r="L92" s="572"/>
      <c r="M92" s="206">
        <f>RANK(K92, K$87:$K$101)</f>
        <v>10</v>
      </c>
      <c r="N92" s="590"/>
      <c r="O92" s="590"/>
      <c r="P92" s="378">
        <v>20</v>
      </c>
      <c r="Q92" s="379">
        <v>1204.4036697247714</v>
      </c>
      <c r="R92" s="379">
        <v>60.220183486238568</v>
      </c>
      <c r="S92" s="306">
        <f t="shared" si="51"/>
        <v>10</v>
      </c>
      <c r="T92" s="633"/>
      <c r="U92" s="495">
        <v>20</v>
      </c>
      <c r="V92" s="496">
        <v>1223.428571428572</v>
      </c>
      <c r="W92" s="496">
        <v>61.171428571428599</v>
      </c>
      <c r="X92" s="306">
        <f t="shared" si="52"/>
        <v>10</v>
      </c>
      <c r="Y92" s="633"/>
      <c r="Z92" s="495">
        <v>20</v>
      </c>
      <c r="AA92" s="496">
        <v>1258.0645161290324</v>
      </c>
      <c r="AB92" s="496">
        <v>62.903225806451623</v>
      </c>
      <c r="AC92" s="306">
        <f t="shared" si="53"/>
        <v>9</v>
      </c>
      <c r="AD92" s="633"/>
      <c r="AE92" s="495">
        <v>20</v>
      </c>
      <c r="AF92" s="496">
        <v>1231.3333333333333</v>
      </c>
      <c r="AG92" s="496">
        <v>61.566666666666663</v>
      </c>
      <c r="AH92" s="306">
        <f t="shared" si="54"/>
        <v>10</v>
      </c>
      <c r="AI92" s="633"/>
      <c r="AJ92" s="495">
        <v>20</v>
      </c>
      <c r="AK92" s="496">
        <v>1219.3548387096776</v>
      </c>
      <c r="AL92" s="496">
        <v>60.967741935483879</v>
      </c>
      <c r="AM92" s="306">
        <f t="shared" si="55"/>
        <v>9</v>
      </c>
      <c r="AN92" s="633"/>
      <c r="AO92" s="495">
        <v>20</v>
      </c>
      <c r="AP92" s="496">
        <v>1240.6779661016944</v>
      </c>
      <c r="AQ92" s="496">
        <v>62.033898305084719</v>
      </c>
      <c r="AR92" s="306">
        <f t="shared" si="56"/>
        <v>10</v>
      </c>
      <c r="AS92" s="633"/>
      <c r="AT92" s="495">
        <v>20</v>
      </c>
      <c r="AU92" s="496">
        <v>1255.0909090909099</v>
      </c>
      <c r="AV92" s="496">
        <v>62.754545454545493</v>
      </c>
      <c r="AW92" s="306">
        <f t="shared" si="57"/>
        <v>9</v>
      </c>
      <c r="AX92" s="629"/>
    </row>
    <row r="93" spans="2:50">
      <c r="B93" s="598"/>
      <c r="C93" s="306">
        <v>7</v>
      </c>
      <c r="D93" s="231" t="s">
        <v>405</v>
      </c>
      <c r="E93" s="187">
        <v>20</v>
      </c>
      <c r="F93" s="306">
        <v>1440</v>
      </c>
      <c r="G93" s="308">
        <v>72</v>
      </c>
      <c r="H93" s="633"/>
      <c r="I93" s="204">
        <f t="shared" si="50"/>
        <v>20</v>
      </c>
      <c r="J93" s="204">
        <f t="shared" si="50"/>
        <v>1235.0150811383678</v>
      </c>
      <c r="K93" s="205">
        <f t="shared" si="50"/>
        <v>61.750754056918382</v>
      </c>
      <c r="L93" s="572"/>
      <c r="M93" s="206">
        <f>RANK(K93, K$87:$K$101)</f>
        <v>9</v>
      </c>
      <c r="N93" s="590"/>
      <c r="O93" s="590"/>
      <c r="P93" s="378">
        <v>20</v>
      </c>
      <c r="Q93" s="379">
        <v>1224.5783132530116</v>
      </c>
      <c r="R93" s="379">
        <v>61.228915662650579</v>
      </c>
      <c r="S93" s="306">
        <f t="shared" si="51"/>
        <v>9</v>
      </c>
      <c r="T93" s="633"/>
      <c r="U93" s="495">
        <v>20</v>
      </c>
      <c r="V93" s="496">
        <v>1235.5813953488371</v>
      </c>
      <c r="W93" s="496">
        <v>61.779069767441854</v>
      </c>
      <c r="X93" s="306">
        <f t="shared" si="52"/>
        <v>9</v>
      </c>
      <c r="Y93" s="633"/>
      <c r="Z93" s="495">
        <v>20</v>
      </c>
      <c r="AA93" s="496">
        <v>1218.9473684210516</v>
      </c>
      <c r="AB93" s="496">
        <v>60.94736842105258</v>
      </c>
      <c r="AC93" s="306">
        <f t="shared" si="53"/>
        <v>10</v>
      </c>
      <c r="AD93" s="633"/>
      <c r="AE93" s="495">
        <v>20</v>
      </c>
      <c r="AF93" s="496">
        <v>1260.0000000000011</v>
      </c>
      <c r="AG93" s="496">
        <v>63.000000000000057</v>
      </c>
      <c r="AH93" s="306">
        <f t="shared" si="54"/>
        <v>9</v>
      </c>
      <c r="AI93" s="633"/>
      <c r="AJ93" s="495">
        <v>20</v>
      </c>
      <c r="AK93" s="496">
        <v>1207.6056338028156</v>
      </c>
      <c r="AL93" s="496">
        <v>60.380281690140784</v>
      </c>
      <c r="AM93" s="306">
        <f t="shared" si="55"/>
        <v>11</v>
      </c>
      <c r="AN93" s="633"/>
      <c r="AO93" s="495">
        <v>20</v>
      </c>
      <c r="AP93" s="496">
        <v>1271.2499999999995</v>
      </c>
      <c r="AQ93" s="496">
        <v>63.562499999999979</v>
      </c>
      <c r="AR93" s="306">
        <f t="shared" si="56"/>
        <v>9</v>
      </c>
      <c r="AS93" s="633"/>
      <c r="AT93" s="495">
        <v>20</v>
      </c>
      <c r="AU93" s="496">
        <v>1227.1428571428567</v>
      </c>
      <c r="AV93" s="496">
        <v>61.357142857142833</v>
      </c>
      <c r="AW93" s="306">
        <f t="shared" si="57"/>
        <v>10</v>
      </c>
      <c r="AX93" s="629"/>
    </row>
    <row r="94" spans="2:50">
      <c r="B94" s="598"/>
      <c r="C94" s="306">
        <v>8</v>
      </c>
      <c r="D94" s="231" t="s">
        <v>690</v>
      </c>
      <c r="E94" s="187">
        <v>18</v>
      </c>
      <c r="F94" s="306">
        <v>1385</v>
      </c>
      <c r="G94" s="308">
        <v>76.944444444444443</v>
      </c>
      <c r="H94" s="633"/>
      <c r="I94" s="204">
        <f t="shared" si="50"/>
        <v>18</v>
      </c>
      <c r="J94" s="204">
        <f t="shared" si="50"/>
        <v>1178.387628967841</v>
      </c>
      <c r="K94" s="205">
        <f t="shared" si="50"/>
        <v>65.465979387102294</v>
      </c>
      <c r="L94" s="572"/>
      <c r="M94" s="206">
        <f>RANK(K94, K$87:$K$101)</f>
        <v>7</v>
      </c>
      <c r="N94" s="590"/>
      <c r="O94" s="590"/>
      <c r="P94" s="378">
        <v>18</v>
      </c>
      <c r="Q94" s="379">
        <v>1159.1379310344819</v>
      </c>
      <c r="R94" s="379">
        <v>64.396551724137879</v>
      </c>
      <c r="S94" s="306">
        <f t="shared" si="51"/>
        <v>8</v>
      </c>
      <c r="T94" s="633"/>
      <c r="U94" s="495">
        <v>18</v>
      </c>
      <c r="V94" s="496">
        <v>1211.3207547169818</v>
      </c>
      <c r="W94" s="496">
        <v>67.295597484276769</v>
      </c>
      <c r="X94" s="306">
        <f t="shared" si="52"/>
        <v>7</v>
      </c>
      <c r="Y94" s="633"/>
      <c r="Z94" s="495">
        <v>18</v>
      </c>
      <c r="AA94" s="496">
        <v>1191.6000000000004</v>
      </c>
      <c r="AB94" s="496">
        <v>66.200000000000017</v>
      </c>
      <c r="AC94" s="306">
        <f t="shared" si="53"/>
        <v>7</v>
      </c>
      <c r="AD94" s="633"/>
      <c r="AE94" s="495">
        <v>18</v>
      </c>
      <c r="AF94" s="496">
        <v>1167.6923076923076</v>
      </c>
      <c r="AG94" s="496">
        <v>64.871794871794862</v>
      </c>
      <c r="AH94" s="306">
        <f t="shared" si="54"/>
        <v>7</v>
      </c>
      <c r="AI94" s="633"/>
      <c r="AJ94" s="495">
        <v>18</v>
      </c>
      <c r="AK94" s="496">
        <v>1160.412371134021</v>
      </c>
      <c r="AL94" s="496">
        <v>64.467353951890061</v>
      </c>
      <c r="AM94" s="306">
        <f t="shared" si="55"/>
        <v>7</v>
      </c>
      <c r="AN94" s="633"/>
      <c r="AO94" s="495">
        <v>18</v>
      </c>
      <c r="AP94" s="496">
        <v>1173.2773109243692</v>
      </c>
      <c r="AQ94" s="496">
        <v>65.182072829131627</v>
      </c>
      <c r="AR94" s="306">
        <f t="shared" si="56"/>
        <v>7</v>
      </c>
      <c r="AS94" s="633"/>
      <c r="AT94" s="495">
        <v>18</v>
      </c>
      <c r="AU94" s="496">
        <v>1185.2727272727263</v>
      </c>
      <c r="AV94" s="496">
        <v>65.848484848484802</v>
      </c>
      <c r="AW94" s="306">
        <f t="shared" si="57"/>
        <v>8</v>
      </c>
      <c r="AX94" s="629"/>
    </row>
    <row r="95" spans="2:50">
      <c r="B95" s="598"/>
      <c r="C95" s="306">
        <v>9</v>
      </c>
      <c r="D95" s="231" t="s">
        <v>695</v>
      </c>
      <c r="E95" s="187">
        <v>21</v>
      </c>
      <c r="F95" s="306">
        <v>1385</v>
      </c>
      <c r="G95" s="308">
        <v>65.952380952380949</v>
      </c>
      <c r="H95" s="633"/>
      <c r="I95" s="497">
        <f t="shared" ref="I95:I97" si="58">AVERAGE(P95,U95,Z95,AE95,AJ95,AO95,AT95)</f>
        <v>20</v>
      </c>
      <c r="J95" s="497">
        <f t="shared" ref="J95:J97" si="59">AVERAGE(Q95,V95,AA95,AF95,AK95,AP95,AU95)</f>
        <v>1189.244854748049</v>
      </c>
      <c r="K95" s="205">
        <f t="shared" ref="K95:K97" si="60">AVERAGE(R95,W95,AB95,AG95,AL95,AQ95,AV95)</f>
        <v>59.462242737402448</v>
      </c>
      <c r="L95" s="572"/>
      <c r="M95" s="206">
        <f>RANK(K95, K$87:$K$101)</f>
        <v>11</v>
      </c>
      <c r="N95" s="590"/>
      <c r="O95" s="590"/>
      <c r="P95" s="378">
        <v>20</v>
      </c>
      <c r="Q95" s="379">
        <v>1196.3855421686744</v>
      </c>
      <c r="R95" s="379">
        <v>59.819277108433724</v>
      </c>
      <c r="S95" s="306">
        <f t="shared" si="51"/>
        <v>11</v>
      </c>
      <c r="T95" s="633"/>
      <c r="U95" s="495">
        <v>20</v>
      </c>
      <c r="V95" s="496">
        <v>1180.7407407407404</v>
      </c>
      <c r="W95" s="496">
        <v>59.037037037037024</v>
      </c>
      <c r="X95" s="306">
        <f t="shared" si="52"/>
        <v>11</v>
      </c>
      <c r="Y95" s="633"/>
      <c r="Z95" s="495">
        <v>20</v>
      </c>
      <c r="AA95" s="496">
        <v>1169.6385542168671</v>
      </c>
      <c r="AB95" s="496">
        <v>58.481927710843351</v>
      </c>
      <c r="AC95" s="306">
        <f t="shared" si="53"/>
        <v>11</v>
      </c>
      <c r="AD95" s="633"/>
      <c r="AE95" s="495">
        <v>20</v>
      </c>
      <c r="AF95" s="496">
        <v>1161.2903225806463</v>
      </c>
      <c r="AG95" s="496">
        <v>58.064516129032313</v>
      </c>
      <c r="AH95" s="306">
        <f t="shared" si="54"/>
        <v>11</v>
      </c>
      <c r="AI95" s="633"/>
      <c r="AJ95" s="495">
        <v>20</v>
      </c>
      <c r="AK95" s="496">
        <v>1209.6000000000004</v>
      </c>
      <c r="AL95" s="496">
        <v>60.480000000000018</v>
      </c>
      <c r="AM95" s="306">
        <f t="shared" si="55"/>
        <v>10</v>
      </c>
      <c r="AN95" s="633"/>
      <c r="AO95" s="495">
        <v>20</v>
      </c>
      <c r="AP95" s="496">
        <v>1200.0000000000014</v>
      </c>
      <c r="AQ95" s="496">
        <v>60.000000000000071</v>
      </c>
      <c r="AR95" s="306">
        <f t="shared" si="56"/>
        <v>11</v>
      </c>
      <c r="AS95" s="633"/>
      <c r="AT95" s="495">
        <v>20</v>
      </c>
      <c r="AU95" s="496">
        <v>1207.0588235294133</v>
      </c>
      <c r="AV95" s="496">
        <v>60.352941176470665</v>
      </c>
      <c r="AW95" s="306">
        <f t="shared" si="57"/>
        <v>11</v>
      </c>
      <c r="AX95" s="629"/>
    </row>
    <row r="96" spans="2:50">
      <c r="B96" s="598"/>
      <c r="C96" s="306">
        <v>10</v>
      </c>
      <c r="D96" s="231" t="s">
        <v>746</v>
      </c>
      <c r="E96" s="187">
        <v>15</v>
      </c>
      <c r="F96" s="306">
        <v>1565</v>
      </c>
      <c r="G96" s="308">
        <v>104.33333333333333</v>
      </c>
      <c r="H96" s="633"/>
      <c r="I96" s="497">
        <f t="shared" si="58"/>
        <v>15.857142857142858</v>
      </c>
      <c r="J96" s="497">
        <f t="shared" si="59"/>
        <v>1172.8377900592654</v>
      </c>
      <c r="K96" s="205">
        <f t="shared" si="60"/>
        <v>74.09804701322301</v>
      </c>
      <c r="L96" s="572"/>
      <c r="M96" s="206">
        <f>RANK(K96, K$87:$K$101)</f>
        <v>3</v>
      </c>
      <c r="N96" s="590"/>
      <c r="O96" s="590"/>
      <c r="P96" s="378">
        <v>16</v>
      </c>
      <c r="Q96" s="379">
        <v>1184.3478260869565</v>
      </c>
      <c r="R96" s="379">
        <v>74.021739130434781</v>
      </c>
      <c r="S96" s="306">
        <f t="shared" si="51"/>
        <v>3</v>
      </c>
      <c r="T96" s="633"/>
      <c r="U96" s="495">
        <v>16</v>
      </c>
      <c r="V96" s="496">
        <v>1156.2500000000005</v>
      </c>
      <c r="W96" s="496">
        <v>72.265625000000028</v>
      </c>
      <c r="X96" s="306">
        <f t="shared" si="52"/>
        <v>3</v>
      </c>
      <c r="Y96" s="633"/>
      <c r="Z96" s="495">
        <v>17</v>
      </c>
      <c r="AA96" s="496">
        <v>1166.6666666666665</v>
      </c>
      <c r="AB96" s="496">
        <v>68.627450980392155</v>
      </c>
      <c r="AC96" s="306">
        <f t="shared" si="53"/>
        <v>4</v>
      </c>
      <c r="AD96" s="633"/>
      <c r="AE96" s="495">
        <v>16</v>
      </c>
      <c r="AF96" s="496">
        <v>1181.0526315789464</v>
      </c>
      <c r="AG96" s="496">
        <v>73.815789473684148</v>
      </c>
      <c r="AH96" s="306">
        <f t="shared" si="54"/>
        <v>2</v>
      </c>
      <c r="AI96" s="633"/>
      <c r="AJ96" s="495">
        <v>16</v>
      </c>
      <c r="AK96" s="496">
        <v>1155.3846153846148</v>
      </c>
      <c r="AL96" s="496">
        <v>72.211538461538424</v>
      </c>
      <c r="AM96" s="306">
        <f t="shared" si="55"/>
        <v>3</v>
      </c>
      <c r="AN96" s="633"/>
      <c r="AO96" s="495">
        <v>15</v>
      </c>
      <c r="AP96" s="496">
        <v>1151.1627906976742</v>
      </c>
      <c r="AQ96" s="496">
        <v>76.744186046511615</v>
      </c>
      <c r="AR96" s="306">
        <f t="shared" si="56"/>
        <v>3</v>
      </c>
      <c r="AS96" s="633"/>
      <c r="AT96" s="495">
        <v>15</v>
      </c>
      <c r="AU96" s="496">
        <v>1214.9999999999995</v>
      </c>
      <c r="AV96" s="496">
        <v>80.999999999999972</v>
      </c>
      <c r="AW96" s="306">
        <f t="shared" si="57"/>
        <v>1</v>
      </c>
      <c r="AX96" s="629"/>
    </row>
    <row r="97" spans="2:50">
      <c r="B97" s="598"/>
      <c r="C97" s="306">
        <v>11</v>
      </c>
      <c r="D97" s="231" t="s">
        <v>820</v>
      </c>
      <c r="E97" s="187">
        <v>16</v>
      </c>
      <c r="F97" s="306">
        <v>1440</v>
      </c>
      <c r="G97" s="308">
        <v>90</v>
      </c>
      <c r="H97" s="633"/>
      <c r="I97" s="497">
        <f t="shared" si="58"/>
        <v>16.714285714285715</v>
      </c>
      <c r="J97" s="497">
        <f t="shared" si="59"/>
        <v>1294.6884598563136</v>
      </c>
      <c r="K97" s="205">
        <f t="shared" si="60"/>
        <v>77.51512693867916</v>
      </c>
      <c r="L97" s="572"/>
      <c r="M97" s="206">
        <f>RANK(K97, K$87:$K$101)</f>
        <v>2</v>
      </c>
      <c r="N97" s="590"/>
      <c r="O97" s="590"/>
      <c r="P97" s="378">
        <v>16</v>
      </c>
      <c r="Q97" s="379">
        <v>1272.3243243243248</v>
      </c>
      <c r="R97" s="379">
        <v>79.520270270270302</v>
      </c>
      <c r="S97" s="306">
        <f t="shared" si="51"/>
        <v>1</v>
      </c>
      <c r="T97" s="633"/>
      <c r="U97" s="495">
        <v>17</v>
      </c>
      <c r="V97" s="496">
        <v>1319.444444444445</v>
      </c>
      <c r="W97" s="496">
        <v>77.614379084967354</v>
      </c>
      <c r="X97" s="306">
        <f t="shared" si="52"/>
        <v>2</v>
      </c>
      <c r="Y97" s="633"/>
      <c r="Z97" s="495">
        <v>17</v>
      </c>
      <c r="AA97" s="496">
        <v>1295.4285714285722</v>
      </c>
      <c r="AB97" s="496">
        <v>76.201680672268949</v>
      </c>
      <c r="AC97" s="306">
        <f t="shared" si="53"/>
        <v>2</v>
      </c>
      <c r="AD97" s="633"/>
      <c r="AE97" s="495">
        <v>17</v>
      </c>
      <c r="AF97" s="496">
        <v>1298.3333333333339</v>
      </c>
      <c r="AG97" s="496">
        <v>76.372549019607874</v>
      </c>
      <c r="AH97" s="306">
        <f t="shared" si="54"/>
        <v>1</v>
      </c>
      <c r="AI97" s="633"/>
      <c r="AJ97" s="495">
        <v>17</v>
      </c>
      <c r="AK97" s="496">
        <v>1300.7462686567164</v>
      </c>
      <c r="AL97" s="496">
        <v>76.514486391571552</v>
      </c>
      <c r="AM97" s="306">
        <f t="shared" si="55"/>
        <v>2</v>
      </c>
      <c r="AN97" s="633"/>
      <c r="AO97" s="495">
        <v>16</v>
      </c>
      <c r="AP97" s="496">
        <v>1311.3698630136989</v>
      </c>
      <c r="AQ97" s="496">
        <v>81.960616438356183</v>
      </c>
      <c r="AR97" s="306">
        <f t="shared" si="56"/>
        <v>1</v>
      </c>
      <c r="AS97" s="633"/>
      <c r="AT97" s="495">
        <v>17</v>
      </c>
      <c r="AU97" s="496">
        <v>1265.1724137931028</v>
      </c>
      <c r="AV97" s="496">
        <v>74.421906693711932</v>
      </c>
      <c r="AW97" s="306">
        <f t="shared" si="57"/>
        <v>3</v>
      </c>
      <c r="AX97" s="629"/>
    </row>
    <row r="98" spans="2:50">
      <c r="B98" s="598"/>
      <c r="C98" s="306">
        <v>12</v>
      </c>
      <c r="D98" s="231"/>
      <c r="E98" s="187"/>
      <c r="F98" s="306"/>
      <c r="G98" s="308"/>
      <c r="H98" s="633"/>
      <c r="I98" s="207"/>
      <c r="J98" s="207"/>
      <c r="K98" s="207"/>
      <c r="L98" s="572"/>
      <c r="M98" s="206" t="e">
        <f>RANK(K98, K$87:$K$101)</f>
        <v>#N/A</v>
      </c>
      <c r="N98" s="590"/>
      <c r="O98" s="590"/>
      <c r="P98" s="378"/>
      <c r="Q98" s="379"/>
      <c r="R98" s="379"/>
      <c r="S98" s="306" t="e">
        <f t="shared" si="51"/>
        <v>#N/A</v>
      </c>
      <c r="T98" s="633"/>
      <c r="U98" s="378"/>
      <c r="V98" s="379"/>
      <c r="W98" s="379"/>
      <c r="X98" s="306" t="e">
        <f t="shared" si="52"/>
        <v>#N/A</v>
      </c>
      <c r="Y98" s="633"/>
      <c r="Z98" s="378"/>
      <c r="AA98" s="379"/>
      <c r="AB98" s="379"/>
      <c r="AC98" s="306" t="e">
        <f t="shared" si="53"/>
        <v>#N/A</v>
      </c>
      <c r="AD98" s="633"/>
      <c r="AE98" s="378"/>
      <c r="AF98" s="379"/>
      <c r="AG98" s="379"/>
      <c r="AH98" s="306" t="e">
        <f t="shared" si="54"/>
        <v>#N/A</v>
      </c>
      <c r="AI98" s="633"/>
      <c r="AJ98" s="378"/>
      <c r="AK98" s="379"/>
      <c r="AL98" s="379"/>
      <c r="AM98" s="306" t="e">
        <f t="shared" si="55"/>
        <v>#N/A</v>
      </c>
      <c r="AN98" s="633"/>
      <c r="AO98" s="378"/>
      <c r="AP98" s="379"/>
      <c r="AQ98" s="379"/>
      <c r="AR98" s="306" t="e">
        <f t="shared" si="56"/>
        <v>#N/A</v>
      </c>
      <c r="AS98" s="633"/>
      <c r="AT98" s="378"/>
      <c r="AU98" s="379"/>
      <c r="AV98" s="379"/>
      <c r="AW98" s="306" t="e">
        <f t="shared" si="57"/>
        <v>#N/A</v>
      </c>
      <c r="AX98" s="629"/>
    </row>
    <row r="99" spans="2:50">
      <c r="B99" s="598"/>
      <c r="C99" s="306">
        <v>13</v>
      </c>
      <c r="D99" s="231"/>
      <c r="E99" s="187"/>
      <c r="F99" s="306"/>
      <c r="G99" s="308"/>
      <c r="H99" s="633"/>
      <c r="I99" s="207"/>
      <c r="J99" s="207"/>
      <c r="K99" s="207"/>
      <c r="L99" s="572"/>
      <c r="M99" s="206" t="e">
        <f>RANK(K99, K$87:$K$101)</f>
        <v>#N/A</v>
      </c>
      <c r="N99" s="590"/>
      <c r="O99" s="590"/>
      <c r="P99" s="378"/>
      <c r="Q99" s="379"/>
      <c r="R99" s="379"/>
      <c r="S99" s="306" t="e">
        <f t="shared" si="51"/>
        <v>#N/A</v>
      </c>
      <c r="T99" s="633"/>
      <c r="U99" s="378"/>
      <c r="V99" s="379"/>
      <c r="W99" s="379"/>
      <c r="X99" s="306" t="e">
        <f t="shared" si="52"/>
        <v>#N/A</v>
      </c>
      <c r="Y99" s="633"/>
      <c r="Z99" s="378"/>
      <c r="AA99" s="379"/>
      <c r="AB99" s="379"/>
      <c r="AC99" s="306" t="e">
        <f t="shared" si="53"/>
        <v>#N/A</v>
      </c>
      <c r="AD99" s="633"/>
      <c r="AE99" s="378"/>
      <c r="AF99" s="379"/>
      <c r="AG99" s="379"/>
      <c r="AH99" s="306" t="e">
        <f t="shared" si="54"/>
        <v>#N/A</v>
      </c>
      <c r="AI99" s="633"/>
      <c r="AJ99" s="378"/>
      <c r="AK99" s="379"/>
      <c r="AL99" s="379"/>
      <c r="AM99" s="306" t="e">
        <f t="shared" si="55"/>
        <v>#N/A</v>
      </c>
      <c r="AN99" s="633"/>
      <c r="AO99" s="378"/>
      <c r="AP99" s="379"/>
      <c r="AQ99" s="379"/>
      <c r="AR99" s="306" t="e">
        <f t="shared" si="56"/>
        <v>#N/A</v>
      </c>
      <c r="AS99" s="633"/>
      <c r="AT99" s="378"/>
      <c r="AU99" s="379"/>
      <c r="AV99" s="379"/>
      <c r="AW99" s="306" t="e">
        <f t="shared" si="57"/>
        <v>#N/A</v>
      </c>
      <c r="AX99" s="629"/>
    </row>
    <row r="100" spans="2:50">
      <c r="B100" s="598"/>
      <c r="C100" s="306">
        <v>14</v>
      </c>
      <c r="D100" s="231"/>
      <c r="E100" s="187"/>
      <c r="F100" s="306"/>
      <c r="G100" s="308"/>
      <c r="H100" s="633"/>
      <c r="I100" s="207"/>
      <c r="J100" s="207"/>
      <c r="K100" s="207"/>
      <c r="L100" s="572"/>
      <c r="M100" s="206" t="e">
        <f>RANK(K100, K$87:$K$101)</f>
        <v>#N/A</v>
      </c>
      <c r="N100" s="590"/>
      <c r="O100" s="590"/>
      <c r="P100" s="378"/>
      <c r="Q100" s="379"/>
      <c r="R100" s="379"/>
      <c r="S100" s="306" t="e">
        <f t="shared" si="51"/>
        <v>#N/A</v>
      </c>
      <c r="T100" s="633"/>
      <c r="U100" s="378"/>
      <c r="V100" s="379"/>
      <c r="W100" s="379"/>
      <c r="X100" s="306" t="e">
        <f t="shared" si="52"/>
        <v>#N/A</v>
      </c>
      <c r="Y100" s="633"/>
      <c r="Z100" s="378"/>
      <c r="AA100" s="379"/>
      <c r="AB100" s="379"/>
      <c r="AC100" s="306" t="e">
        <f t="shared" si="53"/>
        <v>#N/A</v>
      </c>
      <c r="AD100" s="633"/>
      <c r="AE100" s="378"/>
      <c r="AF100" s="379"/>
      <c r="AG100" s="379"/>
      <c r="AH100" s="306" t="e">
        <f t="shared" si="54"/>
        <v>#N/A</v>
      </c>
      <c r="AI100" s="633"/>
      <c r="AJ100" s="378"/>
      <c r="AK100" s="379"/>
      <c r="AL100" s="379"/>
      <c r="AM100" s="306" t="e">
        <f t="shared" si="55"/>
        <v>#N/A</v>
      </c>
      <c r="AN100" s="633"/>
      <c r="AO100" s="378"/>
      <c r="AP100" s="379"/>
      <c r="AQ100" s="379"/>
      <c r="AR100" s="306" t="e">
        <f t="shared" si="56"/>
        <v>#N/A</v>
      </c>
      <c r="AS100" s="633"/>
      <c r="AT100" s="378"/>
      <c r="AU100" s="379"/>
      <c r="AV100" s="379"/>
      <c r="AW100" s="306" t="e">
        <f t="shared" si="57"/>
        <v>#N/A</v>
      </c>
      <c r="AX100" s="629"/>
    </row>
    <row r="101" spans="2:50">
      <c r="B101" s="598"/>
      <c r="C101" s="306">
        <v>15</v>
      </c>
      <c r="D101" s="231"/>
      <c r="E101" s="187"/>
      <c r="F101" s="306"/>
      <c r="G101" s="308"/>
      <c r="H101" s="634"/>
      <c r="I101" s="207"/>
      <c r="J101" s="207"/>
      <c r="K101" s="207"/>
      <c r="L101" s="573"/>
      <c r="M101" s="204" t="e">
        <f>RANK(K101, K$87:$K$101)</f>
        <v>#N/A</v>
      </c>
      <c r="N101" s="590"/>
      <c r="O101" s="590"/>
      <c r="P101" s="378"/>
      <c r="Q101" s="379"/>
      <c r="R101" s="379"/>
      <c r="S101" s="306" t="e">
        <f t="shared" si="51"/>
        <v>#N/A</v>
      </c>
      <c r="T101" s="634"/>
      <c r="U101" s="378"/>
      <c r="V101" s="379"/>
      <c r="W101" s="379"/>
      <c r="X101" s="306" t="e">
        <f t="shared" si="52"/>
        <v>#N/A</v>
      </c>
      <c r="Y101" s="634"/>
      <c r="Z101" s="378"/>
      <c r="AA101" s="379"/>
      <c r="AB101" s="379"/>
      <c r="AC101" s="306" t="e">
        <f t="shared" si="53"/>
        <v>#N/A</v>
      </c>
      <c r="AD101" s="634"/>
      <c r="AE101" s="378"/>
      <c r="AF101" s="379"/>
      <c r="AG101" s="379"/>
      <c r="AH101" s="306" t="e">
        <f t="shared" si="54"/>
        <v>#N/A</v>
      </c>
      <c r="AI101" s="634"/>
      <c r="AJ101" s="378"/>
      <c r="AK101" s="379"/>
      <c r="AL101" s="379"/>
      <c r="AM101" s="306" t="e">
        <f t="shared" si="55"/>
        <v>#N/A</v>
      </c>
      <c r="AN101" s="634"/>
      <c r="AO101" s="378"/>
      <c r="AP101" s="379"/>
      <c r="AQ101" s="379"/>
      <c r="AR101" s="306" t="e">
        <f t="shared" si="56"/>
        <v>#N/A</v>
      </c>
      <c r="AS101" s="634"/>
      <c r="AT101" s="378"/>
      <c r="AU101" s="379"/>
      <c r="AV101" s="379"/>
      <c r="AW101" s="306" t="e">
        <f t="shared" si="57"/>
        <v>#N/A</v>
      </c>
      <c r="AX101" s="629"/>
    </row>
    <row r="102" spans="2:50" ht="15.75">
      <c r="B102" s="602" t="s">
        <v>163</v>
      </c>
      <c r="C102" s="603"/>
      <c r="D102" s="603"/>
      <c r="E102" s="603"/>
      <c r="F102" s="603"/>
      <c r="G102" s="603"/>
      <c r="H102" s="604"/>
      <c r="I102" s="213"/>
      <c r="J102" s="213"/>
      <c r="K102" s="213"/>
      <c r="L102" s="213"/>
      <c r="M102" s="212"/>
      <c r="N102" s="591" t="s">
        <v>156</v>
      </c>
      <c r="O102" s="591" t="s">
        <v>105</v>
      </c>
      <c r="P102" s="597">
        <f>P82+7</f>
        <v>45965</v>
      </c>
      <c r="Q102" s="598"/>
      <c r="R102" s="598"/>
      <c r="S102" s="598"/>
      <c r="T102" s="598"/>
      <c r="U102" s="594">
        <f>P102+1</f>
        <v>45966</v>
      </c>
      <c r="V102" s="595"/>
      <c r="W102" s="595"/>
      <c r="X102" s="595"/>
      <c r="Y102" s="596"/>
      <c r="Z102" s="594">
        <f>U102+1</f>
        <v>45967</v>
      </c>
      <c r="AA102" s="595"/>
      <c r="AB102" s="595"/>
      <c r="AC102" s="595"/>
      <c r="AD102" s="596"/>
      <c r="AE102" s="594">
        <f>Z102+1</f>
        <v>45968</v>
      </c>
      <c r="AF102" s="595"/>
      <c r="AG102" s="595"/>
      <c r="AH102" s="595"/>
      <c r="AI102" s="596"/>
      <c r="AJ102" s="594">
        <f>AE102+1</f>
        <v>45969</v>
      </c>
      <c r="AK102" s="595"/>
      <c r="AL102" s="595"/>
      <c r="AM102" s="595"/>
      <c r="AN102" s="596"/>
      <c r="AO102" s="594">
        <f>AJ102+1</f>
        <v>45970</v>
      </c>
      <c r="AP102" s="595"/>
      <c r="AQ102" s="595"/>
      <c r="AR102" s="595"/>
      <c r="AS102" s="596"/>
      <c r="AT102" s="594">
        <f>AO102+1</f>
        <v>45971</v>
      </c>
      <c r="AU102" s="595"/>
      <c r="AV102" s="595"/>
      <c r="AW102" s="595"/>
      <c r="AX102" s="596"/>
    </row>
    <row r="103" spans="2:50" ht="15.75">
      <c r="B103" s="605"/>
      <c r="C103" s="605"/>
      <c r="D103" s="605"/>
      <c r="E103" s="605"/>
      <c r="F103" s="605"/>
      <c r="G103" s="605"/>
      <c r="H103" s="605"/>
      <c r="I103" s="210"/>
      <c r="J103" s="210"/>
      <c r="K103" s="210"/>
      <c r="L103" s="210"/>
      <c r="M103" s="211"/>
      <c r="N103" s="593"/>
      <c r="O103" s="593"/>
      <c r="P103" s="597" t="s">
        <v>158</v>
      </c>
      <c r="Q103" s="598"/>
      <c r="R103" s="598"/>
      <c r="S103" s="598"/>
      <c r="T103" s="598"/>
      <c r="U103" s="597" t="s">
        <v>114</v>
      </c>
      <c r="V103" s="598"/>
      <c r="W103" s="598"/>
      <c r="X103" s="598"/>
      <c r="Y103" s="598"/>
      <c r="Z103" s="597" t="s">
        <v>159</v>
      </c>
      <c r="AA103" s="598"/>
      <c r="AB103" s="598"/>
      <c r="AC103" s="598"/>
      <c r="AD103" s="598"/>
      <c r="AE103" s="597" t="s">
        <v>157</v>
      </c>
      <c r="AF103" s="598"/>
      <c r="AG103" s="598"/>
      <c r="AH103" s="598"/>
      <c r="AI103" s="598"/>
      <c r="AJ103" s="597" t="s">
        <v>160</v>
      </c>
      <c r="AK103" s="598"/>
      <c r="AL103" s="598"/>
      <c r="AM103" s="598"/>
      <c r="AN103" s="598"/>
      <c r="AO103" s="597" t="s">
        <v>115</v>
      </c>
      <c r="AP103" s="598"/>
      <c r="AQ103" s="598"/>
      <c r="AR103" s="598"/>
      <c r="AS103" s="598"/>
      <c r="AT103" s="597" t="s">
        <v>162</v>
      </c>
      <c r="AU103" s="598"/>
      <c r="AV103" s="598"/>
      <c r="AW103" s="598"/>
      <c r="AX103" s="598"/>
    </row>
    <row r="104" spans="2:50">
      <c r="B104" s="590" t="s">
        <v>154</v>
      </c>
      <c r="C104" s="590" t="s">
        <v>454</v>
      </c>
      <c r="D104" s="590"/>
      <c r="E104" s="590" t="s">
        <v>445</v>
      </c>
      <c r="F104" s="590"/>
      <c r="G104" s="590"/>
      <c r="H104" s="606" t="s">
        <v>441</v>
      </c>
      <c r="I104" s="574" t="s">
        <v>446</v>
      </c>
      <c r="J104" s="574"/>
      <c r="K104" s="574"/>
      <c r="L104" s="575" t="s">
        <v>441</v>
      </c>
      <c r="M104" s="581" t="s">
        <v>442</v>
      </c>
      <c r="N104" s="590"/>
      <c r="O104" s="590" t="s">
        <v>447</v>
      </c>
      <c r="P104" s="587" t="s">
        <v>443</v>
      </c>
      <c r="Q104" s="588"/>
      <c r="R104" s="588"/>
      <c r="S104" s="589"/>
      <c r="T104" s="590" t="s">
        <v>441</v>
      </c>
      <c r="U104" s="587" t="s">
        <v>443</v>
      </c>
      <c r="V104" s="588"/>
      <c r="W104" s="588"/>
      <c r="X104" s="589"/>
      <c r="Y104" s="590" t="s">
        <v>441</v>
      </c>
      <c r="Z104" s="587" t="s">
        <v>443</v>
      </c>
      <c r="AA104" s="588"/>
      <c r="AB104" s="588"/>
      <c r="AC104" s="589"/>
      <c r="AD104" s="590" t="s">
        <v>441</v>
      </c>
      <c r="AE104" s="587" t="s">
        <v>443</v>
      </c>
      <c r="AF104" s="588"/>
      <c r="AG104" s="588"/>
      <c r="AH104" s="589"/>
      <c r="AI104" s="590" t="s">
        <v>441</v>
      </c>
      <c r="AJ104" s="587" t="s">
        <v>443</v>
      </c>
      <c r="AK104" s="588"/>
      <c r="AL104" s="588"/>
      <c r="AM104" s="589"/>
      <c r="AN104" s="590" t="s">
        <v>441</v>
      </c>
      <c r="AO104" s="587" t="s">
        <v>443</v>
      </c>
      <c r="AP104" s="588"/>
      <c r="AQ104" s="588"/>
      <c r="AR104" s="589"/>
      <c r="AS104" s="590" t="s">
        <v>441</v>
      </c>
      <c r="AT104" s="587" t="s">
        <v>443</v>
      </c>
      <c r="AU104" s="588"/>
      <c r="AV104" s="588"/>
      <c r="AW104" s="589"/>
      <c r="AX104" s="590" t="s">
        <v>441</v>
      </c>
    </row>
    <row r="105" spans="2:50">
      <c r="B105" s="590"/>
      <c r="C105" s="590"/>
      <c r="D105" s="590"/>
      <c r="E105" s="590" t="s">
        <v>448</v>
      </c>
      <c r="F105" s="590"/>
      <c r="G105" s="590"/>
      <c r="H105" s="607"/>
      <c r="I105" s="574" t="s">
        <v>448</v>
      </c>
      <c r="J105" s="574"/>
      <c r="K105" s="574"/>
      <c r="L105" s="576"/>
      <c r="M105" s="582"/>
      <c r="N105" s="590"/>
      <c r="O105" s="590"/>
      <c r="P105" s="587" t="s">
        <v>449</v>
      </c>
      <c r="Q105" s="588"/>
      <c r="R105" s="588"/>
      <c r="S105" s="589"/>
      <c r="T105" s="590"/>
      <c r="U105" s="587" t="s">
        <v>449</v>
      </c>
      <c r="V105" s="588"/>
      <c r="W105" s="588"/>
      <c r="X105" s="589"/>
      <c r="Y105" s="590"/>
      <c r="Z105" s="587" t="s">
        <v>449</v>
      </c>
      <c r="AA105" s="588"/>
      <c r="AB105" s="588"/>
      <c r="AC105" s="589"/>
      <c r="AD105" s="590"/>
      <c r="AE105" s="587" t="s">
        <v>449</v>
      </c>
      <c r="AF105" s="588"/>
      <c r="AG105" s="588"/>
      <c r="AH105" s="589"/>
      <c r="AI105" s="590"/>
      <c r="AJ105" s="587" t="s">
        <v>449</v>
      </c>
      <c r="AK105" s="588"/>
      <c r="AL105" s="588"/>
      <c r="AM105" s="589"/>
      <c r="AN105" s="590"/>
      <c r="AO105" s="587" t="s">
        <v>449</v>
      </c>
      <c r="AP105" s="588"/>
      <c r="AQ105" s="588"/>
      <c r="AR105" s="589"/>
      <c r="AS105" s="590"/>
      <c r="AT105" s="587" t="s">
        <v>449</v>
      </c>
      <c r="AU105" s="588"/>
      <c r="AV105" s="588"/>
      <c r="AW105" s="589"/>
      <c r="AX105" s="590"/>
    </row>
    <row r="106" spans="2:50">
      <c r="B106" s="590"/>
      <c r="C106" s="590"/>
      <c r="D106" s="590"/>
      <c r="E106" s="358" t="s">
        <v>450</v>
      </c>
      <c r="F106" s="358" t="s">
        <v>451</v>
      </c>
      <c r="G106" s="358" t="s">
        <v>452</v>
      </c>
      <c r="H106" s="608"/>
      <c r="I106" s="359" t="s">
        <v>450</v>
      </c>
      <c r="J106" s="359" t="s">
        <v>451</v>
      </c>
      <c r="K106" s="359" t="s">
        <v>452</v>
      </c>
      <c r="L106" s="577"/>
      <c r="M106" s="583"/>
      <c r="N106" s="590"/>
      <c r="O106" s="590"/>
      <c r="P106" s="358" t="s">
        <v>450</v>
      </c>
      <c r="Q106" s="358" t="s">
        <v>451</v>
      </c>
      <c r="R106" s="358" t="s">
        <v>452</v>
      </c>
      <c r="S106" s="358" t="s">
        <v>442</v>
      </c>
      <c r="T106" s="590"/>
      <c r="U106" s="358" t="s">
        <v>450</v>
      </c>
      <c r="V106" s="358" t="s">
        <v>451</v>
      </c>
      <c r="W106" s="358" t="s">
        <v>452</v>
      </c>
      <c r="X106" s="358" t="s">
        <v>442</v>
      </c>
      <c r="Y106" s="590"/>
      <c r="Z106" s="358" t="s">
        <v>450</v>
      </c>
      <c r="AA106" s="358" t="s">
        <v>451</v>
      </c>
      <c r="AB106" s="358" t="s">
        <v>452</v>
      </c>
      <c r="AC106" s="358" t="s">
        <v>442</v>
      </c>
      <c r="AD106" s="590"/>
      <c r="AE106" s="358" t="s">
        <v>450</v>
      </c>
      <c r="AF106" s="358" t="s">
        <v>451</v>
      </c>
      <c r="AG106" s="358" t="s">
        <v>452</v>
      </c>
      <c r="AH106" s="358" t="s">
        <v>442</v>
      </c>
      <c r="AI106" s="590"/>
      <c r="AJ106" s="358" t="s">
        <v>450</v>
      </c>
      <c r="AK106" s="358" t="s">
        <v>451</v>
      </c>
      <c r="AL106" s="358" t="s">
        <v>452</v>
      </c>
      <c r="AM106" s="358" t="s">
        <v>442</v>
      </c>
      <c r="AN106" s="590"/>
      <c r="AO106" s="358" t="s">
        <v>450</v>
      </c>
      <c r="AP106" s="358" t="s">
        <v>451</v>
      </c>
      <c r="AQ106" s="358" t="s">
        <v>452</v>
      </c>
      <c r="AR106" s="358" t="s">
        <v>442</v>
      </c>
      <c r="AS106" s="590"/>
      <c r="AT106" s="358" t="s">
        <v>450</v>
      </c>
      <c r="AU106" s="358" t="s">
        <v>451</v>
      </c>
      <c r="AV106" s="358" t="s">
        <v>452</v>
      </c>
      <c r="AW106" s="358" t="s">
        <v>442</v>
      </c>
      <c r="AX106" s="590"/>
    </row>
    <row r="107" spans="2:50">
      <c r="B107" s="590" t="s">
        <v>132</v>
      </c>
      <c r="C107" s="357">
        <v>1</v>
      </c>
      <c r="D107" s="231"/>
      <c r="E107" s="187"/>
      <c r="F107" s="357"/>
      <c r="G107" s="360"/>
      <c r="H107" s="632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71" t="str">
        <f>IFERROR(AVERAGE(K107:K121),"-")</f>
        <v>-</v>
      </c>
      <c r="M107" s="206" t="e">
        <f>RANK(K107, K$107:$K$121)</f>
        <v>#DIV/0!</v>
      </c>
      <c r="N107" s="590"/>
      <c r="O107" s="590"/>
      <c r="P107" s="187"/>
      <c r="Q107" s="360"/>
      <c r="R107" s="360"/>
      <c r="S107" s="357" t="e">
        <f>RANK(R107, R$107:R$121)</f>
        <v>#N/A</v>
      </c>
      <c r="T107" s="632" t="e">
        <f>AVERAGE(R107:R121)</f>
        <v>#DIV/0!</v>
      </c>
      <c r="U107" s="187"/>
      <c r="V107" s="379"/>
      <c r="W107" s="379"/>
      <c r="X107" s="357" t="e">
        <f>RANK(W107, W$107:W$121)</f>
        <v>#N/A</v>
      </c>
      <c r="Y107" s="632" t="e">
        <f>AVERAGE(W107:W121)</f>
        <v>#DIV/0!</v>
      </c>
      <c r="Z107" s="187"/>
      <c r="AA107" s="379"/>
      <c r="AB107" s="379"/>
      <c r="AC107" s="357" t="e">
        <f>RANK(AB107, AB$107:AB$121)</f>
        <v>#N/A</v>
      </c>
      <c r="AD107" s="632" t="e">
        <f>AVERAGE(AB107:AB121)</f>
        <v>#DIV/0!</v>
      </c>
      <c r="AE107" s="187"/>
      <c r="AF107" s="379"/>
      <c r="AG107" s="379"/>
      <c r="AH107" s="357" t="e">
        <f>RANK(AG107, AG$107:AG$121)</f>
        <v>#N/A</v>
      </c>
      <c r="AI107" s="632" t="e">
        <f>AVERAGE(AG107:AG121)</f>
        <v>#DIV/0!</v>
      </c>
      <c r="AJ107" s="187"/>
      <c r="AK107" s="379"/>
      <c r="AL107" s="379"/>
      <c r="AM107" s="357" t="e">
        <f>RANK(AL107, AL$107:AL$121)</f>
        <v>#N/A</v>
      </c>
      <c r="AN107" s="632" t="e">
        <f>AVERAGE(AL107:AL121)</f>
        <v>#DIV/0!</v>
      </c>
      <c r="AO107" s="187"/>
      <c r="AP107" s="379"/>
      <c r="AQ107" s="379"/>
      <c r="AR107" s="357" t="e">
        <f>RANK(AQ107, AQ$107:AQ$121)</f>
        <v>#N/A</v>
      </c>
      <c r="AS107" s="632" t="e">
        <f>AVERAGE(AQ107:AQ121)</f>
        <v>#DIV/0!</v>
      </c>
      <c r="AT107" s="187"/>
      <c r="AU107" s="379"/>
      <c r="AV107" s="379"/>
      <c r="AW107" s="357" t="e">
        <f>RANK(AV107, AV$107:AV$121)</f>
        <v>#N/A</v>
      </c>
      <c r="AX107" s="629" t="e">
        <f>AVERAGE(AV107:AV121)</f>
        <v>#DIV/0!</v>
      </c>
    </row>
    <row r="108" spans="2:50">
      <c r="B108" s="598"/>
      <c r="C108" s="357">
        <v>2</v>
      </c>
      <c r="D108" s="231"/>
      <c r="E108" s="187"/>
      <c r="F108" s="357"/>
      <c r="G108" s="360"/>
      <c r="H108" s="633"/>
      <c r="I108" s="204" t="e">
        <f t="shared" ref="I108:I114" si="61">AVERAGE(P108,U108,Z108,AE108,AJ108,AO108,AT108)</f>
        <v>#DIV/0!</v>
      </c>
      <c r="J108" s="204" t="e">
        <f t="shared" ref="J108:J114" si="62">AVERAGE(Q108,V108,AA108,AF108,AK108,AP108,AU108)</f>
        <v>#DIV/0!</v>
      </c>
      <c r="K108" s="205" t="e">
        <f t="shared" ref="K108:K114" si="63">AVERAGE(R108,W108,AB108,AG108,AL108,AQ108,AV108)</f>
        <v>#DIV/0!</v>
      </c>
      <c r="L108" s="572"/>
      <c r="M108" s="373" t="e">
        <f>RANK(K108, K$107:$K$121)</f>
        <v>#DIV/0!</v>
      </c>
      <c r="N108" s="590"/>
      <c r="O108" s="590"/>
      <c r="P108" s="357"/>
      <c r="Q108" s="360"/>
      <c r="R108" s="360"/>
      <c r="S108" s="370" t="e">
        <f t="shared" ref="S108:S121" si="64">RANK(R108, R$107:R$121)</f>
        <v>#N/A</v>
      </c>
      <c r="T108" s="633"/>
      <c r="U108" s="378"/>
      <c r="V108" s="379"/>
      <c r="W108" s="379"/>
      <c r="X108" s="357" t="e">
        <f t="shared" ref="X108:X121" si="65">RANK(W108, W$107:W$121)</f>
        <v>#N/A</v>
      </c>
      <c r="Y108" s="633"/>
      <c r="Z108" s="378"/>
      <c r="AA108" s="379"/>
      <c r="AB108" s="379"/>
      <c r="AC108" s="357" t="e">
        <f t="shared" ref="AC108:AC121" si="66">RANK(AB108, AB$107:AB$121)</f>
        <v>#N/A</v>
      </c>
      <c r="AD108" s="633"/>
      <c r="AE108" s="378"/>
      <c r="AF108" s="379"/>
      <c r="AG108" s="379"/>
      <c r="AH108" s="357" t="e">
        <f t="shared" ref="AH108:AH121" si="67">RANK(AG108, AG$107:AG$121)</f>
        <v>#N/A</v>
      </c>
      <c r="AI108" s="633"/>
      <c r="AJ108" s="378"/>
      <c r="AK108" s="379"/>
      <c r="AL108" s="379"/>
      <c r="AM108" s="357" t="e">
        <f t="shared" ref="AM108:AM121" si="68">RANK(AL108, AL$107:AL$121)</f>
        <v>#N/A</v>
      </c>
      <c r="AN108" s="633"/>
      <c r="AO108" s="378"/>
      <c r="AP108" s="379"/>
      <c r="AQ108" s="379"/>
      <c r="AR108" s="357" t="e">
        <f t="shared" ref="AR108:AR121" si="69">RANK(AQ108, AQ$107:AQ$121)</f>
        <v>#N/A</v>
      </c>
      <c r="AS108" s="633"/>
      <c r="AT108" s="378"/>
      <c r="AU108" s="379"/>
      <c r="AV108" s="379"/>
      <c r="AW108" s="357" t="e">
        <f t="shared" ref="AW108:AW121" si="70">RANK(AV108, AV$107:AV$121)</f>
        <v>#N/A</v>
      </c>
      <c r="AX108" s="629"/>
    </row>
    <row r="109" spans="2:50">
      <c r="B109" s="598"/>
      <c r="C109" s="357">
        <v>3</v>
      </c>
      <c r="D109" s="231"/>
      <c r="E109" s="187"/>
      <c r="F109" s="357"/>
      <c r="G109" s="360"/>
      <c r="H109" s="633"/>
      <c r="I109" s="204" t="e">
        <f t="shared" si="61"/>
        <v>#DIV/0!</v>
      </c>
      <c r="J109" s="204" t="e">
        <f t="shared" si="62"/>
        <v>#DIV/0!</v>
      </c>
      <c r="K109" s="205" t="e">
        <f t="shared" si="63"/>
        <v>#DIV/0!</v>
      </c>
      <c r="L109" s="572"/>
      <c r="M109" s="373" t="e">
        <f>RANK(K109, K$107:$K$121)</f>
        <v>#DIV/0!</v>
      </c>
      <c r="N109" s="590"/>
      <c r="O109" s="590"/>
      <c r="P109" s="357"/>
      <c r="Q109" s="360"/>
      <c r="R109" s="360"/>
      <c r="S109" s="370" t="e">
        <f t="shared" si="64"/>
        <v>#N/A</v>
      </c>
      <c r="T109" s="633"/>
      <c r="U109" s="378"/>
      <c r="V109" s="379"/>
      <c r="W109" s="379"/>
      <c r="X109" s="357" t="e">
        <f t="shared" si="65"/>
        <v>#N/A</v>
      </c>
      <c r="Y109" s="633"/>
      <c r="Z109" s="378"/>
      <c r="AA109" s="379"/>
      <c r="AB109" s="379"/>
      <c r="AC109" s="357" t="e">
        <f t="shared" si="66"/>
        <v>#N/A</v>
      </c>
      <c r="AD109" s="633"/>
      <c r="AE109" s="378"/>
      <c r="AF109" s="379"/>
      <c r="AG109" s="379"/>
      <c r="AH109" s="357" t="e">
        <f t="shared" si="67"/>
        <v>#N/A</v>
      </c>
      <c r="AI109" s="633"/>
      <c r="AJ109" s="378"/>
      <c r="AK109" s="379"/>
      <c r="AL109" s="379"/>
      <c r="AM109" s="357" t="e">
        <f t="shared" si="68"/>
        <v>#N/A</v>
      </c>
      <c r="AN109" s="633"/>
      <c r="AO109" s="378"/>
      <c r="AP109" s="379"/>
      <c r="AQ109" s="379"/>
      <c r="AR109" s="357" t="e">
        <f t="shared" si="69"/>
        <v>#N/A</v>
      </c>
      <c r="AS109" s="633"/>
      <c r="AT109" s="378"/>
      <c r="AU109" s="379"/>
      <c r="AV109" s="379"/>
      <c r="AW109" s="357" t="e">
        <f t="shared" si="70"/>
        <v>#N/A</v>
      </c>
      <c r="AX109" s="629"/>
    </row>
    <row r="110" spans="2:50">
      <c r="B110" s="598"/>
      <c r="C110" s="357">
        <v>4</v>
      </c>
      <c r="D110" s="231"/>
      <c r="E110" s="187"/>
      <c r="F110" s="357"/>
      <c r="G110" s="360"/>
      <c r="H110" s="633"/>
      <c r="I110" s="204" t="e">
        <f t="shared" si="61"/>
        <v>#DIV/0!</v>
      </c>
      <c r="J110" s="204" t="e">
        <f t="shared" si="62"/>
        <v>#DIV/0!</v>
      </c>
      <c r="K110" s="205" t="e">
        <f t="shared" si="63"/>
        <v>#DIV/0!</v>
      </c>
      <c r="L110" s="572"/>
      <c r="M110" s="373" t="e">
        <f>RANK(K110, K$107:$K$121)</f>
        <v>#DIV/0!</v>
      </c>
      <c r="N110" s="590"/>
      <c r="O110" s="590"/>
      <c r="P110" s="357"/>
      <c r="Q110" s="360"/>
      <c r="R110" s="360"/>
      <c r="S110" s="370" t="e">
        <f t="shared" si="64"/>
        <v>#N/A</v>
      </c>
      <c r="T110" s="633"/>
      <c r="U110" s="378"/>
      <c r="V110" s="379"/>
      <c r="W110" s="379"/>
      <c r="X110" s="357" t="e">
        <f t="shared" si="65"/>
        <v>#N/A</v>
      </c>
      <c r="Y110" s="633"/>
      <c r="Z110" s="378"/>
      <c r="AA110" s="379"/>
      <c r="AB110" s="379"/>
      <c r="AC110" s="357" t="e">
        <f t="shared" si="66"/>
        <v>#N/A</v>
      </c>
      <c r="AD110" s="633"/>
      <c r="AE110" s="378"/>
      <c r="AF110" s="379"/>
      <c r="AG110" s="379"/>
      <c r="AH110" s="357" t="e">
        <f t="shared" si="67"/>
        <v>#N/A</v>
      </c>
      <c r="AI110" s="633"/>
      <c r="AJ110" s="378"/>
      <c r="AK110" s="379"/>
      <c r="AL110" s="379"/>
      <c r="AM110" s="357" t="e">
        <f t="shared" si="68"/>
        <v>#N/A</v>
      </c>
      <c r="AN110" s="633"/>
      <c r="AO110" s="378"/>
      <c r="AP110" s="379"/>
      <c r="AQ110" s="379"/>
      <c r="AR110" s="357" t="e">
        <f t="shared" si="69"/>
        <v>#N/A</v>
      </c>
      <c r="AS110" s="633"/>
      <c r="AT110" s="378"/>
      <c r="AU110" s="379"/>
      <c r="AV110" s="379"/>
      <c r="AW110" s="357" t="e">
        <f t="shared" si="70"/>
        <v>#N/A</v>
      </c>
      <c r="AX110" s="629"/>
    </row>
    <row r="111" spans="2:50">
      <c r="B111" s="598"/>
      <c r="C111" s="357">
        <v>5</v>
      </c>
      <c r="D111" s="231"/>
      <c r="E111" s="187"/>
      <c r="F111" s="357"/>
      <c r="G111" s="360"/>
      <c r="H111" s="633"/>
      <c r="I111" s="204" t="e">
        <f t="shared" si="61"/>
        <v>#DIV/0!</v>
      </c>
      <c r="J111" s="204" t="e">
        <f t="shared" si="62"/>
        <v>#DIV/0!</v>
      </c>
      <c r="K111" s="205" t="e">
        <f t="shared" si="63"/>
        <v>#DIV/0!</v>
      </c>
      <c r="L111" s="572"/>
      <c r="M111" s="373" t="e">
        <f>RANK(K111, K$107:$K$121)</f>
        <v>#DIV/0!</v>
      </c>
      <c r="N111" s="590"/>
      <c r="O111" s="590"/>
      <c r="P111" s="357"/>
      <c r="Q111" s="360"/>
      <c r="R111" s="360"/>
      <c r="S111" s="370" t="e">
        <f t="shared" si="64"/>
        <v>#N/A</v>
      </c>
      <c r="T111" s="633"/>
      <c r="U111" s="378"/>
      <c r="V111" s="379"/>
      <c r="W111" s="379"/>
      <c r="X111" s="357" t="e">
        <f t="shared" si="65"/>
        <v>#N/A</v>
      </c>
      <c r="Y111" s="633"/>
      <c r="Z111" s="378"/>
      <c r="AA111" s="379"/>
      <c r="AB111" s="379"/>
      <c r="AC111" s="357" t="e">
        <f t="shared" si="66"/>
        <v>#N/A</v>
      </c>
      <c r="AD111" s="633"/>
      <c r="AE111" s="378"/>
      <c r="AF111" s="379"/>
      <c r="AG111" s="379"/>
      <c r="AH111" s="357" t="e">
        <f t="shared" si="67"/>
        <v>#N/A</v>
      </c>
      <c r="AI111" s="633"/>
      <c r="AJ111" s="378"/>
      <c r="AK111" s="379"/>
      <c r="AL111" s="379"/>
      <c r="AM111" s="357" t="e">
        <f t="shared" si="68"/>
        <v>#N/A</v>
      </c>
      <c r="AN111" s="633"/>
      <c r="AO111" s="378"/>
      <c r="AP111" s="379"/>
      <c r="AQ111" s="379"/>
      <c r="AR111" s="357" t="e">
        <f t="shared" si="69"/>
        <v>#N/A</v>
      </c>
      <c r="AS111" s="633"/>
      <c r="AT111" s="378"/>
      <c r="AU111" s="379"/>
      <c r="AV111" s="379"/>
      <c r="AW111" s="357" t="e">
        <f t="shared" si="70"/>
        <v>#N/A</v>
      </c>
      <c r="AX111" s="629"/>
    </row>
    <row r="112" spans="2:50">
      <c r="B112" s="598"/>
      <c r="C112" s="357">
        <v>6</v>
      </c>
      <c r="D112" s="231"/>
      <c r="E112" s="187"/>
      <c r="F112" s="357"/>
      <c r="G112" s="360"/>
      <c r="H112" s="633"/>
      <c r="I112" s="204" t="e">
        <f t="shared" si="61"/>
        <v>#DIV/0!</v>
      </c>
      <c r="J112" s="204" t="e">
        <f t="shared" si="62"/>
        <v>#DIV/0!</v>
      </c>
      <c r="K112" s="205" t="e">
        <f t="shared" si="63"/>
        <v>#DIV/0!</v>
      </c>
      <c r="L112" s="572"/>
      <c r="M112" s="373" t="e">
        <f>RANK(K112, K$107:$K$121)</f>
        <v>#DIV/0!</v>
      </c>
      <c r="N112" s="590"/>
      <c r="O112" s="590"/>
      <c r="P112" s="357"/>
      <c r="Q112" s="360"/>
      <c r="R112" s="360"/>
      <c r="S112" s="370" t="e">
        <f t="shared" si="64"/>
        <v>#N/A</v>
      </c>
      <c r="T112" s="633"/>
      <c r="U112" s="378"/>
      <c r="V112" s="379"/>
      <c r="W112" s="379"/>
      <c r="X112" s="357" t="e">
        <f t="shared" si="65"/>
        <v>#N/A</v>
      </c>
      <c r="Y112" s="633"/>
      <c r="Z112" s="378"/>
      <c r="AA112" s="379"/>
      <c r="AB112" s="379"/>
      <c r="AC112" s="357" t="e">
        <f t="shared" si="66"/>
        <v>#N/A</v>
      </c>
      <c r="AD112" s="633"/>
      <c r="AE112" s="378"/>
      <c r="AF112" s="379"/>
      <c r="AG112" s="379"/>
      <c r="AH112" s="357" t="e">
        <f t="shared" si="67"/>
        <v>#N/A</v>
      </c>
      <c r="AI112" s="633"/>
      <c r="AJ112" s="378"/>
      <c r="AK112" s="379"/>
      <c r="AL112" s="379"/>
      <c r="AM112" s="357" t="e">
        <f t="shared" si="68"/>
        <v>#N/A</v>
      </c>
      <c r="AN112" s="633"/>
      <c r="AO112" s="378"/>
      <c r="AP112" s="379"/>
      <c r="AQ112" s="379"/>
      <c r="AR112" s="357" t="e">
        <f t="shared" si="69"/>
        <v>#N/A</v>
      </c>
      <c r="AS112" s="633"/>
      <c r="AT112" s="378"/>
      <c r="AU112" s="379"/>
      <c r="AV112" s="379"/>
      <c r="AW112" s="357" t="e">
        <f t="shared" si="70"/>
        <v>#N/A</v>
      </c>
      <c r="AX112" s="629"/>
    </row>
    <row r="113" spans="2:50">
      <c r="B113" s="598"/>
      <c r="C113" s="357">
        <v>7</v>
      </c>
      <c r="D113" s="231"/>
      <c r="E113" s="187"/>
      <c r="F113" s="357"/>
      <c r="G113" s="360"/>
      <c r="H113" s="633"/>
      <c r="I113" s="204" t="e">
        <f t="shared" si="61"/>
        <v>#DIV/0!</v>
      </c>
      <c r="J113" s="204" t="e">
        <f t="shared" si="62"/>
        <v>#DIV/0!</v>
      </c>
      <c r="K113" s="205" t="e">
        <f t="shared" si="63"/>
        <v>#DIV/0!</v>
      </c>
      <c r="L113" s="572"/>
      <c r="M113" s="373" t="e">
        <f>RANK(K113, K$107:$K$121)</f>
        <v>#DIV/0!</v>
      </c>
      <c r="N113" s="590"/>
      <c r="O113" s="590"/>
      <c r="P113" s="357"/>
      <c r="Q113" s="360"/>
      <c r="R113" s="360"/>
      <c r="S113" s="370" t="e">
        <f t="shared" si="64"/>
        <v>#N/A</v>
      </c>
      <c r="T113" s="633"/>
      <c r="U113" s="378"/>
      <c r="V113" s="379"/>
      <c r="W113" s="379"/>
      <c r="X113" s="357" t="e">
        <f t="shared" si="65"/>
        <v>#N/A</v>
      </c>
      <c r="Y113" s="633"/>
      <c r="Z113" s="378"/>
      <c r="AA113" s="379"/>
      <c r="AB113" s="379"/>
      <c r="AC113" s="357" t="e">
        <f t="shared" si="66"/>
        <v>#N/A</v>
      </c>
      <c r="AD113" s="633"/>
      <c r="AE113" s="378"/>
      <c r="AF113" s="379"/>
      <c r="AG113" s="379"/>
      <c r="AH113" s="357" t="e">
        <f t="shared" si="67"/>
        <v>#N/A</v>
      </c>
      <c r="AI113" s="633"/>
      <c r="AJ113" s="378"/>
      <c r="AK113" s="379"/>
      <c r="AL113" s="379"/>
      <c r="AM113" s="357" t="e">
        <f t="shared" si="68"/>
        <v>#N/A</v>
      </c>
      <c r="AN113" s="633"/>
      <c r="AO113" s="378"/>
      <c r="AP113" s="379"/>
      <c r="AQ113" s="379"/>
      <c r="AR113" s="357" t="e">
        <f t="shared" si="69"/>
        <v>#N/A</v>
      </c>
      <c r="AS113" s="633"/>
      <c r="AT113" s="378"/>
      <c r="AU113" s="379"/>
      <c r="AV113" s="379"/>
      <c r="AW113" s="357" t="e">
        <f t="shared" si="70"/>
        <v>#N/A</v>
      </c>
      <c r="AX113" s="629"/>
    </row>
    <row r="114" spans="2:50">
      <c r="B114" s="598"/>
      <c r="C114" s="357">
        <v>8</v>
      </c>
      <c r="D114" s="231"/>
      <c r="E114" s="187"/>
      <c r="F114" s="357"/>
      <c r="G114" s="360"/>
      <c r="H114" s="633"/>
      <c r="I114" s="204" t="e">
        <f t="shared" si="61"/>
        <v>#DIV/0!</v>
      </c>
      <c r="J114" s="204" t="e">
        <f t="shared" si="62"/>
        <v>#DIV/0!</v>
      </c>
      <c r="K114" s="205" t="e">
        <f t="shared" si="63"/>
        <v>#DIV/0!</v>
      </c>
      <c r="L114" s="572"/>
      <c r="M114" s="373" t="e">
        <f>RANK(K114, K$107:$K$121)</f>
        <v>#DIV/0!</v>
      </c>
      <c r="N114" s="590"/>
      <c r="O114" s="590"/>
      <c r="P114" s="357"/>
      <c r="Q114" s="360"/>
      <c r="R114" s="360"/>
      <c r="S114" s="370" t="e">
        <f t="shared" si="64"/>
        <v>#N/A</v>
      </c>
      <c r="T114" s="633"/>
      <c r="U114" s="378"/>
      <c r="V114" s="379"/>
      <c r="W114" s="379"/>
      <c r="X114" s="357" t="e">
        <f t="shared" si="65"/>
        <v>#N/A</v>
      </c>
      <c r="Y114" s="633"/>
      <c r="Z114" s="378"/>
      <c r="AA114" s="379"/>
      <c r="AB114" s="379"/>
      <c r="AC114" s="357" t="e">
        <f t="shared" si="66"/>
        <v>#N/A</v>
      </c>
      <c r="AD114" s="633"/>
      <c r="AE114" s="378"/>
      <c r="AF114" s="379"/>
      <c r="AG114" s="379"/>
      <c r="AH114" s="357" t="e">
        <f t="shared" si="67"/>
        <v>#N/A</v>
      </c>
      <c r="AI114" s="633"/>
      <c r="AJ114" s="378"/>
      <c r="AK114" s="379"/>
      <c r="AL114" s="379"/>
      <c r="AM114" s="357" t="e">
        <f t="shared" si="68"/>
        <v>#N/A</v>
      </c>
      <c r="AN114" s="633"/>
      <c r="AO114" s="378"/>
      <c r="AP114" s="379"/>
      <c r="AQ114" s="379"/>
      <c r="AR114" s="357" t="e">
        <f t="shared" si="69"/>
        <v>#N/A</v>
      </c>
      <c r="AS114" s="633"/>
      <c r="AT114" s="378"/>
      <c r="AU114" s="379"/>
      <c r="AV114" s="379"/>
      <c r="AW114" s="357" t="e">
        <f t="shared" si="70"/>
        <v>#N/A</v>
      </c>
      <c r="AX114" s="629"/>
    </row>
    <row r="115" spans="2:50">
      <c r="B115" s="598"/>
      <c r="C115" s="357">
        <v>9</v>
      </c>
      <c r="D115" s="231"/>
      <c r="E115" s="187"/>
      <c r="F115" s="357"/>
      <c r="G115" s="360"/>
      <c r="H115" s="633"/>
      <c r="I115" s="372" t="e">
        <f t="shared" ref="I115:I116" si="71">AVERAGE(P115,U115,Z115,AE115,AJ115,AO115,AT115)</f>
        <v>#DIV/0!</v>
      </c>
      <c r="J115" s="372" t="e">
        <f t="shared" ref="J115:J116" si="72">AVERAGE(Q115,V115,AA115,AF115,AK115,AP115,AU115)</f>
        <v>#DIV/0!</v>
      </c>
      <c r="K115" s="205" t="e">
        <f t="shared" ref="K115:K116" si="73">AVERAGE(R115,W115,AB115,AG115,AL115,AQ115,AV115)</f>
        <v>#DIV/0!</v>
      </c>
      <c r="L115" s="572"/>
      <c r="M115" s="373" t="e">
        <f>RANK(K115, K$107:$K$121)</f>
        <v>#DIV/0!</v>
      </c>
      <c r="N115" s="590"/>
      <c r="O115" s="590"/>
      <c r="P115" s="357"/>
      <c r="Q115" s="360"/>
      <c r="R115" s="360"/>
      <c r="S115" s="370" t="e">
        <f t="shared" si="64"/>
        <v>#N/A</v>
      </c>
      <c r="T115" s="633"/>
      <c r="U115" s="378"/>
      <c r="V115" s="379"/>
      <c r="W115" s="379"/>
      <c r="X115" s="357" t="e">
        <f t="shared" si="65"/>
        <v>#N/A</v>
      </c>
      <c r="Y115" s="633"/>
      <c r="Z115" s="378"/>
      <c r="AA115" s="379"/>
      <c r="AB115" s="379"/>
      <c r="AC115" s="357" t="e">
        <f t="shared" si="66"/>
        <v>#N/A</v>
      </c>
      <c r="AD115" s="633"/>
      <c r="AE115" s="378"/>
      <c r="AF115" s="379"/>
      <c r="AG115" s="379"/>
      <c r="AH115" s="357" t="e">
        <f t="shared" si="67"/>
        <v>#N/A</v>
      </c>
      <c r="AI115" s="633"/>
      <c r="AJ115" s="378"/>
      <c r="AK115" s="379"/>
      <c r="AL115" s="379"/>
      <c r="AM115" s="357" t="e">
        <f t="shared" si="68"/>
        <v>#N/A</v>
      </c>
      <c r="AN115" s="633"/>
      <c r="AO115" s="378"/>
      <c r="AP115" s="379"/>
      <c r="AQ115" s="379"/>
      <c r="AR115" s="357" t="e">
        <f t="shared" si="69"/>
        <v>#N/A</v>
      </c>
      <c r="AS115" s="633"/>
      <c r="AT115" s="378"/>
      <c r="AU115" s="379"/>
      <c r="AV115" s="379"/>
      <c r="AW115" s="357" t="e">
        <f t="shared" si="70"/>
        <v>#N/A</v>
      </c>
      <c r="AX115" s="629"/>
    </row>
    <row r="116" spans="2:50">
      <c r="B116" s="598"/>
      <c r="C116" s="357">
        <v>10</v>
      </c>
      <c r="D116" s="231"/>
      <c r="E116" s="187"/>
      <c r="F116" s="357"/>
      <c r="G116" s="360"/>
      <c r="H116" s="633"/>
      <c r="I116" s="372" t="e">
        <f t="shared" si="71"/>
        <v>#DIV/0!</v>
      </c>
      <c r="J116" s="372" t="e">
        <f t="shared" si="72"/>
        <v>#DIV/0!</v>
      </c>
      <c r="K116" s="205" t="e">
        <f t="shared" si="73"/>
        <v>#DIV/0!</v>
      </c>
      <c r="L116" s="572"/>
      <c r="M116" s="373" t="e">
        <f>RANK(K116, K$107:$K$121)</f>
        <v>#DIV/0!</v>
      </c>
      <c r="N116" s="590"/>
      <c r="O116" s="590"/>
      <c r="P116" s="357"/>
      <c r="Q116" s="360"/>
      <c r="R116" s="360"/>
      <c r="S116" s="370" t="e">
        <f t="shared" si="64"/>
        <v>#N/A</v>
      </c>
      <c r="T116" s="633"/>
      <c r="U116" s="378"/>
      <c r="V116" s="379"/>
      <c r="W116" s="379"/>
      <c r="X116" s="357" t="e">
        <f t="shared" si="65"/>
        <v>#N/A</v>
      </c>
      <c r="Y116" s="633"/>
      <c r="Z116" s="378"/>
      <c r="AA116" s="379"/>
      <c r="AB116" s="379"/>
      <c r="AC116" s="357" t="e">
        <f t="shared" si="66"/>
        <v>#N/A</v>
      </c>
      <c r="AD116" s="633"/>
      <c r="AE116" s="378"/>
      <c r="AF116" s="379"/>
      <c r="AG116" s="379"/>
      <c r="AH116" s="357" t="e">
        <f t="shared" si="67"/>
        <v>#N/A</v>
      </c>
      <c r="AI116" s="633"/>
      <c r="AJ116" s="378"/>
      <c r="AK116" s="379"/>
      <c r="AL116" s="379"/>
      <c r="AM116" s="357" t="e">
        <f t="shared" si="68"/>
        <v>#N/A</v>
      </c>
      <c r="AN116" s="633"/>
      <c r="AO116" s="378"/>
      <c r="AP116" s="379"/>
      <c r="AQ116" s="379"/>
      <c r="AR116" s="357" t="e">
        <f t="shared" si="69"/>
        <v>#N/A</v>
      </c>
      <c r="AS116" s="633"/>
      <c r="AT116" s="378"/>
      <c r="AU116" s="379"/>
      <c r="AV116" s="379"/>
      <c r="AW116" s="357" t="e">
        <f t="shared" si="70"/>
        <v>#N/A</v>
      </c>
      <c r="AX116" s="629"/>
    </row>
    <row r="117" spans="2:50">
      <c r="B117" s="598"/>
      <c r="C117" s="357">
        <v>11</v>
      </c>
      <c r="D117" s="231"/>
      <c r="E117" s="187"/>
      <c r="F117" s="357"/>
      <c r="G117" s="360"/>
      <c r="H117" s="633"/>
      <c r="I117" s="207"/>
      <c r="J117" s="207"/>
      <c r="K117" s="207"/>
      <c r="L117" s="572"/>
      <c r="M117" s="373" t="e">
        <f>RANK(K117, K$107:$K$121)</f>
        <v>#DIV/0!</v>
      </c>
      <c r="N117" s="590"/>
      <c r="O117" s="590"/>
      <c r="P117" s="357"/>
      <c r="Q117" s="360"/>
      <c r="R117" s="360"/>
      <c r="S117" s="370" t="e">
        <f t="shared" si="64"/>
        <v>#N/A</v>
      </c>
      <c r="T117" s="633"/>
      <c r="U117" s="378"/>
      <c r="V117" s="379"/>
      <c r="W117" s="379"/>
      <c r="X117" s="357" t="e">
        <f t="shared" si="65"/>
        <v>#N/A</v>
      </c>
      <c r="Y117" s="633"/>
      <c r="Z117" s="378"/>
      <c r="AA117" s="379"/>
      <c r="AB117" s="379"/>
      <c r="AC117" s="357" t="e">
        <f t="shared" si="66"/>
        <v>#N/A</v>
      </c>
      <c r="AD117" s="633"/>
      <c r="AE117" s="378"/>
      <c r="AF117" s="379"/>
      <c r="AG117" s="379"/>
      <c r="AH117" s="357" t="e">
        <f t="shared" si="67"/>
        <v>#N/A</v>
      </c>
      <c r="AI117" s="633"/>
      <c r="AJ117" s="378"/>
      <c r="AK117" s="379"/>
      <c r="AL117" s="379"/>
      <c r="AM117" s="357" t="e">
        <f t="shared" si="68"/>
        <v>#N/A</v>
      </c>
      <c r="AN117" s="633"/>
      <c r="AO117" s="378"/>
      <c r="AP117" s="379"/>
      <c r="AQ117" s="379"/>
      <c r="AR117" s="357" t="e">
        <f t="shared" si="69"/>
        <v>#N/A</v>
      </c>
      <c r="AS117" s="633"/>
      <c r="AT117" s="378"/>
      <c r="AU117" s="379"/>
      <c r="AV117" s="379"/>
      <c r="AW117" s="357" t="e">
        <f t="shared" si="70"/>
        <v>#N/A</v>
      </c>
      <c r="AX117" s="629"/>
    </row>
    <row r="118" spans="2:50">
      <c r="B118" s="598"/>
      <c r="C118" s="357">
        <v>12</v>
      </c>
      <c r="D118" s="231"/>
      <c r="E118" s="187"/>
      <c r="F118" s="357"/>
      <c r="G118" s="360"/>
      <c r="H118" s="633"/>
      <c r="I118" s="207"/>
      <c r="J118" s="207"/>
      <c r="K118" s="207"/>
      <c r="L118" s="572"/>
      <c r="M118" s="373" t="e">
        <f>RANK(K118, K$107:$K$121)</f>
        <v>#DIV/0!</v>
      </c>
      <c r="N118" s="590"/>
      <c r="O118" s="590"/>
      <c r="P118" s="357"/>
      <c r="Q118" s="360"/>
      <c r="R118" s="360"/>
      <c r="S118" s="370" t="e">
        <f t="shared" si="64"/>
        <v>#N/A</v>
      </c>
      <c r="T118" s="633"/>
      <c r="U118" s="378"/>
      <c r="V118" s="379"/>
      <c r="W118" s="379"/>
      <c r="X118" s="357" t="e">
        <f t="shared" si="65"/>
        <v>#N/A</v>
      </c>
      <c r="Y118" s="633"/>
      <c r="Z118" s="378"/>
      <c r="AA118" s="379"/>
      <c r="AB118" s="379"/>
      <c r="AC118" s="357" t="e">
        <f t="shared" si="66"/>
        <v>#N/A</v>
      </c>
      <c r="AD118" s="633"/>
      <c r="AE118" s="378"/>
      <c r="AF118" s="379"/>
      <c r="AG118" s="379"/>
      <c r="AH118" s="357" t="e">
        <f t="shared" si="67"/>
        <v>#N/A</v>
      </c>
      <c r="AI118" s="633"/>
      <c r="AJ118" s="378"/>
      <c r="AK118" s="379"/>
      <c r="AL118" s="379"/>
      <c r="AM118" s="357" t="e">
        <f t="shared" si="68"/>
        <v>#N/A</v>
      </c>
      <c r="AN118" s="633"/>
      <c r="AO118" s="378"/>
      <c r="AP118" s="379"/>
      <c r="AQ118" s="379"/>
      <c r="AR118" s="357" t="e">
        <f t="shared" si="69"/>
        <v>#N/A</v>
      </c>
      <c r="AS118" s="633"/>
      <c r="AT118" s="378"/>
      <c r="AU118" s="379"/>
      <c r="AV118" s="379"/>
      <c r="AW118" s="357" t="e">
        <f t="shared" si="70"/>
        <v>#N/A</v>
      </c>
      <c r="AX118" s="629"/>
    </row>
    <row r="119" spans="2:50">
      <c r="B119" s="598"/>
      <c r="C119" s="357">
        <v>13</v>
      </c>
      <c r="D119" s="231"/>
      <c r="E119" s="187"/>
      <c r="F119" s="357"/>
      <c r="G119" s="360"/>
      <c r="H119" s="633"/>
      <c r="I119" s="207"/>
      <c r="J119" s="207"/>
      <c r="K119" s="207"/>
      <c r="L119" s="572"/>
      <c r="M119" s="373" t="e">
        <f>RANK(K119, K$107:$K$121)</f>
        <v>#DIV/0!</v>
      </c>
      <c r="N119" s="590"/>
      <c r="O119" s="590"/>
      <c r="P119" s="357"/>
      <c r="Q119" s="360"/>
      <c r="R119" s="360"/>
      <c r="S119" s="370" t="e">
        <f t="shared" si="64"/>
        <v>#N/A</v>
      </c>
      <c r="T119" s="633"/>
      <c r="U119" s="378"/>
      <c r="V119" s="379"/>
      <c r="W119" s="379"/>
      <c r="X119" s="357" t="e">
        <f t="shared" si="65"/>
        <v>#N/A</v>
      </c>
      <c r="Y119" s="633"/>
      <c r="Z119" s="378"/>
      <c r="AA119" s="379"/>
      <c r="AB119" s="379"/>
      <c r="AC119" s="357" t="e">
        <f t="shared" si="66"/>
        <v>#N/A</v>
      </c>
      <c r="AD119" s="633"/>
      <c r="AE119" s="378"/>
      <c r="AF119" s="379"/>
      <c r="AG119" s="379"/>
      <c r="AH119" s="357" t="e">
        <f t="shared" si="67"/>
        <v>#N/A</v>
      </c>
      <c r="AI119" s="633"/>
      <c r="AJ119" s="378"/>
      <c r="AK119" s="379"/>
      <c r="AL119" s="379"/>
      <c r="AM119" s="357" t="e">
        <f t="shared" si="68"/>
        <v>#N/A</v>
      </c>
      <c r="AN119" s="633"/>
      <c r="AO119" s="378"/>
      <c r="AP119" s="379"/>
      <c r="AQ119" s="379"/>
      <c r="AR119" s="357" t="e">
        <f t="shared" si="69"/>
        <v>#N/A</v>
      </c>
      <c r="AS119" s="633"/>
      <c r="AT119" s="378"/>
      <c r="AU119" s="379"/>
      <c r="AV119" s="379"/>
      <c r="AW119" s="357" t="e">
        <f t="shared" si="70"/>
        <v>#N/A</v>
      </c>
      <c r="AX119" s="629"/>
    </row>
    <row r="120" spans="2:50">
      <c r="B120" s="598"/>
      <c r="C120" s="357">
        <v>14</v>
      </c>
      <c r="D120" s="231"/>
      <c r="E120" s="187"/>
      <c r="F120" s="357"/>
      <c r="G120" s="360"/>
      <c r="H120" s="633"/>
      <c r="I120" s="207"/>
      <c r="J120" s="207"/>
      <c r="K120" s="207"/>
      <c r="L120" s="572"/>
      <c r="M120" s="373" t="e">
        <f>RANK(K120, K$107:$K$121)</f>
        <v>#DIV/0!</v>
      </c>
      <c r="N120" s="590"/>
      <c r="O120" s="590"/>
      <c r="P120" s="357"/>
      <c r="Q120" s="360"/>
      <c r="R120" s="360"/>
      <c r="S120" s="370" t="e">
        <f t="shared" si="64"/>
        <v>#N/A</v>
      </c>
      <c r="T120" s="633"/>
      <c r="U120" s="378"/>
      <c r="V120" s="379"/>
      <c r="W120" s="379"/>
      <c r="X120" s="357" t="e">
        <f t="shared" si="65"/>
        <v>#N/A</v>
      </c>
      <c r="Y120" s="633"/>
      <c r="Z120" s="378"/>
      <c r="AA120" s="379"/>
      <c r="AB120" s="379"/>
      <c r="AC120" s="357" t="e">
        <f t="shared" si="66"/>
        <v>#N/A</v>
      </c>
      <c r="AD120" s="633"/>
      <c r="AE120" s="378"/>
      <c r="AF120" s="379"/>
      <c r="AG120" s="379"/>
      <c r="AH120" s="357" t="e">
        <f t="shared" si="67"/>
        <v>#N/A</v>
      </c>
      <c r="AI120" s="633"/>
      <c r="AJ120" s="378"/>
      <c r="AK120" s="379"/>
      <c r="AL120" s="379"/>
      <c r="AM120" s="357" t="e">
        <f t="shared" si="68"/>
        <v>#N/A</v>
      </c>
      <c r="AN120" s="633"/>
      <c r="AO120" s="378"/>
      <c r="AP120" s="379"/>
      <c r="AQ120" s="379"/>
      <c r="AR120" s="357" t="e">
        <f t="shared" si="69"/>
        <v>#N/A</v>
      </c>
      <c r="AS120" s="633"/>
      <c r="AT120" s="378"/>
      <c r="AU120" s="379"/>
      <c r="AV120" s="379"/>
      <c r="AW120" s="357" t="e">
        <f t="shared" si="70"/>
        <v>#N/A</v>
      </c>
      <c r="AX120" s="629"/>
    </row>
    <row r="121" spans="2:50">
      <c r="B121" s="598"/>
      <c r="C121" s="357">
        <v>15</v>
      </c>
      <c r="D121" s="231"/>
      <c r="E121" s="187"/>
      <c r="F121" s="357"/>
      <c r="G121" s="360"/>
      <c r="H121" s="634"/>
      <c r="I121" s="207"/>
      <c r="J121" s="207"/>
      <c r="K121" s="207"/>
      <c r="L121" s="573"/>
      <c r="M121" s="373" t="e">
        <f>RANK(K121, K$107:$K$121)</f>
        <v>#DIV/0!</v>
      </c>
      <c r="N121" s="590"/>
      <c r="O121" s="590"/>
      <c r="P121" s="357"/>
      <c r="Q121" s="360"/>
      <c r="R121" s="360"/>
      <c r="S121" s="370" t="e">
        <f t="shared" si="64"/>
        <v>#N/A</v>
      </c>
      <c r="T121" s="634"/>
      <c r="U121" s="378"/>
      <c r="V121" s="379"/>
      <c r="W121" s="379"/>
      <c r="X121" s="357" t="e">
        <f t="shared" si="65"/>
        <v>#N/A</v>
      </c>
      <c r="Y121" s="634"/>
      <c r="Z121" s="378"/>
      <c r="AA121" s="379"/>
      <c r="AB121" s="379"/>
      <c r="AC121" s="357" t="e">
        <f t="shared" si="66"/>
        <v>#N/A</v>
      </c>
      <c r="AD121" s="634"/>
      <c r="AE121" s="378"/>
      <c r="AF121" s="379"/>
      <c r="AG121" s="379"/>
      <c r="AH121" s="357" t="e">
        <f t="shared" si="67"/>
        <v>#N/A</v>
      </c>
      <c r="AI121" s="634"/>
      <c r="AJ121" s="378"/>
      <c r="AK121" s="379"/>
      <c r="AL121" s="379"/>
      <c r="AM121" s="357" t="e">
        <f t="shared" si="68"/>
        <v>#N/A</v>
      </c>
      <c r="AN121" s="634"/>
      <c r="AO121" s="378"/>
      <c r="AP121" s="379"/>
      <c r="AQ121" s="379"/>
      <c r="AR121" s="357" t="e">
        <f t="shared" si="69"/>
        <v>#N/A</v>
      </c>
      <c r="AS121" s="634"/>
      <c r="AT121" s="378"/>
      <c r="AU121" s="379"/>
      <c r="AV121" s="379"/>
      <c r="AW121" s="357" t="e">
        <f t="shared" si="70"/>
        <v>#N/A</v>
      </c>
      <c r="AX121" s="629"/>
    </row>
    <row r="123" spans="2:50" ht="15.75">
      <c r="B123" s="623" t="s">
        <v>668</v>
      </c>
      <c r="C123" s="624"/>
      <c r="D123" s="624"/>
      <c r="E123" s="624"/>
      <c r="F123" s="624"/>
      <c r="G123" s="624"/>
      <c r="H123" s="625"/>
      <c r="I123" s="361"/>
      <c r="J123" s="361"/>
      <c r="K123" s="361"/>
      <c r="L123" s="361"/>
      <c r="M123" s="362"/>
    </row>
    <row r="124" spans="2:50" ht="15.75">
      <c r="B124" s="626"/>
      <c r="C124" s="626"/>
      <c r="D124" s="626"/>
      <c r="E124" s="626"/>
      <c r="F124" s="626"/>
      <c r="G124" s="626"/>
      <c r="H124" s="626"/>
      <c r="I124" s="363"/>
      <c r="J124" s="363"/>
      <c r="K124" s="363"/>
      <c r="L124" s="363"/>
      <c r="M124" s="364"/>
    </row>
    <row r="125" spans="2:50">
      <c r="B125" s="590" t="s">
        <v>669</v>
      </c>
      <c r="C125" s="590" t="s">
        <v>670</v>
      </c>
      <c r="D125" s="590"/>
      <c r="E125" s="590" t="s">
        <v>671</v>
      </c>
      <c r="F125" s="590"/>
      <c r="G125" s="590"/>
      <c r="H125" s="606" t="s">
        <v>672</v>
      </c>
      <c r="I125" s="627" t="s">
        <v>673</v>
      </c>
      <c r="J125" s="627"/>
      <c r="K125" s="627"/>
      <c r="L125" s="643" t="s">
        <v>672</v>
      </c>
      <c r="M125" s="646" t="s">
        <v>674</v>
      </c>
    </row>
    <row r="126" spans="2:50">
      <c r="B126" s="590"/>
      <c r="C126" s="590"/>
      <c r="D126" s="590"/>
      <c r="E126" s="590" t="s">
        <v>675</v>
      </c>
      <c r="F126" s="590"/>
      <c r="G126" s="590"/>
      <c r="H126" s="607"/>
      <c r="I126" s="627" t="s">
        <v>675</v>
      </c>
      <c r="J126" s="627"/>
      <c r="K126" s="627"/>
      <c r="L126" s="644"/>
      <c r="M126" s="647"/>
    </row>
    <row r="127" spans="2:50">
      <c r="B127" s="590"/>
      <c r="C127" s="590"/>
      <c r="D127" s="590"/>
      <c r="E127" s="358" t="s">
        <v>676</v>
      </c>
      <c r="F127" s="358" t="s">
        <v>677</v>
      </c>
      <c r="G127" s="358" t="s">
        <v>678</v>
      </c>
      <c r="H127" s="608"/>
      <c r="I127" s="365" t="s">
        <v>676</v>
      </c>
      <c r="J127" s="365" t="s">
        <v>677</v>
      </c>
      <c r="K127" s="365" t="s">
        <v>678</v>
      </c>
      <c r="L127" s="645"/>
      <c r="M127" s="648"/>
    </row>
    <row r="128" spans="2:50">
      <c r="B128" s="590" t="s">
        <v>684</v>
      </c>
      <c r="C128" s="357">
        <v>1</v>
      </c>
      <c r="D128" s="231"/>
      <c r="E128" s="187"/>
      <c r="F128" s="357"/>
      <c r="G128" s="360"/>
      <c r="H128" s="632" t="e">
        <f>AVERAGE(G128:G142)</f>
        <v>#DIV/0!</v>
      </c>
      <c r="I128" s="204" t="e">
        <f t="shared" ref="I128:J135" si="74">AVERAGEIF($D$7:$D$121,$D128,I$7:I$121)</f>
        <v>#DIV/0!</v>
      </c>
      <c r="J128" s="204" t="e">
        <f t="shared" si="74"/>
        <v>#DIV/0!</v>
      </c>
      <c r="K128" s="204" t="e">
        <f t="shared" ref="K128:K135" si="75">AVERAGEIF($D$7:$D$121,$D128,K$7:K$121)</f>
        <v>#DIV/0!</v>
      </c>
      <c r="L128" s="640" t="e">
        <f>AVERAGE(K128:K142)</f>
        <v>#DIV/0!</v>
      </c>
      <c r="M128" s="204" t="e">
        <f>RANK(K128, K$128:$K$142)</f>
        <v>#DIV/0!</v>
      </c>
    </row>
    <row r="129" spans="2:13">
      <c r="B129" s="598"/>
      <c r="C129" s="357">
        <v>2</v>
      </c>
      <c r="D129" s="231"/>
      <c r="E129" s="187"/>
      <c r="F129" s="357"/>
      <c r="G129" s="360"/>
      <c r="H129" s="633"/>
      <c r="I129" s="204" t="e">
        <f t="shared" si="74"/>
        <v>#DIV/0!</v>
      </c>
      <c r="J129" s="204" t="e">
        <f t="shared" si="74"/>
        <v>#DIV/0!</v>
      </c>
      <c r="K129" s="204" t="e">
        <f t="shared" si="75"/>
        <v>#DIV/0!</v>
      </c>
      <c r="L129" s="641"/>
      <c r="M129" s="204" t="e">
        <f>RANK(K129, K$128:$K$142)</f>
        <v>#DIV/0!</v>
      </c>
    </row>
    <row r="130" spans="2:13">
      <c r="B130" s="598"/>
      <c r="C130" s="357">
        <v>3</v>
      </c>
      <c r="D130" s="231"/>
      <c r="E130" s="187"/>
      <c r="F130" s="357"/>
      <c r="G130" s="360"/>
      <c r="H130" s="633"/>
      <c r="I130" s="204" t="e">
        <f t="shared" si="74"/>
        <v>#DIV/0!</v>
      </c>
      <c r="J130" s="204" t="e">
        <f t="shared" si="74"/>
        <v>#DIV/0!</v>
      </c>
      <c r="K130" s="204" t="e">
        <f t="shared" si="75"/>
        <v>#DIV/0!</v>
      </c>
      <c r="L130" s="641"/>
      <c r="M130" s="204" t="e">
        <f>RANK(K130, K$128:$K$142)</f>
        <v>#DIV/0!</v>
      </c>
    </row>
    <row r="131" spans="2:13">
      <c r="B131" s="598"/>
      <c r="C131" s="357">
        <v>4</v>
      </c>
      <c r="D131" s="231"/>
      <c r="E131" s="187"/>
      <c r="F131" s="357"/>
      <c r="G131" s="360"/>
      <c r="H131" s="633"/>
      <c r="I131" s="204" t="e">
        <f t="shared" si="74"/>
        <v>#DIV/0!</v>
      </c>
      <c r="J131" s="204" t="e">
        <f t="shared" si="74"/>
        <v>#DIV/0!</v>
      </c>
      <c r="K131" s="204" t="e">
        <f t="shared" si="75"/>
        <v>#DIV/0!</v>
      </c>
      <c r="L131" s="641"/>
      <c r="M131" s="204" t="e">
        <f>RANK(K131, K$128:$K$142)</f>
        <v>#DIV/0!</v>
      </c>
    </row>
    <row r="132" spans="2:13">
      <c r="B132" s="598"/>
      <c r="C132" s="357">
        <v>5</v>
      </c>
      <c r="D132" s="231"/>
      <c r="E132" s="187"/>
      <c r="F132" s="357"/>
      <c r="G132" s="360"/>
      <c r="H132" s="633"/>
      <c r="I132" s="204" t="e">
        <f t="shared" si="74"/>
        <v>#DIV/0!</v>
      </c>
      <c r="J132" s="204" t="e">
        <f t="shared" si="74"/>
        <v>#DIV/0!</v>
      </c>
      <c r="K132" s="204" t="e">
        <f t="shared" si="75"/>
        <v>#DIV/0!</v>
      </c>
      <c r="L132" s="641"/>
      <c r="M132" s="204" t="e">
        <f>RANK(K132, K$128:$K$142)</f>
        <v>#DIV/0!</v>
      </c>
    </row>
    <row r="133" spans="2:13">
      <c r="B133" s="598"/>
      <c r="C133" s="357">
        <v>6</v>
      </c>
      <c r="D133" s="366"/>
      <c r="E133" s="187"/>
      <c r="F133" s="357"/>
      <c r="G133" s="360"/>
      <c r="H133" s="633"/>
      <c r="I133" s="204" t="e">
        <f t="shared" si="74"/>
        <v>#DIV/0!</v>
      </c>
      <c r="J133" s="204" t="e">
        <f t="shared" si="74"/>
        <v>#DIV/0!</v>
      </c>
      <c r="K133" s="204" t="e">
        <f t="shared" si="75"/>
        <v>#DIV/0!</v>
      </c>
      <c r="L133" s="641"/>
      <c r="M133" s="204" t="e">
        <f>RANK(K133, K$128:$K$142)</f>
        <v>#DIV/0!</v>
      </c>
    </row>
    <row r="134" spans="2:13">
      <c r="B134" s="598"/>
      <c r="C134" s="357">
        <v>7</v>
      </c>
      <c r="D134" s="231"/>
      <c r="E134" s="187"/>
      <c r="F134" s="357"/>
      <c r="G134" s="360"/>
      <c r="H134" s="633"/>
      <c r="I134" s="204" t="e">
        <f t="shared" si="74"/>
        <v>#DIV/0!</v>
      </c>
      <c r="J134" s="204" t="e">
        <f t="shared" si="74"/>
        <v>#DIV/0!</v>
      </c>
      <c r="K134" s="204" t="e">
        <f t="shared" si="75"/>
        <v>#DIV/0!</v>
      </c>
      <c r="L134" s="641"/>
      <c r="M134" s="204" t="e">
        <f>RANK(K134, K$128:$K$142)</f>
        <v>#DIV/0!</v>
      </c>
    </row>
    <row r="135" spans="2:13">
      <c r="B135" s="598"/>
      <c r="C135" s="357">
        <v>8</v>
      </c>
      <c r="D135" s="231"/>
      <c r="E135" s="187"/>
      <c r="F135" s="357"/>
      <c r="G135" s="360"/>
      <c r="H135" s="633"/>
      <c r="I135" s="204" t="e">
        <f t="shared" si="74"/>
        <v>#DIV/0!</v>
      </c>
      <c r="J135" s="204" t="e">
        <f t="shared" si="74"/>
        <v>#DIV/0!</v>
      </c>
      <c r="K135" s="204" t="e">
        <f t="shared" si="75"/>
        <v>#DIV/0!</v>
      </c>
      <c r="L135" s="641"/>
      <c r="M135" s="204" t="e">
        <f>RANK(K135, K$128:$K$142)</f>
        <v>#DIV/0!</v>
      </c>
    </row>
    <row r="136" spans="2:13">
      <c r="B136" s="598"/>
      <c r="C136" s="357">
        <v>9</v>
      </c>
      <c r="D136" s="231"/>
      <c r="E136" s="357"/>
      <c r="F136" s="357"/>
      <c r="G136" s="357"/>
      <c r="H136" s="633"/>
      <c r="I136" s="204"/>
      <c r="J136" s="204"/>
      <c r="K136" s="204"/>
      <c r="L136" s="641"/>
      <c r="M136" s="204" t="e">
        <f>RANK(K136, K$128:$K$142)</f>
        <v>#DIV/0!</v>
      </c>
    </row>
    <row r="137" spans="2:13">
      <c r="B137" s="598"/>
      <c r="C137" s="357">
        <v>10</v>
      </c>
      <c r="D137" s="231"/>
      <c r="E137" s="357"/>
      <c r="F137" s="357"/>
      <c r="G137" s="357"/>
      <c r="H137" s="633"/>
      <c r="I137" s="204"/>
      <c r="J137" s="204"/>
      <c r="K137" s="204"/>
      <c r="L137" s="641"/>
      <c r="M137" s="204" t="e">
        <f>RANK(K137, K$128:$K$142)</f>
        <v>#DIV/0!</v>
      </c>
    </row>
    <row r="138" spans="2:13">
      <c r="B138" s="598"/>
      <c r="C138" s="357">
        <v>11</v>
      </c>
      <c r="D138" s="231"/>
      <c r="E138" s="357"/>
      <c r="F138" s="357"/>
      <c r="G138" s="357"/>
      <c r="H138" s="633"/>
      <c r="I138" s="204"/>
      <c r="J138" s="204"/>
      <c r="K138" s="204"/>
      <c r="L138" s="641"/>
      <c r="M138" s="204" t="e">
        <f>RANK(K138, K$128:$K$142)</f>
        <v>#DIV/0!</v>
      </c>
    </row>
    <row r="139" spans="2:13">
      <c r="B139" s="598"/>
      <c r="C139" s="357">
        <v>12</v>
      </c>
      <c r="D139" s="231"/>
      <c r="E139" s="357"/>
      <c r="F139" s="357"/>
      <c r="G139" s="357"/>
      <c r="H139" s="633"/>
      <c r="I139" s="204"/>
      <c r="J139" s="204"/>
      <c r="K139" s="204"/>
      <c r="L139" s="641"/>
      <c r="M139" s="204" t="e">
        <f>RANK(K139, K$128:$K$142)</f>
        <v>#DIV/0!</v>
      </c>
    </row>
    <row r="140" spans="2:13">
      <c r="B140" s="598"/>
      <c r="C140" s="357">
        <v>13</v>
      </c>
      <c r="D140" s="231"/>
      <c r="E140" s="357"/>
      <c r="F140" s="357"/>
      <c r="G140" s="357"/>
      <c r="H140" s="633"/>
      <c r="I140" s="204"/>
      <c r="J140" s="204"/>
      <c r="K140" s="204"/>
      <c r="L140" s="641"/>
      <c r="M140" s="204" t="e">
        <f>RANK(K140, K$128:$K$142)</f>
        <v>#DIV/0!</v>
      </c>
    </row>
    <row r="141" spans="2:13">
      <c r="B141" s="598"/>
      <c r="C141" s="357">
        <v>14</v>
      </c>
      <c r="D141" s="231"/>
      <c r="E141" s="357"/>
      <c r="F141" s="357"/>
      <c r="G141" s="357"/>
      <c r="H141" s="633"/>
      <c r="I141" s="204"/>
      <c r="J141" s="204"/>
      <c r="K141" s="204"/>
      <c r="L141" s="641"/>
      <c r="M141" s="204" t="e">
        <f>RANK(K141, K$128:$K$142)</f>
        <v>#DIV/0!</v>
      </c>
    </row>
    <row r="142" spans="2:13">
      <c r="B142" s="598"/>
      <c r="C142" s="357">
        <v>15</v>
      </c>
      <c r="D142" s="231"/>
      <c r="E142" s="357"/>
      <c r="F142" s="357"/>
      <c r="G142" s="357"/>
      <c r="H142" s="634"/>
      <c r="I142" s="204"/>
      <c r="J142" s="204"/>
      <c r="K142" s="204"/>
      <c r="L142" s="642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BA49" sqref="BA49"/>
      <selection pane="topRight" activeCell="AT87" sqref="AT8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6" t="s">
        <v>332</v>
      </c>
      <c r="C1" s="225">
        <f>AVERAGE(L7,L27,L47,L67,L87,L107)</f>
        <v>79.538681429354327</v>
      </c>
    </row>
    <row r="2" spans="1:54" ht="15.75">
      <c r="A2" s="81"/>
      <c r="B2" s="602" t="s">
        <v>163</v>
      </c>
      <c r="C2" s="602"/>
      <c r="D2" s="602"/>
      <c r="E2" s="602"/>
      <c r="F2" s="602"/>
      <c r="G2" s="602"/>
      <c r="H2" s="602"/>
      <c r="I2" s="320"/>
      <c r="J2" s="320"/>
      <c r="K2" s="320"/>
      <c r="L2" s="320"/>
      <c r="M2" s="202"/>
      <c r="N2" s="591" t="s">
        <v>156</v>
      </c>
      <c r="O2" s="591" t="s">
        <v>155</v>
      </c>
      <c r="P2" s="637">
        <v>45930</v>
      </c>
      <c r="Q2" s="638"/>
      <c r="R2" s="638"/>
      <c r="S2" s="638"/>
      <c r="T2" s="639"/>
      <c r="U2" s="597">
        <f>P2+1</f>
        <v>45931</v>
      </c>
      <c r="V2" s="598"/>
      <c r="W2" s="598"/>
      <c r="X2" s="598"/>
      <c r="Y2" s="598"/>
      <c r="Z2" s="597">
        <f>U2+1</f>
        <v>45932</v>
      </c>
      <c r="AA2" s="598"/>
      <c r="AB2" s="598"/>
      <c r="AC2" s="598"/>
      <c r="AD2" s="598"/>
      <c r="AE2" s="597">
        <f>Z2+1</f>
        <v>45933</v>
      </c>
      <c r="AF2" s="598"/>
      <c r="AG2" s="598"/>
      <c r="AH2" s="598"/>
      <c r="AI2" s="598"/>
      <c r="AJ2" s="597">
        <f>AE2+1</f>
        <v>45934</v>
      </c>
      <c r="AK2" s="598"/>
      <c r="AL2" s="598"/>
      <c r="AM2" s="598"/>
      <c r="AN2" s="598"/>
      <c r="AO2" s="597">
        <f>AJ2+1</f>
        <v>45935</v>
      </c>
      <c r="AP2" s="598"/>
      <c r="AQ2" s="598"/>
      <c r="AR2" s="598"/>
      <c r="AS2" s="598"/>
      <c r="AT2" s="597">
        <f>AO2+1</f>
        <v>45936</v>
      </c>
      <c r="AU2" s="598"/>
      <c r="AV2" s="598"/>
      <c r="AW2" s="598"/>
      <c r="AX2" s="598"/>
    </row>
    <row r="3" spans="1:54" ht="15.75">
      <c r="A3" s="81"/>
      <c r="B3" s="622"/>
      <c r="C3" s="622"/>
      <c r="D3" s="622"/>
      <c r="E3" s="622"/>
      <c r="F3" s="622"/>
      <c r="G3" s="622"/>
      <c r="H3" s="622"/>
      <c r="I3" s="321"/>
      <c r="J3" s="321"/>
      <c r="K3" s="321"/>
      <c r="L3" s="321"/>
      <c r="M3" s="203"/>
      <c r="N3" s="593"/>
      <c r="O3" s="593"/>
      <c r="P3" s="594" t="s">
        <v>158</v>
      </c>
      <c r="Q3" s="595"/>
      <c r="R3" s="595"/>
      <c r="S3" s="595"/>
      <c r="T3" s="596"/>
      <c r="U3" s="594" t="s">
        <v>114</v>
      </c>
      <c r="V3" s="595"/>
      <c r="W3" s="595"/>
      <c r="X3" s="595"/>
      <c r="Y3" s="596"/>
      <c r="Z3" s="594" t="s">
        <v>159</v>
      </c>
      <c r="AA3" s="595"/>
      <c r="AB3" s="595"/>
      <c r="AC3" s="595"/>
      <c r="AD3" s="596"/>
      <c r="AE3" s="594" t="s">
        <v>157</v>
      </c>
      <c r="AF3" s="595"/>
      <c r="AG3" s="595"/>
      <c r="AH3" s="595"/>
      <c r="AI3" s="596"/>
      <c r="AJ3" s="594" t="s">
        <v>160</v>
      </c>
      <c r="AK3" s="595"/>
      <c r="AL3" s="595"/>
      <c r="AM3" s="595"/>
      <c r="AN3" s="596"/>
      <c r="AO3" s="594" t="s">
        <v>161</v>
      </c>
      <c r="AP3" s="595"/>
      <c r="AQ3" s="595"/>
      <c r="AR3" s="595"/>
      <c r="AS3" s="596"/>
      <c r="AT3" s="594" t="s">
        <v>162</v>
      </c>
      <c r="AU3" s="595"/>
      <c r="AV3" s="595"/>
      <c r="AW3" s="595"/>
      <c r="AX3" s="596"/>
    </row>
    <row r="4" spans="1:54" ht="14.25">
      <c r="A4" s="81"/>
      <c r="B4" s="590" t="s">
        <v>154</v>
      </c>
      <c r="C4" s="590" t="s">
        <v>454</v>
      </c>
      <c r="D4" s="590"/>
      <c r="E4" s="590" t="s">
        <v>445</v>
      </c>
      <c r="F4" s="590"/>
      <c r="G4" s="590"/>
      <c r="H4" s="606" t="s">
        <v>441</v>
      </c>
      <c r="I4" s="574" t="s">
        <v>446</v>
      </c>
      <c r="J4" s="574"/>
      <c r="K4" s="574"/>
      <c r="L4" s="575" t="s">
        <v>441</v>
      </c>
      <c r="M4" s="581" t="s">
        <v>442</v>
      </c>
      <c r="N4" s="590"/>
      <c r="O4" s="590" t="s">
        <v>447</v>
      </c>
      <c r="P4" s="587" t="s">
        <v>443</v>
      </c>
      <c r="Q4" s="588"/>
      <c r="R4" s="588"/>
      <c r="S4" s="589"/>
      <c r="T4" s="590" t="s">
        <v>441</v>
      </c>
      <c r="U4" s="587" t="s">
        <v>443</v>
      </c>
      <c r="V4" s="588"/>
      <c r="W4" s="588"/>
      <c r="X4" s="589"/>
      <c r="Y4" s="590" t="s">
        <v>441</v>
      </c>
      <c r="Z4" s="587" t="s">
        <v>443</v>
      </c>
      <c r="AA4" s="588"/>
      <c r="AB4" s="588"/>
      <c r="AC4" s="589"/>
      <c r="AD4" s="590" t="s">
        <v>441</v>
      </c>
      <c r="AE4" s="587" t="s">
        <v>443</v>
      </c>
      <c r="AF4" s="588"/>
      <c r="AG4" s="588"/>
      <c r="AH4" s="589"/>
      <c r="AI4" s="590" t="s">
        <v>441</v>
      </c>
      <c r="AJ4" s="587" t="s">
        <v>443</v>
      </c>
      <c r="AK4" s="588"/>
      <c r="AL4" s="588"/>
      <c r="AM4" s="589"/>
      <c r="AN4" s="590" t="s">
        <v>441</v>
      </c>
      <c r="AO4" s="587" t="s">
        <v>443</v>
      </c>
      <c r="AP4" s="588"/>
      <c r="AQ4" s="588"/>
      <c r="AR4" s="589"/>
      <c r="AS4" s="590" t="s">
        <v>441</v>
      </c>
      <c r="AT4" s="587" t="s">
        <v>443</v>
      </c>
      <c r="AU4" s="588"/>
      <c r="AV4" s="588"/>
      <c r="AW4" s="589"/>
      <c r="AX4" s="590" t="s">
        <v>441</v>
      </c>
    </row>
    <row r="5" spans="1:54" ht="14.25">
      <c r="A5" s="81"/>
      <c r="B5" s="590"/>
      <c r="C5" s="590"/>
      <c r="D5" s="590"/>
      <c r="E5" s="590" t="s">
        <v>448</v>
      </c>
      <c r="F5" s="590"/>
      <c r="G5" s="590"/>
      <c r="H5" s="607"/>
      <c r="I5" s="574" t="s">
        <v>448</v>
      </c>
      <c r="J5" s="574"/>
      <c r="K5" s="574"/>
      <c r="L5" s="576"/>
      <c r="M5" s="582"/>
      <c r="N5" s="590"/>
      <c r="O5" s="590"/>
      <c r="P5" s="587" t="s">
        <v>449</v>
      </c>
      <c r="Q5" s="588"/>
      <c r="R5" s="588"/>
      <c r="S5" s="589"/>
      <c r="T5" s="590"/>
      <c r="U5" s="587" t="s">
        <v>449</v>
      </c>
      <c r="V5" s="588"/>
      <c r="W5" s="588"/>
      <c r="X5" s="589"/>
      <c r="Y5" s="590"/>
      <c r="Z5" s="587" t="s">
        <v>449</v>
      </c>
      <c r="AA5" s="588"/>
      <c r="AB5" s="588"/>
      <c r="AC5" s="589"/>
      <c r="AD5" s="590"/>
      <c r="AE5" s="587" t="s">
        <v>449</v>
      </c>
      <c r="AF5" s="588"/>
      <c r="AG5" s="588"/>
      <c r="AH5" s="589"/>
      <c r="AI5" s="590"/>
      <c r="AJ5" s="587" t="s">
        <v>449</v>
      </c>
      <c r="AK5" s="588"/>
      <c r="AL5" s="588"/>
      <c r="AM5" s="589"/>
      <c r="AN5" s="590"/>
      <c r="AO5" s="587" t="s">
        <v>449</v>
      </c>
      <c r="AP5" s="588"/>
      <c r="AQ5" s="588"/>
      <c r="AR5" s="589"/>
      <c r="AS5" s="590"/>
      <c r="AT5" s="587" t="s">
        <v>449</v>
      </c>
      <c r="AU5" s="588"/>
      <c r="AV5" s="588"/>
      <c r="AW5" s="589"/>
      <c r="AX5" s="590"/>
    </row>
    <row r="6" spans="1:54" ht="14.25">
      <c r="A6" s="79"/>
      <c r="B6" s="590"/>
      <c r="C6" s="590"/>
      <c r="D6" s="590"/>
      <c r="E6" s="377" t="s">
        <v>450</v>
      </c>
      <c r="F6" s="377" t="s">
        <v>451</v>
      </c>
      <c r="G6" s="377" t="s">
        <v>452</v>
      </c>
      <c r="H6" s="608"/>
      <c r="I6" s="376" t="s">
        <v>450</v>
      </c>
      <c r="J6" s="376" t="s">
        <v>451</v>
      </c>
      <c r="K6" s="376" t="s">
        <v>452</v>
      </c>
      <c r="L6" s="577"/>
      <c r="M6" s="583"/>
      <c r="N6" s="590"/>
      <c r="O6" s="590"/>
      <c r="P6" s="377" t="s">
        <v>450</v>
      </c>
      <c r="Q6" s="377" t="s">
        <v>451</v>
      </c>
      <c r="R6" s="377" t="s">
        <v>452</v>
      </c>
      <c r="S6" s="377" t="s">
        <v>442</v>
      </c>
      <c r="T6" s="590"/>
      <c r="U6" s="377" t="s">
        <v>450</v>
      </c>
      <c r="V6" s="377" t="s">
        <v>451</v>
      </c>
      <c r="W6" s="377" t="s">
        <v>452</v>
      </c>
      <c r="X6" s="377" t="s">
        <v>442</v>
      </c>
      <c r="Y6" s="590"/>
      <c r="Z6" s="377" t="s">
        <v>450</v>
      </c>
      <c r="AA6" s="377" t="s">
        <v>451</v>
      </c>
      <c r="AB6" s="377" t="s">
        <v>452</v>
      </c>
      <c r="AC6" s="377" t="s">
        <v>442</v>
      </c>
      <c r="AD6" s="590"/>
      <c r="AE6" s="377" t="s">
        <v>450</v>
      </c>
      <c r="AF6" s="377" t="s">
        <v>451</v>
      </c>
      <c r="AG6" s="377" t="s">
        <v>452</v>
      </c>
      <c r="AH6" s="377" t="s">
        <v>442</v>
      </c>
      <c r="AI6" s="590"/>
      <c r="AJ6" s="377" t="s">
        <v>450</v>
      </c>
      <c r="AK6" s="377" t="s">
        <v>451</v>
      </c>
      <c r="AL6" s="377" t="s">
        <v>452</v>
      </c>
      <c r="AM6" s="377" t="s">
        <v>442</v>
      </c>
      <c r="AN6" s="590"/>
      <c r="AO6" s="377" t="s">
        <v>450</v>
      </c>
      <c r="AP6" s="377" t="s">
        <v>451</v>
      </c>
      <c r="AQ6" s="377" t="s">
        <v>452</v>
      </c>
      <c r="AR6" s="377" t="s">
        <v>442</v>
      </c>
      <c r="AS6" s="590"/>
      <c r="AT6" s="377" t="s">
        <v>450</v>
      </c>
      <c r="AU6" s="377" t="s">
        <v>451</v>
      </c>
      <c r="AV6" s="377" t="s">
        <v>452</v>
      </c>
      <c r="AW6" s="377" t="s">
        <v>442</v>
      </c>
      <c r="AX6" s="590"/>
    </row>
    <row r="7" spans="1:54" ht="14.25">
      <c r="A7" s="81"/>
      <c r="B7" s="590" t="s">
        <v>456</v>
      </c>
      <c r="C7" s="378">
        <v>1</v>
      </c>
      <c r="D7" s="231" t="s">
        <v>406</v>
      </c>
      <c r="E7" s="187">
        <v>19</v>
      </c>
      <c r="F7" s="378">
        <v>1636</v>
      </c>
      <c r="G7" s="379">
        <v>86.10526315789474</v>
      </c>
      <c r="H7" s="632">
        <f>AVERAGE(G7:G21)</f>
        <v>92.429922287894428</v>
      </c>
      <c r="I7" s="380">
        <f>AVERAGE(P7,U7,Z7,AE7,AJ7,AO7,AT7)</f>
        <v>19</v>
      </c>
      <c r="J7" s="380">
        <f>AVERAGE(Q7,V7,AA7,AF7,AK7,AP7,AU7)</f>
        <v>1381.4558021606879</v>
      </c>
      <c r="K7" s="205">
        <f>AVERAGE(R7,W7,AB7,AG7,AL7,AQ7,AV7)</f>
        <v>72.708200113720409</v>
      </c>
      <c r="L7" s="571">
        <f>IFERROR(AVERAGE(K7:K21),"-")</f>
        <v>81.565153482214697</v>
      </c>
      <c r="M7" s="381">
        <f>RANK(K7, $K$7:K$21)</f>
        <v>8</v>
      </c>
      <c r="N7" s="590"/>
      <c r="O7" s="590"/>
      <c r="P7" s="187">
        <v>19</v>
      </c>
      <c r="Q7" s="187">
        <v>1390</v>
      </c>
      <c r="R7" s="187">
        <v>73.15789473684211</v>
      </c>
      <c r="S7" s="378">
        <f>RANK(R7, R$7:R$21)</f>
        <v>8</v>
      </c>
      <c r="T7" s="629">
        <f>AVERAGE(R7:R21)</f>
        <v>81.671122531560997</v>
      </c>
      <c r="U7" s="187">
        <v>19</v>
      </c>
      <c r="V7" s="187">
        <v>1399.393939393939</v>
      </c>
      <c r="W7" s="187">
        <v>73.652312599680997</v>
      </c>
      <c r="X7" s="378">
        <f>RANK(W7, W$7:W$21)</f>
        <v>8</v>
      </c>
      <c r="Y7" s="629">
        <f>AVERAGE(W7:W21)</f>
        <v>83.666774722449787</v>
      </c>
      <c r="Z7" s="187">
        <v>19</v>
      </c>
      <c r="AA7" s="187">
        <v>1350.6249999999998</v>
      </c>
      <c r="AB7" s="187">
        <v>71.085526315789465</v>
      </c>
      <c r="AC7" s="378">
        <f>RANK(AB7, AB$7:AB$21)</f>
        <v>8</v>
      </c>
      <c r="AD7" s="629">
        <f>AVERAGE(AB7:AB21)</f>
        <v>81.246760506043273</v>
      </c>
      <c r="AE7" s="187">
        <v>19</v>
      </c>
      <c r="AF7" s="187">
        <v>1358.7804878048785</v>
      </c>
      <c r="AG7" s="187">
        <v>71.514762516046233</v>
      </c>
      <c r="AH7" s="378">
        <f>RANK(AG7, AG$7:AG$21)</f>
        <v>8</v>
      </c>
      <c r="AI7" s="629">
        <f>AVERAGE(AG7:AG21)</f>
        <v>80.259120388156802</v>
      </c>
      <c r="AJ7" s="187">
        <v>19</v>
      </c>
      <c r="AK7" s="187">
        <v>1383.75</v>
      </c>
      <c r="AL7" s="187">
        <v>72.828947368421055</v>
      </c>
      <c r="AM7" s="378">
        <f>RANK(AL7, AL$7:AL$21)</f>
        <v>8</v>
      </c>
      <c r="AN7" s="629">
        <f>AVERAGE(AL7:AL21)</f>
        <v>80.494187546377475</v>
      </c>
      <c r="AO7" s="187">
        <v>19</v>
      </c>
      <c r="AP7" s="187">
        <v>1398.9873417721519</v>
      </c>
      <c r="AQ7" s="187">
        <v>73.630912724850106</v>
      </c>
      <c r="AR7" s="378">
        <f>RANK(AQ7, AQ$7:AQ$21)</f>
        <v>8</v>
      </c>
      <c r="AS7" s="629">
        <f>AVERAGE(AQ7:AQ21)</f>
        <v>80.142591661464451</v>
      </c>
      <c r="AT7" s="187">
        <v>19</v>
      </c>
      <c r="AU7" s="187">
        <v>1388.6538461538464</v>
      </c>
      <c r="AV7" s="187">
        <v>73.087044534412968</v>
      </c>
      <c r="AW7" s="378">
        <f>RANK(AV7, AV$7:AV$21)</f>
        <v>7</v>
      </c>
      <c r="AX7" s="629">
        <f>AVERAGE(AV7:AV21)</f>
        <v>84.202045253363536</v>
      </c>
      <c r="AZ7" s="381" t="e">
        <f>RANK(AX7, $K$7:AX$21)</f>
        <v>#N/A</v>
      </c>
      <c r="BB7" s="378" t="e">
        <f>RANK(BA7, BA$7:BA$21)</f>
        <v>#N/A</v>
      </c>
    </row>
    <row r="8" spans="1:54" ht="15" customHeight="1">
      <c r="A8" s="81"/>
      <c r="B8" s="598"/>
      <c r="C8" s="378">
        <v>2</v>
      </c>
      <c r="D8" s="231" t="s">
        <v>590</v>
      </c>
      <c r="E8" s="187">
        <v>19</v>
      </c>
      <c r="F8" s="378">
        <v>1440</v>
      </c>
      <c r="G8" s="379">
        <v>75.78947368421052</v>
      </c>
      <c r="H8" s="633"/>
      <c r="I8" s="380">
        <f t="shared" ref="I8:I16" si="0">AVERAGE(P8,U8,Z8,AE8,AJ8,AO8,AT8)</f>
        <v>18</v>
      </c>
      <c r="J8" s="380">
        <f t="shared" ref="J8:J16" si="1">AVERAGE(Q8,V8,AA8,AF8,AK8,AP8,AU8)</f>
        <v>1344.2012908360653</v>
      </c>
      <c r="K8" s="205">
        <f t="shared" ref="K8:K16" si="2">AVERAGE(R8,W8,AB8,AG8,AL8,AQ8,AV8)</f>
        <v>74.677849490892527</v>
      </c>
      <c r="L8" s="572"/>
      <c r="M8" s="381">
        <f>RANK(K8, $K$7:K$21)</f>
        <v>7</v>
      </c>
      <c r="N8" s="590"/>
      <c r="O8" s="590"/>
      <c r="P8" s="187">
        <v>18</v>
      </c>
      <c r="Q8" s="187">
        <v>1351.125</v>
      </c>
      <c r="R8" s="187">
        <v>75.0625</v>
      </c>
      <c r="S8" s="378">
        <f t="shared" ref="S8:S21" si="3">RANK(R8, R$7:R$21)</f>
        <v>7</v>
      </c>
      <c r="T8" s="629"/>
      <c r="U8" s="187">
        <v>18</v>
      </c>
      <c r="V8" s="187">
        <v>1344.406779661017</v>
      </c>
      <c r="W8" s="187">
        <v>74.68926553672317</v>
      </c>
      <c r="X8" s="378">
        <f t="shared" ref="X8:X21" si="4">RANK(W8, W$7:W$21)</f>
        <v>7</v>
      </c>
      <c r="Y8" s="629"/>
      <c r="Z8" s="187">
        <v>18</v>
      </c>
      <c r="AA8" s="187">
        <v>1330.5343511450383</v>
      </c>
      <c r="AB8" s="187">
        <v>73.918575063613233</v>
      </c>
      <c r="AC8" s="378">
        <f t="shared" ref="AC8:AC21" si="5">RANK(AB8, AB$7:AB$21)</f>
        <v>7</v>
      </c>
      <c r="AD8" s="629"/>
      <c r="AE8" s="187">
        <v>18</v>
      </c>
      <c r="AF8" s="187">
        <v>1348.7234042553193</v>
      </c>
      <c r="AG8" s="187">
        <v>74.929078014184412</v>
      </c>
      <c r="AH8" s="378">
        <f t="shared" ref="AH8:AH21" si="6">RANK(AG8, AG$7:AG$21)</f>
        <v>7</v>
      </c>
      <c r="AI8" s="629"/>
      <c r="AJ8" s="187">
        <v>18</v>
      </c>
      <c r="AK8" s="187">
        <v>1357.0212765957449</v>
      </c>
      <c r="AL8" s="187">
        <v>75.390070921985824</v>
      </c>
      <c r="AM8" s="378">
        <f t="shared" ref="AM8:AM21" si="7">RANK(AL8, AL$7:AL$21)</f>
        <v>6</v>
      </c>
      <c r="AN8" s="629"/>
      <c r="AO8" s="187">
        <v>18</v>
      </c>
      <c r="AP8" s="187">
        <v>1339.2452830188677</v>
      </c>
      <c r="AQ8" s="187">
        <v>74.402515723270426</v>
      </c>
      <c r="AR8" s="378">
        <f t="shared" ref="AR8:AR21" si="8">RANK(AQ8, AQ$7:AQ$21)</f>
        <v>7</v>
      </c>
      <c r="AS8" s="629"/>
      <c r="AT8" s="187">
        <v>18</v>
      </c>
      <c r="AU8" s="187">
        <v>1338.3529411764709</v>
      </c>
      <c r="AV8" s="187">
        <v>74.352941176470608</v>
      </c>
      <c r="AW8" s="378">
        <f t="shared" ref="AW8:AW21" si="9">RANK(AV8, AV$7:AV$21)</f>
        <v>6</v>
      </c>
      <c r="AX8" s="629"/>
      <c r="AZ8" s="381" t="e">
        <f>RANK(AX8, $K$7:AX$21)</f>
        <v>#N/A</v>
      </c>
      <c r="BB8" s="378" t="e">
        <f t="shared" ref="BB8:BB21" si="10">RANK(BA8, BA$7:BA$21)</f>
        <v>#N/A</v>
      </c>
    </row>
    <row r="9" spans="1:54" ht="14.25">
      <c r="A9" s="81"/>
      <c r="B9" s="598"/>
      <c r="C9" s="378">
        <v>3</v>
      </c>
      <c r="D9" s="231" t="s">
        <v>351</v>
      </c>
      <c r="E9" s="187">
        <v>17</v>
      </c>
      <c r="F9" s="378">
        <v>1636</v>
      </c>
      <c r="G9" s="379">
        <v>96.235294117647058</v>
      </c>
      <c r="H9" s="633"/>
      <c r="I9" s="380">
        <f t="shared" si="0"/>
        <v>18</v>
      </c>
      <c r="J9" s="380">
        <f t="shared" si="1"/>
        <v>1386.4241831041395</v>
      </c>
      <c r="K9" s="205">
        <f t="shared" si="2"/>
        <v>77.023565728007739</v>
      </c>
      <c r="L9" s="572"/>
      <c r="M9" s="381">
        <f>RANK(K9, $K$7:K$21)</f>
        <v>5</v>
      </c>
      <c r="N9" s="590"/>
      <c r="O9" s="590"/>
      <c r="P9" s="187">
        <v>18</v>
      </c>
      <c r="Q9" s="187">
        <v>1410.4859504132235</v>
      </c>
      <c r="R9" s="187">
        <v>78.360330578512418</v>
      </c>
      <c r="S9" s="378">
        <f t="shared" si="3"/>
        <v>2</v>
      </c>
      <c r="T9" s="629"/>
      <c r="U9" s="187">
        <v>18</v>
      </c>
      <c r="V9" s="187">
        <v>1354.6012738853503</v>
      </c>
      <c r="W9" s="187">
        <v>75.255626326963906</v>
      </c>
      <c r="X9" s="378">
        <f t="shared" si="4"/>
        <v>6</v>
      </c>
      <c r="Y9" s="629"/>
      <c r="Z9" s="187">
        <v>18</v>
      </c>
      <c r="AA9" s="187">
        <v>1374.091034482758</v>
      </c>
      <c r="AB9" s="187">
        <v>76.338390804597665</v>
      </c>
      <c r="AC9" s="378">
        <f t="shared" si="5"/>
        <v>5</v>
      </c>
      <c r="AD9" s="629"/>
      <c r="AE9" s="187">
        <v>18</v>
      </c>
      <c r="AF9" s="187">
        <v>1395.1948051948052</v>
      </c>
      <c r="AG9" s="187">
        <v>77.510822510822507</v>
      </c>
      <c r="AH9" s="378">
        <f t="shared" si="6"/>
        <v>4</v>
      </c>
      <c r="AI9" s="629"/>
      <c r="AJ9" s="187">
        <v>18</v>
      </c>
      <c r="AK9" s="187">
        <v>1365.5421686746984</v>
      </c>
      <c r="AL9" s="187">
        <v>75.863453815261025</v>
      </c>
      <c r="AM9" s="378">
        <f t="shared" si="7"/>
        <v>4</v>
      </c>
      <c r="AN9" s="629"/>
      <c r="AO9" s="187">
        <v>18</v>
      </c>
      <c r="AP9" s="187">
        <v>1396.1421319796953</v>
      </c>
      <c r="AQ9" s="187">
        <v>77.563451776649742</v>
      </c>
      <c r="AR9" s="378">
        <f t="shared" si="8"/>
        <v>5</v>
      </c>
      <c r="AS9" s="629"/>
      <c r="AT9" s="187">
        <v>18</v>
      </c>
      <c r="AU9" s="187">
        <v>1408.9119170984454</v>
      </c>
      <c r="AV9" s="187">
        <v>78.272884283246967</v>
      </c>
      <c r="AW9" s="378">
        <f t="shared" si="9"/>
        <v>3</v>
      </c>
      <c r="AX9" s="629"/>
      <c r="AZ9" s="381" t="e">
        <f>RANK(AX9, $K$7:AX$21)</f>
        <v>#N/A</v>
      </c>
      <c r="BB9" s="378" t="e">
        <f t="shared" si="10"/>
        <v>#N/A</v>
      </c>
    </row>
    <row r="10" spans="1:54" ht="14.25">
      <c r="A10" s="81"/>
      <c r="B10" s="598"/>
      <c r="C10" s="378">
        <v>4</v>
      </c>
      <c r="D10" s="231" t="s">
        <v>407</v>
      </c>
      <c r="E10" s="187">
        <v>18</v>
      </c>
      <c r="F10" s="378">
        <v>1636</v>
      </c>
      <c r="G10" s="379">
        <v>90.888888888888886</v>
      </c>
      <c r="H10" s="633"/>
      <c r="I10" s="380">
        <f t="shared" si="0"/>
        <v>18</v>
      </c>
      <c r="J10" s="380">
        <f t="shared" si="1"/>
        <v>1384.8617324561408</v>
      </c>
      <c r="K10" s="205">
        <f t="shared" si="2"/>
        <v>76.93676291423003</v>
      </c>
      <c r="L10" s="572"/>
      <c r="M10" s="381">
        <f>RANK(K10, $K$7:K$21)</f>
        <v>6</v>
      </c>
      <c r="N10" s="590"/>
      <c r="O10" s="590"/>
      <c r="P10" s="187">
        <v>18</v>
      </c>
      <c r="Q10" s="187">
        <v>1353.3333333333337</v>
      </c>
      <c r="R10" s="187">
        <v>75.185185185185205</v>
      </c>
      <c r="S10" s="378">
        <f t="shared" si="3"/>
        <v>6</v>
      </c>
      <c r="T10" s="629"/>
      <c r="U10" s="187">
        <v>18</v>
      </c>
      <c r="V10" s="187">
        <v>1416.5624999999998</v>
      </c>
      <c r="W10" s="187">
        <v>78.697916666666657</v>
      </c>
      <c r="X10" s="378">
        <f t="shared" si="4"/>
        <v>3</v>
      </c>
      <c r="Y10" s="629"/>
      <c r="Z10" s="187">
        <v>18</v>
      </c>
      <c r="AA10" s="187">
        <v>1403.1578947368432</v>
      </c>
      <c r="AB10" s="187">
        <v>77.953216374269061</v>
      </c>
      <c r="AC10" s="378">
        <f t="shared" si="5"/>
        <v>4</v>
      </c>
      <c r="AD10" s="629"/>
      <c r="AE10" s="187">
        <v>18</v>
      </c>
      <c r="AF10" s="187">
        <v>1410.6666666666681</v>
      </c>
      <c r="AG10" s="187">
        <v>78.370370370370452</v>
      </c>
      <c r="AH10" s="378">
        <f t="shared" si="6"/>
        <v>3</v>
      </c>
      <c r="AI10" s="629"/>
      <c r="AJ10" s="187">
        <v>18</v>
      </c>
      <c r="AK10" s="187">
        <v>1339.1999999999994</v>
      </c>
      <c r="AL10" s="187">
        <v>74.399999999999963</v>
      </c>
      <c r="AM10" s="378">
        <f t="shared" si="7"/>
        <v>7</v>
      </c>
      <c r="AN10" s="629"/>
      <c r="AO10" s="187">
        <v>18</v>
      </c>
      <c r="AP10" s="187">
        <v>1386.2499999999993</v>
      </c>
      <c r="AQ10" s="187">
        <v>77.013888888888857</v>
      </c>
      <c r="AR10" s="378">
        <f t="shared" si="8"/>
        <v>6</v>
      </c>
      <c r="AS10" s="629"/>
      <c r="AT10" s="187"/>
      <c r="AU10" s="187"/>
      <c r="AV10" s="187"/>
      <c r="AW10" s="378" t="e">
        <f t="shared" si="9"/>
        <v>#N/A</v>
      </c>
      <c r="AX10" s="629"/>
      <c r="AZ10" s="381" t="e">
        <f>RANK(AX10, $K$7:AX$21)</f>
        <v>#N/A</v>
      </c>
      <c r="BB10" s="378" t="e">
        <f t="shared" si="10"/>
        <v>#N/A</v>
      </c>
    </row>
    <row r="11" spans="1:54" ht="14.25">
      <c r="A11" s="81"/>
      <c r="B11" s="598"/>
      <c r="C11" s="378">
        <v>5</v>
      </c>
      <c r="D11" s="231" t="s">
        <v>440</v>
      </c>
      <c r="E11" s="187">
        <v>22</v>
      </c>
      <c r="F11" s="378">
        <v>1636</v>
      </c>
      <c r="G11" s="379">
        <v>74.36363636363636</v>
      </c>
      <c r="H11" s="633"/>
      <c r="I11" s="380">
        <f t="shared" si="0"/>
        <v>20.142857142857142</v>
      </c>
      <c r="J11" s="380">
        <f t="shared" si="1"/>
        <v>1389.4218644630414</v>
      </c>
      <c r="K11" s="205">
        <f t="shared" si="2"/>
        <v>69.006875536077231</v>
      </c>
      <c r="L11" s="572"/>
      <c r="M11" s="381">
        <f>RANK(K11, $K$7:K$21)</f>
        <v>9</v>
      </c>
      <c r="N11" s="590"/>
      <c r="O11" s="590"/>
      <c r="P11" s="187">
        <v>20</v>
      </c>
      <c r="Q11" s="187">
        <v>1419.2307692307688</v>
      </c>
      <c r="R11" s="187">
        <v>70.961538461538439</v>
      </c>
      <c r="S11" s="378">
        <f t="shared" si="3"/>
        <v>9</v>
      </c>
      <c r="T11" s="629"/>
      <c r="U11" s="187">
        <v>20</v>
      </c>
      <c r="V11" s="187">
        <v>1372.4999999999995</v>
      </c>
      <c r="W11" s="187">
        <v>68.624999999999972</v>
      </c>
      <c r="X11" s="378">
        <f t="shared" si="4"/>
        <v>9</v>
      </c>
      <c r="Y11" s="629"/>
      <c r="Z11" s="187">
        <v>20</v>
      </c>
      <c r="AA11" s="187">
        <v>1416.9230769230769</v>
      </c>
      <c r="AB11" s="187">
        <v>70.84615384615384</v>
      </c>
      <c r="AC11" s="378">
        <f t="shared" si="5"/>
        <v>9</v>
      </c>
      <c r="AD11" s="629"/>
      <c r="AE11" s="187">
        <v>20</v>
      </c>
      <c r="AF11" s="187">
        <v>1385.6756756756763</v>
      </c>
      <c r="AG11" s="187">
        <v>69.283783783783818</v>
      </c>
      <c r="AH11" s="378">
        <f t="shared" si="6"/>
        <v>9</v>
      </c>
      <c r="AI11" s="629"/>
      <c r="AJ11" s="187">
        <v>20</v>
      </c>
      <c r="AK11" s="187">
        <v>1348.0000000000005</v>
      </c>
      <c r="AL11" s="187">
        <v>67.40000000000002</v>
      </c>
      <c r="AM11" s="378">
        <f t="shared" si="7"/>
        <v>9</v>
      </c>
      <c r="AN11" s="629"/>
      <c r="AO11" s="187">
        <v>21</v>
      </c>
      <c r="AP11" s="187">
        <v>1364.8000000000006</v>
      </c>
      <c r="AQ11" s="187">
        <v>64.990476190476215</v>
      </c>
      <c r="AR11" s="378">
        <f t="shared" si="8"/>
        <v>9</v>
      </c>
      <c r="AS11" s="629"/>
      <c r="AT11" s="187">
        <v>20</v>
      </c>
      <c r="AU11" s="187">
        <v>1418.8235294117653</v>
      </c>
      <c r="AV11" s="187">
        <v>70.94117647058826</v>
      </c>
      <c r="AW11" s="378">
        <f t="shared" si="9"/>
        <v>8</v>
      </c>
      <c r="AX11" s="629"/>
      <c r="AZ11" s="381" t="e">
        <f>RANK(AX11, $K$7:AX$21)</f>
        <v>#N/A</v>
      </c>
      <c r="BB11" s="378" t="e">
        <f t="shared" si="10"/>
        <v>#N/A</v>
      </c>
    </row>
    <row r="12" spans="1:54" ht="14.25">
      <c r="A12" s="81"/>
      <c r="B12" s="598"/>
      <c r="C12" s="378">
        <v>6</v>
      </c>
      <c r="D12" s="231" t="s">
        <v>468</v>
      </c>
      <c r="E12" s="187">
        <v>18</v>
      </c>
      <c r="F12" s="378">
        <v>1636</v>
      </c>
      <c r="G12" s="379">
        <v>90.888888888888886</v>
      </c>
      <c r="H12" s="633"/>
      <c r="I12" s="380">
        <f t="shared" si="0"/>
        <v>18</v>
      </c>
      <c r="J12" s="380">
        <f t="shared" si="1"/>
        <v>1388.6114842811639</v>
      </c>
      <c r="K12" s="205">
        <f t="shared" si="2"/>
        <v>77.145082460064671</v>
      </c>
      <c r="L12" s="572"/>
      <c r="M12" s="381">
        <f>RANK(K12, $K$7:K$21)</f>
        <v>4</v>
      </c>
      <c r="N12" s="590"/>
      <c r="O12" s="590"/>
      <c r="P12" s="187">
        <v>18</v>
      </c>
      <c r="Q12" s="187">
        <v>1399.4366197183101</v>
      </c>
      <c r="R12" s="187">
        <v>77.746478873239454</v>
      </c>
      <c r="S12" s="378">
        <f t="shared" si="3"/>
        <v>3</v>
      </c>
      <c r="T12" s="629"/>
      <c r="U12" s="187">
        <v>18</v>
      </c>
      <c r="V12" s="187">
        <v>1393.2352941176468</v>
      </c>
      <c r="W12" s="187">
        <v>77.401960784313715</v>
      </c>
      <c r="X12" s="378">
        <f t="shared" si="4"/>
        <v>4</v>
      </c>
      <c r="Y12" s="629"/>
      <c r="Z12" s="187">
        <v>18</v>
      </c>
      <c r="AA12" s="187">
        <v>1363.1578947368432</v>
      </c>
      <c r="AB12" s="187">
        <v>75.730994152046847</v>
      </c>
      <c r="AC12" s="378">
        <f t="shared" si="5"/>
        <v>6</v>
      </c>
      <c r="AD12" s="629"/>
      <c r="AE12" s="187">
        <v>18</v>
      </c>
      <c r="AF12" s="187">
        <v>1379.9999999999991</v>
      </c>
      <c r="AG12" s="187">
        <v>76.666666666666615</v>
      </c>
      <c r="AH12" s="378">
        <f t="shared" si="6"/>
        <v>6</v>
      </c>
      <c r="AI12" s="629"/>
      <c r="AJ12" s="187">
        <v>18</v>
      </c>
      <c r="AK12" s="187">
        <v>1402.3255813953488</v>
      </c>
      <c r="AL12" s="187">
        <v>77.906976744186039</v>
      </c>
      <c r="AM12" s="378">
        <f t="shared" si="7"/>
        <v>3</v>
      </c>
      <c r="AN12" s="629"/>
      <c r="AO12" s="187">
        <v>18</v>
      </c>
      <c r="AP12" s="187">
        <v>1404.0000000000007</v>
      </c>
      <c r="AQ12" s="187">
        <v>78.000000000000043</v>
      </c>
      <c r="AR12" s="378">
        <f t="shared" si="8"/>
        <v>3</v>
      </c>
      <c r="AS12" s="629"/>
      <c r="AT12" s="187">
        <v>18</v>
      </c>
      <c r="AU12" s="187">
        <v>1378.1249999999998</v>
      </c>
      <c r="AV12" s="187">
        <v>76.562499999999986</v>
      </c>
      <c r="AW12" s="378">
        <f t="shared" si="9"/>
        <v>5</v>
      </c>
      <c r="AX12" s="629"/>
      <c r="AZ12" s="381" t="e">
        <f>RANK(AX12, $K$7:AX$21)</f>
        <v>#N/A</v>
      </c>
      <c r="BB12" s="378" t="e">
        <f t="shared" si="10"/>
        <v>#N/A</v>
      </c>
    </row>
    <row r="13" spans="1:54" ht="14.25">
      <c r="A13" s="81"/>
      <c r="B13" s="598"/>
      <c r="C13" s="378">
        <v>7</v>
      </c>
      <c r="D13" s="231" t="s">
        <v>475</v>
      </c>
      <c r="E13" s="187">
        <v>10</v>
      </c>
      <c r="F13" s="378">
        <v>1500</v>
      </c>
      <c r="G13" s="379">
        <v>150</v>
      </c>
      <c r="H13" s="633"/>
      <c r="I13" s="380">
        <f t="shared" si="0"/>
        <v>8.1428571428571423</v>
      </c>
      <c r="J13" s="380">
        <f t="shared" si="1"/>
        <v>1248.8809138822485</v>
      </c>
      <c r="K13" s="205">
        <f t="shared" si="2"/>
        <v>153.38353973451299</v>
      </c>
      <c r="L13" s="572"/>
      <c r="M13" s="381">
        <f>RANK(K13, $K$7:K$21)</f>
        <v>1</v>
      </c>
      <c r="N13" s="590"/>
      <c r="O13" s="590"/>
      <c r="P13" s="187">
        <v>9</v>
      </c>
      <c r="Q13" s="187">
        <v>1374.193548387098</v>
      </c>
      <c r="R13" s="187">
        <v>152.68817204301089</v>
      </c>
      <c r="S13" s="378">
        <f t="shared" si="3"/>
        <v>1</v>
      </c>
      <c r="T13" s="629"/>
      <c r="U13" s="187">
        <v>8</v>
      </c>
      <c r="V13" s="187">
        <v>1348.8888888888896</v>
      </c>
      <c r="W13" s="187">
        <v>168.6111111111112</v>
      </c>
      <c r="X13" s="378">
        <f t="shared" si="4"/>
        <v>1</v>
      </c>
      <c r="Y13" s="629"/>
      <c r="Z13" s="187">
        <v>8</v>
      </c>
      <c r="AA13" s="187">
        <v>1159.2857142857151</v>
      </c>
      <c r="AB13" s="187">
        <v>144.91071428571439</v>
      </c>
      <c r="AC13" s="378">
        <f t="shared" si="5"/>
        <v>1</v>
      </c>
      <c r="AD13" s="629"/>
      <c r="AE13" s="187">
        <v>8</v>
      </c>
      <c r="AF13" s="187">
        <v>1152.6315789473674</v>
      </c>
      <c r="AG13" s="187">
        <v>144.07894736842093</v>
      </c>
      <c r="AH13" s="378">
        <f t="shared" si="6"/>
        <v>1</v>
      </c>
      <c r="AI13" s="629"/>
      <c r="AJ13" s="187">
        <v>8</v>
      </c>
      <c r="AK13" s="187">
        <v>1182.5000000000005</v>
      </c>
      <c r="AL13" s="187">
        <v>147.81250000000006</v>
      </c>
      <c r="AM13" s="378">
        <f t="shared" si="7"/>
        <v>1</v>
      </c>
      <c r="AN13" s="629"/>
      <c r="AO13" s="187">
        <v>8</v>
      </c>
      <c r="AP13" s="187">
        <v>1166.6666666666672</v>
      </c>
      <c r="AQ13" s="187">
        <v>145.8333333333334</v>
      </c>
      <c r="AR13" s="378">
        <f t="shared" si="8"/>
        <v>1</v>
      </c>
      <c r="AS13" s="629"/>
      <c r="AT13" s="187">
        <v>8</v>
      </c>
      <c r="AU13" s="187">
        <v>1358.0000000000014</v>
      </c>
      <c r="AV13" s="187">
        <v>169.75000000000017</v>
      </c>
      <c r="AW13" s="378">
        <f t="shared" si="9"/>
        <v>1</v>
      </c>
      <c r="AX13" s="629"/>
      <c r="AZ13" s="381" t="e">
        <f>RANK(AX13, $K$7:AX$21)</f>
        <v>#N/A</v>
      </c>
      <c r="BB13" s="378" t="e">
        <f t="shared" si="10"/>
        <v>#N/A</v>
      </c>
    </row>
    <row r="14" spans="1:54" ht="14.25">
      <c r="A14" s="81"/>
      <c r="B14" s="598"/>
      <c r="C14" s="378">
        <v>8</v>
      </c>
      <c r="D14" s="231" t="s">
        <v>642</v>
      </c>
      <c r="E14" s="187">
        <v>18</v>
      </c>
      <c r="F14" s="378">
        <v>1636</v>
      </c>
      <c r="G14" s="379">
        <v>90.888888888888886</v>
      </c>
      <c r="H14" s="633"/>
      <c r="I14" s="380">
        <f t="shared" si="0"/>
        <v>18</v>
      </c>
      <c r="J14" s="380">
        <f t="shared" si="1"/>
        <v>1390.4937530131717</v>
      </c>
      <c r="K14" s="205">
        <f t="shared" si="2"/>
        <v>77.249652945176209</v>
      </c>
      <c r="L14" s="572"/>
      <c r="M14" s="381">
        <f>RANK(K14, $K$7:K$21)</f>
        <v>3</v>
      </c>
      <c r="N14" s="590"/>
      <c r="O14" s="590"/>
      <c r="P14" s="187">
        <v>18</v>
      </c>
      <c r="Q14" s="187">
        <v>1396.1739130434785</v>
      </c>
      <c r="R14" s="187">
        <v>77.565217391304358</v>
      </c>
      <c r="S14" s="378">
        <f t="shared" si="3"/>
        <v>4</v>
      </c>
      <c r="T14" s="629"/>
      <c r="U14" s="187">
        <v>18</v>
      </c>
      <c r="V14" s="187">
        <v>1380.0000000000002</v>
      </c>
      <c r="W14" s="187">
        <v>76.666666666666686</v>
      </c>
      <c r="X14" s="378">
        <f t="shared" si="4"/>
        <v>5</v>
      </c>
      <c r="Y14" s="629"/>
      <c r="Z14" s="187">
        <v>18</v>
      </c>
      <c r="AA14" s="187">
        <v>1411.6363636363635</v>
      </c>
      <c r="AB14" s="187">
        <v>78.424242424242422</v>
      </c>
      <c r="AC14" s="378">
        <f t="shared" si="5"/>
        <v>3</v>
      </c>
      <c r="AD14" s="629"/>
      <c r="AE14" s="187">
        <v>18</v>
      </c>
      <c r="AF14" s="187">
        <v>1390.4651162790694</v>
      </c>
      <c r="AG14" s="187">
        <v>77.248062015503862</v>
      </c>
      <c r="AH14" s="378">
        <f t="shared" si="6"/>
        <v>5</v>
      </c>
      <c r="AI14" s="629"/>
      <c r="AJ14" s="187">
        <v>18</v>
      </c>
      <c r="AK14" s="187">
        <v>1362.6666666666667</v>
      </c>
      <c r="AL14" s="187">
        <v>75.703703703703709</v>
      </c>
      <c r="AM14" s="378">
        <f t="shared" si="7"/>
        <v>5</v>
      </c>
      <c r="AN14" s="629"/>
      <c r="AO14" s="187">
        <v>18</v>
      </c>
      <c r="AP14" s="187">
        <v>1401.0638297872335</v>
      </c>
      <c r="AQ14" s="187">
        <v>77.836879432624087</v>
      </c>
      <c r="AR14" s="378">
        <f t="shared" si="8"/>
        <v>4</v>
      </c>
      <c r="AS14" s="629"/>
      <c r="AT14" s="187">
        <v>18</v>
      </c>
      <c r="AU14" s="187">
        <v>1391.4503816793895</v>
      </c>
      <c r="AV14" s="187">
        <v>77.302798982188307</v>
      </c>
      <c r="AW14" s="378">
        <f t="shared" si="9"/>
        <v>4</v>
      </c>
      <c r="AX14" s="629"/>
      <c r="AZ14" s="381" t="e">
        <f>RANK(AX14, $K$7:AX$21)</f>
        <v>#N/A</v>
      </c>
      <c r="BB14" s="378" t="e">
        <f t="shared" si="10"/>
        <v>#N/A</v>
      </c>
    </row>
    <row r="15" spans="1:54" ht="14.25">
      <c r="A15" s="81"/>
      <c r="B15" s="598"/>
      <c r="C15" s="378">
        <v>9</v>
      </c>
      <c r="D15" s="231" t="s">
        <v>660</v>
      </c>
      <c r="E15" s="187">
        <v>18</v>
      </c>
      <c r="F15" s="378">
        <v>1636</v>
      </c>
      <c r="G15" s="379">
        <v>90.888888888888886</v>
      </c>
      <c r="H15" s="633"/>
      <c r="I15" s="380">
        <f t="shared" si="0"/>
        <v>17.142857142857142</v>
      </c>
      <c r="J15" s="380">
        <f t="shared" si="1"/>
        <v>1384.5527910582935</v>
      </c>
      <c r="K15" s="205">
        <f t="shared" si="2"/>
        <v>80.795677557664504</v>
      </c>
      <c r="L15" s="572"/>
      <c r="M15" s="381">
        <f>RANK(K15, $K$7:K$21)</f>
        <v>2</v>
      </c>
      <c r="N15" s="590"/>
      <c r="O15" s="590"/>
      <c r="P15" s="187">
        <v>18</v>
      </c>
      <c r="Q15" s="187">
        <v>1389.3103448275854</v>
      </c>
      <c r="R15" s="187">
        <v>77.183908045976963</v>
      </c>
      <c r="S15" s="378">
        <f t="shared" si="3"/>
        <v>5</v>
      </c>
      <c r="T15" s="629"/>
      <c r="U15" s="187">
        <v>17</v>
      </c>
      <c r="V15" s="187">
        <v>1417.5000000000011</v>
      </c>
      <c r="W15" s="187">
        <v>83.382352941176535</v>
      </c>
      <c r="X15" s="378">
        <f t="shared" si="4"/>
        <v>2</v>
      </c>
      <c r="Y15" s="629"/>
      <c r="Z15" s="187">
        <v>17</v>
      </c>
      <c r="AA15" s="187">
        <v>1385.1063829787236</v>
      </c>
      <c r="AB15" s="187">
        <v>81.476846057571976</v>
      </c>
      <c r="AC15" s="378">
        <f t="shared" si="5"/>
        <v>2</v>
      </c>
      <c r="AD15" s="629"/>
      <c r="AE15" s="187">
        <v>17</v>
      </c>
      <c r="AF15" s="187">
        <v>1383.3333333333321</v>
      </c>
      <c r="AG15" s="187">
        <v>81.372549019607774</v>
      </c>
      <c r="AH15" s="378">
        <f t="shared" si="6"/>
        <v>2</v>
      </c>
      <c r="AI15" s="629"/>
      <c r="AJ15" s="187">
        <v>17</v>
      </c>
      <c r="AK15" s="187">
        <v>1339.4999999999995</v>
      </c>
      <c r="AL15" s="187">
        <v>78.794117647058798</v>
      </c>
      <c r="AM15" s="378">
        <f t="shared" si="7"/>
        <v>2</v>
      </c>
      <c r="AN15" s="629"/>
      <c r="AO15" s="187">
        <v>17</v>
      </c>
      <c r="AP15" s="187">
        <v>1383.0769230769224</v>
      </c>
      <c r="AQ15" s="187">
        <v>81.357466063348383</v>
      </c>
      <c r="AR15" s="378">
        <f t="shared" si="8"/>
        <v>2</v>
      </c>
      <c r="AS15" s="629"/>
      <c r="AT15" s="187">
        <v>17</v>
      </c>
      <c r="AU15" s="187">
        <v>1394.0425531914896</v>
      </c>
      <c r="AV15" s="187">
        <v>82.002503128911144</v>
      </c>
      <c r="AW15" s="378">
        <f t="shared" si="9"/>
        <v>2</v>
      </c>
      <c r="AX15" s="629"/>
      <c r="AZ15" s="381" t="e">
        <f>RANK(AX15, $K$7:AX$21)</f>
        <v>#N/A</v>
      </c>
      <c r="BB15" s="378" t="e">
        <f t="shared" si="10"/>
        <v>#N/A</v>
      </c>
    </row>
    <row r="16" spans="1:54" ht="14.25">
      <c r="A16" s="81"/>
      <c r="B16" s="598"/>
      <c r="C16" s="378">
        <v>10</v>
      </c>
      <c r="D16" s="231" t="s">
        <v>661</v>
      </c>
      <c r="E16" s="187">
        <v>20</v>
      </c>
      <c r="F16" s="378">
        <v>1565</v>
      </c>
      <c r="G16" s="379">
        <v>78.25</v>
      </c>
      <c r="H16" s="633"/>
      <c r="I16" s="380">
        <f t="shared" si="0"/>
        <v>18.428571428571427</v>
      </c>
      <c r="J16" s="380">
        <f t="shared" si="1"/>
        <v>1044.6358610736731</v>
      </c>
      <c r="K16" s="205">
        <f t="shared" si="2"/>
        <v>56.724328341800756</v>
      </c>
      <c r="L16" s="572"/>
      <c r="M16" s="381">
        <f>RANK(K16, $K$7:K$21)</f>
        <v>10</v>
      </c>
      <c r="N16" s="590"/>
      <c r="O16" s="590"/>
      <c r="P16" s="187">
        <v>18</v>
      </c>
      <c r="Q16" s="187">
        <v>1058.4000000000003</v>
      </c>
      <c r="R16" s="187">
        <v>58.800000000000018</v>
      </c>
      <c r="S16" s="378">
        <f t="shared" si="3"/>
        <v>10</v>
      </c>
      <c r="T16" s="629"/>
      <c r="U16" s="187">
        <v>18</v>
      </c>
      <c r="V16" s="187">
        <v>1074.33962264151</v>
      </c>
      <c r="W16" s="187">
        <v>59.685534591195001</v>
      </c>
      <c r="X16" s="378">
        <f t="shared" si="4"/>
        <v>10</v>
      </c>
      <c r="Y16" s="629"/>
      <c r="Z16" s="187">
        <v>18</v>
      </c>
      <c r="AA16" s="187">
        <v>1112.0930232558137</v>
      </c>
      <c r="AB16" s="187">
        <v>61.782945736434094</v>
      </c>
      <c r="AC16" s="378">
        <f t="shared" si="5"/>
        <v>10</v>
      </c>
      <c r="AD16" s="629"/>
      <c r="AE16" s="187">
        <v>18</v>
      </c>
      <c r="AF16" s="187">
        <v>929.09090909090787</v>
      </c>
      <c r="AG16" s="187">
        <v>51.616161616161548</v>
      </c>
      <c r="AH16" s="378">
        <f t="shared" si="6"/>
        <v>10</v>
      </c>
      <c r="AI16" s="629"/>
      <c r="AJ16" s="187">
        <v>19</v>
      </c>
      <c r="AK16" s="187">
        <v>1118.0000000000041</v>
      </c>
      <c r="AL16" s="187">
        <v>58.842105263158111</v>
      </c>
      <c r="AM16" s="378">
        <f t="shared" si="7"/>
        <v>10</v>
      </c>
      <c r="AN16" s="629"/>
      <c r="AO16" s="187">
        <v>19</v>
      </c>
      <c r="AP16" s="187">
        <v>965.14285714286075</v>
      </c>
      <c r="AQ16" s="187">
        <v>50.796992481203198</v>
      </c>
      <c r="AR16" s="378">
        <f t="shared" si="8"/>
        <v>10</v>
      </c>
      <c r="AS16" s="629"/>
      <c r="AT16" s="187">
        <v>19</v>
      </c>
      <c r="AU16" s="187">
        <v>1055.3846153846148</v>
      </c>
      <c r="AV16" s="187">
        <v>55.54655870445341</v>
      </c>
      <c r="AW16" s="378">
        <f t="shared" si="9"/>
        <v>9</v>
      </c>
      <c r="AX16" s="629"/>
      <c r="AZ16" s="381" t="e">
        <f>RANK(AX16, $K$7:AX$21)</f>
        <v>#N/A</v>
      </c>
      <c r="BB16" s="378" t="e">
        <f t="shared" si="10"/>
        <v>#N/A</v>
      </c>
    </row>
    <row r="17" spans="2:54">
      <c r="B17" s="598"/>
      <c r="C17" s="378">
        <v>11</v>
      </c>
      <c r="D17" s="231"/>
      <c r="E17" s="187"/>
      <c r="F17" s="378"/>
      <c r="G17" s="379"/>
      <c r="H17" s="633"/>
      <c r="I17" s="207"/>
      <c r="J17" s="207"/>
      <c r="K17" s="207"/>
      <c r="L17" s="572"/>
      <c r="M17" s="381" t="e">
        <f>RANK(K17, $K$7:K$21)</f>
        <v>#N/A</v>
      </c>
      <c r="N17" s="590"/>
      <c r="O17" s="590"/>
      <c r="P17" s="187"/>
      <c r="Q17" s="187"/>
      <c r="R17" s="187"/>
      <c r="S17" s="378" t="e">
        <f t="shared" si="3"/>
        <v>#N/A</v>
      </c>
      <c r="T17" s="629"/>
      <c r="U17" s="187"/>
      <c r="V17" s="187"/>
      <c r="W17" s="187"/>
      <c r="X17" s="378" t="e">
        <f t="shared" si="4"/>
        <v>#N/A</v>
      </c>
      <c r="Y17" s="629"/>
      <c r="Z17" s="187"/>
      <c r="AA17" s="187"/>
      <c r="AB17" s="187"/>
      <c r="AC17" s="378" t="e">
        <f t="shared" si="5"/>
        <v>#N/A</v>
      </c>
      <c r="AD17" s="629"/>
      <c r="AE17" s="187"/>
      <c r="AF17" s="187"/>
      <c r="AG17" s="187"/>
      <c r="AH17" s="378" t="e">
        <f t="shared" si="6"/>
        <v>#N/A</v>
      </c>
      <c r="AI17" s="629"/>
      <c r="AJ17" s="187"/>
      <c r="AK17" s="187"/>
      <c r="AL17" s="187"/>
      <c r="AM17" s="378" t="e">
        <f t="shared" si="7"/>
        <v>#N/A</v>
      </c>
      <c r="AN17" s="629"/>
      <c r="AO17" s="187"/>
      <c r="AP17" s="187"/>
      <c r="AQ17" s="187"/>
      <c r="AR17" s="378" t="e">
        <f t="shared" si="8"/>
        <v>#N/A</v>
      </c>
      <c r="AS17" s="629"/>
      <c r="AT17" s="187"/>
      <c r="AU17" s="187"/>
      <c r="AV17" s="379"/>
      <c r="AW17" s="378" t="e">
        <f t="shared" si="9"/>
        <v>#N/A</v>
      </c>
      <c r="AX17" s="629"/>
      <c r="AZ17" s="381" t="e">
        <f>RANK(AX17, $K$7:AX$21)</f>
        <v>#N/A</v>
      </c>
      <c r="BB17" s="378" t="e">
        <f t="shared" si="10"/>
        <v>#N/A</v>
      </c>
    </row>
    <row r="18" spans="2:54">
      <c r="B18" s="598"/>
      <c r="C18" s="378">
        <v>12</v>
      </c>
      <c r="D18" s="231"/>
      <c r="E18" s="187"/>
      <c r="F18" s="378"/>
      <c r="G18" s="379"/>
      <c r="H18" s="633"/>
      <c r="I18" s="207"/>
      <c r="J18" s="207"/>
      <c r="K18" s="207"/>
      <c r="L18" s="572"/>
      <c r="M18" s="381" t="e">
        <f>RANK(K18, $K$7:K$21)</f>
        <v>#N/A</v>
      </c>
      <c r="N18" s="590"/>
      <c r="O18" s="590"/>
      <c r="P18" s="187"/>
      <c r="Q18" s="187"/>
      <c r="R18" s="187"/>
      <c r="S18" s="378" t="e">
        <f t="shared" si="3"/>
        <v>#N/A</v>
      </c>
      <c r="T18" s="629"/>
      <c r="U18" s="187"/>
      <c r="V18" s="187"/>
      <c r="W18" s="187"/>
      <c r="X18" s="378" t="e">
        <f t="shared" si="4"/>
        <v>#N/A</v>
      </c>
      <c r="Y18" s="629"/>
      <c r="Z18" s="187"/>
      <c r="AA18" s="187"/>
      <c r="AB18" s="187"/>
      <c r="AC18" s="378" t="e">
        <f t="shared" si="5"/>
        <v>#N/A</v>
      </c>
      <c r="AD18" s="629"/>
      <c r="AE18" s="187"/>
      <c r="AF18" s="187"/>
      <c r="AG18" s="187"/>
      <c r="AH18" s="378" t="e">
        <f t="shared" si="6"/>
        <v>#N/A</v>
      </c>
      <c r="AI18" s="629"/>
      <c r="AJ18" s="187"/>
      <c r="AK18" s="187"/>
      <c r="AL18" s="187"/>
      <c r="AM18" s="378" t="e">
        <f t="shared" si="7"/>
        <v>#N/A</v>
      </c>
      <c r="AN18" s="629"/>
      <c r="AO18" s="187"/>
      <c r="AP18" s="187"/>
      <c r="AQ18" s="187"/>
      <c r="AR18" s="378" t="e">
        <f t="shared" si="8"/>
        <v>#N/A</v>
      </c>
      <c r="AS18" s="629"/>
      <c r="AT18" s="187"/>
      <c r="AU18" s="187"/>
      <c r="AV18" s="379"/>
      <c r="AW18" s="378" t="e">
        <f t="shared" si="9"/>
        <v>#N/A</v>
      </c>
      <c r="AX18" s="629"/>
      <c r="AZ18" s="381" t="e">
        <f>RANK(AX18, $K$7:AX$21)</f>
        <v>#N/A</v>
      </c>
      <c r="BB18" s="378" t="e">
        <f t="shared" si="10"/>
        <v>#N/A</v>
      </c>
    </row>
    <row r="19" spans="2:54">
      <c r="B19" s="598"/>
      <c r="C19" s="378">
        <v>13</v>
      </c>
      <c r="D19" s="231"/>
      <c r="E19" s="187"/>
      <c r="F19" s="378"/>
      <c r="G19" s="379"/>
      <c r="H19" s="633"/>
      <c r="I19" s="207"/>
      <c r="J19" s="207"/>
      <c r="K19" s="207"/>
      <c r="L19" s="572"/>
      <c r="M19" s="381" t="e">
        <f>RANK(K19, $K$7:K$21)</f>
        <v>#N/A</v>
      </c>
      <c r="N19" s="590"/>
      <c r="O19" s="590"/>
      <c r="P19" s="187"/>
      <c r="Q19" s="187"/>
      <c r="R19" s="187"/>
      <c r="S19" s="378" t="e">
        <f t="shared" si="3"/>
        <v>#N/A</v>
      </c>
      <c r="T19" s="629"/>
      <c r="U19" s="187"/>
      <c r="V19" s="187"/>
      <c r="W19" s="187"/>
      <c r="X19" s="378" t="e">
        <f t="shared" si="4"/>
        <v>#N/A</v>
      </c>
      <c r="Y19" s="629"/>
      <c r="Z19" s="187"/>
      <c r="AA19" s="187"/>
      <c r="AB19" s="187"/>
      <c r="AC19" s="378" t="e">
        <f t="shared" si="5"/>
        <v>#N/A</v>
      </c>
      <c r="AD19" s="629"/>
      <c r="AE19" s="187"/>
      <c r="AF19" s="187"/>
      <c r="AG19" s="187"/>
      <c r="AH19" s="378" t="e">
        <f t="shared" si="6"/>
        <v>#N/A</v>
      </c>
      <c r="AI19" s="629"/>
      <c r="AJ19" s="187"/>
      <c r="AK19" s="187"/>
      <c r="AL19" s="187"/>
      <c r="AM19" s="378" t="e">
        <f t="shared" si="7"/>
        <v>#N/A</v>
      </c>
      <c r="AN19" s="629"/>
      <c r="AO19" s="187"/>
      <c r="AP19" s="187"/>
      <c r="AQ19" s="187"/>
      <c r="AR19" s="378" t="e">
        <f t="shared" si="8"/>
        <v>#N/A</v>
      </c>
      <c r="AS19" s="629"/>
      <c r="AT19" s="187"/>
      <c r="AU19" s="187"/>
      <c r="AV19" s="379"/>
      <c r="AW19" s="378" t="e">
        <f t="shared" si="9"/>
        <v>#N/A</v>
      </c>
      <c r="AX19" s="629"/>
      <c r="AZ19" s="381" t="e">
        <f>RANK(AX19, $K$7:AX$21)</f>
        <v>#N/A</v>
      </c>
      <c r="BB19" s="378" t="e">
        <f t="shared" si="10"/>
        <v>#N/A</v>
      </c>
    </row>
    <row r="20" spans="2:54">
      <c r="B20" s="598"/>
      <c r="C20" s="378">
        <v>14</v>
      </c>
      <c r="D20" s="231"/>
      <c r="E20" s="187"/>
      <c r="F20" s="378"/>
      <c r="G20" s="379"/>
      <c r="H20" s="633"/>
      <c r="I20" s="207"/>
      <c r="J20" s="207"/>
      <c r="K20" s="207"/>
      <c r="L20" s="572"/>
      <c r="M20" s="381" t="e">
        <f>RANK(K20, $K$7:K$21)</f>
        <v>#N/A</v>
      </c>
      <c r="N20" s="590"/>
      <c r="O20" s="590"/>
      <c r="P20" s="187"/>
      <c r="Q20" s="187"/>
      <c r="R20" s="187"/>
      <c r="S20" s="378" t="e">
        <f t="shared" si="3"/>
        <v>#N/A</v>
      </c>
      <c r="T20" s="629"/>
      <c r="U20" s="187"/>
      <c r="V20" s="187"/>
      <c r="W20" s="187"/>
      <c r="X20" s="378" t="e">
        <f t="shared" si="4"/>
        <v>#N/A</v>
      </c>
      <c r="Y20" s="629"/>
      <c r="Z20" s="187"/>
      <c r="AA20" s="187"/>
      <c r="AB20" s="187"/>
      <c r="AC20" s="378" t="e">
        <f t="shared" si="5"/>
        <v>#N/A</v>
      </c>
      <c r="AD20" s="629"/>
      <c r="AE20" s="187"/>
      <c r="AF20" s="187"/>
      <c r="AG20" s="187"/>
      <c r="AH20" s="378" t="e">
        <f t="shared" si="6"/>
        <v>#N/A</v>
      </c>
      <c r="AI20" s="629"/>
      <c r="AJ20" s="187"/>
      <c r="AK20" s="187"/>
      <c r="AL20" s="187"/>
      <c r="AM20" s="378" t="e">
        <f t="shared" si="7"/>
        <v>#N/A</v>
      </c>
      <c r="AN20" s="629"/>
      <c r="AO20" s="187"/>
      <c r="AP20" s="187"/>
      <c r="AQ20" s="187"/>
      <c r="AR20" s="378" t="e">
        <f t="shared" si="8"/>
        <v>#N/A</v>
      </c>
      <c r="AS20" s="629"/>
      <c r="AT20" s="187"/>
      <c r="AU20" s="187"/>
      <c r="AV20" s="379"/>
      <c r="AW20" s="378" t="e">
        <f t="shared" si="9"/>
        <v>#N/A</v>
      </c>
      <c r="AX20" s="629"/>
      <c r="AZ20" s="381" t="e">
        <f>RANK(AX20, $K$7:AX$21)</f>
        <v>#N/A</v>
      </c>
      <c r="BB20" s="378" t="e">
        <f t="shared" si="10"/>
        <v>#N/A</v>
      </c>
    </row>
    <row r="21" spans="2:54">
      <c r="B21" s="598"/>
      <c r="C21" s="378">
        <v>15</v>
      </c>
      <c r="D21" s="231"/>
      <c r="E21" s="187"/>
      <c r="F21" s="378"/>
      <c r="G21" s="379"/>
      <c r="H21" s="634"/>
      <c r="I21" s="207"/>
      <c r="J21" s="207"/>
      <c r="K21" s="207"/>
      <c r="L21" s="573"/>
      <c r="M21" s="380" t="e">
        <f>RANK(K21, $K$7:K$21)</f>
        <v>#N/A</v>
      </c>
      <c r="N21" s="590"/>
      <c r="O21" s="590"/>
      <c r="P21" s="187"/>
      <c r="Q21" s="187"/>
      <c r="R21" s="187"/>
      <c r="S21" s="378" t="e">
        <f t="shared" si="3"/>
        <v>#N/A</v>
      </c>
      <c r="T21" s="629"/>
      <c r="U21" s="187"/>
      <c r="V21" s="187"/>
      <c r="W21" s="187"/>
      <c r="X21" s="378" t="e">
        <f t="shared" si="4"/>
        <v>#N/A</v>
      </c>
      <c r="Y21" s="629"/>
      <c r="Z21" s="187"/>
      <c r="AA21" s="187"/>
      <c r="AB21" s="187"/>
      <c r="AC21" s="378" t="e">
        <f t="shared" si="5"/>
        <v>#N/A</v>
      </c>
      <c r="AD21" s="629"/>
      <c r="AE21" s="187"/>
      <c r="AF21" s="187"/>
      <c r="AG21" s="187"/>
      <c r="AH21" s="378" t="e">
        <f t="shared" si="6"/>
        <v>#N/A</v>
      </c>
      <c r="AI21" s="629"/>
      <c r="AJ21" s="187"/>
      <c r="AK21" s="187"/>
      <c r="AL21" s="187"/>
      <c r="AM21" s="378" t="e">
        <f t="shared" si="7"/>
        <v>#N/A</v>
      </c>
      <c r="AN21" s="629"/>
      <c r="AO21" s="187"/>
      <c r="AP21" s="187"/>
      <c r="AQ21" s="187"/>
      <c r="AR21" s="378" t="e">
        <f t="shared" si="8"/>
        <v>#N/A</v>
      </c>
      <c r="AS21" s="629"/>
      <c r="AT21" s="187"/>
      <c r="AU21" s="187"/>
      <c r="AV21" s="379"/>
      <c r="AW21" s="378" t="e">
        <f t="shared" si="9"/>
        <v>#N/A</v>
      </c>
      <c r="AX21" s="629"/>
      <c r="AZ21" s="380" t="e">
        <f>RANK(AX21, $K$7:AX$21)</f>
        <v>#N/A</v>
      </c>
      <c r="BB21" s="378" t="e">
        <f t="shared" si="10"/>
        <v>#N/A</v>
      </c>
    </row>
    <row r="22" spans="2:54" ht="15.75">
      <c r="B22" s="615" t="s">
        <v>163</v>
      </c>
      <c r="C22" s="616"/>
      <c r="D22" s="616"/>
      <c r="E22" s="616"/>
      <c r="F22" s="616"/>
      <c r="G22" s="616"/>
      <c r="H22" s="616"/>
      <c r="I22" s="208"/>
      <c r="J22" s="208"/>
      <c r="K22" s="208"/>
      <c r="L22" s="208"/>
      <c r="M22" s="209"/>
      <c r="N22" s="591" t="s">
        <v>156</v>
      </c>
      <c r="O22" s="591" t="s">
        <v>105</v>
      </c>
      <c r="P22" s="635">
        <f>AT2+1</f>
        <v>45937</v>
      </c>
      <c r="Q22" s="636"/>
      <c r="R22" s="636"/>
      <c r="S22" s="636"/>
      <c r="T22" s="636"/>
      <c r="U22" s="597">
        <f>P22+1</f>
        <v>45938</v>
      </c>
      <c r="V22" s="598"/>
      <c r="W22" s="598"/>
      <c r="X22" s="598"/>
      <c r="Y22" s="598"/>
      <c r="Z22" s="597">
        <f>U22+1</f>
        <v>45939</v>
      </c>
      <c r="AA22" s="598"/>
      <c r="AB22" s="598"/>
      <c r="AC22" s="598"/>
      <c r="AD22" s="598"/>
      <c r="AE22" s="597">
        <f>Z22+1</f>
        <v>45940</v>
      </c>
      <c r="AF22" s="598"/>
      <c r="AG22" s="598"/>
      <c r="AH22" s="598"/>
      <c r="AI22" s="598"/>
      <c r="AJ22" s="597">
        <f>AE22+1</f>
        <v>45941</v>
      </c>
      <c r="AK22" s="598"/>
      <c r="AL22" s="598"/>
      <c r="AM22" s="598"/>
      <c r="AN22" s="598"/>
      <c r="AO22" s="597">
        <f>AJ22+1</f>
        <v>45942</v>
      </c>
      <c r="AP22" s="598"/>
      <c r="AQ22" s="598"/>
      <c r="AR22" s="598"/>
      <c r="AS22" s="598"/>
      <c r="AT22" s="597">
        <f>AO22+1</f>
        <v>45943</v>
      </c>
      <c r="AU22" s="598"/>
      <c r="AV22" s="598"/>
      <c r="AW22" s="598"/>
      <c r="AX22" s="598"/>
    </row>
    <row r="23" spans="2:54" ht="15.75">
      <c r="B23" s="605"/>
      <c r="C23" s="605"/>
      <c r="D23" s="605"/>
      <c r="E23" s="605"/>
      <c r="F23" s="605"/>
      <c r="G23" s="605"/>
      <c r="H23" s="605"/>
      <c r="I23" s="210"/>
      <c r="J23" s="210"/>
      <c r="K23" s="210"/>
      <c r="L23" s="210"/>
      <c r="M23" s="211"/>
      <c r="N23" s="593"/>
      <c r="O23" s="593"/>
      <c r="P23" s="597" t="s">
        <v>336</v>
      </c>
      <c r="Q23" s="598"/>
      <c r="R23" s="598"/>
      <c r="S23" s="598"/>
      <c r="T23" s="598"/>
      <c r="U23" s="597" t="s">
        <v>337</v>
      </c>
      <c r="V23" s="598"/>
      <c r="W23" s="598"/>
      <c r="X23" s="598"/>
      <c r="Y23" s="598"/>
      <c r="Z23" s="597" t="s">
        <v>338</v>
      </c>
      <c r="AA23" s="598"/>
      <c r="AB23" s="598"/>
      <c r="AC23" s="598"/>
      <c r="AD23" s="598"/>
      <c r="AE23" s="597" t="s">
        <v>339</v>
      </c>
      <c r="AF23" s="598"/>
      <c r="AG23" s="598"/>
      <c r="AH23" s="598"/>
      <c r="AI23" s="598"/>
      <c r="AJ23" s="597" t="s">
        <v>340</v>
      </c>
      <c r="AK23" s="598"/>
      <c r="AL23" s="598"/>
      <c r="AM23" s="598"/>
      <c r="AN23" s="598"/>
      <c r="AO23" s="597" t="s">
        <v>341</v>
      </c>
      <c r="AP23" s="598"/>
      <c r="AQ23" s="598"/>
      <c r="AR23" s="598"/>
      <c r="AS23" s="598"/>
      <c r="AT23" s="597" t="s">
        <v>342</v>
      </c>
      <c r="AU23" s="598"/>
      <c r="AV23" s="598"/>
      <c r="AW23" s="598"/>
      <c r="AX23" s="598"/>
    </row>
    <row r="24" spans="2:54">
      <c r="B24" s="590" t="s">
        <v>444</v>
      </c>
      <c r="C24" s="590" t="s">
        <v>454</v>
      </c>
      <c r="D24" s="590"/>
      <c r="E24" s="590" t="s">
        <v>445</v>
      </c>
      <c r="F24" s="590"/>
      <c r="G24" s="590"/>
      <c r="H24" s="606" t="s">
        <v>441</v>
      </c>
      <c r="I24" s="574" t="s">
        <v>446</v>
      </c>
      <c r="J24" s="574"/>
      <c r="K24" s="574"/>
      <c r="L24" s="575" t="s">
        <v>441</v>
      </c>
      <c r="M24" s="581" t="s">
        <v>442</v>
      </c>
      <c r="N24" s="590"/>
      <c r="O24" s="590" t="s">
        <v>447</v>
      </c>
      <c r="P24" s="587" t="s">
        <v>443</v>
      </c>
      <c r="Q24" s="588"/>
      <c r="R24" s="588"/>
      <c r="S24" s="589"/>
      <c r="T24" s="590" t="s">
        <v>441</v>
      </c>
      <c r="U24" s="587" t="s">
        <v>443</v>
      </c>
      <c r="V24" s="588"/>
      <c r="W24" s="588"/>
      <c r="X24" s="589"/>
      <c r="Y24" s="590" t="s">
        <v>441</v>
      </c>
      <c r="Z24" s="587" t="s">
        <v>443</v>
      </c>
      <c r="AA24" s="588"/>
      <c r="AB24" s="588"/>
      <c r="AC24" s="589"/>
      <c r="AD24" s="590" t="s">
        <v>441</v>
      </c>
      <c r="AE24" s="587" t="s">
        <v>443</v>
      </c>
      <c r="AF24" s="588"/>
      <c r="AG24" s="588"/>
      <c r="AH24" s="589"/>
      <c r="AI24" s="590" t="s">
        <v>441</v>
      </c>
      <c r="AJ24" s="587" t="s">
        <v>443</v>
      </c>
      <c r="AK24" s="588"/>
      <c r="AL24" s="588"/>
      <c r="AM24" s="589"/>
      <c r="AN24" s="590" t="s">
        <v>441</v>
      </c>
      <c r="AO24" s="587" t="s">
        <v>443</v>
      </c>
      <c r="AP24" s="588"/>
      <c r="AQ24" s="588"/>
      <c r="AR24" s="589"/>
      <c r="AS24" s="590" t="s">
        <v>441</v>
      </c>
      <c r="AT24" s="587" t="s">
        <v>443</v>
      </c>
      <c r="AU24" s="588"/>
      <c r="AV24" s="588"/>
      <c r="AW24" s="589"/>
      <c r="AX24" s="590" t="s">
        <v>441</v>
      </c>
    </row>
    <row r="25" spans="2:54">
      <c r="B25" s="590"/>
      <c r="C25" s="590"/>
      <c r="D25" s="590"/>
      <c r="E25" s="590" t="s">
        <v>448</v>
      </c>
      <c r="F25" s="590"/>
      <c r="G25" s="590"/>
      <c r="H25" s="607"/>
      <c r="I25" s="574" t="s">
        <v>448</v>
      </c>
      <c r="J25" s="574"/>
      <c r="K25" s="574"/>
      <c r="L25" s="576"/>
      <c r="M25" s="582"/>
      <c r="N25" s="590"/>
      <c r="O25" s="590"/>
      <c r="P25" s="587" t="s">
        <v>449</v>
      </c>
      <c r="Q25" s="588"/>
      <c r="R25" s="588"/>
      <c r="S25" s="589"/>
      <c r="T25" s="590"/>
      <c r="U25" s="587" t="s">
        <v>449</v>
      </c>
      <c r="V25" s="588"/>
      <c r="W25" s="588"/>
      <c r="X25" s="589"/>
      <c r="Y25" s="590"/>
      <c r="Z25" s="587" t="s">
        <v>449</v>
      </c>
      <c r="AA25" s="588"/>
      <c r="AB25" s="588"/>
      <c r="AC25" s="589"/>
      <c r="AD25" s="590"/>
      <c r="AE25" s="587" t="s">
        <v>449</v>
      </c>
      <c r="AF25" s="588"/>
      <c r="AG25" s="588"/>
      <c r="AH25" s="589"/>
      <c r="AI25" s="590"/>
      <c r="AJ25" s="587" t="s">
        <v>449</v>
      </c>
      <c r="AK25" s="588"/>
      <c r="AL25" s="588"/>
      <c r="AM25" s="589"/>
      <c r="AN25" s="590"/>
      <c r="AO25" s="587" t="s">
        <v>449</v>
      </c>
      <c r="AP25" s="588"/>
      <c r="AQ25" s="588"/>
      <c r="AR25" s="589"/>
      <c r="AS25" s="590"/>
      <c r="AT25" s="587" t="s">
        <v>449</v>
      </c>
      <c r="AU25" s="588"/>
      <c r="AV25" s="588"/>
      <c r="AW25" s="589"/>
      <c r="AX25" s="590"/>
    </row>
    <row r="26" spans="2:54">
      <c r="B26" s="590"/>
      <c r="C26" s="590"/>
      <c r="D26" s="590"/>
      <c r="E26" s="318" t="s">
        <v>450</v>
      </c>
      <c r="F26" s="318" t="s">
        <v>451</v>
      </c>
      <c r="G26" s="318" t="s">
        <v>452</v>
      </c>
      <c r="H26" s="608"/>
      <c r="I26" s="317" t="s">
        <v>450</v>
      </c>
      <c r="J26" s="317" t="s">
        <v>451</v>
      </c>
      <c r="K26" s="317" t="s">
        <v>452</v>
      </c>
      <c r="L26" s="577"/>
      <c r="M26" s="583"/>
      <c r="N26" s="590"/>
      <c r="O26" s="590"/>
      <c r="P26" s="318" t="s">
        <v>450</v>
      </c>
      <c r="Q26" s="318" t="s">
        <v>451</v>
      </c>
      <c r="R26" s="318" t="s">
        <v>452</v>
      </c>
      <c r="S26" s="318" t="s">
        <v>442</v>
      </c>
      <c r="T26" s="590"/>
      <c r="U26" s="318" t="s">
        <v>450</v>
      </c>
      <c r="V26" s="318" t="s">
        <v>451</v>
      </c>
      <c r="W26" s="318" t="s">
        <v>452</v>
      </c>
      <c r="X26" s="318" t="s">
        <v>442</v>
      </c>
      <c r="Y26" s="590"/>
      <c r="Z26" s="318" t="s">
        <v>450</v>
      </c>
      <c r="AA26" s="318" t="s">
        <v>451</v>
      </c>
      <c r="AB26" s="318" t="s">
        <v>452</v>
      </c>
      <c r="AC26" s="318" t="s">
        <v>442</v>
      </c>
      <c r="AD26" s="590"/>
      <c r="AE26" s="318" t="s">
        <v>450</v>
      </c>
      <c r="AF26" s="318" t="s">
        <v>451</v>
      </c>
      <c r="AG26" s="318" t="s">
        <v>452</v>
      </c>
      <c r="AH26" s="318" t="s">
        <v>442</v>
      </c>
      <c r="AI26" s="590"/>
      <c r="AJ26" s="318" t="s">
        <v>450</v>
      </c>
      <c r="AK26" s="318" t="s">
        <v>451</v>
      </c>
      <c r="AL26" s="318" t="s">
        <v>452</v>
      </c>
      <c r="AM26" s="318" t="s">
        <v>442</v>
      </c>
      <c r="AN26" s="590"/>
      <c r="AO26" s="318" t="s">
        <v>450</v>
      </c>
      <c r="AP26" s="318" t="s">
        <v>451</v>
      </c>
      <c r="AQ26" s="318" t="s">
        <v>452</v>
      </c>
      <c r="AR26" s="318" t="s">
        <v>442</v>
      </c>
      <c r="AS26" s="590"/>
      <c r="AT26" s="318" t="s">
        <v>450</v>
      </c>
      <c r="AU26" s="318" t="s">
        <v>451</v>
      </c>
      <c r="AV26" s="318" t="s">
        <v>452</v>
      </c>
      <c r="AW26" s="318" t="s">
        <v>442</v>
      </c>
      <c r="AX26" s="590"/>
    </row>
    <row r="27" spans="2:54">
      <c r="B27" s="590" t="s">
        <v>456</v>
      </c>
      <c r="C27" s="319">
        <v>1</v>
      </c>
      <c r="D27" s="231" t="s">
        <v>406</v>
      </c>
      <c r="E27" s="187">
        <v>19</v>
      </c>
      <c r="F27" s="319">
        <v>1636</v>
      </c>
      <c r="G27" s="322">
        <v>86.10526315789474</v>
      </c>
      <c r="H27" s="632">
        <f>AVERAGE(G27:G41)</f>
        <v>91.261647434093248</v>
      </c>
      <c r="I27" s="204">
        <f>AVERAGE(P27,U27,Z27,AE27,AJ27,AO27,AT27)</f>
        <v>19</v>
      </c>
      <c r="J27" s="204">
        <f>AVERAGE(Q27,V27,AA27,AF27,AK27,AP27,AU27)</f>
        <v>1386.0929575790865</v>
      </c>
      <c r="K27" s="205">
        <f>AVERAGE(R27,W27,AB27,AG27,AL27,AQ27,AV27)</f>
        <v>72.952260925215072</v>
      </c>
      <c r="L27" s="571">
        <f>IFERROR(AVERAGE(K27:K41),"-")</f>
        <v>80.315177857714829</v>
      </c>
      <c r="M27" s="206">
        <f>RANK(K27, K$27:$K$41)</f>
        <v>7</v>
      </c>
      <c r="N27" s="590"/>
      <c r="O27" s="590"/>
      <c r="P27" s="187"/>
      <c r="Q27" s="187">
        <f>'[1]（５-7）品群別人時生產性(熱食義麵) '!Q7</f>
        <v>1368.7499999999998</v>
      </c>
      <c r="R27" s="187">
        <f>'[1]（５-7）品群別人時生產性(熱食義麵) '!R7</f>
        <v>72.03947368421052</v>
      </c>
      <c r="S27" s="319">
        <f t="shared" ref="S27:S41" si="11">RANK(R27, R$27:R$41)</f>
        <v>7</v>
      </c>
      <c r="T27" s="629">
        <f>AVERAGE(R27:R41)</f>
        <v>81.213613335249889</v>
      </c>
      <c r="U27" s="187">
        <v>19</v>
      </c>
      <c r="V27" s="187">
        <v>1404</v>
      </c>
      <c r="W27" s="187">
        <v>73.89473684210526</v>
      </c>
      <c r="X27" s="319">
        <f t="shared" ref="X27:X41" si="12">RANK(W27, W$27:W$41)</f>
        <v>7</v>
      </c>
      <c r="Y27" s="629">
        <f>AVERAGE(W27:W41)</f>
        <v>79.334087477284044</v>
      </c>
      <c r="Z27" s="187">
        <v>19</v>
      </c>
      <c r="AA27" s="187">
        <v>1390.9756097560978</v>
      </c>
      <c r="AB27" s="187">
        <v>73.209242618741996</v>
      </c>
      <c r="AC27" s="319">
        <f t="shared" ref="AC27:AC41" si="13">RANK(AB27, AB$27:AB$41)</f>
        <v>7</v>
      </c>
      <c r="AD27" s="629">
        <f>AVERAGE(AB27:AB41)</f>
        <v>78.015649744005714</v>
      </c>
      <c r="AE27" s="187">
        <v>19</v>
      </c>
      <c r="AF27" s="187">
        <v>1413.5064935064934</v>
      </c>
      <c r="AG27" s="187">
        <v>74.395078605604908</v>
      </c>
      <c r="AH27" s="319">
        <f t="shared" ref="AH27:AH41" si="14">RANK(AG27, AG$27:AG$41)</f>
        <v>6</v>
      </c>
      <c r="AI27" s="629">
        <f>AVERAGE(AG27:AG41)</f>
        <v>80.023366796361785</v>
      </c>
      <c r="AJ27" s="187">
        <v>19</v>
      </c>
      <c r="AK27" s="187">
        <v>1358.6666666666667</v>
      </c>
      <c r="AL27" s="187">
        <v>71.508771929824562</v>
      </c>
      <c r="AM27" s="319">
        <f t="shared" ref="AM27:AM41" si="15">RANK(AL27, AL$27:AL$41)</f>
        <v>7</v>
      </c>
      <c r="AN27" s="629">
        <f>AVERAGE(AL27:AL41)</f>
        <v>77.64346437226807</v>
      </c>
      <c r="AO27" s="187">
        <v>19</v>
      </c>
      <c r="AP27" s="187">
        <v>1381.9034482758618</v>
      </c>
      <c r="AQ27" s="187">
        <v>72.731760435571672</v>
      </c>
      <c r="AR27" s="319">
        <f t="shared" ref="AR27:AR41" si="16">RANK(AQ27, AQ$27:AQ$41)</f>
        <v>7</v>
      </c>
      <c r="AS27" s="629">
        <f>AVERAGE(AQ27:AQ41)</f>
        <v>82.563025855673928</v>
      </c>
      <c r="AT27" s="187">
        <v>19</v>
      </c>
      <c r="AU27" s="187">
        <v>1384.8484848484845</v>
      </c>
      <c r="AV27" s="187">
        <v>72.886762360446554</v>
      </c>
      <c r="AW27" s="319">
        <f t="shared" ref="AW27:AW41" si="17">RANK(AV27, AV$27:AV$41)</f>
        <v>7</v>
      </c>
      <c r="AX27" s="629">
        <f>AVERAGE(AV27:AV41)</f>
        <v>83.413037423160404</v>
      </c>
    </row>
    <row r="28" spans="2:54">
      <c r="B28" s="598"/>
      <c r="C28" s="319">
        <v>2</v>
      </c>
      <c r="D28" s="231" t="s">
        <v>590</v>
      </c>
      <c r="E28" s="187">
        <v>19</v>
      </c>
      <c r="F28" s="319">
        <v>1440</v>
      </c>
      <c r="G28" s="322">
        <v>75.78947368421052</v>
      </c>
      <c r="H28" s="633"/>
      <c r="I28" s="204">
        <f t="shared" ref="I28:I33" si="18">AVERAGE(P28,U28,Z28,AE28,AJ28,AO28,AT28)</f>
        <v>18</v>
      </c>
      <c r="J28" s="204">
        <f t="shared" ref="J28:J33" si="19">AVERAGE(Q28,V28,AA28,AF28,AK28,AP28,AU28)</f>
        <v>1332.9981411491576</v>
      </c>
      <c r="K28" s="205">
        <f t="shared" ref="K28:K33" si="20">AVERAGE(R28,W28,AB28,AG28,AL28,AQ28,AV28)</f>
        <v>74.055452286064309</v>
      </c>
      <c r="L28" s="572"/>
      <c r="M28" s="206">
        <f>RANK(K28, K$27:$K$41)</f>
        <v>6</v>
      </c>
      <c r="N28" s="590"/>
      <c r="O28" s="590"/>
      <c r="P28" s="187">
        <f>'[1]（５-7）品群別人時生產性(熱食義麵) '!P8</f>
        <v>18</v>
      </c>
      <c r="Q28" s="187">
        <f>'[1]（５-7）品群別人時生產性(熱食義麵) '!Q8</f>
        <v>1315.4887218045112</v>
      </c>
      <c r="R28" s="187">
        <f>'[1]（５-7）品群別人時生產性(熱食義麵) '!R8</f>
        <v>73.082706766917283</v>
      </c>
      <c r="S28" s="319">
        <f t="shared" si="11"/>
        <v>6</v>
      </c>
      <c r="T28" s="629"/>
      <c r="U28" s="187">
        <v>18</v>
      </c>
      <c r="V28" s="187">
        <v>1355.3846153846155</v>
      </c>
      <c r="W28" s="187">
        <v>75.299145299145309</v>
      </c>
      <c r="X28" s="319">
        <f t="shared" si="12"/>
        <v>6</v>
      </c>
      <c r="Y28" s="629"/>
      <c r="Z28" s="187">
        <v>18</v>
      </c>
      <c r="AA28" s="187">
        <v>1334.6666666666665</v>
      </c>
      <c r="AB28" s="187">
        <v>74.148148148148138</v>
      </c>
      <c r="AC28" s="319">
        <f t="shared" si="13"/>
        <v>6</v>
      </c>
      <c r="AD28" s="629"/>
      <c r="AE28" s="187">
        <v>18</v>
      </c>
      <c r="AF28" s="187">
        <v>1325.5813953488371</v>
      </c>
      <c r="AG28" s="187">
        <v>73.643410852713174</v>
      </c>
      <c r="AH28" s="319">
        <f t="shared" si="14"/>
        <v>7</v>
      </c>
      <c r="AI28" s="629"/>
      <c r="AJ28" s="187">
        <v>18</v>
      </c>
      <c r="AK28" s="187">
        <v>1303.9175257731963</v>
      </c>
      <c r="AL28" s="187">
        <v>72.439862542955353</v>
      </c>
      <c r="AM28" s="319">
        <f t="shared" si="15"/>
        <v>6</v>
      </c>
      <c r="AN28" s="629"/>
      <c r="AO28" s="187">
        <v>18</v>
      </c>
      <c r="AP28" s="187">
        <v>1349.3831775700933</v>
      </c>
      <c r="AQ28" s="187">
        <v>74.965732087227408</v>
      </c>
      <c r="AR28" s="319">
        <f t="shared" si="16"/>
        <v>6</v>
      </c>
      <c r="AS28" s="629"/>
      <c r="AT28" s="187">
        <v>18</v>
      </c>
      <c r="AU28" s="187">
        <v>1346.5648854961833</v>
      </c>
      <c r="AV28" s="187">
        <v>74.809160305343511</v>
      </c>
      <c r="AW28" s="319">
        <f t="shared" si="17"/>
        <v>6</v>
      </c>
      <c r="AX28" s="629"/>
    </row>
    <row r="29" spans="2:54">
      <c r="B29" s="598"/>
      <c r="C29" s="319">
        <v>3</v>
      </c>
      <c r="D29" s="231" t="s">
        <v>351</v>
      </c>
      <c r="E29" s="187">
        <v>17</v>
      </c>
      <c r="F29" s="319">
        <v>1636</v>
      </c>
      <c r="G29" s="322">
        <v>96.235294117647058</v>
      </c>
      <c r="H29" s="633"/>
      <c r="I29" s="204">
        <f t="shared" si="18"/>
        <v>17.571428571428573</v>
      </c>
      <c r="J29" s="204">
        <f t="shared" si="19"/>
        <v>1391.6937772828517</v>
      </c>
      <c r="K29" s="205">
        <f t="shared" si="20"/>
        <v>79.269011190830639</v>
      </c>
      <c r="L29" s="572"/>
      <c r="M29" s="206">
        <f>RANK(K29, K$27:$K$41)</f>
        <v>3</v>
      </c>
      <c r="N29" s="590"/>
      <c r="O29" s="590"/>
      <c r="P29" s="187">
        <f>'[1]（５-7）品群別人時生產性(熱食義麵) '!P9</f>
        <v>17</v>
      </c>
      <c r="Q29" s="187">
        <f>'[1]（５-7）品群別人時生產性(熱食義麵) '!Q9</f>
        <v>1421.0429447852762</v>
      </c>
      <c r="R29" s="187">
        <f>'[1]（５-7）品群別人時生產性(熱食義麵) '!R9</f>
        <v>83.590761457957427</v>
      </c>
      <c r="S29" s="319">
        <f t="shared" si="11"/>
        <v>3</v>
      </c>
      <c r="T29" s="629"/>
      <c r="U29" s="187">
        <v>17</v>
      </c>
      <c r="V29" s="187">
        <v>1358.0357142857147</v>
      </c>
      <c r="W29" s="187">
        <v>79.884453781512633</v>
      </c>
      <c r="X29" s="319">
        <f t="shared" si="12"/>
        <v>3</v>
      </c>
      <c r="Y29" s="629"/>
      <c r="Z29" s="187">
        <v>18</v>
      </c>
      <c r="AA29" s="187">
        <v>1369.5517241379305</v>
      </c>
      <c r="AB29" s="187">
        <v>76.086206896551687</v>
      </c>
      <c r="AC29" s="319">
        <f t="shared" si="13"/>
        <v>4</v>
      </c>
      <c r="AD29" s="629"/>
      <c r="AE29" s="187">
        <v>18</v>
      </c>
      <c r="AF29" s="187">
        <v>1400.0869565217392</v>
      </c>
      <c r="AG29" s="187">
        <v>77.782608695652186</v>
      </c>
      <c r="AH29" s="319">
        <f t="shared" si="14"/>
        <v>3</v>
      </c>
      <c r="AI29" s="629"/>
      <c r="AJ29" s="187">
        <v>18</v>
      </c>
      <c r="AK29" s="187">
        <v>1373.2258064516125</v>
      </c>
      <c r="AL29" s="187">
        <v>76.290322580645139</v>
      </c>
      <c r="AM29" s="319">
        <f t="shared" si="15"/>
        <v>4</v>
      </c>
      <c r="AN29" s="629"/>
      <c r="AO29" s="187">
        <v>17</v>
      </c>
      <c r="AP29" s="187">
        <v>1403.5838150289014</v>
      </c>
      <c r="AQ29" s="187">
        <v>82.563753825229497</v>
      </c>
      <c r="AR29" s="319">
        <f t="shared" si="16"/>
        <v>2</v>
      </c>
      <c r="AS29" s="629"/>
      <c r="AT29" s="187">
        <v>18</v>
      </c>
      <c r="AU29" s="187">
        <v>1416.3294797687859</v>
      </c>
      <c r="AV29" s="187">
        <v>78.684971098265876</v>
      </c>
      <c r="AW29" s="319">
        <f t="shared" si="17"/>
        <v>3</v>
      </c>
      <c r="AX29" s="629"/>
    </row>
    <row r="30" spans="2:54">
      <c r="B30" s="598"/>
      <c r="C30" s="319">
        <v>4</v>
      </c>
      <c r="D30" s="231" t="s">
        <v>440</v>
      </c>
      <c r="E30" s="187">
        <v>22</v>
      </c>
      <c r="F30" s="319">
        <v>1636</v>
      </c>
      <c r="G30" s="322">
        <v>74.36363636363636</v>
      </c>
      <c r="H30" s="633"/>
      <c r="I30" s="204">
        <f t="shared" si="18"/>
        <v>20.571428571428573</v>
      </c>
      <c r="J30" s="204">
        <f t="shared" si="19"/>
        <v>1394.3484076750003</v>
      </c>
      <c r="K30" s="205">
        <f t="shared" si="20"/>
        <v>67.912920896526259</v>
      </c>
      <c r="L30" s="572"/>
      <c r="M30" s="206">
        <f>RANK(K30, K$27:$K$41)</f>
        <v>9</v>
      </c>
      <c r="N30" s="590"/>
      <c r="O30" s="590"/>
      <c r="P30" s="187">
        <f>'[1]（５-7）品群別人時生產性(熱食義麵) '!P10</f>
        <v>20</v>
      </c>
      <c r="Q30" s="187">
        <f>'[1]（５-7）品群別人時生產性(熱食義麵) '!Q10</f>
        <v>1414.1860465116276</v>
      </c>
      <c r="R30" s="187">
        <f>'[1]（５-7）品群別人時生產性(熱食義麵) '!R10</f>
        <v>70.709302325581376</v>
      </c>
      <c r="S30" s="319">
        <f t="shared" si="11"/>
        <v>8</v>
      </c>
      <c r="T30" s="629"/>
      <c r="U30" s="187">
        <v>22</v>
      </c>
      <c r="V30" s="187">
        <v>1376.5116279069764</v>
      </c>
      <c r="W30" s="187">
        <v>62.568710359408016</v>
      </c>
      <c r="X30" s="319">
        <f t="shared" si="12"/>
        <v>9</v>
      </c>
      <c r="Y30" s="629"/>
      <c r="Z30" s="187">
        <v>20</v>
      </c>
      <c r="AA30" s="187">
        <v>1413.0434782608695</v>
      </c>
      <c r="AB30" s="187">
        <v>70.65217391304347</v>
      </c>
      <c r="AC30" s="319">
        <f t="shared" si="13"/>
        <v>8</v>
      </c>
      <c r="AD30" s="629"/>
      <c r="AE30" s="187">
        <v>20</v>
      </c>
      <c r="AF30" s="187">
        <v>1384.7619047619046</v>
      </c>
      <c r="AG30" s="187">
        <v>69.238095238095227</v>
      </c>
      <c r="AH30" s="319">
        <f t="shared" si="14"/>
        <v>8</v>
      </c>
      <c r="AI30" s="629"/>
      <c r="AJ30" s="187">
        <v>20</v>
      </c>
      <c r="AK30" s="187">
        <v>1368.6486486486492</v>
      </c>
      <c r="AL30" s="187">
        <v>68.432432432432464</v>
      </c>
      <c r="AM30" s="319">
        <f t="shared" si="15"/>
        <v>9</v>
      </c>
      <c r="AN30" s="629"/>
      <c r="AO30" s="187">
        <v>22</v>
      </c>
      <c r="AP30" s="187">
        <v>1402.4175824175823</v>
      </c>
      <c r="AQ30" s="187">
        <v>63.746253746253736</v>
      </c>
      <c r="AR30" s="319">
        <f t="shared" si="16"/>
        <v>9</v>
      </c>
      <c r="AS30" s="629"/>
      <c r="AT30" s="187">
        <v>20</v>
      </c>
      <c r="AU30" s="187">
        <v>1400.8695652173915</v>
      </c>
      <c r="AV30" s="187">
        <v>70.043478260869577</v>
      </c>
      <c r="AW30" s="319">
        <f t="shared" si="17"/>
        <v>8</v>
      </c>
      <c r="AX30" s="629"/>
    </row>
    <row r="31" spans="2:54">
      <c r="B31" s="598"/>
      <c r="C31" s="319">
        <v>5</v>
      </c>
      <c r="D31" s="231" t="s">
        <v>468</v>
      </c>
      <c r="E31" s="187">
        <v>18</v>
      </c>
      <c r="F31" s="319">
        <v>1636</v>
      </c>
      <c r="G31" s="322">
        <v>90.888888888888886</v>
      </c>
      <c r="H31" s="633"/>
      <c r="I31" s="204">
        <f t="shared" si="18"/>
        <v>18</v>
      </c>
      <c r="J31" s="204">
        <f t="shared" si="19"/>
        <v>1368.5921440167331</v>
      </c>
      <c r="K31" s="205">
        <f t="shared" si="20"/>
        <v>76.032896889818488</v>
      </c>
      <c r="L31" s="572"/>
      <c r="M31" s="206">
        <f>RANK(K31, K$27:$K$41)</f>
        <v>5</v>
      </c>
      <c r="N31" s="590"/>
      <c r="O31" s="590"/>
      <c r="P31" s="187">
        <f>'[1]（５-7）品群別人時生產性(熱食義麵) '!P11</f>
        <v>18</v>
      </c>
      <c r="Q31" s="187">
        <f>'[1]（５-7）品群別人時生產性(熱食義麵) '!Q11</f>
        <v>1363.0188679245277</v>
      </c>
      <c r="R31" s="187">
        <f>'[1]（５-7）品群別人時生產性(熱食義麵) '!R11</f>
        <v>75.72327044025154</v>
      </c>
      <c r="S31" s="319">
        <f t="shared" si="11"/>
        <v>5</v>
      </c>
      <c r="T31" s="629"/>
      <c r="U31" s="187">
        <v>18</v>
      </c>
      <c r="V31" s="187">
        <v>1395.6521739130435</v>
      </c>
      <c r="W31" s="187">
        <v>77.536231884057969</v>
      </c>
      <c r="X31" s="319">
        <f t="shared" si="12"/>
        <v>4</v>
      </c>
      <c r="Y31" s="629"/>
      <c r="Z31" s="187">
        <v>18</v>
      </c>
      <c r="AA31" s="187">
        <v>1356.3157894736848</v>
      </c>
      <c r="AB31" s="187">
        <v>75.350877192982495</v>
      </c>
      <c r="AC31" s="319">
        <f t="shared" si="13"/>
        <v>5</v>
      </c>
      <c r="AD31" s="629"/>
      <c r="AE31" s="187">
        <v>18</v>
      </c>
      <c r="AF31" s="187">
        <v>1372.7272727272727</v>
      </c>
      <c r="AG31" s="187">
        <v>76.26262626262627</v>
      </c>
      <c r="AH31" s="319">
        <f t="shared" si="14"/>
        <v>4</v>
      </c>
      <c r="AI31" s="629"/>
      <c r="AJ31" s="187">
        <v>18</v>
      </c>
      <c r="AK31" s="187">
        <v>1335.348837209302</v>
      </c>
      <c r="AL31" s="187">
        <v>74.186046511627893</v>
      </c>
      <c r="AM31" s="319">
        <f t="shared" si="15"/>
        <v>5</v>
      </c>
      <c r="AN31" s="629"/>
      <c r="AO31" s="187">
        <v>18</v>
      </c>
      <c r="AP31" s="187">
        <v>1368.5106382978724</v>
      </c>
      <c r="AQ31" s="187">
        <v>76.028368794326241</v>
      </c>
      <c r="AR31" s="319">
        <f t="shared" si="16"/>
        <v>5</v>
      </c>
      <c r="AS31" s="629"/>
      <c r="AT31" s="187">
        <v>18</v>
      </c>
      <c r="AU31" s="187">
        <v>1388.5714285714278</v>
      </c>
      <c r="AV31" s="187">
        <v>77.142857142857096</v>
      </c>
      <c r="AW31" s="319">
        <f t="shared" si="17"/>
        <v>4</v>
      </c>
      <c r="AX31" s="629"/>
    </row>
    <row r="32" spans="2:54">
      <c r="B32" s="598"/>
      <c r="C32" s="319">
        <v>6</v>
      </c>
      <c r="D32" s="231" t="s">
        <v>475</v>
      </c>
      <c r="E32" s="187">
        <v>9</v>
      </c>
      <c r="F32" s="319">
        <v>1500</v>
      </c>
      <c r="G32" s="322">
        <v>166.66666666666666</v>
      </c>
      <c r="H32" s="633"/>
      <c r="I32" s="204">
        <f t="shared" si="18"/>
        <v>8.5714285714285712</v>
      </c>
      <c r="J32" s="204">
        <f t="shared" si="19"/>
        <v>1256.5118024266344</v>
      </c>
      <c r="K32" s="205">
        <f t="shared" si="20"/>
        <v>147.44679817760647</v>
      </c>
      <c r="L32" s="572"/>
      <c r="M32" s="206">
        <f>RANK(K32, K$27:$K$41)</f>
        <v>1</v>
      </c>
      <c r="N32" s="590"/>
      <c r="O32" s="590"/>
      <c r="P32" s="187">
        <f>'[1]（５-7）品群別人時生產性(熱食義麵) '!P12</f>
        <v>9</v>
      </c>
      <c r="Q32" s="187">
        <f>'[1]（５-7）品群別人時生產性(熱食義麵) '!Q12</f>
        <v>1338.6206896551735</v>
      </c>
      <c r="R32" s="187">
        <f>'[1]（５-7）品群別人時生產性(熱食義麵) '!R12</f>
        <v>148.73563218390817</v>
      </c>
      <c r="S32" s="319">
        <f t="shared" si="11"/>
        <v>1</v>
      </c>
      <c r="T32" s="629"/>
      <c r="U32" s="187">
        <v>9</v>
      </c>
      <c r="V32" s="187">
        <v>1193.7931034482767</v>
      </c>
      <c r="W32" s="187">
        <v>132.64367816091965</v>
      </c>
      <c r="X32" s="319">
        <f t="shared" si="12"/>
        <v>1</v>
      </c>
      <c r="Y32" s="629"/>
      <c r="Z32" s="187">
        <v>9</v>
      </c>
      <c r="AA32" s="187">
        <v>1153.0434782608695</v>
      </c>
      <c r="AB32" s="187">
        <v>128.1159420289855</v>
      </c>
      <c r="AC32" s="319">
        <f t="shared" si="13"/>
        <v>1</v>
      </c>
      <c r="AD32" s="629"/>
      <c r="AE32" s="187">
        <v>8</v>
      </c>
      <c r="AF32" s="187">
        <v>1171.4285714285711</v>
      </c>
      <c r="AG32" s="187">
        <v>146.42857142857139</v>
      </c>
      <c r="AH32" s="319">
        <f t="shared" si="14"/>
        <v>1</v>
      </c>
      <c r="AI32" s="629"/>
      <c r="AJ32" s="187">
        <v>9</v>
      </c>
      <c r="AK32" s="187">
        <v>1161.6000000000004</v>
      </c>
      <c r="AL32" s="187">
        <v>129.06666666666672</v>
      </c>
      <c r="AM32" s="319">
        <f t="shared" si="15"/>
        <v>1</v>
      </c>
      <c r="AN32" s="629"/>
      <c r="AO32" s="187">
        <v>8</v>
      </c>
      <c r="AP32" s="187">
        <v>1370.0000000000011</v>
      </c>
      <c r="AQ32" s="187">
        <v>171.25000000000014</v>
      </c>
      <c r="AR32" s="319">
        <f t="shared" si="16"/>
        <v>1</v>
      </c>
      <c r="AS32" s="629"/>
      <c r="AT32" s="187">
        <v>8</v>
      </c>
      <c r="AU32" s="187">
        <v>1407.0967741935497</v>
      </c>
      <c r="AV32" s="187">
        <v>175.88709677419371</v>
      </c>
      <c r="AW32" s="319">
        <f t="shared" si="17"/>
        <v>1</v>
      </c>
      <c r="AX32" s="629"/>
    </row>
    <row r="33" spans="2:50">
      <c r="B33" s="598"/>
      <c r="C33" s="319">
        <v>7</v>
      </c>
      <c r="D33" s="231" t="s">
        <v>642</v>
      </c>
      <c r="E33" s="187">
        <v>18</v>
      </c>
      <c r="F33" s="319">
        <v>1636</v>
      </c>
      <c r="G33" s="322">
        <v>90.888888888888886</v>
      </c>
      <c r="H33" s="633"/>
      <c r="I33" s="204">
        <f t="shared" si="18"/>
        <v>18</v>
      </c>
      <c r="J33" s="204">
        <f t="shared" si="19"/>
        <v>1385.7487006029608</v>
      </c>
      <c r="K33" s="205">
        <f t="shared" si="20"/>
        <v>76.986038922386697</v>
      </c>
      <c r="L33" s="572"/>
      <c r="M33" s="206">
        <f>RANK(K33, K$27:$K$41)</f>
        <v>4</v>
      </c>
      <c r="N33" s="590"/>
      <c r="O33" s="590"/>
      <c r="P33" s="187">
        <f>'[1]（５-7）品群別人時生產性(熱食義麵) '!P13</f>
        <v>18</v>
      </c>
      <c r="Q33" s="187">
        <f>'[1]（５-7）品群別人時生產性(熱食義麵) '!Q13</f>
        <v>1404.3243243243244</v>
      </c>
      <c r="R33" s="187">
        <f>'[1]（５-7）品群別人時生產性(熱食義麵) '!R13</f>
        <v>78.018018018018026</v>
      </c>
      <c r="S33" s="319">
        <f t="shared" si="11"/>
        <v>4</v>
      </c>
      <c r="T33" s="629"/>
      <c r="U33" s="187">
        <v>18</v>
      </c>
      <c r="V33" s="187">
        <v>1362.4528301886794</v>
      </c>
      <c r="W33" s="187">
        <v>75.691823899371073</v>
      </c>
      <c r="X33" s="319">
        <f t="shared" si="12"/>
        <v>5</v>
      </c>
      <c r="Y33" s="629"/>
      <c r="Z33" s="187">
        <v>18</v>
      </c>
      <c r="AA33" s="187">
        <v>1405.5</v>
      </c>
      <c r="AB33" s="187">
        <v>78.083333333333329</v>
      </c>
      <c r="AC33" s="319">
        <f t="shared" si="13"/>
        <v>3</v>
      </c>
      <c r="AD33" s="629"/>
      <c r="AE33" s="187">
        <v>18</v>
      </c>
      <c r="AF33" s="187">
        <v>1370.6493506493505</v>
      </c>
      <c r="AG33" s="187">
        <v>76.147186147186133</v>
      </c>
      <c r="AH33" s="319">
        <f t="shared" si="14"/>
        <v>5</v>
      </c>
      <c r="AI33" s="629"/>
      <c r="AJ33" s="187">
        <v>18</v>
      </c>
      <c r="AK33" s="187">
        <v>1404.2857142857144</v>
      </c>
      <c r="AL33" s="187">
        <v>78.015873015873026</v>
      </c>
      <c r="AM33" s="319">
        <f t="shared" si="15"/>
        <v>3</v>
      </c>
      <c r="AN33" s="629"/>
      <c r="AO33" s="187">
        <v>18</v>
      </c>
      <c r="AP33" s="187">
        <v>1382.5862068965514</v>
      </c>
      <c r="AQ33" s="187">
        <v>76.810344827586192</v>
      </c>
      <c r="AR33" s="319">
        <f t="shared" si="16"/>
        <v>4</v>
      </c>
      <c r="AS33" s="629"/>
      <c r="AT33" s="187">
        <v>18</v>
      </c>
      <c r="AU33" s="187">
        <v>1370.4424778761061</v>
      </c>
      <c r="AV33" s="187">
        <v>76.135693215339231</v>
      </c>
      <c r="AW33" s="319">
        <f t="shared" si="17"/>
        <v>5</v>
      </c>
      <c r="AX33" s="629"/>
    </row>
    <row r="34" spans="2:50">
      <c r="B34" s="598"/>
      <c r="C34" s="319">
        <v>8</v>
      </c>
      <c r="D34" s="231" t="s">
        <v>660</v>
      </c>
      <c r="E34" s="187">
        <v>18</v>
      </c>
      <c r="F34" s="319">
        <v>1636</v>
      </c>
      <c r="G34" s="322">
        <v>90.888888888888886</v>
      </c>
      <c r="H34" s="633"/>
      <c r="I34" s="465">
        <f t="shared" ref="I34:I36" si="21">AVERAGE(P34,U34,Z34,AE34,AJ34,AO34,AT34)</f>
        <v>16.142857142857142</v>
      </c>
      <c r="J34" s="465">
        <f t="shared" ref="J34:J36" si="22">AVERAGE(Q34,V34,AA34,AF34,AK34,AP34,AU34)</f>
        <v>1369.4127010061104</v>
      </c>
      <c r="K34" s="205">
        <f t="shared" ref="K34:K36" si="23">AVERAGE(R34,W34,AB34,AG34,AL34,AQ34,AV34)</f>
        <v>84.873763814836153</v>
      </c>
      <c r="L34" s="572"/>
      <c r="M34" s="206">
        <f>RANK(K34, K$27:$K$41)</f>
        <v>2</v>
      </c>
      <c r="N34" s="590"/>
      <c r="O34" s="590"/>
      <c r="P34" s="187">
        <f>'[1]（５-7）品群別人時生產性(熱食義麵) '!P14</f>
        <v>16</v>
      </c>
      <c r="Q34" s="187">
        <f>'[1]（５-7）品群別人時生產性(熱食義麵) '!Q14</f>
        <v>1385.853658536585</v>
      </c>
      <c r="R34" s="187">
        <f>'[1]（５-7）品群別人時生產性(熱食義麵) '!R14</f>
        <v>86.615853658536565</v>
      </c>
      <c r="S34" s="319">
        <f t="shared" si="11"/>
        <v>2</v>
      </c>
      <c r="T34" s="629"/>
      <c r="U34" s="187">
        <v>16</v>
      </c>
      <c r="V34" s="187">
        <v>1392.8571428571424</v>
      </c>
      <c r="W34" s="187">
        <v>87.053571428571402</v>
      </c>
      <c r="X34" s="319">
        <f t="shared" si="12"/>
        <v>2</v>
      </c>
      <c r="Y34" s="629"/>
      <c r="Z34" s="187">
        <v>16</v>
      </c>
      <c r="AA34" s="187">
        <v>1347.42857142857</v>
      </c>
      <c r="AB34" s="187">
        <v>84.214285714285623</v>
      </c>
      <c r="AC34" s="319">
        <f t="shared" si="13"/>
        <v>2</v>
      </c>
      <c r="AD34" s="629"/>
      <c r="AE34" s="187">
        <v>16</v>
      </c>
      <c r="AF34" s="187">
        <v>1377.9310344827597</v>
      </c>
      <c r="AG34" s="187">
        <v>86.120689655172484</v>
      </c>
      <c r="AH34" s="319">
        <f t="shared" si="14"/>
        <v>2</v>
      </c>
      <c r="AI34" s="629"/>
      <c r="AJ34" s="187">
        <v>16</v>
      </c>
      <c r="AK34" s="187">
        <v>1364.2105263157885</v>
      </c>
      <c r="AL34" s="187">
        <v>85.263157894736779</v>
      </c>
      <c r="AM34" s="319">
        <f t="shared" si="15"/>
        <v>2</v>
      </c>
      <c r="AN34" s="629"/>
      <c r="AO34" s="187">
        <v>17</v>
      </c>
      <c r="AP34" s="187">
        <v>1360.4651162790694</v>
      </c>
      <c r="AQ34" s="187">
        <v>80.027359781121731</v>
      </c>
      <c r="AR34" s="319">
        <f t="shared" si="16"/>
        <v>3</v>
      </c>
      <c r="AS34" s="629"/>
      <c r="AT34" s="187">
        <v>16</v>
      </c>
      <c r="AU34" s="187">
        <v>1357.1428571428567</v>
      </c>
      <c r="AV34" s="187">
        <v>84.821428571428541</v>
      </c>
      <c r="AW34" s="319">
        <f t="shared" si="17"/>
        <v>2</v>
      </c>
      <c r="AX34" s="629"/>
    </row>
    <row r="35" spans="2:50">
      <c r="B35" s="598"/>
      <c r="C35" s="319">
        <v>9</v>
      </c>
      <c r="D35" s="231" t="s">
        <v>661</v>
      </c>
      <c r="E35" s="187">
        <v>20</v>
      </c>
      <c r="F35" s="319">
        <v>1300</v>
      </c>
      <c r="G35" s="322">
        <v>65</v>
      </c>
      <c r="H35" s="633"/>
      <c r="I35" s="465">
        <f t="shared" si="21"/>
        <v>18.428571428571427</v>
      </c>
      <c r="J35" s="465">
        <f t="shared" si="22"/>
        <v>1020.220968184131</v>
      </c>
      <c r="K35" s="205">
        <f t="shared" si="23"/>
        <v>55.320171978477525</v>
      </c>
      <c r="L35" s="572"/>
      <c r="M35" s="206">
        <f>RANK(K35, K$27:$K$41)</f>
        <v>10</v>
      </c>
      <c r="N35" s="590"/>
      <c r="O35" s="590"/>
      <c r="P35" s="187">
        <f>'[1]（５-7）品群別人時生產性(熱食義麵) '!P15</f>
        <v>19</v>
      </c>
      <c r="Q35" s="187">
        <f>'[1]（５-7）品群別人時生產性(熱食義麵) '!Q15</f>
        <v>1042.1052631578939</v>
      </c>
      <c r="R35" s="187">
        <f>'[1]（５-7）品群別人時生產性(熱食義麵) '!R15</f>
        <v>54.847645429362835</v>
      </c>
      <c r="S35" s="319">
        <f t="shared" si="11"/>
        <v>10</v>
      </c>
      <c r="T35" s="629"/>
      <c r="U35" s="187">
        <v>18</v>
      </c>
      <c r="V35" s="187">
        <v>1093.8461538461531</v>
      </c>
      <c r="W35" s="187">
        <v>60.769230769230731</v>
      </c>
      <c r="X35" s="319">
        <f t="shared" si="12"/>
        <v>10</v>
      </c>
      <c r="Y35" s="629"/>
      <c r="Z35" s="187">
        <v>18</v>
      </c>
      <c r="AA35" s="187">
        <v>915.42857142857054</v>
      </c>
      <c r="AB35" s="187">
        <v>50.857142857142804</v>
      </c>
      <c r="AC35" s="319">
        <f t="shared" si="13"/>
        <v>10</v>
      </c>
      <c r="AD35" s="629"/>
      <c r="AE35" s="187">
        <v>18</v>
      </c>
      <c r="AF35" s="187">
        <v>939.37499999999875</v>
      </c>
      <c r="AG35" s="187">
        <v>52.187499999999929</v>
      </c>
      <c r="AH35" s="319">
        <f t="shared" si="14"/>
        <v>10</v>
      </c>
      <c r="AI35" s="629"/>
      <c r="AJ35" s="187">
        <v>18</v>
      </c>
      <c r="AK35" s="187">
        <v>939.9999999999992</v>
      </c>
      <c r="AL35" s="187">
        <v>52.222222222222179</v>
      </c>
      <c r="AM35" s="319">
        <f t="shared" si="15"/>
        <v>10</v>
      </c>
      <c r="AN35" s="629"/>
      <c r="AO35" s="187">
        <v>19</v>
      </c>
      <c r="AP35" s="187">
        <v>1138.0645161290304</v>
      </c>
      <c r="AQ35" s="187">
        <v>59.898132427843706</v>
      </c>
      <c r="AR35" s="319">
        <f t="shared" si="16"/>
        <v>10</v>
      </c>
      <c r="AS35" s="629"/>
      <c r="AT35" s="187">
        <v>19</v>
      </c>
      <c r="AU35" s="187">
        <v>1072.7272727272712</v>
      </c>
      <c r="AV35" s="187">
        <v>56.459330143540591</v>
      </c>
      <c r="AW35" s="319">
        <f t="shared" si="17"/>
        <v>10</v>
      </c>
      <c r="AX35" s="629"/>
    </row>
    <row r="36" spans="2:50">
      <c r="B36" s="598"/>
      <c r="C36" s="319">
        <v>10</v>
      </c>
      <c r="D36" s="231" t="s">
        <v>706</v>
      </c>
      <c r="E36" s="187">
        <v>19</v>
      </c>
      <c r="F36" s="319">
        <v>1440</v>
      </c>
      <c r="G36" s="322">
        <v>75.78947368421052</v>
      </c>
      <c r="H36" s="633"/>
      <c r="I36" s="465">
        <f t="shared" si="21"/>
        <v>19</v>
      </c>
      <c r="J36" s="465">
        <f t="shared" si="22"/>
        <v>1297.7468064123466</v>
      </c>
      <c r="K36" s="205">
        <f t="shared" si="23"/>
        <v>68.302463495386675</v>
      </c>
      <c r="L36" s="572"/>
      <c r="M36" s="206">
        <f>RANK(K36, K$27:$K$41)</f>
        <v>8</v>
      </c>
      <c r="N36" s="590"/>
      <c r="O36" s="590"/>
      <c r="P36" s="187">
        <f>'[1]（５-7）品群別人時生產性(熱食義麵) '!P16</f>
        <v>19</v>
      </c>
      <c r="Q36" s="187">
        <f>'[1]（５-7）品群別人時生產性(熱食義麵) '!Q16</f>
        <v>1306.6959183673468</v>
      </c>
      <c r="R36" s="187">
        <f>'[1]（５-7）品群別人時生產性(熱食義麵) '!R16</f>
        <v>68.7734693877551</v>
      </c>
      <c r="S36" s="319">
        <f t="shared" si="11"/>
        <v>9</v>
      </c>
      <c r="T36" s="629"/>
      <c r="U36" s="187">
        <v>19</v>
      </c>
      <c r="V36" s="187">
        <v>1291.9865546218491</v>
      </c>
      <c r="W36" s="187">
        <v>67.999292348518381</v>
      </c>
      <c r="X36" s="319">
        <f t="shared" si="12"/>
        <v>8</v>
      </c>
      <c r="Y36" s="629"/>
      <c r="Z36" s="187">
        <v>19</v>
      </c>
      <c r="AA36" s="187">
        <v>1319.3437499999998</v>
      </c>
      <c r="AB36" s="187">
        <v>69.439144736842096</v>
      </c>
      <c r="AC36" s="319">
        <f t="shared" si="13"/>
        <v>9</v>
      </c>
      <c r="AD36" s="629"/>
      <c r="AE36" s="187">
        <v>19</v>
      </c>
      <c r="AF36" s="187">
        <v>1292.5301204819273</v>
      </c>
      <c r="AG36" s="187">
        <v>68.027901077996177</v>
      </c>
      <c r="AH36" s="319">
        <f t="shared" si="14"/>
        <v>9</v>
      </c>
      <c r="AI36" s="629"/>
      <c r="AJ36" s="187">
        <v>19</v>
      </c>
      <c r="AK36" s="187">
        <v>1311.1764705882358</v>
      </c>
      <c r="AL36" s="187">
        <v>69.009287925696626</v>
      </c>
      <c r="AM36" s="319">
        <f t="shared" si="15"/>
        <v>8</v>
      </c>
      <c r="AN36" s="629"/>
      <c r="AO36" s="187">
        <v>19</v>
      </c>
      <c r="AP36" s="187">
        <v>1284.5625</v>
      </c>
      <c r="AQ36" s="187">
        <v>67.608552631578945</v>
      </c>
      <c r="AR36" s="319">
        <f t="shared" si="16"/>
        <v>8</v>
      </c>
      <c r="AS36" s="629"/>
      <c r="AT36" s="187">
        <v>19</v>
      </c>
      <c r="AU36" s="187">
        <v>1277.9323308270677</v>
      </c>
      <c r="AV36" s="187">
        <v>67.25959635931936</v>
      </c>
      <c r="AW36" s="319">
        <f t="shared" si="17"/>
        <v>9</v>
      </c>
      <c r="AX36" s="629"/>
    </row>
    <row r="37" spans="2:50">
      <c r="B37" s="598"/>
      <c r="C37" s="319">
        <v>11</v>
      </c>
      <c r="D37" s="231"/>
      <c r="E37" s="187"/>
      <c r="F37" s="319"/>
      <c r="G37" s="322"/>
      <c r="H37" s="633"/>
      <c r="I37" s="207"/>
      <c r="J37" s="207"/>
      <c r="K37" s="207"/>
      <c r="L37" s="572"/>
      <c r="M37" s="206" t="e">
        <f>RANK(K37, K$27:$K$41)</f>
        <v>#N/A</v>
      </c>
      <c r="N37" s="590"/>
      <c r="O37" s="590"/>
      <c r="P37" s="187"/>
      <c r="Q37" s="187"/>
      <c r="R37" s="187"/>
      <c r="S37" s="319" t="e">
        <f t="shared" si="11"/>
        <v>#N/A</v>
      </c>
      <c r="T37" s="629"/>
      <c r="U37" s="187"/>
      <c r="V37" s="187"/>
      <c r="W37" s="187"/>
      <c r="X37" s="319" t="e">
        <f t="shared" si="12"/>
        <v>#N/A</v>
      </c>
      <c r="Y37" s="629"/>
      <c r="Z37" s="187"/>
      <c r="AA37" s="187"/>
      <c r="AB37" s="187"/>
      <c r="AC37" s="319" t="e">
        <f t="shared" si="13"/>
        <v>#N/A</v>
      </c>
      <c r="AD37" s="629"/>
      <c r="AE37" s="187"/>
      <c r="AF37" s="187"/>
      <c r="AG37" s="187"/>
      <c r="AH37" s="319" t="e">
        <f t="shared" si="14"/>
        <v>#N/A</v>
      </c>
      <c r="AI37" s="629"/>
      <c r="AJ37" s="187"/>
      <c r="AK37" s="187"/>
      <c r="AL37" s="187"/>
      <c r="AM37" s="319" t="e">
        <f t="shared" si="15"/>
        <v>#N/A</v>
      </c>
      <c r="AN37" s="629"/>
      <c r="AO37" s="187"/>
      <c r="AP37" s="187"/>
      <c r="AQ37" s="187"/>
      <c r="AR37" s="319" t="e">
        <f t="shared" si="16"/>
        <v>#N/A</v>
      </c>
      <c r="AS37" s="629"/>
      <c r="AT37" s="187"/>
      <c r="AU37" s="187"/>
      <c r="AV37" s="187"/>
      <c r="AW37" s="319" t="e">
        <f t="shared" si="17"/>
        <v>#N/A</v>
      </c>
      <c r="AX37" s="629"/>
    </row>
    <row r="38" spans="2:50">
      <c r="B38" s="598"/>
      <c r="C38" s="319">
        <v>12</v>
      </c>
      <c r="D38" s="231"/>
      <c r="E38" s="187"/>
      <c r="F38" s="319"/>
      <c r="G38" s="322"/>
      <c r="H38" s="633"/>
      <c r="I38" s="207"/>
      <c r="J38" s="207"/>
      <c r="K38" s="207"/>
      <c r="L38" s="572"/>
      <c r="M38" s="206" t="e">
        <f>RANK(K38, K$27:$K$41)</f>
        <v>#N/A</v>
      </c>
      <c r="N38" s="590"/>
      <c r="O38" s="590"/>
      <c r="P38" s="187"/>
      <c r="Q38" s="187"/>
      <c r="R38" s="187"/>
      <c r="S38" s="319" t="e">
        <f t="shared" si="11"/>
        <v>#N/A</v>
      </c>
      <c r="T38" s="629"/>
      <c r="U38" s="187"/>
      <c r="V38" s="187"/>
      <c r="W38" s="187"/>
      <c r="X38" s="319" t="e">
        <f t="shared" si="12"/>
        <v>#N/A</v>
      </c>
      <c r="Y38" s="629"/>
      <c r="Z38" s="187"/>
      <c r="AA38" s="187"/>
      <c r="AB38" s="187"/>
      <c r="AC38" s="319" t="e">
        <f t="shared" si="13"/>
        <v>#N/A</v>
      </c>
      <c r="AD38" s="629"/>
      <c r="AE38" s="187"/>
      <c r="AF38" s="187"/>
      <c r="AG38" s="187"/>
      <c r="AH38" s="319" t="e">
        <f t="shared" si="14"/>
        <v>#N/A</v>
      </c>
      <c r="AI38" s="629"/>
      <c r="AJ38" s="187"/>
      <c r="AK38" s="187"/>
      <c r="AL38" s="187"/>
      <c r="AM38" s="319" t="e">
        <f t="shared" si="15"/>
        <v>#N/A</v>
      </c>
      <c r="AN38" s="629"/>
      <c r="AO38" s="187"/>
      <c r="AP38" s="187"/>
      <c r="AQ38" s="187"/>
      <c r="AR38" s="319" t="e">
        <f t="shared" si="16"/>
        <v>#N/A</v>
      </c>
      <c r="AS38" s="629"/>
      <c r="AT38" s="187"/>
      <c r="AU38" s="187"/>
      <c r="AV38" s="187"/>
      <c r="AW38" s="319" t="e">
        <f t="shared" si="17"/>
        <v>#N/A</v>
      </c>
      <c r="AX38" s="629"/>
    </row>
    <row r="39" spans="2:50">
      <c r="B39" s="598"/>
      <c r="C39" s="319">
        <v>13</v>
      </c>
      <c r="D39" s="231"/>
      <c r="E39" s="187"/>
      <c r="F39" s="319"/>
      <c r="G39" s="322"/>
      <c r="H39" s="633"/>
      <c r="I39" s="207"/>
      <c r="J39" s="207"/>
      <c r="K39" s="207"/>
      <c r="L39" s="572"/>
      <c r="M39" s="206" t="e">
        <f>RANK(K39, K$27:$K$41)</f>
        <v>#N/A</v>
      </c>
      <c r="N39" s="590"/>
      <c r="O39" s="590"/>
      <c r="P39" s="187"/>
      <c r="Q39" s="187"/>
      <c r="R39" s="187"/>
      <c r="S39" s="319" t="e">
        <f t="shared" si="11"/>
        <v>#N/A</v>
      </c>
      <c r="T39" s="629"/>
      <c r="U39" s="187"/>
      <c r="V39" s="187"/>
      <c r="W39" s="187"/>
      <c r="X39" s="319" t="e">
        <f t="shared" si="12"/>
        <v>#N/A</v>
      </c>
      <c r="Y39" s="629"/>
      <c r="Z39" s="187"/>
      <c r="AA39" s="187"/>
      <c r="AB39" s="187"/>
      <c r="AC39" s="319" t="e">
        <f t="shared" si="13"/>
        <v>#N/A</v>
      </c>
      <c r="AD39" s="629"/>
      <c r="AE39" s="187"/>
      <c r="AF39" s="187"/>
      <c r="AG39" s="187"/>
      <c r="AH39" s="319" t="e">
        <f t="shared" si="14"/>
        <v>#N/A</v>
      </c>
      <c r="AI39" s="629"/>
      <c r="AJ39" s="187"/>
      <c r="AK39" s="187"/>
      <c r="AL39" s="187"/>
      <c r="AM39" s="319" t="e">
        <f t="shared" si="15"/>
        <v>#N/A</v>
      </c>
      <c r="AN39" s="629"/>
      <c r="AO39" s="187"/>
      <c r="AP39" s="187"/>
      <c r="AQ39" s="187"/>
      <c r="AR39" s="319" t="e">
        <f t="shared" si="16"/>
        <v>#N/A</v>
      </c>
      <c r="AS39" s="629"/>
      <c r="AT39" s="187"/>
      <c r="AU39" s="187"/>
      <c r="AV39" s="187"/>
      <c r="AW39" s="319" t="e">
        <f t="shared" si="17"/>
        <v>#N/A</v>
      </c>
      <c r="AX39" s="629"/>
    </row>
    <row r="40" spans="2:50">
      <c r="B40" s="598"/>
      <c r="C40" s="319">
        <v>14</v>
      </c>
      <c r="D40" s="231"/>
      <c r="E40" s="187"/>
      <c r="F40" s="319"/>
      <c r="G40" s="322"/>
      <c r="H40" s="633"/>
      <c r="I40" s="207"/>
      <c r="J40" s="207"/>
      <c r="K40" s="207"/>
      <c r="L40" s="572"/>
      <c r="M40" s="206" t="e">
        <f>RANK(K40, K$27:$K$41)</f>
        <v>#N/A</v>
      </c>
      <c r="N40" s="590"/>
      <c r="O40" s="590"/>
      <c r="P40" s="187"/>
      <c r="Q40" s="187"/>
      <c r="R40" s="187"/>
      <c r="S40" s="319" t="e">
        <f t="shared" si="11"/>
        <v>#N/A</v>
      </c>
      <c r="T40" s="629"/>
      <c r="U40" s="187"/>
      <c r="V40" s="187"/>
      <c r="W40" s="187"/>
      <c r="X40" s="319" t="e">
        <f t="shared" si="12"/>
        <v>#N/A</v>
      </c>
      <c r="Y40" s="629"/>
      <c r="Z40" s="187"/>
      <c r="AA40" s="187"/>
      <c r="AB40" s="187"/>
      <c r="AC40" s="319" t="e">
        <f t="shared" si="13"/>
        <v>#N/A</v>
      </c>
      <c r="AD40" s="629"/>
      <c r="AE40" s="187"/>
      <c r="AF40" s="187"/>
      <c r="AG40" s="187"/>
      <c r="AH40" s="319" t="e">
        <f t="shared" si="14"/>
        <v>#N/A</v>
      </c>
      <c r="AI40" s="629"/>
      <c r="AJ40" s="187"/>
      <c r="AK40" s="187"/>
      <c r="AL40" s="187"/>
      <c r="AM40" s="319" t="e">
        <f t="shared" si="15"/>
        <v>#N/A</v>
      </c>
      <c r="AN40" s="629"/>
      <c r="AO40" s="187"/>
      <c r="AP40" s="187"/>
      <c r="AQ40" s="187"/>
      <c r="AR40" s="319" t="e">
        <f t="shared" si="16"/>
        <v>#N/A</v>
      </c>
      <c r="AS40" s="629"/>
      <c r="AT40" s="187"/>
      <c r="AU40" s="187"/>
      <c r="AV40" s="187"/>
      <c r="AW40" s="319" t="e">
        <f t="shared" si="17"/>
        <v>#N/A</v>
      </c>
      <c r="AX40" s="629"/>
    </row>
    <row r="41" spans="2:50">
      <c r="B41" s="598"/>
      <c r="C41" s="319">
        <v>15</v>
      </c>
      <c r="D41" s="231"/>
      <c r="E41" s="187"/>
      <c r="F41" s="319"/>
      <c r="G41" s="322"/>
      <c r="H41" s="634"/>
      <c r="I41" s="207"/>
      <c r="J41" s="207"/>
      <c r="K41" s="207"/>
      <c r="L41" s="573"/>
      <c r="M41" s="204" t="e">
        <f>RANK(K41, K$27:$K$41)</f>
        <v>#N/A</v>
      </c>
      <c r="N41" s="590"/>
      <c r="O41" s="590"/>
      <c r="P41" s="187"/>
      <c r="Q41" s="187"/>
      <c r="R41" s="187"/>
      <c r="S41" s="319" t="e">
        <f t="shared" si="11"/>
        <v>#N/A</v>
      </c>
      <c r="T41" s="629"/>
      <c r="U41" s="187"/>
      <c r="V41" s="187"/>
      <c r="W41" s="187"/>
      <c r="X41" s="319" t="e">
        <f t="shared" si="12"/>
        <v>#N/A</v>
      </c>
      <c r="Y41" s="629"/>
      <c r="Z41" s="187"/>
      <c r="AA41" s="187"/>
      <c r="AB41" s="187"/>
      <c r="AC41" s="319" t="e">
        <f t="shared" si="13"/>
        <v>#N/A</v>
      </c>
      <c r="AD41" s="629"/>
      <c r="AE41" s="187"/>
      <c r="AF41" s="187"/>
      <c r="AG41" s="187"/>
      <c r="AH41" s="319" t="e">
        <f t="shared" si="14"/>
        <v>#N/A</v>
      </c>
      <c r="AI41" s="629"/>
      <c r="AJ41" s="187"/>
      <c r="AK41" s="187"/>
      <c r="AL41" s="187"/>
      <c r="AM41" s="319" t="e">
        <f t="shared" si="15"/>
        <v>#N/A</v>
      </c>
      <c r="AN41" s="629"/>
      <c r="AO41" s="187"/>
      <c r="AP41" s="187"/>
      <c r="AQ41" s="187"/>
      <c r="AR41" s="319" t="e">
        <f t="shared" si="16"/>
        <v>#N/A</v>
      </c>
      <c r="AS41" s="629"/>
      <c r="AT41" s="187"/>
      <c r="AU41" s="187"/>
      <c r="AV41" s="187"/>
      <c r="AW41" s="319" t="e">
        <f t="shared" si="17"/>
        <v>#N/A</v>
      </c>
      <c r="AX41" s="629"/>
    </row>
    <row r="42" spans="2:50" ht="15.75">
      <c r="B42" s="615" t="s">
        <v>163</v>
      </c>
      <c r="C42" s="616"/>
      <c r="D42" s="616"/>
      <c r="E42" s="616"/>
      <c r="F42" s="616"/>
      <c r="G42" s="616"/>
      <c r="H42" s="616"/>
      <c r="I42" s="213"/>
      <c r="J42" s="208"/>
      <c r="K42" s="213"/>
      <c r="L42" s="213"/>
      <c r="M42" s="209"/>
      <c r="N42" s="591" t="s">
        <v>156</v>
      </c>
      <c r="O42" s="591" t="s">
        <v>105</v>
      </c>
      <c r="P42" s="597">
        <f>P22+7</f>
        <v>45944</v>
      </c>
      <c r="Q42" s="598"/>
      <c r="R42" s="598"/>
      <c r="S42" s="598"/>
      <c r="T42" s="598"/>
      <c r="U42" s="594">
        <f>P42+1</f>
        <v>45945</v>
      </c>
      <c r="V42" s="595"/>
      <c r="W42" s="595"/>
      <c r="X42" s="595"/>
      <c r="Y42" s="596"/>
      <c r="Z42" s="594">
        <f>U42+1</f>
        <v>45946</v>
      </c>
      <c r="AA42" s="595"/>
      <c r="AB42" s="595"/>
      <c r="AC42" s="595"/>
      <c r="AD42" s="596"/>
      <c r="AE42" s="594">
        <f>Z42+1</f>
        <v>45947</v>
      </c>
      <c r="AF42" s="595"/>
      <c r="AG42" s="595"/>
      <c r="AH42" s="595"/>
      <c r="AI42" s="596"/>
      <c r="AJ42" s="594">
        <f>AE42+1</f>
        <v>45948</v>
      </c>
      <c r="AK42" s="595"/>
      <c r="AL42" s="595"/>
      <c r="AM42" s="595"/>
      <c r="AN42" s="596"/>
      <c r="AO42" s="594">
        <f>AJ42+1</f>
        <v>45949</v>
      </c>
      <c r="AP42" s="595"/>
      <c r="AQ42" s="595"/>
      <c r="AR42" s="595"/>
      <c r="AS42" s="596"/>
      <c r="AT42" s="594">
        <f>AO42+1</f>
        <v>45950</v>
      </c>
      <c r="AU42" s="595"/>
      <c r="AV42" s="595"/>
      <c r="AW42" s="595"/>
      <c r="AX42" s="596"/>
    </row>
    <row r="43" spans="2:50" ht="15.75">
      <c r="B43" s="605"/>
      <c r="C43" s="605"/>
      <c r="D43" s="605"/>
      <c r="E43" s="605"/>
      <c r="F43" s="605"/>
      <c r="G43" s="605"/>
      <c r="H43" s="605"/>
      <c r="I43" s="210"/>
      <c r="J43" s="210"/>
      <c r="K43" s="210"/>
      <c r="L43" s="210"/>
      <c r="M43" s="211"/>
      <c r="N43" s="593"/>
      <c r="O43" s="593"/>
      <c r="P43" s="597" t="s">
        <v>336</v>
      </c>
      <c r="Q43" s="598"/>
      <c r="R43" s="598"/>
      <c r="S43" s="598"/>
      <c r="T43" s="598"/>
      <c r="U43" s="597" t="s">
        <v>337</v>
      </c>
      <c r="V43" s="598"/>
      <c r="W43" s="598"/>
      <c r="X43" s="598"/>
      <c r="Y43" s="598"/>
      <c r="Z43" s="597" t="s">
        <v>338</v>
      </c>
      <c r="AA43" s="598"/>
      <c r="AB43" s="598"/>
      <c r="AC43" s="598"/>
      <c r="AD43" s="598"/>
      <c r="AE43" s="597" t="s">
        <v>339</v>
      </c>
      <c r="AF43" s="598"/>
      <c r="AG43" s="598"/>
      <c r="AH43" s="598"/>
      <c r="AI43" s="598"/>
      <c r="AJ43" s="597" t="s">
        <v>340</v>
      </c>
      <c r="AK43" s="598"/>
      <c r="AL43" s="598"/>
      <c r="AM43" s="598"/>
      <c r="AN43" s="598"/>
      <c r="AO43" s="597" t="s">
        <v>341</v>
      </c>
      <c r="AP43" s="598"/>
      <c r="AQ43" s="598"/>
      <c r="AR43" s="598"/>
      <c r="AS43" s="598"/>
      <c r="AT43" s="597" t="s">
        <v>342</v>
      </c>
      <c r="AU43" s="598"/>
      <c r="AV43" s="598"/>
      <c r="AW43" s="598"/>
      <c r="AX43" s="598"/>
    </row>
    <row r="44" spans="2:50">
      <c r="B44" s="590" t="s">
        <v>444</v>
      </c>
      <c r="C44" s="590" t="s">
        <v>454</v>
      </c>
      <c r="D44" s="590"/>
      <c r="E44" s="590" t="s">
        <v>445</v>
      </c>
      <c r="F44" s="590"/>
      <c r="G44" s="590"/>
      <c r="H44" s="606" t="s">
        <v>441</v>
      </c>
      <c r="I44" s="574" t="s">
        <v>446</v>
      </c>
      <c r="J44" s="574"/>
      <c r="K44" s="574"/>
      <c r="L44" s="575" t="s">
        <v>441</v>
      </c>
      <c r="M44" s="581" t="s">
        <v>442</v>
      </c>
      <c r="N44" s="590"/>
      <c r="O44" s="590" t="s">
        <v>447</v>
      </c>
      <c r="P44" s="587" t="s">
        <v>443</v>
      </c>
      <c r="Q44" s="588"/>
      <c r="R44" s="588"/>
      <c r="S44" s="589"/>
      <c r="T44" s="590" t="s">
        <v>441</v>
      </c>
      <c r="U44" s="587" t="s">
        <v>443</v>
      </c>
      <c r="V44" s="588"/>
      <c r="W44" s="588"/>
      <c r="X44" s="589"/>
      <c r="Y44" s="590" t="s">
        <v>441</v>
      </c>
      <c r="Z44" s="587" t="s">
        <v>443</v>
      </c>
      <c r="AA44" s="588"/>
      <c r="AB44" s="588"/>
      <c r="AC44" s="589"/>
      <c r="AD44" s="590" t="s">
        <v>441</v>
      </c>
      <c r="AE44" s="587" t="s">
        <v>443</v>
      </c>
      <c r="AF44" s="588"/>
      <c r="AG44" s="588"/>
      <c r="AH44" s="589"/>
      <c r="AI44" s="590" t="s">
        <v>441</v>
      </c>
      <c r="AJ44" s="587" t="s">
        <v>443</v>
      </c>
      <c r="AK44" s="588"/>
      <c r="AL44" s="588"/>
      <c r="AM44" s="589"/>
      <c r="AN44" s="590" t="s">
        <v>441</v>
      </c>
      <c r="AO44" s="587" t="s">
        <v>443</v>
      </c>
      <c r="AP44" s="588"/>
      <c r="AQ44" s="588"/>
      <c r="AR44" s="589"/>
      <c r="AS44" s="590" t="s">
        <v>441</v>
      </c>
      <c r="AT44" s="587" t="s">
        <v>443</v>
      </c>
      <c r="AU44" s="588"/>
      <c r="AV44" s="588"/>
      <c r="AW44" s="589"/>
      <c r="AX44" s="590" t="s">
        <v>441</v>
      </c>
    </row>
    <row r="45" spans="2:50">
      <c r="B45" s="590"/>
      <c r="C45" s="590"/>
      <c r="D45" s="590"/>
      <c r="E45" s="590" t="s">
        <v>448</v>
      </c>
      <c r="F45" s="590"/>
      <c r="G45" s="590"/>
      <c r="H45" s="607"/>
      <c r="I45" s="574" t="s">
        <v>448</v>
      </c>
      <c r="J45" s="574"/>
      <c r="K45" s="574"/>
      <c r="L45" s="576"/>
      <c r="M45" s="582"/>
      <c r="N45" s="590"/>
      <c r="O45" s="590"/>
      <c r="P45" s="587" t="s">
        <v>449</v>
      </c>
      <c r="Q45" s="588"/>
      <c r="R45" s="588"/>
      <c r="S45" s="589"/>
      <c r="T45" s="590"/>
      <c r="U45" s="587" t="s">
        <v>449</v>
      </c>
      <c r="V45" s="588"/>
      <c r="W45" s="588"/>
      <c r="X45" s="589"/>
      <c r="Y45" s="590"/>
      <c r="Z45" s="587" t="s">
        <v>449</v>
      </c>
      <c r="AA45" s="588"/>
      <c r="AB45" s="588"/>
      <c r="AC45" s="589"/>
      <c r="AD45" s="590"/>
      <c r="AE45" s="587" t="s">
        <v>449</v>
      </c>
      <c r="AF45" s="588"/>
      <c r="AG45" s="588"/>
      <c r="AH45" s="589"/>
      <c r="AI45" s="590"/>
      <c r="AJ45" s="587" t="s">
        <v>449</v>
      </c>
      <c r="AK45" s="588"/>
      <c r="AL45" s="588"/>
      <c r="AM45" s="589"/>
      <c r="AN45" s="590"/>
      <c r="AO45" s="587" t="s">
        <v>449</v>
      </c>
      <c r="AP45" s="588"/>
      <c r="AQ45" s="588"/>
      <c r="AR45" s="589"/>
      <c r="AS45" s="590"/>
      <c r="AT45" s="587" t="s">
        <v>449</v>
      </c>
      <c r="AU45" s="588"/>
      <c r="AV45" s="588"/>
      <c r="AW45" s="589"/>
      <c r="AX45" s="590"/>
    </row>
    <row r="46" spans="2:50">
      <c r="B46" s="590"/>
      <c r="C46" s="590"/>
      <c r="D46" s="590"/>
      <c r="E46" s="318" t="s">
        <v>450</v>
      </c>
      <c r="F46" s="318" t="s">
        <v>451</v>
      </c>
      <c r="G46" s="318" t="s">
        <v>452</v>
      </c>
      <c r="H46" s="608"/>
      <c r="I46" s="317" t="s">
        <v>450</v>
      </c>
      <c r="J46" s="317" t="s">
        <v>451</v>
      </c>
      <c r="K46" s="317" t="s">
        <v>452</v>
      </c>
      <c r="L46" s="577"/>
      <c r="M46" s="583"/>
      <c r="N46" s="590"/>
      <c r="O46" s="590"/>
      <c r="P46" s="318" t="s">
        <v>450</v>
      </c>
      <c r="Q46" s="318" t="s">
        <v>451</v>
      </c>
      <c r="R46" s="318" t="s">
        <v>452</v>
      </c>
      <c r="S46" s="318" t="s">
        <v>442</v>
      </c>
      <c r="T46" s="590"/>
      <c r="U46" s="318" t="s">
        <v>450</v>
      </c>
      <c r="V46" s="318" t="s">
        <v>451</v>
      </c>
      <c r="W46" s="318" t="s">
        <v>452</v>
      </c>
      <c r="X46" s="318" t="s">
        <v>442</v>
      </c>
      <c r="Y46" s="590"/>
      <c r="Z46" s="318" t="s">
        <v>450</v>
      </c>
      <c r="AA46" s="318" t="s">
        <v>451</v>
      </c>
      <c r="AB46" s="318" t="s">
        <v>452</v>
      </c>
      <c r="AC46" s="318" t="s">
        <v>442</v>
      </c>
      <c r="AD46" s="590"/>
      <c r="AE46" s="318" t="s">
        <v>450</v>
      </c>
      <c r="AF46" s="318" t="s">
        <v>451</v>
      </c>
      <c r="AG46" s="318" t="s">
        <v>452</v>
      </c>
      <c r="AH46" s="318" t="s">
        <v>442</v>
      </c>
      <c r="AI46" s="590"/>
      <c r="AJ46" s="318" t="s">
        <v>450</v>
      </c>
      <c r="AK46" s="318" t="s">
        <v>451</v>
      </c>
      <c r="AL46" s="318" t="s">
        <v>452</v>
      </c>
      <c r="AM46" s="318" t="s">
        <v>442</v>
      </c>
      <c r="AN46" s="590"/>
      <c r="AO46" s="318" t="s">
        <v>450</v>
      </c>
      <c r="AP46" s="318" t="s">
        <v>451</v>
      </c>
      <c r="AQ46" s="318" t="s">
        <v>452</v>
      </c>
      <c r="AR46" s="318" t="s">
        <v>442</v>
      </c>
      <c r="AS46" s="590"/>
      <c r="AT46" s="318" t="s">
        <v>450</v>
      </c>
      <c r="AU46" s="318" t="s">
        <v>451</v>
      </c>
      <c r="AV46" s="318" t="s">
        <v>452</v>
      </c>
      <c r="AW46" s="318" t="s">
        <v>442</v>
      </c>
      <c r="AX46" s="590"/>
    </row>
    <row r="47" spans="2:50">
      <c r="B47" s="590" t="s">
        <v>456</v>
      </c>
      <c r="C47" s="319">
        <v>1</v>
      </c>
      <c r="D47" s="231" t="s">
        <v>406</v>
      </c>
      <c r="E47" s="187">
        <v>19</v>
      </c>
      <c r="F47" s="319">
        <v>1636</v>
      </c>
      <c r="G47" s="322">
        <v>86.10526315789474</v>
      </c>
      <c r="H47" s="632">
        <f>AVERAGE(G47:G61)</f>
        <v>91.261647434093248</v>
      </c>
      <c r="I47" s="204">
        <f>AVERAGE(P47,U47,Z47,AE47,AJ47,AO47,AT47)</f>
        <v>19</v>
      </c>
      <c r="J47" s="204">
        <f>AVERAGE(Q47,V47,AA47,AF47,AK47,AP47,AU47)</f>
        <v>1384.2961599011858</v>
      </c>
      <c r="K47" s="205">
        <f>AVERAGE(R47,W47,AB47,AG47,AL47,AQ47,AV47)</f>
        <v>72.857692626378196</v>
      </c>
      <c r="L47" s="571">
        <f>IFERROR(AVERAGE(K47:K61),"-")</f>
        <v>80.852359337406156</v>
      </c>
      <c r="M47" s="206">
        <f>RANK(K47, K$47:$K$61)</f>
        <v>7</v>
      </c>
      <c r="N47" s="590"/>
      <c r="O47" s="590"/>
      <c r="P47" s="187">
        <v>19</v>
      </c>
      <c r="Q47" s="187">
        <v>1362.3529411764707</v>
      </c>
      <c r="R47" s="187">
        <v>71.702786377708989</v>
      </c>
      <c r="S47" s="319">
        <f>RANK(R47, R$47:R$61)</f>
        <v>7</v>
      </c>
      <c r="T47" s="629">
        <f>AVERAGE(R47:R61)</f>
        <v>81.004526379330642</v>
      </c>
      <c r="U47" s="187">
        <v>19</v>
      </c>
      <c r="V47" s="187">
        <v>1375.8</v>
      </c>
      <c r="W47" s="187">
        <v>72.410526315789468</v>
      </c>
      <c r="X47" s="346">
        <f>RANK(W47, W$47:W$61)</f>
        <v>6</v>
      </c>
      <c r="Y47" s="629">
        <f>AVERAGE(W47:W61)</f>
        <v>81.006667534685036</v>
      </c>
      <c r="Z47" s="187">
        <v>19</v>
      </c>
      <c r="AA47" s="187">
        <v>1373.4</v>
      </c>
      <c r="AB47" s="187">
        <v>72.284210526315789</v>
      </c>
      <c r="AC47" s="346">
        <f>RANK(AB47, AB$47:AB$61)</f>
        <v>7</v>
      </c>
      <c r="AD47" s="629">
        <f>AVERAGE(AB47:AB61)</f>
        <v>81.82714804745136</v>
      </c>
      <c r="AE47" s="187">
        <v>19</v>
      </c>
      <c r="AF47" s="187">
        <v>1413.0769230769231</v>
      </c>
      <c r="AG47" s="187">
        <v>74.372469635627525</v>
      </c>
      <c r="AH47" s="346">
        <f>RANK(AG47, AG$47:AG$61)</f>
        <v>5</v>
      </c>
      <c r="AI47" s="629">
        <f>AVERAGE(AG47:AG61)</f>
        <v>78.924333876991312</v>
      </c>
      <c r="AJ47" s="187">
        <v>19</v>
      </c>
      <c r="AK47" s="187">
        <v>1387.4074074074076</v>
      </c>
      <c r="AL47" s="187">
        <v>73.02144249512672</v>
      </c>
      <c r="AM47" s="346">
        <f>RANK(AL47, AL$47:AL$61)</f>
        <v>7</v>
      </c>
      <c r="AN47" s="629">
        <f>AVERAGE(AL47:AL61)</f>
        <v>79.569097209641455</v>
      </c>
      <c r="AO47" s="187">
        <v>19</v>
      </c>
      <c r="AP47" s="187">
        <v>1382.3076923076924</v>
      </c>
      <c r="AQ47" s="187">
        <v>72.753036437246962</v>
      </c>
      <c r="AR47" s="346">
        <f>RANK(AQ47, AQ$47:AQ$61)</f>
        <v>7</v>
      </c>
      <c r="AS47" s="629">
        <f>AVERAGE(AQ47:AQ61)</f>
        <v>81.817188929424475</v>
      </c>
      <c r="AT47" s="187">
        <v>19</v>
      </c>
      <c r="AU47" s="187">
        <v>1395.7281553398057</v>
      </c>
      <c r="AV47" s="187">
        <v>73.459376596831873</v>
      </c>
      <c r="AW47" s="346">
        <f>RANK(AV47, AV$47:AV$61)</f>
        <v>6</v>
      </c>
      <c r="AX47" s="629">
        <f>AVERAGE(AV47:AV61)</f>
        <v>81.817553384318813</v>
      </c>
    </row>
    <row r="48" spans="2:50">
      <c r="B48" s="598"/>
      <c r="C48" s="319">
        <v>2</v>
      </c>
      <c r="D48" s="231" t="s">
        <v>590</v>
      </c>
      <c r="E48" s="187">
        <v>19</v>
      </c>
      <c r="F48" s="319">
        <v>1440</v>
      </c>
      <c r="G48" s="322">
        <v>75.78947368421052</v>
      </c>
      <c r="H48" s="633"/>
      <c r="I48" s="204">
        <f t="shared" ref="I48:I53" si="24">AVERAGE(P48,U48,Z48,AE48,AJ48,AO48,AT48)</f>
        <v>18.142857142857142</v>
      </c>
      <c r="J48" s="204">
        <f t="shared" ref="J48:J53" si="25">AVERAGE(Q48,V48,AA48,AF48,AK48,AP48,AU48)</f>
        <v>1338.4693714988655</v>
      </c>
      <c r="K48" s="205">
        <f t="shared" ref="K48:K53" si="26">AVERAGE(R48,W48,AB48,AG48,AL48,AQ48,AV48)</f>
        <v>73.799477952745562</v>
      </c>
      <c r="L48" s="572"/>
      <c r="M48" s="206">
        <f>RANK(K48, K$47:$K$61)</f>
        <v>6</v>
      </c>
      <c r="N48" s="590"/>
      <c r="O48" s="590"/>
      <c r="P48" s="187">
        <v>18</v>
      </c>
      <c r="Q48" s="187">
        <v>1333.4399999999998</v>
      </c>
      <c r="R48" s="187">
        <v>74.079999999999984</v>
      </c>
      <c r="S48" s="346">
        <f t="shared" ref="S48:S61" si="27">RANK(R48, R$47:R$61)</f>
        <v>6</v>
      </c>
      <c r="T48" s="629"/>
      <c r="U48" s="187">
        <v>19</v>
      </c>
      <c r="V48" s="187">
        <v>1340.4761904761908</v>
      </c>
      <c r="W48" s="187">
        <v>70.551378446115308</v>
      </c>
      <c r="X48" s="346">
        <f t="shared" ref="X48:X61" si="28">RANK(W48, W$47:W$61)</f>
        <v>8</v>
      </c>
      <c r="Y48" s="629"/>
      <c r="Z48" s="187">
        <v>18</v>
      </c>
      <c r="AA48" s="187">
        <v>1357.9487179487176</v>
      </c>
      <c r="AB48" s="187">
        <v>75.441595441595425</v>
      </c>
      <c r="AC48" s="346">
        <f t="shared" ref="AC48:AC61" si="29">RANK(AB48, AB$47:AB$61)</f>
        <v>6</v>
      </c>
      <c r="AD48" s="629"/>
      <c r="AE48" s="187">
        <v>18</v>
      </c>
      <c r="AF48" s="187">
        <v>1304.6938775510207</v>
      </c>
      <c r="AG48" s="187">
        <v>72.48299319727893</v>
      </c>
      <c r="AH48" s="346">
        <f t="shared" ref="AH48:AH61" si="30">RANK(AG48, AG$47:AG$61)</f>
        <v>7</v>
      </c>
      <c r="AI48" s="629"/>
      <c r="AJ48" s="187">
        <v>18</v>
      </c>
      <c r="AK48" s="187">
        <v>1369.9999999999998</v>
      </c>
      <c r="AL48" s="187">
        <v>76.1111111111111</v>
      </c>
      <c r="AM48" s="346">
        <f t="shared" ref="AM48:AM61" si="31">RANK(AL48, AL$47:AL$61)</f>
        <v>6</v>
      </c>
      <c r="AN48" s="629"/>
      <c r="AO48" s="187">
        <v>18</v>
      </c>
      <c r="AP48" s="187">
        <v>1350.4687500000002</v>
      </c>
      <c r="AQ48" s="187">
        <v>75.026041666666686</v>
      </c>
      <c r="AR48" s="346">
        <f t="shared" ref="AR48:AR61" si="32">RANK(AQ48, AQ$47:AQ$61)</f>
        <v>6</v>
      </c>
      <c r="AS48" s="629"/>
      <c r="AT48" s="187">
        <v>18</v>
      </c>
      <c r="AU48" s="187">
        <v>1312.2580645161293</v>
      </c>
      <c r="AV48" s="187">
        <v>72.90322580645163</v>
      </c>
      <c r="AW48" s="346">
        <f t="shared" ref="AW48:AW61" si="33">RANK(AV48, AV$47:AV$61)</f>
        <v>7</v>
      </c>
      <c r="AX48" s="629"/>
    </row>
    <row r="49" spans="2:50">
      <c r="B49" s="598"/>
      <c r="C49" s="319">
        <v>3</v>
      </c>
      <c r="D49" s="231" t="s">
        <v>351</v>
      </c>
      <c r="E49" s="187">
        <v>17</v>
      </c>
      <c r="F49" s="319">
        <v>1636</v>
      </c>
      <c r="G49" s="322">
        <v>96.235294117647058</v>
      </c>
      <c r="H49" s="633"/>
      <c r="I49" s="204">
        <f t="shared" si="24"/>
        <v>17.857142857142858</v>
      </c>
      <c r="J49" s="204">
        <f t="shared" si="25"/>
        <v>1387.2167425609714</v>
      </c>
      <c r="K49" s="205">
        <f t="shared" si="26"/>
        <v>77.721328458670811</v>
      </c>
      <c r="L49" s="572"/>
      <c r="M49" s="206">
        <f>RANK(K49, K$47:$K$61)</f>
        <v>3</v>
      </c>
      <c r="N49" s="590"/>
      <c r="O49" s="590"/>
      <c r="P49" s="187">
        <v>18</v>
      </c>
      <c r="Q49" s="187">
        <v>1383.1760479041916</v>
      </c>
      <c r="R49" s="187">
        <v>76.843113772455084</v>
      </c>
      <c r="S49" s="346">
        <f t="shared" si="27"/>
        <v>2</v>
      </c>
      <c r="T49" s="629"/>
      <c r="U49" s="187">
        <v>18</v>
      </c>
      <c r="V49" s="187">
        <v>1365.913043478261</v>
      </c>
      <c r="W49" s="187">
        <v>75.884057971014499</v>
      </c>
      <c r="X49" s="346">
        <f t="shared" si="28"/>
        <v>4</v>
      </c>
      <c r="Y49" s="629"/>
      <c r="Z49" s="187">
        <v>17</v>
      </c>
      <c r="AA49" s="187">
        <v>1400.2931937172773</v>
      </c>
      <c r="AB49" s="187">
        <v>82.370187865722187</v>
      </c>
      <c r="AC49" s="346">
        <f t="shared" si="29"/>
        <v>2</v>
      </c>
      <c r="AD49" s="629"/>
      <c r="AE49" s="187">
        <v>18</v>
      </c>
      <c r="AF49" s="187">
        <v>1426.4999999999998</v>
      </c>
      <c r="AG49" s="187">
        <v>79.249999999999986</v>
      </c>
      <c r="AH49" s="346">
        <f t="shared" si="30"/>
        <v>3</v>
      </c>
      <c r="AI49" s="629"/>
      <c r="AJ49" s="187">
        <v>18</v>
      </c>
      <c r="AK49" s="187">
        <v>1392.2519083969466</v>
      </c>
      <c r="AL49" s="187">
        <v>77.34732824427482</v>
      </c>
      <c r="AM49" s="346">
        <f t="shared" si="31"/>
        <v>4</v>
      </c>
      <c r="AN49" s="629"/>
      <c r="AO49" s="187">
        <v>18</v>
      </c>
      <c r="AP49" s="187">
        <v>1362.4615384615383</v>
      </c>
      <c r="AQ49" s="187">
        <v>75.692307692307679</v>
      </c>
      <c r="AR49" s="346">
        <f t="shared" si="32"/>
        <v>5</v>
      </c>
      <c r="AS49" s="629"/>
      <c r="AT49" s="187">
        <v>18</v>
      </c>
      <c r="AU49" s="187">
        <v>1379.9214659685861</v>
      </c>
      <c r="AV49" s="187">
        <v>76.662303664921453</v>
      </c>
      <c r="AW49" s="346">
        <f t="shared" si="33"/>
        <v>5</v>
      </c>
      <c r="AX49" s="629"/>
    </row>
    <row r="50" spans="2:50">
      <c r="B50" s="598"/>
      <c r="C50" s="319">
        <v>4</v>
      </c>
      <c r="D50" s="231" t="s">
        <v>440</v>
      </c>
      <c r="E50" s="187">
        <v>22</v>
      </c>
      <c r="F50" s="319">
        <v>1636</v>
      </c>
      <c r="G50" s="322">
        <v>74.36363636363636</v>
      </c>
      <c r="H50" s="633"/>
      <c r="I50" s="204">
        <f t="shared" si="24"/>
        <v>20.571428571428573</v>
      </c>
      <c r="J50" s="204">
        <f t="shared" si="25"/>
        <v>1386.0802968734001</v>
      </c>
      <c r="K50" s="205">
        <f t="shared" si="26"/>
        <v>67.475945095545669</v>
      </c>
      <c r="L50" s="572"/>
      <c r="M50" s="206">
        <f>RANK(K50, K$47:$K$61)</f>
        <v>8</v>
      </c>
      <c r="N50" s="590"/>
      <c r="O50" s="590"/>
      <c r="P50" s="187">
        <v>21</v>
      </c>
      <c r="Q50" s="187">
        <v>1379.9999999999998</v>
      </c>
      <c r="R50" s="187">
        <v>65.714285714285708</v>
      </c>
      <c r="S50" s="346">
        <f t="shared" si="27"/>
        <v>8</v>
      </c>
      <c r="T50" s="629"/>
      <c r="U50" s="187">
        <v>21</v>
      </c>
      <c r="V50" s="187">
        <v>1397.2413793103447</v>
      </c>
      <c r="W50" s="187">
        <v>66.535303776683079</v>
      </c>
      <c r="X50" s="346">
        <f t="shared" si="28"/>
        <v>9</v>
      </c>
      <c r="Y50" s="629"/>
      <c r="Z50" s="187">
        <v>22</v>
      </c>
      <c r="AA50" s="187">
        <v>1360.4819277108429</v>
      </c>
      <c r="AB50" s="187">
        <v>61.840087623220136</v>
      </c>
      <c r="AC50" s="346">
        <f t="shared" si="29"/>
        <v>9</v>
      </c>
      <c r="AD50" s="629"/>
      <c r="AE50" s="187">
        <v>20</v>
      </c>
      <c r="AF50" s="187">
        <v>1380</v>
      </c>
      <c r="AG50" s="187">
        <v>69</v>
      </c>
      <c r="AH50" s="346">
        <f t="shared" si="30"/>
        <v>8</v>
      </c>
      <c r="AI50" s="629"/>
      <c r="AJ50" s="187">
        <v>20</v>
      </c>
      <c r="AK50" s="187">
        <v>1408.7323943661975</v>
      </c>
      <c r="AL50" s="187">
        <v>70.436619718309871</v>
      </c>
      <c r="AM50" s="346">
        <f t="shared" si="31"/>
        <v>8</v>
      </c>
      <c r="AN50" s="629"/>
      <c r="AO50" s="187">
        <v>20</v>
      </c>
      <c r="AP50" s="187">
        <v>1379.2771084337344</v>
      </c>
      <c r="AQ50" s="187">
        <v>68.963855421686716</v>
      </c>
      <c r="AR50" s="346">
        <f t="shared" si="32"/>
        <v>8</v>
      </c>
      <c r="AS50" s="629"/>
      <c r="AT50" s="187">
        <v>20</v>
      </c>
      <c r="AU50" s="187">
        <v>1396.8292682926826</v>
      </c>
      <c r="AV50" s="187">
        <v>69.841463414634134</v>
      </c>
      <c r="AW50" s="346">
        <f t="shared" si="33"/>
        <v>8</v>
      </c>
      <c r="AX50" s="629"/>
    </row>
    <row r="51" spans="2:50">
      <c r="B51" s="598"/>
      <c r="C51" s="319">
        <v>5</v>
      </c>
      <c r="D51" s="231" t="s">
        <v>468</v>
      </c>
      <c r="E51" s="187">
        <v>18</v>
      </c>
      <c r="F51" s="319">
        <v>1636</v>
      </c>
      <c r="G51" s="322">
        <v>90.888888888888886</v>
      </c>
      <c r="H51" s="633"/>
      <c r="I51" s="204">
        <f t="shared" si="24"/>
        <v>18</v>
      </c>
      <c r="J51" s="204">
        <f t="shared" si="25"/>
        <v>1372.0851281855373</v>
      </c>
      <c r="K51" s="205">
        <f t="shared" si="26"/>
        <v>76.226951565863175</v>
      </c>
      <c r="L51" s="572"/>
      <c r="M51" s="206">
        <f>RANK(K51, K$47:$K$61)</f>
        <v>5</v>
      </c>
      <c r="N51" s="590"/>
      <c r="O51" s="590"/>
      <c r="P51" s="187">
        <v>18</v>
      </c>
      <c r="Q51" s="187">
        <v>1354.8837209302335</v>
      </c>
      <c r="R51" s="187">
        <v>75.271317829457416</v>
      </c>
      <c r="S51" s="346">
        <f t="shared" si="27"/>
        <v>5</v>
      </c>
      <c r="T51" s="629"/>
      <c r="U51" s="187">
        <v>18</v>
      </c>
      <c r="V51" s="187">
        <v>1372.8571428571438</v>
      </c>
      <c r="W51" s="187">
        <v>76.269841269841322</v>
      </c>
      <c r="X51" s="346">
        <f t="shared" si="28"/>
        <v>3</v>
      </c>
      <c r="Y51" s="629"/>
      <c r="Z51" s="187">
        <v>18</v>
      </c>
      <c r="AA51" s="187">
        <v>1375.7142857142867</v>
      </c>
      <c r="AB51" s="187">
        <v>76.428571428571487</v>
      </c>
      <c r="AC51" s="346">
        <f t="shared" si="29"/>
        <v>3</v>
      </c>
      <c r="AD51" s="629"/>
      <c r="AE51" s="187">
        <v>18</v>
      </c>
      <c r="AF51" s="187">
        <v>1323.5294117647059</v>
      </c>
      <c r="AG51" s="187">
        <v>73.529411764705884</v>
      </c>
      <c r="AH51" s="346">
        <f t="shared" si="30"/>
        <v>6</v>
      </c>
      <c r="AI51" s="629"/>
      <c r="AJ51" s="187">
        <v>18</v>
      </c>
      <c r="AK51" s="187">
        <v>1373.6842105263163</v>
      </c>
      <c r="AL51" s="187">
        <v>76.315789473684234</v>
      </c>
      <c r="AM51" s="346">
        <f t="shared" si="31"/>
        <v>5</v>
      </c>
      <c r="AN51" s="629"/>
      <c r="AO51" s="187">
        <v>18</v>
      </c>
      <c r="AP51" s="187">
        <v>1390.7692307692316</v>
      </c>
      <c r="AQ51" s="187">
        <v>77.264957264957317</v>
      </c>
      <c r="AR51" s="346">
        <f t="shared" si="32"/>
        <v>4</v>
      </c>
      <c r="AS51" s="629"/>
      <c r="AT51" s="187">
        <v>18</v>
      </c>
      <c r="AU51" s="187">
        <v>1413.1578947368425</v>
      </c>
      <c r="AV51" s="187">
        <v>78.50877192982459</v>
      </c>
      <c r="AW51" s="346">
        <f t="shared" si="33"/>
        <v>3</v>
      </c>
      <c r="AX51" s="629"/>
    </row>
    <row r="52" spans="2:50">
      <c r="B52" s="598"/>
      <c r="C52" s="319">
        <v>6</v>
      </c>
      <c r="D52" s="231" t="s">
        <v>475</v>
      </c>
      <c r="E52" s="187">
        <v>9</v>
      </c>
      <c r="F52" s="319">
        <v>1500</v>
      </c>
      <c r="G52" s="322">
        <v>166.66666666666666</v>
      </c>
      <c r="H52" s="633"/>
      <c r="I52" s="204">
        <f t="shared" si="24"/>
        <v>8</v>
      </c>
      <c r="J52" s="204">
        <f t="shared" si="25"/>
        <v>1334.0423588048507</v>
      </c>
      <c r="K52" s="205">
        <f t="shared" si="26"/>
        <v>166.75529485060633</v>
      </c>
      <c r="L52" s="572"/>
      <c r="M52" s="206">
        <f>RANK(K52, K$47:$K$61)</f>
        <v>1</v>
      </c>
      <c r="N52" s="590"/>
      <c r="O52" s="590"/>
      <c r="P52" s="187">
        <v>8</v>
      </c>
      <c r="Q52" s="187">
        <v>1392.3529411764723</v>
      </c>
      <c r="R52" s="187">
        <v>174.04411764705904</v>
      </c>
      <c r="S52" s="346">
        <f t="shared" si="27"/>
        <v>1</v>
      </c>
      <c r="T52" s="629"/>
      <c r="U52" s="187">
        <v>8</v>
      </c>
      <c r="V52" s="187">
        <v>1393.5483870967755</v>
      </c>
      <c r="W52" s="187">
        <v>174.19354838709694</v>
      </c>
      <c r="X52" s="346">
        <f t="shared" si="28"/>
        <v>1</v>
      </c>
      <c r="Y52" s="629"/>
      <c r="Z52" s="187">
        <v>8</v>
      </c>
      <c r="AA52" s="187">
        <v>1361.3793103448286</v>
      </c>
      <c r="AB52" s="187">
        <v>170.17241379310357</v>
      </c>
      <c r="AC52" s="346">
        <f t="shared" si="29"/>
        <v>1</v>
      </c>
      <c r="AD52" s="629"/>
      <c r="AE52" s="187">
        <v>8</v>
      </c>
      <c r="AF52" s="187">
        <v>1180.7142857142867</v>
      </c>
      <c r="AG52" s="187">
        <v>147.58928571428584</v>
      </c>
      <c r="AH52" s="346">
        <f t="shared" si="30"/>
        <v>1</v>
      </c>
      <c r="AI52" s="629"/>
      <c r="AJ52" s="187">
        <v>8</v>
      </c>
      <c r="AK52" s="187">
        <v>1204.444444444445</v>
      </c>
      <c r="AL52" s="187">
        <v>150.55555555555563</v>
      </c>
      <c r="AM52" s="346">
        <f t="shared" si="31"/>
        <v>1</v>
      </c>
      <c r="AN52" s="629"/>
      <c r="AO52" s="187">
        <v>8</v>
      </c>
      <c r="AP52" s="187">
        <v>1398.0000000000014</v>
      </c>
      <c r="AQ52" s="187">
        <v>174.75000000000017</v>
      </c>
      <c r="AR52" s="346">
        <f t="shared" si="32"/>
        <v>1</v>
      </c>
      <c r="AS52" s="629"/>
      <c r="AT52" s="187">
        <v>8</v>
      </c>
      <c r="AU52" s="187">
        <v>1407.857142857144</v>
      </c>
      <c r="AV52" s="187">
        <v>175.982142857143</v>
      </c>
      <c r="AW52" s="346">
        <f t="shared" si="33"/>
        <v>1</v>
      </c>
      <c r="AX52" s="629"/>
    </row>
    <row r="53" spans="2:50">
      <c r="B53" s="598"/>
      <c r="C53" s="319">
        <v>7</v>
      </c>
      <c r="D53" s="231" t="s">
        <v>642</v>
      </c>
      <c r="E53" s="187">
        <v>18</v>
      </c>
      <c r="F53" s="319">
        <v>1636</v>
      </c>
      <c r="G53" s="322">
        <v>90.888888888888886</v>
      </c>
      <c r="H53" s="633"/>
      <c r="I53" s="204">
        <f t="shared" si="24"/>
        <v>18</v>
      </c>
      <c r="J53" s="204">
        <f t="shared" si="25"/>
        <v>1386.8571819535427</v>
      </c>
      <c r="K53" s="205">
        <f t="shared" si="26"/>
        <v>77.047621219641272</v>
      </c>
      <c r="L53" s="572"/>
      <c r="M53" s="206">
        <f>RANK(K53, K$47:$K$61)</f>
        <v>4</v>
      </c>
      <c r="N53" s="590"/>
      <c r="O53" s="590"/>
      <c r="P53" s="187">
        <v>18</v>
      </c>
      <c r="Q53" s="187">
        <v>1355.6603773584907</v>
      </c>
      <c r="R53" s="187">
        <v>75.314465408805034</v>
      </c>
      <c r="S53" s="346">
        <f t="shared" si="27"/>
        <v>4</v>
      </c>
      <c r="T53" s="629"/>
      <c r="U53" s="187">
        <v>18</v>
      </c>
      <c r="V53" s="187">
        <v>1401.9076923076923</v>
      </c>
      <c r="W53" s="187">
        <v>77.883760683760684</v>
      </c>
      <c r="X53" s="346">
        <f t="shared" si="28"/>
        <v>2</v>
      </c>
      <c r="Y53" s="629"/>
      <c r="Z53" s="187">
        <v>18</v>
      </c>
      <c r="AA53" s="187">
        <v>1373.6538461538464</v>
      </c>
      <c r="AB53" s="187">
        <v>76.314102564102583</v>
      </c>
      <c r="AC53" s="346">
        <f t="shared" si="29"/>
        <v>4</v>
      </c>
      <c r="AD53" s="629"/>
      <c r="AE53" s="187">
        <v>18</v>
      </c>
      <c r="AF53" s="187">
        <v>1373.0232558139533</v>
      </c>
      <c r="AG53" s="187">
        <v>76.279069767441854</v>
      </c>
      <c r="AH53" s="346">
        <f t="shared" si="30"/>
        <v>4</v>
      </c>
      <c r="AI53" s="629"/>
      <c r="AJ53" s="187">
        <v>18</v>
      </c>
      <c r="AK53" s="187">
        <v>1413.5714285714289</v>
      </c>
      <c r="AL53" s="187">
        <v>78.531746031746053</v>
      </c>
      <c r="AM53" s="346">
        <f t="shared" si="31"/>
        <v>3</v>
      </c>
      <c r="AN53" s="629"/>
      <c r="AO53" s="187">
        <v>18</v>
      </c>
      <c r="AP53" s="187">
        <v>1401</v>
      </c>
      <c r="AQ53" s="187">
        <v>77.833333333333329</v>
      </c>
      <c r="AR53" s="346">
        <f t="shared" si="32"/>
        <v>3</v>
      </c>
      <c r="AS53" s="629"/>
      <c r="AT53" s="187">
        <v>18</v>
      </c>
      <c r="AU53" s="187">
        <v>1389.1836734693875</v>
      </c>
      <c r="AV53" s="187">
        <v>77.176870748299308</v>
      </c>
      <c r="AW53" s="346">
        <f t="shared" si="33"/>
        <v>4</v>
      </c>
      <c r="AX53" s="629"/>
    </row>
    <row r="54" spans="2:50">
      <c r="B54" s="598"/>
      <c r="C54" s="319">
        <v>8</v>
      </c>
      <c r="D54" s="231" t="s">
        <v>660</v>
      </c>
      <c r="E54" s="187">
        <v>18</v>
      </c>
      <c r="F54" s="319">
        <v>1636</v>
      </c>
      <c r="G54" s="322">
        <v>90.888888888888886</v>
      </c>
      <c r="H54" s="633"/>
      <c r="I54" s="470">
        <f t="shared" ref="I54:I56" si="34">AVERAGE(P54,U54,Z54,AE54,AJ54,AO54,AT54)</f>
        <v>17.428571428571427</v>
      </c>
      <c r="J54" s="470">
        <f t="shared" ref="J54:J56" si="35">AVERAGE(Q54,V54,AA54,AF54,AK54,AP54,AU54)</f>
        <v>1377.1754794582655</v>
      </c>
      <c r="K54" s="205">
        <f t="shared" ref="K54:K56" si="36">AVERAGE(R54,W54,AB54,AG54,AL54,AQ54,AV54)</f>
        <v>79.095374380845101</v>
      </c>
      <c r="L54" s="572"/>
      <c r="M54" s="206">
        <f>RANK(K54, K$47:$K$61)</f>
        <v>2</v>
      </c>
      <c r="N54" s="590"/>
      <c r="O54" s="590"/>
      <c r="P54" s="187">
        <v>18</v>
      </c>
      <c r="Q54" s="187">
        <v>1370.4950495049497</v>
      </c>
      <c r="R54" s="187">
        <v>76.138613861386091</v>
      </c>
      <c r="S54" s="346">
        <f t="shared" si="27"/>
        <v>3</v>
      </c>
      <c r="T54" s="629"/>
      <c r="U54" s="187">
        <v>18</v>
      </c>
      <c r="V54" s="187">
        <v>1361.0204081632658</v>
      </c>
      <c r="W54" s="187">
        <v>75.612244897959215</v>
      </c>
      <c r="X54" s="346">
        <f t="shared" si="28"/>
        <v>5</v>
      </c>
      <c r="Y54" s="629"/>
      <c r="Z54" s="187">
        <v>18</v>
      </c>
      <c r="AA54" s="187">
        <v>1370.3030303030307</v>
      </c>
      <c r="AB54" s="187">
        <v>76.127946127946146</v>
      </c>
      <c r="AC54" s="346">
        <f t="shared" si="29"/>
        <v>5</v>
      </c>
      <c r="AD54" s="629"/>
      <c r="AE54" s="187">
        <v>17</v>
      </c>
      <c r="AF54" s="187">
        <v>1409.9999999999998</v>
      </c>
      <c r="AG54" s="187">
        <v>82.941176470588218</v>
      </c>
      <c r="AH54" s="346">
        <f t="shared" si="30"/>
        <v>2</v>
      </c>
      <c r="AI54" s="629"/>
      <c r="AJ54" s="187">
        <v>17</v>
      </c>
      <c r="AK54" s="187">
        <v>1380.7317073170727</v>
      </c>
      <c r="AL54" s="187">
        <v>81.219512195121922</v>
      </c>
      <c r="AM54" s="346">
        <f t="shared" si="31"/>
        <v>2</v>
      </c>
      <c r="AN54" s="629"/>
      <c r="AO54" s="187">
        <v>17</v>
      </c>
      <c r="AP54" s="187">
        <v>1397.3333333333333</v>
      </c>
      <c r="AQ54" s="187">
        <v>82.196078431372541</v>
      </c>
      <c r="AR54" s="346">
        <f t="shared" si="32"/>
        <v>2</v>
      </c>
      <c r="AS54" s="629"/>
      <c r="AT54" s="187">
        <v>17</v>
      </c>
      <c r="AU54" s="187">
        <v>1350.3448275862065</v>
      </c>
      <c r="AV54" s="187">
        <v>79.432048681541559</v>
      </c>
      <c r="AW54" s="346">
        <f t="shared" si="33"/>
        <v>2</v>
      </c>
      <c r="AX54" s="629"/>
    </row>
    <row r="55" spans="2:50">
      <c r="B55" s="598"/>
      <c r="C55" s="319">
        <v>9</v>
      </c>
      <c r="D55" s="231" t="s">
        <v>661</v>
      </c>
      <c r="E55" s="187">
        <v>20</v>
      </c>
      <c r="F55" s="319">
        <v>1300</v>
      </c>
      <c r="G55" s="322">
        <v>65</v>
      </c>
      <c r="H55" s="633"/>
      <c r="I55" s="470">
        <f t="shared" si="34"/>
        <v>19</v>
      </c>
      <c r="J55" s="470">
        <f t="shared" si="35"/>
        <v>972.24162964681443</v>
      </c>
      <c r="K55" s="205">
        <f t="shared" si="36"/>
        <v>51.170612086674446</v>
      </c>
      <c r="L55" s="572"/>
      <c r="M55" s="206">
        <f>RANK(K55, K$47:$K$61)</f>
        <v>10</v>
      </c>
      <c r="N55" s="590"/>
      <c r="O55" s="590"/>
      <c r="P55" s="187">
        <v>19</v>
      </c>
      <c r="Q55" s="187">
        <v>1071.4285714285704</v>
      </c>
      <c r="R55" s="187">
        <v>56.390977443608968</v>
      </c>
      <c r="S55" s="346">
        <f t="shared" si="27"/>
        <v>10</v>
      </c>
      <c r="T55" s="629"/>
      <c r="U55" s="187">
        <v>19</v>
      </c>
      <c r="V55" s="187">
        <v>933.1578947368414</v>
      </c>
      <c r="W55" s="187">
        <v>49.113573407202182</v>
      </c>
      <c r="X55" s="346">
        <f t="shared" si="28"/>
        <v>10</v>
      </c>
      <c r="Y55" s="629"/>
      <c r="Z55" s="187">
        <v>19</v>
      </c>
      <c r="AA55" s="187">
        <v>1078.2352941176457</v>
      </c>
      <c r="AB55" s="187">
        <v>56.749226006191883</v>
      </c>
      <c r="AC55" s="346">
        <f t="shared" si="29"/>
        <v>10</v>
      </c>
      <c r="AD55" s="629"/>
      <c r="AE55" s="187">
        <v>19</v>
      </c>
      <c r="AF55" s="187">
        <v>925.94594594594525</v>
      </c>
      <c r="AG55" s="187">
        <v>48.733997155049749</v>
      </c>
      <c r="AH55" s="346">
        <f t="shared" si="30"/>
        <v>10</v>
      </c>
      <c r="AI55" s="629"/>
      <c r="AJ55" s="187">
        <v>19</v>
      </c>
      <c r="AK55" s="187">
        <v>908.57142857142765</v>
      </c>
      <c r="AL55" s="187">
        <v>47.819548872180405</v>
      </c>
      <c r="AM55" s="346">
        <f t="shared" si="31"/>
        <v>10</v>
      </c>
      <c r="AN55" s="629"/>
      <c r="AO55" s="187">
        <v>19</v>
      </c>
      <c r="AP55" s="187">
        <v>935.62499999999875</v>
      </c>
      <c r="AQ55" s="187">
        <v>49.243421052631511</v>
      </c>
      <c r="AR55" s="346">
        <f t="shared" si="32"/>
        <v>10</v>
      </c>
      <c r="AS55" s="629"/>
      <c r="AT55" s="187">
        <v>19</v>
      </c>
      <c r="AU55" s="187">
        <v>952.7272727272715</v>
      </c>
      <c r="AV55" s="187">
        <v>50.143540669856392</v>
      </c>
      <c r="AW55" s="346">
        <f t="shared" si="33"/>
        <v>10</v>
      </c>
      <c r="AX55" s="629"/>
    </row>
    <row r="56" spans="2:50">
      <c r="B56" s="598"/>
      <c r="C56" s="319">
        <v>10</v>
      </c>
      <c r="D56" s="231" t="s">
        <v>706</v>
      </c>
      <c r="E56" s="187">
        <v>19</v>
      </c>
      <c r="F56" s="319">
        <v>1440</v>
      </c>
      <c r="G56" s="322">
        <v>75.78947368421052</v>
      </c>
      <c r="H56" s="633"/>
      <c r="I56" s="470">
        <f t="shared" si="34"/>
        <v>19</v>
      </c>
      <c r="J56" s="470">
        <f t="shared" si="35"/>
        <v>1261.0926076047288</v>
      </c>
      <c r="K56" s="205">
        <f t="shared" si="36"/>
        <v>66.373295137090992</v>
      </c>
      <c r="L56" s="572"/>
      <c r="M56" s="206">
        <f>RANK(K56, K$47:$K$61)</f>
        <v>9</v>
      </c>
      <c r="N56" s="590"/>
      <c r="O56" s="590"/>
      <c r="P56" s="187">
        <v>19</v>
      </c>
      <c r="Q56" s="187">
        <v>1226.3661290322586</v>
      </c>
      <c r="R56" s="187">
        <v>64.545585738539927</v>
      </c>
      <c r="S56" s="346">
        <f t="shared" si="27"/>
        <v>9</v>
      </c>
      <c r="T56" s="629"/>
      <c r="U56" s="187">
        <v>19</v>
      </c>
      <c r="V56" s="187">
        <v>1360.6363636363635</v>
      </c>
      <c r="W56" s="187">
        <v>71.612440191387549</v>
      </c>
      <c r="X56" s="346">
        <f t="shared" si="28"/>
        <v>7</v>
      </c>
      <c r="Y56" s="629"/>
      <c r="Z56" s="187">
        <v>19</v>
      </c>
      <c r="AA56" s="187">
        <v>1340.319642857143</v>
      </c>
      <c r="AB56" s="187">
        <v>70.543139097744373</v>
      </c>
      <c r="AC56" s="346">
        <f t="shared" si="29"/>
        <v>8</v>
      </c>
      <c r="AD56" s="629"/>
      <c r="AE56" s="187">
        <v>19</v>
      </c>
      <c r="AF56" s="187">
        <v>1236.2337662337668</v>
      </c>
      <c r="AG56" s="187">
        <v>65.064935064935099</v>
      </c>
      <c r="AH56" s="346">
        <f t="shared" si="30"/>
        <v>9</v>
      </c>
      <c r="AI56" s="629"/>
      <c r="AJ56" s="187">
        <v>19</v>
      </c>
      <c r="AK56" s="187">
        <v>1222.3140495867763</v>
      </c>
      <c r="AL56" s="187">
        <v>64.332318399304015</v>
      </c>
      <c r="AM56" s="346">
        <f t="shared" si="31"/>
        <v>9</v>
      </c>
      <c r="AN56" s="629"/>
      <c r="AO56" s="187">
        <v>19</v>
      </c>
      <c r="AP56" s="187">
        <v>1224.5283018867931</v>
      </c>
      <c r="AQ56" s="187">
        <v>64.448857994041745</v>
      </c>
      <c r="AR56" s="346">
        <f t="shared" si="32"/>
        <v>9</v>
      </c>
      <c r="AS56" s="629"/>
      <c r="AT56" s="187">
        <v>19</v>
      </c>
      <c r="AU56" s="187">
        <v>1217.2499999999995</v>
      </c>
      <c r="AV56" s="187">
        <v>64.065789473684191</v>
      </c>
      <c r="AW56" s="346">
        <f t="shared" si="33"/>
        <v>9</v>
      </c>
      <c r="AX56" s="629"/>
    </row>
    <row r="57" spans="2:50">
      <c r="B57" s="598"/>
      <c r="C57" s="319">
        <v>11</v>
      </c>
      <c r="D57" s="231"/>
      <c r="E57" s="187"/>
      <c r="F57" s="319"/>
      <c r="G57" s="322"/>
      <c r="H57" s="633"/>
      <c r="I57" s="207"/>
      <c r="J57" s="207"/>
      <c r="K57" s="207"/>
      <c r="L57" s="572"/>
      <c r="M57" s="206" t="e">
        <f>RANK(K57, K$47:$K$61)</f>
        <v>#N/A</v>
      </c>
      <c r="N57" s="590"/>
      <c r="O57" s="590"/>
      <c r="P57" s="187"/>
      <c r="Q57" s="187"/>
      <c r="R57" s="187"/>
      <c r="S57" s="346" t="e">
        <f t="shared" si="27"/>
        <v>#N/A</v>
      </c>
      <c r="T57" s="629"/>
      <c r="U57" s="187"/>
      <c r="V57" s="187"/>
      <c r="W57" s="187"/>
      <c r="X57" s="346" t="e">
        <f t="shared" si="28"/>
        <v>#N/A</v>
      </c>
      <c r="Y57" s="629"/>
      <c r="Z57" s="187"/>
      <c r="AA57" s="187"/>
      <c r="AB57" s="187"/>
      <c r="AC57" s="346" t="e">
        <f t="shared" si="29"/>
        <v>#N/A</v>
      </c>
      <c r="AD57" s="629"/>
      <c r="AE57" s="187"/>
      <c r="AF57" s="187"/>
      <c r="AG57" s="187"/>
      <c r="AH57" s="346" t="e">
        <f t="shared" si="30"/>
        <v>#N/A</v>
      </c>
      <c r="AI57" s="629"/>
      <c r="AJ57" s="187"/>
      <c r="AK57" s="187"/>
      <c r="AL57" s="187"/>
      <c r="AM57" s="346" t="e">
        <f t="shared" si="31"/>
        <v>#N/A</v>
      </c>
      <c r="AN57" s="629"/>
      <c r="AO57" s="187"/>
      <c r="AP57" s="187"/>
      <c r="AQ57" s="187"/>
      <c r="AR57" s="346" t="e">
        <f t="shared" si="32"/>
        <v>#N/A</v>
      </c>
      <c r="AS57" s="629"/>
      <c r="AT57" s="187"/>
      <c r="AU57" s="187"/>
      <c r="AV57" s="187"/>
      <c r="AW57" s="346" t="e">
        <f t="shared" si="33"/>
        <v>#N/A</v>
      </c>
      <c r="AX57" s="629"/>
    </row>
    <row r="58" spans="2:50">
      <c r="B58" s="598"/>
      <c r="C58" s="319">
        <v>12</v>
      </c>
      <c r="D58" s="231"/>
      <c r="E58" s="187"/>
      <c r="F58" s="319"/>
      <c r="G58" s="322"/>
      <c r="H58" s="633"/>
      <c r="I58" s="207"/>
      <c r="J58" s="207"/>
      <c r="K58" s="207"/>
      <c r="L58" s="572"/>
      <c r="M58" s="206" t="e">
        <f>RANK(K58, K$47:$K$61)</f>
        <v>#N/A</v>
      </c>
      <c r="N58" s="590"/>
      <c r="O58" s="590"/>
      <c r="P58" s="187"/>
      <c r="Q58" s="187"/>
      <c r="R58" s="187"/>
      <c r="S58" s="346" t="e">
        <f t="shared" si="27"/>
        <v>#N/A</v>
      </c>
      <c r="T58" s="629"/>
      <c r="U58" s="187"/>
      <c r="V58" s="187"/>
      <c r="W58" s="187"/>
      <c r="X58" s="346" t="e">
        <f t="shared" si="28"/>
        <v>#N/A</v>
      </c>
      <c r="Y58" s="629"/>
      <c r="Z58" s="187"/>
      <c r="AA58" s="187"/>
      <c r="AB58" s="187"/>
      <c r="AC58" s="346" t="e">
        <f t="shared" si="29"/>
        <v>#N/A</v>
      </c>
      <c r="AD58" s="629"/>
      <c r="AE58" s="187"/>
      <c r="AF58" s="187"/>
      <c r="AG58" s="187"/>
      <c r="AH58" s="346" t="e">
        <f t="shared" si="30"/>
        <v>#N/A</v>
      </c>
      <c r="AI58" s="629"/>
      <c r="AJ58" s="187"/>
      <c r="AK58" s="187"/>
      <c r="AL58" s="187"/>
      <c r="AM58" s="346" t="e">
        <f t="shared" si="31"/>
        <v>#N/A</v>
      </c>
      <c r="AN58" s="629"/>
      <c r="AO58" s="187"/>
      <c r="AP58" s="187"/>
      <c r="AQ58" s="187"/>
      <c r="AR58" s="346" t="e">
        <f t="shared" si="32"/>
        <v>#N/A</v>
      </c>
      <c r="AS58" s="629"/>
      <c r="AT58" s="187"/>
      <c r="AU58" s="187"/>
      <c r="AV58" s="187"/>
      <c r="AW58" s="346" t="e">
        <f t="shared" si="33"/>
        <v>#N/A</v>
      </c>
      <c r="AX58" s="629"/>
    </row>
    <row r="59" spans="2:50">
      <c r="B59" s="598"/>
      <c r="C59" s="319">
        <v>13</v>
      </c>
      <c r="D59" s="231"/>
      <c r="E59" s="187"/>
      <c r="F59" s="319"/>
      <c r="G59" s="322"/>
      <c r="H59" s="633"/>
      <c r="I59" s="207"/>
      <c r="J59" s="207"/>
      <c r="K59" s="207"/>
      <c r="L59" s="572"/>
      <c r="M59" s="206" t="e">
        <f>RANK(K59, K$47:$K$61)</f>
        <v>#N/A</v>
      </c>
      <c r="N59" s="590"/>
      <c r="O59" s="590"/>
      <c r="P59" s="187"/>
      <c r="Q59" s="187"/>
      <c r="R59" s="187"/>
      <c r="S59" s="346" t="e">
        <f t="shared" si="27"/>
        <v>#N/A</v>
      </c>
      <c r="T59" s="629"/>
      <c r="U59" s="187"/>
      <c r="V59" s="187"/>
      <c r="W59" s="187"/>
      <c r="X59" s="346" t="e">
        <f t="shared" si="28"/>
        <v>#N/A</v>
      </c>
      <c r="Y59" s="629"/>
      <c r="Z59" s="187"/>
      <c r="AA59" s="187"/>
      <c r="AB59" s="187"/>
      <c r="AC59" s="346" t="e">
        <f t="shared" si="29"/>
        <v>#N/A</v>
      </c>
      <c r="AD59" s="629"/>
      <c r="AE59" s="187"/>
      <c r="AF59" s="187"/>
      <c r="AG59" s="187"/>
      <c r="AH59" s="346" t="e">
        <f t="shared" si="30"/>
        <v>#N/A</v>
      </c>
      <c r="AI59" s="629"/>
      <c r="AJ59" s="187"/>
      <c r="AK59" s="187"/>
      <c r="AL59" s="187"/>
      <c r="AM59" s="346" t="e">
        <f t="shared" si="31"/>
        <v>#N/A</v>
      </c>
      <c r="AN59" s="629"/>
      <c r="AO59" s="187"/>
      <c r="AP59" s="187"/>
      <c r="AQ59" s="187"/>
      <c r="AR59" s="346" t="e">
        <f t="shared" si="32"/>
        <v>#N/A</v>
      </c>
      <c r="AS59" s="629"/>
      <c r="AT59" s="187"/>
      <c r="AU59" s="187"/>
      <c r="AV59" s="187"/>
      <c r="AW59" s="346" t="e">
        <f t="shared" si="33"/>
        <v>#N/A</v>
      </c>
      <c r="AX59" s="629"/>
    </row>
    <row r="60" spans="2:50">
      <c r="B60" s="598"/>
      <c r="C60" s="319">
        <v>14</v>
      </c>
      <c r="D60" s="231"/>
      <c r="E60" s="187"/>
      <c r="F60" s="319"/>
      <c r="G60" s="322"/>
      <c r="H60" s="633"/>
      <c r="I60" s="207"/>
      <c r="J60" s="207"/>
      <c r="K60" s="207"/>
      <c r="L60" s="572"/>
      <c r="M60" s="206" t="e">
        <f>RANK(K60, K$47:$K$61)</f>
        <v>#N/A</v>
      </c>
      <c r="N60" s="590"/>
      <c r="O60" s="590"/>
      <c r="P60" s="187"/>
      <c r="Q60" s="187"/>
      <c r="R60" s="187"/>
      <c r="S60" s="346" t="e">
        <f t="shared" si="27"/>
        <v>#N/A</v>
      </c>
      <c r="T60" s="629"/>
      <c r="U60" s="187"/>
      <c r="V60" s="187"/>
      <c r="W60" s="187"/>
      <c r="X60" s="346" t="e">
        <f t="shared" si="28"/>
        <v>#N/A</v>
      </c>
      <c r="Y60" s="629"/>
      <c r="Z60" s="187"/>
      <c r="AA60" s="187"/>
      <c r="AB60" s="187"/>
      <c r="AC60" s="346" t="e">
        <f t="shared" si="29"/>
        <v>#N/A</v>
      </c>
      <c r="AD60" s="629"/>
      <c r="AE60" s="187"/>
      <c r="AF60" s="187"/>
      <c r="AG60" s="187"/>
      <c r="AH60" s="346" t="e">
        <f t="shared" si="30"/>
        <v>#N/A</v>
      </c>
      <c r="AI60" s="629"/>
      <c r="AJ60" s="187"/>
      <c r="AK60" s="187"/>
      <c r="AL60" s="187"/>
      <c r="AM60" s="346" t="e">
        <f t="shared" si="31"/>
        <v>#N/A</v>
      </c>
      <c r="AN60" s="629"/>
      <c r="AO60" s="187"/>
      <c r="AP60" s="187"/>
      <c r="AQ60" s="187"/>
      <c r="AR60" s="346" t="e">
        <f t="shared" si="32"/>
        <v>#N/A</v>
      </c>
      <c r="AS60" s="629"/>
      <c r="AT60" s="187"/>
      <c r="AU60" s="187"/>
      <c r="AV60" s="187"/>
      <c r="AW60" s="346" t="e">
        <f t="shared" si="33"/>
        <v>#N/A</v>
      </c>
      <c r="AX60" s="629"/>
    </row>
    <row r="61" spans="2:50">
      <c r="B61" s="598"/>
      <c r="C61" s="319">
        <v>15</v>
      </c>
      <c r="D61" s="231"/>
      <c r="E61" s="187"/>
      <c r="F61" s="319"/>
      <c r="G61" s="322"/>
      <c r="H61" s="634"/>
      <c r="I61" s="207"/>
      <c r="J61" s="207"/>
      <c r="K61" s="207"/>
      <c r="L61" s="573"/>
      <c r="M61" s="206" t="e">
        <f>RANK(K61, K$47:$K$61)</f>
        <v>#N/A</v>
      </c>
      <c r="N61" s="590"/>
      <c r="O61" s="590"/>
      <c r="P61" s="187"/>
      <c r="Q61" s="187"/>
      <c r="R61" s="187"/>
      <c r="S61" s="346" t="e">
        <f t="shared" si="27"/>
        <v>#N/A</v>
      </c>
      <c r="T61" s="629"/>
      <c r="U61" s="187"/>
      <c r="V61" s="187"/>
      <c r="W61" s="187"/>
      <c r="X61" s="346" t="e">
        <f t="shared" si="28"/>
        <v>#N/A</v>
      </c>
      <c r="Y61" s="629"/>
      <c r="Z61" s="187"/>
      <c r="AA61" s="187"/>
      <c r="AB61" s="187"/>
      <c r="AC61" s="346" t="e">
        <f t="shared" si="29"/>
        <v>#N/A</v>
      </c>
      <c r="AD61" s="629"/>
      <c r="AE61" s="187"/>
      <c r="AF61" s="187"/>
      <c r="AG61" s="187"/>
      <c r="AH61" s="346" t="e">
        <f t="shared" si="30"/>
        <v>#N/A</v>
      </c>
      <c r="AI61" s="629"/>
      <c r="AJ61" s="187"/>
      <c r="AK61" s="187"/>
      <c r="AL61" s="187"/>
      <c r="AM61" s="346" t="e">
        <f t="shared" si="31"/>
        <v>#N/A</v>
      </c>
      <c r="AN61" s="629"/>
      <c r="AO61" s="187"/>
      <c r="AP61" s="187"/>
      <c r="AQ61" s="187"/>
      <c r="AR61" s="346" t="e">
        <f t="shared" si="32"/>
        <v>#N/A</v>
      </c>
      <c r="AS61" s="629"/>
      <c r="AT61" s="187"/>
      <c r="AU61" s="187"/>
      <c r="AV61" s="187"/>
      <c r="AW61" s="346" t="e">
        <f t="shared" si="33"/>
        <v>#N/A</v>
      </c>
      <c r="AX61" s="629"/>
    </row>
    <row r="62" spans="2:50" ht="15.75">
      <c r="B62" s="602" t="s">
        <v>163</v>
      </c>
      <c r="C62" s="603"/>
      <c r="D62" s="603"/>
      <c r="E62" s="603"/>
      <c r="F62" s="603"/>
      <c r="G62" s="603"/>
      <c r="H62" s="604"/>
      <c r="I62" s="213"/>
      <c r="J62" s="213"/>
      <c r="K62" s="213"/>
      <c r="L62" s="213"/>
      <c r="M62" s="212"/>
      <c r="N62" s="591" t="s">
        <v>156</v>
      </c>
      <c r="O62" s="591" t="s">
        <v>105</v>
      </c>
      <c r="P62" s="597">
        <f>P42+7</f>
        <v>45951</v>
      </c>
      <c r="Q62" s="598"/>
      <c r="R62" s="598"/>
      <c r="S62" s="598"/>
      <c r="T62" s="598"/>
      <c r="U62" s="594">
        <f>P62+1</f>
        <v>45952</v>
      </c>
      <c r="V62" s="595"/>
      <c r="W62" s="595"/>
      <c r="X62" s="595"/>
      <c r="Y62" s="596"/>
      <c r="Z62" s="594">
        <f>U62+1</f>
        <v>45953</v>
      </c>
      <c r="AA62" s="595"/>
      <c r="AB62" s="595"/>
      <c r="AC62" s="595"/>
      <c r="AD62" s="596"/>
      <c r="AE62" s="594">
        <f>Z62+1</f>
        <v>45954</v>
      </c>
      <c r="AF62" s="595"/>
      <c r="AG62" s="595"/>
      <c r="AH62" s="595"/>
      <c r="AI62" s="596"/>
      <c r="AJ62" s="594">
        <f>AE62+1</f>
        <v>45955</v>
      </c>
      <c r="AK62" s="595"/>
      <c r="AL62" s="595"/>
      <c r="AM62" s="595"/>
      <c r="AN62" s="596"/>
      <c r="AO62" s="594">
        <f>AJ62+1</f>
        <v>45956</v>
      </c>
      <c r="AP62" s="595"/>
      <c r="AQ62" s="595"/>
      <c r="AR62" s="595"/>
      <c r="AS62" s="596"/>
      <c r="AT62" s="594">
        <f>AO62+1</f>
        <v>45957</v>
      </c>
      <c r="AU62" s="595"/>
      <c r="AV62" s="595"/>
      <c r="AW62" s="595"/>
      <c r="AX62" s="596"/>
    </row>
    <row r="63" spans="2:50" ht="15.75">
      <c r="B63" s="605"/>
      <c r="C63" s="605"/>
      <c r="D63" s="605"/>
      <c r="E63" s="605"/>
      <c r="F63" s="605"/>
      <c r="G63" s="605"/>
      <c r="H63" s="605"/>
      <c r="I63" s="210"/>
      <c r="J63" s="210"/>
      <c r="K63" s="210"/>
      <c r="L63" s="210"/>
      <c r="M63" s="211"/>
      <c r="N63" s="593"/>
      <c r="O63" s="593"/>
      <c r="P63" s="597" t="s">
        <v>336</v>
      </c>
      <c r="Q63" s="598"/>
      <c r="R63" s="598"/>
      <c r="S63" s="598"/>
      <c r="T63" s="598"/>
      <c r="U63" s="597" t="s">
        <v>337</v>
      </c>
      <c r="V63" s="598"/>
      <c r="W63" s="598"/>
      <c r="X63" s="598"/>
      <c r="Y63" s="598"/>
      <c r="Z63" s="597" t="s">
        <v>338</v>
      </c>
      <c r="AA63" s="598"/>
      <c r="AB63" s="598"/>
      <c r="AC63" s="598"/>
      <c r="AD63" s="598"/>
      <c r="AE63" s="597" t="s">
        <v>339</v>
      </c>
      <c r="AF63" s="598"/>
      <c r="AG63" s="598"/>
      <c r="AH63" s="598"/>
      <c r="AI63" s="598"/>
      <c r="AJ63" s="597" t="s">
        <v>340</v>
      </c>
      <c r="AK63" s="598"/>
      <c r="AL63" s="598"/>
      <c r="AM63" s="598"/>
      <c r="AN63" s="598"/>
      <c r="AO63" s="597" t="s">
        <v>341</v>
      </c>
      <c r="AP63" s="598"/>
      <c r="AQ63" s="598"/>
      <c r="AR63" s="598"/>
      <c r="AS63" s="598"/>
      <c r="AT63" s="597" t="s">
        <v>342</v>
      </c>
      <c r="AU63" s="598"/>
      <c r="AV63" s="598"/>
      <c r="AW63" s="598"/>
      <c r="AX63" s="598"/>
    </row>
    <row r="64" spans="2:50">
      <c r="B64" s="590" t="s">
        <v>444</v>
      </c>
      <c r="C64" s="590" t="s">
        <v>454</v>
      </c>
      <c r="D64" s="590"/>
      <c r="E64" s="590" t="s">
        <v>445</v>
      </c>
      <c r="F64" s="590"/>
      <c r="G64" s="590"/>
      <c r="H64" s="606" t="s">
        <v>441</v>
      </c>
      <c r="I64" s="574" t="s">
        <v>446</v>
      </c>
      <c r="J64" s="574"/>
      <c r="K64" s="574"/>
      <c r="L64" s="575" t="s">
        <v>441</v>
      </c>
      <c r="M64" s="581" t="s">
        <v>442</v>
      </c>
      <c r="N64" s="590"/>
      <c r="O64" s="590" t="s">
        <v>447</v>
      </c>
      <c r="P64" s="587" t="s">
        <v>443</v>
      </c>
      <c r="Q64" s="588"/>
      <c r="R64" s="588"/>
      <c r="S64" s="589"/>
      <c r="T64" s="590" t="s">
        <v>441</v>
      </c>
      <c r="U64" s="587" t="s">
        <v>443</v>
      </c>
      <c r="V64" s="588"/>
      <c r="W64" s="588"/>
      <c r="X64" s="589"/>
      <c r="Y64" s="590" t="s">
        <v>441</v>
      </c>
      <c r="Z64" s="587" t="s">
        <v>443</v>
      </c>
      <c r="AA64" s="588"/>
      <c r="AB64" s="588"/>
      <c r="AC64" s="589"/>
      <c r="AD64" s="590" t="s">
        <v>441</v>
      </c>
      <c r="AE64" s="587" t="s">
        <v>443</v>
      </c>
      <c r="AF64" s="588"/>
      <c r="AG64" s="588"/>
      <c r="AH64" s="589"/>
      <c r="AI64" s="590" t="s">
        <v>441</v>
      </c>
      <c r="AJ64" s="587" t="s">
        <v>443</v>
      </c>
      <c r="AK64" s="588"/>
      <c r="AL64" s="588"/>
      <c r="AM64" s="589"/>
      <c r="AN64" s="590" t="s">
        <v>441</v>
      </c>
      <c r="AO64" s="587" t="s">
        <v>443</v>
      </c>
      <c r="AP64" s="588"/>
      <c r="AQ64" s="588"/>
      <c r="AR64" s="589"/>
      <c r="AS64" s="590" t="s">
        <v>441</v>
      </c>
      <c r="AT64" s="587" t="s">
        <v>443</v>
      </c>
      <c r="AU64" s="588"/>
      <c r="AV64" s="588"/>
      <c r="AW64" s="589"/>
      <c r="AX64" s="590" t="s">
        <v>441</v>
      </c>
    </row>
    <row r="65" spans="2:50">
      <c r="B65" s="590"/>
      <c r="C65" s="590"/>
      <c r="D65" s="590"/>
      <c r="E65" s="590" t="s">
        <v>448</v>
      </c>
      <c r="F65" s="590"/>
      <c r="G65" s="590"/>
      <c r="H65" s="607"/>
      <c r="I65" s="574" t="s">
        <v>448</v>
      </c>
      <c r="J65" s="574"/>
      <c r="K65" s="574"/>
      <c r="L65" s="576"/>
      <c r="M65" s="582"/>
      <c r="N65" s="590"/>
      <c r="O65" s="590"/>
      <c r="P65" s="587" t="s">
        <v>449</v>
      </c>
      <c r="Q65" s="588"/>
      <c r="R65" s="588"/>
      <c r="S65" s="589"/>
      <c r="T65" s="590"/>
      <c r="U65" s="587" t="s">
        <v>449</v>
      </c>
      <c r="V65" s="588"/>
      <c r="W65" s="588"/>
      <c r="X65" s="589"/>
      <c r="Y65" s="590"/>
      <c r="Z65" s="587" t="s">
        <v>449</v>
      </c>
      <c r="AA65" s="588"/>
      <c r="AB65" s="588"/>
      <c r="AC65" s="589"/>
      <c r="AD65" s="590"/>
      <c r="AE65" s="587" t="s">
        <v>449</v>
      </c>
      <c r="AF65" s="588"/>
      <c r="AG65" s="588"/>
      <c r="AH65" s="589"/>
      <c r="AI65" s="590"/>
      <c r="AJ65" s="587" t="s">
        <v>449</v>
      </c>
      <c r="AK65" s="588"/>
      <c r="AL65" s="588"/>
      <c r="AM65" s="589"/>
      <c r="AN65" s="590"/>
      <c r="AO65" s="587" t="s">
        <v>449</v>
      </c>
      <c r="AP65" s="588"/>
      <c r="AQ65" s="588"/>
      <c r="AR65" s="589"/>
      <c r="AS65" s="590"/>
      <c r="AT65" s="587" t="s">
        <v>449</v>
      </c>
      <c r="AU65" s="588"/>
      <c r="AV65" s="588"/>
      <c r="AW65" s="589"/>
      <c r="AX65" s="590"/>
    </row>
    <row r="66" spans="2:50">
      <c r="B66" s="590"/>
      <c r="C66" s="590"/>
      <c r="D66" s="590"/>
      <c r="E66" s="318" t="s">
        <v>450</v>
      </c>
      <c r="F66" s="318" t="s">
        <v>451</v>
      </c>
      <c r="G66" s="318" t="s">
        <v>452</v>
      </c>
      <c r="H66" s="608"/>
      <c r="I66" s="317" t="s">
        <v>450</v>
      </c>
      <c r="J66" s="317" t="s">
        <v>451</v>
      </c>
      <c r="K66" s="317" t="s">
        <v>452</v>
      </c>
      <c r="L66" s="577"/>
      <c r="M66" s="583"/>
      <c r="N66" s="590"/>
      <c r="O66" s="590"/>
      <c r="P66" s="318" t="s">
        <v>450</v>
      </c>
      <c r="Q66" s="318" t="s">
        <v>451</v>
      </c>
      <c r="R66" s="318" t="s">
        <v>452</v>
      </c>
      <c r="S66" s="318" t="s">
        <v>442</v>
      </c>
      <c r="T66" s="590"/>
      <c r="U66" s="318" t="s">
        <v>450</v>
      </c>
      <c r="V66" s="318" t="s">
        <v>451</v>
      </c>
      <c r="W66" s="318" t="s">
        <v>452</v>
      </c>
      <c r="X66" s="318" t="s">
        <v>442</v>
      </c>
      <c r="Y66" s="590"/>
      <c r="Z66" s="318" t="s">
        <v>450</v>
      </c>
      <c r="AA66" s="318" t="s">
        <v>451</v>
      </c>
      <c r="AB66" s="318" t="s">
        <v>452</v>
      </c>
      <c r="AC66" s="318" t="s">
        <v>442</v>
      </c>
      <c r="AD66" s="590"/>
      <c r="AE66" s="318" t="s">
        <v>450</v>
      </c>
      <c r="AF66" s="318" t="s">
        <v>451</v>
      </c>
      <c r="AG66" s="318" t="s">
        <v>452</v>
      </c>
      <c r="AH66" s="318" t="s">
        <v>442</v>
      </c>
      <c r="AI66" s="590"/>
      <c r="AJ66" s="318" t="s">
        <v>450</v>
      </c>
      <c r="AK66" s="318" t="s">
        <v>451</v>
      </c>
      <c r="AL66" s="318" t="s">
        <v>452</v>
      </c>
      <c r="AM66" s="318" t="s">
        <v>442</v>
      </c>
      <c r="AN66" s="590"/>
      <c r="AO66" s="318" t="s">
        <v>450</v>
      </c>
      <c r="AP66" s="318" t="s">
        <v>451</v>
      </c>
      <c r="AQ66" s="318" t="s">
        <v>452</v>
      </c>
      <c r="AR66" s="318" t="s">
        <v>442</v>
      </c>
      <c r="AS66" s="590"/>
      <c r="AT66" s="318" t="s">
        <v>450</v>
      </c>
      <c r="AU66" s="318" t="s">
        <v>451</v>
      </c>
      <c r="AV66" s="318" t="s">
        <v>452</v>
      </c>
      <c r="AW66" s="318" t="s">
        <v>442</v>
      </c>
      <c r="AX66" s="590"/>
    </row>
    <row r="67" spans="2:50">
      <c r="B67" s="590" t="s">
        <v>456</v>
      </c>
      <c r="C67" s="319">
        <v>1</v>
      </c>
      <c r="D67" s="231" t="s">
        <v>406</v>
      </c>
      <c r="E67" s="187">
        <v>19</v>
      </c>
      <c r="F67" s="319">
        <v>1636</v>
      </c>
      <c r="G67" s="322">
        <v>86.10526315789474</v>
      </c>
      <c r="H67" s="632">
        <f>AVERAGE(G67:G81)</f>
        <v>91.261647434093248</v>
      </c>
      <c r="I67" s="204">
        <f>AVERAGE(P67,U67,Z67,AE67,AJ67,AO67,AT67)</f>
        <v>19</v>
      </c>
      <c r="J67" s="204">
        <f>AVERAGE(Q67,V67,AA67,AF67,AK67,AP67,AU67)</f>
        <v>1380.0696182751451</v>
      </c>
      <c r="K67" s="205">
        <f>AVERAGE(R67,W67,AB67,AG67,AL67,AQ67,AV67)</f>
        <v>72.635243067112896</v>
      </c>
      <c r="L67" s="571">
        <f>IFERROR(AVERAGE(K67:K81),"-")</f>
        <v>80.543072120274942</v>
      </c>
      <c r="M67" s="206">
        <f>RANK(K67, K$67:$K$81)</f>
        <v>7</v>
      </c>
      <c r="N67" s="590"/>
      <c r="O67" s="590"/>
      <c r="P67" s="467" t="s">
        <v>802</v>
      </c>
      <c r="Q67" s="187">
        <f>'[2]（５-7）品群別人時生產性(熱食義麵) '!Q47</f>
        <v>1362.4528301886794</v>
      </c>
      <c r="R67" s="187">
        <f>'[2]（５-7）品群別人時生產性(熱食義麵) '!R47</f>
        <v>71.708043694141026</v>
      </c>
      <c r="S67" s="319">
        <f>RANK(R67, R$67:R$81)</f>
        <v>7</v>
      </c>
      <c r="T67" s="629">
        <f>AVERAGE(R67:R81)</f>
        <v>78.285087572520723</v>
      </c>
      <c r="U67" s="187">
        <v>19</v>
      </c>
      <c r="V67" s="187">
        <v>1376.5714285714289</v>
      </c>
      <c r="W67" s="187">
        <v>72.451127819548887</v>
      </c>
      <c r="X67" s="351">
        <f>RANK(W67, W$67:W$81)</f>
        <v>7</v>
      </c>
      <c r="Y67" s="629">
        <f>AVERAGE(W67:W81)</f>
        <v>81.604137632186777</v>
      </c>
      <c r="Z67" s="187">
        <v>19</v>
      </c>
      <c r="AA67" s="187">
        <v>1360.2272727272727</v>
      </c>
      <c r="AB67" s="187">
        <v>71.590909090909093</v>
      </c>
      <c r="AC67" s="351">
        <f>RANK(AB67, AB$67:AB$81)</f>
        <v>7</v>
      </c>
      <c r="AD67" s="629">
        <f>AVERAGE(AB67:AB81)</f>
        <v>78.905595370494737</v>
      </c>
      <c r="AE67" s="187">
        <v>19</v>
      </c>
      <c r="AF67" s="187">
        <v>1381.4634146341466</v>
      </c>
      <c r="AG67" s="187">
        <v>72.70860077021824</v>
      </c>
      <c r="AH67" s="351">
        <f>RANK(AG67, AG$67:AG$81)</f>
        <v>7</v>
      </c>
      <c r="AI67" s="629">
        <f>AVERAGE(AG67:AG81)</f>
        <v>81.232325663796416</v>
      </c>
      <c r="AJ67" s="187">
        <v>19</v>
      </c>
      <c r="AK67" s="187">
        <v>1385.934065934066</v>
      </c>
      <c r="AL67" s="187">
        <v>72.943898207056108</v>
      </c>
      <c r="AM67" s="351">
        <f>RANK(AL67, AL$67:AL$81)</f>
        <v>7</v>
      </c>
      <c r="AN67" s="629">
        <f>AVERAGE(AL67:AL81)</f>
        <v>81.21300425529148</v>
      </c>
      <c r="AO67" s="187">
        <v>19</v>
      </c>
      <c r="AP67" s="187">
        <v>1412.6732673267327</v>
      </c>
      <c r="AQ67" s="187">
        <v>74.351224596143823</v>
      </c>
      <c r="AR67" s="351">
        <f>RANK(AQ67, AQ$67:AQ$81)</f>
        <v>7</v>
      </c>
      <c r="AS67" s="629">
        <f>AVERAGE(AQ67:AQ81)</f>
        <v>81.049280642416889</v>
      </c>
      <c r="AT67" s="187">
        <v>19</v>
      </c>
      <c r="AU67" s="187">
        <v>1381.1650485436892</v>
      </c>
      <c r="AV67" s="187">
        <v>72.692897291773122</v>
      </c>
      <c r="AW67" s="351">
        <f>RANK(AV67, AV$67:AV$81)</f>
        <v>7</v>
      </c>
      <c r="AX67" s="629">
        <f>AVERAGE(AV67:AV81)</f>
        <v>81.512073705217645</v>
      </c>
    </row>
    <row r="68" spans="2:50">
      <c r="B68" s="598"/>
      <c r="C68" s="319">
        <v>2</v>
      </c>
      <c r="D68" s="231" t="s">
        <v>590</v>
      </c>
      <c r="E68" s="187">
        <v>19</v>
      </c>
      <c r="F68" s="319">
        <v>1440</v>
      </c>
      <c r="G68" s="322">
        <v>75.78947368421052</v>
      </c>
      <c r="H68" s="633"/>
      <c r="I68" s="204">
        <f t="shared" ref="I68:I73" si="37">AVERAGE(P68,U68,Z68,AE68,AJ68,AO68,AT68)</f>
        <v>17.857142857142858</v>
      </c>
      <c r="J68" s="204">
        <f t="shared" ref="J68:J73" si="38">AVERAGE(Q68,V68,AA68,AF68,AK68,AP68,AU68)</f>
        <v>1336.3320306910921</v>
      </c>
      <c r="K68" s="205">
        <f t="shared" ref="K68:K73" si="39">AVERAGE(R68,W68,AB68,AG68,AL68,AQ68,AV68)</f>
        <v>74.868119352119493</v>
      </c>
      <c r="L68" s="572"/>
      <c r="M68" s="206">
        <f>RANK(K68, K$67:$K$81)</f>
        <v>6</v>
      </c>
      <c r="N68" s="590"/>
      <c r="O68" s="590"/>
      <c r="P68" s="187">
        <f>'[2]（５-7）品群別人時生產性(熱食義麵) '!P48</f>
        <v>18</v>
      </c>
      <c r="Q68" s="187">
        <f>'[2]（５-7）品群別人時生產性(熱食義麵) '!Q48</f>
        <v>1306.7256637168136</v>
      </c>
      <c r="R68" s="187">
        <f>'[2]（５-7）品群別人時生產性(熱食義麵) '!R48</f>
        <v>72.59587020648965</v>
      </c>
      <c r="S68" s="351">
        <f t="shared" ref="S68:S81" si="40">RANK(R68, R$67:R$81)</f>
        <v>6</v>
      </c>
      <c r="T68" s="629"/>
      <c r="U68" s="187">
        <v>18</v>
      </c>
      <c r="V68" s="187">
        <v>1332.0000000000002</v>
      </c>
      <c r="W68" s="187">
        <v>74.000000000000014</v>
      </c>
      <c r="X68" s="351">
        <f t="shared" ref="X68:X81" si="41">RANK(W68, W$67:W$81)</f>
        <v>6</v>
      </c>
      <c r="Y68" s="629"/>
      <c r="Z68" s="187">
        <v>17</v>
      </c>
      <c r="AA68" s="187">
        <v>1344.0000000000007</v>
      </c>
      <c r="AB68" s="187">
        <v>79.058823529411811</v>
      </c>
      <c r="AC68" s="351">
        <f t="shared" ref="AC68:AC81" si="42">RANK(AB68, AB$67:AB$81)</f>
        <v>2</v>
      </c>
      <c r="AD68" s="629"/>
      <c r="AE68" s="187">
        <v>18</v>
      </c>
      <c r="AF68" s="187">
        <v>1368.7499999999995</v>
      </c>
      <c r="AG68" s="187">
        <v>76.041666666666643</v>
      </c>
      <c r="AH68" s="351">
        <f t="shared" ref="AH68:AH81" si="43">RANK(AG68, AG$67:AG$81)</f>
        <v>6</v>
      </c>
      <c r="AI68" s="629"/>
      <c r="AJ68" s="187">
        <v>18</v>
      </c>
      <c r="AK68" s="187">
        <v>1320.6451612903222</v>
      </c>
      <c r="AL68" s="187">
        <v>73.369175627240125</v>
      </c>
      <c r="AM68" s="351">
        <f t="shared" ref="AM68:AM81" si="44">RANK(AL68, AL$67:AL$81)</f>
        <v>6</v>
      </c>
      <c r="AN68" s="629"/>
      <c r="AO68" s="187">
        <v>18</v>
      </c>
      <c r="AP68" s="187">
        <v>1365.2542372881355</v>
      </c>
      <c r="AQ68" s="187">
        <v>75.847457627118644</v>
      </c>
      <c r="AR68" s="351">
        <f t="shared" ref="AR68:AR81" si="45">RANK(AQ68, AQ$67:AQ$81)</f>
        <v>5</v>
      </c>
      <c r="AS68" s="629"/>
      <c r="AT68" s="187">
        <v>18</v>
      </c>
      <c r="AU68" s="187">
        <v>1316.9491525423728</v>
      </c>
      <c r="AV68" s="187">
        <v>73.163841807909591</v>
      </c>
      <c r="AW68" s="351">
        <f t="shared" ref="AW68:AW81" si="46">RANK(AV68, AV$67:AV$81)</f>
        <v>6</v>
      </c>
      <c r="AX68" s="629"/>
    </row>
    <row r="69" spans="2:50">
      <c r="B69" s="598"/>
      <c r="C69" s="319">
        <v>3</v>
      </c>
      <c r="D69" s="231" t="s">
        <v>351</v>
      </c>
      <c r="E69" s="187">
        <v>17</v>
      </c>
      <c r="F69" s="319">
        <v>1636</v>
      </c>
      <c r="G69" s="322">
        <v>96.235294117647058</v>
      </c>
      <c r="H69" s="633"/>
      <c r="I69" s="204">
        <f t="shared" si="37"/>
        <v>18</v>
      </c>
      <c r="J69" s="204">
        <f t="shared" si="38"/>
        <v>1388.7667368461214</v>
      </c>
      <c r="K69" s="205">
        <f t="shared" si="39"/>
        <v>77.153707602562307</v>
      </c>
      <c r="L69" s="572"/>
      <c r="M69" s="206">
        <f>RANK(K69, K$67:$K$81)</f>
        <v>4</v>
      </c>
      <c r="N69" s="590"/>
      <c r="O69" s="590"/>
      <c r="P69" s="187">
        <f>'[2]（５-7）品群別人時生產性(熱食義麵) '!P49</f>
        <v>18</v>
      </c>
      <c r="Q69" s="187">
        <f>'[2]（５-7）品群別人時生產性(熱食義麵) '!Q49</f>
        <v>1406.4761904761901</v>
      </c>
      <c r="R69" s="187">
        <f>'[2]（５-7）品群別人時生產性(熱食義麵) '!R49</f>
        <v>78.137566137566125</v>
      </c>
      <c r="S69" s="351">
        <f t="shared" si="40"/>
        <v>3</v>
      </c>
      <c r="T69" s="629"/>
      <c r="U69" s="187">
        <v>18</v>
      </c>
      <c r="V69" s="187">
        <v>1360.8647482014387</v>
      </c>
      <c r="W69" s="187">
        <v>75.603597122302148</v>
      </c>
      <c r="X69" s="351">
        <f t="shared" si="41"/>
        <v>5</v>
      </c>
      <c r="Y69" s="629"/>
      <c r="Z69" s="187">
        <v>18</v>
      </c>
      <c r="AA69" s="187">
        <v>1395.2316831683161</v>
      </c>
      <c r="AB69" s="187">
        <v>77.512871287128675</v>
      </c>
      <c r="AC69" s="351">
        <f t="shared" si="42"/>
        <v>4</v>
      </c>
      <c r="AD69" s="629"/>
      <c r="AE69" s="187">
        <v>18</v>
      </c>
      <c r="AF69" s="187">
        <v>1404.0605042016809</v>
      </c>
      <c r="AG69" s="187">
        <v>78.003361344537836</v>
      </c>
      <c r="AH69" s="351">
        <f t="shared" si="43"/>
        <v>4</v>
      </c>
      <c r="AI69" s="629"/>
      <c r="AJ69" s="187">
        <v>18</v>
      </c>
      <c r="AK69" s="187">
        <v>1352.8279720279722</v>
      </c>
      <c r="AL69" s="187">
        <v>75.157109557109564</v>
      </c>
      <c r="AM69" s="351">
        <f t="shared" si="44"/>
        <v>5</v>
      </c>
      <c r="AN69" s="629"/>
      <c r="AO69" s="187">
        <v>18</v>
      </c>
      <c r="AP69" s="187">
        <v>1398.9367346938777</v>
      </c>
      <c r="AQ69" s="187">
        <v>77.71870748299321</v>
      </c>
      <c r="AR69" s="351">
        <f t="shared" si="45"/>
        <v>2</v>
      </c>
      <c r="AS69" s="629"/>
      <c r="AT69" s="187">
        <v>18</v>
      </c>
      <c r="AU69" s="187">
        <v>1402.9693251533745</v>
      </c>
      <c r="AV69" s="187">
        <v>77.942740286298587</v>
      </c>
      <c r="AW69" s="351">
        <f t="shared" si="46"/>
        <v>3</v>
      </c>
      <c r="AX69" s="629"/>
    </row>
    <row r="70" spans="2:50">
      <c r="B70" s="598"/>
      <c r="C70" s="319">
        <v>4</v>
      </c>
      <c r="D70" s="231" t="s">
        <v>440</v>
      </c>
      <c r="E70" s="187">
        <v>22</v>
      </c>
      <c r="F70" s="319">
        <v>1636</v>
      </c>
      <c r="G70" s="322">
        <v>74.36363636363636</v>
      </c>
      <c r="H70" s="633"/>
      <c r="I70" s="204">
        <f t="shared" si="37"/>
        <v>21</v>
      </c>
      <c r="J70" s="204">
        <f t="shared" si="38"/>
        <v>1372.9775098079824</v>
      </c>
      <c r="K70" s="205">
        <f t="shared" si="39"/>
        <v>65.418178778282595</v>
      </c>
      <c r="L70" s="572"/>
      <c r="M70" s="206">
        <f>RANK(K70, K$67:$K$81)</f>
        <v>8</v>
      </c>
      <c r="N70" s="590"/>
      <c r="O70" s="590"/>
      <c r="P70" s="187">
        <f>'[2]（５-7）品群別人時生產性(熱食義麵) '!P50</f>
        <v>22</v>
      </c>
      <c r="Q70" s="187">
        <f>'[2]（５-7）品群別人時生產性(熱食義麵) '!Q50</f>
        <v>1369.9999999999993</v>
      </c>
      <c r="R70" s="187">
        <f>'[2]（５-7）品群別人時生產性(熱食義麵) '!R50</f>
        <v>62.272727272727245</v>
      </c>
      <c r="S70" s="351">
        <f t="shared" si="40"/>
        <v>9</v>
      </c>
      <c r="T70" s="629"/>
      <c r="U70" s="187">
        <v>21</v>
      </c>
      <c r="V70" s="187">
        <v>1348.9156626506019</v>
      </c>
      <c r="W70" s="187">
        <v>64.234079173838182</v>
      </c>
      <c r="X70" s="351">
        <f t="shared" si="41"/>
        <v>9</v>
      </c>
      <c r="Y70" s="629"/>
      <c r="Z70" s="187">
        <v>21</v>
      </c>
      <c r="AA70" s="187">
        <v>1393.6363636363642</v>
      </c>
      <c r="AB70" s="187">
        <v>66.363636363636388</v>
      </c>
      <c r="AC70" s="351">
        <f t="shared" si="42"/>
        <v>8</v>
      </c>
      <c r="AD70" s="629"/>
      <c r="AE70" s="187">
        <v>21</v>
      </c>
      <c r="AF70" s="187">
        <v>1348.5245901639348</v>
      </c>
      <c r="AG70" s="187">
        <v>64.215456674473089</v>
      </c>
      <c r="AH70" s="351">
        <f t="shared" si="43"/>
        <v>9</v>
      </c>
      <c r="AI70" s="629"/>
      <c r="AJ70" s="187">
        <v>21</v>
      </c>
      <c r="AK70" s="187">
        <v>1407.2727272727273</v>
      </c>
      <c r="AL70" s="187">
        <v>67.012987012987011</v>
      </c>
      <c r="AM70" s="351">
        <f t="shared" si="44"/>
        <v>8</v>
      </c>
      <c r="AN70" s="629"/>
      <c r="AO70" s="187">
        <v>21</v>
      </c>
      <c r="AP70" s="187">
        <v>1384.4444444444448</v>
      </c>
      <c r="AQ70" s="187">
        <v>65.925925925925938</v>
      </c>
      <c r="AR70" s="351">
        <f t="shared" si="45"/>
        <v>8</v>
      </c>
      <c r="AS70" s="629"/>
      <c r="AT70" s="187">
        <v>20</v>
      </c>
      <c r="AU70" s="187">
        <v>1358.0487804878051</v>
      </c>
      <c r="AV70" s="187">
        <v>67.902439024390247</v>
      </c>
      <c r="AW70" s="351">
        <f t="shared" si="46"/>
        <v>8</v>
      </c>
      <c r="AX70" s="629"/>
    </row>
    <row r="71" spans="2:50">
      <c r="B71" s="598"/>
      <c r="C71" s="319">
        <v>5</v>
      </c>
      <c r="D71" s="231" t="s">
        <v>468</v>
      </c>
      <c r="E71" s="187">
        <v>18</v>
      </c>
      <c r="F71" s="319">
        <v>1636</v>
      </c>
      <c r="G71" s="322">
        <v>90.888888888888886</v>
      </c>
      <c r="H71" s="633"/>
      <c r="I71" s="204">
        <f t="shared" si="37"/>
        <v>18</v>
      </c>
      <c r="J71" s="204">
        <f t="shared" si="38"/>
        <v>1377.9468206071331</v>
      </c>
      <c r="K71" s="205">
        <f t="shared" si="39"/>
        <v>76.552601144840736</v>
      </c>
      <c r="L71" s="572"/>
      <c r="M71" s="206">
        <f>RANK(K71, K$67:$K$81)</f>
        <v>5</v>
      </c>
      <c r="N71" s="590"/>
      <c r="O71" s="590"/>
      <c r="P71" s="187">
        <f>'[2]（５-7）品群別人時生產性(熱食義麵) '!P51</f>
        <v>18</v>
      </c>
      <c r="Q71" s="187">
        <f>'[2]（５-7）品群別人時生產性(熱食義麵) '!Q51</f>
        <v>1376.842105263157</v>
      </c>
      <c r="R71" s="187">
        <f>'[2]（５-7）品群別人時生產性(熱食義麵) '!R51</f>
        <v>76.491228070175396</v>
      </c>
      <c r="S71" s="351">
        <f t="shared" si="40"/>
        <v>4</v>
      </c>
      <c r="T71" s="629"/>
      <c r="U71" s="187">
        <v>18</v>
      </c>
      <c r="V71" s="187">
        <v>1400.5714285714273</v>
      </c>
      <c r="W71" s="187">
        <v>77.809523809523739</v>
      </c>
      <c r="X71" s="351">
        <f t="shared" si="41"/>
        <v>4</v>
      </c>
      <c r="Y71" s="629"/>
      <c r="Z71" s="187">
        <v>18</v>
      </c>
      <c r="AA71" s="187">
        <v>1391.6129032258077</v>
      </c>
      <c r="AB71" s="187">
        <v>77.311827956989319</v>
      </c>
      <c r="AC71" s="351">
        <f t="shared" si="42"/>
        <v>6</v>
      </c>
      <c r="AD71" s="629"/>
      <c r="AE71" s="187">
        <v>18</v>
      </c>
      <c r="AF71" s="187">
        <v>1371.111111111112</v>
      </c>
      <c r="AG71" s="187">
        <v>76.172839506172892</v>
      </c>
      <c r="AH71" s="351">
        <f t="shared" si="43"/>
        <v>5</v>
      </c>
      <c r="AI71" s="629"/>
      <c r="AJ71" s="187">
        <v>18</v>
      </c>
      <c r="AK71" s="187">
        <v>1388.8235294117628</v>
      </c>
      <c r="AL71" s="187">
        <v>77.156862745097939</v>
      </c>
      <c r="AM71" s="351">
        <f t="shared" si="44"/>
        <v>4</v>
      </c>
      <c r="AN71" s="629"/>
      <c r="AO71" s="187">
        <v>18</v>
      </c>
      <c r="AP71" s="187">
        <v>1379.9999999999989</v>
      </c>
      <c r="AQ71" s="187">
        <v>76.6666666666666</v>
      </c>
      <c r="AR71" s="351">
        <f t="shared" si="45"/>
        <v>3</v>
      </c>
      <c r="AS71" s="629"/>
      <c r="AT71" s="187">
        <v>18</v>
      </c>
      <c r="AU71" s="187">
        <v>1336.6666666666656</v>
      </c>
      <c r="AV71" s="187">
        <v>74.259259259259196</v>
      </c>
      <c r="AW71" s="351">
        <f t="shared" si="46"/>
        <v>5</v>
      </c>
      <c r="AX71" s="629"/>
    </row>
    <row r="72" spans="2:50">
      <c r="B72" s="598"/>
      <c r="C72" s="319">
        <v>6</v>
      </c>
      <c r="D72" s="231" t="s">
        <v>792</v>
      </c>
      <c r="E72" s="187">
        <v>9</v>
      </c>
      <c r="F72" s="319">
        <v>1500</v>
      </c>
      <c r="G72" s="322">
        <v>166.66666666666666</v>
      </c>
      <c r="H72" s="633"/>
      <c r="I72" s="204">
        <f t="shared" si="37"/>
        <v>8.1428571428571423</v>
      </c>
      <c r="J72" s="204">
        <f t="shared" si="38"/>
        <v>1355.1275946275948</v>
      </c>
      <c r="K72" s="205">
        <f t="shared" si="39"/>
        <v>166.68724562474566</v>
      </c>
      <c r="L72" s="572"/>
      <c r="M72" s="206">
        <f>RANK(K72, K$67:$K$81)</f>
        <v>1</v>
      </c>
      <c r="N72" s="590"/>
      <c r="O72" s="590"/>
      <c r="P72" s="187">
        <f>'[2]（５-7）品群別人時生產性(熱食義麵) '!P52</f>
        <v>9</v>
      </c>
      <c r="Q72" s="187">
        <f>'[2]（５-7）品群別人時生產性(熱食義麵) '!Q52</f>
        <v>1362.6666666666667</v>
      </c>
      <c r="R72" s="187">
        <f>'[2]（５-7）品群別人時生產性(熱食義麵) '!R52</f>
        <v>151.40740740740742</v>
      </c>
      <c r="S72" s="351">
        <f t="shared" si="40"/>
        <v>1</v>
      </c>
      <c r="T72" s="629"/>
      <c r="U72" s="187">
        <v>8</v>
      </c>
      <c r="V72" s="187">
        <v>1404.6153846153854</v>
      </c>
      <c r="W72" s="187">
        <v>175.57692307692318</v>
      </c>
      <c r="X72" s="351">
        <f t="shared" si="41"/>
        <v>1</v>
      </c>
      <c r="Y72" s="629"/>
      <c r="Z72" s="187">
        <v>8</v>
      </c>
      <c r="AA72" s="187">
        <v>1190.0000000000011</v>
      </c>
      <c r="AB72" s="187">
        <v>148.75000000000014</v>
      </c>
      <c r="AC72" s="351">
        <f t="shared" si="42"/>
        <v>1</v>
      </c>
      <c r="AD72" s="629"/>
      <c r="AE72" s="187">
        <v>8</v>
      </c>
      <c r="AF72" s="187">
        <v>1358.0000000000014</v>
      </c>
      <c r="AG72" s="187">
        <v>169.75000000000017</v>
      </c>
      <c r="AH72" s="351">
        <f t="shared" si="43"/>
        <v>1</v>
      </c>
      <c r="AI72" s="629"/>
      <c r="AJ72" s="187">
        <v>8</v>
      </c>
      <c r="AK72" s="187">
        <v>1357.5000000000005</v>
      </c>
      <c r="AL72" s="187">
        <v>169.68750000000006</v>
      </c>
      <c r="AM72" s="351">
        <f t="shared" si="44"/>
        <v>1</v>
      </c>
      <c r="AN72" s="629"/>
      <c r="AO72" s="187">
        <v>8</v>
      </c>
      <c r="AP72" s="187">
        <v>1411.1111111111106</v>
      </c>
      <c r="AQ72" s="187">
        <v>176.38888888888883</v>
      </c>
      <c r="AR72" s="351">
        <f t="shared" si="45"/>
        <v>1</v>
      </c>
      <c r="AS72" s="629"/>
      <c r="AT72" s="187">
        <v>8</v>
      </c>
      <c r="AU72" s="187">
        <v>1401.9999999999993</v>
      </c>
      <c r="AV72" s="187">
        <v>175.24999999999991</v>
      </c>
      <c r="AW72" s="351">
        <f t="shared" si="46"/>
        <v>1</v>
      </c>
      <c r="AX72" s="629"/>
    </row>
    <row r="73" spans="2:50">
      <c r="B73" s="598"/>
      <c r="C73" s="319">
        <v>7</v>
      </c>
      <c r="D73" s="231" t="s">
        <v>642</v>
      </c>
      <c r="E73" s="187">
        <v>18</v>
      </c>
      <c r="F73" s="319">
        <v>1636</v>
      </c>
      <c r="G73" s="322">
        <v>90.888888888888886</v>
      </c>
      <c r="H73" s="633"/>
      <c r="I73" s="204">
        <f t="shared" si="37"/>
        <v>18</v>
      </c>
      <c r="J73" s="204">
        <f t="shared" si="38"/>
        <v>1395.4115627361405</v>
      </c>
      <c r="K73" s="205">
        <f t="shared" si="39"/>
        <v>77.522864596452237</v>
      </c>
      <c r="L73" s="572"/>
      <c r="M73" s="206">
        <f>RANK(K73, K$67:$K$81)</f>
        <v>3</v>
      </c>
      <c r="N73" s="590"/>
      <c r="O73" s="590"/>
      <c r="P73" s="187">
        <f>'[2]（５-7）品群別人時生產性(熱食義麵) '!P53</f>
        <v>18</v>
      </c>
      <c r="Q73" s="187">
        <f>'[2]（５-7）品群別人時生產性(熱食義麵) '!Q53</f>
        <v>1375.9807228915665</v>
      </c>
      <c r="R73" s="187">
        <f>'[2]（５-7）品群別人時生產性(熱食義麵) '!R53</f>
        <v>76.443373493975912</v>
      </c>
      <c r="S73" s="351">
        <f t="shared" si="40"/>
        <v>5</v>
      </c>
      <c r="T73" s="629"/>
      <c r="U73" s="187">
        <v>18</v>
      </c>
      <c r="V73" s="187">
        <v>1417.1739130434783</v>
      </c>
      <c r="W73" s="187">
        <v>78.731884057971016</v>
      </c>
      <c r="X73" s="351">
        <f t="shared" si="41"/>
        <v>3</v>
      </c>
      <c r="Y73" s="629"/>
      <c r="Z73" s="187">
        <v>18</v>
      </c>
      <c r="AA73" s="187">
        <v>1392.1621621621618</v>
      </c>
      <c r="AB73" s="187">
        <v>77.34234234234232</v>
      </c>
      <c r="AC73" s="351">
        <f t="shared" si="42"/>
        <v>5</v>
      </c>
      <c r="AD73" s="629"/>
      <c r="AE73" s="187">
        <v>18</v>
      </c>
      <c r="AF73" s="187">
        <v>1423.0985915492961</v>
      </c>
      <c r="AG73" s="187">
        <v>79.061032863849789</v>
      </c>
      <c r="AH73" s="351">
        <f t="shared" si="43"/>
        <v>3</v>
      </c>
      <c r="AI73" s="629"/>
      <c r="AJ73" s="187">
        <v>18</v>
      </c>
      <c r="AK73" s="187">
        <v>1418.0487804878051</v>
      </c>
      <c r="AL73" s="187">
        <v>78.780487804878064</v>
      </c>
      <c r="AM73" s="351">
        <f t="shared" si="44"/>
        <v>3</v>
      </c>
      <c r="AN73" s="629"/>
      <c r="AO73" s="187">
        <v>18</v>
      </c>
      <c r="AP73" s="187">
        <v>1366.9306930693069</v>
      </c>
      <c r="AQ73" s="187">
        <v>75.940594059405939</v>
      </c>
      <c r="AR73" s="351">
        <f t="shared" si="45"/>
        <v>4</v>
      </c>
      <c r="AS73" s="629"/>
      <c r="AT73" s="187">
        <v>18</v>
      </c>
      <c r="AU73" s="187">
        <v>1374.486075949367</v>
      </c>
      <c r="AV73" s="187">
        <v>76.360337552742607</v>
      </c>
      <c r="AW73" s="351">
        <f t="shared" si="46"/>
        <v>4</v>
      </c>
      <c r="AX73" s="629"/>
    </row>
    <row r="74" spans="2:50">
      <c r="B74" s="598"/>
      <c r="C74" s="319">
        <v>8</v>
      </c>
      <c r="D74" s="231" t="s">
        <v>660</v>
      </c>
      <c r="E74" s="187">
        <v>18</v>
      </c>
      <c r="F74" s="319">
        <v>1636</v>
      </c>
      <c r="G74" s="322">
        <v>90.888888888888886</v>
      </c>
      <c r="H74" s="633"/>
      <c r="I74" s="204">
        <f t="shared" ref="I74:K76" si="47">AVERAGE(P74,U74,Z74,AE74,AJ74,AO74,AT74)</f>
        <v>17.285714285714285</v>
      </c>
      <c r="J74" s="204">
        <f t="shared" si="47"/>
        <v>1389.6040094902478</v>
      </c>
      <c r="K74" s="205">
        <f t="shared" si="47"/>
        <v>80.450247576719804</v>
      </c>
      <c r="L74" s="572"/>
      <c r="M74" s="206">
        <f>RANK(K74, K$67:$K$81)</f>
        <v>2</v>
      </c>
      <c r="N74" s="590"/>
      <c r="O74" s="590"/>
      <c r="P74" s="187">
        <f>'[2]（５-7）品群別人時生產性(熱食義麵) '!P54</f>
        <v>17</v>
      </c>
      <c r="Q74" s="187">
        <f>'[2]（５-7）品群別人時生產性(熱食義麵) '!Q54</f>
        <v>1349.9999999999998</v>
      </c>
      <c r="R74" s="187">
        <f>'[2]（５-7）品群別人時生產性(熱食義麵) '!R54</f>
        <v>79.411764705882334</v>
      </c>
      <c r="S74" s="351">
        <f t="shared" si="40"/>
        <v>2</v>
      </c>
      <c r="T74" s="629"/>
      <c r="U74" s="187">
        <v>17</v>
      </c>
      <c r="V74" s="187">
        <v>1406.1176470588232</v>
      </c>
      <c r="W74" s="187">
        <v>82.712802768166071</v>
      </c>
      <c r="X74" s="351">
        <f t="shared" si="41"/>
        <v>2</v>
      </c>
      <c r="Y74" s="629"/>
      <c r="Z74" s="187">
        <v>18</v>
      </c>
      <c r="AA74" s="187">
        <v>1403.2835820895523</v>
      </c>
      <c r="AB74" s="187">
        <v>77.960199004975124</v>
      </c>
      <c r="AC74" s="351">
        <f t="shared" si="42"/>
        <v>3</v>
      </c>
      <c r="AD74" s="629"/>
      <c r="AE74" s="187">
        <v>17</v>
      </c>
      <c r="AF74" s="187">
        <v>1398.0952380952378</v>
      </c>
      <c r="AG74" s="187">
        <v>82.240896358543409</v>
      </c>
      <c r="AH74" s="351">
        <f t="shared" si="43"/>
        <v>2</v>
      </c>
      <c r="AI74" s="629"/>
      <c r="AJ74" s="187">
        <v>17</v>
      </c>
      <c r="AK74" s="187">
        <v>1407.5675675675679</v>
      </c>
      <c r="AL74" s="187">
        <v>82.798092209856932</v>
      </c>
      <c r="AM74" s="351">
        <f t="shared" si="44"/>
        <v>2</v>
      </c>
      <c r="AN74" s="629"/>
      <c r="AO74" s="187">
        <v>18</v>
      </c>
      <c r="AP74" s="187">
        <v>1362.391304347826</v>
      </c>
      <c r="AQ74" s="187">
        <v>75.688405797101439</v>
      </c>
      <c r="AR74" s="351">
        <f t="shared" si="45"/>
        <v>6</v>
      </c>
      <c r="AS74" s="629"/>
      <c r="AT74" s="187">
        <v>17</v>
      </c>
      <c r="AU74" s="187">
        <v>1399.7727272727273</v>
      </c>
      <c r="AV74" s="187">
        <v>82.339572192513373</v>
      </c>
      <c r="AW74" s="351">
        <f t="shared" si="46"/>
        <v>2</v>
      </c>
      <c r="AX74" s="629"/>
    </row>
    <row r="75" spans="2:50">
      <c r="B75" s="598"/>
      <c r="C75" s="319">
        <v>9</v>
      </c>
      <c r="D75" s="231" t="s">
        <v>661</v>
      </c>
      <c r="E75" s="187">
        <v>20</v>
      </c>
      <c r="F75" s="319">
        <v>1300</v>
      </c>
      <c r="G75" s="322">
        <v>65</v>
      </c>
      <c r="H75" s="633"/>
      <c r="I75" s="204">
        <f t="shared" si="47"/>
        <v>19</v>
      </c>
      <c r="J75" s="204">
        <f t="shared" si="47"/>
        <v>925.8473467776447</v>
      </c>
      <c r="K75" s="205">
        <f t="shared" si="47"/>
        <v>48.728807725139191</v>
      </c>
      <c r="L75" s="572"/>
      <c r="M75" s="206">
        <f>RANK(K75, K$67:$K$81)</f>
        <v>10</v>
      </c>
      <c r="N75" s="590"/>
      <c r="O75" s="590"/>
      <c r="P75" s="187">
        <f>'[2]（５-7）品群別人時生產性(熱食義麵) '!P55</f>
        <v>19</v>
      </c>
      <c r="Q75" s="187">
        <f>'[2]（５-7）品群別人時生產性(熱食義麵) '!Q55</f>
        <v>916.87499999999886</v>
      </c>
      <c r="R75" s="187">
        <f>'[2]（５-7）品群別人時生產性(熱食義麵) '!R55</f>
        <v>48.256578947368361</v>
      </c>
      <c r="S75" s="351">
        <f t="shared" si="40"/>
        <v>10</v>
      </c>
      <c r="T75" s="629"/>
      <c r="U75" s="187">
        <v>19</v>
      </c>
      <c r="V75" s="187">
        <v>943.63636363636238</v>
      </c>
      <c r="W75" s="187">
        <v>49.665071770334862</v>
      </c>
      <c r="X75" s="351">
        <f t="shared" si="41"/>
        <v>10</v>
      </c>
      <c r="Y75" s="629"/>
      <c r="Z75" s="187">
        <v>19</v>
      </c>
      <c r="AA75" s="187">
        <v>918.46153846153607</v>
      </c>
      <c r="AB75" s="187">
        <v>48.340080971659795</v>
      </c>
      <c r="AC75" s="351">
        <f t="shared" si="42"/>
        <v>10</v>
      </c>
      <c r="AD75" s="629"/>
      <c r="AE75" s="187">
        <v>19</v>
      </c>
      <c r="AF75" s="187">
        <v>932.14285714285518</v>
      </c>
      <c r="AG75" s="187">
        <v>49.060150375939749</v>
      </c>
      <c r="AH75" s="351">
        <f t="shared" si="43"/>
        <v>10</v>
      </c>
      <c r="AI75" s="629"/>
      <c r="AJ75" s="187">
        <v>19</v>
      </c>
      <c r="AK75" s="187">
        <v>921.4285714285694</v>
      </c>
      <c r="AL75" s="187">
        <v>48.496240601503651</v>
      </c>
      <c r="AM75" s="351">
        <f t="shared" si="44"/>
        <v>10</v>
      </c>
      <c r="AN75" s="629"/>
      <c r="AO75" s="187">
        <v>19</v>
      </c>
      <c r="AP75" s="187">
        <v>907.7419354838695</v>
      </c>
      <c r="AQ75" s="187">
        <v>47.77589134125629</v>
      </c>
      <c r="AR75" s="351">
        <f t="shared" si="45"/>
        <v>10</v>
      </c>
      <c r="AS75" s="629"/>
      <c r="AT75" s="187">
        <v>19</v>
      </c>
      <c r="AU75" s="187">
        <v>940.64516129032108</v>
      </c>
      <c r="AV75" s="187">
        <v>49.507640067911638</v>
      </c>
      <c r="AW75" s="351">
        <f t="shared" si="46"/>
        <v>10</v>
      </c>
      <c r="AX75" s="629"/>
    </row>
    <row r="76" spans="2:50">
      <c r="B76" s="598"/>
      <c r="C76" s="319">
        <v>10</v>
      </c>
      <c r="D76" s="231" t="s">
        <v>706</v>
      </c>
      <c r="E76" s="187">
        <v>19</v>
      </c>
      <c r="F76" s="319">
        <v>1440</v>
      </c>
      <c r="G76" s="322">
        <v>75.78947368421052</v>
      </c>
      <c r="H76" s="633"/>
      <c r="I76" s="204">
        <f t="shared" si="47"/>
        <v>19</v>
      </c>
      <c r="J76" s="204">
        <f t="shared" si="47"/>
        <v>1242.8604089607168</v>
      </c>
      <c r="K76" s="205">
        <f t="shared" si="47"/>
        <v>65.413705734774581</v>
      </c>
      <c r="L76" s="572"/>
      <c r="M76" s="206">
        <f>RANK(K76, K$67:$K$81)</f>
        <v>9</v>
      </c>
      <c r="N76" s="590"/>
      <c r="O76" s="590"/>
      <c r="P76" s="187">
        <f>'[2]（５-7）品群別人時生產性(熱食義麵) '!P56</f>
        <v>19</v>
      </c>
      <c r="Q76" s="187">
        <f>'[2]（５-7）品群別人時生產性(熱食義麵) '!Q56</f>
        <v>1256.4000000000003</v>
      </c>
      <c r="R76" s="187">
        <f>'[2]（５-7）品群別人時生產性(熱食義麵) '!R56</f>
        <v>66.126315789473708</v>
      </c>
      <c r="S76" s="351">
        <f t="shared" si="40"/>
        <v>8</v>
      </c>
      <c r="T76" s="629"/>
      <c r="U76" s="187">
        <v>19</v>
      </c>
      <c r="V76" s="187">
        <v>1239.8709677419351</v>
      </c>
      <c r="W76" s="187">
        <v>65.256366723259745</v>
      </c>
      <c r="X76" s="351">
        <f t="shared" si="41"/>
        <v>8</v>
      </c>
      <c r="Y76" s="629"/>
      <c r="Z76" s="187">
        <v>19</v>
      </c>
      <c r="AA76" s="187">
        <v>1231.6800000000003</v>
      </c>
      <c r="AB76" s="187">
        <v>64.825263157894753</v>
      </c>
      <c r="AC76" s="351">
        <f t="shared" si="42"/>
        <v>9</v>
      </c>
      <c r="AD76" s="629"/>
      <c r="AE76" s="187">
        <v>19</v>
      </c>
      <c r="AF76" s="187">
        <v>1236.3157894736842</v>
      </c>
      <c r="AG76" s="187">
        <v>65.069252077562325</v>
      </c>
      <c r="AH76" s="351">
        <f t="shared" si="43"/>
        <v>8</v>
      </c>
      <c r="AI76" s="629"/>
      <c r="AJ76" s="187">
        <v>19</v>
      </c>
      <c r="AK76" s="187">
        <v>1267.826086956522</v>
      </c>
      <c r="AL76" s="187">
        <v>66.727688787185372</v>
      </c>
      <c r="AM76" s="351">
        <f t="shared" si="44"/>
        <v>9</v>
      </c>
      <c r="AN76" s="629"/>
      <c r="AO76" s="187">
        <v>19</v>
      </c>
      <c r="AP76" s="187">
        <v>1219.5918367346944</v>
      </c>
      <c r="AQ76" s="187">
        <v>64.189044038668129</v>
      </c>
      <c r="AR76" s="351">
        <f t="shared" si="45"/>
        <v>9</v>
      </c>
      <c r="AS76" s="629"/>
      <c r="AT76" s="187">
        <v>19</v>
      </c>
      <c r="AU76" s="187">
        <v>1248.3381818181815</v>
      </c>
      <c r="AV76" s="187">
        <v>65.702009569377978</v>
      </c>
      <c r="AW76" s="351">
        <f t="shared" si="46"/>
        <v>9</v>
      </c>
      <c r="AX76" s="629"/>
    </row>
    <row r="77" spans="2:50">
      <c r="B77" s="598"/>
      <c r="C77" s="319">
        <v>11</v>
      </c>
      <c r="D77" s="231"/>
      <c r="E77" s="187"/>
      <c r="F77" s="319"/>
      <c r="G77" s="322"/>
      <c r="H77" s="633"/>
      <c r="I77" s="207"/>
      <c r="J77" s="207"/>
      <c r="K77" s="207"/>
      <c r="L77" s="572"/>
      <c r="M77" s="206" t="e">
        <f>RANK(K77, K$67:$K$81)</f>
        <v>#N/A</v>
      </c>
      <c r="N77" s="590"/>
      <c r="O77" s="590"/>
      <c r="P77" s="187"/>
      <c r="Q77" s="187"/>
      <c r="R77" s="187"/>
      <c r="S77" s="351" t="e">
        <f t="shared" si="40"/>
        <v>#N/A</v>
      </c>
      <c r="T77" s="629"/>
      <c r="U77" s="187"/>
      <c r="V77" s="187"/>
      <c r="W77" s="187"/>
      <c r="X77" s="351" t="e">
        <f t="shared" si="41"/>
        <v>#N/A</v>
      </c>
      <c r="Y77" s="629"/>
      <c r="Z77" s="187"/>
      <c r="AA77" s="187"/>
      <c r="AB77" s="187"/>
      <c r="AC77" s="351" t="e">
        <f t="shared" si="42"/>
        <v>#N/A</v>
      </c>
      <c r="AD77" s="629"/>
      <c r="AE77" s="187"/>
      <c r="AF77" s="187"/>
      <c r="AG77" s="187"/>
      <c r="AH77" s="351" t="e">
        <f t="shared" si="43"/>
        <v>#N/A</v>
      </c>
      <c r="AI77" s="629"/>
      <c r="AJ77" s="187"/>
      <c r="AK77" s="187"/>
      <c r="AL77" s="187"/>
      <c r="AM77" s="351" t="e">
        <f t="shared" si="44"/>
        <v>#N/A</v>
      </c>
      <c r="AN77" s="629"/>
      <c r="AO77" s="187"/>
      <c r="AP77" s="187"/>
      <c r="AQ77" s="187"/>
      <c r="AR77" s="351" t="e">
        <f t="shared" si="45"/>
        <v>#N/A</v>
      </c>
      <c r="AS77" s="629"/>
      <c r="AT77" s="187"/>
      <c r="AU77" s="187"/>
      <c r="AV77" s="187"/>
      <c r="AW77" s="351" t="e">
        <f t="shared" si="46"/>
        <v>#N/A</v>
      </c>
      <c r="AX77" s="629"/>
    </row>
    <row r="78" spans="2:50">
      <c r="B78" s="598"/>
      <c r="C78" s="319">
        <v>12</v>
      </c>
      <c r="D78" s="231"/>
      <c r="E78" s="187"/>
      <c r="F78" s="319"/>
      <c r="G78" s="322"/>
      <c r="H78" s="633"/>
      <c r="I78" s="207"/>
      <c r="J78" s="207"/>
      <c r="K78" s="207"/>
      <c r="L78" s="572"/>
      <c r="M78" s="206" t="e">
        <f>RANK(K78, K$67:$K$81)</f>
        <v>#N/A</v>
      </c>
      <c r="N78" s="590"/>
      <c r="O78" s="590"/>
      <c r="P78" s="187"/>
      <c r="Q78" s="187"/>
      <c r="R78" s="187"/>
      <c r="S78" s="351" t="e">
        <f t="shared" si="40"/>
        <v>#N/A</v>
      </c>
      <c r="T78" s="629"/>
      <c r="U78" s="187"/>
      <c r="V78" s="187"/>
      <c r="W78" s="187"/>
      <c r="X78" s="351" t="e">
        <f t="shared" si="41"/>
        <v>#N/A</v>
      </c>
      <c r="Y78" s="629"/>
      <c r="Z78" s="187"/>
      <c r="AA78" s="187"/>
      <c r="AB78" s="187"/>
      <c r="AC78" s="351" t="e">
        <f t="shared" si="42"/>
        <v>#N/A</v>
      </c>
      <c r="AD78" s="629"/>
      <c r="AE78" s="187"/>
      <c r="AF78" s="187"/>
      <c r="AG78" s="187"/>
      <c r="AH78" s="351" t="e">
        <f t="shared" si="43"/>
        <v>#N/A</v>
      </c>
      <c r="AI78" s="629"/>
      <c r="AJ78" s="187"/>
      <c r="AK78" s="187"/>
      <c r="AL78" s="187"/>
      <c r="AM78" s="351" t="e">
        <f t="shared" si="44"/>
        <v>#N/A</v>
      </c>
      <c r="AN78" s="629"/>
      <c r="AO78" s="187"/>
      <c r="AP78" s="187"/>
      <c r="AQ78" s="187"/>
      <c r="AR78" s="351" t="e">
        <f t="shared" si="45"/>
        <v>#N/A</v>
      </c>
      <c r="AS78" s="629"/>
      <c r="AT78" s="187"/>
      <c r="AU78" s="187"/>
      <c r="AV78" s="187"/>
      <c r="AW78" s="351" t="e">
        <f t="shared" si="46"/>
        <v>#N/A</v>
      </c>
      <c r="AX78" s="629"/>
    </row>
    <row r="79" spans="2:50">
      <c r="B79" s="598"/>
      <c r="C79" s="319">
        <v>13</v>
      </c>
      <c r="D79" s="231"/>
      <c r="E79" s="187"/>
      <c r="F79" s="319"/>
      <c r="G79" s="322"/>
      <c r="H79" s="633"/>
      <c r="I79" s="207"/>
      <c r="J79" s="207"/>
      <c r="K79" s="207"/>
      <c r="L79" s="572"/>
      <c r="M79" s="206" t="e">
        <f>RANK(K79, K$67:$K$81)</f>
        <v>#N/A</v>
      </c>
      <c r="N79" s="590"/>
      <c r="O79" s="590"/>
      <c r="P79" s="187"/>
      <c r="Q79" s="187"/>
      <c r="R79" s="187"/>
      <c r="S79" s="351" t="e">
        <f t="shared" si="40"/>
        <v>#N/A</v>
      </c>
      <c r="T79" s="629"/>
      <c r="U79" s="187"/>
      <c r="V79" s="187"/>
      <c r="W79" s="187"/>
      <c r="X79" s="351" t="e">
        <f t="shared" si="41"/>
        <v>#N/A</v>
      </c>
      <c r="Y79" s="629"/>
      <c r="Z79" s="187"/>
      <c r="AA79" s="187"/>
      <c r="AB79" s="187"/>
      <c r="AC79" s="351" t="e">
        <f t="shared" si="42"/>
        <v>#N/A</v>
      </c>
      <c r="AD79" s="629"/>
      <c r="AE79" s="187"/>
      <c r="AF79" s="187"/>
      <c r="AG79" s="187"/>
      <c r="AH79" s="351" t="e">
        <f t="shared" si="43"/>
        <v>#N/A</v>
      </c>
      <c r="AI79" s="629"/>
      <c r="AJ79" s="187"/>
      <c r="AK79" s="187"/>
      <c r="AL79" s="187"/>
      <c r="AM79" s="351" t="e">
        <f t="shared" si="44"/>
        <v>#N/A</v>
      </c>
      <c r="AN79" s="629"/>
      <c r="AO79" s="187"/>
      <c r="AP79" s="187"/>
      <c r="AQ79" s="187"/>
      <c r="AR79" s="351" t="e">
        <f t="shared" si="45"/>
        <v>#N/A</v>
      </c>
      <c r="AS79" s="629"/>
      <c r="AT79" s="187"/>
      <c r="AU79" s="187"/>
      <c r="AV79" s="187"/>
      <c r="AW79" s="351" t="e">
        <f t="shared" si="46"/>
        <v>#N/A</v>
      </c>
      <c r="AX79" s="629"/>
    </row>
    <row r="80" spans="2:50">
      <c r="B80" s="598"/>
      <c r="C80" s="319">
        <v>14</v>
      </c>
      <c r="D80" s="231"/>
      <c r="E80" s="187"/>
      <c r="F80" s="319"/>
      <c r="G80" s="322"/>
      <c r="H80" s="633"/>
      <c r="I80" s="207"/>
      <c r="J80" s="207"/>
      <c r="K80" s="207"/>
      <c r="L80" s="572"/>
      <c r="M80" s="206" t="e">
        <f>RANK(K80, K$67:$K$81)</f>
        <v>#N/A</v>
      </c>
      <c r="N80" s="590"/>
      <c r="O80" s="590"/>
      <c r="P80" s="187"/>
      <c r="Q80" s="187"/>
      <c r="R80" s="187"/>
      <c r="S80" s="351" t="e">
        <f t="shared" si="40"/>
        <v>#N/A</v>
      </c>
      <c r="T80" s="629"/>
      <c r="U80" s="187"/>
      <c r="V80" s="187"/>
      <c r="W80" s="187"/>
      <c r="X80" s="351" t="e">
        <f t="shared" si="41"/>
        <v>#N/A</v>
      </c>
      <c r="Y80" s="629"/>
      <c r="Z80" s="187"/>
      <c r="AA80" s="187"/>
      <c r="AB80" s="187"/>
      <c r="AC80" s="351" t="e">
        <f t="shared" si="42"/>
        <v>#N/A</v>
      </c>
      <c r="AD80" s="629"/>
      <c r="AE80" s="187"/>
      <c r="AF80" s="187"/>
      <c r="AG80" s="187"/>
      <c r="AH80" s="351" t="e">
        <f t="shared" si="43"/>
        <v>#N/A</v>
      </c>
      <c r="AI80" s="629"/>
      <c r="AJ80" s="187"/>
      <c r="AK80" s="187"/>
      <c r="AL80" s="187"/>
      <c r="AM80" s="351" t="e">
        <f t="shared" si="44"/>
        <v>#N/A</v>
      </c>
      <c r="AN80" s="629"/>
      <c r="AO80" s="187"/>
      <c r="AP80" s="187"/>
      <c r="AQ80" s="187"/>
      <c r="AR80" s="351" t="e">
        <f t="shared" si="45"/>
        <v>#N/A</v>
      </c>
      <c r="AS80" s="629"/>
      <c r="AT80" s="187"/>
      <c r="AU80" s="187"/>
      <c r="AV80" s="187"/>
      <c r="AW80" s="351" t="e">
        <f t="shared" si="46"/>
        <v>#N/A</v>
      </c>
      <c r="AX80" s="629"/>
    </row>
    <row r="81" spans="2:50">
      <c r="B81" s="598"/>
      <c r="C81" s="319">
        <v>15</v>
      </c>
      <c r="D81" s="231"/>
      <c r="E81" s="187"/>
      <c r="F81" s="319"/>
      <c r="G81" s="322"/>
      <c r="H81" s="634"/>
      <c r="I81" s="207"/>
      <c r="J81" s="207"/>
      <c r="K81" s="207"/>
      <c r="L81" s="573"/>
      <c r="M81" s="206" t="e">
        <f>RANK(K81, K$67:$K$81)</f>
        <v>#N/A</v>
      </c>
      <c r="N81" s="590"/>
      <c r="O81" s="590"/>
      <c r="P81" s="187"/>
      <c r="Q81" s="187"/>
      <c r="R81" s="187"/>
      <c r="S81" s="351" t="e">
        <f t="shared" si="40"/>
        <v>#N/A</v>
      </c>
      <c r="T81" s="629"/>
      <c r="U81" s="187"/>
      <c r="V81" s="187"/>
      <c r="W81" s="187"/>
      <c r="X81" s="351" t="e">
        <f t="shared" si="41"/>
        <v>#N/A</v>
      </c>
      <c r="Y81" s="629"/>
      <c r="Z81" s="187"/>
      <c r="AA81" s="187"/>
      <c r="AB81" s="187"/>
      <c r="AC81" s="351" t="e">
        <f t="shared" si="42"/>
        <v>#N/A</v>
      </c>
      <c r="AD81" s="629"/>
      <c r="AE81" s="187"/>
      <c r="AF81" s="187"/>
      <c r="AG81" s="187"/>
      <c r="AH81" s="351" t="e">
        <f t="shared" si="43"/>
        <v>#N/A</v>
      </c>
      <c r="AI81" s="629"/>
      <c r="AJ81" s="187"/>
      <c r="AK81" s="187"/>
      <c r="AL81" s="187"/>
      <c r="AM81" s="351" t="e">
        <f t="shared" si="44"/>
        <v>#N/A</v>
      </c>
      <c r="AN81" s="629"/>
      <c r="AO81" s="187"/>
      <c r="AP81" s="187"/>
      <c r="AQ81" s="187"/>
      <c r="AR81" s="351" t="e">
        <f t="shared" si="45"/>
        <v>#N/A</v>
      </c>
      <c r="AS81" s="629"/>
      <c r="AT81" s="187"/>
      <c r="AU81" s="187"/>
      <c r="AV81" s="187"/>
      <c r="AW81" s="351" t="e">
        <f t="shared" si="46"/>
        <v>#N/A</v>
      </c>
      <c r="AX81" s="629"/>
    </row>
    <row r="82" spans="2:50" ht="15.75">
      <c r="B82" s="602" t="s">
        <v>163</v>
      </c>
      <c r="C82" s="603"/>
      <c r="D82" s="603"/>
      <c r="E82" s="603"/>
      <c r="F82" s="603"/>
      <c r="G82" s="603"/>
      <c r="H82" s="604"/>
      <c r="I82" s="213"/>
      <c r="J82" s="213"/>
      <c r="K82" s="213"/>
      <c r="L82" s="213"/>
      <c r="M82" s="212"/>
      <c r="N82" s="591" t="s">
        <v>156</v>
      </c>
      <c r="O82" s="591" t="s">
        <v>105</v>
      </c>
      <c r="P82" s="597">
        <f>P62+7</f>
        <v>45958</v>
      </c>
      <c r="Q82" s="598"/>
      <c r="R82" s="598"/>
      <c r="S82" s="598"/>
      <c r="T82" s="598"/>
      <c r="U82" s="594">
        <f>P82+1</f>
        <v>45959</v>
      </c>
      <c r="V82" s="595"/>
      <c r="W82" s="595"/>
      <c r="X82" s="595"/>
      <c r="Y82" s="596"/>
      <c r="Z82" s="594">
        <f>U82+1</f>
        <v>45960</v>
      </c>
      <c r="AA82" s="595"/>
      <c r="AB82" s="595"/>
      <c r="AC82" s="595"/>
      <c r="AD82" s="596"/>
      <c r="AE82" s="594">
        <f>Z82+1</f>
        <v>45961</v>
      </c>
      <c r="AF82" s="595"/>
      <c r="AG82" s="595"/>
      <c r="AH82" s="595"/>
      <c r="AI82" s="596"/>
      <c r="AJ82" s="594">
        <f>AE82+1</f>
        <v>45962</v>
      </c>
      <c r="AK82" s="595"/>
      <c r="AL82" s="595"/>
      <c r="AM82" s="595"/>
      <c r="AN82" s="596"/>
      <c r="AO82" s="594">
        <f>AJ82+1</f>
        <v>45963</v>
      </c>
      <c r="AP82" s="595"/>
      <c r="AQ82" s="595"/>
      <c r="AR82" s="595"/>
      <c r="AS82" s="596"/>
      <c r="AT82" s="594">
        <f>AO82+1</f>
        <v>45964</v>
      </c>
      <c r="AU82" s="595"/>
      <c r="AV82" s="595"/>
      <c r="AW82" s="595"/>
      <c r="AX82" s="596"/>
    </row>
    <row r="83" spans="2:50" ht="15.75">
      <c r="B83" s="605"/>
      <c r="C83" s="605"/>
      <c r="D83" s="605"/>
      <c r="E83" s="605"/>
      <c r="F83" s="605"/>
      <c r="G83" s="605"/>
      <c r="H83" s="605"/>
      <c r="I83" s="210"/>
      <c r="J83" s="210"/>
      <c r="K83" s="210"/>
      <c r="L83" s="210"/>
      <c r="M83" s="211"/>
      <c r="N83" s="593"/>
      <c r="O83" s="593"/>
      <c r="P83" s="597" t="s">
        <v>336</v>
      </c>
      <c r="Q83" s="598"/>
      <c r="R83" s="598"/>
      <c r="S83" s="598"/>
      <c r="T83" s="598"/>
      <c r="U83" s="597" t="s">
        <v>337</v>
      </c>
      <c r="V83" s="598"/>
      <c r="W83" s="598"/>
      <c r="X83" s="598"/>
      <c r="Y83" s="598"/>
      <c r="Z83" s="597" t="s">
        <v>338</v>
      </c>
      <c r="AA83" s="598"/>
      <c r="AB83" s="598"/>
      <c r="AC83" s="598"/>
      <c r="AD83" s="598"/>
      <c r="AE83" s="597" t="s">
        <v>339</v>
      </c>
      <c r="AF83" s="598"/>
      <c r="AG83" s="598"/>
      <c r="AH83" s="598"/>
      <c r="AI83" s="598"/>
      <c r="AJ83" s="597" t="s">
        <v>340</v>
      </c>
      <c r="AK83" s="598"/>
      <c r="AL83" s="598"/>
      <c r="AM83" s="598"/>
      <c r="AN83" s="598"/>
      <c r="AO83" s="597" t="s">
        <v>341</v>
      </c>
      <c r="AP83" s="598"/>
      <c r="AQ83" s="598"/>
      <c r="AR83" s="598"/>
      <c r="AS83" s="598"/>
      <c r="AT83" s="597" t="s">
        <v>342</v>
      </c>
      <c r="AU83" s="598"/>
      <c r="AV83" s="598"/>
      <c r="AW83" s="598"/>
      <c r="AX83" s="598"/>
    </row>
    <row r="84" spans="2:50">
      <c r="B84" s="590" t="s">
        <v>476</v>
      </c>
      <c r="C84" s="590" t="s">
        <v>477</v>
      </c>
      <c r="D84" s="590"/>
      <c r="E84" s="590" t="s">
        <v>478</v>
      </c>
      <c r="F84" s="590"/>
      <c r="G84" s="590"/>
      <c r="H84" s="606" t="s">
        <v>479</v>
      </c>
      <c r="I84" s="574" t="s">
        <v>480</v>
      </c>
      <c r="J84" s="574"/>
      <c r="K84" s="574"/>
      <c r="L84" s="575" t="s">
        <v>479</v>
      </c>
      <c r="M84" s="581" t="s">
        <v>481</v>
      </c>
      <c r="N84" s="590"/>
      <c r="O84" s="590" t="s">
        <v>482</v>
      </c>
      <c r="P84" s="587" t="s">
        <v>483</v>
      </c>
      <c r="Q84" s="588"/>
      <c r="R84" s="588"/>
      <c r="S84" s="589"/>
      <c r="T84" s="590" t="s">
        <v>479</v>
      </c>
      <c r="U84" s="587" t="s">
        <v>483</v>
      </c>
      <c r="V84" s="588"/>
      <c r="W84" s="588"/>
      <c r="X84" s="589"/>
      <c r="Y84" s="590" t="s">
        <v>479</v>
      </c>
      <c r="Z84" s="587" t="s">
        <v>483</v>
      </c>
      <c r="AA84" s="588"/>
      <c r="AB84" s="588"/>
      <c r="AC84" s="589"/>
      <c r="AD84" s="590" t="s">
        <v>479</v>
      </c>
      <c r="AE84" s="587" t="s">
        <v>483</v>
      </c>
      <c r="AF84" s="588"/>
      <c r="AG84" s="588"/>
      <c r="AH84" s="589"/>
      <c r="AI84" s="590" t="s">
        <v>479</v>
      </c>
      <c r="AJ84" s="587" t="s">
        <v>483</v>
      </c>
      <c r="AK84" s="588"/>
      <c r="AL84" s="588"/>
      <c r="AM84" s="589"/>
      <c r="AN84" s="590" t="s">
        <v>479</v>
      </c>
      <c r="AO84" s="587" t="s">
        <v>483</v>
      </c>
      <c r="AP84" s="588"/>
      <c r="AQ84" s="588"/>
      <c r="AR84" s="589"/>
      <c r="AS84" s="590" t="s">
        <v>479</v>
      </c>
      <c r="AT84" s="587" t="s">
        <v>483</v>
      </c>
      <c r="AU84" s="588"/>
      <c r="AV84" s="588"/>
      <c r="AW84" s="589"/>
      <c r="AX84" s="590" t="s">
        <v>479</v>
      </c>
    </row>
    <row r="85" spans="2:50">
      <c r="B85" s="590"/>
      <c r="C85" s="590"/>
      <c r="D85" s="590"/>
      <c r="E85" s="590" t="s">
        <v>484</v>
      </c>
      <c r="F85" s="590"/>
      <c r="G85" s="590"/>
      <c r="H85" s="607"/>
      <c r="I85" s="574" t="s">
        <v>484</v>
      </c>
      <c r="J85" s="574"/>
      <c r="K85" s="574"/>
      <c r="L85" s="576"/>
      <c r="M85" s="582"/>
      <c r="N85" s="590"/>
      <c r="O85" s="590"/>
      <c r="P85" s="587" t="s">
        <v>485</v>
      </c>
      <c r="Q85" s="588"/>
      <c r="R85" s="588"/>
      <c r="S85" s="589"/>
      <c r="T85" s="590"/>
      <c r="U85" s="587" t="s">
        <v>485</v>
      </c>
      <c r="V85" s="588"/>
      <c r="W85" s="588"/>
      <c r="X85" s="589"/>
      <c r="Y85" s="590"/>
      <c r="Z85" s="587" t="s">
        <v>485</v>
      </c>
      <c r="AA85" s="588"/>
      <c r="AB85" s="588"/>
      <c r="AC85" s="589"/>
      <c r="AD85" s="590"/>
      <c r="AE85" s="587" t="s">
        <v>485</v>
      </c>
      <c r="AF85" s="588"/>
      <c r="AG85" s="588"/>
      <c r="AH85" s="589"/>
      <c r="AI85" s="590"/>
      <c r="AJ85" s="587" t="s">
        <v>485</v>
      </c>
      <c r="AK85" s="588"/>
      <c r="AL85" s="588"/>
      <c r="AM85" s="589"/>
      <c r="AN85" s="590"/>
      <c r="AO85" s="587" t="s">
        <v>485</v>
      </c>
      <c r="AP85" s="588"/>
      <c r="AQ85" s="588"/>
      <c r="AR85" s="589"/>
      <c r="AS85" s="590"/>
      <c r="AT85" s="587" t="s">
        <v>485</v>
      </c>
      <c r="AU85" s="588"/>
      <c r="AV85" s="588"/>
      <c r="AW85" s="589"/>
      <c r="AX85" s="590"/>
    </row>
    <row r="86" spans="2:50">
      <c r="B86" s="590"/>
      <c r="C86" s="590"/>
      <c r="D86" s="590"/>
      <c r="E86" s="307" t="s">
        <v>486</v>
      </c>
      <c r="F86" s="307" t="s">
        <v>487</v>
      </c>
      <c r="G86" s="307" t="s">
        <v>488</v>
      </c>
      <c r="H86" s="608"/>
      <c r="I86" s="309" t="s">
        <v>486</v>
      </c>
      <c r="J86" s="309" t="s">
        <v>487</v>
      </c>
      <c r="K86" s="309" t="s">
        <v>488</v>
      </c>
      <c r="L86" s="577"/>
      <c r="M86" s="583"/>
      <c r="N86" s="590"/>
      <c r="O86" s="590"/>
      <c r="P86" s="307" t="s">
        <v>486</v>
      </c>
      <c r="Q86" s="307" t="s">
        <v>487</v>
      </c>
      <c r="R86" s="307" t="s">
        <v>488</v>
      </c>
      <c r="S86" s="307" t="s">
        <v>481</v>
      </c>
      <c r="T86" s="590"/>
      <c r="U86" s="307" t="s">
        <v>486</v>
      </c>
      <c r="V86" s="307" t="s">
        <v>487</v>
      </c>
      <c r="W86" s="307" t="s">
        <v>488</v>
      </c>
      <c r="X86" s="307" t="s">
        <v>481</v>
      </c>
      <c r="Y86" s="590"/>
      <c r="Z86" s="307" t="s">
        <v>486</v>
      </c>
      <c r="AA86" s="307" t="s">
        <v>487</v>
      </c>
      <c r="AB86" s="307" t="s">
        <v>488</v>
      </c>
      <c r="AC86" s="307" t="s">
        <v>481</v>
      </c>
      <c r="AD86" s="590"/>
      <c r="AE86" s="307" t="s">
        <v>486</v>
      </c>
      <c r="AF86" s="307" t="s">
        <v>487</v>
      </c>
      <c r="AG86" s="307" t="s">
        <v>488</v>
      </c>
      <c r="AH86" s="307" t="s">
        <v>481</v>
      </c>
      <c r="AI86" s="590"/>
      <c r="AJ86" s="307" t="s">
        <v>486</v>
      </c>
      <c r="AK86" s="307" t="s">
        <v>487</v>
      </c>
      <c r="AL86" s="307" t="s">
        <v>488</v>
      </c>
      <c r="AM86" s="307" t="s">
        <v>481</v>
      </c>
      <c r="AN86" s="590"/>
      <c r="AO86" s="307" t="s">
        <v>486</v>
      </c>
      <c r="AP86" s="307" t="s">
        <v>487</v>
      </c>
      <c r="AQ86" s="307" t="s">
        <v>488</v>
      </c>
      <c r="AR86" s="307" t="s">
        <v>481</v>
      </c>
      <c r="AS86" s="590"/>
      <c r="AT86" s="307" t="s">
        <v>486</v>
      </c>
      <c r="AU86" s="307" t="s">
        <v>487</v>
      </c>
      <c r="AV86" s="307" t="s">
        <v>488</v>
      </c>
      <c r="AW86" s="307" t="s">
        <v>481</v>
      </c>
      <c r="AX86" s="590"/>
    </row>
    <row r="87" spans="2:50">
      <c r="B87" s="590" t="s">
        <v>493</v>
      </c>
      <c r="C87" s="306">
        <v>1</v>
      </c>
      <c r="D87" s="231" t="s">
        <v>406</v>
      </c>
      <c r="E87" s="187">
        <v>18</v>
      </c>
      <c r="F87" s="306">
        <v>1636</v>
      </c>
      <c r="G87" s="308">
        <v>90.888888888888886</v>
      </c>
      <c r="H87" s="632">
        <f>AVERAGE(G87:G101)</f>
        <v>90.655679394564842</v>
      </c>
      <c r="I87" s="204">
        <f>AVERAGE(P87,U87,Z87,AE87,AJ87,AO87,AT87)</f>
        <v>18</v>
      </c>
      <c r="J87" s="204">
        <f>AVERAGE(Q87,V87,AA87,AF87,AK87,AP87,AU87)</f>
        <v>1385.5325382245155</v>
      </c>
      <c r="K87" s="205">
        <f>AVERAGE(R87,W87,AB87,AG87,AL87,AQ87,AV87)</f>
        <v>76.974029901361973</v>
      </c>
      <c r="L87" s="571">
        <f>IFERROR(AVERAGE(K87:K101),"-")</f>
        <v>74.417644349161023</v>
      </c>
      <c r="M87" s="206">
        <f>RANK(K87, K$87:$K$101)</f>
        <v>4</v>
      </c>
      <c r="N87" s="590"/>
      <c r="O87" s="590"/>
      <c r="P87" s="187">
        <v>18</v>
      </c>
      <c r="Q87" s="187">
        <v>1420.3846153846157</v>
      </c>
      <c r="R87" s="187">
        <v>78.910256410256423</v>
      </c>
      <c r="S87" s="306">
        <f>RANK(R87, R$87:R$101)</f>
        <v>6</v>
      </c>
      <c r="T87" s="629">
        <f>AVERAGE(R87:R101)</f>
        <v>79.035687115755238</v>
      </c>
      <c r="U87" s="187">
        <v>18</v>
      </c>
      <c r="V87" s="187">
        <v>1378.3018867924532</v>
      </c>
      <c r="W87" s="187">
        <v>76.572327044025172</v>
      </c>
      <c r="X87" s="306">
        <f>RANK(W87, W$87:W$101)</f>
        <v>4</v>
      </c>
      <c r="Y87" s="629">
        <f>AVERAGE(W87:W101)</f>
        <v>74.256879003085629</v>
      </c>
      <c r="Z87" s="187">
        <v>18</v>
      </c>
      <c r="AA87" s="187">
        <v>1364.8543689320388</v>
      </c>
      <c r="AB87" s="187">
        <v>75.825242718446603</v>
      </c>
      <c r="AC87" s="306">
        <f>RANK(AB87, AB$87:AB$101)</f>
        <v>5</v>
      </c>
      <c r="AD87" s="629">
        <f>AVERAGE(AB87:AB101)</f>
        <v>76.930332841601185</v>
      </c>
      <c r="AE87" s="187">
        <v>18</v>
      </c>
      <c r="AF87" s="187">
        <v>1404.3037974683543</v>
      </c>
      <c r="AG87" s="187">
        <v>78.01687763713079</v>
      </c>
      <c r="AH87" s="306">
        <f>RANK(AG87, AG$87:AG$101)</f>
        <v>4</v>
      </c>
      <c r="AI87" s="629">
        <f>AVERAGE(AG87:AG101)</f>
        <v>78.427429558511491</v>
      </c>
      <c r="AJ87" s="187">
        <v>18</v>
      </c>
      <c r="AK87" s="187">
        <v>1365.542168674699</v>
      </c>
      <c r="AL87" s="187">
        <v>75.863453815261053</v>
      </c>
      <c r="AM87" s="306">
        <f>RANK(AL87, AL$87:AL$101)</f>
        <v>4</v>
      </c>
      <c r="AN87" s="629">
        <f>AVERAGE(AL87:AL101)</f>
        <v>77.129782083748296</v>
      </c>
      <c r="AO87" s="187">
        <v>18</v>
      </c>
      <c r="AP87" s="187">
        <v>1397.2277227722773</v>
      </c>
      <c r="AQ87" s="187">
        <v>77.623762376237622</v>
      </c>
      <c r="AR87" s="306">
        <f>RANK(AQ87, AQ$87:AQ$101)</f>
        <v>3</v>
      </c>
      <c r="AS87" s="629">
        <f>AVERAGE(AQ87:AQ101)</f>
        <v>79.791511202053101</v>
      </c>
      <c r="AT87" s="187">
        <v>18</v>
      </c>
      <c r="AU87" s="187">
        <v>1368.1132075471701</v>
      </c>
      <c r="AV87" s="187">
        <v>76.006289308176122</v>
      </c>
      <c r="AW87" s="306">
        <f>RANK(AV87, AV$87:AV$101)</f>
        <v>4</v>
      </c>
      <c r="AX87" s="629">
        <f>AVERAGE(AV87:AV101)</f>
        <v>79.400816298249779</v>
      </c>
    </row>
    <row r="88" spans="2:50">
      <c r="B88" s="598"/>
      <c r="C88" s="306">
        <v>2</v>
      </c>
      <c r="D88" s="231" t="s">
        <v>590</v>
      </c>
      <c r="E88" s="187">
        <v>19</v>
      </c>
      <c r="F88" s="306">
        <v>1440</v>
      </c>
      <c r="G88" s="308">
        <v>75.78947368421052</v>
      </c>
      <c r="H88" s="633"/>
      <c r="I88" s="204">
        <f t="shared" ref="I88:K93" si="48">AVERAGE(P88,U88,Z88,AE88,AJ88,AO88,AT88)</f>
        <v>18</v>
      </c>
      <c r="J88" s="204">
        <f t="shared" si="48"/>
        <v>1344.90707595768</v>
      </c>
      <c r="K88" s="205">
        <f t="shared" si="48"/>
        <v>74.717059775426648</v>
      </c>
      <c r="L88" s="572"/>
      <c r="M88" s="206">
        <f>RANK(K88, K$87:$K$101)</f>
        <v>6</v>
      </c>
      <c r="N88" s="590"/>
      <c r="O88" s="590"/>
      <c r="P88" s="187">
        <v>18</v>
      </c>
      <c r="Q88" s="187">
        <v>1359.4285714285711</v>
      </c>
      <c r="R88" s="187">
        <v>75.523809523809504</v>
      </c>
      <c r="S88" s="306">
        <f t="shared" ref="S88:S101" si="49">RANK(R88, R$87:R$101)</f>
        <v>7</v>
      </c>
      <c r="T88" s="629"/>
      <c r="U88" s="187">
        <v>18</v>
      </c>
      <c r="V88" s="187">
        <v>1351.6981132075473</v>
      </c>
      <c r="W88" s="187">
        <v>75.094339622641513</v>
      </c>
      <c r="X88" s="306">
        <f t="shared" ref="X88:X101" si="50">RANK(W88, W$87:W$101)</f>
        <v>5</v>
      </c>
      <c r="Y88" s="629"/>
      <c r="Z88" s="187">
        <v>18</v>
      </c>
      <c r="AA88" s="187">
        <v>1335.30612244898</v>
      </c>
      <c r="AB88" s="187">
        <v>74.18367346938777</v>
      </c>
      <c r="AC88" s="306">
        <f t="shared" ref="AC88:AC101" si="51">RANK(AB88, AB$87:AB$101)</f>
        <v>6</v>
      </c>
      <c r="AD88" s="629"/>
      <c r="AE88" s="187">
        <v>18</v>
      </c>
      <c r="AF88" s="187">
        <v>1346.3414634146343</v>
      </c>
      <c r="AG88" s="187">
        <v>74.796747967479689</v>
      </c>
      <c r="AH88" s="306">
        <f t="shared" ref="AH88:AH101" si="52">RANK(AG88, AG$87:AG$101)</f>
        <v>5</v>
      </c>
      <c r="AI88" s="629"/>
      <c r="AJ88" s="187">
        <v>18</v>
      </c>
      <c r="AK88" s="187">
        <v>1329.6551724137935</v>
      </c>
      <c r="AL88" s="187">
        <v>73.869731800766303</v>
      </c>
      <c r="AM88" s="306">
        <f t="shared" ref="AM88:AM101" si="53">RANK(AL88, AL$87:AL$101)</f>
        <v>5</v>
      </c>
      <c r="AN88" s="629"/>
      <c r="AO88" s="187">
        <v>18</v>
      </c>
      <c r="AP88" s="187">
        <v>1346.0377358490564</v>
      </c>
      <c r="AQ88" s="187">
        <v>74.779874213836464</v>
      </c>
      <c r="AR88" s="306">
        <f t="shared" ref="AR88:AR101" si="54">RANK(AQ88, AQ$87:AQ$101)</f>
        <v>5</v>
      </c>
      <c r="AS88" s="629"/>
      <c r="AT88" s="187">
        <v>18</v>
      </c>
      <c r="AU88" s="187">
        <v>1345.8823529411759</v>
      </c>
      <c r="AV88" s="187">
        <v>74.771241830065321</v>
      </c>
      <c r="AW88" s="306">
        <f t="shared" ref="AW88:AW101" si="55">RANK(AV88, AV$87:AV$101)</f>
        <v>6</v>
      </c>
      <c r="AX88" s="629"/>
    </row>
    <row r="89" spans="2:50">
      <c r="B89" s="598"/>
      <c r="C89" s="306">
        <v>3</v>
      </c>
      <c r="D89" s="231" t="s">
        <v>351</v>
      </c>
      <c r="E89" s="187">
        <v>17</v>
      </c>
      <c r="F89" s="306">
        <v>1636</v>
      </c>
      <c r="G89" s="308">
        <v>96.235294117647058</v>
      </c>
      <c r="H89" s="633"/>
      <c r="I89" s="204">
        <f t="shared" si="48"/>
        <v>17.142857142857142</v>
      </c>
      <c r="J89" s="204">
        <f t="shared" si="48"/>
        <v>1392.5815096827621</v>
      </c>
      <c r="K89" s="205">
        <f t="shared" si="48"/>
        <v>81.259318822456777</v>
      </c>
      <c r="L89" s="572"/>
      <c r="M89" s="206">
        <f>RANK(K89, K$87:$K$101)</f>
        <v>2</v>
      </c>
      <c r="N89" s="590"/>
      <c r="O89" s="590"/>
      <c r="P89" s="187">
        <v>17</v>
      </c>
      <c r="Q89" s="187">
        <v>1382.4972972972973</v>
      </c>
      <c r="R89" s="187">
        <v>81.32337042925279</v>
      </c>
      <c r="S89" s="306">
        <f t="shared" si="49"/>
        <v>5</v>
      </c>
      <c r="T89" s="629"/>
      <c r="U89" s="187">
        <v>18</v>
      </c>
      <c r="V89" s="187">
        <v>1407.8093023255813</v>
      </c>
      <c r="W89" s="187">
        <v>78.21162790697673</v>
      </c>
      <c r="X89" s="306">
        <f t="shared" si="50"/>
        <v>3</v>
      </c>
      <c r="Y89" s="629"/>
      <c r="Z89" s="187">
        <v>17</v>
      </c>
      <c r="AA89" s="187">
        <v>1406.7529411764701</v>
      </c>
      <c r="AB89" s="187">
        <v>82.750173010380593</v>
      </c>
      <c r="AC89" s="306">
        <f t="shared" si="51"/>
        <v>2</v>
      </c>
      <c r="AD89" s="629"/>
      <c r="AE89" s="187">
        <v>17</v>
      </c>
      <c r="AF89" s="187">
        <v>1399.286330935252</v>
      </c>
      <c r="AG89" s="187">
        <v>82.310960643250112</v>
      </c>
      <c r="AH89" s="306">
        <f t="shared" si="52"/>
        <v>3</v>
      </c>
      <c r="AI89" s="629"/>
      <c r="AJ89" s="187">
        <v>17</v>
      </c>
      <c r="AK89" s="187">
        <v>1366.3000000000004</v>
      </c>
      <c r="AL89" s="187">
        <v>80.370588235294136</v>
      </c>
      <c r="AM89" s="306">
        <f t="shared" si="53"/>
        <v>2</v>
      </c>
      <c r="AN89" s="629"/>
      <c r="AO89" s="187">
        <v>17</v>
      </c>
      <c r="AP89" s="187">
        <v>1378.5148514851485</v>
      </c>
      <c r="AQ89" s="187">
        <v>81.089108910891085</v>
      </c>
      <c r="AR89" s="306">
        <f t="shared" si="54"/>
        <v>2</v>
      </c>
      <c r="AS89" s="629"/>
      <c r="AT89" s="187">
        <v>17</v>
      </c>
      <c r="AU89" s="187">
        <v>1406.9098445595855</v>
      </c>
      <c r="AV89" s="187">
        <v>82.759402621152091</v>
      </c>
      <c r="AW89" s="306">
        <f t="shared" si="55"/>
        <v>2</v>
      </c>
      <c r="AX89" s="629"/>
    </row>
    <row r="90" spans="2:50">
      <c r="B90" s="598"/>
      <c r="C90" s="306">
        <v>4</v>
      </c>
      <c r="D90" s="231" t="s">
        <v>440</v>
      </c>
      <c r="E90" s="187">
        <v>20</v>
      </c>
      <c r="F90" s="306">
        <v>1636</v>
      </c>
      <c r="G90" s="308">
        <v>81.8</v>
      </c>
      <c r="H90" s="633"/>
      <c r="I90" s="204">
        <f t="shared" si="48"/>
        <v>20</v>
      </c>
      <c r="J90" s="204">
        <f t="shared" si="48"/>
        <v>1380.592054460476</v>
      </c>
      <c r="K90" s="205">
        <f t="shared" si="48"/>
        <v>69.0296027230238</v>
      </c>
      <c r="L90" s="572"/>
      <c r="M90" s="206">
        <f>RANK(K90, K$87:$K$101)</f>
        <v>7</v>
      </c>
      <c r="N90" s="590"/>
      <c r="O90" s="590"/>
      <c r="P90" s="187">
        <v>20</v>
      </c>
      <c r="Q90" s="187">
        <v>1388.0000000000007</v>
      </c>
      <c r="R90" s="187">
        <v>69.400000000000034</v>
      </c>
      <c r="S90" s="306">
        <f t="shared" si="49"/>
        <v>8</v>
      </c>
      <c r="T90" s="629"/>
      <c r="U90" s="187">
        <v>20</v>
      </c>
      <c r="V90" s="187">
        <v>1380.0000000000009</v>
      </c>
      <c r="W90" s="187">
        <v>69.000000000000043</v>
      </c>
      <c r="X90" s="306">
        <f t="shared" si="50"/>
        <v>7</v>
      </c>
      <c r="Y90" s="629"/>
      <c r="Z90" s="187">
        <v>20</v>
      </c>
      <c r="AA90" s="187">
        <v>1416.4864864864869</v>
      </c>
      <c r="AB90" s="187">
        <v>70.824324324324351</v>
      </c>
      <c r="AC90" s="306">
        <f t="shared" si="51"/>
        <v>7</v>
      </c>
      <c r="AD90" s="629"/>
      <c r="AE90" s="187">
        <v>20</v>
      </c>
      <c r="AF90" s="187">
        <v>1389.4736842105274</v>
      </c>
      <c r="AG90" s="187">
        <v>69.473684210526372</v>
      </c>
      <c r="AH90" s="306">
        <f t="shared" si="52"/>
        <v>7</v>
      </c>
      <c r="AI90" s="629"/>
      <c r="AJ90" s="187">
        <v>20</v>
      </c>
      <c r="AK90" s="187">
        <v>1368.9999999999993</v>
      </c>
      <c r="AL90" s="187">
        <v>68.44999999999996</v>
      </c>
      <c r="AM90" s="306">
        <f t="shared" si="53"/>
        <v>7</v>
      </c>
      <c r="AN90" s="629"/>
      <c r="AO90" s="187">
        <v>20</v>
      </c>
      <c r="AP90" s="187">
        <v>1362.5000000000005</v>
      </c>
      <c r="AQ90" s="187">
        <v>68.125000000000028</v>
      </c>
      <c r="AR90" s="306">
        <f t="shared" si="54"/>
        <v>8</v>
      </c>
      <c r="AS90" s="629"/>
      <c r="AT90" s="187">
        <v>20</v>
      </c>
      <c r="AU90" s="187">
        <v>1358.6842105263163</v>
      </c>
      <c r="AV90" s="187">
        <v>67.934210526315809</v>
      </c>
      <c r="AW90" s="306">
        <f t="shared" si="55"/>
        <v>7</v>
      </c>
      <c r="AX90" s="629"/>
    </row>
    <row r="91" spans="2:50">
      <c r="B91" s="598"/>
      <c r="C91" s="306">
        <v>5</v>
      </c>
      <c r="D91" s="231" t="s">
        <v>468</v>
      </c>
      <c r="E91" s="187">
        <v>17</v>
      </c>
      <c r="F91" s="306">
        <v>1636</v>
      </c>
      <c r="G91" s="308">
        <v>96.235294117647058</v>
      </c>
      <c r="H91" s="633"/>
      <c r="I91" s="204">
        <f t="shared" si="48"/>
        <v>17.714285714285715</v>
      </c>
      <c r="J91" s="204">
        <f t="shared" si="48"/>
        <v>1356.3712436806725</v>
      </c>
      <c r="K91" s="205">
        <f t="shared" si="48"/>
        <v>76.647874241573746</v>
      </c>
      <c r="L91" s="572"/>
      <c r="M91" s="206">
        <f>RANK(K91, K$87:$K$101)</f>
        <v>5</v>
      </c>
      <c r="N91" s="590"/>
      <c r="O91" s="590"/>
      <c r="P91" s="187">
        <v>17</v>
      </c>
      <c r="Q91" s="187">
        <v>1393.3333333333337</v>
      </c>
      <c r="R91" s="187">
        <v>81.960784313725512</v>
      </c>
      <c r="S91" s="306">
        <f t="shared" si="49"/>
        <v>4</v>
      </c>
      <c r="T91" s="629"/>
      <c r="U91" s="187">
        <v>17</v>
      </c>
      <c r="V91" s="187">
        <v>1378.2352941176468</v>
      </c>
      <c r="W91" s="187">
        <v>81.072664359861577</v>
      </c>
      <c r="X91" s="306">
        <f t="shared" si="50"/>
        <v>2</v>
      </c>
      <c r="Y91" s="629"/>
      <c r="Z91" s="187">
        <v>18</v>
      </c>
      <c r="AA91" s="187">
        <v>1372.7272727272727</v>
      </c>
      <c r="AB91" s="187">
        <v>76.26262626262627</v>
      </c>
      <c r="AC91" s="306">
        <f t="shared" si="51"/>
        <v>4</v>
      </c>
      <c r="AD91" s="629"/>
      <c r="AE91" s="187">
        <v>18</v>
      </c>
      <c r="AF91" s="187">
        <v>1337.7777777777785</v>
      </c>
      <c r="AG91" s="187">
        <v>74.32098765432103</v>
      </c>
      <c r="AH91" s="306">
        <f t="shared" si="52"/>
        <v>6</v>
      </c>
      <c r="AI91" s="629"/>
      <c r="AJ91" s="187">
        <v>18</v>
      </c>
      <c r="AK91" s="187">
        <v>1327.7419354838705</v>
      </c>
      <c r="AL91" s="187">
        <v>73.763440860215027</v>
      </c>
      <c r="AM91" s="306">
        <f t="shared" si="53"/>
        <v>6</v>
      </c>
      <c r="AN91" s="629"/>
      <c r="AO91" s="187">
        <v>18</v>
      </c>
      <c r="AP91" s="187">
        <v>1324.1379310344819</v>
      </c>
      <c r="AQ91" s="187">
        <v>73.56321839080455</v>
      </c>
      <c r="AR91" s="306">
        <f t="shared" si="54"/>
        <v>6</v>
      </c>
      <c r="AS91" s="629"/>
      <c r="AT91" s="187">
        <v>18</v>
      </c>
      <c r="AU91" s="187">
        <v>1360.645161290322</v>
      </c>
      <c r="AV91" s="187">
        <v>75.591397849462339</v>
      </c>
      <c r="AW91" s="306">
        <f t="shared" si="55"/>
        <v>5</v>
      </c>
      <c r="AX91" s="629"/>
    </row>
    <row r="92" spans="2:50">
      <c r="B92" s="598"/>
      <c r="C92" s="306">
        <v>6</v>
      </c>
      <c r="D92" s="231" t="s">
        <v>792</v>
      </c>
      <c r="E92" s="187">
        <v>12</v>
      </c>
      <c r="F92" s="306">
        <v>1500</v>
      </c>
      <c r="G92" s="308">
        <v>125</v>
      </c>
      <c r="H92" s="633"/>
      <c r="I92" s="204">
        <f t="shared" si="48"/>
        <v>11.142857142857142</v>
      </c>
      <c r="J92" s="204">
        <f t="shared" si="48"/>
        <v>1386.8721699949315</v>
      </c>
      <c r="K92" s="205">
        <f t="shared" si="48"/>
        <v>126.83664361431561</v>
      </c>
      <c r="L92" s="572"/>
      <c r="M92" s="206">
        <f>RANK(K92, K$87:$K$101)</f>
        <v>1</v>
      </c>
      <c r="N92" s="590"/>
      <c r="O92" s="590"/>
      <c r="P92" s="187">
        <v>12</v>
      </c>
      <c r="Q92" s="187">
        <v>1386.3829787234044</v>
      </c>
      <c r="R92" s="187">
        <v>115.53191489361704</v>
      </c>
      <c r="S92" s="306">
        <f t="shared" si="49"/>
        <v>1</v>
      </c>
      <c r="T92" s="629"/>
      <c r="U92" s="187">
        <v>8</v>
      </c>
      <c r="V92" s="187">
        <v>1386.0000000000002</v>
      </c>
      <c r="W92" s="187">
        <v>173.25000000000003</v>
      </c>
      <c r="X92" s="306">
        <f t="shared" si="50"/>
        <v>1</v>
      </c>
      <c r="Y92" s="629"/>
      <c r="Z92" s="187">
        <v>12</v>
      </c>
      <c r="AA92" s="187">
        <v>1376.1702127659578</v>
      </c>
      <c r="AB92" s="187">
        <v>114.68085106382982</v>
      </c>
      <c r="AC92" s="306">
        <f t="shared" si="51"/>
        <v>1</v>
      </c>
      <c r="AD92" s="629"/>
      <c r="AE92" s="187">
        <v>11</v>
      </c>
      <c r="AF92" s="187">
        <v>1377.2093023255811</v>
      </c>
      <c r="AG92" s="187">
        <v>125.20084566596192</v>
      </c>
      <c r="AH92" s="306">
        <f t="shared" si="52"/>
        <v>1</v>
      </c>
      <c r="AI92" s="629"/>
      <c r="AJ92" s="187">
        <v>11</v>
      </c>
      <c r="AK92" s="187">
        <v>1407.6923076923069</v>
      </c>
      <c r="AL92" s="187">
        <v>127.9720279720279</v>
      </c>
      <c r="AM92" s="306">
        <f t="shared" si="53"/>
        <v>1</v>
      </c>
      <c r="AN92" s="629"/>
      <c r="AO92" s="187">
        <v>12</v>
      </c>
      <c r="AP92" s="187">
        <v>1408.2352941176475</v>
      </c>
      <c r="AQ92" s="187">
        <v>117.35294117647062</v>
      </c>
      <c r="AR92" s="306">
        <f t="shared" si="54"/>
        <v>1</v>
      </c>
      <c r="AS92" s="629"/>
      <c r="AT92" s="187">
        <v>12</v>
      </c>
      <c r="AU92" s="187">
        <v>1366.4150943396232</v>
      </c>
      <c r="AV92" s="187">
        <v>113.86792452830194</v>
      </c>
      <c r="AW92" s="306">
        <f t="shared" si="55"/>
        <v>1</v>
      </c>
      <c r="AX92" s="629"/>
    </row>
    <row r="93" spans="2:50">
      <c r="B93" s="598"/>
      <c r="C93" s="306">
        <v>7</v>
      </c>
      <c r="D93" s="231" t="s">
        <v>642</v>
      </c>
      <c r="E93" s="187">
        <v>17</v>
      </c>
      <c r="F93" s="306">
        <v>1636</v>
      </c>
      <c r="G93" s="308">
        <v>96.235294117647058</v>
      </c>
      <c r="H93" s="633"/>
      <c r="I93" s="204">
        <f t="shared" si="48"/>
        <v>17.714285714285715</v>
      </c>
      <c r="J93" s="204">
        <f t="shared" si="48"/>
        <v>1382.4224459601417</v>
      </c>
      <c r="K93" s="205">
        <f t="shared" si="48"/>
        <v>78.115652396700668</v>
      </c>
      <c r="L93" s="572"/>
      <c r="M93" s="206">
        <f>RANK(K93, K$87:$K$101)</f>
        <v>3</v>
      </c>
      <c r="N93" s="590"/>
      <c r="O93" s="590"/>
      <c r="P93" s="187">
        <v>17</v>
      </c>
      <c r="Q93" s="187">
        <v>1415.7303370786517</v>
      </c>
      <c r="R93" s="187">
        <v>83.278255122273634</v>
      </c>
      <c r="S93" s="306">
        <f t="shared" si="49"/>
        <v>2</v>
      </c>
      <c r="T93" s="629"/>
      <c r="U93" s="187">
        <v>18</v>
      </c>
      <c r="V93" s="187">
        <v>1348.7499999999998</v>
      </c>
      <c r="W93" s="187">
        <v>74.930555555555543</v>
      </c>
      <c r="X93" s="306">
        <f t="shared" si="50"/>
        <v>6</v>
      </c>
      <c r="Y93" s="629"/>
      <c r="Z93" s="187">
        <v>18</v>
      </c>
      <c r="AA93" s="187">
        <v>1389.3333333333333</v>
      </c>
      <c r="AB93" s="187">
        <v>77.185185185185176</v>
      </c>
      <c r="AC93" s="306">
        <f t="shared" si="51"/>
        <v>3</v>
      </c>
      <c r="AD93" s="629"/>
      <c r="AE93" s="187">
        <v>17</v>
      </c>
      <c r="AF93" s="187">
        <v>1399.7260273972599</v>
      </c>
      <c r="AG93" s="187">
        <v>82.336825141015296</v>
      </c>
      <c r="AH93" s="306">
        <f t="shared" si="52"/>
        <v>2</v>
      </c>
      <c r="AI93" s="629"/>
      <c r="AJ93" s="187">
        <v>18</v>
      </c>
      <c r="AK93" s="187">
        <v>1370.8860759493671</v>
      </c>
      <c r="AL93" s="187">
        <v>76.160337552742618</v>
      </c>
      <c r="AM93" s="306">
        <f t="shared" si="53"/>
        <v>3</v>
      </c>
      <c r="AN93" s="629"/>
      <c r="AO93" s="187">
        <v>18</v>
      </c>
      <c r="AP93" s="187">
        <v>1369.7727272727273</v>
      </c>
      <c r="AQ93" s="187">
        <v>76.098484848484844</v>
      </c>
      <c r="AR93" s="306">
        <f t="shared" si="54"/>
        <v>4</v>
      </c>
      <c r="AS93" s="629"/>
      <c r="AT93" s="187">
        <v>18</v>
      </c>
      <c r="AU93" s="187">
        <v>1382.7586206896549</v>
      </c>
      <c r="AV93" s="187">
        <v>76.819923371647491</v>
      </c>
      <c r="AW93" s="306">
        <f t="shared" si="55"/>
        <v>3</v>
      </c>
      <c r="AX93" s="629"/>
    </row>
    <row r="94" spans="2:50">
      <c r="B94" s="598"/>
      <c r="C94" s="306">
        <v>8</v>
      </c>
      <c r="D94" s="231" t="s">
        <v>660</v>
      </c>
      <c r="E94" s="187">
        <v>17</v>
      </c>
      <c r="F94" s="306">
        <v>1636</v>
      </c>
      <c r="G94" s="308">
        <v>96.235294117647058</v>
      </c>
      <c r="H94" s="633"/>
      <c r="I94" s="204">
        <f t="shared" ref="I94:I96" si="56">AVERAGE(P94,U94,Z94,AE94,AJ94,AO94,AT94)</f>
        <v>8.5</v>
      </c>
      <c r="J94" s="204">
        <f t="shared" ref="J94:J96" si="57">AVERAGE(Q94,V94,AA94,AF94,AK94,AP94,AU94)</f>
        <v>706.82926829268263</v>
      </c>
      <c r="K94" s="205">
        <f t="shared" ref="K94:K96" si="58">AVERAGE(R94,W94,AB94,AG94,AL94,AQ94,AV94)</f>
        <v>41.578192252510746</v>
      </c>
      <c r="L94" s="572"/>
      <c r="M94" s="206">
        <f>RANK(K94, K$87:$K$101)</f>
        <v>10</v>
      </c>
      <c r="N94" s="590"/>
      <c r="O94" s="590"/>
      <c r="P94" s="187">
        <v>17</v>
      </c>
      <c r="Q94" s="187">
        <v>1413.6585365853653</v>
      </c>
      <c r="R94" s="187">
        <v>83.156384505021492</v>
      </c>
      <c r="S94" s="306">
        <f t="shared" si="49"/>
        <v>3</v>
      </c>
      <c r="T94" s="629"/>
      <c r="U94" s="187">
        <v>0</v>
      </c>
      <c r="V94" s="187">
        <v>0</v>
      </c>
      <c r="W94" s="187">
        <v>0</v>
      </c>
      <c r="X94" s="306">
        <f t="shared" si="50"/>
        <v>10</v>
      </c>
      <c r="Y94" s="629"/>
      <c r="Z94" s="187"/>
      <c r="AA94" s="187"/>
      <c r="AB94" s="187"/>
      <c r="AC94" s="306" t="e">
        <f t="shared" si="51"/>
        <v>#N/A</v>
      </c>
      <c r="AD94" s="629"/>
      <c r="AE94" s="187"/>
      <c r="AF94" s="187"/>
      <c r="AG94" s="187"/>
      <c r="AH94" s="306" t="e">
        <f t="shared" si="52"/>
        <v>#N/A</v>
      </c>
      <c r="AI94" s="629"/>
      <c r="AJ94" s="187"/>
      <c r="AK94" s="187"/>
      <c r="AL94" s="187"/>
      <c r="AM94" s="306" t="e">
        <f t="shared" si="53"/>
        <v>#N/A</v>
      </c>
      <c r="AN94" s="629"/>
      <c r="AO94" s="187"/>
      <c r="AP94" s="187"/>
      <c r="AQ94" s="187"/>
      <c r="AR94" s="306" t="e">
        <f t="shared" si="54"/>
        <v>#N/A</v>
      </c>
      <c r="AS94" s="629"/>
      <c r="AT94" s="187"/>
      <c r="AU94" s="187"/>
      <c r="AV94" s="187"/>
      <c r="AW94" s="306" t="e">
        <f t="shared" si="55"/>
        <v>#N/A</v>
      </c>
      <c r="AX94" s="629"/>
    </row>
    <row r="95" spans="2:50">
      <c r="B95" s="598"/>
      <c r="C95" s="306">
        <v>9</v>
      </c>
      <c r="D95" s="231" t="s">
        <v>661</v>
      </c>
      <c r="E95" s="187">
        <v>18</v>
      </c>
      <c r="F95" s="306">
        <v>1200</v>
      </c>
      <c r="G95" s="308">
        <v>66.666666666666671</v>
      </c>
      <c r="H95" s="633"/>
      <c r="I95" s="204">
        <f t="shared" si="56"/>
        <v>18</v>
      </c>
      <c r="J95" s="204">
        <f t="shared" si="57"/>
        <v>922.42765469824371</v>
      </c>
      <c r="K95" s="205">
        <f t="shared" si="58"/>
        <v>51.245980816569102</v>
      </c>
      <c r="L95" s="572"/>
      <c r="M95" s="206">
        <f>RANK(K95, K$87:$K$101)</f>
        <v>9</v>
      </c>
      <c r="N95" s="590"/>
      <c r="O95" s="590"/>
      <c r="P95" s="187">
        <v>18</v>
      </c>
      <c r="Q95" s="187">
        <v>947.27272727272828</v>
      </c>
      <c r="R95" s="187">
        <v>52.62626262626268</v>
      </c>
      <c r="S95" s="306">
        <f t="shared" si="49"/>
        <v>10</v>
      </c>
      <c r="T95" s="629"/>
      <c r="U95" s="187">
        <v>18</v>
      </c>
      <c r="V95" s="187">
        <v>905.29411764705992</v>
      </c>
      <c r="W95" s="187">
        <v>50.294117647058883</v>
      </c>
      <c r="X95" s="306">
        <f t="shared" si="50"/>
        <v>9</v>
      </c>
      <c r="Y95" s="629"/>
      <c r="Z95" s="187">
        <v>18</v>
      </c>
      <c r="AA95" s="187">
        <v>930.00000000000091</v>
      </c>
      <c r="AB95" s="187">
        <v>51.666666666666714</v>
      </c>
      <c r="AC95" s="306">
        <f t="shared" si="51"/>
        <v>9</v>
      </c>
      <c r="AD95" s="629"/>
      <c r="AE95" s="187">
        <v>18</v>
      </c>
      <c r="AF95" s="187">
        <v>936.00000000000034</v>
      </c>
      <c r="AG95" s="187">
        <v>52.000000000000021</v>
      </c>
      <c r="AH95" s="306">
        <f t="shared" si="52"/>
        <v>9</v>
      </c>
      <c r="AI95" s="629"/>
      <c r="AJ95" s="187">
        <v>18</v>
      </c>
      <c r="AK95" s="187">
        <v>893.57142857142924</v>
      </c>
      <c r="AL95" s="187">
        <v>49.642857142857181</v>
      </c>
      <c r="AM95" s="306">
        <f t="shared" si="53"/>
        <v>9</v>
      </c>
      <c r="AN95" s="629"/>
      <c r="AO95" s="187"/>
      <c r="AP95" s="187"/>
      <c r="AQ95" s="187"/>
      <c r="AR95" s="306" t="e">
        <f t="shared" si="54"/>
        <v>#N/A</v>
      </c>
      <c r="AS95" s="629"/>
      <c r="AT95" s="187"/>
      <c r="AU95" s="187"/>
      <c r="AV95" s="187"/>
      <c r="AW95" s="306" t="e">
        <f t="shared" si="55"/>
        <v>#N/A</v>
      </c>
      <c r="AX95" s="629"/>
    </row>
    <row r="96" spans="2:50">
      <c r="B96" s="598"/>
      <c r="C96" s="306">
        <v>10</v>
      </c>
      <c r="D96" s="231" t="s">
        <v>706</v>
      </c>
      <c r="E96" s="187">
        <v>17</v>
      </c>
      <c r="F96" s="306">
        <v>1385</v>
      </c>
      <c r="G96" s="308">
        <v>81.470588235294116</v>
      </c>
      <c r="H96" s="633"/>
      <c r="I96" s="204">
        <f t="shared" si="56"/>
        <v>18.142857142857142</v>
      </c>
      <c r="J96" s="204">
        <f t="shared" si="57"/>
        <v>1229.0609093287599</v>
      </c>
      <c r="K96" s="205">
        <f t="shared" si="58"/>
        <v>67.772088947671278</v>
      </c>
      <c r="L96" s="572"/>
      <c r="M96" s="206">
        <f>RANK(K96, K$87:$K$101)</f>
        <v>8</v>
      </c>
      <c r="N96" s="590"/>
      <c r="O96" s="590"/>
      <c r="P96" s="187">
        <v>18</v>
      </c>
      <c r="Q96" s="187">
        <v>1235.6249999999998</v>
      </c>
      <c r="R96" s="187">
        <v>68.645833333333314</v>
      </c>
      <c r="S96" s="306">
        <f t="shared" si="49"/>
        <v>9</v>
      </c>
      <c r="T96" s="629"/>
      <c r="U96" s="187">
        <v>19</v>
      </c>
      <c r="V96" s="187">
        <v>1218.7200000000005</v>
      </c>
      <c r="W96" s="187">
        <v>64.143157894736873</v>
      </c>
      <c r="X96" s="306">
        <f t="shared" si="50"/>
        <v>8</v>
      </c>
      <c r="Y96" s="629"/>
      <c r="Z96" s="187">
        <v>18</v>
      </c>
      <c r="AA96" s="187">
        <v>1241.8965517241381</v>
      </c>
      <c r="AB96" s="187">
        <v>68.994252873563227</v>
      </c>
      <c r="AC96" s="306">
        <f t="shared" si="51"/>
        <v>8</v>
      </c>
      <c r="AD96" s="629"/>
      <c r="AE96" s="187">
        <v>18</v>
      </c>
      <c r="AF96" s="187">
        <v>1213.018867924528</v>
      </c>
      <c r="AG96" s="187">
        <v>67.389937106918225</v>
      </c>
      <c r="AH96" s="306">
        <f t="shared" si="52"/>
        <v>8</v>
      </c>
      <c r="AI96" s="629"/>
      <c r="AJ96" s="187">
        <v>18</v>
      </c>
      <c r="AK96" s="187">
        <v>1225.3608247422683</v>
      </c>
      <c r="AL96" s="187">
        <v>68.075601374570454</v>
      </c>
      <c r="AM96" s="306">
        <f t="shared" si="53"/>
        <v>8</v>
      </c>
      <c r="AN96" s="629"/>
      <c r="AO96" s="187">
        <v>18</v>
      </c>
      <c r="AP96" s="187">
        <v>1254.5945945945946</v>
      </c>
      <c r="AQ96" s="187">
        <v>69.699699699699693</v>
      </c>
      <c r="AR96" s="306">
        <f t="shared" si="54"/>
        <v>7</v>
      </c>
      <c r="AS96" s="629"/>
      <c r="AT96" s="187">
        <v>18</v>
      </c>
      <c r="AU96" s="187">
        <v>1214.2105263157894</v>
      </c>
      <c r="AV96" s="187">
        <v>67.456140350877192</v>
      </c>
      <c r="AW96" s="306">
        <f t="shared" si="55"/>
        <v>8</v>
      </c>
      <c r="AX96" s="629"/>
    </row>
    <row r="97" spans="2:50">
      <c r="B97" s="598"/>
      <c r="C97" s="306">
        <v>11</v>
      </c>
      <c r="D97" s="231"/>
      <c r="E97" s="187"/>
      <c r="F97" s="306"/>
      <c r="G97" s="308"/>
      <c r="H97" s="633"/>
      <c r="I97" s="207"/>
      <c r="J97" s="207"/>
      <c r="K97" s="207"/>
      <c r="L97" s="572"/>
      <c r="M97" s="206" t="e">
        <f>RANK(K97, K$87:$K$101)</f>
        <v>#N/A</v>
      </c>
      <c r="N97" s="590"/>
      <c r="O97" s="590"/>
      <c r="P97" s="187"/>
      <c r="Q97" s="187"/>
      <c r="R97" s="187"/>
      <c r="S97" s="306" t="e">
        <f t="shared" si="49"/>
        <v>#N/A</v>
      </c>
      <c r="T97" s="629"/>
      <c r="U97" s="187"/>
      <c r="V97" s="187"/>
      <c r="W97" s="187"/>
      <c r="X97" s="306">
        <f t="shared" si="50"/>
        <v>10</v>
      </c>
      <c r="Y97" s="629"/>
      <c r="Z97" s="187"/>
      <c r="AA97" s="187"/>
      <c r="AB97" s="187"/>
      <c r="AC97" s="306" t="e">
        <f t="shared" si="51"/>
        <v>#N/A</v>
      </c>
      <c r="AD97" s="629"/>
      <c r="AE97" s="187"/>
      <c r="AF97" s="187"/>
      <c r="AG97" s="187"/>
      <c r="AH97" s="306" t="e">
        <f t="shared" si="52"/>
        <v>#N/A</v>
      </c>
      <c r="AI97" s="629"/>
      <c r="AJ97" s="187"/>
      <c r="AK97" s="187"/>
      <c r="AL97" s="187"/>
      <c r="AM97" s="306" t="e">
        <f t="shared" si="53"/>
        <v>#N/A</v>
      </c>
      <c r="AN97" s="629"/>
      <c r="AO97" s="187"/>
      <c r="AP97" s="187"/>
      <c r="AQ97" s="187"/>
      <c r="AR97" s="306" t="e">
        <f t="shared" si="54"/>
        <v>#N/A</v>
      </c>
      <c r="AS97" s="629"/>
      <c r="AT97" s="187"/>
      <c r="AU97" s="187"/>
      <c r="AV97" s="187"/>
      <c r="AW97" s="306" t="e">
        <f t="shared" si="55"/>
        <v>#N/A</v>
      </c>
      <c r="AX97" s="629"/>
    </row>
    <row r="98" spans="2:50">
      <c r="B98" s="598"/>
      <c r="C98" s="306">
        <v>12</v>
      </c>
      <c r="D98" s="231"/>
      <c r="E98" s="187"/>
      <c r="F98" s="306"/>
      <c r="G98" s="308"/>
      <c r="H98" s="633"/>
      <c r="I98" s="207"/>
      <c r="J98" s="207"/>
      <c r="K98" s="207"/>
      <c r="L98" s="572"/>
      <c r="M98" s="206" t="e">
        <f>RANK(K98, K$87:$K$101)</f>
        <v>#N/A</v>
      </c>
      <c r="N98" s="590"/>
      <c r="O98" s="590"/>
      <c r="P98" s="187"/>
      <c r="Q98" s="187"/>
      <c r="R98" s="187"/>
      <c r="S98" s="306" t="e">
        <f t="shared" si="49"/>
        <v>#N/A</v>
      </c>
      <c r="T98" s="629"/>
      <c r="U98" s="187"/>
      <c r="V98" s="187"/>
      <c r="W98" s="187"/>
      <c r="X98" s="306">
        <f t="shared" si="50"/>
        <v>10</v>
      </c>
      <c r="Y98" s="629"/>
      <c r="Z98" s="187"/>
      <c r="AA98" s="187"/>
      <c r="AB98" s="187"/>
      <c r="AC98" s="306" t="e">
        <f t="shared" si="51"/>
        <v>#N/A</v>
      </c>
      <c r="AD98" s="629"/>
      <c r="AE98" s="187"/>
      <c r="AF98" s="187"/>
      <c r="AG98" s="187"/>
      <c r="AH98" s="306" t="e">
        <f t="shared" si="52"/>
        <v>#N/A</v>
      </c>
      <c r="AI98" s="629"/>
      <c r="AJ98" s="187"/>
      <c r="AK98" s="187"/>
      <c r="AL98" s="187"/>
      <c r="AM98" s="306" t="e">
        <f t="shared" si="53"/>
        <v>#N/A</v>
      </c>
      <c r="AN98" s="629"/>
      <c r="AO98" s="187"/>
      <c r="AP98" s="187"/>
      <c r="AQ98" s="187"/>
      <c r="AR98" s="306" t="e">
        <f t="shared" si="54"/>
        <v>#N/A</v>
      </c>
      <c r="AS98" s="629"/>
      <c r="AT98" s="187"/>
      <c r="AU98" s="187"/>
      <c r="AV98" s="187"/>
      <c r="AW98" s="306" t="e">
        <f t="shared" si="55"/>
        <v>#N/A</v>
      </c>
      <c r="AX98" s="629"/>
    </row>
    <row r="99" spans="2:50">
      <c r="B99" s="598"/>
      <c r="C99" s="306">
        <v>13</v>
      </c>
      <c r="D99" s="231"/>
      <c r="E99" s="187"/>
      <c r="F99" s="306"/>
      <c r="G99" s="308"/>
      <c r="H99" s="633"/>
      <c r="I99" s="207"/>
      <c r="J99" s="207"/>
      <c r="K99" s="207"/>
      <c r="L99" s="572"/>
      <c r="M99" s="206" t="e">
        <f>RANK(K99, K$87:$K$101)</f>
        <v>#N/A</v>
      </c>
      <c r="N99" s="590"/>
      <c r="O99" s="590"/>
      <c r="P99" s="187"/>
      <c r="Q99" s="187"/>
      <c r="R99" s="187"/>
      <c r="S99" s="306" t="e">
        <f t="shared" si="49"/>
        <v>#N/A</v>
      </c>
      <c r="T99" s="629"/>
      <c r="U99" s="187"/>
      <c r="V99" s="187"/>
      <c r="W99" s="187"/>
      <c r="X99" s="306">
        <f t="shared" si="50"/>
        <v>10</v>
      </c>
      <c r="Y99" s="629"/>
      <c r="Z99" s="187"/>
      <c r="AA99" s="187"/>
      <c r="AB99" s="187"/>
      <c r="AC99" s="306" t="e">
        <f t="shared" si="51"/>
        <v>#N/A</v>
      </c>
      <c r="AD99" s="629"/>
      <c r="AE99" s="187"/>
      <c r="AF99" s="187"/>
      <c r="AG99" s="187"/>
      <c r="AH99" s="306" t="e">
        <f t="shared" si="52"/>
        <v>#N/A</v>
      </c>
      <c r="AI99" s="629"/>
      <c r="AJ99" s="187"/>
      <c r="AK99" s="187"/>
      <c r="AL99" s="187"/>
      <c r="AM99" s="306" t="e">
        <f t="shared" si="53"/>
        <v>#N/A</v>
      </c>
      <c r="AN99" s="629"/>
      <c r="AO99" s="187"/>
      <c r="AP99" s="187"/>
      <c r="AQ99" s="187"/>
      <c r="AR99" s="306" t="e">
        <f t="shared" si="54"/>
        <v>#N/A</v>
      </c>
      <c r="AS99" s="629"/>
      <c r="AT99" s="187"/>
      <c r="AU99" s="187"/>
      <c r="AV99" s="187"/>
      <c r="AW99" s="306" t="e">
        <f t="shared" si="55"/>
        <v>#N/A</v>
      </c>
      <c r="AX99" s="629"/>
    </row>
    <row r="100" spans="2:50">
      <c r="B100" s="598"/>
      <c r="C100" s="306">
        <v>14</v>
      </c>
      <c r="D100" s="231"/>
      <c r="E100" s="187"/>
      <c r="F100" s="306"/>
      <c r="G100" s="308"/>
      <c r="H100" s="633"/>
      <c r="I100" s="207"/>
      <c r="J100" s="207"/>
      <c r="K100" s="207"/>
      <c r="L100" s="572"/>
      <c r="M100" s="206" t="e">
        <f>RANK(K100, K$87:$K$101)</f>
        <v>#N/A</v>
      </c>
      <c r="N100" s="590"/>
      <c r="O100" s="590"/>
      <c r="P100" s="187"/>
      <c r="Q100" s="187"/>
      <c r="R100" s="187"/>
      <c r="S100" s="306" t="e">
        <f t="shared" si="49"/>
        <v>#N/A</v>
      </c>
      <c r="T100" s="629"/>
      <c r="U100" s="187"/>
      <c r="V100" s="187"/>
      <c r="W100" s="187"/>
      <c r="X100" s="306">
        <f t="shared" si="50"/>
        <v>10</v>
      </c>
      <c r="Y100" s="629"/>
      <c r="Z100" s="187"/>
      <c r="AA100" s="187"/>
      <c r="AB100" s="187"/>
      <c r="AC100" s="306" t="e">
        <f t="shared" si="51"/>
        <v>#N/A</v>
      </c>
      <c r="AD100" s="629"/>
      <c r="AE100" s="187"/>
      <c r="AF100" s="187"/>
      <c r="AG100" s="187"/>
      <c r="AH100" s="306" t="e">
        <f t="shared" si="52"/>
        <v>#N/A</v>
      </c>
      <c r="AI100" s="629"/>
      <c r="AJ100" s="187"/>
      <c r="AK100" s="187"/>
      <c r="AL100" s="187"/>
      <c r="AM100" s="306" t="e">
        <f t="shared" si="53"/>
        <v>#N/A</v>
      </c>
      <c r="AN100" s="629"/>
      <c r="AO100" s="187"/>
      <c r="AP100" s="187"/>
      <c r="AQ100" s="187"/>
      <c r="AR100" s="306" t="e">
        <f t="shared" si="54"/>
        <v>#N/A</v>
      </c>
      <c r="AS100" s="629"/>
      <c r="AT100" s="187"/>
      <c r="AU100" s="187"/>
      <c r="AV100" s="187"/>
      <c r="AW100" s="306" t="e">
        <f t="shared" si="55"/>
        <v>#N/A</v>
      </c>
      <c r="AX100" s="629"/>
    </row>
    <row r="101" spans="2:50">
      <c r="B101" s="598"/>
      <c r="C101" s="306">
        <v>15</v>
      </c>
      <c r="D101" s="231"/>
      <c r="E101" s="187"/>
      <c r="F101" s="306"/>
      <c r="G101" s="308"/>
      <c r="H101" s="634"/>
      <c r="I101" s="207"/>
      <c r="J101" s="207"/>
      <c r="K101" s="207"/>
      <c r="L101" s="573"/>
      <c r="M101" s="204" t="e">
        <f>RANK(K101, K$87:$K$101)</f>
        <v>#N/A</v>
      </c>
      <c r="N101" s="590"/>
      <c r="O101" s="590"/>
      <c r="P101" s="187"/>
      <c r="Q101" s="187"/>
      <c r="R101" s="187"/>
      <c r="S101" s="306" t="e">
        <f t="shared" si="49"/>
        <v>#N/A</v>
      </c>
      <c r="T101" s="629"/>
      <c r="U101" s="187"/>
      <c r="V101" s="187"/>
      <c r="W101" s="187"/>
      <c r="X101" s="306">
        <f t="shared" si="50"/>
        <v>10</v>
      </c>
      <c r="Y101" s="629"/>
      <c r="Z101" s="187"/>
      <c r="AA101" s="187"/>
      <c r="AB101" s="187"/>
      <c r="AC101" s="306" t="e">
        <f t="shared" si="51"/>
        <v>#N/A</v>
      </c>
      <c r="AD101" s="629"/>
      <c r="AE101" s="187"/>
      <c r="AF101" s="187"/>
      <c r="AG101" s="187"/>
      <c r="AH101" s="306" t="e">
        <f t="shared" si="52"/>
        <v>#N/A</v>
      </c>
      <c r="AI101" s="629"/>
      <c r="AJ101" s="187"/>
      <c r="AK101" s="187"/>
      <c r="AL101" s="187"/>
      <c r="AM101" s="306" t="e">
        <f t="shared" si="53"/>
        <v>#N/A</v>
      </c>
      <c r="AN101" s="629"/>
      <c r="AO101" s="187"/>
      <c r="AP101" s="187"/>
      <c r="AQ101" s="187"/>
      <c r="AR101" s="306" t="e">
        <f t="shared" si="54"/>
        <v>#N/A</v>
      </c>
      <c r="AS101" s="629"/>
      <c r="AT101" s="187"/>
      <c r="AU101" s="187"/>
      <c r="AV101" s="187"/>
      <c r="AW101" s="306" t="e">
        <f t="shared" si="55"/>
        <v>#N/A</v>
      </c>
      <c r="AX101" s="629"/>
    </row>
    <row r="102" spans="2:50" ht="15.75">
      <c r="B102" s="602" t="s">
        <v>163</v>
      </c>
      <c r="C102" s="603"/>
      <c r="D102" s="603"/>
      <c r="E102" s="603"/>
      <c r="F102" s="603"/>
      <c r="G102" s="603"/>
      <c r="H102" s="604"/>
      <c r="I102" s="213"/>
      <c r="J102" s="213"/>
      <c r="K102" s="213"/>
      <c r="L102" s="213"/>
      <c r="M102" s="212"/>
      <c r="N102" s="591" t="s">
        <v>156</v>
      </c>
      <c r="O102" s="591" t="s">
        <v>105</v>
      </c>
      <c r="P102" s="597">
        <f>P82+7</f>
        <v>45965</v>
      </c>
      <c r="Q102" s="598"/>
      <c r="R102" s="598"/>
      <c r="S102" s="598"/>
      <c r="T102" s="598"/>
      <c r="U102" s="594">
        <f>P102+1</f>
        <v>45966</v>
      </c>
      <c r="V102" s="595"/>
      <c r="W102" s="595"/>
      <c r="X102" s="595"/>
      <c r="Y102" s="596"/>
      <c r="Z102" s="594">
        <f>U102+1</f>
        <v>45967</v>
      </c>
      <c r="AA102" s="595"/>
      <c r="AB102" s="595"/>
      <c r="AC102" s="595"/>
      <c r="AD102" s="596"/>
      <c r="AE102" s="594">
        <f>Z102+1</f>
        <v>45968</v>
      </c>
      <c r="AF102" s="595"/>
      <c r="AG102" s="595"/>
      <c r="AH102" s="595"/>
      <c r="AI102" s="596"/>
      <c r="AJ102" s="594">
        <f>AE102+1</f>
        <v>45969</v>
      </c>
      <c r="AK102" s="595"/>
      <c r="AL102" s="595"/>
      <c r="AM102" s="595"/>
      <c r="AN102" s="596"/>
      <c r="AO102" s="594">
        <f>AJ102+1</f>
        <v>45970</v>
      </c>
      <c r="AP102" s="595"/>
      <c r="AQ102" s="595"/>
      <c r="AR102" s="595"/>
      <c r="AS102" s="596"/>
      <c r="AT102" s="594">
        <f>AO102+1</f>
        <v>45971</v>
      </c>
      <c r="AU102" s="595"/>
      <c r="AV102" s="595"/>
      <c r="AW102" s="595"/>
      <c r="AX102" s="596"/>
    </row>
    <row r="103" spans="2:50" ht="15.75">
      <c r="B103" s="605"/>
      <c r="C103" s="605"/>
      <c r="D103" s="605"/>
      <c r="E103" s="605"/>
      <c r="F103" s="605"/>
      <c r="G103" s="605"/>
      <c r="H103" s="605"/>
      <c r="I103" s="210"/>
      <c r="J103" s="210"/>
      <c r="K103" s="210"/>
      <c r="L103" s="210"/>
      <c r="M103" s="211"/>
      <c r="N103" s="593"/>
      <c r="O103" s="593"/>
      <c r="P103" s="597" t="s">
        <v>158</v>
      </c>
      <c r="Q103" s="598"/>
      <c r="R103" s="598"/>
      <c r="S103" s="598"/>
      <c r="T103" s="598"/>
      <c r="U103" s="597" t="s">
        <v>114</v>
      </c>
      <c r="V103" s="598"/>
      <c r="W103" s="598"/>
      <c r="X103" s="598"/>
      <c r="Y103" s="598"/>
      <c r="Z103" s="597" t="s">
        <v>159</v>
      </c>
      <c r="AA103" s="598"/>
      <c r="AB103" s="598"/>
      <c r="AC103" s="598"/>
      <c r="AD103" s="598"/>
      <c r="AE103" s="597" t="s">
        <v>157</v>
      </c>
      <c r="AF103" s="598"/>
      <c r="AG103" s="598"/>
      <c r="AH103" s="598"/>
      <c r="AI103" s="598"/>
      <c r="AJ103" s="597" t="s">
        <v>160</v>
      </c>
      <c r="AK103" s="598"/>
      <c r="AL103" s="598"/>
      <c r="AM103" s="598"/>
      <c r="AN103" s="598"/>
      <c r="AO103" s="597" t="s">
        <v>115</v>
      </c>
      <c r="AP103" s="598"/>
      <c r="AQ103" s="598"/>
      <c r="AR103" s="598"/>
      <c r="AS103" s="598"/>
      <c r="AT103" s="597" t="s">
        <v>162</v>
      </c>
      <c r="AU103" s="598"/>
      <c r="AV103" s="598"/>
      <c r="AW103" s="598"/>
      <c r="AX103" s="598"/>
    </row>
    <row r="104" spans="2:50">
      <c r="B104" s="590" t="s">
        <v>154</v>
      </c>
      <c r="C104" s="590" t="s">
        <v>454</v>
      </c>
      <c r="D104" s="590"/>
      <c r="E104" s="590" t="s">
        <v>445</v>
      </c>
      <c r="F104" s="590"/>
      <c r="G104" s="590"/>
      <c r="H104" s="606" t="s">
        <v>441</v>
      </c>
      <c r="I104" s="574" t="s">
        <v>446</v>
      </c>
      <c r="J104" s="574"/>
      <c r="K104" s="574"/>
      <c r="L104" s="575" t="s">
        <v>441</v>
      </c>
      <c r="M104" s="581" t="s">
        <v>442</v>
      </c>
      <c r="N104" s="590"/>
      <c r="O104" s="590" t="s">
        <v>447</v>
      </c>
      <c r="P104" s="587" t="s">
        <v>443</v>
      </c>
      <c r="Q104" s="588"/>
      <c r="R104" s="588"/>
      <c r="S104" s="589"/>
      <c r="T104" s="590" t="s">
        <v>441</v>
      </c>
      <c r="U104" s="587" t="s">
        <v>443</v>
      </c>
      <c r="V104" s="588"/>
      <c r="W104" s="588"/>
      <c r="X104" s="589"/>
      <c r="Y104" s="590" t="s">
        <v>441</v>
      </c>
      <c r="Z104" s="587" t="s">
        <v>443</v>
      </c>
      <c r="AA104" s="588"/>
      <c r="AB104" s="588"/>
      <c r="AC104" s="589"/>
      <c r="AD104" s="590" t="s">
        <v>441</v>
      </c>
      <c r="AE104" s="587" t="s">
        <v>443</v>
      </c>
      <c r="AF104" s="588"/>
      <c r="AG104" s="588"/>
      <c r="AH104" s="589"/>
      <c r="AI104" s="590" t="s">
        <v>441</v>
      </c>
      <c r="AJ104" s="587" t="s">
        <v>443</v>
      </c>
      <c r="AK104" s="588"/>
      <c r="AL104" s="588"/>
      <c r="AM104" s="589"/>
      <c r="AN104" s="590" t="s">
        <v>441</v>
      </c>
      <c r="AO104" s="587" t="s">
        <v>443</v>
      </c>
      <c r="AP104" s="588"/>
      <c r="AQ104" s="588"/>
      <c r="AR104" s="589"/>
      <c r="AS104" s="590" t="s">
        <v>441</v>
      </c>
      <c r="AT104" s="587" t="s">
        <v>443</v>
      </c>
      <c r="AU104" s="588"/>
      <c r="AV104" s="588"/>
      <c r="AW104" s="589"/>
      <c r="AX104" s="590" t="s">
        <v>441</v>
      </c>
    </row>
    <row r="105" spans="2:50">
      <c r="B105" s="590"/>
      <c r="C105" s="590"/>
      <c r="D105" s="590"/>
      <c r="E105" s="590" t="s">
        <v>448</v>
      </c>
      <c r="F105" s="590"/>
      <c r="G105" s="590"/>
      <c r="H105" s="607"/>
      <c r="I105" s="574" t="s">
        <v>448</v>
      </c>
      <c r="J105" s="574"/>
      <c r="K105" s="574"/>
      <c r="L105" s="576"/>
      <c r="M105" s="582"/>
      <c r="N105" s="590"/>
      <c r="O105" s="590"/>
      <c r="P105" s="587" t="s">
        <v>449</v>
      </c>
      <c r="Q105" s="588"/>
      <c r="R105" s="588"/>
      <c r="S105" s="589"/>
      <c r="T105" s="590"/>
      <c r="U105" s="587" t="s">
        <v>449</v>
      </c>
      <c r="V105" s="588"/>
      <c r="W105" s="588"/>
      <c r="X105" s="589"/>
      <c r="Y105" s="590"/>
      <c r="Z105" s="587" t="s">
        <v>449</v>
      </c>
      <c r="AA105" s="588"/>
      <c r="AB105" s="588"/>
      <c r="AC105" s="589"/>
      <c r="AD105" s="590"/>
      <c r="AE105" s="587" t="s">
        <v>449</v>
      </c>
      <c r="AF105" s="588"/>
      <c r="AG105" s="588"/>
      <c r="AH105" s="589"/>
      <c r="AI105" s="590"/>
      <c r="AJ105" s="587" t="s">
        <v>449</v>
      </c>
      <c r="AK105" s="588"/>
      <c r="AL105" s="588"/>
      <c r="AM105" s="589"/>
      <c r="AN105" s="590"/>
      <c r="AO105" s="587" t="s">
        <v>449</v>
      </c>
      <c r="AP105" s="588"/>
      <c r="AQ105" s="588"/>
      <c r="AR105" s="589"/>
      <c r="AS105" s="590"/>
      <c r="AT105" s="587" t="s">
        <v>449</v>
      </c>
      <c r="AU105" s="588"/>
      <c r="AV105" s="588"/>
      <c r="AW105" s="589"/>
      <c r="AX105" s="590"/>
    </row>
    <row r="106" spans="2:50">
      <c r="B106" s="590"/>
      <c r="C106" s="590"/>
      <c r="D106" s="590"/>
      <c r="E106" s="358" t="s">
        <v>450</v>
      </c>
      <c r="F106" s="358" t="s">
        <v>451</v>
      </c>
      <c r="G106" s="358" t="s">
        <v>452</v>
      </c>
      <c r="H106" s="608"/>
      <c r="I106" s="359" t="s">
        <v>450</v>
      </c>
      <c r="J106" s="359" t="s">
        <v>451</v>
      </c>
      <c r="K106" s="359" t="s">
        <v>452</v>
      </c>
      <c r="L106" s="577"/>
      <c r="M106" s="583"/>
      <c r="N106" s="590"/>
      <c r="O106" s="590"/>
      <c r="P106" s="358" t="s">
        <v>450</v>
      </c>
      <c r="Q106" s="358" t="s">
        <v>451</v>
      </c>
      <c r="R106" s="358" t="s">
        <v>452</v>
      </c>
      <c r="S106" s="358" t="s">
        <v>442</v>
      </c>
      <c r="T106" s="590"/>
      <c r="U106" s="358" t="s">
        <v>450</v>
      </c>
      <c r="V106" s="358" t="s">
        <v>451</v>
      </c>
      <c r="W106" s="358" t="s">
        <v>452</v>
      </c>
      <c r="X106" s="358" t="s">
        <v>442</v>
      </c>
      <c r="Y106" s="590"/>
      <c r="Z106" s="358" t="s">
        <v>450</v>
      </c>
      <c r="AA106" s="358" t="s">
        <v>451</v>
      </c>
      <c r="AB106" s="358" t="s">
        <v>452</v>
      </c>
      <c r="AC106" s="358" t="s">
        <v>442</v>
      </c>
      <c r="AD106" s="590"/>
      <c r="AE106" s="358" t="s">
        <v>450</v>
      </c>
      <c r="AF106" s="358" t="s">
        <v>451</v>
      </c>
      <c r="AG106" s="358" t="s">
        <v>452</v>
      </c>
      <c r="AH106" s="358" t="s">
        <v>442</v>
      </c>
      <c r="AI106" s="590"/>
      <c r="AJ106" s="358" t="s">
        <v>450</v>
      </c>
      <c r="AK106" s="358" t="s">
        <v>451</v>
      </c>
      <c r="AL106" s="358" t="s">
        <v>452</v>
      </c>
      <c r="AM106" s="358" t="s">
        <v>442</v>
      </c>
      <c r="AN106" s="590"/>
      <c r="AO106" s="358" t="s">
        <v>450</v>
      </c>
      <c r="AP106" s="358" t="s">
        <v>451</v>
      </c>
      <c r="AQ106" s="358" t="s">
        <v>452</v>
      </c>
      <c r="AR106" s="358" t="s">
        <v>442</v>
      </c>
      <c r="AS106" s="590"/>
      <c r="AT106" s="358" t="s">
        <v>450</v>
      </c>
      <c r="AU106" s="358" t="s">
        <v>451</v>
      </c>
      <c r="AV106" s="358" t="s">
        <v>452</v>
      </c>
      <c r="AW106" s="358" t="s">
        <v>442</v>
      </c>
      <c r="AX106" s="590"/>
    </row>
    <row r="107" spans="2:50">
      <c r="B107" s="590" t="s">
        <v>456</v>
      </c>
      <c r="C107" s="357">
        <v>1</v>
      </c>
      <c r="D107" s="231"/>
      <c r="E107" s="187"/>
      <c r="F107" s="357"/>
      <c r="G107" s="360"/>
      <c r="H107" s="632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71" t="str">
        <f>IFERROR(AVERAGE(K107:K121),"-")</f>
        <v>-</v>
      </c>
      <c r="M107" s="206" t="e">
        <f>RANK(K107, K$87:$K$101)</f>
        <v>#DIV/0!</v>
      </c>
      <c r="N107" s="590"/>
      <c r="O107" s="590"/>
      <c r="P107" s="187"/>
      <c r="Q107" s="187"/>
      <c r="R107" s="187"/>
      <c r="S107" s="357" t="e">
        <f>RANK(R107, R$87:R$101)</f>
        <v>#N/A</v>
      </c>
      <c r="T107" s="629" t="e">
        <f>AVERAGE(R107:R121)</f>
        <v>#DIV/0!</v>
      </c>
      <c r="U107" s="187"/>
      <c r="V107" s="187"/>
      <c r="W107" s="187"/>
      <c r="X107" s="357">
        <f>RANK(W107, W$87:W$101)</f>
        <v>10</v>
      </c>
      <c r="Y107" s="629" t="e">
        <f>AVERAGE(W107:W121)</f>
        <v>#DIV/0!</v>
      </c>
      <c r="Z107" s="187"/>
      <c r="AA107" s="187"/>
      <c r="AB107" s="187"/>
      <c r="AC107" s="357" t="e">
        <f>RANK(AB107, AB$87:AB$101)</f>
        <v>#N/A</v>
      </c>
      <c r="AD107" s="629" t="e">
        <f>AVERAGE(AB107:AB121)</f>
        <v>#DIV/0!</v>
      </c>
      <c r="AE107" s="187"/>
      <c r="AF107" s="187"/>
      <c r="AG107" s="187"/>
      <c r="AH107" s="357" t="e">
        <f>RANK(AG107, AG$87:AG$101)</f>
        <v>#N/A</v>
      </c>
      <c r="AI107" s="629" t="e">
        <f>AVERAGE(AG107:AG121)</f>
        <v>#DIV/0!</v>
      </c>
      <c r="AJ107" s="187"/>
      <c r="AK107" s="187"/>
      <c r="AL107" s="187"/>
      <c r="AM107" s="357" t="e">
        <f>RANK(AL107, AL$87:AL$101)</f>
        <v>#N/A</v>
      </c>
      <c r="AN107" s="629" t="e">
        <f>AVERAGE(AL107:AL121)</f>
        <v>#DIV/0!</v>
      </c>
      <c r="AO107" s="187"/>
      <c r="AP107" s="187"/>
      <c r="AQ107" s="187"/>
      <c r="AR107" s="357" t="e">
        <f>RANK(AQ107, AQ$87:AQ$101)</f>
        <v>#N/A</v>
      </c>
      <c r="AS107" s="629" t="e">
        <f>AVERAGE(AQ107:AQ121)</f>
        <v>#DIV/0!</v>
      </c>
      <c r="AT107" s="187"/>
      <c r="AU107" s="187"/>
      <c r="AV107" s="187"/>
      <c r="AW107" s="357" t="e">
        <f>RANK(AV107, AV$87:AV$101)</f>
        <v>#N/A</v>
      </c>
      <c r="AX107" s="629" t="e">
        <f>AVERAGE(AV107:AV121)</f>
        <v>#DIV/0!</v>
      </c>
    </row>
    <row r="108" spans="2:50">
      <c r="B108" s="598"/>
      <c r="C108" s="357">
        <v>2</v>
      </c>
      <c r="D108" s="231"/>
      <c r="E108" s="187"/>
      <c r="F108" s="357"/>
      <c r="G108" s="360"/>
      <c r="H108" s="633"/>
      <c r="I108" s="204" t="e">
        <f t="shared" ref="I108:I116" si="59">AVERAGE(P108,U108,Z108,AE108,AJ108,AO108,AT108)</f>
        <v>#DIV/0!</v>
      </c>
      <c r="J108" s="204" t="e">
        <f t="shared" ref="J108:J116" si="60">AVERAGE(Q108,V108,AA108,AF108,AK108,AP108,AU108)</f>
        <v>#DIV/0!</v>
      </c>
      <c r="K108" s="205" t="e">
        <f t="shared" ref="K108:K116" si="61">AVERAGE(R108,W108,AB108,AG108,AL108,AQ108,AV108)</f>
        <v>#DIV/0!</v>
      </c>
      <c r="L108" s="572"/>
      <c r="M108" s="206" t="e">
        <f>RANK(K108, K$87:$K$101)</f>
        <v>#DIV/0!</v>
      </c>
      <c r="N108" s="590"/>
      <c r="O108" s="590"/>
      <c r="P108" s="187"/>
      <c r="Q108" s="187"/>
      <c r="R108" s="187"/>
      <c r="S108" s="357" t="e">
        <f t="shared" ref="S108:S121" si="62">RANK(R108, R$87:R$101)</f>
        <v>#N/A</v>
      </c>
      <c r="T108" s="629"/>
      <c r="U108" s="187"/>
      <c r="V108" s="187"/>
      <c r="W108" s="187"/>
      <c r="X108" s="357">
        <f t="shared" ref="X108:X121" si="63">RANK(W108, W$87:W$101)</f>
        <v>10</v>
      </c>
      <c r="Y108" s="629"/>
      <c r="Z108" s="187"/>
      <c r="AA108" s="187"/>
      <c r="AB108" s="187"/>
      <c r="AC108" s="357" t="e">
        <f t="shared" ref="AC108:AC121" si="64">RANK(AB108, AB$87:AB$101)</f>
        <v>#N/A</v>
      </c>
      <c r="AD108" s="629"/>
      <c r="AE108" s="187"/>
      <c r="AF108" s="187"/>
      <c r="AG108" s="187"/>
      <c r="AH108" s="357" t="e">
        <f t="shared" ref="AH108:AH121" si="65">RANK(AG108, AG$87:AG$101)</f>
        <v>#N/A</v>
      </c>
      <c r="AI108" s="629"/>
      <c r="AJ108" s="187"/>
      <c r="AK108" s="187"/>
      <c r="AL108" s="187"/>
      <c r="AM108" s="357" t="e">
        <f t="shared" ref="AM108:AM121" si="66">RANK(AL108, AL$87:AL$101)</f>
        <v>#N/A</v>
      </c>
      <c r="AN108" s="629"/>
      <c r="AO108" s="187"/>
      <c r="AP108" s="187"/>
      <c r="AQ108" s="187"/>
      <c r="AR108" s="357" t="e">
        <f t="shared" ref="AR108:AR121" si="67">RANK(AQ108, AQ$87:AQ$101)</f>
        <v>#N/A</v>
      </c>
      <c r="AS108" s="629"/>
      <c r="AT108" s="187"/>
      <c r="AU108" s="187"/>
      <c r="AV108" s="187"/>
      <c r="AW108" s="357" t="e">
        <f t="shared" ref="AW108:AW121" si="68">RANK(AV108, AV$87:AV$101)</f>
        <v>#N/A</v>
      </c>
      <c r="AX108" s="629"/>
    </row>
    <row r="109" spans="2:50">
      <c r="B109" s="598"/>
      <c r="C109" s="357">
        <v>3</v>
      </c>
      <c r="D109" s="231"/>
      <c r="E109" s="187"/>
      <c r="F109" s="357"/>
      <c r="G109" s="360"/>
      <c r="H109" s="633"/>
      <c r="I109" s="204" t="e">
        <f t="shared" si="59"/>
        <v>#DIV/0!</v>
      </c>
      <c r="J109" s="204" t="e">
        <f t="shared" si="60"/>
        <v>#DIV/0!</v>
      </c>
      <c r="K109" s="205" t="e">
        <f t="shared" si="61"/>
        <v>#DIV/0!</v>
      </c>
      <c r="L109" s="572"/>
      <c r="M109" s="206" t="e">
        <f>RANK(K109, K$87:$K$101)</f>
        <v>#DIV/0!</v>
      </c>
      <c r="N109" s="590"/>
      <c r="O109" s="590"/>
      <c r="P109" s="187"/>
      <c r="Q109" s="187"/>
      <c r="R109" s="187"/>
      <c r="S109" s="357" t="e">
        <f t="shared" si="62"/>
        <v>#N/A</v>
      </c>
      <c r="T109" s="629"/>
      <c r="U109" s="187"/>
      <c r="V109" s="187"/>
      <c r="W109" s="187"/>
      <c r="X109" s="357">
        <f t="shared" si="63"/>
        <v>10</v>
      </c>
      <c r="Y109" s="629"/>
      <c r="Z109" s="187"/>
      <c r="AA109" s="187"/>
      <c r="AB109" s="187"/>
      <c r="AC109" s="357" t="e">
        <f t="shared" si="64"/>
        <v>#N/A</v>
      </c>
      <c r="AD109" s="629"/>
      <c r="AE109" s="187"/>
      <c r="AF109" s="187"/>
      <c r="AG109" s="187"/>
      <c r="AH109" s="357" t="e">
        <f t="shared" si="65"/>
        <v>#N/A</v>
      </c>
      <c r="AI109" s="629"/>
      <c r="AJ109" s="187"/>
      <c r="AK109" s="187"/>
      <c r="AL109" s="187"/>
      <c r="AM109" s="357" t="e">
        <f t="shared" si="66"/>
        <v>#N/A</v>
      </c>
      <c r="AN109" s="629"/>
      <c r="AO109" s="187"/>
      <c r="AP109" s="187"/>
      <c r="AQ109" s="187"/>
      <c r="AR109" s="357" t="e">
        <f t="shared" si="67"/>
        <v>#N/A</v>
      </c>
      <c r="AS109" s="629"/>
      <c r="AT109" s="187"/>
      <c r="AU109" s="187"/>
      <c r="AV109" s="187"/>
      <c r="AW109" s="357" t="e">
        <f t="shared" si="68"/>
        <v>#N/A</v>
      </c>
      <c r="AX109" s="629"/>
    </row>
    <row r="110" spans="2:50">
      <c r="B110" s="598"/>
      <c r="C110" s="357">
        <v>4</v>
      </c>
      <c r="D110" s="231"/>
      <c r="E110" s="187"/>
      <c r="F110" s="357"/>
      <c r="G110" s="360"/>
      <c r="H110" s="633"/>
      <c r="I110" s="204" t="e">
        <f t="shared" si="59"/>
        <v>#DIV/0!</v>
      </c>
      <c r="J110" s="204" t="e">
        <f t="shared" si="60"/>
        <v>#DIV/0!</v>
      </c>
      <c r="K110" s="205" t="e">
        <f t="shared" si="61"/>
        <v>#DIV/0!</v>
      </c>
      <c r="L110" s="572"/>
      <c r="M110" s="206" t="e">
        <f>RANK(K110, K$87:$K$101)</f>
        <v>#DIV/0!</v>
      </c>
      <c r="N110" s="590"/>
      <c r="O110" s="590"/>
      <c r="P110" s="187"/>
      <c r="Q110" s="187"/>
      <c r="R110" s="187"/>
      <c r="S110" s="357" t="e">
        <f t="shared" si="62"/>
        <v>#N/A</v>
      </c>
      <c r="T110" s="629"/>
      <c r="U110" s="187"/>
      <c r="V110" s="187"/>
      <c r="W110" s="187"/>
      <c r="X110" s="357">
        <f t="shared" si="63"/>
        <v>10</v>
      </c>
      <c r="Y110" s="629"/>
      <c r="Z110" s="187"/>
      <c r="AA110" s="187"/>
      <c r="AB110" s="187"/>
      <c r="AC110" s="357" t="e">
        <f t="shared" si="64"/>
        <v>#N/A</v>
      </c>
      <c r="AD110" s="629"/>
      <c r="AE110" s="187"/>
      <c r="AF110" s="187"/>
      <c r="AG110" s="187"/>
      <c r="AH110" s="357" t="e">
        <f t="shared" si="65"/>
        <v>#N/A</v>
      </c>
      <c r="AI110" s="629"/>
      <c r="AJ110" s="187"/>
      <c r="AK110" s="187"/>
      <c r="AL110" s="187"/>
      <c r="AM110" s="357" t="e">
        <f t="shared" si="66"/>
        <v>#N/A</v>
      </c>
      <c r="AN110" s="629"/>
      <c r="AO110" s="187"/>
      <c r="AP110" s="187"/>
      <c r="AQ110" s="187"/>
      <c r="AR110" s="357" t="e">
        <f t="shared" si="67"/>
        <v>#N/A</v>
      </c>
      <c r="AS110" s="629"/>
      <c r="AT110" s="187"/>
      <c r="AU110" s="187"/>
      <c r="AV110" s="187"/>
      <c r="AW110" s="357" t="e">
        <f t="shared" si="68"/>
        <v>#N/A</v>
      </c>
      <c r="AX110" s="629"/>
    </row>
    <row r="111" spans="2:50">
      <c r="B111" s="598"/>
      <c r="C111" s="357">
        <v>5</v>
      </c>
      <c r="D111" s="231"/>
      <c r="E111" s="187"/>
      <c r="F111" s="357"/>
      <c r="G111" s="360"/>
      <c r="H111" s="633"/>
      <c r="I111" s="204" t="e">
        <f t="shared" si="59"/>
        <v>#DIV/0!</v>
      </c>
      <c r="J111" s="204" t="e">
        <f t="shared" si="60"/>
        <v>#DIV/0!</v>
      </c>
      <c r="K111" s="205" t="e">
        <f t="shared" si="61"/>
        <v>#DIV/0!</v>
      </c>
      <c r="L111" s="572"/>
      <c r="M111" s="206" t="e">
        <f>RANK(K111, K$87:$K$101)</f>
        <v>#DIV/0!</v>
      </c>
      <c r="N111" s="590"/>
      <c r="O111" s="590"/>
      <c r="P111" s="187"/>
      <c r="Q111" s="187"/>
      <c r="R111" s="187"/>
      <c r="S111" s="357" t="e">
        <f t="shared" si="62"/>
        <v>#N/A</v>
      </c>
      <c r="T111" s="629"/>
      <c r="U111" s="187"/>
      <c r="V111" s="187"/>
      <c r="W111" s="187"/>
      <c r="X111" s="357">
        <f t="shared" si="63"/>
        <v>10</v>
      </c>
      <c r="Y111" s="629"/>
      <c r="Z111" s="187"/>
      <c r="AA111" s="187"/>
      <c r="AB111" s="187"/>
      <c r="AC111" s="357" t="e">
        <f t="shared" si="64"/>
        <v>#N/A</v>
      </c>
      <c r="AD111" s="629"/>
      <c r="AE111" s="187"/>
      <c r="AF111" s="187"/>
      <c r="AG111" s="187"/>
      <c r="AH111" s="357" t="e">
        <f t="shared" si="65"/>
        <v>#N/A</v>
      </c>
      <c r="AI111" s="629"/>
      <c r="AJ111" s="187"/>
      <c r="AK111" s="187"/>
      <c r="AL111" s="187"/>
      <c r="AM111" s="357" t="e">
        <f t="shared" si="66"/>
        <v>#N/A</v>
      </c>
      <c r="AN111" s="629"/>
      <c r="AO111" s="187"/>
      <c r="AP111" s="187"/>
      <c r="AQ111" s="187"/>
      <c r="AR111" s="357" t="e">
        <f t="shared" si="67"/>
        <v>#N/A</v>
      </c>
      <c r="AS111" s="629"/>
      <c r="AT111" s="187"/>
      <c r="AU111" s="187"/>
      <c r="AV111" s="187"/>
      <c r="AW111" s="357" t="e">
        <f t="shared" si="68"/>
        <v>#N/A</v>
      </c>
      <c r="AX111" s="629"/>
    </row>
    <row r="112" spans="2:50">
      <c r="B112" s="598"/>
      <c r="C112" s="357">
        <v>6</v>
      </c>
      <c r="D112" s="231"/>
      <c r="E112" s="187"/>
      <c r="F112" s="357"/>
      <c r="G112" s="360"/>
      <c r="H112" s="633"/>
      <c r="I112" s="204" t="e">
        <f t="shared" si="59"/>
        <v>#DIV/0!</v>
      </c>
      <c r="J112" s="204" t="e">
        <f t="shared" si="60"/>
        <v>#DIV/0!</v>
      </c>
      <c r="K112" s="205" t="e">
        <f t="shared" si="61"/>
        <v>#DIV/0!</v>
      </c>
      <c r="L112" s="572"/>
      <c r="M112" s="206" t="e">
        <f>RANK(K112, K$87:$K$101)</f>
        <v>#DIV/0!</v>
      </c>
      <c r="N112" s="590"/>
      <c r="O112" s="590"/>
      <c r="P112" s="187"/>
      <c r="Q112" s="187"/>
      <c r="R112" s="187"/>
      <c r="S112" s="357" t="e">
        <f t="shared" si="62"/>
        <v>#N/A</v>
      </c>
      <c r="T112" s="629"/>
      <c r="U112" s="187"/>
      <c r="V112" s="187"/>
      <c r="W112" s="187"/>
      <c r="X112" s="357">
        <f t="shared" si="63"/>
        <v>10</v>
      </c>
      <c r="Y112" s="629"/>
      <c r="Z112" s="187"/>
      <c r="AA112" s="187"/>
      <c r="AB112" s="187"/>
      <c r="AC112" s="357" t="e">
        <f t="shared" si="64"/>
        <v>#N/A</v>
      </c>
      <c r="AD112" s="629"/>
      <c r="AE112" s="187"/>
      <c r="AF112" s="187"/>
      <c r="AG112" s="187"/>
      <c r="AH112" s="357" t="e">
        <f t="shared" si="65"/>
        <v>#N/A</v>
      </c>
      <c r="AI112" s="629"/>
      <c r="AJ112" s="187"/>
      <c r="AK112" s="187"/>
      <c r="AL112" s="187"/>
      <c r="AM112" s="357" t="e">
        <f t="shared" si="66"/>
        <v>#N/A</v>
      </c>
      <c r="AN112" s="629"/>
      <c r="AO112" s="187"/>
      <c r="AP112" s="187"/>
      <c r="AQ112" s="187"/>
      <c r="AR112" s="357" t="e">
        <f t="shared" si="67"/>
        <v>#N/A</v>
      </c>
      <c r="AS112" s="629"/>
      <c r="AT112" s="187"/>
      <c r="AU112" s="187"/>
      <c r="AV112" s="187"/>
      <c r="AW112" s="357" t="e">
        <f t="shared" si="68"/>
        <v>#N/A</v>
      </c>
      <c r="AX112" s="629"/>
    </row>
    <row r="113" spans="2:50">
      <c r="B113" s="598"/>
      <c r="C113" s="357">
        <v>7</v>
      </c>
      <c r="D113" s="231"/>
      <c r="E113" s="187"/>
      <c r="F113" s="357"/>
      <c r="G113" s="360"/>
      <c r="H113" s="633"/>
      <c r="I113" s="204" t="e">
        <f t="shared" si="59"/>
        <v>#DIV/0!</v>
      </c>
      <c r="J113" s="204" t="e">
        <f t="shared" si="60"/>
        <v>#DIV/0!</v>
      </c>
      <c r="K113" s="205" t="e">
        <f t="shared" si="61"/>
        <v>#DIV/0!</v>
      </c>
      <c r="L113" s="572"/>
      <c r="M113" s="206" t="e">
        <f>RANK(K113, K$87:$K$101)</f>
        <v>#DIV/0!</v>
      </c>
      <c r="N113" s="590"/>
      <c r="O113" s="590"/>
      <c r="P113" s="187"/>
      <c r="Q113" s="187"/>
      <c r="R113" s="187"/>
      <c r="S113" s="357" t="e">
        <f t="shared" si="62"/>
        <v>#N/A</v>
      </c>
      <c r="T113" s="629"/>
      <c r="U113" s="187"/>
      <c r="V113" s="187"/>
      <c r="W113" s="187"/>
      <c r="X113" s="357">
        <f t="shared" si="63"/>
        <v>10</v>
      </c>
      <c r="Y113" s="629"/>
      <c r="Z113" s="187"/>
      <c r="AA113" s="187"/>
      <c r="AB113" s="187"/>
      <c r="AC113" s="357" t="e">
        <f t="shared" si="64"/>
        <v>#N/A</v>
      </c>
      <c r="AD113" s="629"/>
      <c r="AE113" s="187"/>
      <c r="AF113" s="187"/>
      <c r="AG113" s="187"/>
      <c r="AH113" s="357" t="e">
        <f t="shared" si="65"/>
        <v>#N/A</v>
      </c>
      <c r="AI113" s="629"/>
      <c r="AJ113" s="187"/>
      <c r="AK113" s="187"/>
      <c r="AL113" s="187"/>
      <c r="AM113" s="357" t="e">
        <f t="shared" si="66"/>
        <v>#N/A</v>
      </c>
      <c r="AN113" s="629"/>
      <c r="AO113" s="187"/>
      <c r="AP113" s="187"/>
      <c r="AQ113" s="187"/>
      <c r="AR113" s="357" t="e">
        <f t="shared" si="67"/>
        <v>#N/A</v>
      </c>
      <c r="AS113" s="629"/>
      <c r="AT113" s="187"/>
      <c r="AU113" s="187"/>
      <c r="AV113" s="187"/>
      <c r="AW113" s="357" t="e">
        <f t="shared" si="68"/>
        <v>#N/A</v>
      </c>
      <c r="AX113" s="629"/>
    </row>
    <row r="114" spans="2:50">
      <c r="B114" s="598"/>
      <c r="C114" s="357">
        <v>8</v>
      </c>
      <c r="D114" s="231"/>
      <c r="E114" s="187"/>
      <c r="F114" s="357"/>
      <c r="G114" s="360"/>
      <c r="H114" s="633"/>
      <c r="I114" s="204" t="e">
        <f t="shared" si="59"/>
        <v>#DIV/0!</v>
      </c>
      <c r="J114" s="204" t="e">
        <f t="shared" si="60"/>
        <v>#DIV/0!</v>
      </c>
      <c r="K114" s="205" t="e">
        <f t="shared" si="61"/>
        <v>#DIV/0!</v>
      </c>
      <c r="L114" s="572"/>
      <c r="M114" s="206" t="e">
        <f>RANK(K114, K$87:$K$101)</f>
        <v>#DIV/0!</v>
      </c>
      <c r="N114" s="590"/>
      <c r="O114" s="590"/>
      <c r="P114" s="187"/>
      <c r="Q114" s="187"/>
      <c r="R114" s="187"/>
      <c r="S114" s="357" t="e">
        <f t="shared" si="62"/>
        <v>#N/A</v>
      </c>
      <c r="T114" s="629"/>
      <c r="U114" s="187"/>
      <c r="V114" s="187"/>
      <c r="W114" s="187"/>
      <c r="X114" s="357">
        <f t="shared" si="63"/>
        <v>10</v>
      </c>
      <c r="Y114" s="629"/>
      <c r="Z114" s="187"/>
      <c r="AA114" s="187"/>
      <c r="AB114" s="187"/>
      <c r="AC114" s="357" t="e">
        <f t="shared" si="64"/>
        <v>#N/A</v>
      </c>
      <c r="AD114" s="629"/>
      <c r="AE114" s="187"/>
      <c r="AF114" s="187"/>
      <c r="AG114" s="187"/>
      <c r="AH114" s="357" t="e">
        <f t="shared" si="65"/>
        <v>#N/A</v>
      </c>
      <c r="AI114" s="629"/>
      <c r="AJ114" s="187"/>
      <c r="AK114" s="187"/>
      <c r="AL114" s="187"/>
      <c r="AM114" s="357" t="e">
        <f t="shared" si="66"/>
        <v>#N/A</v>
      </c>
      <c r="AN114" s="629"/>
      <c r="AO114" s="187"/>
      <c r="AP114" s="187"/>
      <c r="AQ114" s="187"/>
      <c r="AR114" s="357" t="e">
        <f t="shared" si="67"/>
        <v>#N/A</v>
      </c>
      <c r="AS114" s="629"/>
      <c r="AT114" s="187"/>
      <c r="AU114" s="187"/>
      <c r="AV114" s="187"/>
      <c r="AW114" s="357" t="e">
        <f t="shared" si="68"/>
        <v>#N/A</v>
      </c>
      <c r="AX114" s="629"/>
    </row>
    <row r="115" spans="2:50">
      <c r="B115" s="598"/>
      <c r="C115" s="357">
        <v>9</v>
      </c>
      <c r="D115" s="231"/>
      <c r="E115" s="187"/>
      <c r="F115" s="357"/>
      <c r="G115" s="360"/>
      <c r="H115" s="633"/>
      <c r="I115" s="204" t="e">
        <f t="shared" si="59"/>
        <v>#DIV/0!</v>
      </c>
      <c r="J115" s="204" t="e">
        <f t="shared" si="60"/>
        <v>#DIV/0!</v>
      </c>
      <c r="K115" s="205" t="e">
        <f t="shared" si="61"/>
        <v>#DIV/0!</v>
      </c>
      <c r="L115" s="572"/>
      <c r="M115" s="206" t="e">
        <f>RANK(K115, K$87:$K$101)</f>
        <v>#DIV/0!</v>
      </c>
      <c r="N115" s="590"/>
      <c r="O115" s="590"/>
      <c r="P115" s="187"/>
      <c r="Q115" s="187"/>
      <c r="R115" s="187"/>
      <c r="S115" s="357" t="e">
        <f t="shared" si="62"/>
        <v>#N/A</v>
      </c>
      <c r="T115" s="629"/>
      <c r="U115" s="187"/>
      <c r="V115" s="187"/>
      <c r="W115" s="187"/>
      <c r="X115" s="357">
        <f t="shared" si="63"/>
        <v>10</v>
      </c>
      <c r="Y115" s="629"/>
      <c r="Z115" s="187"/>
      <c r="AA115" s="187"/>
      <c r="AB115" s="187"/>
      <c r="AC115" s="357" t="e">
        <f t="shared" si="64"/>
        <v>#N/A</v>
      </c>
      <c r="AD115" s="629"/>
      <c r="AE115" s="187"/>
      <c r="AF115" s="187"/>
      <c r="AG115" s="187"/>
      <c r="AH115" s="357" t="e">
        <f t="shared" si="65"/>
        <v>#N/A</v>
      </c>
      <c r="AI115" s="629"/>
      <c r="AJ115" s="187"/>
      <c r="AK115" s="187"/>
      <c r="AL115" s="187"/>
      <c r="AM115" s="357" t="e">
        <f t="shared" si="66"/>
        <v>#N/A</v>
      </c>
      <c r="AN115" s="629"/>
      <c r="AO115" s="187"/>
      <c r="AP115" s="187"/>
      <c r="AQ115" s="187"/>
      <c r="AR115" s="357" t="e">
        <f t="shared" si="67"/>
        <v>#N/A</v>
      </c>
      <c r="AS115" s="629"/>
      <c r="AT115" s="187"/>
      <c r="AU115" s="187"/>
      <c r="AV115" s="187"/>
      <c r="AW115" s="357" t="e">
        <f t="shared" si="68"/>
        <v>#N/A</v>
      </c>
      <c r="AX115" s="629"/>
    </row>
    <row r="116" spans="2:50">
      <c r="B116" s="598"/>
      <c r="C116" s="357">
        <v>10</v>
      </c>
      <c r="D116" s="231"/>
      <c r="E116" s="187"/>
      <c r="F116" s="357"/>
      <c r="G116" s="360"/>
      <c r="H116" s="633"/>
      <c r="I116" s="204" t="e">
        <f t="shared" si="59"/>
        <v>#DIV/0!</v>
      </c>
      <c r="J116" s="204" t="e">
        <f t="shared" si="60"/>
        <v>#DIV/0!</v>
      </c>
      <c r="K116" s="205" t="e">
        <f t="shared" si="61"/>
        <v>#DIV/0!</v>
      </c>
      <c r="L116" s="572"/>
      <c r="M116" s="206" t="e">
        <f>RANK(K116, K$87:$K$101)</f>
        <v>#DIV/0!</v>
      </c>
      <c r="N116" s="590"/>
      <c r="O116" s="590"/>
      <c r="P116" s="187"/>
      <c r="Q116" s="187"/>
      <c r="R116" s="187"/>
      <c r="S116" s="357" t="e">
        <f t="shared" si="62"/>
        <v>#N/A</v>
      </c>
      <c r="T116" s="629"/>
      <c r="U116" s="187"/>
      <c r="V116" s="187"/>
      <c r="W116" s="187"/>
      <c r="X116" s="357">
        <f t="shared" si="63"/>
        <v>10</v>
      </c>
      <c r="Y116" s="629"/>
      <c r="Z116" s="187"/>
      <c r="AA116" s="187"/>
      <c r="AB116" s="187"/>
      <c r="AC116" s="357" t="e">
        <f t="shared" si="64"/>
        <v>#N/A</v>
      </c>
      <c r="AD116" s="629"/>
      <c r="AE116" s="187"/>
      <c r="AF116" s="187"/>
      <c r="AG116" s="187"/>
      <c r="AH116" s="357" t="e">
        <f t="shared" si="65"/>
        <v>#N/A</v>
      </c>
      <c r="AI116" s="629"/>
      <c r="AJ116" s="187"/>
      <c r="AK116" s="187"/>
      <c r="AL116" s="187"/>
      <c r="AM116" s="357" t="e">
        <f t="shared" si="66"/>
        <v>#N/A</v>
      </c>
      <c r="AN116" s="629"/>
      <c r="AO116" s="187"/>
      <c r="AP116" s="187"/>
      <c r="AQ116" s="187"/>
      <c r="AR116" s="357" t="e">
        <f t="shared" si="67"/>
        <v>#N/A</v>
      </c>
      <c r="AS116" s="629"/>
      <c r="AT116" s="187"/>
      <c r="AU116" s="187"/>
      <c r="AV116" s="187"/>
      <c r="AW116" s="357" t="e">
        <f t="shared" si="68"/>
        <v>#N/A</v>
      </c>
      <c r="AX116" s="629"/>
    </row>
    <row r="117" spans="2:50">
      <c r="B117" s="598"/>
      <c r="C117" s="357">
        <v>11</v>
      </c>
      <c r="D117" s="231"/>
      <c r="E117" s="187"/>
      <c r="F117" s="357"/>
      <c r="G117" s="360"/>
      <c r="H117" s="633"/>
      <c r="I117" s="207"/>
      <c r="J117" s="207"/>
      <c r="K117" s="207"/>
      <c r="L117" s="572"/>
      <c r="M117" s="206" t="e">
        <f>RANK(K117, K$87:$K$101)</f>
        <v>#N/A</v>
      </c>
      <c r="N117" s="590"/>
      <c r="O117" s="590"/>
      <c r="P117" s="187"/>
      <c r="Q117" s="187"/>
      <c r="R117" s="187"/>
      <c r="S117" s="357" t="e">
        <f t="shared" si="62"/>
        <v>#N/A</v>
      </c>
      <c r="T117" s="629"/>
      <c r="U117" s="187"/>
      <c r="V117" s="187"/>
      <c r="W117" s="187"/>
      <c r="X117" s="357">
        <f t="shared" si="63"/>
        <v>10</v>
      </c>
      <c r="Y117" s="629"/>
      <c r="Z117" s="187"/>
      <c r="AA117" s="187"/>
      <c r="AB117" s="187"/>
      <c r="AC117" s="357" t="e">
        <f t="shared" si="64"/>
        <v>#N/A</v>
      </c>
      <c r="AD117" s="629"/>
      <c r="AE117" s="187"/>
      <c r="AF117" s="187"/>
      <c r="AG117" s="187"/>
      <c r="AH117" s="357" t="e">
        <f t="shared" si="65"/>
        <v>#N/A</v>
      </c>
      <c r="AI117" s="629"/>
      <c r="AJ117" s="187"/>
      <c r="AK117" s="187"/>
      <c r="AL117" s="187"/>
      <c r="AM117" s="357" t="e">
        <f t="shared" si="66"/>
        <v>#N/A</v>
      </c>
      <c r="AN117" s="629"/>
      <c r="AO117" s="187"/>
      <c r="AP117" s="187"/>
      <c r="AQ117" s="187"/>
      <c r="AR117" s="357" t="e">
        <f t="shared" si="67"/>
        <v>#N/A</v>
      </c>
      <c r="AS117" s="629"/>
      <c r="AT117" s="187"/>
      <c r="AU117" s="187"/>
      <c r="AV117" s="187"/>
      <c r="AW117" s="357" t="e">
        <f t="shared" si="68"/>
        <v>#N/A</v>
      </c>
      <c r="AX117" s="629"/>
    </row>
    <row r="118" spans="2:50">
      <c r="B118" s="598"/>
      <c r="C118" s="357">
        <v>12</v>
      </c>
      <c r="D118" s="231"/>
      <c r="E118" s="187"/>
      <c r="F118" s="357"/>
      <c r="G118" s="360"/>
      <c r="H118" s="633"/>
      <c r="I118" s="207"/>
      <c r="J118" s="207"/>
      <c r="K118" s="207"/>
      <c r="L118" s="572"/>
      <c r="M118" s="206" t="e">
        <f>RANK(K118, K$87:$K$101)</f>
        <v>#N/A</v>
      </c>
      <c r="N118" s="590"/>
      <c r="O118" s="590"/>
      <c r="P118" s="187"/>
      <c r="Q118" s="187"/>
      <c r="R118" s="187"/>
      <c r="S118" s="357" t="e">
        <f t="shared" si="62"/>
        <v>#N/A</v>
      </c>
      <c r="T118" s="629"/>
      <c r="U118" s="187"/>
      <c r="V118" s="187"/>
      <c r="W118" s="187"/>
      <c r="X118" s="357">
        <f t="shared" si="63"/>
        <v>10</v>
      </c>
      <c r="Y118" s="629"/>
      <c r="Z118" s="187"/>
      <c r="AA118" s="187"/>
      <c r="AB118" s="187"/>
      <c r="AC118" s="357" t="e">
        <f t="shared" si="64"/>
        <v>#N/A</v>
      </c>
      <c r="AD118" s="629"/>
      <c r="AE118" s="187"/>
      <c r="AF118" s="187"/>
      <c r="AG118" s="187"/>
      <c r="AH118" s="357" t="e">
        <f t="shared" si="65"/>
        <v>#N/A</v>
      </c>
      <c r="AI118" s="629"/>
      <c r="AJ118" s="187"/>
      <c r="AK118" s="187"/>
      <c r="AL118" s="187"/>
      <c r="AM118" s="357" t="e">
        <f t="shared" si="66"/>
        <v>#N/A</v>
      </c>
      <c r="AN118" s="629"/>
      <c r="AO118" s="187"/>
      <c r="AP118" s="187"/>
      <c r="AQ118" s="187"/>
      <c r="AR118" s="357" t="e">
        <f t="shared" si="67"/>
        <v>#N/A</v>
      </c>
      <c r="AS118" s="629"/>
      <c r="AT118" s="187"/>
      <c r="AU118" s="187"/>
      <c r="AV118" s="187"/>
      <c r="AW118" s="357" t="e">
        <f t="shared" si="68"/>
        <v>#N/A</v>
      </c>
      <c r="AX118" s="629"/>
    </row>
    <row r="119" spans="2:50">
      <c r="B119" s="598"/>
      <c r="C119" s="357">
        <v>13</v>
      </c>
      <c r="D119" s="231"/>
      <c r="E119" s="187"/>
      <c r="F119" s="357"/>
      <c r="G119" s="360"/>
      <c r="H119" s="633"/>
      <c r="I119" s="207"/>
      <c r="J119" s="207"/>
      <c r="K119" s="207"/>
      <c r="L119" s="572"/>
      <c r="M119" s="206" t="e">
        <f>RANK(K119, K$87:$K$101)</f>
        <v>#N/A</v>
      </c>
      <c r="N119" s="590"/>
      <c r="O119" s="590"/>
      <c r="P119" s="187"/>
      <c r="Q119" s="187"/>
      <c r="R119" s="187"/>
      <c r="S119" s="357" t="e">
        <f t="shared" si="62"/>
        <v>#N/A</v>
      </c>
      <c r="T119" s="629"/>
      <c r="U119" s="187"/>
      <c r="V119" s="187"/>
      <c r="W119" s="187"/>
      <c r="X119" s="357">
        <f t="shared" si="63"/>
        <v>10</v>
      </c>
      <c r="Y119" s="629"/>
      <c r="Z119" s="187"/>
      <c r="AA119" s="187"/>
      <c r="AB119" s="187"/>
      <c r="AC119" s="357" t="e">
        <f t="shared" si="64"/>
        <v>#N/A</v>
      </c>
      <c r="AD119" s="629"/>
      <c r="AE119" s="187"/>
      <c r="AF119" s="187"/>
      <c r="AG119" s="187"/>
      <c r="AH119" s="357" t="e">
        <f t="shared" si="65"/>
        <v>#N/A</v>
      </c>
      <c r="AI119" s="629"/>
      <c r="AJ119" s="187"/>
      <c r="AK119" s="187"/>
      <c r="AL119" s="187"/>
      <c r="AM119" s="357" t="e">
        <f t="shared" si="66"/>
        <v>#N/A</v>
      </c>
      <c r="AN119" s="629"/>
      <c r="AO119" s="187"/>
      <c r="AP119" s="187"/>
      <c r="AQ119" s="187"/>
      <c r="AR119" s="357" t="e">
        <f t="shared" si="67"/>
        <v>#N/A</v>
      </c>
      <c r="AS119" s="629"/>
      <c r="AT119" s="187"/>
      <c r="AU119" s="187"/>
      <c r="AV119" s="187"/>
      <c r="AW119" s="357" t="e">
        <f t="shared" si="68"/>
        <v>#N/A</v>
      </c>
      <c r="AX119" s="629"/>
    </row>
    <row r="120" spans="2:50">
      <c r="B120" s="598"/>
      <c r="C120" s="357">
        <v>14</v>
      </c>
      <c r="D120" s="231"/>
      <c r="E120" s="187"/>
      <c r="F120" s="357"/>
      <c r="G120" s="360"/>
      <c r="H120" s="633"/>
      <c r="I120" s="207"/>
      <c r="J120" s="207"/>
      <c r="K120" s="207"/>
      <c r="L120" s="572"/>
      <c r="M120" s="206" t="e">
        <f>RANK(K120, K$87:$K$101)</f>
        <v>#N/A</v>
      </c>
      <c r="N120" s="590"/>
      <c r="O120" s="590"/>
      <c r="P120" s="187"/>
      <c r="Q120" s="187"/>
      <c r="R120" s="187"/>
      <c r="S120" s="357" t="e">
        <f t="shared" si="62"/>
        <v>#N/A</v>
      </c>
      <c r="T120" s="629"/>
      <c r="U120" s="187"/>
      <c r="V120" s="187"/>
      <c r="W120" s="187"/>
      <c r="X120" s="357">
        <f t="shared" si="63"/>
        <v>10</v>
      </c>
      <c r="Y120" s="629"/>
      <c r="Z120" s="187"/>
      <c r="AA120" s="187"/>
      <c r="AB120" s="187"/>
      <c r="AC120" s="357" t="e">
        <f t="shared" si="64"/>
        <v>#N/A</v>
      </c>
      <c r="AD120" s="629"/>
      <c r="AE120" s="187"/>
      <c r="AF120" s="187"/>
      <c r="AG120" s="187"/>
      <c r="AH120" s="357" t="e">
        <f t="shared" si="65"/>
        <v>#N/A</v>
      </c>
      <c r="AI120" s="629"/>
      <c r="AJ120" s="187"/>
      <c r="AK120" s="187"/>
      <c r="AL120" s="187"/>
      <c r="AM120" s="357" t="e">
        <f t="shared" si="66"/>
        <v>#N/A</v>
      </c>
      <c r="AN120" s="629"/>
      <c r="AO120" s="187"/>
      <c r="AP120" s="187"/>
      <c r="AQ120" s="187"/>
      <c r="AR120" s="357" t="e">
        <f t="shared" si="67"/>
        <v>#N/A</v>
      </c>
      <c r="AS120" s="629"/>
      <c r="AT120" s="187"/>
      <c r="AU120" s="187"/>
      <c r="AV120" s="187"/>
      <c r="AW120" s="357" t="e">
        <f t="shared" si="68"/>
        <v>#N/A</v>
      </c>
      <c r="AX120" s="629"/>
    </row>
    <row r="121" spans="2:50">
      <c r="B121" s="598"/>
      <c r="C121" s="357">
        <v>15</v>
      </c>
      <c r="D121" s="231"/>
      <c r="E121" s="187"/>
      <c r="F121" s="357"/>
      <c r="G121" s="360"/>
      <c r="H121" s="634"/>
      <c r="I121" s="207"/>
      <c r="J121" s="207"/>
      <c r="K121" s="207"/>
      <c r="L121" s="573"/>
      <c r="M121" s="204" t="e">
        <f>RANK(K121, K$87:$K$101)</f>
        <v>#N/A</v>
      </c>
      <c r="N121" s="590"/>
      <c r="O121" s="590"/>
      <c r="P121" s="187"/>
      <c r="Q121" s="187"/>
      <c r="R121" s="187"/>
      <c r="S121" s="357" t="e">
        <f t="shared" si="62"/>
        <v>#N/A</v>
      </c>
      <c r="T121" s="629"/>
      <c r="U121" s="187"/>
      <c r="V121" s="187"/>
      <c r="W121" s="187"/>
      <c r="X121" s="357">
        <f t="shared" si="63"/>
        <v>10</v>
      </c>
      <c r="Y121" s="629"/>
      <c r="Z121" s="187"/>
      <c r="AA121" s="187"/>
      <c r="AB121" s="187"/>
      <c r="AC121" s="357" t="e">
        <f t="shared" si="64"/>
        <v>#N/A</v>
      </c>
      <c r="AD121" s="629"/>
      <c r="AE121" s="187"/>
      <c r="AF121" s="187"/>
      <c r="AG121" s="187"/>
      <c r="AH121" s="357" t="e">
        <f t="shared" si="65"/>
        <v>#N/A</v>
      </c>
      <c r="AI121" s="629"/>
      <c r="AJ121" s="187"/>
      <c r="AK121" s="187"/>
      <c r="AL121" s="187"/>
      <c r="AM121" s="357" t="e">
        <f t="shared" si="66"/>
        <v>#N/A</v>
      </c>
      <c r="AN121" s="629"/>
      <c r="AO121" s="187"/>
      <c r="AP121" s="187"/>
      <c r="AQ121" s="187"/>
      <c r="AR121" s="357" t="e">
        <f t="shared" si="67"/>
        <v>#N/A</v>
      </c>
      <c r="AS121" s="629"/>
      <c r="AT121" s="187"/>
      <c r="AU121" s="187"/>
      <c r="AV121" s="187"/>
      <c r="AW121" s="357" t="e">
        <f t="shared" si="68"/>
        <v>#N/A</v>
      </c>
      <c r="AX121" s="629"/>
    </row>
    <row r="123" spans="2:50" ht="15.75">
      <c r="B123" s="623" t="s">
        <v>681</v>
      </c>
      <c r="C123" s="624"/>
      <c r="D123" s="624"/>
      <c r="E123" s="624"/>
      <c r="F123" s="624"/>
      <c r="G123" s="624"/>
      <c r="H123" s="625"/>
      <c r="I123" s="361"/>
      <c r="J123" s="361"/>
      <c r="K123" s="361"/>
      <c r="L123" s="361"/>
      <c r="M123" s="362"/>
    </row>
    <row r="124" spans="2:50" ht="15.75">
      <c r="B124" s="626"/>
      <c r="C124" s="626"/>
      <c r="D124" s="626"/>
      <c r="E124" s="626"/>
      <c r="F124" s="626"/>
      <c r="G124" s="626"/>
      <c r="H124" s="626"/>
      <c r="I124" s="363"/>
      <c r="J124" s="363"/>
      <c r="K124" s="363"/>
      <c r="L124" s="363"/>
      <c r="M124" s="364"/>
    </row>
    <row r="125" spans="2:50">
      <c r="B125" s="590" t="s">
        <v>154</v>
      </c>
      <c r="C125" s="590" t="s">
        <v>454</v>
      </c>
      <c r="D125" s="590"/>
      <c r="E125" s="590" t="s">
        <v>445</v>
      </c>
      <c r="F125" s="590"/>
      <c r="G125" s="590"/>
      <c r="H125" s="606" t="s">
        <v>441</v>
      </c>
      <c r="I125" s="627" t="s">
        <v>446</v>
      </c>
      <c r="J125" s="627"/>
      <c r="K125" s="627"/>
      <c r="L125" s="643" t="s">
        <v>441</v>
      </c>
      <c r="M125" s="646" t="s">
        <v>442</v>
      </c>
    </row>
    <row r="126" spans="2:50">
      <c r="B126" s="590"/>
      <c r="C126" s="590"/>
      <c r="D126" s="590"/>
      <c r="E126" s="590" t="s">
        <v>448</v>
      </c>
      <c r="F126" s="590"/>
      <c r="G126" s="590"/>
      <c r="H126" s="607"/>
      <c r="I126" s="627" t="s">
        <v>448</v>
      </c>
      <c r="J126" s="627"/>
      <c r="K126" s="627"/>
      <c r="L126" s="644"/>
      <c r="M126" s="647"/>
    </row>
    <row r="127" spans="2:50">
      <c r="B127" s="590"/>
      <c r="C127" s="590"/>
      <c r="D127" s="590"/>
      <c r="E127" s="358" t="s">
        <v>450</v>
      </c>
      <c r="F127" s="358" t="s">
        <v>451</v>
      </c>
      <c r="G127" s="358" t="s">
        <v>452</v>
      </c>
      <c r="H127" s="608"/>
      <c r="I127" s="365" t="s">
        <v>450</v>
      </c>
      <c r="J127" s="365" t="s">
        <v>451</v>
      </c>
      <c r="K127" s="365" t="s">
        <v>452</v>
      </c>
      <c r="L127" s="645"/>
      <c r="M127" s="648"/>
    </row>
    <row r="128" spans="2:50">
      <c r="B128" s="590" t="s">
        <v>456</v>
      </c>
      <c r="C128" s="357">
        <v>1</v>
      </c>
      <c r="D128" s="231"/>
      <c r="E128" s="187"/>
      <c r="F128" s="357"/>
      <c r="G128" s="360"/>
      <c r="H128" s="632" t="e">
        <f>AVERAGE(G128:G142)</f>
        <v>#DIV/0!</v>
      </c>
      <c r="I128" s="204" t="e">
        <f t="shared" ref="I128:J137" si="69">AVERAGEIF($D$7:$D$121,$D128,I$7:I$121)</f>
        <v>#DIV/0!</v>
      </c>
      <c r="J128" s="204" t="e">
        <f t="shared" si="69"/>
        <v>#DIV/0!</v>
      </c>
      <c r="K128" s="204" t="e">
        <f t="shared" ref="K128:K137" si="70">AVERAGEIF($D$7:$D$121,$D128,K$7:K$121)</f>
        <v>#DIV/0!</v>
      </c>
      <c r="L128" s="640" t="e">
        <f>AVERAGE(K128:K142)</f>
        <v>#DIV/0!</v>
      </c>
      <c r="M128" s="204" t="e">
        <f>RANK(K128, K$128:$K$142)</f>
        <v>#DIV/0!</v>
      </c>
    </row>
    <row r="129" spans="2:13">
      <c r="B129" s="598"/>
      <c r="C129" s="357">
        <v>2</v>
      </c>
      <c r="D129" s="231"/>
      <c r="E129" s="187"/>
      <c r="F129" s="357"/>
      <c r="G129" s="360"/>
      <c r="H129" s="633"/>
      <c r="I129" s="204" t="e">
        <f t="shared" si="69"/>
        <v>#DIV/0!</v>
      </c>
      <c r="J129" s="204" t="e">
        <f t="shared" si="69"/>
        <v>#DIV/0!</v>
      </c>
      <c r="K129" s="204" t="e">
        <f t="shared" si="70"/>
        <v>#DIV/0!</v>
      </c>
      <c r="L129" s="641"/>
      <c r="M129" s="204" t="e">
        <f>RANK(K129, K$128:$K$142)</f>
        <v>#DIV/0!</v>
      </c>
    </row>
    <row r="130" spans="2:13">
      <c r="B130" s="598"/>
      <c r="C130" s="357">
        <v>3</v>
      </c>
      <c r="D130" s="231"/>
      <c r="E130" s="187"/>
      <c r="F130" s="357"/>
      <c r="G130" s="360"/>
      <c r="H130" s="633"/>
      <c r="I130" s="204" t="e">
        <f t="shared" si="69"/>
        <v>#DIV/0!</v>
      </c>
      <c r="J130" s="204" t="e">
        <f t="shared" si="69"/>
        <v>#DIV/0!</v>
      </c>
      <c r="K130" s="204" t="e">
        <f t="shared" si="70"/>
        <v>#DIV/0!</v>
      </c>
      <c r="L130" s="641"/>
      <c r="M130" s="204" t="e">
        <f>RANK(K130, K$128:$K$142)</f>
        <v>#DIV/0!</v>
      </c>
    </row>
    <row r="131" spans="2:13">
      <c r="B131" s="598"/>
      <c r="C131" s="357">
        <v>4</v>
      </c>
      <c r="D131" s="231"/>
      <c r="E131" s="187"/>
      <c r="F131" s="357"/>
      <c r="G131" s="360"/>
      <c r="H131" s="633"/>
      <c r="I131" s="204" t="e">
        <f t="shared" si="69"/>
        <v>#DIV/0!</v>
      </c>
      <c r="J131" s="204" t="e">
        <f t="shared" si="69"/>
        <v>#DIV/0!</v>
      </c>
      <c r="K131" s="204" t="e">
        <f t="shared" si="70"/>
        <v>#DIV/0!</v>
      </c>
      <c r="L131" s="641"/>
      <c r="M131" s="204" t="e">
        <f>RANK(K131, K$128:$K$142)</f>
        <v>#DIV/0!</v>
      </c>
    </row>
    <row r="132" spans="2:13">
      <c r="B132" s="598"/>
      <c r="C132" s="357">
        <v>5</v>
      </c>
      <c r="D132" s="231"/>
      <c r="E132" s="187"/>
      <c r="F132" s="357"/>
      <c r="G132" s="360"/>
      <c r="H132" s="633"/>
      <c r="I132" s="204" t="e">
        <f t="shared" si="69"/>
        <v>#DIV/0!</v>
      </c>
      <c r="J132" s="204" t="e">
        <f t="shared" si="69"/>
        <v>#DIV/0!</v>
      </c>
      <c r="K132" s="204" t="e">
        <f t="shared" si="70"/>
        <v>#DIV/0!</v>
      </c>
      <c r="L132" s="641"/>
      <c r="M132" s="204" t="e">
        <f>RANK(K132, K$128:$K$142)</f>
        <v>#DIV/0!</v>
      </c>
    </row>
    <row r="133" spans="2:13">
      <c r="B133" s="598"/>
      <c r="C133" s="357">
        <v>6</v>
      </c>
      <c r="D133" s="366"/>
      <c r="E133" s="187"/>
      <c r="F133" s="357"/>
      <c r="G133" s="360"/>
      <c r="H133" s="633"/>
      <c r="I133" s="204" t="e">
        <f t="shared" si="69"/>
        <v>#DIV/0!</v>
      </c>
      <c r="J133" s="204" t="e">
        <f t="shared" si="69"/>
        <v>#DIV/0!</v>
      </c>
      <c r="K133" s="204" t="e">
        <f t="shared" si="70"/>
        <v>#DIV/0!</v>
      </c>
      <c r="L133" s="641"/>
      <c r="M133" s="204" t="e">
        <f>RANK(K133, K$128:$K$142)</f>
        <v>#DIV/0!</v>
      </c>
    </row>
    <row r="134" spans="2:13">
      <c r="B134" s="598"/>
      <c r="C134" s="357">
        <v>7</v>
      </c>
      <c r="D134" s="231"/>
      <c r="E134" s="187"/>
      <c r="F134" s="357"/>
      <c r="G134" s="360"/>
      <c r="H134" s="633"/>
      <c r="I134" s="204" t="e">
        <f t="shared" si="69"/>
        <v>#DIV/0!</v>
      </c>
      <c r="J134" s="204" t="e">
        <f t="shared" si="69"/>
        <v>#DIV/0!</v>
      </c>
      <c r="K134" s="204" t="e">
        <f t="shared" si="70"/>
        <v>#DIV/0!</v>
      </c>
      <c r="L134" s="641"/>
      <c r="M134" s="204" t="e">
        <f>RANK(K134, K$128:$K$142)</f>
        <v>#DIV/0!</v>
      </c>
    </row>
    <row r="135" spans="2:13">
      <c r="B135" s="598"/>
      <c r="C135" s="357">
        <v>8</v>
      </c>
      <c r="D135" s="231"/>
      <c r="E135" s="187"/>
      <c r="F135" s="357"/>
      <c r="G135" s="360"/>
      <c r="H135" s="633"/>
      <c r="I135" s="204" t="e">
        <f t="shared" si="69"/>
        <v>#DIV/0!</v>
      </c>
      <c r="J135" s="204" t="e">
        <f t="shared" si="69"/>
        <v>#DIV/0!</v>
      </c>
      <c r="K135" s="204" t="e">
        <f t="shared" si="70"/>
        <v>#DIV/0!</v>
      </c>
      <c r="L135" s="641"/>
      <c r="M135" s="204" t="e">
        <f>RANK(K135, K$128:$K$142)</f>
        <v>#DIV/0!</v>
      </c>
    </row>
    <row r="136" spans="2:13">
      <c r="B136" s="598"/>
      <c r="C136" s="357">
        <v>9</v>
      </c>
      <c r="D136" s="231"/>
      <c r="E136" s="357"/>
      <c r="F136" s="357"/>
      <c r="G136" s="357"/>
      <c r="H136" s="633"/>
      <c r="I136" s="204" t="e">
        <f t="shared" si="69"/>
        <v>#DIV/0!</v>
      </c>
      <c r="J136" s="204" t="e">
        <f t="shared" si="69"/>
        <v>#DIV/0!</v>
      </c>
      <c r="K136" s="204" t="e">
        <f t="shared" si="70"/>
        <v>#DIV/0!</v>
      </c>
      <c r="L136" s="641"/>
      <c r="M136" s="204" t="e">
        <f>RANK(K136, K$128:$K$142)</f>
        <v>#DIV/0!</v>
      </c>
    </row>
    <row r="137" spans="2:13">
      <c r="B137" s="598"/>
      <c r="C137" s="357">
        <v>10</v>
      </c>
      <c r="D137" s="231"/>
      <c r="E137" s="357"/>
      <c r="F137" s="357"/>
      <c r="G137" s="357"/>
      <c r="H137" s="633"/>
      <c r="I137" s="204" t="e">
        <f t="shared" si="69"/>
        <v>#DIV/0!</v>
      </c>
      <c r="J137" s="204" t="e">
        <f t="shared" si="69"/>
        <v>#DIV/0!</v>
      </c>
      <c r="K137" s="204" t="e">
        <f t="shared" si="70"/>
        <v>#DIV/0!</v>
      </c>
      <c r="L137" s="641"/>
      <c r="M137" s="204" t="e">
        <f>RANK(K137, K$128:$K$142)</f>
        <v>#DIV/0!</v>
      </c>
    </row>
    <row r="138" spans="2:13">
      <c r="B138" s="598"/>
      <c r="C138" s="357">
        <v>11</v>
      </c>
      <c r="D138" s="231"/>
      <c r="E138" s="357"/>
      <c r="F138" s="357"/>
      <c r="G138" s="357"/>
      <c r="H138" s="633"/>
      <c r="I138" s="204"/>
      <c r="J138" s="204"/>
      <c r="K138" s="204"/>
      <c r="L138" s="641"/>
      <c r="M138" s="204" t="e">
        <f>RANK(K138, K$128:$K$142)</f>
        <v>#DIV/0!</v>
      </c>
    </row>
    <row r="139" spans="2:13">
      <c r="B139" s="598"/>
      <c r="C139" s="357">
        <v>12</v>
      </c>
      <c r="D139" s="231"/>
      <c r="E139" s="357"/>
      <c r="F139" s="357"/>
      <c r="G139" s="357"/>
      <c r="H139" s="633"/>
      <c r="I139" s="204"/>
      <c r="J139" s="204"/>
      <c r="K139" s="204"/>
      <c r="L139" s="641"/>
      <c r="M139" s="204" t="e">
        <f>RANK(K139, K$128:$K$142)</f>
        <v>#DIV/0!</v>
      </c>
    </row>
    <row r="140" spans="2:13">
      <c r="B140" s="598"/>
      <c r="C140" s="357">
        <v>13</v>
      </c>
      <c r="D140" s="231"/>
      <c r="E140" s="357"/>
      <c r="F140" s="357"/>
      <c r="G140" s="357"/>
      <c r="H140" s="633"/>
      <c r="I140" s="204"/>
      <c r="J140" s="204"/>
      <c r="K140" s="204"/>
      <c r="L140" s="641"/>
      <c r="M140" s="204" t="e">
        <f>RANK(K140, K$128:$K$142)</f>
        <v>#DIV/0!</v>
      </c>
    </row>
    <row r="141" spans="2:13">
      <c r="B141" s="598"/>
      <c r="C141" s="357">
        <v>14</v>
      </c>
      <c r="D141" s="231"/>
      <c r="E141" s="357"/>
      <c r="F141" s="357"/>
      <c r="G141" s="357"/>
      <c r="H141" s="633"/>
      <c r="I141" s="204"/>
      <c r="J141" s="204"/>
      <c r="K141" s="204"/>
      <c r="L141" s="641"/>
      <c r="M141" s="204" t="e">
        <f>RANK(K141, K$128:$K$142)</f>
        <v>#DIV/0!</v>
      </c>
    </row>
    <row r="142" spans="2:13">
      <c r="B142" s="598"/>
      <c r="C142" s="357">
        <v>15</v>
      </c>
      <c r="D142" s="231"/>
      <c r="E142" s="357"/>
      <c r="F142" s="357"/>
      <c r="G142" s="357"/>
      <c r="H142" s="634"/>
      <c r="I142" s="204"/>
      <c r="J142" s="204"/>
      <c r="K142" s="204"/>
      <c r="L142" s="642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BA49" sqref="BA49"/>
      <selection pane="topRight" activeCell="AT87" sqref="AT8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6" t="s">
        <v>332</v>
      </c>
      <c r="C1" s="225">
        <f>AVERAGE(L7,L27,L47,L67,L87,L107)</f>
        <v>121.295891499714</v>
      </c>
    </row>
    <row r="2" spans="1:54" ht="15.75">
      <c r="A2" s="81"/>
      <c r="B2" s="602" t="s">
        <v>163</v>
      </c>
      <c r="C2" s="602"/>
      <c r="D2" s="602"/>
      <c r="E2" s="602"/>
      <c r="F2" s="602"/>
      <c r="G2" s="602"/>
      <c r="H2" s="602"/>
      <c r="I2" s="320"/>
      <c r="J2" s="320"/>
      <c r="K2" s="320"/>
      <c r="L2" s="320"/>
      <c r="M2" s="202"/>
      <c r="N2" s="591" t="s">
        <v>156</v>
      </c>
      <c r="O2" s="591" t="s">
        <v>155</v>
      </c>
      <c r="P2" s="637">
        <v>45930</v>
      </c>
      <c r="Q2" s="638"/>
      <c r="R2" s="638"/>
      <c r="S2" s="638"/>
      <c r="T2" s="639"/>
      <c r="U2" s="597">
        <f>P2+1</f>
        <v>45931</v>
      </c>
      <c r="V2" s="598"/>
      <c r="W2" s="598"/>
      <c r="X2" s="598"/>
      <c r="Y2" s="598"/>
      <c r="Z2" s="597">
        <f>U2+1</f>
        <v>45932</v>
      </c>
      <c r="AA2" s="598"/>
      <c r="AB2" s="598"/>
      <c r="AC2" s="598"/>
      <c r="AD2" s="598"/>
      <c r="AE2" s="597">
        <f>Z2+1</f>
        <v>45933</v>
      </c>
      <c r="AF2" s="598"/>
      <c r="AG2" s="598"/>
      <c r="AH2" s="598"/>
      <c r="AI2" s="598"/>
      <c r="AJ2" s="597">
        <f>AE2+1</f>
        <v>45934</v>
      </c>
      <c r="AK2" s="598"/>
      <c r="AL2" s="598"/>
      <c r="AM2" s="598"/>
      <c r="AN2" s="598"/>
      <c r="AO2" s="597">
        <f>AJ2+1</f>
        <v>45935</v>
      </c>
      <c r="AP2" s="598"/>
      <c r="AQ2" s="598"/>
      <c r="AR2" s="598"/>
      <c r="AS2" s="598"/>
      <c r="AT2" s="597">
        <f>AO2+1</f>
        <v>45936</v>
      </c>
      <c r="AU2" s="598"/>
      <c r="AV2" s="598"/>
      <c r="AW2" s="598"/>
      <c r="AX2" s="598"/>
    </row>
    <row r="3" spans="1:54" ht="15.75">
      <c r="A3" s="81"/>
      <c r="B3" s="622"/>
      <c r="C3" s="622"/>
      <c r="D3" s="622"/>
      <c r="E3" s="622"/>
      <c r="F3" s="622"/>
      <c r="G3" s="622"/>
      <c r="H3" s="622"/>
      <c r="I3" s="321"/>
      <c r="J3" s="321"/>
      <c r="K3" s="321"/>
      <c r="L3" s="321"/>
      <c r="M3" s="203"/>
      <c r="N3" s="593"/>
      <c r="O3" s="593"/>
      <c r="P3" s="594" t="s">
        <v>158</v>
      </c>
      <c r="Q3" s="595"/>
      <c r="R3" s="595"/>
      <c r="S3" s="595"/>
      <c r="T3" s="596"/>
      <c r="U3" s="594" t="s">
        <v>114</v>
      </c>
      <c r="V3" s="595"/>
      <c r="W3" s="595"/>
      <c r="X3" s="595"/>
      <c r="Y3" s="596"/>
      <c r="Z3" s="594" t="s">
        <v>159</v>
      </c>
      <c r="AA3" s="595"/>
      <c r="AB3" s="595"/>
      <c r="AC3" s="595"/>
      <c r="AD3" s="596"/>
      <c r="AE3" s="594" t="s">
        <v>157</v>
      </c>
      <c r="AF3" s="595"/>
      <c r="AG3" s="595"/>
      <c r="AH3" s="595"/>
      <c r="AI3" s="596"/>
      <c r="AJ3" s="594" t="s">
        <v>160</v>
      </c>
      <c r="AK3" s="595"/>
      <c r="AL3" s="595"/>
      <c r="AM3" s="595"/>
      <c r="AN3" s="596"/>
      <c r="AO3" s="594" t="s">
        <v>161</v>
      </c>
      <c r="AP3" s="595"/>
      <c r="AQ3" s="595"/>
      <c r="AR3" s="595"/>
      <c r="AS3" s="596"/>
      <c r="AT3" s="594" t="s">
        <v>162</v>
      </c>
      <c r="AU3" s="595"/>
      <c r="AV3" s="595"/>
      <c r="AW3" s="595"/>
      <c r="AX3" s="596"/>
    </row>
    <row r="4" spans="1:54" ht="14.25">
      <c r="A4" s="81"/>
      <c r="B4" s="590" t="s">
        <v>154</v>
      </c>
      <c r="C4" s="590" t="s">
        <v>454</v>
      </c>
      <c r="D4" s="590"/>
      <c r="E4" s="590" t="s">
        <v>445</v>
      </c>
      <c r="F4" s="590"/>
      <c r="G4" s="590"/>
      <c r="H4" s="606" t="s">
        <v>441</v>
      </c>
      <c r="I4" s="574" t="s">
        <v>446</v>
      </c>
      <c r="J4" s="574"/>
      <c r="K4" s="574"/>
      <c r="L4" s="575" t="s">
        <v>441</v>
      </c>
      <c r="M4" s="581" t="s">
        <v>442</v>
      </c>
      <c r="N4" s="590"/>
      <c r="O4" s="590" t="s">
        <v>447</v>
      </c>
      <c r="P4" s="587" t="s">
        <v>443</v>
      </c>
      <c r="Q4" s="588"/>
      <c r="R4" s="588"/>
      <c r="S4" s="589"/>
      <c r="T4" s="590" t="s">
        <v>441</v>
      </c>
      <c r="U4" s="587" t="s">
        <v>443</v>
      </c>
      <c r="V4" s="588"/>
      <c r="W4" s="588"/>
      <c r="X4" s="589"/>
      <c r="Y4" s="590" t="s">
        <v>441</v>
      </c>
      <c r="Z4" s="587" t="s">
        <v>443</v>
      </c>
      <c r="AA4" s="588"/>
      <c r="AB4" s="588"/>
      <c r="AC4" s="589"/>
      <c r="AD4" s="590" t="s">
        <v>441</v>
      </c>
      <c r="AE4" s="587" t="s">
        <v>443</v>
      </c>
      <c r="AF4" s="588"/>
      <c r="AG4" s="588"/>
      <c r="AH4" s="589"/>
      <c r="AI4" s="590" t="s">
        <v>441</v>
      </c>
      <c r="AJ4" s="587" t="s">
        <v>443</v>
      </c>
      <c r="AK4" s="588"/>
      <c r="AL4" s="588"/>
      <c r="AM4" s="589"/>
      <c r="AN4" s="590" t="s">
        <v>441</v>
      </c>
      <c r="AO4" s="587" t="s">
        <v>443</v>
      </c>
      <c r="AP4" s="588"/>
      <c r="AQ4" s="588"/>
      <c r="AR4" s="589"/>
      <c r="AS4" s="590" t="s">
        <v>441</v>
      </c>
      <c r="AT4" s="587" t="s">
        <v>443</v>
      </c>
      <c r="AU4" s="588"/>
      <c r="AV4" s="588"/>
      <c r="AW4" s="589"/>
      <c r="AX4" s="590" t="s">
        <v>441</v>
      </c>
    </row>
    <row r="5" spans="1:54" ht="14.25">
      <c r="A5" s="81"/>
      <c r="B5" s="590"/>
      <c r="C5" s="590"/>
      <c r="D5" s="590"/>
      <c r="E5" s="590" t="s">
        <v>448</v>
      </c>
      <c r="F5" s="590"/>
      <c r="G5" s="590"/>
      <c r="H5" s="607"/>
      <c r="I5" s="574" t="s">
        <v>448</v>
      </c>
      <c r="J5" s="574"/>
      <c r="K5" s="574"/>
      <c r="L5" s="576"/>
      <c r="M5" s="582"/>
      <c r="N5" s="590"/>
      <c r="O5" s="590"/>
      <c r="P5" s="587" t="s">
        <v>449</v>
      </c>
      <c r="Q5" s="588"/>
      <c r="R5" s="588"/>
      <c r="S5" s="589"/>
      <c r="T5" s="590"/>
      <c r="U5" s="587" t="s">
        <v>449</v>
      </c>
      <c r="V5" s="588"/>
      <c r="W5" s="588"/>
      <c r="X5" s="589"/>
      <c r="Y5" s="590"/>
      <c r="Z5" s="587" t="s">
        <v>449</v>
      </c>
      <c r="AA5" s="588"/>
      <c r="AB5" s="588"/>
      <c r="AC5" s="589"/>
      <c r="AD5" s="590"/>
      <c r="AE5" s="587" t="s">
        <v>449</v>
      </c>
      <c r="AF5" s="588"/>
      <c r="AG5" s="588"/>
      <c r="AH5" s="589"/>
      <c r="AI5" s="590"/>
      <c r="AJ5" s="587" t="s">
        <v>449</v>
      </c>
      <c r="AK5" s="588"/>
      <c r="AL5" s="588"/>
      <c r="AM5" s="589"/>
      <c r="AN5" s="590"/>
      <c r="AO5" s="587" t="s">
        <v>449</v>
      </c>
      <c r="AP5" s="588"/>
      <c r="AQ5" s="588"/>
      <c r="AR5" s="589"/>
      <c r="AS5" s="590"/>
      <c r="AT5" s="587" t="s">
        <v>449</v>
      </c>
      <c r="AU5" s="588"/>
      <c r="AV5" s="588"/>
      <c r="AW5" s="589"/>
      <c r="AX5" s="590"/>
    </row>
    <row r="6" spans="1:54" ht="14.25">
      <c r="A6" s="79"/>
      <c r="B6" s="590"/>
      <c r="C6" s="590"/>
      <c r="D6" s="590"/>
      <c r="E6" s="377" t="s">
        <v>450</v>
      </c>
      <c r="F6" s="377" t="s">
        <v>451</v>
      </c>
      <c r="G6" s="377" t="s">
        <v>452</v>
      </c>
      <c r="H6" s="608"/>
      <c r="I6" s="376" t="s">
        <v>450</v>
      </c>
      <c r="J6" s="376" t="s">
        <v>451</v>
      </c>
      <c r="K6" s="376" t="s">
        <v>452</v>
      </c>
      <c r="L6" s="577"/>
      <c r="M6" s="583"/>
      <c r="N6" s="590"/>
      <c r="O6" s="590"/>
      <c r="P6" s="377" t="s">
        <v>450</v>
      </c>
      <c r="Q6" s="377" t="s">
        <v>451</v>
      </c>
      <c r="R6" s="377" t="s">
        <v>452</v>
      </c>
      <c r="S6" s="377" t="s">
        <v>442</v>
      </c>
      <c r="T6" s="590"/>
      <c r="U6" s="377" t="s">
        <v>450</v>
      </c>
      <c r="V6" s="377" t="s">
        <v>451</v>
      </c>
      <c r="W6" s="377" t="s">
        <v>452</v>
      </c>
      <c r="X6" s="377" t="s">
        <v>442</v>
      </c>
      <c r="Y6" s="590"/>
      <c r="Z6" s="377" t="s">
        <v>450</v>
      </c>
      <c r="AA6" s="377" t="s">
        <v>451</v>
      </c>
      <c r="AB6" s="377" t="s">
        <v>452</v>
      </c>
      <c r="AC6" s="377" t="s">
        <v>442</v>
      </c>
      <c r="AD6" s="590"/>
      <c r="AE6" s="377" t="s">
        <v>450</v>
      </c>
      <c r="AF6" s="377" t="s">
        <v>451</v>
      </c>
      <c r="AG6" s="377" t="s">
        <v>452</v>
      </c>
      <c r="AH6" s="377" t="s">
        <v>442</v>
      </c>
      <c r="AI6" s="590"/>
      <c r="AJ6" s="377" t="s">
        <v>450</v>
      </c>
      <c r="AK6" s="377" t="s">
        <v>451</v>
      </c>
      <c r="AL6" s="377" t="s">
        <v>452</v>
      </c>
      <c r="AM6" s="377" t="s">
        <v>442</v>
      </c>
      <c r="AN6" s="590"/>
      <c r="AO6" s="377" t="s">
        <v>450</v>
      </c>
      <c r="AP6" s="377" t="s">
        <v>451</v>
      </c>
      <c r="AQ6" s="377" t="s">
        <v>452</v>
      </c>
      <c r="AR6" s="377" t="s">
        <v>442</v>
      </c>
      <c r="AS6" s="590"/>
      <c r="AT6" s="377" t="s">
        <v>450</v>
      </c>
      <c r="AU6" s="377" t="s">
        <v>451</v>
      </c>
      <c r="AV6" s="377" t="s">
        <v>452</v>
      </c>
      <c r="AW6" s="377" t="s">
        <v>442</v>
      </c>
      <c r="AX6" s="590"/>
    </row>
    <row r="7" spans="1:54" ht="14.25">
      <c r="A7" s="81"/>
      <c r="B7" s="590" t="s">
        <v>521</v>
      </c>
      <c r="C7" s="378">
        <v>1</v>
      </c>
      <c r="D7" s="231" t="s">
        <v>408</v>
      </c>
      <c r="E7" s="187">
        <v>21</v>
      </c>
      <c r="F7" s="378">
        <v>2400</v>
      </c>
      <c r="G7" s="379">
        <v>114.28571428571429</v>
      </c>
      <c r="H7" s="632">
        <f>AVERAGE(G7:G21)</f>
        <v>151.37844611528823</v>
      </c>
      <c r="I7" s="380">
        <f>AVERAGE(P7,U7,Z7,AE7,AJ7,AO7,AT7)</f>
        <v>20.142857142857142</v>
      </c>
      <c r="J7" s="380">
        <f>AVERAGE(Q7,V7,AA7,AF7,AK7,AP7,AU7)</f>
        <v>2185.1536356934666</v>
      </c>
      <c r="K7" s="205">
        <f>AVERAGE(R7,W7,AB7,AG7,AL7,AQ7,AV7)</f>
        <v>108.51414436970734</v>
      </c>
      <c r="L7" s="571">
        <f>IFERROR(AVERAGE(K7:K21),"-")</f>
        <v>119.15061145830727</v>
      </c>
      <c r="M7" s="381">
        <f>RANK(K7, $K$7:K$21)</f>
        <v>4</v>
      </c>
      <c r="N7" s="590"/>
      <c r="O7" s="590"/>
      <c r="P7" s="187">
        <v>21</v>
      </c>
      <c r="Q7" s="379">
        <v>2186.0000000000005</v>
      </c>
      <c r="R7" s="379">
        <v>104.09523809523812</v>
      </c>
      <c r="S7" s="378">
        <f>RANK(R7, R$7:R$21)</f>
        <v>4</v>
      </c>
      <c r="T7" s="632">
        <f>AVERAGE(R7:R21)</f>
        <v>119.50701827242517</v>
      </c>
      <c r="U7" s="187">
        <v>20</v>
      </c>
      <c r="V7" s="379">
        <v>2194.5132743362833</v>
      </c>
      <c r="W7" s="379">
        <v>109.72566371681417</v>
      </c>
      <c r="X7" s="378">
        <f>RANK(W7, W$7:W$21)</f>
        <v>4</v>
      </c>
      <c r="Y7" s="632">
        <f>AVERAGE(W7:W21)</f>
        <v>119.27161276961917</v>
      </c>
      <c r="Z7" s="187">
        <v>20</v>
      </c>
      <c r="AA7" s="379">
        <v>2136.3461538461547</v>
      </c>
      <c r="AB7" s="379">
        <v>106.81730769230774</v>
      </c>
      <c r="AC7" s="378">
        <f>RANK(AB7, AB$7:AB$21)</f>
        <v>4</v>
      </c>
      <c r="AD7" s="632">
        <f>AVERAGE(AB7:AB21)</f>
        <v>118.81842785770795</v>
      </c>
      <c r="AE7" s="187">
        <v>20</v>
      </c>
      <c r="AF7" s="379">
        <v>2146.7999999999993</v>
      </c>
      <c r="AG7" s="379">
        <v>107.33999999999996</v>
      </c>
      <c r="AH7" s="378">
        <f>RANK(AG7, AG$7:AG$21)</f>
        <v>4</v>
      </c>
      <c r="AI7" s="632">
        <f>AVERAGE(AG7:AG21)</f>
        <v>118.6763389242336</v>
      </c>
      <c r="AJ7" s="187">
        <v>20</v>
      </c>
      <c r="AK7" s="379">
        <v>2218.1250000000009</v>
      </c>
      <c r="AL7" s="379">
        <v>110.90625000000004</v>
      </c>
      <c r="AM7" s="378">
        <f>RANK(AL7, AL$7:AL$21)</f>
        <v>4</v>
      </c>
      <c r="AN7" s="632">
        <f>AVERAGE(AL7:AL21)</f>
        <v>119.66577622580394</v>
      </c>
      <c r="AO7" s="187">
        <v>20</v>
      </c>
      <c r="AP7" s="379">
        <v>2179.7647058823522</v>
      </c>
      <c r="AQ7" s="379">
        <v>108.98823529411762</v>
      </c>
      <c r="AR7" s="378">
        <f>RANK(AQ7, AQ$7:AQ$21)</f>
        <v>4</v>
      </c>
      <c r="AS7" s="632">
        <f>AVERAGE(AQ7:AQ21)</f>
        <v>119.21753927174305</v>
      </c>
      <c r="AT7" s="187">
        <v>20</v>
      </c>
      <c r="AU7" s="379">
        <v>2234.5263157894742</v>
      </c>
      <c r="AV7" s="379">
        <v>111.72631578947372</v>
      </c>
      <c r="AW7" s="378">
        <f>RANK(AV7, AV$7:AV$21)</f>
        <v>4</v>
      </c>
      <c r="AX7" s="629">
        <f>AVERAGE(AV7:AV21)</f>
        <v>118.89756688661794</v>
      </c>
      <c r="AZ7" s="381" t="e">
        <f>RANK(AX7, $K$7:AX$21)</f>
        <v>#N/A</v>
      </c>
      <c r="BB7" s="378" t="e">
        <f>RANK(BA7, BA$7:BA$21)</f>
        <v>#N/A</v>
      </c>
    </row>
    <row r="8" spans="1:54" ht="15" customHeight="1">
      <c r="A8" s="81"/>
      <c r="B8" s="598"/>
      <c r="C8" s="378">
        <v>2</v>
      </c>
      <c r="D8" s="231" t="s">
        <v>409</v>
      </c>
      <c r="E8" s="187">
        <v>18</v>
      </c>
      <c r="F8" s="378">
        <v>3000</v>
      </c>
      <c r="G8" s="379">
        <v>166.66666666666666</v>
      </c>
      <c r="H8" s="633"/>
      <c r="I8" s="380">
        <f t="shared" ref="I8:I10" si="0">AVERAGE(P8,U8,Z8,AE8,AJ8,AO8,AT8)</f>
        <v>20</v>
      </c>
      <c r="J8" s="380">
        <f t="shared" ref="J8:J10" si="1">AVERAGE(Q8,V8,AA8,AF8,AK8,AP8,AU8)</f>
        <v>2394.6621866075034</v>
      </c>
      <c r="K8" s="205">
        <f t="shared" ref="K8:K10" si="2">AVERAGE(R8,W8,AB8,AG8,AL8,AQ8,AV8)</f>
        <v>119.73310933037513</v>
      </c>
      <c r="L8" s="572"/>
      <c r="M8" s="381">
        <f>RANK(K8, $K$7:K$21)</f>
        <v>3</v>
      </c>
      <c r="N8" s="590"/>
      <c r="O8" s="590"/>
      <c r="P8" s="378">
        <v>20</v>
      </c>
      <c r="Q8" s="379">
        <v>2411.6666666666647</v>
      </c>
      <c r="R8" s="379">
        <v>120.58333333333323</v>
      </c>
      <c r="S8" s="378">
        <f t="shared" ref="S8:S21" si="3">RANK(R8, R$7:R$21)</f>
        <v>3</v>
      </c>
      <c r="T8" s="633"/>
      <c r="U8" s="378">
        <v>20</v>
      </c>
      <c r="V8" s="379">
        <v>2418.9473684210507</v>
      </c>
      <c r="W8" s="379">
        <v>120.94736842105253</v>
      </c>
      <c r="X8" s="378">
        <f t="shared" ref="X8:X21" si="4">RANK(W8, W$7:W$21)</f>
        <v>3</v>
      </c>
      <c r="Y8" s="633"/>
      <c r="Z8" s="378">
        <v>20</v>
      </c>
      <c r="AA8" s="379">
        <v>2454.7826086956552</v>
      </c>
      <c r="AB8" s="379">
        <v>122.73913043478277</v>
      </c>
      <c r="AC8" s="378">
        <f t="shared" ref="AC8:AC21" si="5">RANK(AB8, AB$7:AB$21)</f>
        <v>2</v>
      </c>
      <c r="AD8" s="633"/>
      <c r="AE8" s="378">
        <v>20</v>
      </c>
      <c r="AF8" s="379">
        <v>2415.4285714285688</v>
      </c>
      <c r="AG8" s="379">
        <v>120.77142857142844</v>
      </c>
      <c r="AH8" s="378">
        <f t="shared" ref="AH8:AH21" si="6">RANK(AG8, AG$7:AG$21)</f>
        <v>3</v>
      </c>
      <c r="AI8" s="633"/>
      <c r="AJ8" s="378">
        <v>20</v>
      </c>
      <c r="AK8" s="379">
        <v>2400.8571428571431</v>
      </c>
      <c r="AL8" s="379">
        <v>120.04285714285716</v>
      </c>
      <c r="AM8" s="378">
        <f t="shared" ref="AM8:AM21" si="7">RANK(AL8, AL$7:AL$21)</f>
        <v>3</v>
      </c>
      <c r="AN8" s="633"/>
      <c r="AO8" s="378">
        <v>20</v>
      </c>
      <c r="AP8" s="379">
        <v>2337.3913043478237</v>
      </c>
      <c r="AQ8" s="379">
        <v>116.86956521739118</v>
      </c>
      <c r="AR8" s="378">
        <f t="shared" ref="AR8:AR21" si="8">RANK(AQ8, AQ$7:AQ$21)</f>
        <v>3</v>
      </c>
      <c r="AS8" s="633"/>
      <c r="AT8" s="378">
        <v>20</v>
      </c>
      <c r="AU8" s="379">
        <v>2323.5616438356146</v>
      </c>
      <c r="AV8" s="379">
        <v>116.17808219178073</v>
      </c>
      <c r="AW8" s="378">
        <f t="shared" ref="AW8:AW21" si="9">RANK(AV8, AV$7:AV$21)</f>
        <v>3</v>
      </c>
      <c r="AX8" s="629"/>
      <c r="AZ8" s="381" t="e">
        <f>RANK(AX8, $K$7:AX$21)</f>
        <v>#N/A</v>
      </c>
      <c r="BB8" s="378" t="e">
        <f t="shared" ref="BB8:BB21" si="10">RANK(BA8, BA$7:BA$21)</f>
        <v>#N/A</v>
      </c>
    </row>
    <row r="9" spans="1:54" ht="14.25">
      <c r="A9" s="81"/>
      <c r="B9" s="598"/>
      <c r="C9" s="378">
        <v>3</v>
      </c>
      <c r="D9" s="231" t="s">
        <v>410</v>
      </c>
      <c r="E9" s="187">
        <v>18</v>
      </c>
      <c r="F9" s="378">
        <v>3000</v>
      </c>
      <c r="G9" s="379">
        <v>166.66666666666666</v>
      </c>
      <c r="H9" s="633"/>
      <c r="I9" s="380">
        <f t="shared" si="0"/>
        <v>20</v>
      </c>
      <c r="J9" s="380">
        <f t="shared" si="1"/>
        <v>2478.9088052405123</v>
      </c>
      <c r="K9" s="205">
        <f t="shared" si="2"/>
        <v>123.9454402620256</v>
      </c>
      <c r="L9" s="572"/>
      <c r="M9" s="381">
        <f>RANK(K9, $K$7:K$21)</f>
        <v>2</v>
      </c>
      <c r="N9" s="590"/>
      <c r="O9" s="590"/>
      <c r="P9" s="378">
        <v>20</v>
      </c>
      <c r="Q9" s="379">
        <v>2528.5714285714257</v>
      </c>
      <c r="R9" s="379">
        <v>126.42857142857129</v>
      </c>
      <c r="S9" s="378">
        <f t="shared" si="3"/>
        <v>2</v>
      </c>
      <c r="T9" s="633"/>
      <c r="U9" s="378">
        <v>20</v>
      </c>
      <c r="V9" s="379">
        <v>2458.857142857144</v>
      </c>
      <c r="W9" s="379">
        <v>122.94285714285721</v>
      </c>
      <c r="X9" s="378">
        <f t="shared" si="4"/>
        <v>2</v>
      </c>
      <c r="Y9" s="633"/>
      <c r="Z9" s="378">
        <v>20</v>
      </c>
      <c r="AA9" s="379">
        <v>2480.21052631579</v>
      </c>
      <c r="AB9" s="379">
        <v>124.01052631578951</v>
      </c>
      <c r="AC9" s="378">
        <f t="shared" si="5"/>
        <v>1</v>
      </c>
      <c r="AD9" s="633"/>
      <c r="AE9" s="378">
        <v>20</v>
      </c>
      <c r="AF9" s="379">
        <v>2461.2631578947371</v>
      </c>
      <c r="AG9" s="379">
        <v>123.06315789473686</v>
      </c>
      <c r="AH9" s="378">
        <f t="shared" si="6"/>
        <v>2</v>
      </c>
      <c r="AI9" s="633"/>
      <c r="AJ9" s="378">
        <v>20</v>
      </c>
      <c r="AK9" s="379">
        <v>2446.5957446808511</v>
      </c>
      <c r="AL9" s="379">
        <v>122.32978723404256</v>
      </c>
      <c r="AM9" s="378">
        <f t="shared" si="7"/>
        <v>2</v>
      </c>
      <c r="AN9" s="633"/>
      <c r="AO9" s="378">
        <v>20</v>
      </c>
      <c r="AP9" s="379">
        <v>2476.3636363636351</v>
      </c>
      <c r="AQ9" s="379">
        <v>123.81818181818176</v>
      </c>
      <c r="AR9" s="378">
        <f t="shared" si="8"/>
        <v>2</v>
      </c>
      <c r="AS9" s="633"/>
      <c r="AT9" s="378">
        <v>20</v>
      </c>
      <c r="AU9" s="379">
        <v>2500.4999999999991</v>
      </c>
      <c r="AV9" s="379">
        <v>125.02499999999995</v>
      </c>
      <c r="AW9" s="378">
        <f t="shared" si="9"/>
        <v>1</v>
      </c>
      <c r="AX9" s="629"/>
      <c r="AZ9" s="381" t="e">
        <f>RANK(AX9, $K$7:AX$21)</f>
        <v>#N/A</v>
      </c>
      <c r="BB9" s="378" t="e">
        <f t="shared" si="10"/>
        <v>#N/A</v>
      </c>
    </row>
    <row r="10" spans="1:54" ht="14.25">
      <c r="A10" s="81"/>
      <c r="B10" s="598"/>
      <c r="C10" s="378">
        <v>4</v>
      </c>
      <c r="D10" s="231" t="s">
        <v>411</v>
      </c>
      <c r="E10" s="187">
        <v>19</v>
      </c>
      <c r="F10" s="378">
        <v>3000</v>
      </c>
      <c r="G10" s="379">
        <v>157.89473684210526</v>
      </c>
      <c r="H10" s="633"/>
      <c r="I10" s="380">
        <f t="shared" si="0"/>
        <v>20</v>
      </c>
      <c r="J10" s="380">
        <f t="shared" si="1"/>
        <v>2488.1950374224193</v>
      </c>
      <c r="K10" s="205">
        <f t="shared" si="2"/>
        <v>124.40975187112099</v>
      </c>
      <c r="L10" s="572"/>
      <c r="M10" s="381">
        <f>RANK(K10, $K$7:K$21)</f>
        <v>1</v>
      </c>
      <c r="N10" s="590"/>
      <c r="O10" s="590"/>
      <c r="P10" s="378">
        <v>20</v>
      </c>
      <c r="Q10" s="379">
        <v>2538.4186046511622</v>
      </c>
      <c r="R10" s="379">
        <v>126.92093023255811</v>
      </c>
      <c r="S10" s="378">
        <f t="shared" si="3"/>
        <v>1</v>
      </c>
      <c r="T10" s="633"/>
      <c r="U10" s="378">
        <v>20</v>
      </c>
      <c r="V10" s="379">
        <v>2469.4112359550563</v>
      </c>
      <c r="W10" s="379">
        <v>123.47056179775282</v>
      </c>
      <c r="X10" s="378">
        <f t="shared" si="4"/>
        <v>1</v>
      </c>
      <c r="Y10" s="633"/>
      <c r="Z10" s="378">
        <v>20</v>
      </c>
      <c r="AA10" s="379">
        <v>2434.1349397590352</v>
      </c>
      <c r="AB10" s="379">
        <v>121.70674698795176</v>
      </c>
      <c r="AC10" s="378">
        <f t="shared" si="5"/>
        <v>3</v>
      </c>
      <c r="AD10" s="633"/>
      <c r="AE10" s="378">
        <v>20</v>
      </c>
      <c r="AF10" s="379">
        <v>2470.6153846153834</v>
      </c>
      <c r="AG10" s="379">
        <v>123.53076923076917</v>
      </c>
      <c r="AH10" s="378">
        <f t="shared" si="6"/>
        <v>1</v>
      </c>
      <c r="AI10" s="633"/>
      <c r="AJ10" s="378">
        <v>20</v>
      </c>
      <c r="AK10" s="379">
        <v>2507.6842105263199</v>
      </c>
      <c r="AL10" s="379">
        <v>125.384210526316</v>
      </c>
      <c r="AM10" s="378">
        <f t="shared" si="7"/>
        <v>1</v>
      </c>
      <c r="AN10" s="633"/>
      <c r="AO10" s="378">
        <v>20</v>
      </c>
      <c r="AP10" s="379">
        <v>2543.8834951456324</v>
      </c>
      <c r="AQ10" s="379">
        <v>127.19417475728162</v>
      </c>
      <c r="AR10" s="378">
        <f t="shared" si="8"/>
        <v>1</v>
      </c>
      <c r="AS10" s="633"/>
      <c r="AT10" s="378">
        <v>20</v>
      </c>
      <c r="AU10" s="379">
        <v>2453.2173913043466</v>
      </c>
      <c r="AV10" s="379">
        <v>122.66086956521733</v>
      </c>
      <c r="AW10" s="378">
        <f t="shared" si="9"/>
        <v>2</v>
      </c>
      <c r="AX10" s="629"/>
      <c r="AZ10" s="381" t="e">
        <f>RANK(AX10, $K$7:AX$21)</f>
        <v>#N/A</v>
      </c>
      <c r="BB10" s="378" t="e">
        <f t="shared" si="10"/>
        <v>#N/A</v>
      </c>
    </row>
    <row r="11" spans="1:54" ht="14.25">
      <c r="A11" s="81"/>
      <c r="B11" s="598"/>
      <c r="C11" s="378">
        <v>5</v>
      </c>
      <c r="D11" s="231"/>
      <c r="E11" s="187"/>
      <c r="F11" s="378"/>
      <c r="G11" s="379"/>
      <c r="H11" s="633"/>
      <c r="I11" s="380"/>
      <c r="J11" s="380"/>
      <c r="K11" s="205"/>
      <c r="L11" s="572"/>
      <c r="M11" s="381" t="e">
        <f>RANK(K11, $K$7:K$21)</f>
        <v>#N/A</v>
      </c>
      <c r="N11" s="590"/>
      <c r="O11" s="590"/>
      <c r="P11" s="378"/>
      <c r="Q11" s="379"/>
      <c r="R11" s="379"/>
      <c r="S11" s="378" t="e">
        <f t="shared" si="3"/>
        <v>#N/A</v>
      </c>
      <c r="T11" s="633"/>
      <c r="U11" s="378"/>
      <c r="V11" s="379"/>
      <c r="W11" s="379"/>
      <c r="X11" s="378" t="e">
        <f t="shared" si="4"/>
        <v>#N/A</v>
      </c>
      <c r="Y11" s="633"/>
      <c r="Z11" s="378"/>
      <c r="AA11" s="379"/>
      <c r="AB11" s="379"/>
      <c r="AC11" s="378" t="e">
        <f t="shared" si="5"/>
        <v>#N/A</v>
      </c>
      <c r="AD11" s="633"/>
      <c r="AE11" s="378"/>
      <c r="AF11" s="379"/>
      <c r="AG11" s="379"/>
      <c r="AH11" s="378" t="e">
        <f t="shared" si="6"/>
        <v>#N/A</v>
      </c>
      <c r="AI11" s="633"/>
      <c r="AJ11" s="378"/>
      <c r="AK11" s="379"/>
      <c r="AL11" s="379"/>
      <c r="AM11" s="378" t="e">
        <f t="shared" si="7"/>
        <v>#N/A</v>
      </c>
      <c r="AN11" s="633"/>
      <c r="AO11" s="378"/>
      <c r="AP11" s="379"/>
      <c r="AQ11" s="379"/>
      <c r="AR11" s="378" t="e">
        <f t="shared" si="8"/>
        <v>#N/A</v>
      </c>
      <c r="AS11" s="633"/>
      <c r="AT11" s="378"/>
      <c r="AU11" s="379"/>
      <c r="AV11" s="379"/>
      <c r="AW11" s="378" t="e">
        <f t="shared" si="9"/>
        <v>#N/A</v>
      </c>
      <c r="AX11" s="629"/>
      <c r="AZ11" s="381" t="e">
        <f>RANK(AX11, $K$7:AX$21)</f>
        <v>#N/A</v>
      </c>
      <c r="BB11" s="378" t="e">
        <f t="shared" si="10"/>
        <v>#N/A</v>
      </c>
    </row>
    <row r="12" spans="1:54" ht="14.25">
      <c r="A12" s="81"/>
      <c r="B12" s="598"/>
      <c r="C12" s="378">
        <v>6</v>
      </c>
      <c r="D12" s="231"/>
      <c r="E12" s="187"/>
      <c r="F12" s="378"/>
      <c r="G12" s="379"/>
      <c r="H12" s="633"/>
      <c r="I12" s="380"/>
      <c r="J12" s="380"/>
      <c r="K12" s="205"/>
      <c r="L12" s="572"/>
      <c r="M12" s="381" t="e">
        <f>RANK(K12, $K$7:K$21)</f>
        <v>#N/A</v>
      </c>
      <c r="N12" s="590"/>
      <c r="O12" s="590"/>
      <c r="P12" s="378"/>
      <c r="Q12" s="379"/>
      <c r="R12" s="379"/>
      <c r="S12" s="378" t="e">
        <f t="shared" si="3"/>
        <v>#N/A</v>
      </c>
      <c r="T12" s="633"/>
      <c r="U12" s="378"/>
      <c r="V12" s="379"/>
      <c r="W12" s="379"/>
      <c r="X12" s="378" t="e">
        <f t="shared" si="4"/>
        <v>#N/A</v>
      </c>
      <c r="Y12" s="633"/>
      <c r="Z12" s="378"/>
      <c r="AA12" s="379"/>
      <c r="AB12" s="379"/>
      <c r="AC12" s="378" t="e">
        <f t="shared" si="5"/>
        <v>#N/A</v>
      </c>
      <c r="AD12" s="633"/>
      <c r="AE12" s="378"/>
      <c r="AF12" s="379"/>
      <c r="AG12" s="379"/>
      <c r="AH12" s="378" t="e">
        <f t="shared" si="6"/>
        <v>#N/A</v>
      </c>
      <c r="AI12" s="633"/>
      <c r="AJ12" s="378"/>
      <c r="AK12" s="379"/>
      <c r="AL12" s="379"/>
      <c r="AM12" s="378" t="e">
        <f t="shared" si="7"/>
        <v>#N/A</v>
      </c>
      <c r="AN12" s="633"/>
      <c r="AO12" s="378"/>
      <c r="AP12" s="379"/>
      <c r="AQ12" s="379"/>
      <c r="AR12" s="378" t="e">
        <f t="shared" si="8"/>
        <v>#N/A</v>
      </c>
      <c r="AS12" s="633"/>
      <c r="AT12" s="378"/>
      <c r="AU12" s="379"/>
      <c r="AV12" s="379"/>
      <c r="AW12" s="378" t="e">
        <f t="shared" si="9"/>
        <v>#N/A</v>
      </c>
      <c r="AX12" s="629"/>
      <c r="AZ12" s="381" t="e">
        <f>RANK(AX12, $K$7:AX$21)</f>
        <v>#N/A</v>
      </c>
      <c r="BB12" s="378" t="e">
        <f t="shared" si="10"/>
        <v>#N/A</v>
      </c>
    </row>
    <row r="13" spans="1:54" ht="14.25">
      <c r="A13" s="81"/>
      <c r="B13" s="598"/>
      <c r="C13" s="378">
        <v>7</v>
      </c>
      <c r="D13" s="231"/>
      <c r="E13" s="187"/>
      <c r="F13" s="378"/>
      <c r="G13" s="379"/>
      <c r="H13" s="633"/>
      <c r="I13" s="380"/>
      <c r="J13" s="380"/>
      <c r="K13" s="205"/>
      <c r="L13" s="572"/>
      <c r="M13" s="381" t="e">
        <f>RANK(K13, $K$7:K$21)</f>
        <v>#N/A</v>
      </c>
      <c r="N13" s="590"/>
      <c r="O13" s="590"/>
      <c r="P13" s="378"/>
      <c r="Q13" s="379"/>
      <c r="R13" s="379"/>
      <c r="S13" s="378" t="e">
        <f t="shared" si="3"/>
        <v>#N/A</v>
      </c>
      <c r="T13" s="633"/>
      <c r="U13" s="378"/>
      <c r="V13" s="379"/>
      <c r="W13" s="379"/>
      <c r="X13" s="378" t="e">
        <f t="shared" si="4"/>
        <v>#N/A</v>
      </c>
      <c r="Y13" s="633"/>
      <c r="Z13" s="378"/>
      <c r="AA13" s="379"/>
      <c r="AB13" s="379"/>
      <c r="AC13" s="378" t="e">
        <f t="shared" si="5"/>
        <v>#N/A</v>
      </c>
      <c r="AD13" s="633"/>
      <c r="AE13" s="378"/>
      <c r="AF13" s="379"/>
      <c r="AG13" s="379"/>
      <c r="AH13" s="378" t="e">
        <f t="shared" si="6"/>
        <v>#N/A</v>
      </c>
      <c r="AI13" s="633"/>
      <c r="AJ13" s="378"/>
      <c r="AK13" s="379"/>
      <c r="AL13" s="379"/>
      <c r="AM13" s="378" t="e">
        <f t="shared" si="7"/>
        <v>#N/A</v>
      </c>
      <c r="AN13" s="633"/>
      <c r="AO13" s="378"/>
      <c r="AP13" s="379"/>
      <c r="AQ13" s="379"/>
      <c r="AR13" s="378" t="e">
        <f t="shared" si="8"/>
        <v>#N/A</v>
      </c>
      <c r="AS13" s="633"/>
      <c r="AT13" s="378"/>
      <c r="AU13" s="379"/>
      <c r="AV13" s="379"/>
      <c r="AW13" s="378" t="e">
        <f t="shared" si="9"/>
        <v>#N/A</v>
      </c>
      <c r="AX13" s="629"/>
      <c r="AZ13" s="381" t="e">
        <f>RANK(AX13, $K$7:AX$21)</f>
        <v>#N/A</v>
      </c>
      <c r="BB13" s="378" t="e">
        <f t="shared" si="10"/>
        <v>#N/A</v>
      </c>
    </row>
    <row r="14" spans="1:54" ht="14.25">
      <c r="A14" s="81"/>
      <c r="B14" s="598"/>
      <c r="C14" s="378">
        <v>8</v>
      </c>
      <c r="D14" s="231"/>
      <c r="E14" s="187"/>
      <c r="F14" s="378"/>
      <c r="G14" s="379"/>
      <c r="H14" s="633"/>
      <c r="I14" s="380"/>
      <c r="J14" s="380"/>
      <c r="K14" s="205"/>
      <c r="L14" s="572"/>
      <c r="M14" s="381" t="e">
        <f>RANK(K14, $K$7:K$21)</f>
        <v>#N/A</v>
      </c>
      <c r="N14" s="590"/>
      <c r="O14" s="590"/>
      <c r="P14" s="378"/>
      <c r="Q14" s="379"/>
      <c r="R14" s="379"/>
      <c r="S14" s="378" t="e">
        <f t="shared" si="3"/>
        <v>#N/A</v>
      </c>
      <c r="T14" s="633"/>
      <c r="U14" s="378"/>
      <c r="V14" s="379"/>
      <c r="W14" s="379"/>
      <c r="X14" s="378" t="e">
        <f t="shared" si="4"/>
        <v>#N/A</v>
      </c>
      <c r="Y14" s="633"/>
      <c r="Z14" s="378"/>
      <c r="AA14" s="379"/>
      <c r="AB14" s="379"/>
      <c r="AC14" s="378" t="e">
        <f t="shared" si="5"/>
        <v>#N/A</v>
      </c>
      <c r="AD14" s="633"/>
      <c r="AE14" s="378"/>
      <c r="AF14" s="379"/>
      <c r="AG14" s="379"/>
      <c r="AH14" s="378" t="e">
        <f t="shared" si="6"/>
        <v>#N/A</v>
      </c>
      <c r="AI14" s="633"/>
      <c r="AJ14" s="378"/>
      <c r="AK14" s="379"/>
      <c r="AL14" s="379"/>
      <c r="AM14" s="378" t="e">
        <f t="shared" si="7"/>
        <v>#N/A</v>
      </c>
      <c r="AN14" s="633"/>
      <c r="AO14" s="378"/>
      <c r="AP14" s="379"/>
      <c r="AQ14" s="379"/>
      <c r="AR14" s="378" t="e">
        <f t="shared" si="8"/>
        <v>#N/A</v>
      </c>
      <c r="AS14" s="633"/>
      <c r="AT14" s="378"/>
      <c r="AU14" s="379"/>
      <c r="AV14" s="379"/>
      <c r="AW14" s="378" t="e">
        <f t="shared" si="9"/>
        <v>#N/A</v>
      </c>
      <c r="AX14" s="629"/>
      <c r="AZ14" s="381" t="e">
        <f>RANK(AX14, $K$7:AX$21)</f>
        <v>#N/A</v>
      </c>
      <c r="BB14" s="378" t="e">
        <f t="shared" si="10"/>
        <v>#N/A</v>
      </c>
    </row>
    <row r="15" spans="1:54" ht="14.25">
      <c r="A15" s="81"/>
      <c r="B15" s="598"/>
      <c r="C15" s="378">
        <v>9</v>
      </c>
      <c r="D15" s="231"/>
      <c r="E15" s="187"/>
      <c r="F15" s="378"/>
      <c r="G15" s="379"/>
      <c r="H15" s="633"/>
      <c r="I15" s="380"/>
      <c r="J15" s="380"/>
      <c r="K15" s="205"/>
      <c r="L15" s="572"/>
      <c r="M15" s="381" t="e">
        <f>RANK(K15, $K$7:K$21)</f>
        <v>#N/A</v>
      </c>
      <c r="N15" s="590"/>
      <c r="O15" s="590"/>
      <c r="P15" s="378"/>
      <c r="Q15" s="379"/>
      <c r="R15" s="379"/>
      <c r="S15" s="378" t="e">
        <f t="shared" si="3"/>
        <v>#N/A</v>
      </c>
      <c r="T15" s="633"/>
      <c r="U15" s="378"/>
      <c r="V15" s="379"/>
      <c r="W15" s="379"/>
      <c r="X15" s="378" t="e">
        <f t="shared" si="4"/>
        <v>#N/A</v>
      </c>
      <c r="Y15" s="633"/>
      <c r="Z15" s="378"/>
      <c r="AA15" s="379"/>
      <c r="AB15" s="379"/>
      <c r="AC15" s="378" t="e">
        <f t="shared" si="5"/>
        <v>#N/A</v>
      </c>
      <c r="AD15" s="633"/>
      <c r="AE15" s="378"/>
      <c r="AF15" s="379"/>
      <c r="AG15" s="379"/>
      <c r="AH15" s="378" t="e">
        <f t="shared" si="6"/>
        <v>#N/A</v>
      </c>
      <c r="AI15" s="633"/>
      <c r="AJ15" s="378"/>
      <c r="AK15" s="379"/>
      <c r="AL15" s="379"/>
      <c r="AM15" s="378" t="e">
        <f t="shared" si="7"/>
        <v>#N/A</v>
      </c>
      <c r="AN15" s="633"/>
      <c r="AO15" s="378"/>
      <c r="AP15" s="379"/>
      <c r="AQ15" s="379"/>
      <c r="AR15" s="378" t="e">
        <f t="shared" si="8"/>
        <v>#N/A</v>
      </c>
      <c r="AS15" s="633"/>
      <c r="AT15" s="378"/>
      <c r="AU15" s="379"/>
      <c r="AV15" s="379"/>
      <c r="AW15" s="378" t="e">
        <f t="shared" si="9"/>
        <v>#N/A</v>
      </c>
      <c r="AX15" s="629"/>
      <c r="AZ15" s="381" t="e">
        <f>RANK(AX15, $K$7:AX$21)</f>
        <v>#N/A</v>
      </c>
      <c r="BB15" s="378" t="e">
        <f t="shared" si="10"/>
        <v>#N/A</v>
      </c>
    </row>
    <row r="16" spans="1:54" ht="14.25">
      <c r="A16" s="81"/>
      <c r="B16" s="598"/>
      <c r="C16" s="378">
        <v>10</v>
      </c>
      <c r="D16" s="231"/>
      <c r="E16" s="187"/>
      <c r="F16" s="378"/>
      <c r="G16" s="379"/>
      <c r="H16" s="633"/>
      <c r="I16" s="380"/>
      <c r="J16" s="380"/>
      <c r="K16" s="205"/>
      <c r="L16" s="572"/>
      <c r="M16" s="381" t="e">
        <f>RANK(K16, $K$7:K$21)</f>
        <v>#N/A</v>
      </c>
      <c r="N16" s="590"/>
      <c r="O16" s="590"/>
      <c r="P16" s="378"/>
      <c r="Q16" s="378"/>
      <c r="R16" s="379"/>
      <c r="S16" s="378" t="e">
        <f t="shared" si="3"/>
        <v>#N/A</v>
      </c>
      <c r="T16" s="633"/>
      <c r="U16" s="378"/>
      <c r="V16" s="378"/>
      <c r="W16" s="379"/>
      <c r="X16" s="378" t="e">
        <f t="shared" si="4"/>
        <v>#N/A</v>
      </c>
      <c r="Y16" s="633"/>
      <c r="Z16" s="378"/>
      <c r="AA16" s="378"/>
      <c r="AB16" s="379"/>
      <c r="AC16" s="378" t="e">
        <f t="shared" si="5"/>
        <v>#N/A</v>
      </c>
      <c r="AD16" s="633"/>
      <c r="AE16" s="378"/>
      <c r="AF16" s="378"/>
      <c r="AG16" s="379"/>
      <c r="AH16" s="378" t="e">
        <f t="shared" si="6"/>
        <v>#N/A</v>
      </c>
      <c r="AI16" s="633"/>
      <c r="AJ16" s="378"/>
      <c r="AK16" s="378"/>
      <c r="AL16" s="379"/>
      <c r="AM16" s="378" t="e">
        <f t="shared" si="7"/>
        <v>#N/A</v>
      </c>
      <c r="AN16" s="633"/>
      <c r="AO16" s="378"/>
      <c r="AP16" s="378"/>
      <c r="AQ16" s="379"/>
      <c r="AR16" s="378" t="e">
        <f t="shared" si="8"/>
        <v>#N/A</v>
      </c>
      <c r="AS16" s="633"/>
      <c r="AT16" s="378"/>
      <c r="AU16" s="378"/>
      <c r="AV16" s="379"/>
      <c r="AW16" s="378" t="e">
        <f t="shared" si="9"/>
        <v>#N/A</v>
      </c>
      <c r="AX16" s="629"/>
      <c r="AZ16" s="381" t="e">
        <f>RANK(AX16, $K$7:AX$21)</f>
        <v>#N/A</v>
      </c>
      <c r="BB16" s="378" t="e">
        <f t="shared" si="10"/>
        <v>#N/A</v>
      </c>
    </row>
    <row r="17" spans="2:54">
      <c r="B17" s="598"/>
      <c r="C17" s="378">
        <v>11</v>
      </c>
      <c r="D17" s="231"/>
      <c r="E17" s="187"/>
      <c r="F17" s="378"/>
      <c r="G17" s="379"/>
      <c r="H17" s="633"/>
      <c r="I17" s="207"/>
      <c r="J17" s="207"/>
      <c r="K17" s="207"/>
      <c r="L17" s="572"/>
      <c r="M17" s="381" t="e">
        <f>RANK(K17, $K$7:K$21)</f>
        <v>#N/A</v>
      </c>
      <c r="N17" s="590"/>
      <c r="O17" s="590"/>
      <c r="P17" s="378"/>
      <c r="Q17" s="378"/>
      <c r="R17" s="378"/>
      <c r="S17" s="378" t="e">
        <f t="shared" si="3"/>
        <v>#N/A</v>
      </c>
      <c r="T17" s="633"/>
      <c r="U17" s="378"/>
      <c r="V17" s="378"/>
      <c r="W17" s="378"/>
      <c r="X17" s="378" t="e">
        <f t="shared" si="4"/>
        <v>#N/A</v>
      </c>
      <c r="Y17" s="633"/>
      <c r="Z17" s="378"/>
      <c r="AA17" s="378"/>
      <c r="AB17" s="378"/>
      <c r="AC17" s="378" t="e">
        <f t="shared" si="5"/>
        <v>#N/A</v>
      </c>
      <c r="AD17" s="633"/>
      <c r="AE17" s="378"/>
      <c r="AF17" s="378"/>
      <c r="AG17" s="378"/>
      <c r="AH17" s="378" t="e">
        <f t="shared" si="6"/>
        <v>#N/A</v>
      </c>
      <c r="AI17" s="633"/>
      <c r="AJ17" s="378"/>
      <c r="AK17" s="378"/>
      <c r="AL17" s="378"/>
      <c r="AM17" s="378" t="e">
        <f t="shared" si="7"/>
        <v>#N/A</v>
      </c>
      <c r="AN17" s="633"/>
      <c r="AO17" s="378"/>
      <c r="AP17" s="378"/>
      <c r="AQ17" s="378"/>
      <c r="AR17" s="378" t="e">
        <f t="shared" si="8"/>
        <v>#N/A</v>
      </c>
      <c r="AS17" s="633"/>
      <c r="AT17" s="378"/>
      <c r="AU17" s="378"/>
      <c r="AV17" s="378"/>
      <c r="AW17" s="378" t="e">
        <f t="shared" si="9"/>
        <v>#N/A</v>
      </c>
      <c r="AX17" s="629"/>
      <c r="AZ17" s="381" t="e">
        <f>RANK(AX17, $K$7:AX$21)</f>
        <v>#N/A</v>
      </c>
      <c r="BB17" s="378" t="e">
        <f t="shared" si="10"/>
        <v>#N/A</v>
      </c>
    </row>
    <row r="18" spans="2:54">
      <c r="B18" s="598"/>
      <c r="C18" s="378">
        <v>12</v>
      </c>
      <c r="D18" s="231"/>
      <c r="E18" s="187"/>
      <c r="F18" s="378"/>
      <c r="G18" s="379"/>
      <c r="H18" s="633"/>
      <c r="I18" s="207"/>
      <c r="J18" s="207"/>
      <c r="K18" s="207"/>
      <c r="L18" s="572"/>
      <c r="M18" s="381" t="e">
        <f>RANK(K18, $K$7:K$21)</f>
        <v>#N/A</v>
      </c>
      <c r="N18" s="590"/>
      <c r="O18" s="590"/>
      <c r="P18" s="378"/>
      <c r="Q18" s="378"/>
      <c r="R18" s="378"/>
      <c r="S18" s="378" t="e">
        <f t="shared" si="3"/>
        <v>#N/A</v>
      </c>
      <c r="T18" s="633"/>
      <c r="U18" s="378"/>
      <c r="V18" s="378"/>
      <c r="W18" s="378"/>
      <c r="X18" s="378" t="e">
        <f t="shared" si="4"/>
        <v>#N/A</v>
      </c>
      <c r="Y18" s="633"/>
      <c r="Z18" s="378"/>
      <c r="AA18" s="378"/>
      <c r="AB18" s="378"/>
      <c r="AC18" s="378" t="e">
        <f t="shared" si="5"/>
        <v>#N/A</v>
      </c>
      <c r="AD18" s="633"/>
      <c r="AE18" s="378"/>
      <c r="AF18" s="378"/>
      <c r="AG18" s="378"/>
      <c r="AH18" s="378" t="e">
        <f t="shared" si="6"/>
        <v>#N/A</v>
      </c>
      <c r="AI18" s="633"/>
      <c r="AJ18" s="378"/>
      <c r="AK18" s="378"/>
      <c r="AL18" s="378"/>
      <c r="AM18" s="378" t="e">
        <f t="shared" si="7"/>
        <v>#N/A</v>
      </c>
      <c r="AN18" s="633"/>
      <c r="AO18" s="378"/>
      <c r="AP18" s="378"/>
      <c r="AQ18" s="378"/>
      <c r="AR18" s="378" t="e">
        <f t="shared" si="8"/>
        <v>#N/A</v>
      </c>
      <c r="AS18" s="633"/>
      <c r="AT18" s="378"/>
      <c r="AU18" s="378"/>
      <c r="AV18" s="378"/>
      <c r="AW18" s="378" t="e">
        <f t="shared" si="9"/>
        <v>#N/A</v>
      </c>
      <c r="AX18" s="629"/>
      <c r="AZ18" s="381" t="e">
        <f>RANK(AX18, $K$7:AX$21)</f>
        <v>#N/A</v>
      </c>
      <c r="BB18" s="378" t="e">
        <f t="shared" si="10"/>
        <v>#N/A</v>
      </c>
    </row>
    <row r="19" spans="2:54">
      <c r="B19" s="598"/>
      <c r="C19" s="378">
        <v>13</v>
      </c>
      <c r="D19" s="231"/>
      <c r="E19" s="187"/>
      <c r="F19" s="378"/>
      <c r="G19" s="379"/>
      <c r="H19" s="633"/>
      <c r="I19" s="207"/>
      <c r="J19" s="207"/>
      <c r="K19" s="207"/>
      <c r="L19" s="572"/>
      <c r="M19" s="381" t="e">
        <f>RANK(K19, $K$7:K$21)</f>
        <v>#N/A</v>
      </c>
      <c r="N19" s="590"/>
      <c r="O19" s="590"/>
      <c r="P19" s="378"/>
      <c r="Q19" s="378"/>
      <c r="R19" s="378"/>
      <c r="S19" s="378" t="e">
        <f t="shared" si="3"/>
        <v>#N/A</v>
      </c>
      <c r="T19" s="633"/>
      <c r="U19" s="378"/>
      <c r="V19" s="378"/>
      <c r="W19" s="378"/>
      <c r="X19" s="378" t="e">
        <f t="shared" si="4"/>
        <v>#N/A</v>
      </c>
      <c r="Y19" s="633"/>
      <c r="Z19" s="378"/>
      <c r="AA19" s="378"/>
      <c r="AB19" s="378"/>
      <c r="AC19" s="378" t="e">
        <f t="shared" si="5"/>
        <v>#N/A</v>
      </c>
      <c r="AD19" s="633"/>
      <c r="AE19" s="378"/>
      <c r="AF19" s="378"/>
      <c r="AG19" s="378"/>
      <c r="AH19" s="378" t="e">
        <f t="shared" si="6"/>
        <v>#N/A</v>
      </c>
      <c r="AI19" s="633"/>
      <c r="AJ19" s="378"/>
      <c r="AK19" s="378"/>
      <c r="AL19" s="378"/>
      <c r="AM19" s="378" t="e">
        <f t="shared" si="7"/>
        <v>#N/A</v>
      </c>
      <c r="AN19" s="633"/>
      <c r="AO19" s="378"/>
      <c r="AP19" s="378"/>
      <c r="AQ19" s="378"/>
      <c r="AR19" s="378" t="e">
        <f t="shared" si="8"/>
        <v>#N/A</v>
      </c>
      <c r="AS19" s="633"/>
      <c r="AT19" s="378"/>
      <c r="AU19" s="378"/>
      <c r="AV19" s="378"/>
      <c r="AW19" s="378" t="e">
        <f t="shared" si="9"/>
        <v>#N/A</v>
      </c>
      <c r="AX19" s="629"/>
      <c r="AZ19" s="381" t="e">
        <f>RANK(AX19, $K$7:AX$21)</f>
        <v>#N/A</v>
      </c>
      <c r="BB19" s="378" t="e">
        <f t="shared" si="10"/>
        <v>#N/A</v>
      </c>
    </row>
    <row r="20" spans="2:54">
      <c r="B20" s="598"/>
      <c r="C20" s="378">
        <v>14</v>
      </c>
      <c r="D20" s="231"/>
      <c r="E20" s="187"/>
      <c r="F20" s="378"/>
      <c r="G20" s="379"/>
      <c r="H20" s="633"/>
      <c r="I20" s="207"/>
      <c r="J20" s="207"/>
      <c r="K20" s="207"/>
      <c r="L20" s="572"/>
      <c r="M20" s="381" t="e">
        <f>RANK(K20, $K$7:K$21)</f>
        <v>#N/A</v>
      </c>
      <c r="N20" s="590"/>
      <c r="O20" s="590"/>
      <c r="P20" s="378"/>
      <c r="Q20" s="378"/>
      <c r="R20" s="378"/>
      <c r="S20" s="378" t="e">
        <f t="shared" si="3"/>
        <v>#N/A</v>
      </c>
      <c r="T20" s="633"/>
      <c r="U20" s="378"/>
      <c r="V20" s="378"/>
      <c r="W20" s="378"/>
      <c r="X20" s="378" t="e">
        <f t="shared" si="4"/>
        <v>#N/A</v>
      </c>
      <c r="Y20" s="633"/>
      <c r="Z20" s="378"/>
      <c r="AA20" s="378"/>
      <c r="AB20" s="378"/>
      <c r="AC20" s="378" t="e">
        <f t="shared" si="5"/>
        <v>#N/A</v>
      </c>
      <c r="AD20" s="633"/>
      <c r="AE20" s="378"/>
      <c r="AF20" s="378"/>
      <c r="AG20" s="378"/>
      <c r="AH20" s="378" t="e">
        <f t="shared" si="6"/>
        <v>#N/A</v>
      </c>
      <c r="AI20" s="633"/>
      <c r="AJ20" s="378"/>
      <c r="AK20" s="378"/>
      <c r="AL20" s="378"/>
      <c r="AM20" s="378" t="e">
        <f t="shared" si="7"/>
        <v>#N/A</v>
      </c>
      <c r="AN20" s="633"/>
      <c r="AO20" s="378"/>
      <c r="AP20" s="378"/>
      <c r="AQ20" s="378"/>
      <c r="AR20" s="378" t="e">
        <f t="shared" si="8"/>
        <v>#N/A</v>
      </c>
      <c r="AS20" s="633"/>
      <c r="AT20" s="378"/>
      <c r="AU20" s="378"/>
      <c r="AV20" s="378"/>
      <c r="AW20" s="378" t="e">
        <f t="shared" si="9"/>
        <v>#N/A</v>
      </c>
      <c r="AX20" s="629"/>
      <c r="AZ20" s="381" t="e">
        <f>RANK(AX20, $K$7:AX$21)</f>
        <v>#N/A</v>
      </c>
      <c r="BB20" s="378" t="e">
        <f t="shared" si="10"/>
        <v>#N/A</v>
      </c>
    </row>
    <row r="21" spans="2:54">
      <c r="B21" s="598"/>
      <c r="C21" s="378">
        <v>15</v>
      </c>
      <c r="D21" s="231"/>
      <c r="E21" s="187"/>
      <c r="F21" s="378"/>
      <c r="G21" s="379"/>
      <c r="H21" s="634"/>
      <c r="I21" s="207"/>
      <c r="J21" s="207"/>
      <c r="K21" s="207"/>
      <c r="L21" s="573"/>
      <c r="M21" s="380" t="e">
        <f>RANK(K21, $K$7:K$21)</f>
        <v>#N/A</v>
      </c>
      <c r="N21" s="590"/>
      <c r="O21" s="590"/>
      <c r="P21" s="378"/>
      <c r="Q21" s="378"/>
      <c r="R21" s="378"/>
      <c r="S21" s="378" t="e">
        <f t="shared" si="3"/>
        <v>#N/A</v>
      </c>
      <c r="T21" s="634"/>
      <c r="U21" s="378"/>
      <c r="V21" s="378"/>
      <c r="W21" s="378"/>
      <c r="X21" s="378" t="e">
        <f t="shared" si="4"/>
        <v>#N/A</v>
      </c>
      <c r="Y21" s="634"/>
      <c r="Z21" s="378"/>
      <c r="AA21" s="378"/>
      <c r="AB21" s="378"/>
      <c r="AC21" s="378" t="e">
        <f t="shared" si="5"/>
        <v>#N/A</v>
      </c>
      <c r="AD21" s="634"/>
      <c r="AE21" s="378"/>
      <c r="AF21" s="378"/>
      <c r="AG21" s="378"/>
      <c r="AH21" s="378" t="e">
        <f t="shared" si="6"/>
        <v>#N/A</v>
      </c>
      <c r="AI21" s="634"/>
      <c r="AJ21" s="378"/>
      <c r="AK21" s="378"/>
      <c r="AL21" s="378"/>
      <c r="AM21" s="378" t="e">
        <f t="shared" si="7"/>
        <v>#N/A</v>
      </c>
      <c r="AN21" s="634"/>
      <c r="AO21" s="378"/>
      <c r="AP21" s="378"/>
      <c r="AQ21" s="378"/>
      <c r="AR21" s="378" t="e">
        <f t="shared" si="8"/>
        <v>#N/A</v>
      </c>
      <c r="AS21" s="634"/>
      <c r="AT21" s="378"/>
      <c r="AU21" s="378"/>
      <c r="AV21" s="378"/>
      <c r="AW21" s="378" t="e">
        <f t="shared" si="9"/>
        <v>#N/A</v>
      </c>
      <c r="AX21" s="629"/>
      <c r="AZ21" s="380" t="e">
        <f>RANK(AX21, $K$7:AX$21)</f>
        <v>#N/A</v>
      </c>
      <c r="BB21" s="378" t="e">
        <f t="shared" si="10"/>
        <v>#N/A</v>
      </c>
    </row>
    <row r="22" spans="2:54" ht="15.75">
      <c r="B22" s="615" t="s">
        <v>163</v>
      </c>
      <c r="C22" s="616"/>
      <c r="D22" s="616"/>
      <c r="E22" s="616"/>
      <c r="F22" s="616"/>
      <c r="G22" s="616"/>
      <c r="H22" s="616"/>
      <c r="I22" s="208"/>
      <c r="J22" s="208"/>
      <c r="K22" s="208"/>
      <c r="L22" s="208"/>
      <c r="M22" s="209"/>
      <c r="N22" s="591" t="s">
        <v>156</v>
      </c>
      <c r="O22" s="591" t="s">
        <v>105</v>
      </c>
      <c r="P22" s="635">
        <f>AT2+1</f>
        <v>45937</v>
      </c>
      <c r="Q22" s="636"/>
      <c r="R22" s="636"/>
      <c r="S22" s="636"/>
      <c r="T22" s="636"/>
      <c r="U22" s="597">
        <f>P22+1</f>
        <v>45938</v>
      </c>
      <c r="V22" s="598"/>
      <c r="W22" s="598"/>
      <c r="X22" s="598"/>
      <c r="Y22" s="598"/>
      <c r="Z22" s="597">
        <f>U22+1</f>
        <v>45939</v>
      </c>
      <c r="AA22" s="598"/>
      <c r="AB22" s="598"/>
      <c r="AC22" s="598"/>
      <c r="AD22" s="598"/>
      <c r="AE22" s="597">
        <f>Z22+1</f>
        <v>45940</v>
      </c>
      <c r="AF22" s="598"/>
      <c r="AG22" s="598"/>
      <c r="AH22" s="598"/>
      <c r="AI22" s="598"/>
      <c r="AJ22" s="597">
        <f>AE22+1</f>
        <v>45941</v>
      </c>
      <c r="AK22" s="598"/>
      <c r="AL22" s="598"/>
      <c r="AM22" s="598"/>
      <c r="AN22" s="598"/>
      <c r="AO22" s="597">
        <f>AJ22+1</f>
        <v>45942</v>
      </c>
      <c r="AP22" s="598"/>
      <c r="AQ22" s="598"/>
      <c r="AR22" s="598"/>
      <c r="AS22" s="598"/>
      <c r="AT22" s="597">
        <f>AO22+1</f>
        <v>45943</v>
      </c>
      <c r="AU22" s="598"/>
      <c r="AV22" s="598"/>
      <c r="AW22" s="598"/>
      <c r="AX22" s="598"/>
    </row>
    <row r="23" spans="2:54" ht="15.75">
      <c r="B23" s="605"/>
      <c r="C23" s="605"/>
      <c r="D23" s="605"/>
      <c r="E23" s="605"/>
      <c r="F23" s="605"/>
      <c r="G23" s="605"/>
      <c r="H23" s="605"/>
      <c r="I23" s="210"/>
      <c r="J23" s="210"/>
      <c r="K23" s="210"/>
      <c r="L23" s="210"/>
      <c r="M23" s="211"/>
      <c r="N23" s="593"/>
      <c r="O23" s="593"/>
      <c r="P23" s="597" t="s">
        <v>336</v>
      </c>
      <c r="Q23" s="598"/>
      <c r="R23" s="598"/>
      <c r="S23" s="598"/>
      <c r="T23" s="598"/>
      <c r="U23" s="597" t="s">
        <v>337</v>
      </c>
      <c r="V23" s="598"/>
      <c r="W23" s="598"/>
      <c r="X23" s="598"/>
      <c r="Y23" s="598"/>
      <c r="Z23" s="597" t="s">
        <v>338</v>
      </c>
      <c r="AA23" s="598"/>
      <c r="AB23" s="598"/>
      <c r="AC23" s="598"/>
      <c r="AD23" s="598"/>
      <c r="AE23" s="597" t="s">
        <v>339</v>
      </c>
      <c r="AF23" s="598"/>
      <c r="AG23" s="598"/>
      <c r="AH23" s="598"/>
      <c r="AI23" s="598"/>
      <c r="AJ23" s="597" t="s">
        <v>340</v>
      </c>
      <c r="AK23" s="598"/>
      <c r="AL23" s="598"/>
      <c r="AM23" s="598"/>
      <c r="AN23" s="598"/>
      <c r="AO23" s="597" t="s">
        <v>341</v>
      </c>
      <c r="AP23" s="598"/>
      <c r="AQ23" s="598"/>
      <c r="AR23" s="598"/>
      <c r="AS23" s="598"/>
      <c r="AT23" s="597" t="s">
        <v>342</v>
      </c>
      <c r="AU23" s="598"/>
      <c r="AV23" s="598"/>
      <c r="AW23" s="598"/>
      <c r="AX23" s="598"/>
    </row>
    <row r="24" spans="2:54">
      <c r="B24" s="590" t="s">
        <v>154</v>
      </c>
      <c r="C24" s="590" t="s">
        <v>591</v>
      </c>
      <c r="D24" s="590"/>
      <c r="E24" s="590" t="s">
        <v>592</v>
      </c>
      <c r="F24" s="590"/>
      <c r="G24" s="590"/>
      <c r="H24" s="606" t="s">
        <v>441</v>
      </c>
      <c r="I24" s="574" t="s">
        <v>446</v>
      </c>
      <c r="J24" s="574"/>
      <c r="K24" s="574"/>
      <c r="L24" s="575" t="s">
        <v>593</v>
      </c>
      <c r="M24" s="581" t="s">
        <v>585</v>
      </c>
      <c r="N24" s="590"/>
      <c r="O24" s="590" t="s">
        <v>447</v>
      </c>
      <c r="P24" s="587" t="s">
        <v>594</v>
      </c>
      <c r="Q24" s="588"/>
      <c r="R24" s="588"/>
      <c r="S24" s="589"/>
      <c r="T24" s="590" t="s">
        <v>441</v>
      </c>
      <c r="U24" s="587" t="s">
        <v>594</v>
      </c>
      <c r="V24" s="588"/>
      <c r="W24" s="588"/>
      <c r="X24" s="589"/>
      <c r="Y24" s="590" t="s">
        <v>593</v>
      </c>
      <c r="Z24" s="587" t="s">
        <v>443</v>
      </c>
      <c r="AA24" s="588"/>
      <c r="AB24" s="588"/>
      <c r="AC24" s="589"/>
      <c r="AD24" s="590" t="s">
        <v>441</v>
      </c>
      <c r="AE24" s="587" t="s">
        <v>443</v>
      </c>
      <c r="AF24" s="588"/>
      <c r="AG24" s="588"/>
      <c r="AH24" s="589"/>
      <c r="AI24" s="590" t="s">
        <v>593</v>
      </c>
      <c r="AJ24" s="587" t="s">
        <v>443</v>
      </c>
      <c r="AK24" s="588"/>
      <c r="AL24" s="588"/>
      <c r="AM24" s="589"/>
      <c r="AN24" s="590" t="s">
        <v>441</v>
      </c>
      <c r="AO24" s="587" t="s">
        <v>594</v>
      </c>
      <c r="AP24" s="588"/>
      <c r="AQ24" s="588"/>
      <c r="AR24" s="589"/>
      <c r="AS24" s="590" t="s">
        <v>441</v>
      </c>
      <c r="AT24" s="587" t="s">
        <v>594</v>
      </c>
      <c r="AU24" s="588"/>
      <c r="AV24" s="588"/>
      <c r="AW24" s="589"/>
      <c r="AX24" s="590" t="s">
        <v>441</v>
      </c>
    </row>
    <row r="25" spans="2:54">
      <c r="B25" s="590"/>
      <c r="C25" s="590"/>
      <c r="D25" s="590"/>
      <c r="E25" s="590" t="s">
        <v>595</v>
      </c>
      <c r="F25" s="590"/>
      <c r="G25" s="590"/>
      <c r="H25" s="607"/>
      <c r="I25" s="574" t="s">
        <v>595</v>
      </c>
      <c r="J25" s="574"/>
      <c r="K25" s="574"/>
      <c r="L25" s="576"/>
      <c r="M25" s="582"/>
      <c r="N25" s="590"/>
      <c r="O25" s="590"/>
      <c r="P25" s="587" t="s">
        <v>449</v>
      </c>
      <c r="Q25" s="588"/>
      <c r="R25" s="588"/>
      <c r="S25" s="589"/>
      <c r="T25" s="590"/>
      <c r="U25" s="587" t="s">
        <v>449</v>
      </c>
      <c r="V25" s="588"/>
      <c r="W25" s="588"/>
      <c r="X25" s="589"/>
      <c r="Y25" s="590"/>
      <c r="Z25" s="587" t="s">
        <v>596</v>
      </c>
      <c r="AA25" s="588"/>
      <c r="AB25" s="588"/>
      <c r="AC25" s="589"/>
      <c r="AD25" s="590"/>
      <c r="AE25" s="587" t="s">
        <v>596</v>
      </c>
      <c r="AF25" s="588"/>
      <c r="AG25" s="588"/>
      <c r="AH25" s="589"/>
      <c r="AI25" s="590"/>
      <c r="AJ25" s="587" t="s">
        <v>449</v>
      </c>
      <c r="AK25" s="588"/>
      <c r="AL25" s="588"/>
      <c r="AM25" s="589"/>
      <c r="AN25" s="590"/>
      <c r="AO25" s="587" t="s">
        <v>449</v>
      </c>
      <c r="AP25" s="588"/>
      <c r="AQ25" s="588"/>
      <c r="AR25" s="589"/>
      <c r="AS25" s="590"/>
      <c r="AT25" s="587" t="s">
        <v>596</v>
      </c>
      <c r="AU25" s="588"/>
      <c r="AV25" s="588"/>
      <c r="AW25" s="589"/>
      <c r="AX25" s="590"/>
    </row>
    <row r="26" spans="2:54">
      <c r="B26" s="590"/>
      <c r="C26" s="590"/>
      <c r="D26" s="590"/>
      <c r="E26" s="335" t="s">
        <v>450</v>
      </c>
      <c r="F26" s="335" t="s">
        <v>451</v>
      </c>
      <c r="G26" s="335" t="s">
        <v>452</v>
      </c>
      <c r="H26" s="608"/>
      <c r="I26" s="334" t="s">
        <v>597</v>
      </c>
      <c r="J26" s="334" t="s">
        <v>598</v>
      </c>
      <c r="K26" s="334" t="s">
        <v>599</v>
      </c>
      <c r="L26" s="577"/>
      <c r="M26" s="583"/>
      <c r="N26" s="590"/>
      <c r="O26" s="590"/>
      <c r="P26" s="335" t="s">
        <v>597</v>
      </c>
      <c r="Q26" s="335" t="s">
        <v>451</v>
      </c>
      <c r="R26" s="335" t="s">
        <v>452</v>
      </c>
      <c r="S26" s="335" t="s">
        <v>442</v>
      </c>
      <c r="T26" s="590"/>
      <c r="U26" s="335" t="s">
        <v>450</v>
      </c>
      <c r="V26" s="335" t="s">
        <v>598</v>
      </c>
      <c r="W26" s="335" t="s">
        <v>599</v>
      </c>
      <c r="X26" s="335" t="s">
        <v>442</v>
      </c>
      <c r="Y26" s="590"/>
      <c r="Z26" s="335" t="s">
        <v>597</v>
      </c>
      <c r="AA26" s="335" t="s">
        <v>598</v>
      </c>
      <c r="AB26" s="335" t="s">
        <v>452</v>
      </c>
      <c r="AC26" s="335" t="s">
        <v>442</v>
      </c>
      <c r="AD26" s="590"/>
      <c r="AE26" s="335" t="s">
        <v>597</v>
      </c>
      <c r="AF26" s="335" t="s">
        <v>600</v>
      </c>
      <c r="AG26" s="335" t="s">
        <v>452</v>
      </c>
      <c r="AH26" s="335" t="s">
        <v>601</v>
      </c>
      <c r="AI26" s="590"/>
      <c r="AJ26" s="335" t="s">
        <v>450</v>
      </c>
      <c r="AK26" s="335" t="s">
        <v>598</v>
      </c>
      <c r="AL26" s="335" t="s">
        <v>452</v>
      </c>
      <c r="AM26" s="335" t="s">
        <v>442</v>
      </c>
      <c r="AN26" s="590"/>
      <c r="AO26" s="335" t="s">
        <v>450</v>
      </c>
      <c r="AP26" s="335" t="s">
        <v>598</v>
      </c>
      <c r="AQ26" s="335" t="s">
        <v>599</v>
      </c>
      <c r="AR26" s="335" t="s">
        <v>442</v>
      </c>
      <c r="AS26" s="590"/>
      <c r="AT26" s="335" t="s">
        <v>450</v>
      </c>
      <c r="AU26" s="335" t="s">
        <v>598</v>
      </c>
      <c r="AV26" s="335" t="s">
        <v>452</v>
      </c>
      <c r="AW26" s="335" t="s">
        <v>442</v>
      </c>
      <c r="AX26" s="590"/>
    </row>
    <row r="27" spans="2:54">
      <c r="B27" s="590" t="s">
        <v>602</v>
      </c>
      <c r="C27" s="336">
        <v>1</v>
      </c>
      <c r="D27" s="231" t="s">
        <v>408</v>
      </c>
      <c r="E27" s="187">
        <v>21</v>
      </c>
      <c r="F27" s="336">
        <v>2400</v>
      </c>
      <c r="G27" s="337">
        <v>114.28571428571429</v>
      </c>
      <c r="H27" s="632">
        <f>AVERAGE(G27:G41)</f>
        <v>148.60066833751046</v>
      </c>
      <c r="I27" s="204">
        <f t="shared" ref="I27:K29" si="11">AVERAGE(P27,U27,Z27,AE27,AJ27,AO27,AT27)</f>
        <v>21</v>
      </c>
      <c r="J27" s="204">
        <f t="shared" si="11"/>
        <v>2181.3268940040352</v>
      </c>
      <c r="K27" s="205">
        <f t="shared" si="11"/>
        <v>103.9426535796603</v>
      </c>
      <c r="L27" s="571">
        <f>IFERROR(AVERAGE(K27:K41),"-")</f>
        <v>121.30575770983215</v>
      </c>
      <c r="M27" s="206">
        <f>RANK(K27, K$27:$K$41)</f>
        <v>3</v>
      </c>
      <c r="N27" s="590"/>
      <c r="O27" s="590"/>
      <c r="P27" s="187">
        <v>20</v>
      </c>
      <c r="Q27" s="379">
        <v>2184</v>
      </c>
      <c r="R27" s="379">
        <v>109.2</v>
      </c>
      <c r="S27" s="336">
        <f t="shared" ref="S27:S41" si="12">RANK(R27, R$27:R$41)</f>
        <v>4</v>
      </c>
      <c r="T27" s="632">
        <f>AVERAGE(R27:R41)</f>
        <v>124.79598242146872</v>
      </c>
      <c r="U27" s="187">
        <v>21</v>
      </c>
      <c r="V27" s="379">
        <v>2155.2631578947376</v>
      </c>
      <c r="W27" s="379">
        <v>102.63157894736845</v>
      </c>
      <c r="X27" s="336">
        <f t="shared" ref="X27:X41" si="13">RANK(W27, W$27:W$41)</f>
        <v>4</v>
      </c>
      <c r="Y27" s="632">
        <f>AVERAGE(W27:W41)</f>
        <v>125.51528389071467</v>
      </c>
      <c r="Z27" s="187">
        <v>21</v>
      </c>
      <c r="AA27" s="379">
        <v>2206.4285714285706</v>
      </c>
      <c r="AB27" s="379">
        <v>105.06802721088431</v>
      </c>
      <c r="AC27" s="336">
        <f t="shared" ref="AC27:AC41" si="14">RANK(AB27, AB$27:AB$41)</f>
        <v>4</v>
      </c>
      <c r="AD27" s="632">
        <f>AVERAGE(AB27:AB41)</f>
        <v>126.05324973244979</v>
      </c>
      <c r="AE27" s="187">
        <v>21</v>
      </c>
      <c r="AF27" s="379">
        <v>2168.571428571428</v>
      </c>
      <c r="AG27" s="379">
        <v>103.26530612244895</v>
      </c>
      <c r="AH27" s="336">
        <f t="shared" ref="AH27:AH41" si="15">RANK(AG27, AG$27:AG$41)</f>
        <v>4</v>
      </c>
      <c r="AI27" s="632">
        <f>AVERAGE(AG27:AG41)</f>
        <v>121.92873796785918</v>
      </c>
      <c r="AJ27" s="187">
        <v>21</v>
      </c>
      <c r="AK27" s="379">
        <v>2217.1428571428564</v>
      </c>
      <c r="AL27" s="379">
        <v>105.57823129251697</v>
      </c>
      <c r="AM27" s="336">
        <f t="shared" ref="AM27:AM41" si="16">RANK(AL27, AL$27:AL$41)</f>
        <v>4</v>
      </c>
      <c r="AN27" s="632">
        <f>AVERAGE(AL27:AL41)</f>
        <v>122.44565750580784</v>
      </c>
      <c r="AO27" s="187">
        <v>21</v>
      </c>
      <c r="AP27" s="379">
        <v>2161.6822429906538</v>
      </c>
      <c r="AQ27" s="379">
        <v>102.9372496662216</v>
      </c>
      <c r="AR27" s="336">
        <f t="shared" ref="AR27:AR41" si="17">RANK(AQ27, AQ$27:AQ$41)</f>
        <v>4</v>
      </c>
      <c r="AS27" s="632">
        <f>AVERAGE(AQ27:AQ41)</f>
        <v>123.44942619388343</v>
      </c>
      <c r="AT27" s="187">
        <v>22</v>
      </c>
      <c r="AU27" s="379">
        <v>2176.1999999999989</v>
      </c>
      <c r="AV27" s="379">
        <v>98.918181818181765</v>
      </c>
      <c r="AW27" s="336">
        <f t="shared" ref="AW27:AW41" si="18">RANK(AV27, AV$27:AV$41)</f>
        <v>4</v>
      </c>
      <c r="AX27" s="629">
        <f>AVERAGE(AV27:AV41)</f>
        <v>121.83476223673497</v>
      </c>
    </row>
    <row r="28" spans="2:54">
      <c r="B28" s="598"/>
      <c r="C28" s="336">
        <v>2</v>
      </c>
      <c r="D28" s="231" t="s">
        <v>409</v>
      </c>
      <c r="E28" s="187">
        <v>18</v>
      </c>
      <c r="F28" s="336">
        <v>2800</v>
      </c>
      <c r="G28" s="337">
        <v>155.55555555555554</v>
      </c>
      <c r="H28" s="633"/>
      <c r="I28" s="204">
        <f t="shared" si="11"/>
        <v>18.714285714285715</v>
      </c>
      <c r="J28" s="204">
        <f t="shared" si="11"/>
        <v>2387.8815681365209</v>
      </c>
      <c r="K28" s="205">
        <f t="shared" si="11"/>
        <v>127.66862670814534</v>
      </c>
      <c r="L28" s="572"/>
      <c r="M28" s="206">
        <f>RANK(K28, K$27:$K$41)</f>
        <v>2</v>
      </c>
      <c r="N28" s="590"/>
      <c r="O28" s="590"/>
      <c r="P28" s="378">
        <v>19</v>
      </c>
      <c r="Q28" s="379">
        <v>2405.217391304348</v>
      </c>
      <c r="R28" s="379">
        <v>126.59038901601832</v>
      </c>
      <c r="S28" s="336">
        <f t="shared" si="12"/>
        <v>3</v>
      </c>
      <c r="T28" s="633"/>
      <c r="U28" s="378">
        <v>18</v>
      </c>
      <c r="V28" s="379">
        <v>2372.4999999999982</v>
      </c>
      <c r="W28" s="379">
        <v>131.80555555555546</v>
      </c>
      <c r="X28" s="336">
        <f t="shared" si="13"/>
        <v>2</v>
      </c>
      <c r="Y28" s="633"/>
      <c r="Z28" s="378">
        <v>18</v>
      </c>
      <c r="AA28" s="379">
        <v>2393.1147540983629</v>
      </c>
      <c r="AB28" s="379">
        <v>132.95081967213127</v>
      </c>
      <c r="AC28" s="336">
        <f t="shared" si="14"/>
        <v>2</v>
      </c>
      <c r="AD28" s="633"/>
      <c r="AE28" s="378">
        <v>19</v>
      </c>
      <c r="AF28" s="379">
        <v>2387.8124999999995</v>
      </c>
      <c r="AG28" s="379">
        <v>125.67434210526314</v>
      </c>
      <c r="AH28" s="336">
        <f t="shared" si="15"/>
        <v>3</v>
      </c>
      <c r="AI28" s="633"/>
      <c r="AJ28" s="378">
        <v>19</v>
      </c>
      <c r="AK28" s="379">
        <v>2410.1538461538453</v>
      </c>
      <c r="AL28" s="379">
        <v>126.85020242914975</v>
      </c>
      <c r="AM28" s="336">
        <f t="shared" si="16"/>
        <v>3</v>
      </c>
      <c r="AN28" s="633"/>
      <c r="AO28" s="378">
        <v>19</v>
      </c>
      <c r="AP28" s="379">
        <v>2396.5217391304323</v>
      </c>
      <c r="AQ28" s="379">
        <v>126.13272311212802</v>
      </c>
      <c r="AR28" s="336">
        <f t="shared" si="17"/>
        <v>3</v>
      </c>
      <c r="AS28" s="633"/>
      <c r="AT28" s="378">
        <v>19</v>
      </c>
      <c r="AU28" s="379">
        <v>2349.8507462686598</v>
      </c>
      <c r="AV28" s="379">
        <v>123.67635506677156</v>
      </c>
      <c r="AW28" s="336">
        <f t="shared" si="18"/>
        <v>3</v>
      </c>
      <c r="AX28" s="629"/>
    </row>
    <row r="29" spans="2:54">
      <c r="B29" s="598"/>
      <c r="C29" s="336">
        <v>3</v>
      </c>
      <c r="D29" s="231" t="s">
        <v>410</v>
      </c>
      <c r="E29" s="187">
        <v>18</v>
      </c>
      <c r="F29" s="336">
        <v>3000</v>
      </c>
      <c r="G29" s="337">
        <v>166.66666666666666</v>
      </c>
      <c r="H29" s="633"/>
      <c r="I29" s="204">
        <f t="shared" si="11"/>
        <v>18.714285714285715</v>
      </c>
      <c r="J29" s="204">
        <f t="shared" si="11"/>
        <v>2474.6904111653016</v>
      </c>
      <c r="K29" s="205">
        <f t="shared" si="11"/>
        <v>132.3059928416908</v>
      </c>
      <c r="L29" s="572"/>
      <c r="M29" s="206">
        <f>RANK(K29, K$27:$K$41)</f>
        <v>1</v>
      </c>
      <c r="N29" s="590"/>
      <c r="O29" s="590"/>
      <c r="P29" s="378">
        <v>19</v>
      </c>
      <c r="Q29" s="379">
        <v>2487.7499999999991</v>
      </c>
      <c r="R29" s="379">
        <v>130.93421052631575</v>
      </c>
      <c r="S29" s="336">
        <f t="shared" si="12"/>
        <v>2</v>
      </c>
      <c r="T29" s="633"/>
      <c r="U29" s="378">
        <v>18</v>
      </c>
      <c r="V29" s="379">
        <v>2455.9550561797751</v>
      </c>
      <c r="W29" s="379">
        <v>136.44194756554305</v>
      </c>
      <c r="X29" s="336">
        <f t="shared" si="13"/>
        <v>1</v>
      </c>
      <c r="Y29" s="633"/>
      <c r="Z29" s="378">
        <v>18</v>
      </c>
      <c r="AA29" s="379">
        <v>2473.5999999999981</v>
      </c>
      <c r="AB29" s="379">
        <v>137.4222222222221</v>
      </c>
      <c r="AC29" s="336">
        <f t="shared" si="14"/>
        <v>1</v>
      </c>
      <c r="AD29" s="633"/>
      <c r="AE29" s="378">
        <v>19</v>
      </c>
      <c r="AF29" s="379">
        <v>2442.307692307691</v>
      </c>
      <c r="AG29" s="379">
        <v>128.54251012145741</v>
      </c>
      <c r="AH29" s="336">
        <f t="shared" si="15"/>
        <v>2</v>
      </c>
      <c r="AI29" s="633"/>
      <c r="AJ29" s="378">
        <v>19</v>
      </c>
      <c r="AK29" s="379">
        <v>2459.9999999999986</v>
      </c>
      <c r="AL29" s="379">
        <v>129.47368421052624</v>
      </c>
      <c r="AM29" s="336">
        <f t="shared" si="16"/>
        <v>1</v>
      </c>
      <c r="AN29" s="633"/>
      <c r="AO29" s="378">
        <v>19</v>
      </c>
      <c r="AP29" s="379">
        <v>2488.5365853658527</v>
      </c>
      <c r="AQ29" s="379">
        <v>130.9756097560975</v>
      </c>
      <c r="AR29" s="336">
        <f t="shared" si="17"/>
        <v>2</v>
      </c>
      <c r="AS29" s="633"/>
      <c r="AT29" s="378">
        <v>19</v>
      </c>
      <c r="AU29" s="379">
        <v>2514.6835443037962</v>
      </c>
      <c r="AV29" s="379">
        <v>132.35176548967348</v>
      </c>
      <c r="AW29" s="336">
        <f t="shared" si="18"/>
        <v>2</v>
      </c>
      <c r="AX29" s="629"/>
    </row>
    <row r="30" spans="2:54">
      <c r="B30" s="598"/>
      <c r="C30" s="336">
        <v>4</v>
      </c>
      <c r="D30" s="231" t="s">
        <v>411</v>
      </c>
      <c r="E30" s="187">
        <v>19</v>
      </c>
      <c r="F30" s="336">
        <v>3000</v>
      </c>
      <c r="G30" s="337">
        <v>157.89473684210526</v>
      </c>
      <c r="H30" s="633"/>
      <c r="I30" s="204"/>
      <c r="J30" s="204"/>
      <c r="K30" s="205"/>
      <c r="L30" s="572"/>
      <c r="M30" s="206" t="e">
        <f>RANK(K30, K$27:$K$41)</f>
        <v>#N/A</v>
      </c>
      <c r="N30" s="590"/>
      <c r="O30" s="590"/>
      <c r="P30" s="378">
        <v>19</v>
      </c>
      <c r="Q30" s="379">
        <v>2516.7272727272743</v>
      </c>
      <c r="R30" s="379">
        <v>132.45933014354077</v>
      </c>
      <c r="S30" s="336">
        <f t="shared" si="12"/>
        <v>1</v>
      </c>
      <c r="T30" s="633"/>
      <c r="U30" s="378">
        <v>19</v>
      </c>
      <c r="V30" s="379">
        <v>2492.4590163934417</v>
      </c>
      <c r="W30" s="379">
        <v>131.18205349439168</v>
      </c>
      <c r="X30" s="336">
        <f t="shared" si="13"/>
        <v>3</v>
      </c>
      <c r="Y30" s="633"/>
      <c r="Z30" s="378">
        <v>19</v>
      </c>
      <c r="AA30" s="379">
        <v>2446.6666666666674</v>
      </c>
      <c r="AB30" s="379">
        <v>128.77192982456145</v>
      </c>
      <c r="AC30" s="336">
        <f t="shared" si="14"/>
        <v>3</v>
      </c>
      <c r="AD30" s="633"/>
      <c r="AE30" s="378">
        <v>19</v>
      </c>
      <c r="AF30" s="379">
        <v>2474.423076923078</v>
      </c>
      <c r="AG30" s="379">
        <v>130.23279352226726</v>
      </c>
      <c r="AH30" s="336">
        <f t="shared" si="15"/>
        <v>1</v>
      </c>
      <c r="AI30" s="633"/>
      <c r="AJ30" s="378">
        <v>19</v>
      </c>
      <c r="AK30" s="379">
        <v>2429.7297297297309</v>
      </c>
      <c r="AL30" s="379">
        <v>127.88051209103847</v>
      </c>
      <c r="AM30" s="336">
        <f t="shared" si="16"/>
        <v>2</v>
      </c>
      <c r="AN30" s="633"/>
      <c r="AO30" s="378">
        <v>19</v>
      </c>
      <c r="AP30" s="379">
        <v>2541.290322580644</v>
      </c>
      <c r="AQ30" s="379">
        <v>133.75212224108654</v>
      </c>
      <c r="AR30" s="336">
        <f t="shared" si="17"/>
        <v>1</v>
      </c>
      <c r="AS30" s="633"/>
      <c r="AT30" s="378">
        <v>19</v>
      </c>
      <c r="AU30" s="379">
        <v>2515.4621848739484</v>
      </c>
      <c r="AV30" s="379">
        <v>132.39274657231309</v>
      </c>
      <c r="AW30" s="336">
        <f t="shared" si="18"/>
        <v>1</v>
      </c>
      <c r="AX30" s="629"/>
    </row>
    <row r="31" spans="2:54">
      <c r="B31" s="598"/>
      <c r="C31" s="336">
        <v>5</v>
      </c>
      <c r="D31" s="231"/>
      <c r="E31" s="187"/>
      <c r="F31" s="336"/>
      <c r="G31" s="337"/>
      <c r="H31" s="633"/>
      <c r="I31" s="204"/>
      <c r="J31" s="204"/>
      <c r="K31" s="205"/>
      <c r="L31" s="572"/>
      <c r="M31" s="206" t="e">
        <f>RANK(K31, K$27:$K$41)</f>
        <v>#N/A</v>
      </c>
      <c r="N31" s="590"/>
      <c r="O31" s="590"/>
      <c r="P31" s="378"/>
      <c r="Q31" s="379"/>
      <c r="R31" s="379"/>
      <c r="S31" s="336" t="e">
        <f t="shared" si="12"/>
        <v>#N/A</v>
      </c>
      <c r="T31" s="633"/>
      <c r="U31" s="378"/>
      <c r="V31" s="379"/>
      <c r="W31" s="379"/>
      <c r="X31" s="336" t="e">
        <f t="shared" si="13"/>
        <v>#N/A</v>
      </c>
      <c r="Y31" s="633"/>
      <c r="Z31" s="378"/>
      <c r="AA31" s="379"/>
      <c r="AB31" s="379"/>
      <c r="AC31" s="336" t="e">
        <f t="shared" si="14"/>
        <v>#N/A</v>
      </c>
      <c r="AD31" s="633"/>
      <c r="AE31" s="378"/>
      <c r="AF31" s="379"/>
      <c r="AG31" s="379"/>
      <c r="AH31" s="336" t="e">
        <f t="shared" si="15"/>
        <v>#N/A</v>
      </c>
      <c r="AI31" s="633"/>
      <c r="AJ31" s="378"/>
      <c r="AK31" s="379"/>
      <c r="AL31" s="379"/>
      <c r="AM31" s="336" t="e">
        <f t="shared" si="16"/>
        <v>#N/A</v>
      </c>
      <c r="AN31" s="633"/>
      <c r="AO31" s="378"/>
      <c r="AP31" s="379"/>
      <c r="AQ31" s="379"/>
      <c r="AR31" s="336" t="e">
        <f t="shared" si="17"/>
        <v>#N/A</v>
      </c>
      <c r="AS31" s="633"/>
      <c r="AT31" s="378"/>
      <c r="AU31" s="379"/>
      <c r="AV31" s="379"/>
      <c r="AW31" s="336" t="e">
        <f t="shared" si="18"/>
        <v>#N/A</v>
      </c>
      <c r="AX31" s="629"/>
    </row>
    <row r="32" spans="2:54">
      <c r="B32" s="598"/>
      <c r="C32" s="336">
        <v>6</v>
      </c>
      <c r="D32" s="231"/>
      <c r="E32" s="187"/>
      <c r="F32" s="336"/>
      <c r="G32" s="337"/>
      <c r="H32" s="633"/>
      <c r="I32" s="204"/>
      <c r="J32" s="204"/>
      <c r="K32" s="205"/>
      <c r="L32" s="572"/>
      <c r="M32" s="206" t="e">
        <f>RANK(K32, K$27:$K$41)</f>
        <v>#N/A</v>
      </c>
      <c r="N32" s="590"/>
      <c r="O32" s="590"/>
      <c r="P32" s="378"/>
      <c r="Q32" s="379"/>
      <c r="R32" s="379"/>
      <c r="S32" s="336" t="e">
        <f t="shared" si="12"/>
        <v>#N/A</v>
      </c>
      <c r="T32" s="633"/>
      <c r="U32" s="378"/>
      <c r="V32" s="379"/>
      <c r="W32" s="379"/>
      <c r="X32" s="336" t="e">
        <f t="shared" si="13"/>
        <v>#N/A</v>
      </c>
      <c r="Y32" s="633"/>
      <c r="Z32" s="378"/>
      <c r="AA32" s="379"/>
      <c r="AB32" s="379"/>
      <c r="AC32" s="336" t="e">
        <f t="shared" si="14"/>
        <v>#N/A</v>
      </c>
      <c r="AD32" s="633"/>
      <c r="AE32" s="378"/>
      <c r="AF32" s="379"/>
      <c r="AG32" s="379"/>
      <c r="AH32" s="336" t="e">
        <f t="shared" si="15"/>
        <v>#N/A</v>
      </c>
      <c r="AI32" s="633"/>
      <c r="AJ32" s="378"/>
      <c r="AK32" s="379"/>
      <c r="AL32" s="379"/>
      <c r="AM32" s="336" t="e">
        <f t="shared" si="16"/>
        <v>#N/A</v>
      </c>
      <c r="AN32" s="633"/>
      <c r="AO32" s="378"/>
      <c r="AP32" s="379"/>
      <c r="AQ32" s="379"/>
      <c r="AR32" s="336" t="e">
        <f t="shared" si="17"/>
        <v>#N/A</v>
      </c>
      <c r="AS32" s="633"/>
      <c r="AT32" s="378"/>
      <c r="AU32" s="379"/>
      <c r="AV32" s="379"/>
      <c r="AW32" s="336" t="e">
        <f t="shared" si="18"/>
        <v>#N/A</v>
      </c>
      <c r="AX32" s="629"/>
    </row>
    <row r="33" spans="2:50">
      <c r="B33" s="598"/>
      <c r="C33" s="336">
        <v>7</v>
      </c>
      <c r="D33" s="231"/>
      <c r="E33" s="187"/>
      <c r="F33" s="336"/>
      <c r="G33" s="337"/>
      <c r="H33" s="633"/>
      <c r="I33" s="204"/>
      <c r="J33" s="204"/>
      <c r="K33" s="205"/>
      <c r="L33" s="572"/>
      <c r="M33" s="206" t="e">
        <f>RANK(K33, K$27:$K$41)</f>
        <v>#N/A</v>
      </c>
      <c r="N33" s="590"/>
      <c r="O33" s="590"/>
      <c r="P33" s="378"/>
      <c r="Q33" s="379"/>
      <c r="R33" s="379"/>
      <c r="S33" s="336" t="e">
        <f t="shared" si="12"/>
        <v>#N/A</v>
      </c>
      <c r="T33" s="633"/>
      <c r="U33" s="378"/>
      <c r="V33" s="379"/>
      <c r="W33" s="379"/>
      <c r="X33" s="336" t="e">
        <f t="shared" si="13"/>
        <v>#N/A</v>
      </c>
      <c r="Y33" s="633"/>
      <c r="Z33" s="378"/>
      <c r="AA33" s="379"/>
      <c r="AB33" s="379"/>
      <c r="AC33" s="336" t="e">
        <f t="shared" si="14"/>
        <v>#N/A</v>
      </c>
      <c r="AD33" s="633"/>
      <c r="AE33" s="378"/>
      <c r="AF33" s="379"/>
      <c r="AG33" s="379"/>
      <c r="AH33" s="336" t="e">
        <f t="shared" si="15"/>
        <v>#N/A</v>
      </c>
      <c r="AI33" s="633"/>
      <c r="AJ33" s="378"/>
      <c r="AK33" s="379"/>
      <c r="AL33" s="379"/>
      <c r="AM33" s="336" t="e">
        <f t="shared" si="16"/>
        <v>#N/A</v>
      </c>
      <c r="AN33" s="633"/>
      <c r="AO33" s="378"/>
      <c r="AP33" s="379"/>
      <c r="AQ33" s="379"/>
      <c r="AR33" s="336" t="e">
        <f t="shared" si="17"/>
        <v>#N/A</v>
      </c>
      <c r="AS33" s="633"/>
      <c r="AT33" s="378"/>
      <c r="AU33" s="379"/>
      <c r="AV33" s="379"/>
      <c r="AW33" s="336" t="e">
        <f t="shared" si="18"/>
        <v>#N/A</v>
      </c>
      <c r="AX33" s="629"/>
    </row>
    <row r="34" spans="2:50">
      <c r="B34" s="598"/>
      <c r="C34" s="336">
        <v>8</v>
      </c>
      <c r="D34" s="231"/>
      <c r="E34" s="187"/>
      <c r="F34" s="336"/>
      <c r="G34" s="337"/>
      <c r="H34" s="633"/>
      <c r="I34" s="204"/>
      <c r="J34" s="204"/>
      <c r="K34" s="205"/>
      <c r="L34" s="572"/>
      <c r="M34" s="206" t="e">
        <f>RANK(K34, K$27:$K$41)</f>
        <v>#N/A</v>
      </c>
      <c r="N34" s="590"/>
      <c r="O34" s="590"/>
      <c r="P34" s="378"/>
      <c r="Q34" s="379"/>
      <c r="R34" s="379"/>
      <c r="S34" s="336" t="e">
        <f t="shared" si="12"/>
        <v>#N/A</v>
      </c>
      <c r="T34" s="633"/>
      <c r="U34" s="378"/>
      <c r="V34" s="379"/>
      <c r="W34" s="379"/>
      <c r="X34" s="336" t="e">
        <f t="shared" si="13"/>
        <v>#N/A</v>
      </c>
      <c r="Y34" s="633"/>
      <c r="Z34" s="378"/>
      <c r="AA34" s="379"/>
      <c r="AB34" s="379"/>
      <c r="AC34" s="336" t="e">
        <f t="shared" si="14"/>
        <v>#N/A</v>
      </c>
      <c r="AD34" s="633"/>
      <c r="AE34" s="378"/>
      <c r="AF34" s="379"/>
      <c r="AG34" s="379"/>
      <c r="AH34" s="336" t="e">
        <f t="shared" si="15"/>
        <v>#N/A</v>
      </c>
      <c r="AI34" s="633"/>
      <c r="AJ34" s="378"/>
      <c r="AK34" s="379"/>
      <c r="AL34" s="379"/>
      <c r="AM34" s="336" t="e">
        <f t="shared" si="16"/>
        <v>#N/A</v>
      </c>
      <c r="AN34" s="633"/>
      <c r="AO34" s="378"/>
      <c r="AP34" s="379"/>
      <c r="AQ34" s="379"/>
      <c r="AR34" s="336" t="e">
        <f t="shared" si="17"/>
        <v>#N/A</v>
      </c>
      <c r="AS34" s="633"/>
      <c r="AT34" s="378"/>
      <c r="AU34" s="379"/>
      <c r="AV34" s="379"/>
      <c r="AW34" s="336" t="e">
        <f t="shared" si="18"/>
        <v>#N/A</v>
      </c>
      <c r="AX34" s="629"/>
    </row>
    <row r="35" spans="2:50">
      <c r="B35" s="598"/>
      <c r="C35" s="336">
        <v>9</v>
      </c>
      <c r="D35" s="231"/>
      <c r="E35" s="187"/>
      <c r="F35" s="336"/>
      <c r="G35" s="337"/>
      <c r="H35" s="633"/>
      <c r="I35" s="204"/>
      <c r="J35" s="204"/>
      <c r="K35" s="205"/>
      <c r="L35" s="572"/>
      <c r="M35" s="206" t="e">
        <f>RANK(K35, K$27:$K$41)</f>
        <v>#N/A</v>
      </c>
      <c r="N35" s="590"/>
      <c r="O35" s="590"/>
      <c r="P35" s="378"/>
      <c r="Q35" s="379"/>
      <c r="R35" s="379"/>
      <c r="S35" s="336" t="e">
        <f t="shared" si="12"/>
        <v>#N/A</v>
      </c>
      <c r="T35" s="633"/>
      <c r="U35" s="378"/>
      <c r="V35" s="379"/>
      <c r="W35" s="379"/>
      <c r="X35" s="336" t="e">
        <f t="shared" si="13"/>
        <v>#N/A</v>
      </c>
      <c r="Y35" s="633"/>
      <c r="Z35" s="378"/>
      <c r="AA35" s="379"/>
      <c r="AB35" s="379"/>
      <c r="AC35" s="336" t="e">
        <f t="shared" si="14"/>
        <v>#N/A</v>
      </c>
      <c r="AD35" s="633"/>
      <c r="AE35" s="378"/>
      <c r="AF35" s="379"/>
      <c r="AG35" s="379"/>
      <c r="AH35" s="336" t="e">
        <f t="shared" si="15"/>
        <v>#N/A</v>
      </c>
      <c r="AI35" s="633"/>
      <c r="AJ35" s="378"/>
      <c r="AK35" s="379"/>
      <c r="AL35" s="379"/>
      <c r="AM35" s="336" t="e">
        <f t="shared" si="16"/>
        <v>#N/A</v>
      </c>
      <c r="AN35" s="633"/>
      <c r="AO35" s="378"/>
      <c r="AP35" s="379"/>
      <c r="AQ35" s="379"/>
      <c r="AR35" s="336" t="e">
        <f t="shared" si="17"/>
        <v>#N/A</v>
      </c>
      <c r="AS35" s="633"/>
      <c r="AT35" s="378"/>
      <c r="AU35" s="379"/>
      <c r="AV35" s="379"/>
      <c r="AW35" s="336" t="e">
        <f t="shared" si="18"/>
        <v>#N/A</v>
      </c>
      <c r="AX35" s="629"/>
    </row>
    <row r="36" spans="2:50">
      <c r="B36" s="598"/>
      <c r="C36" s="336">
        <v>10</v>
      </c>
      <c r="D36" s="231"/>
      <c r="E36" s="187"/>
      <c r="F36" s="336"/>
      <c r="G36" s="337"/>
      <c r="H36" s="633"/>
      <c r="I36" s="204"/>
      <c r="J36" s="204"/>
      <c r="K36" s="205"/>
      <c r="L36" s="572"/>
      <c r="M36" s="206" t="e">
        <f>RANK(K36, K$27:$K$41)</f>
        <v>#N/A</v>
      </c>
      <c r="N36" s="590"/>
      <c r="O36" s="590"/>
      <c r="P36" s="378"/>
      <c r="Q36" s="378"/>
      <c r="R36" s="379"/>
      <c r="S36" s="336" t="e">
        <f t="shared" si="12"/>
        <v>#N/A</v>
      </c>
      <c r="T36" s="633"/>
      <c r="U36" s="378"/>
      <c r="V36" s="378"/>
      <c r="W36" s="379"/>
      <c r="X36" s="336" t="e">
        <f t="shared" si="13"/>
        <v>#N/A</v>
      </c>
      <c r="Y36" s="633"/>
      <c r="Z36" s="378"/>
      <c r="AA36" s="378"/>
      <c r="AB36" s="379"/>
      <c r="AC36" s="336" t="e">
        <f t="shared" si="14"/>
        <v>#N/A</v>
      </c>
      <c r="AD36" s="633"/>
      <c r="AE36" s="378"/>
      <c r="AF36" s="378"/>
      <c r="AG36" s="379"/>
      <c r="AH36" s="336" t="e">
        <f t="shared" si="15"/>
        <v>#N/A</v>
      </c>
      <c r="AI36" s="633"/>
      <c r="AJ36" s="378"/>
      <c r="AK36" s="378"/>
      <c r="AL36" s="379"/>
      <c r="AM36" s="336" t="e">
        <f t="shared" si="16"/>
        <v>#N/A</v>
      </c>
      <c r="AN36" s="633"/>
      <c r="AO36" s="378"/>
      <c r="AP36" s="378"/>
      <c r="AQ36" s="379"/>
      <c r="AR36" s="336" t="e">
        <f t="shared" si="17"/>
        <v>#N/A</v>
      </c>
      <c r="AS36" s="633"/>
      <c r="AT36" s="378"/>
      <c r="AU36" s="378"/>
      <c r="AV36" s="379"/>
      <c r="AW36" s="336" t="e">
        <f t="shared" si="18"/>
        <v>#N/A</v>
      </c>
      <c r="AX36" s="629"/>
    </row>
    <row r="37" spans="2:50">
      <c r="B37" s="598"/>
      <c r="C37" s="336">
        <v>11</v>
      </c>
      <c r="D37" s="231"/>
      <c r="E37" s="187"/>
      <c r="F37" s="336"/>
      <c r="G37" s="337"/>
      <c r="H37" s="633"/>
      <c r="I37" s="207"/>
      <c r="J37" s="207"/>
      <c r="K37" s="207"/>
      <c r="L37" s="572"/>
      <c r="M37" s="206" t="e">
        <f>RANK(K37, K$27:$K$41)</f>
        <v>#N/A</v>
      </c>
      <c r="N37" s="590"/>
      <c r="O37" s="590"/>
      <c r="P37" s="378"/>
      <c r="Q37" s="378"/>
      <c r="R37" s="378"/>
      <c r="S37" s="336" t="e">
        <f t="shared" si="12"/>
        <v>#N/A</v>
      </c>
      <c r="T37" s="633"/>
      <c r="U37" s="378"/>
      <c r="V37" s="378"/>
      <c r="W37" s="378"/>
      <c r="X37" s="336" t="e">
        <f t="shared" si="13"/>
        <v>#N/A</v>
      </c>
      <c r="Y37" s="633"/>
      <c r="Z37" s="378"/>
      <c r="AA37" s="378"/>
      <c r="AB37" s="378"/>
      <c r="AC37" s="336" t="e">
        <f t="shared" si="14"/>
        <v>#N/A</v>
      </c>
      <c r="AD37" s="633"/>
      <c r="AE37" s="378"/>
      <c r="AF37" s="378"/>
      <c r="AG37" s="378"/>
      <c r="AH37" s="336" t="e">
        <f t="shared" si="15"/>
        <v>#N/A</v>
      </c>
      <c r="AI37" s="633"/>
      <c r="AJ37" s="378"/>
      <c r="AK37" s="378"/>
      <c r="AL37" s="378"/>
      <c r="AM37" s="336" t="e">
        <f t="shared" si="16"/>
        <v>#N/A</v>
      </c>
      <c r="AN37" s="633"/>
      <c r="AO37" s="378"/>
      <c r="AP37" s="378"/>
      <c r="AQ37" s="378"/>
      <c r="AR37" s="336" t="e">
        <f t="shared" si="17"/>
        <v>#N/A</v>
      </c>
      <c r="AS37" s="633"/>
      <c r="AT37" s="378"/>
      <c r="AU37" s="378"/>
      <c r="AV37" s="378"/>
      <c r="AW37" s="336" t="e">
        <f t="shared" si="18"/>
        <v>#N/A</v>
      </c>
      <c r="AX37" s="629"/>
    </row>
    <row r="38" spans="2:50">
      <c r="B38" s="598"/>
      <c r="C38" s="336">
        <v>12</v>
      </c>
      <c r="D38" s="231"/>
      <c r="E38" s="187"/>
      <c r="F38" s="336"/>
      <c r="G38" s="337"/>
      <c r="H38" s="633"/>
      <c r="I38" s="207"/>
      <c r="J38" s="207"/>
      <c r="K38" s="207"/>
      <c r="L38" s="572"/>
      <c r="M38" s="206" t="e">
        <f>RANK(K38, K$27:$K$41)</f>
        <v>#N/A</v>
      </c>
      <c r="N38" s="590"/>
      <c r="O38" s="590"/>
      <c r="P38" s="378"/>
      <c r="Q38" s="378"/>
      <c r="R38" s="378"/>
      <c r="S38" s="336" t="e">
        <f t="shared" si="12"/>
        <v>#N/A</v>
      </c>
      <c r="T38" s="633"/>
      <c r="U38" s="378"/>
      <c r="V38" s="378"/>
      <c r="W38" s="378"/>
      <c r="X38" s="336" t="e">
        <f t="shared" si="13"/>
        <v>#N/A</v>
      </c>
      <c r="Y38" s="633"/>
      <c r="Z38" s="378"/>
      <c r="AA38" s="378"/>
      <c r="AB38" s="378"/>
      <c r="AC38" s="336" t="e">
        <f t="shared" si="14"/>
        <v>#N/A</v>
      </c>
      <c r="AD38" s="633"/>
      <c r="AE38" s="378"/>
      <c r="AF38" s="378"/>
      <c r="AG38" s="378"/>
      <c r="AH38" s="336" t="e">
        <f t="shared" si="15"/>
        <v>#N/A</v>
      </c>
      <c r="AI38" s="633"/>
      <c r="AJ38" s="378"/>
      <c r="AK38" s="378"/>
      <c r="AL38" s="378"/>
      <c r="AM38" s="336" t="e">
        <f t="shared" si="16"/>
        <v>#N/A</v>
      </c>
      <c r="AN38" s="633"/>
      <c r="AO38" s="378"/>
      <c r="AP38" s="378"/>
      <c r="AQ38" s="378"/>
      <c r="AR38" s="336" t="e">
        <f t="shared" si="17"/>
        <v>#N/A</v>
      </c>
      <c r="AS38" s="633"/>
      <c r="AT38" s="378"/>
      <c r="AU38" s="378"/>
      <c r="AV38" s="378"/>
      <c r="AW38" s="336" t="e">
        <f t="shared" si="18"/>
        <v>#N/A</v>
      </c>
      <c r="AX38" s="629"/>
    </row>
    <row r="39" spans="2:50">
      <c r="B39" s="598"/>
      <c r="C39" s="336">
        <v>13</v>
      </c>
      <c r="D39" s="231"/>
      <c r="E39" s="187"/>
      <c r="F39" s="336"/>
      <c r="G39" s="337"/>
      <c r="H39" s="633"/>
      <c r="I39" s="207"/>
      <c r="J39" s="207"/>
      <c r="K39" s="207"/>
      <c r="L39" s="572"/>
      <c r="M39" s="206" t="e">
        <f>RANK(K39, K$27:$K$41)</f>
        <v>#N/A</v>
      </c>
      <c r="N39" s="590"/>
      <c r="O39" s="590"/>
      <c r="P39" s="378"/>
      <c r="Q39" s="378"/>
      <c r="R39" s="378"/>
      <c r="S39" s="336" t="e">
        <f t="shared" si="12"/>
        <v>#N/A</v>
      </c>
      <c r="T39" s="633"/>
      <c r="U39" s="378"/>
      <c r="V39" s="378"/>
      <c r="W39" s="378"/>
      <c r="X39" s="336" t="e">
        <f t="shared" si="13"/>
        <v>#N/A</v>
      </c>
      <c r="Y39" s="633"/>
      <c r="Z39" s="378"/>
      <c r="AA39" s="378"/>
      <c r="AB39" s="378"/>
      <c r="AC39" s="336" t="e">
        <f t="shared" si="14"/>
        <v>#N/A</v>
      </c>
      <c r="AD39" s="633"/>
      <c r="AE39" s="378"/>
      <c r="AF39" s="378"/>
      <c r="AG39" s="378"/>
      <c r="AH39" s="336" t="e">
        <f t="shared" si="15"/>
        <v>#N/A</v>
      </c>
      <c r="AI39" s="633"/>
      <c r="AJ39" s="378"/>
      <c r="AK39" s="378"/>
      <c r="AL39" s="378"/>
      <c r="AM39" s="336" t="e">
        <f t="shared" si="16"/>
        <v>#N/A</v>
      </c>
      <c r="AN39" s="633"/>
      <c r="AO39" s="378"/>
      <c r="AP39" s="378"/>
      <c r="AQ39" s="378"/>
      <c r="AR39" s="336" t="e">
        <f t="shared" si="17"/>
        <v>#N/A</v>
      </c>
      <c r="AS39" s="633"/>
      <c r="AT39" s="378"/>
      <c r="AU39" s="378"/>
      <c r="AV39" s="378"/>
      <c r="AW39" s="336" t="e">
        <f t="shared" si="18"/>
        <v>#N/A</v>
      </c>
      <c r="AX39" s="629"/>
    </row>
    <row r="40" spans="2:50">
      <c r="B40" s="598"/>
      <c r="C40" s="336">
        <v>14</v>
      </c>
      <c r="D40" s="231"/>
      <c r="E40" s="187"/>
      <c r="F40" s="336"/>
      <c r="G40" s="337"/>
      <c r="H40" s="633"/>
      <c r="I40" s="207"/>
      <c r="J40" s="207"/>
      <c r="K40" s="207"/>
      <c r="L40" s="572"/>
      <c r="M40" s="206" t="e">
        <f>RANK(K40, K$27:$K$41)</f>
        <v>#N/A</v>
      </c>
      <c r="N40" s="590"/>
      <c r="O40" s="590"/>
      <c r="P40" s="378"/>
      <c r="Q40" s="378"/>
      <c r="R40" s="378"/>
      <c r="S40" s="336" t="e">
        <f t="shared" si="12"/>
        <v>#N/A</v>
      </c>
      <c r="T40" s="633"/>
      <c r="U40" s="378"/>
      <c r="V40" s="378"/>
      <c r="W40" s="378"/>
      <c r="X40" s="336" t="e">
        <f t="shared" si="13"/>
        <v>#N/A</v>
      </c>
      <c r="Y40" s="633"/>
      <c r="Z40" s="378"/>
      <c r="AA40" s="378"/>
      <c r="AB40" s="378"/>
      <c r="AC40" s="336" t="e">
        <f t="shared" si="14"/>
        <v>#N/A</v>
      </c>
      <c r="AD40" s="633"/>
      <c r="AE40" s="378"/>
      <c r="AF40" s="378"/>
      <c r="AG40" s="378"/>
      <c r="AH40" s="336" t="e">
        <f t="shared" si="15"/>
        <v>#N/A</v>
      </c>
      <c r="AI40" s="633"/>
      <c r="AJ40" s="378"/>
      <c r="AK40" s="378"/>
      <c r="AL40" s="378"/>
      <c r="AM40" s="336" t="e">
        <f t="shared" si="16"/>
        <v>#N/A</v>
      </c>
      <c r="AN40" s="633"/>
      <c r="AO40" s="378"/>
      <c r="AP40" s="378"/>
      <c r="AQ40" s="378"/>
      <c r="AR40" s="336" t="e">
        <f t="shared" si="17"/>
        <v>#N/A</v>
      </c>
      <c r="AS40" s="633"/>
      <c r="AT40" s="378"/>
      <c r="AU40" s="378"/>
      <c r="AV40" s="378"/>
      <c r="AW40" s="336" t="e">
        <f t="shared" si="18"/>
        <v>#N/A</v>
      </c>
      <c r="AX40" s="629"/>
    </row>
    <row r="41" spans="2:50">
      <c r="B41" s="598"/>
      <c r="C41" s="336">
        <v>15</v>
      </c>
      <c r="D41" s="231"/>
      <c r="E41" s="187"/>
      <c r="F41" s="336"/>
      <c r="G41" s="337"/>
      <c r="H41" s="634"/>
      <c r="I41" s="207"/>
      <c r="J41" s="207"/>
      <c r="K41" s="207"/>
      <c r="L41" s="573"/>
      <c r="M41" s="204" t="e">
        <f>RANK(K41, K$27:$K$41)</f>
        <v>#N/A</v>
      </c>
      <c r="N41" s="590"/>
      <c r="O41" s="590"/>
      <c r="P41" s="378"/>
      <c r="Q41" s="378"/>
      <c r="R41" s="378"/>
      <c r="S41" s="336" t="e">
        <f t="shared" si="12"/>
        <v>#N/A</v>
      </c>
      <c r="T41" s="634"/>
      <c r="U41" s="378"/>
      <c r="V41" s="378"/>
      <c r="W41" s="378"/>
      <c r="X41" s="336" t="e">
        <f t="shared" si="13"/>
        <v>#N/A</v>
      </c>
      <c r="Y41" s="634"/>
      <c r="Z41" s="378"/>
      <c r="AA41" s="378"/>
      <c r="AB41" s="378"/>
      <c r="AC41" s="336" t="e">
        <f t="shared" si="14"/>
        <v>#N/A</v>
      </c>
      <c r="AD41" s="634"/>
      <c r="AE41" s="378"/>
      <c r="AF41" s="378"/>
      <c r="AG41" s="378"/>
      <c r="AH41" s="336" t="e">
        <f t="shared" si="15"/>
        <v>#N/A</v>
      </c>
      <c r="AI41" s="634"/>
      <c r="AJ41" s="378"/>
      <c r="AK41" s="378"/>
      <c r="AL41" s="378"/>
      <c r="AM41" s="336" t="e">
        <f t="shared" si="16"/>
        <v>#N/A</v>
      </c>
      <c r="AN41" s="634"/>
      <c r="AO41" s="378"/>
      <c r="AP41" s="378"/>
      <c r="AQ41" s="378"/>
      <c r="AR41" s="336" t="e">
        <f t="shared" si="17"/>
        <v>#N/A</v>
      </c>
      <c r="AS41" s="634"/>
      <c r="AT41" s="378"/>
      <c r="AU41" s="378"/>
      <c r="AV41" s="378"/>
      <c r="AW41" s="336" t="e">
        <f t="shared" si="18"/>
        <v>#N/A</v>
      </c>
      <c r="AX41" s="629"/>
    </row>
    <row r="42" spans="2:50" ht="15.75">
      <c r="B42" s="615" t="s">
        <v>163</v>
      </c>
      <c r="C42" s="616"/>
      <c r="D42" s="616"/>
      <c r="E42" s="616"/>
      <c r="F42" s="616"/>
      <c r="G42" s="616"/>
      <c r="H42" s="616"/>
      <c r="I42" s="213"/>
      <c r="J42" s="208"/>
      <c r="K42" s="213"/>
      <c r="L42" s="213"/>
      <c r="M42" s="209"/>
      <c r="N42" s="591" t="s">
        <v>156</v>
      </c>
      <c r="O42" s="591" t="s">
        <v>105</v>
      </c>
      <c r="P42" s="597">
        <f>P22+7</f>
        <v>45944</v>
      </c>
      <c r="Q42" s="598"/>
      <c r="R42" s="598"/>
      <c r="S42" s="598"/>
      <c r="T42" s="598"/>
      <c r="U42" s="594">
        <f>P42+1</f>
        <v>45945</v>
      </c>
      <c r="V42" s="595"/>
      <c r="W42" s="595"/>
      <c r="X42" s="595"/>
      <c r="Y42" s="596"/>
      <c r="Z42" s="594">
        <f>U42+1</f>
        <v>45946</v>
      </c>
      <c r="AA42" s="595"/>
      <c r="AB42" s="595"/>
      <c r="AC42" s="595"/>
      <c r="AD42" s="596"/>
      <c r="AE42" s="594">
        <f>Z42+1</f>
        <v>45947</v>
      </c>
      <c r="AF42" s="595"/>
      <c r="AG42" s="595"/>
      <c r="AH42" s="595"/>
      <c r="AI42" s="596"/>
      <c r="AJ42" s="594">
        <f>AE42+1</f>
        <v>45948</v>
      </c>
      <c r="AK42" s="595"/>
      <c r="AL42" s="595"/>
      <c r="AM42" s="595"/>
      <c r="AN42" s="596"/>
      <c r="AO42" s="594">
        <f>AJ42+1</f>
        <v>45949</v>
      </c>
      <c r="AP42" s="595"/>
      <c r="AQ42" s="595"/>
      <c r="AR42" s="595"/>
      <c r="AS42" s="596"/>
      <c r="AT42" s="594">
        <f>AO42+1</f>
        <v>45950</v>
      </c>
      <c r="AU42" s="595"/>
      <c r="AV42" s="595"/>
      <c r="AW42" s="595"/>
      <c r="AX42" s="596"/>
    </row>
    <row r="43" spans="2:50" ht="15.75">
      <c r="B43" s="605"/>
      <c r="C43" s="605"/>
      <c r="D43" s="605"/>
      <c r="E43" s="605"/>
      <c r="F43" s="605"/>
      <c r="G43" s="605"/>
      <c r="H43" s="605"/>
      <c r="I43" s="210"/>
      <c r="J43" s="210"/>
      <c r="K43" s="210"/>
      <c r="L43" s="210"/>
      <c r="M43" s="211"/>
      <c r="N43" s="593"/>
      <c r="O43" s="593"/>
      <c r="P43" s="597" t="s">
        <v>336</v>
      </c>
      <c r="Q43" s="598"/>
      <c r="R43" s="598"/>
      <c r="S43" s="598"/>
      <c r="T43" s="598"/>
      <c r="U43" s="597" t="s">
        <v>337</v>
      </c>
      <c r="V43" s="598"/>
      <c r="W43" s="598"/>
      <c r="X43" s="598"/>
      <c r="Y43" s="598"/>
      <c r="Z43" s="597" t="s">
        <v>338</v>
      </c>
      <c r="AA43" s="598"/>
      <c r="AB43" s="598"/>
      <c r="AC43" s="598"/>
      <c r="AD43" s="598"/>
      <c r="AE43" s="597" t="s">
        <v>339</v>
      </c>
      <c r="AF43" s="598"/>
      <c r="AG43" s="598"/>
      <c r="AH43" s="598"/>
      <c r="AI43" s="598"/>
      <c r="AJ43" s="597" t="s">
        <v>340</v>
      </c>
      <c r="AK43" s="598"/>
      <c r="AL43" s="598"/>
      <c r="AM43" s="598"/>
      <c r="AN43" s="598"/>
      <c r="AO43" s="597" t="s">
        <v>341</v>
      </c>
      <c r="AP43" s="598"/>
      <c r="AQ43" s="598"/>
      <c r="AR43" s="598"/>
      <c r="AS43" s="598"/>
      <c r="AT43" s="597" t="s">
        <v>342</v>
      </c>
      <c r="AU43" s="598"/>
      <c r="AV43" s="598"/>
      <c r="AW43" s="598"/>
      <c r="AX43" s="598"/>
    </row>
    <row r="44" spans="2:50">
      <c r="B44" s="590" t="s">
        <v>627</v>
      </c>
      <c r="C44" s="590" t="s">
        <v>628</v>
      </c>
      <c r="D44" s="590"/>
      <c r="E44" s="590" t="s">
        <v>629</v>
      </c>
      <c r="F44" s="590"/>
      <c r="G44" s="590"/>
      <c r="H44" s="606" t="s">
        <v>630</v>
      </c>
      <c r="I44" s="574" t="s">
        <v>631</v>
      </c>
      <c r="J44" s="574"/>
      <c r="K44" s="574"/>
      <c r="L44" s="575" t="s">
        <v>630</v>
      </c>
      <c r="M44" s="581" t="s">
        <v>632</v>
      </c>
      <c r="N44" s="590"/>
      <c r="O44" s="590" t="s">
        <v>633</v>
      </c>
      <c r="P44" s="587" t="s">
        <v>634</v>
      </c>
      <c r="Q44" s="588"/>
      <c r="R44" s="588"/>
      <c r="S44" s="589"/>
      <c r="T44" s="590" t="s">
        <v>630</v>
      </c>
      <c r="U44" s="587" t="s">
        <v>634</v>
      </c>
      <c r="V44" s="588"/>
      <c r="W44" s="588"/>
      <c r="X44" s="589"/>
      <c r="Y44" s="590" t="s">
        <v>630</v>
      </c>
      <c r="Z44" s="587" t="s">
        <v>634</v>
      </c>
      <c r="AA44" s="588"/>
      <c r="AB44" s="588"/>
      <c r="AC44" s="589"/>
      <c r="AD44" s="590" t="s">
        <v>630</v>
      </c>
      <c r="AE44" s="587" t="s">
        <v>634</v>
      </c>
      <c r="AF44" s="588"/>
      <c r="AG44" s="588"/>
      <c r="AH44" s="589"/>
      <c r="AI44" s="590" t="s">
        <v>630</v>
      </c>
      <c r="AJ44" s="587" t="s">
        <v>634</v>
      </c>
      <c r="AK44" s="588"/>
      <c r="AL44" s="588"/>
      <c r="AM44" s="589"/>
      <c r="AN44" s="590" t="s">
        <v>630</v>
      </c>
      <c r="AO44" s="587" t="s">
        <v>634</v>
      </c>
      <c r="AP44" s="588"/>
      <c r="AQ44" s="588"/>
      <c r="AR44" s="589"/>
      <c r="AS44" s="590" t="s">
        <v>630</v>
      </c>
      <c r="AT44" s="587" t="s">
        <v>634</v>
      </c>
      <c r="AU44" s="588"/>
      <c r="AV44" s="588"/>
      <c r="AW44" s="589"/>
      <c r="AX44" s="590" t="s">
        <v>630</v>
      </c>
    </row>
    <row r="45" spans="2:50">
      <c r="B45" s="590"/>
      <c r="C45" s="590"/>
      <c r="D45" s="590"/>
      <c r="E45" s="590" t="s">
        <v>635</v>
      </c>
      <c r="F45" s="590"/>
      <c r="G45" s="590"/>
      <c r="H45" s="607"/>
      <c r="I45" s="574" t="s">
        <v>635</v>
      </c>
      <c r="J45" s="574"/>
      <c r="K45" s="574"/>
      <c r="L45" s="576"/>
      <c r="M45" s="582"/>
      <c r="N45" s="590"/>
      <c r="O45" s="590"/>
      <c r="P45" s="587" t="s">
        <v>636</v>
      </c>
      <c r="Q45" s="588"/>
      <c r="R45" s="588"/>
      <c r="S45" s="589"/>
      <c r="T45" s="590"/>
      <c r="U45" s="587" t="s">
        <v>636</v>
      </c>
      <c r="V45" s="588"/>
      <c r="W45" s="588"/>
      <c r="X45" s="589"/>
      <c r="Y45" s="590"/>
      <c r="Z45" s="587" t="s">
        <v>636</v>
      </c>
      <c r="AA45" s="588"/>
      <c r="AB45" s="588"/>
      <c r="AC45" s="589"/>
      <c r="AD45" s="590"/>
      <c r="AE45" s="587" t="s">
        <v>636</v>
      </c>
      <c r="AF45" s="588"/>
      <c r="AG45" s="588"/>
      <c r="AH45" s="589"/>
      <c r="AI45" s="590"/>
      <c r="AJ45" s="587" t="s">
        <v>636</v>
      </c>
      <c r="AK45" s="588"/>
      <c r="AL45" s="588"/>
      <c r="AM45" s="589"/>
      <c r="AN45" s="590"/>
      <c r="AO45" s="587" t="s">
        <v>636</v>
      </c>
      <c r="AP45" s="588"/>
      <c r="AQ45" s="588"/>
      <c r="AR45" s="589"/>
      <c r="AS45" s="590"/>
      <c r="AT45" s="587" t="s">
        <v>636</v>
      </c>
      <c r="AU45" s="588"/>
      <c r="AV45" s="588"/>
      <c r="AW45" s="589"/>
      <c r="AX45" s="590"/>
    </row>
    <row r="46" spans="2:50">
      <c r="B46" s="590"/>
      <c r="C46" s="590"/>
      <c r="D46" s="590"/>
      <c r="E46" s="339" t="s">
        <v>637</v>
      </c>
      <c r="F46" s="339" t="s">
        <v>638</v>
      </c>
      <c r="G46" s="339" t="s">
        <v>639</v>
      </c>
      <c r="H46" s="608"/>
      <c r="I46" s="338" t="s">
        <v>637</v>
      </c>
      <c r="J46" s="338" t="s">
        <v>638</v>
      </c>
      <c r="K46" s="338" t="s">
        <v>639</v>
      </c>
      <c r="L46" s="577"/>
      <c r="M46" s="583"/>
      <c r="N46" s="590"/>
      <c r="O46" s="590"/>
      <c r="P46" s="339" t="s">
        <v>637</v>
      </c>
      <c r="Q46" s="339" t="s">
        <v>638</v>
      </c>
      <c r="R46" s="339" t="s">
        <v>639</v>
      </c>
      <c r="S46" s="339" t="s">
        <v>632</v>
      </c>
      <c r="T46" s="590"/>
      <c r="U46" s="339" t="s">
        <v>637</v>
      </c>
      <c r="V46" s="339" t="s">
        <v>638</v>
      </c>
      <c r="W46" s="339" t="s">
        <v>639</v>
      </c>
      <c r="X46" s="339" t="s">
        <v>632</v>
      </c>
      <c r="Y46" s="590"/>
      <c r="Z46" s="339" t="s">
        <v>637</v>
      </c>
      <c r="AA46" s="339" t="s">
        <v>638</v>
      </c>
      <c r="AB46" s="339" t="s">
        <v>639</v>
      </c>
      <c r="AC46" s="339" t="s">
        <v>632</v>
      </c>
      <c r="AD46" s="590"/>
      <c r="AE46" s="339" t="s">
        <v>637</v>
      </c>
      <c r="AF46" s="339" t="s">
        <v>638</v>
      </c>
      <c r="AG46" s="339" t="s">
        <v>639</v>
      </c>
      <c r="AH46" s="339" t="s">
        <v>632</v>
      </c>
      <c r="AI46" s="590"/>
      <c r="AJ46" s="339" t="s">
        <v>637</v>
      </c>
      <c r="AK46" s="339" t="s">
        <v>638</v>
      </c>
      <c r="AL46" s="339" t="s">
        <v>639</v>
      </c>
      <c r="AM46" s="339" t="s">
        <v>632</v>
      </c>
      <c r="AN46" s="590"/>
      <c r="AO46" s="339" t="s">
        <v>637</v>
      </c>
      <c r="AP46" s="339" t="s">
        <v>638</v>
      </c>
      <c r="AQ46" s="339" t="s">
        <v>639</v>
      </c>
      <c r="AR46" s="339" t="s">
        <v>632</v>
      </c>
      <c r="AS46" s="590"/>
      <c r="AT46" s="339" t="s">
        <v>637</v>
      </c>
      <c r="AU46" s="339" t="s">
        <v>638</v>
      </c>
      <c r="AV46" s="339" t="s">
        <v>639</v>
      </c>
      <c r="AW46" s="339" t="s">
        <v>632</v>
      </c>
      <c r="AX46" s="590"/>
    </row>
    <row r="47" spans="2:50">
      <c r="B47" s="590" t="s">
        <v>643</v>
      </c>
      <c r="C47" s="340">
        <v>1</v>
      </c>
      <c r="D47" s="231" t="s">
        <v>408</v>
      </c>
      <c r="E47" s="187">
        <v>21</v>
      </c>
      <c r="F47" s="340">
        <v>2400</v>
      </c>
      <c r="G47" s="341">
        <v>114.28571428571429</v>
      </c>
      <c r="H47" s="632">
        <f>AVERAGE(G47:G61)</f>
        <v>148.60066833751046</v>
      </c>
      <c r="I47" s="204">
        <f t="shared" ref="I47:K50" si="19">AVERAGE(P47,U47,Z47,AE47,AJ47,AO47,AT47)</f>
        <v>20.428571428571427</v>
      </c>
      <c r="J47" s="204">
        <f t="shared" si="19"/>
        <v>2162.2176157678136</v>
      </c>
      <c r="K47" s="205">
        <f t="shared" si="19"/>
        <v>105.872383469271</v>
      </c>
      <c r="L47" s="571">
        <f>IFERROR(AVERAGE(K47:K61),"-")</f>
        <v>122.92451315984944</v>
      </c>
      <c r="M47" s="206">
        <f>RANK(K47, K$47:$K$61)</f>
        <v>4</v>
      </c>
      <c r="N47" s="590"/>
      <c r="O47" s="590"/>
      <c r="P47" s="187">
        <v>21</v>
      </c>
      <c r="Q47" s="187">
        <v>2212.8712871287116</v>
      </c>
      <c r="R47" s="187">
        <v>105.37482319660532</v>
      </c>
      <c r="S47" s="340">
        <f>RANK(R47, R$47:R$61)</f>
        <v>4</v>
      </c>
      <c r="T47" s="632">
        <f>AVERAGE(R47:R61)</f>
        <v>122.47486176954558</v>
      </c>
      <c r="U47" s="187">
        <v>21</v>
      </c>
      <c r="V47" s="187">
        <v>2198.6138613861376</v>
      </c>
      <c r="W47" s="187">
        <v>104.69589816124464</v>
      </c>
      <c r="X47" s="346">
        <f>RANK(W47, W$47:W$61)</f>
        <v>4</v>
      </c>
      <c r="Y47" s="632">
        <f>AVERAGE(W47:W61)</f>
        <v>124.18821560856878</v>
      </c>
      <c r="Z47" s="187">
        <v>21</v>
      </c>
      <c r="AA47" s="187">
        <v>2169.6969696969686</v>
      </c>
      <c r="AB47" s="187">
        <v>103.31890331890327</v>
      </c>
      <c r="AC47" s="346">
        <f>RANK(AB47, AB$47:AB$61)</f>
        <v>4</v>
      </c>
      <c r="AD47" s="632">
        <f>AVERAGE(AB47:AB61)</f>
        <v>120.99839493393489</v>
      </c>
      <c r="AE47" s="187">
        <v>20</v>
      </c>
      <c r="AF47" s="187">
        <v>2135.483870967742</v>
      </c>
      <c r="AG47" s="187">
        <v>106.7741935483871</v>
      </c>
      <c r="AH47" s="346">
        <f>RANK(AG47, AG$47:AG$61)</f>
        <v>4</v>
      </c>
      <c r="AI47" s="632">
        <f>AVERAGE(AG47:AG61)</f>
        <v>123.56116745508368</v>
      </c>
      <c r="AJ47" s="187">
        <v>20</v>
      </c>
      <c r="AK47" s="187">
        <v>2120.8421052631584</v>
      </c>
      <c r="AL47" s="187">
        <v>106.04210526315792</v>
      </c>
      <c r="AM47" s="346">
        <f>RANK(AL47, AL$47:AL$61)</f>
        <v>4</v>
      </c>
      <c r="AN47" s="632">
        <f>AVERAGE(AL47:AL61)</f>
        <v>122.53624502432552</v>
      </c>
      <c r="AO47" s="187">
        <v>20</v>
      </c>
      <c r="AP47" s="187">
        <v>2148.9908256880735</v>
      </c>
      <c r="AQ47" s="187">
        <v>107.44954128440368</v>
      </c>
      <c r="AR47" s="346">
        <f>RANK(AQ47, AQ$47:AQ$61)</f>
        <v>4</v>
      </c>
      <c r="AS47" s="632">
        <f>AVERAGE(AQ47:AQ61)</f>
        <v>123.71765434084358</v>
      </c>
      <c r="AT47" s="187">
        <v>20</v>
      </c>
      <c r="AU47" s="187">
        <v>2149.024390243902</v>
      </c>
      <c r="AV47" s="187">
        <v>107.4512195121951</v>
      </c>
      <c r="AW47" s="346">
        <f>RANK(AV47, AV$47:AV$61)</f>
        <v>4</v>
      </c>
      <c r="AX47" s="629">
        <f>AVERAGE(AV47:AV61)</f>
        <v>122.99505298664408</v>
      </c>
    </row>
    <row r="48" spans="2:50">
      <c r="B48" s="598"/>
      <c r="C48" s="340">
        <v>2</v>
      </c>
      <c r="D48" s="231" t="s">
        <v>409</v>
      </c>
      <c r="E48" s="187">
        <v>18</v>
      </c>
      <c r="F48" s="340">
        <v>2800</v>
      </c>
      <c r="G48" s="341">
        <v>155.55555555555554</v>
      </c>
      <c r="H48" s="633"/>
      <c r="I48" s="204">
        <f t="shared" si="19"/>
        <v>19</v>
      </c>
      <c r="J48" s="204">
        <f t="shared" si="19"/>
        <v>2371.6666977278978</v>
      </c>
      <c r="K48" s="205">
        <f t="shared" si="19"/>
        <v>124.82456303831039</v>
      </c>
      <c r="L48" s="572"/>
      <c r="M48" s="206">
        <f>RANK(K48, K$47:$K$61)</f>
        <v>3</v>
      </c>
      <c r="N48" s="590"/>
      <c r="O48" s="590"/>
      <c r="P48" s="187">
        <v>19</v>
      </c>
      <c r="Q48" s="187">
        <v>2329.4117647058797</v>
      </c>
      <c r="R48" s="187">
        <v>122.60061919504631</v>
      </c>
      <c r="S48" s="346">
        <f t="shared" ref="S48:S61" si="20">RANK(R48, R$47:R$61)</f>
        <v>3</v>
      </c>
      <c r="T48" s="633"/>
      <c r="U48" s="187">
        <v>19</v>
      </c>
      <c r="V48" s="187">
        <v>2403.3333333333312</v>
      </c>
      <c r="W48" s="187">
        <v>126.49122807017532</v>
      </c>
      <c r="X48" s="346">
        <f t="shared" ref="X48:X61" si="21">RANK(W48, W$47:W$61)</f>
        <v>3</v>
      </c>
      <c r="Y48" s="633"/>
      <c r="Z48" s="187">
        <v>19</v>
      </c>
      <c r="AA48" s="187">
        <v>2361.9718309859131</v>
      </c>
      <c r="AB48" s="187">
        <v>124.31430689399542</v>
      </c>
      <c r="AC48" s="346">
        <f t="shared" ref="AC48:AC61" si="22">RANK(AB48, AB$47:AB$61)</f>
        <v>3</v>
      </c>
      <c r="AD48" s="633"/>
      <c r="AE48" s="187">
        <v>19</v>
      </c>
      <c r="AF48" s="187">
        <v>2349.565217391304</v>
      </c>
      <c r="AG48" s="187">
        <v>123.66132723112126</v>
      </c>
      <c r="AH48" s="346">
        <f t="shared" ref="AH48:AH61" si="23">RANK(AG48, AG$47:AG$61)</f>
        <v>3</v>
      </c>
      <c r="AI48" s="633"/>
      <c r="AJ48" s="187">
        <v>19</v>
      </c>
      <c r="AK48" s="187">
        <v>2404.411764705882</v>
      </c>
      <c r="AL48" s="187">
        <v>126.54798761609905</v>
      </c>
      <c r="AM48" s="346">
        <f t="shared" ref="AM48:AM61" si="24">RANK(AL48, AL$47:AL$61)</f>
        <v>3</v>
      </c>
      <c r="AN48" s="633"/>
      <c r="AO48" s="187">
        <v>19</v>
      </c>
      <c r="AP48" s="187">
        <v>2382.9729729729715</v>
      </c>
      <c r="AQ48" s="187">
        <v>125.41963015647218</v>
      </c>
      <c r="AR48" s="346">
        <f t="shared" ref="AR48:AR61" si="25">RANK(AQ48, AQ$47:AQ$61)</f>
        <v>3</v>
      </c>
      <c r="AS48" s="633"/>
      <c r="AT48" s="187">
        <v>19</v>
      </c>
      <c r="AU48" s="187">
        <v>2370.0000000000005</v>
      </c>
      <c r="AV48" s="187">
        <v>124.73684210526318</v>
      </c>
      <c r="AW48" s="346">
        <f t="shared" ref="AW48:AW61" si="26">RANK(AV48, AV$47:AV$61)</f>
        <v>3</v>
      </c>
      <c r="AX48" s="629"/>
    </row>
    <row r="49" spans="2:50">
      <c r="B49" s="598"/>
      <c r="C49" s="340">
        <v>3</v>
      </c>
      <c r="D49" s="231" t="s">
        <v>410</v>
      </c>
      <c r="E49" s="187">
        <v>18</v>
      </c>
      <c r="F49" s="340">
        <v>3000</v>
      </c>
      <c r="G49" s="341">
        <v>166.66666666666666</v>
      </c>
      <c r="H49" s="633"/>
      <c r="I49" s="204">
        <f t="shared" si="19"/>
        <v>19</v>
      </c>
      <c r="J49" s="204">
        <f t="shared" si="19"/>
        <v>2475.2321056238652</v>
      </c>
      <c r="K49" s="205">
        <f t="shared" si="19"/>
        <v>130.27537398020345</v>
      </c>
      <c r="L49" s="572"/>
      <c r="M49" s="206">
        <f>RANK(K49, K$47:$K$61)</f>
        <v>2</v>
      </c>
      <c r="N49" s="590"/>
      <c r="O49" s="590"/>
      <c r="P49" s="187">
        <v>19</v>
      </c>
      <c r="Q49" s="187">
        <v>2463.7974683544289</v>
      </c>
      <c r="R49" s="187">
        <v>129.67355096602259</v>
      </c>
      <c r="S49" s="346">
        <f t="shared" si="20"/>
        <v>2</v>
      </c>
      <c r="T49" s="633"/>
      <c r="U49" s="187">
        <v>19</v>
      </c>
      <c r="V49" s="187">
        <v>2511.5384615384601</v>
      </c>
      <c r="W49" s="187">
        <v>132.1862348178137</v>
      </c>
      <c r="X49" s="346">
        <f t="shared" si="21"/>
        <v>2</v>
      </c>
      <c r="Y49" s="633"/>
      <c r="Z49" s="187">
        <v>19</v>
      </c>
      <c r="AA49" s="187">
        <v>2429.6296296296291</v>
      </c>
      <c r="AB49" s="187">
        <v>127.87524366471732</v>
      </c>
      <c r="AC49" s="346">
        <f t="shared" si="22"/>
        <v>2</v>
      </c>
      <c r="AD49" s="633"/>
      <c r="AE49" s="187">
        <v>19</v>
      </c>
      <c r="AF49" s="187">
        <v>2511.9999999999977</v>
      </c>
      <c r="AG49" s="187">
        <v>132.21052631578937</v>
      </c>
      <c r="AH49" s="346">
        <f t="shared" si="23"/>
        <v>1</v>
      </c>
      <c r="AI49" s="633"/>
      <c r="AJ49" s="187">
        <v>19</v>
      </c>
      <c r="AK49" s="187">
        <v>2446.3999999999983</v>
      </c>
      <c r="AL49" s="187">
        <v>128.75789473684202</v>
      </c>
      <c r="AM49" s="346">
        <f t="shared" si="24"/>
        <v>2</v>
      </c>
      <c r="AN49" s="633"/>
      <c r="AO49" s="187">
        <v>19</v>
      </c>
      <c r="AP49" s="187">
        <v>2472.5274725274726</v>
      </c>
      <c r="AQ49" s="187">
        <v>130.13302486986697</v>
      </c>
      <c r="AR49" s="346">
        <f t="shared" si="25"/>
        <v>2</v>
      </c>
      <c r="AS49" s="633"/>
      <c r="AT49" s="187">
        <v>19</v>
      </c>
      <c r="AU49" s="187">
        <v>2490.7317073170725</v>
      </c>
      <c r="AV49" s="187">
        <v>131.09114249037225</v>
      </c>
      <c r="AW49" s="346">
        <f t="shared" si="26"/>
        <v>1</v>
      </c>
      <c r="AX49" s="629"/>
    </row>
    <row r="50" spans="2:50">
      <c r="B50" s="598"/>
      <c r="C50" s="340">
        <v>4</v>
      </c>
      <c r="D50" s="231" t="s">
        <v>411</v>
      </c>
      <c r="E50" s="187">
        <v>19</v>
      </c>
      <c r="F50" s="340">
        <v>3000</v>
      </c>
      <c r="G50" s="341">
        <v>157.89473684210526</v>
      </c>
      <c r="H50" s="633"/>
      <c r="I50" s="204">
        <f t="shared" si="19"/>
        <v>19</v>
      </c>
      <c r="J50" s="204">
        <f t="shared" si="19"/>
        <v>2483.7889108806453</v>
      </c>
      <c r="K50" s="205">
        <f t="shared" si="19"/>
        <v>130.72573215161293</v>
      </c>
      <c r="L50" s="572"/>
      <c r="M50" s="206">
        <f>RANK(K50, K$47:$K$61)</f>
        <v>1</v>
      </c>
      <c r="N50" s="590"/>
      <c r="O50" s="590"/>
      <c r="P50" s="187">
        <v>19</v>
      </c>
      <c r="Q50" s="187">
        <v>2512.7586206896535</v>
      </c>
      <c r="R50" s="187">
        <v>132.25045372050809</v>
      </c>
      <c r="S50" s="346">
        <f t="shared" si="20"/>
        <v>1</v>
      </c>
      <c r="T50" s="633"/>
      <c r="U50" s="187">
        <v>19</v>
      </c>
      <c r="V50" s="187">
        <v>2534.2105263157878</v>
      </c>
      <c r="W50" s="187">
        <v>133.37950138504146</v>
      </c>
      <c r="X50" s="346">
        <f t="shared" si="21"/>
        <v>1</v>
      </c>
      <c r="Y50" s="633"/>
      <c r="Z50" s="187">
        <v>19</v>
      </c>
      <c r="AA50" s="187">
        <v>2441.2173913043462</v>
      </c>
      <c r="AB50" s="187">
        <v>128.4851258581235</v>
      </c>
      <c r="AC50" s="346">
        <f t="shared" si="22"/>
        <v>1</v>
      </c>
      <c r="AD50" s="633"/>
      <c r="AE50" s="187">
        <v>19</v>
      </c>
      <c r="AF50" s="187">
        <v>2500.373831775702</v>
      </c>
      <c r="AG50" s="187">
        <v>131.59862272503696</v>
      </c>
      <c r="AH50" s="346">
        <f t="shared" si="23"/>
        <v>2</v>
      </c>
      <c r="AI50" s="633"/>
      <c r="AJ50" s="187">
        <v>19</v>
      </c>
      <c r="AK50" s="187">
        <v>2447.1428571428592</v>
      </c>
      <c r="AL50" s="187">
        <v>128.79699248120312</v>
      </c>
      <c r="AM50" s="346">
        <f t="shared" si="24"/>
        <v>1</v>
      </c>
      <c r="AN50" s="633"/>
      <c r="AO50" s="187">
        <v>19</v>
      </c>
      <c r="AP50" s="187">
        <v>2505.4999999999986</v>
      </c>
      <c r="AQ50" s="187">
        <v>131.8684210526315</v>
      </c>
      <c r="AR50" s="346">
        <f t="shared" si="25"/>
        <v>1</v>
      </c>
      <c r="AS50" s="633"/>
      <c r="AT50" s="187">
        <v>19</v>
      </c>
      <c r="AU50" s="187">
        <v>2445.3191489361702</v>
      </c>
      <c r="AV50" s="187">
        <v>128.7010078387458</v>
      </c>
      <c r="AW50" s="346">
        <f t="shared" si="26"/>
        <v>2</v>
      </c>
      <c r="AX50" s="629"/>
    </row>
    <row r="51" spans="2:50">
      <c r="B51" s="598"/>
      <c r="C51" s="340">
        <v>5</v>
      </c>
      <c r="D51" s="231"/>
      <c r="E51" s="187"/>
      <c r="F51" s="340"/>
      <c r="G51" s="341"/>
      <c r="H51" s="633"/>
      <c r="I51" s="204"/>
      <c r="J51" s="204"/>
      <c r="K51" s="205"/>
      <c r="L51" s="572"/>
      <c r="M51" s="206" t="e">
        <f>RANK(K51, K$47:$K$61)</f>
        <v>#N/A</v>
      </c>
      <c r="N51" s="590"/>
      <c r="O51" s="590"/>
      <c r="P51" s="187"/>
      <c r="Q51" s="187"/>
      <c r="R51" s="187"/>
      <c r="S51" s="346" t="e">
        <f t="shared" si="20"/>
        <v>#N/A</v>
      </c>
      <c r="T51" s="633"/>
      <c r="U51" s="378"/>
      <c r="V51" s="379"/>
      <c r="W51" s="379"/>
      <c r="X51" s="346" t="e">
        <f t="shared" si="21"/>
        <v>#N/A</v>
      </c>
      <c r="Y51" s="633"/>
      <c r="Z51" s="378"/>
      <c r="AA51" s="379"/>
      <c r="AB51" s="379"/>
      <c r="AC51" s="346" t="e">
        <f t="shared" si="22"/>
        <v>#N/A</v>
      </c>
      <c r="AD51" s="633"/>
      <c r="AE51" s="378"/>
      <c r="AF51" s="379"/>
      <c r="AG51" s="379"/>
      <c r="AH51" s="346" t="e">
        <f t="shared" si="23"/>
        <v>#N/A</v>
      </c>
      <c r="AI51" s="633"/>
      <c r="AJ51" s="378"/>
      <c r="AK51" s="379"/>
      <c r="AL51" s="379"/>
      <c r="AM51" s="346" t="e">
        <f t="shared" si="24"/>
        <v>#N/A</v>
      </c>
      <c r="AN51" s="633"/>
      <c r="AO51" s="378"/>
      <c r="AP51" s="379"/>
      <c r="AQ51" s="379"/>
      <c r="AR51" s="346" t="e">
        <f t="shared" si="25"/>
        <v>#N/A</v>
      </c>
      <c r="AS51" s="633"/>
      <c r="AT51" s="378"/>
      <c r="AU51" s="379"/>
      <c r="AV51" s="379"/>
      <c r="AW51" s="346" t="e">
        <f t="shared" si="26"/>
        <v>#N/A</v>
      </c>
      <c r="AX51" s="629"/>
    </row>
    <row r="52" spans="2:50">
      <c r="B52" s="598"/>
      <c r="C52" s="340">
        <v>6</v>
      </c>
      <c r="D52" s="231"/>
      <c r="E52" s="187"/>
      <c r="F52" s="340"/>
      <c r="G52" s="341"/>
      <c r="H52" s="633"/>
      <c r="I52" s="204"/>
      <c r="J52" s="204"/>
      <c r="K52" s="205"/>
      <c r="L52" s="572"/>
      <c r="M52" s="206" t="e">
        <f>RANK(K52, K$47:$K$61)</f>
        <v>#N/A</v>
      </c>
      <c r="N52" s="590"/>
      <c r="O52" s="590"/>
      <c r="P52" s="378"/>
      <c r="Q52" s="379"/>
      <c r="R52" s="379"/>
      <c r="S52" s="346" t="e">
        <f t="shared" si="20"/>
        <v>#N/A</v>
      </c>
      <c r="T52" s="633"/>
      <c r="U52" s="378"/>
      <c r="V52" s="379"/>
      <c r="W52" s="379"/>
      <c r="X52" s="346" t="e">
        <f t="shared" si="21"/>
        <v>#N/A</v>
      </c>
      <c r="Y52" s="633"/>
      <c r="Z52" s="378"/>
      <c r="AA52" s="379"/>
      <c r="AB52" s="379"/>
      <c r="AC52" s="346" t="e">
        <f t="shared" si="22"/>
        <v>#N/A</v>
      </c>
      <c r="AD52" s="633"/>
      <c r="AE52" s="378"/>
      <c r="AF52" s="379"/>
      <c r="AG52" s="379"/>
      <c r="AH52" s="346" t="e">
        <f t="shared" si="23"/>
        <v>#N/A</v>
      </c>
      <c r="AI52" s="633"/>
      <c r="AJ52" s="378"/>
      <c r="AK52" s="379"/>
      <c r="AL52" s="379"/>
      <c r="AM52" s="346" t="e">
        <f t="shared" si="24"/>
        <v>#N/A</v>
      </c>
      <c r="AN52" s="633"/>
      <c r="AO52" s="378"/>
      <c r="AP52" s="379"/>
      <c r="AQ52" s="379"/>
      <c r="AR52" s="346" t="e">
        <f t="shared" si="25"/>
        <v>#N/A</v>
      </c>
      <c r="AS52" s="633"/>
      <c r="AT52" s="378"/>
      <c r="AU52" s="379"/>
      <c r="AV52" s="379"/>
      <c r="AW52" s="346" t="e">
        <f t="shared" si="26"/>
        <v>#N/A</v>
      </c>
      <c r="AX52" s="629"/>
    </row>
    <row r="53" spans="2:50">
      <c r="B53" s="598"/>
      <c r="C53" s="340">
        <v>7</v>
      </c>
      <c r="D53" s="231"/>
      <c r="E53" s="187"/>
      <c r="F53" s="340"/>
      <c r="G53" s="341"/>
      <c r="H53" s="633"/>
      <c r="I53" s="204"/>
      <c r="J53" s="204"/>
      <c r="K53" s="205"/>
      <c r="L53" s="572"/>
      <c r="M53" s="206" t="e">
        <f>RANK(K53, K$47:$K$61)</f>
        <v>#N/A</v>
      </c>
      <c r="N53" s="590"/>
      <c r="O53" s="590"/>
      <c r="P53" s="378"/>
      <c r="Q53" s="379"/>
      <c r="R53" s="379"/>
      <c r="S53" s="346" t="e">
        <f t="shared" si="20"/>
        <v>#N/A</v>
      </c>
      <c r="T53" s="633"/>
      <c r="U53" s="378"/>
      <c r="V53" s="379"/>
      <c r="W53" s="379"/>
      <c r="X53" s="346" t="e">
        <f t="shared" si="21"/>
        <v>#N/A</v>
      </c>
      <c r="Y53" s="633"/>
      <c r="Z53" s="378"/>
      <c r="AA53" s="379"/>
      <c r="AB53" s="379"/>
      <c r="AC53" s="346" t="e">
        <f t="shared" si="22"/>
        <v>#N/A</v>
      </c>
      <c r="AD53" s="633"/>
      <c r="AE53" s="378"/>
      <c r="AF53" s="379"/>
      <c r="AG53" s="379"/>
      <c r="AH53" s="346" t="e">
        <f t="shared" si="23"/>
        <v>#N/A</v>
      </c>
      <c r="AI53" s="633"/>
      <c r="AJ53" s="378"/>
      <c r="AK53" s="379"/>
      <c r="AL53" s="379"/>
      <c r="AM53" s="346" t="e">
        <f t="shared" si="24"/>
        <v>#N/A</v>
      </c>
      <c r="AN53" s="633"/>
      <c r="AO53" s="378"/>
      <c r="AP53" s="379"/>
      <c r="AQ53" s="379"/>
      <c r="AR53" s="346" t="e">
        <f t="shared" si="25"/>
        <v>#N/A</v>
      </c>
      <c r="AS53" s="633"/>
      <c r="AT53" s="378"/>
      <c r="AU53" s="379"/>
      <c r="AV53" s="379"/>
      <c r="AW53" s="346" t="e">
        <f t="shared" si="26"/>
        <v>#N/A</v>
      </c>
      <c r="AX53" s="629"/>
    </row>
    <row r="54" spans="2:50">
      <c r="B54" s="598"/>
      <c r="C54" s="340">
        <v>8</v>
      </c>
      <c r="D54" s="231"/>
      <c r="E54" s="187"/>
      <c r="F54" s="340"/>
      <c r="G54" s="341"/>
      <c r="H54" s="633"/>
      <c r="I54" s="204"/>
      <c r="J54" s="204"/>
      <c r="K54" s="205"/>
      <c r="L54" s="572"/>
      <c r="M54" s="206" t="e">
        <f>RANK(K54, K$47:$K$61)</f>
        <v>#N/A</v>
      </c>
      <c r="N54" s="590"/>
      <c r="O54" s="590"/>
      <c r="P54" s="378"/>
      <c r="Q54" s="379"/>
      <c r="R54" s="379"/>
      <c r="S54" s="346" t="e">
        <f t="shared" si="20"/>
        <v>#N/A</v>
      </c>
      <c r="T54" s="633"/>
      <c r="U54" s="378"/>
      <c r="V54" s="379"/>
      <c r="W54" s="379"/>
      <c r="X54" s="346" t="e">
        <f t="shared" si="21"/>
        <v>#N/A</v>
      </c>
      <c r="Y54" s="633"/>
      <c r="Z54" s="378"/>
      <c r="AA54" s="379"/>
      <c r="AB54" s="379"/>
      <c r="AC54" s="346" t="e">
        <f t="shared" si="22"/>
        <v>#N/A</v>
      </c>
      <c r="AD54" s="633"/>
      <c r="AE54" s="378"/>
      <c r="AF54" s="379"/>
      <c r="AG54" s="379"/>
      <c r="AH54" s="346" t="e">
        <f t="shared" si="23"/>
        <v>#N/A</v>
      </c>
      <c r="AI54" s="633"/>
      <c r="AJ54" s="378"/>
      <c r="AK54" s="379"/>
      <c r="AL54" s="379"/>
      <c r="AM54" s="346" t="e">
        <f t="shared" si="24"/>
        <v>#N/A</v>
      </c>
      <c r="AN54" s="633"/>
      <c r="AO54" s="378"/>
      <c r="AP54" s="379"/>
      <c r="AQ54" s="379"/>
      <c r="AR54" s="346" t="e">
        <f t="shared" si="25"/>
        <v>#N/A</v>
      </c>
      <c r="AS54" s="633"/>
      <c r="AT54" s="378"/>
      <c r="AU54" s="379"/>
      <c r="AV54" s="379"/>
      <c r="AW54" s="346" t="e">
        <f t="shared" si="26"/>
        <v>#N/A</v>
      </c>
      <c r="AX54" s="629"/>
    </row>
    <row r="55" spans="2:50">
      <c r="B55" s="598"/>
      <c r="C55" s="340">
        <v>9</v>
      </c>
      <c r="D55" s="231"/>
      <c r="E55" s="187"/>
      <c r="F55" s="340"/>
      <c r="G55" s="341"/>
      <c r="H55" s="633"/>
      <c r="I55" s="204"/>
      <c r="J55" s="204"/>
      <c r="K55" s="205"/>
      <c r="L55" s="572"/>
      <c r="M55" s="206" t="e">
        <f>RANK(K55, K$47:$K$61)</f>
        <v>#N/A</v>
      </c>
      <c r="N55" s="590"/>
      <c r="O55" s="590"/>
      <c r="P55" s="378"/>
      <c r="Q55" s="379"/>
      <c r="R55" s="379"/>
      <c r="S55" s="346" t="e">
        <f t="shared" si="20"/>
        <v>#N/A</v>
      </c>
      <c r="T55" s="633"/>
      <c r="U55" s="378"/>
      <c r="V55" s="379"/>
      <c r="W55" s="379"/>
      <c r="X55" s="346" t="e">
        <f t="shared" si="21"/>
        <v>#N/A</v>
      </c>
      <c r="Y55" s="633"/>
      <c r="Z55" s="378"/>
      <c r="AA55" s="379"/>
      <c r="AB55" s="379"/>
      <c r="AC55" s="346" t="e">
        <f t="shared" si="22"/>
        <v>#N/A</v>
      </c>
      <c r="AD55" s="633"/>
      <c r="AE55" s="378"/>
      <c r="AF55" s="379"/>
      <c r="AG55" s="379"/>
      <c r="AH55" s="346" t="e">
        <f t="shared" si="23"/>
        <v>#N/A</v>
      </c>
      <c r="AI55" s="633"/>
      <c r="AJ55" s="378"/>
      <c r="AK55" s="379"/>
      <c r="AL55" s="379"/>
      <c r="AM55" s="346" t="e">
        <f t="shared" si="24"/>
        <v>#N/A</v>
      </c>
      <c r="AN55" s="633"/>
      <c r="AO55" s="378"/>
      <c r="AP55" s="379"/>
      <c r="AQ55" s="379"/>
      <c r="AR55" s="346" t="e">
        <f t="shared" si="25"/>
        <v>#N/A</v>
      </c>
      <c r="AS55" s="633"/>
      <c r="AT55" s="378"/>
      <c r="AU55" s="379"/>
      <c r="AV55" s="379"/>
      <c r="AW55" s="346" t="e">
        <f t="shared" si="26"/>
        <v>#N/A</v>
      </c>
      <c r="AX55" s="629"/>
    </row>
    <row r="56" spans="2:50">
      <c r="B56" s="598"/>
      <c r="C56" s="340">
        <v>10</v>
      </c>
      <c r="D56" s="231"/>
      <c r="E56" s="187"/>
      <c r="F56" s="340"/>
      <c r="G56" s="341"/>
      <c r="H56" s="633"/>
      <c r="I56" s="204"/>
      <c r="J56" s="204"/>
      <c r="K56" s="205"/>
      <c r="L56" s="572"/>
      <c r="M56" s="206" t="e">
        <f>RANK(K56, K$47:$K$61)</f>
        <v>#N/A</v>
      </c>
      <c r="N56" s="590"/>
      <c r="O56" s="590"/>
      <c r="P56" s="378"/>
      <c r="Q56" s="378"/>
      <c r="R56" s="379"/>
      <c r="S56" s="346" t="e">
        <f t="shared" si="20"/>
        <v>#N/A</v>
      </c>
      <c r="T56" s="633"/>
      <c r="U56" s="378"/>
      <c r="V56" s="378"/>
      <c r="W56" s="379"/>
      <c r="X56" s="346" t="e">
        <f t="shared" si="21"/>
        <v>#N/A</v>
      </c>
      <c r="Y56" s="633"/>
      <c r="Z56" s="378"/>
      <c r="AA56" s="378"/>
      <c r="AB56" s="379"/>
      <c r="AC56" s="346" t="e">
        <f t="shared" si="22"/>
        <v>#N/A</v>
      </c>
      <c r="AD56" s="633"/>
      <c r="AE56" s="378"/>
      <c r="AF56" s="378"/>
      <c r="AG56" s="379"/>
      <c r="AH56" s="346" t="e">
        <f t="shared" si="23"/>
        <v>#N/A</v>
      </c>
      <c r="AI56" s="633"/>
      <c r="AJ56" s="378"/>
      <c r="AK56" s="378"/>
      <c r="AL56" s="379"/>
      <c r="AM56" s="346" t="e">
        <f t="shared" si="24"/>
        <v>#N/A</v>
      </c>
      <c r="AN56" s="633"/>
      <c r="AO56" s="378"/>
      <c r="AP56" s="378"/>
      <c r="AQ56" s="379"/>
      <c r="AR56" s="346" t="e">
        <f t="shared" si="25"/>
        <v>#N/A</v>
      </c>
      <c r="AS56" s="633"/>
      <c r="AT56" s="378"/>
      <c r="AU56" s="378"/>
      <c r="AV56" s="379"/>
      <c r="AW56" s="346" t="e">
        <f t="shared" si="26"/>
        <v>#N/A</v>
      </c>
      <c r="AX56" s="629"/>
    </row>
    <row r="57" spans="2:50">
      <c r="B57" s="598"/>
      <c r="C57" s="340">
        <v>11</v>
      </c>
      <c r="D57" s="231"/>
      <c r="E57" s="187"/>
      <c r="F57" s="340"/>
      <c r="G57" s="341"/>
      <c r="H57" s="633"/>
      <c r="I57" s="207"/>
      <c r="J57" s="207"/>
      <c r="K57" s="207"/>
      <c r="L57" s="572"/>
      <c r="M57" s="206" t="e">
        <f>RANK(K57, K$47:$K$61)</f>
        <v>#N/A</v>
      </c>
      <c r="N57" s="590"/>
      <c r="O57" s="590"/>
      <c r="P57" s="378"/>
      <c r="Q57" s="378"/>
      <c r="R57" s="378"/>
      <c r="S57" s="346" t="e">
        <f t="shared" si="20"/>
        <v>#N/A</v>
      </c>
      <c r="T57" s="633"/>
      <c r="U57" s="378"/>
      <c r="V57" s="378"/>
      <c r="W57" s="378"/>
      <c r="X57" s="346" t="e">
        <f t="shared" si="21"/>
        <v>#N/A</v>
      </c>
      <c r="Y57" s="633"/>
      <c r="Z57" s="378"/>
      <c r="AA57" s="378"/>
      <c r="AB57" s="378"/>
      <c r="AC57" s="346" t="e">
        <f t="shared" si="22"/>
        <v>#N/A</v>
      </c>
      <c r="AD57" s="633"/>
      <c r="AE57" s="378"/>
      <c r="AF57" s="378"/>
      <c r="AG57" s="378"/>
      <c r="AH57" s="346" t="e">
        <f t="shared" si="23"/>
        <v>#N/A</v>
      </c>
      <c r="AI57" s="633"/>
      <c r="AJ57" s="378"/>
      <c r="AK57" s="378"/>
      <c r="AL57" s="378"/>
      <c r="AM57" s="346" t="e">
        <f t="shared" si="24"/>
        <v>#N/A</v>
      </c>
      <c r="AN57" s="633"/>
      <c r="AO57" s="378"/>
      <c r="AP57" s="378"/>
      <c r="AQ57" s="378"/>
      <c r="AR57" s="346" t="e">
        <f t="shared" si="25"/>
        <v>#N/A</v>
      </c>
      <c r="AS57" s="633"/>
      <c r="AT57" s="378"/>
      <c r="AU57" s="378"/>
      <c r="AV57" s="378"/>
      <c r="AW57" s="346" t="e">
        <f t="shared" si="26"/>
        <v>#N/A</v>
      </c>
      <c r="AX57" s="629"/>
    </row>
    <row r="58" spans="2:50">
      <c r="B58" s="598"/>
      <c r="C58" s="340">
        <v>12</v>
      </c>
      <c r="D58" s="231"/>
      <c r="E58" s="187"/>
      <c r="F58" s="340"/>
      <c r="G58" s="341"/>
      <c r="H58" s="633"/>
      <c r="I58" s="207"/>
      <c r="J58" s="207"/>
      <c r="K58" s="207"/>
      <c r="L58" s="572"/>
      <c r="M58" s="206" t="e">
        <f>RANK(K58, K$47:$K$61)</f>
        <v>#N/A</v>
      </c>
      <c r="N58" s="590"/>
      <c r="O58" s="590"/>
      <c r="P58" s="378"/>
      <c r="Q58" s="378"/>
      <c r="R58" s="378"/>
      <c r="S58" s="346" t="e">
        <f t="shared" si="20"/>
        <v>#N/A</v>
      </c>
      <c r="T58" s="633"/>
      <c r="U58" s="378"/>
      <c r="V58" s="378"/>
      <c r="W58" s="378"/>
      <c r="X58" s="346" t="e">
        <f t="shared" si="21"/>
        <v>#N/A</v>
      </c>
      <c r="Y58" s="633"/>
      <c r="Z58" s="378"/>
      <c r="AA58" s="378"/>
      <c r="AB58" s="378"/>
      <c r="AC58" s="346" t="e">
        <f t="shared" si="22"/>
        <v>#N/A</v>
      </c>
      <c r="AD58" s="633"/>
      <c r="AE58" s="378"/>
      <c r="AF58" s="378"/>
      <c r="AG58" s="378"/>
      <c r="AH58" s="346" t="e">
        <f t="shared" si="23"/>
        <v>#N/A</v>
      </c>
      <c r="AI58" s="633"/>
      <c r="AJ58" s="378"/>
      <c r="AK58" s="378"/>
      <c r="AL58" s="378"/>
      <c r="AM58" s="346" t="e">
        <f t="shared" si="24"/>
        <v>#N/A</v>
      </c>
      <c r="AN58" s="633"/>
      <c r="AO58" s="378"/>
      <c r="AP58" s="378"/>
      <c r="AQ58" s="378"/>
      <c r="AR58" s="346" t="e">
        <f t="shared" si="25"/>
        <v>#N/A</v>
      </c>
      <c r="AS58" s="633"/>
      <c r="AT58" s="378"/>
      <c r="AU58" s="378"/>
      <c r="AV58" s="378"/>
      <c r="AW58" s="346" t="e">
        <f t="shared" si="26"/>
        <v>#N/A</v>
      </c>
      <c r="AX58" s="629"/>
    </row>
    <row r="59" spans="2:50">
      <c r="B59" s="598"/>
      <c r="C59" s="340">
        <v>13</v>
      </c>
      <c r="D59" s="231"/>
      <c r="E59" s="187"/>
      <c r="F59" s="340"/>
      <c r="G59" s="341"/>
      <c r="H59" s="633"/>
      <c r="I59" s="207"/>
      <c r="J59" s="207"/>
      <c r="K59" s="207"/>
      <c r="L59" s="572"/>
      <c r="M59" s="206" t="e">
        <f>RANK(K59, K$47:$K$61)</f>
        <v>#N/A</v>
      </c>
      <c r="N59" s="590"/>
      <c r="O59" s="590"/>
      <c r="P59" s="378"/>
      <c r="Q59" s="378"/>
      <c r="R59" s="378"/>
      <c r="S59" s="346" t="e">
        <f t="shared" si="20"/>
        <v>#N/A</v>
      </c>
      <c r="T59" s="633"/>
      <c r="U59" s="378"/>
      <c r="V59" s="378"/>
      <c r="W59" s="378"/>
      <c r="X59" s="346" t="e">
        <f t="shared" si="21"/>
        <v>#N/A</v>
      </c>
      <c r="Y59" s="633"/>
      <c r="Z59" s="378"/>
      <c r="AA59" s="378"/>
      <c r="AB59" s="378"/>
      <c r="AC59" s="346" t="e">
        <f t="shared" si="22"/>
        <v>#N/A</v>
      </c>
      <c r="AD59" s="633"/>
      <c r="AE59" s="378"/>
      <c r="AF59" s="378"/>
      <c r="AG59" s="378"/>
      <c r="AH59" s="346" t="e">
        <f t="shared" si="23"/>
        <v>#N/A</v>
      </c>
      <c r="AI59" s="633"/>
      <c r="AJ59" s="378"/>
      <c r="AK59" s="378"/>
      <c r="AL59" s="378"/>
      <c r="AM59" s="346" t="e">
        <f t="shared" si="24"/>
        <v>#N/A</v>
      </c>
      <c r="AN59" s="633"/>
      <c r="AO59" s="378"/>
      <c r="AP59" s="378"/>
      <c r="AQ59" s="378"/>
      <c r="AR59" s="346" t="e">
        <f t="shared" si="25"/>
        <v>#N/A</v>
      </c>
      <c r="AS59" s="633"/>
      <c r="AT59" s="378"/>
      <c r="AU59" s="378"/>
      <c r="AV59" s="378"/>
      <c r="AW59" s="346" t="e">
        <f t="shared" si="26"/>
        <v>#N/A</v>
      </c>
      <c r="AX59" s="629"/>
    </row>
    <row r="60" spans="2:50">
      <c r="B60" s="598"/>
      <c r="C60" s="340">
        <v>14</v>
      </c>
      <c r="D60" s="231"/>
      <c r="E60" s="187"/>
      <c r="F60" s="340"/>
      <c r="G60" s="341"/>
      <c r="H60" s="633"/>
      <c r="I60" s="207"/>
      <c r="J60" s="207"/>
      <c r="K60" s="207"/>
      <c r="L60" s="572"/>
      <c r="M60" s="206" t="e">
        <f>RANK(K60, K$47:$K$61)</f>
        <v>#N/A</v>
      </c>
      <c r="N60" s="590"/>
      <c r="O60" s="590"/>
      <c r="P60" s="378"/>
      <c r="Q60" s="378"/>
      <c r="R60" s="378"/>
      <c r="S60" s="346" t="e">
        <f t="shared" si="20"/>
        <v>#N/A</v>
      </c>
      <c r="T60" s="633"/>
      <c r="U60" s="378"/>
      <c r="V60" s="378"/>
      <c r="W60" s="378"/>
      <c r="X60" s="346" t="e">
        <f t="shared" si="21"/>
        <v>#N/A</v>
      </c>
      <c r="Y60" s="633"/>
      <c r="Z60" s="378"/>
      <c r="AA60" s="378"/>
      <c r="AB60" s="378"/>
      <c r="AC60" s="346" t="e">
        <f t="shared" si="22"/>
        <v>#N/A</v>
      </c>
      <c r="AD60" s="633"/>
      <c r="AE60" s="378"/>
      <c r="AF60" s="378"/>
      <c r="AG60" s="378"/>
      <c r="AH60" s="346" t="e">
        <f t="shared" si="23"/>
        <v>#N/A</v>
      </c>
      <c r="AI60" s="633"/>
      <c r="AJ60" s="378"/>
      <c r="AK60" s="378"/>
      <c r="AL60" s="378"/>
      <c r="AM60" s="346" t="e">
        <f t="shared" si="24"/>
        <v>#N/A</v>
      </c>
      <c r="AN60" s="633"/>
      <c r="AO60" s="378"/>
      <c r="AP60" s="378"/>
      <c r="AQ60" s="378"/>
      <c r="AR60" s="346" t="e">
        <f t="shared" si="25"/>
        <v>#N/A</v>
      </c>
      <c r="AS60" s="633"/>
      <c r="AT60" s="378"/>
      <c r="AU60" s="378"/>
      <c r="AV60" s="378"/>
      <c r="AW60" s="346" t="e">
        <f t="shared" si="26"/>
        <v>#N/A</v>
      </c>
      <c r="AX60" s="629"/>
    </row>
    <row r="61" spans="2:50">
      <c r="B61" s="598"/>
      <c r="C61" s="340">
        <v>15</v>
      </c>
      <c r="D61" s="231"/>
      <c r="E61" s="187"/>
      <c r="F61" s="340"/>
      <c r="G61" s="341"/>
      <c r="H61" s="634"/>
      <c r="I61" s="207"/>
      <c r="J61" s="207"/>
      <c r="K61" s="207"/>
      <c r="L61" s="573"/>
      <c r="M61" s="206" t="e">
        <f>RANK(K61, K$47:$K$61)</f>
        <v>#N/A</v>
      </c>
      <c r="N61" s="590"/>
      <c r="O61" s="590"/>
      <c r="P61" s="378"/>
      <c r="Q61" s="378"/>
      <c r="R61" s="378"/>
      <c r="S61" s="346" t="e">
        <f t="shared" si="20"/>
        <v>#N/A</v>
      </c>
      <c r="T61" s="634"/>
      <c r="U61" s="378"/>
      <c r="V61" s="378"/>
      <c r="W61" s="378"/>
      <c r="X61" s="346" t="e">
        <f t="shared" si="21"/>
        <v>#N/A</v>
      </c>
      <c r="Y61" s="634"/>
      <c r="Z61" s="378"/>
      <c r="AA61" s="378"/>
      <c r="AB61" s="378"/>
      <c r="AC61" s="346" t="e">
        <f t="shared" si="22"/>
        <v>#N/A</v>
      </c>
      <c r="AD61" s="634"/>
      <c r="AE61" s="378"/>
      <c r="AF61" s="378"/>
      <c r="AG61" s="378"/>
      <c r="AH61" s="346" t="e">
        <f t="shared" si="23"/>
        <v>#N/A</v>
      </c>
      <c r="AI61" s="634"/>
      <c r="AJ61" s="378"/>
      <c r="AK61" s="378"/>
      <c r="AL61" s="378"/>
      <c r="AM61" s="346" t="e">
        <f t="shared" si="24"/>
        <v>#N/A</v>
      </c>
      <c r="AN61" s="634"/>
      <c r="AO61" s="378"/>
      <c r="AP61" s="378"/>
      <c r="AQ61" s="378"/>
      <c r="AR61" s="346" t="e">
        <f t="shared" si="25"/>
        <v>#N/A</v>
      </c>
      <c r="AS61" s="634"/>
      <c r="AT61" s="378"/>
      <c r="AU61" s="378"/>
      <c r="AV61" s="378"/>
      <c r="AW61" s="346" t="e">
        <f t="shared" si="26"/>
        <v>#N/A</v>
      </c>
      <c r="AX61" s="629"/>
    </row>
    <row r="62" spans="2:50" ht="15.75">
      <c r="B62" s="602" t="s">
        <v>163</v>
      </c>
      <c r="C62" s="603"/>
      <c r="D62" s="603"/>
      <c r="E62" s="603"/>
      <c r="F62" s="603"/>
      <c r="G62" s="603"/>
      <c r="H62" s="604"/>
      <c r="I62" s="213"/>
      <c r="J62" s="213"/>
      <c r="K62" s="213"/>
      <c r="L62" s="213"/>
      <c r="M62" s="212"/>
      <c r="N62" s="591" t="s">
        <v>156</v>
      </c>
      <c r="O62" s="591" t="s">
        <v>105</v>
      </c>
      <c r="P62" s="597">
        <f>P42+7</f>
        <v>45951</v>
      </c>
      <c r="Q62" s="598"/>
      <c r="R62" s="598"/>
      <c r="S62" s="598"/>
      <c r="T62" s="598"/>
      <c r="U62" s="594">
        <f>P62+1</f>
        <v>45952</v>
      </c>
      <c r="V62" s="595"/>
      <c r="W62" s="595"/>
      <c r="X62" s="595"/>
      <c r="Y62" s="596"/>
      <c r="Z62" s="594">
        <f>U62+1</f>
        <v>45953</v>
      </c>
      <c r="AA62" s="595"/>
      <c r="AB62" s="595"/>
      <c r="AC62" s="595"/>
      <c r="AD62" s="596"/>
      <c r="AE62" s="594">
        <f>Z62+1</f>
        <v>45954</v>
      </c>
      <c r="AF62" s="595"/>
      <c r="AG62" s="595"/>
      <c r="AH62" s="595"/>
      <c r="AI62" s="596"/>
      <c r="AJ62" s="594">
        <f>AE62+1</f>
        <v>45955</v>
      </c>
      <c r="AK62" s="595"/>
      <c r="AL62" s="595"/>
      <c r="AM62" s="595"/>
      <c r="AN62" s="596"/>
      <c r="AO62" s="594">
        <f>AJ62+1</f>
        <v>45956</v>
      </c>
      <c r="AP62" s="595"/>
      <c r="AQ62" s="595"/>
      <c r="AR62" s="595"/>
      <c r="AS62" s="596"/>
      <c r="AT62" s="594">
        <f>AO62+1</f>
        <v>45957</v>
      </c>
      <c r="AU62" s="595"/>
      <c r="AV62" s="595"/>
      <c r="AW62" s="595"/>
      <c r="AX62" s="596"/>
    </row>
    <row r="63" spans="2:50" ht="15.75">
      <c r="B63" s="605"/>
      <c r="C63" s="605"/>
      <c r="D63" s="605"/>
      <c r="E63" s="605"/>
      <c r="F63" s="605"/>
      <c r="G63" s="605"/>
      <c r="H63" s="605"/>
      <c r="I63" s="210"/>
      <c r="J63" s="210"/>
      <c r="K63" s="210"/>
      <c r="L63" s="210"/>
      <c r="M63" s="211"/>
      <c r="N63" s="593"/>
      <c r="O63" s="593"/>
      <c r="P63" s="597" t="s">
        <v>336</v>
      </c>
      <c r="Q63" s="598"/>
      <c r="R63" s="598"/>
      <c r="S63" s="598"/>
      <c r="T63" s="598"/>
      <c r="U63" s="597" t="s">
        <v>337</v>
      </c>
      <c r="V63" s="598"/>
      <c r="W63" s="598"/>
      <c r="X63" s="598"/>
      <c r="Y63" s="598"/>
      <c r="Z63" s="597" t="s">
        <v>338</v>
      </c>
      <c r="AA63" s="598"/>
      <c r="AB63" s="598"/>
      <c r="AC63" s="598"/>
      <c r="AD63" s="598"/>
      <c r="AE63" s="597" t="s">
        <v>339</v>
      </c>
      <c r="AF63" s="598"/>
      <c r="AG63" s="598"/>
      <c r="AH63" s="598"/>
      <c r="AI63" s="598"/>
      <c r="AJ63" s="597" t="s">
        <v>340</v>
      </c>
      <c r="AK63" s="598"/>
      <c r="AL63" s="598"/>
      <c r="AM63" s="598"/>
      <c r="AN63" s="598"/>
      <c r="AO63" s="597" t="s">
        <v>341</v>
      </c>
      <c r="AP63" s="598"/>
      <c r="AQ63" s="598"/>
      <c r="AR63" s="598"/>
      <c r="AS63" s="598"/>
      <c r="AT63" s="597" t="s">
        <v>342</v>
      </c>
      <c r="AU63" s="598"/>
      <c r="AV63" s="598"/>
      <c r="AW63" s="598"/>
      <c r="AX63" s="598"/>
    </row>
    <row r="64" spans="2:50">
      <c r="B64" s="590" t="s">
        <v>494</v>
      </c>
      <c r="C64" s="590" t="s">
        <v>495</v>
      </c>
      <c r="D64" s="590"/>
      <c r="E64" s="590" t="s">
        <v>496</v>
      </c>
      <c r="F64" s="590"/>
      <c r="G64" s="590"/>
      <c r="H64" s="606" t="s">
        <v>497</v>
      </c>
      <c r="I64" s="574" t="s">
        <v>498</v>
      </c>
      <c r="J64" s="574"/>
      <c r="K64" s="574"/>
      <c r="L64" s="575" t="s">
        <v>497</v>
      </c>
      <c r="M64" s="581" t="s">
        <v>499</v>
      </c>
      <c r="N64" s="590"/>
      <c r="O64" s="590" t="s">
        <v>500</v>
      </c>
      <c r="P64" s="587" t="s">
        <v>501</v>
      </c>
      <c r="Q64" s="588"/>
      <c r="R64" s="588"/>
      <c r="S64" s="589"/>
      <c r="T64" s="590" t="s">
        <v>497</v>
      </c>
      <c r="U64" s="587" t="s">
        <v>501</v>
      </c>
      <c r="V64" s="588"/>
      <c r="W64" s="588"/>
      <c r="X64" s="589"/>
      <c r="Y64" s="590" t="s">
        <v>497</v>
      </c>
      <c r="Z64" s="587" t="s">
        <v>501</v>
      </c>
      <c r="AA64" s="588"/>
      <c r="AB64" s="588"/>
      <c r="AC64" s="589"/>
      <c r="AD64" s="590" t="s">
        <v>497</v>
      </c>
      <c r="AE64" s="587" t="s">
        <v>501</v>
      </c>
      <c r="AF64" s="588"/>
      <c r="AG64" s="588"/>
      <c r="AH64" s="589"/>
      <c r="AI64" s="590" t="s">
        <v>497</v>
      </c>
      <c r="AJ64" s="587" t="s">
        <v>501</v>
      </c>
      <c r="AK64" s="588"/>
      <c r="AL64" s="588"/>
      <c r="AM64" s="589"/>
      <c r="AN64" s="590" t="s">
        <v>497</v>
      </c>
      <c r="AO64" s="587" t="s">
        <v>501</v>
      </c>
      <c r="AP64" s="588"/>
      <c r="AQ64" s="588"/>
      <c r="AR64" s="589"/>
      <c r="AS64" s="590" t="s">
        <v>497</v>
      </c>
      <c r="AT64" s="587" t="s">
        <v>501</v>
      </c>
      <c r="AU64" s="588"/>
      <c r="AV64" s="588"/>
      <c r="AW64" s="589"/>
      <c r="AX64" s="590" t="s">
        <v>497</v>
      </c>
    </row>
    <row r="65" spans="2:50">
      <c r="B65" s="590"/>
      <c r="C65" s="590"/>
      <c r="D65" s="590"/>
      <c r="E65" s="590" t="s">
        <v>502</v>
      </c>
      <c r="F65" s="590"/>
      <c r="G65" s="590"/>
      <c r="H65" s="607"/>
      <c r="I65" s="574" t="s">
        <v>502</v>
      </c>
      <c r="J65" s="574"/>
      <c r="K65" s="574"/>
      <c r="L65" s="576"/>
      <c r="M65" s="582"/>
      <c r="N65" s="590"/>
      <c r="O65" s="590"/>
      <c r="P65" s="587" t="s">
        <v>503</v>
      </c>
      <c r="Q65" s="588"/>
      <c r="R65" s="588"/>
      <c r="S65" s="589"/>
      <c r="T65" s="590"/>
      <c r="U65" s="587" t="s">
        <v>503</v>
      </c>
      <c r="V65" s="588"/>
      <c r="W65" s="588"/>
      <c r="X65" s="589"/>
      <c r="Y65" s="590"/>
      <c r="Z65" s="587" t="s">
        <v>503</v>
      </c>
      <c r="AA65" s="588"/>
      <c r="AB65" s="588"/>
      <c r="AC65" s="589"/>
      <c r="AD65" s="590"/>
      <c r="AE65" s="587" t="s">
        <v>503</v>
      </c>
      <c r="AF65" s="588"/>
      <c r="AG65" s="588"/>
      <c r="AH65" s="589"/>
      <c r="AI65" s="590"/>
      <c r="AJ65" s="587" t="s">
        <v>503</v>
      </c>
      <c r="AK65" s="588"/>
      <c r="AL65" s="588"/>
      <c r="AM65" s="589"/>
      <c r="AN65" s="590"/>
      <c r="AO65" s="587" t="s">
        <v>503</v>
      </c>
      <c r="AP65" s="588"/>
      <c r="AQ65" s="588"/>
      <c r="AR65" s="589"/>
      <c r="AS65" s="590"/>
      <c r="AT65" s="587" t="s">
        <v>503</v>
      </c>
      <c r="AU65" s="588"/>
      <c r="AV65" s="588"/>
      <c r="AW65" s="589"/>
      <c r="AX65" s="590"/>
    </row>
    <row r="66" spans="2:50">
      <c r="B66" s="590"/>
      <c r="C66" s="590"/>
      <c r="D66" s="590"/>
      <c r="E66" s="318" t="s">
        <v>504</v>
      </c>
      <c r="F66" s="318" t="s">
        <v>505</v>
      </c>
      <c r="G66" s="318" t="s">
        <v>506</v>
      </c>
      <c r="H66" s="608"/>
      <c r="I66" s="317" t="s">
        <v>504</v>
      </c>
      <c r="J66" s="317" t="s">
        <v>505</v>
      </c>
      <c r="K66" s="317" t="s">
        <v>506</v>
      </c>
      <c r="L66" s="577"/>
      <c r="M66" s="583"/>
      <c r="N66" s="590"/>
      <c r="O66" s="590"/>
      <c r="P66" s="318" t="s">
        <v>504</v>
      </c>
      <c r="Q66" s="318" t="s">
        <v>505</v>
      </c>
      <c r="R66" s="318" t="s">
        <v>506</v>
      </c>
      <c r="S66" s="318" t="s">
        <v>499</v>
      </c>
      <c r="T66" s="590"/>
      <c r="U66" s="318" t="s">
        <v>504</v>
      </c>
      <c r="V66" s="318" t="s">
        <v>505</v>
      </c>
      <c r="W66" s="318" t="s">
        <v>506</v>
      </c>
      <c r="X66" s="318" t="s">
        <v>499</v>
      </c>
      <c r="Y66" s="590"/>
      <c r="Z66" s="318" t="s">
        <v>504</v>
      </c>
      <c r="AA66" s="318" t="s">
        <v>505</v>
      </c>
      <c r="AB66" s="318" t="s">
        <v>506</v>
      </c>
      <c r="AC66" s="318" t="s">
        <v>499</v>
      </c>
      <c r="AD66" s="590"/>
      <c r="AE66" s="318" t="s">
        <v>504</v>
      </c>
      <c r="AF66" s="318" t="s">
        <v>505</v>
      </c>
      <c r="AG66" s="318" t="s">
        <v>506</v>
      </c>
      <c r="AH66" s="318" t="s">
        <v>499</v>
      </c>
      <c r="AI66" s="590"/>
      <c r="AJ66" s="318" t="s">
        <v>504</v>
      </c>
      <c r="AK66" s="318" t="s">
        <v>505</v>
      </c>
      <c r="AL66" s="318" t="s">
        <v>506</v>
      </c>
      <c r="AM66" s="318" t="s">
        <v>499</v>
      </c>
      <c r="AN66" s="590"/>
      <c r="AO66" s="318" t="s">
        <v>504</v>
      </c>
      <c r="AP66" s="318" t="s">
        <v>505</v>
      </c>
      <c r="AQ66" s="318" t="s">
        <v>506</v>
      </c>
      <c r="AR66" s="318" t="s">
        <v>499</v>
      </c>
      <c r="AS66" s="590"/>
      <c r="AT66" s="318" t="s">
        <v>504</v>
      </c>
      <c r="AU66" s="318" t="s">
        <v>505</v>
      </c>
      <c r="AV66" s="318" t="s">
        <v>506</v>
      </c>
      <c r="AW66" s="318" t="s">
        <v>499</v>
      </c>
      <c r="AX66" s="590"/>
    </row>
    <row r="67" spans="2:50">
      <c r="B67" s="590" t="s">
        <v>521</v>
      </c>
      <c r="C67" s="319">
        <v>1</v>
      </c>
      <c r="D67" s="231" t="s">
        <v>408</v>
      </c>
      <c r="E67" s="187">
        <v>21</v>
      </c>
      <c r="F67" s="319">
        <v>2400</v>
      </c>
      <c r="G67" s="322">
        <v>114.28571428571429</v>
      </c>
      <c r="H67" s="632">
        <f>AVERAGE(G67:G81)</f>
        <v>148.60066833751046</v>
      </c>
      <c r="I67" s="204">
        <f t="shared" ref="I67:K70" si="27">AVERAGE(P67,U67,Z67,AE67,AJ67,AO67,AT67)</f>
        <v>20.142857142857142</v>
      </c>
      <c r="J67" s="204">
        <f t="shared" si="27"/>
        <v>2190.2190447654953</v>
      </c>
      <c r="K67" s="205">
        <f t="shared" si="27"/>
        <v>108.79285700017954</v>
      </c>
      <c r="L67" s="571">
        <f>IFERROR(AVERAGE(K67:K81),"-")</f>
        <v>123.28460737001602</v>
      </c>
      <c r="M67" s="206">
        <f>RANK(K67, K$67:$K$81)</f>
        <v>4</v>
      </c>
      <c r="N67" s="590"/>
      <c r="O67" s="590"/>
      <c r="P67" s="187">
        <v>20</v>
      </c>
      <c r="Q67" s="187">
        <v>2217.1764705882347</v>
      </c>
      <c r="R67" s="187">
        <v>110.85882352941174</v>
      </c>
      <c r="S67" s="351">
        <f>RANK(R67, R$67:R$81)</f>
        <v>4</v>
      </c>
      <c r="T67" s="632">
        <f>AVERAGE(R67:R81)</f>
        <v>123.95341094507117</v>
      </c>
      <c r="U67" s="187">
        <v>20</v>
      </c>
      <c r="V67" s="379">
        <v>2232.0000000000009</v>
      </c>
      <c r="W67" s="379">
        <v>111.60000000000005</v>
      </c>
      <c r="X67" s="351">
        <f>RANK(W67, W$67:W$81)</f>
        <v>4</v>
      </c>
      <c r="Y67" s="632">
        <f>AVERAGE(W67:W81)</f>
        <v>124.31038544898036</v>
      </c>
      <c r="Z67" s="187">
        <v>20</v>
      </c>
      <c r="AA67" s="379">
        <v>2228.2191780821922</v>
      </c>
      <c r="AB67" s="379">
        <v>111.41095890410961</v>
      </c>
      <c r="AC67" s="351">
        <f>RANK(AB67, AB$67:AB$81)</f>
        <v>4</v>
      </c>
      <c r="AD67" s="632">
        <f>AVERAGE(AB67:AB81)</f>
        <v>122.92823848517257</v>
      </c>
      <c r="AE67" s="187">
        <v>20</v>
      </c>
      <c r="AF67" s="379">
        <v>2194.5205479452056</v>
      </c>
      <c r="AG67" s="379">
        <v>109.72602739726028</v>
      </c>
      <c r="AH67" s="351">
        <f>RANK(AG67, AG$67:AG$81)</f>
        <v>4</v>
      </c>
      <c r="AI67" s="632">
        <f>AVERAGE(AG67:AG81)</f>
        <v>123.82420223098487</v>
      </c>
      <c r="AJ67" s="187">
        <v>21</v>
      </c>
      <c r="AK67" s="379">
        <v>2111.2000000000007</v>
      </c>
      <c r="AL67" s="379">
        <v>100.53333333333337</v>
      </c>
      <c r="AM67" s="351">
        <f>RANK(AL67, AL$67:AL$81)</f>
        <v>4</v>
      </c>
      <c r="AN67" s="632">
        <f>AVERAGE(AL67:AL81)</f>
        <v>121.52498862245127</v>
      </c>
      <c r="AO67" s="187">
        <v>20</v>
      </c>
      <c r="AP67" s="379">
        <v>2170.3448275862065</v>
      </c>
      <c r="AQ67" s="379">
        <v>108.51724137931032</v>
      </c>
      <c r="AR67" s="351">
        <f>RANK(AQ67, AQ$67:AQ$81)</f>
        <v>4</v>
      </c>
      <c r="AS67" s="632">
        <f>AVERAGE(AQ67:AQ81)</f>
        <v>122.39191422294388</v>
      </c>
      <c r="AT67" s="187">
        <v>20</v>
      </c>
      <c r="AU67" s="379">
        <v>2178.0722891566256</v>
      </c>
      <c r="AV67" s="379">
        <v>108.90361445783128</v>
      </c>
      <c r="AW67" s="351">
        <f>RANK(AV67, AV$67:AV$81)</f>
        <v>4</v>
      </c>
      <c r="AX67" s="629">
        <f>AVERAGE(AV67:AV81)</f>
        <v>124.05911163450797</v>
      </c>
    </row>
    <row r="68" spans="2:50">
      <c r="B68" s="598"/>
      <c r="C68" s="319">
        <v>2</v>
      </c>
      <c r="D68" s="231" t="s">
        <v>409</v>
      </c>
      <c r="E68" s="187">
        <v>18</v>
      </c>
      <c r="F68" s="319">
        <v>2800</v>
      </c>
      <c r="G68" s="322">
        <v>155.55555555555554</v>
      </c>
      <c r="H68" s="633"/>
      <c r="I68" s="204">
        <f t="shared" si="27"/>
        <v>19</v>
      </c>
      <c r="J68" s="204">
        <f t="shared" si="27"/>
        <v>2383.0569148161871</v>
      </c>
      <c r="K68" s="205">
        <f t="shared" si="27"/>
        <v>125.42404814822035</v>
      </c>
      <c r="L68" s="572"/>
      <c r="M68" s="206">
        <f>RANK(K68, K$67:$K$81)</f>
        <v>3</v>
      </c>
      <c r="N68" s="590"/>
      <c r="O68" s="590"/>
      <c r="P68" s="187">
        <v>19</v>
      </c>
      <c r="Q68" s="187">
        <v>2389.0909090909117</v>
      </c>
      <c r="R68" s="187">
        <v>125.74162679425851</v>
      </c>
      <c r="S68" s="351">
        <f t="shared" ref="S68:S81" si="28">RANK(R68, R$67:R$81)</f>
        <v>3</v>
      </c>
      <c r="T68" s="633"/>
      <c r="U68" s="378">
        <v>19</v>
      </c>
      <c r="V68" s="379">
        <v>2405.8064516129057</v>
      </c>
      <c r="W68" s="379">
        <v>126.62139219015293</v>
      </c>
      <c r="X68" s="351">
        <f t="shared" ref="X68:X81" si="29">RANK(W68, W$67:W$81)</f>
        <v>3</v>
      </c>
      <c r="Y68" s="633"/>
      <c r="Z68" s="378">
        <v>19</v>
      </c>
      <c r="AA68" s="379">
        <v>2338.6956521739094</v>
      </c>
      <c r="AB68" s="379">
        <v>123.08924485125839</v>
      </c>
      <c r="AC68" s="351">
        <f t="shared" ref="AC68:AC81" si="30">RANK(AB68, AB$67:AB$81)</f>
        <v>3</v>
      </c>
      <c r="AD68" s="633"/>
      <c r="AE68" s="378">
        <v>19</v>
      </c>
      <c r="AF68" s="379">
        <v>2369.4339622641519</v>
      </c>
      <c r="AG68" s="379">
        <v>124.70705064548167</v>
      </c>
      <c r="AH68" s="351">
        <f t="shared" ref="AH68:AH81" si="31">RANK(AG68, AG$67:AG$81)</f>
        <v>3</v>
      </c>
      <c r="AI68" s="633"/>
      <c r="AJ68" s="378">
        <v>19</v>
      </c>
      <c r="AK68" s="379">
        <v>2393.5714285714303</v>
      </c>
      <c r="AL68" s="379">
        <v>125.97744360902264</v>
      </c>
      <c r="AM68" s="351">
        <f t="shared" ref="AM68:AM81" si="32">RANK(AL68, AL$67:AL$81)</f>
        <v>3</v>
      </c>
      <c r="AN68" s="633"/>
      <c r="AO68" s="378">
        <v>19</v>
      </c>
      <c r="AP68" s="379">
        <v>2371.9999999999991</v>
      </c>
      <c r="AQ68" s="379">
        <v>124.84210526315785</v>
      </c>
      <c r="AR68" s="351">
        <f t="shared" ref="AR68:AR81" si="33">RANK(AQ68, AQ$67:AQ$81)</f>
        <v>3</v>
      </c>
      <c r="AS68" s="633"/>
      <c r="AT68" s="378">
        <v>19</v>
      </c>
      <c r="AU68" s="379">
        <v>2412.8000000000002</v>
      </c>
      <c r="AV68" s="379">
        <v>126.98947368421054</v>
      </c>
      <c r="AW68" s="351">
        <f t="shared" ref="AW68:AW81" si="34">RANK(AV68, AV$67:AV$81)</f>
        <v>3</v>
      </c>
      <c r="AX68" s="629"/>
    </row>
    <row r="69" spans="2:50">
      <c r="B69" s="598"/>
      <c r="C69" s="319">
        <v>3</v>
      </c>
      <c r="D69" s="231" t="s">
        <v>410</v>
      </c>
      <c r="E69" s="187">
        <v>18</v>
      </c>
      <c r="F69" s="319">
        <v>3000</v>
      </c>
      <c r="G69" s="322">
        <v>166.66666666666666</v>
      </c>
      <c r="H69" s="633"/>
      <c r="I69" s="204">
        <f t="shared" si="27"/>
        <v>19</v>
      </c>
      <c r="J69" s="204">
        <f t="shared" si="27"/>
        <v>2466.2634940186122</v>
      </c>
      <c r="K69" s="205">
        <f t="shared" si="27"/>
        <v>129.80334179045329</v>
      </c>
      <c r="L69" s="572"/>
      <c r="M69" s="206">
        <f>RANK(K69, K$67:$K$81)</f>
        <v>1</v>
      </c>
      <c r="N69" s="590"/>
      <c r="O69" s="590"/>
      <c r="P69" s="187">
        <v>19</v>
      </c>
      <c r="Q69" s="187">
        <v>2495.6756756756736</v>
      </c>
      <c r="R69" s="187">
        <v>131.35135135135124</v>
      </c>
      <c r="S69" s="351">
        <f t="shared" si="28"/>
        <v>1</v>
      </c>
      <c r="T69" s="633"/>
      <c r="U69" s="378">
        <v>19</v>
      </c>
      <c r="V69" s="379">
        <v>2477.7464788732373</v>
      </c>
      <c r="W69" s="379">
        <v>130.40770941438092</v>
      </c>
      <c r="X69" s="351">
        <f t="shared" si="29"/>
        <v>1</v>
      </c>
      <c r="Y69" s="633"/>
      <c r="Z69" s="378">
        <v>19</v>
      </c>
      <c r="AA69" s="379">
        <v>2427.0422535211242</v>
      </c>
      <c r="AB69" s="379">
        <v>127.73906597479601</v>
      </c>
      <c r="AC69" s="351">
        <f t="shared" si="30"/>
        <v>2</v>
      </c>
      <c r="AD69" s="633"/>
      <c r="AE69" s="378">
        <v>19</v>
      </c>
      <c r="AF69" s="379">
        <v>2511.9402985074594</v>
      </c>
      <c r="AG69" s="379">
        <v>132.20738413197154</v>
      </c>
      <c r="AH69" s="351">
        <f t="shared" si="31"/>
        <v>1</v>
      </c>
      <c r="AI69" s="633"/>
      <c r="AJ69" s="378">
        <v>19</v>
      </c>
      <c r="AK69" s="379">
        <v>2434.7826086956497</v>
      </c>
      <c r="AL69" s="379">
        <v>128.14645308924472</v>
      </c>
      <c r="AM69" s="351">
        <f t="shared" si="32"/>
        <v>2</v>
      </c>
      <c r="AN69" s="633"/>
      <c r="AO69" s="378">
        <v>19</v>
      </c>
      <c r="AP69" s="379">
        <v>2428.7999999999979</v>
      </c>
      <c r="AQ69" s="379">
        <v>127.83157894736831</v>
      </c>
      <c r="AR69" s="351">
        <f t="shared" si="33"/>
        <v>2</v>
      </c>
      <c r="AS69" s="633"/>
      <c r="AT69" s="378">
        <v>19</v>
      </c>
      <c r="AU69" s="379">
        <v>2487.8571428571445</v>
      </c>
      <c r="AV69" s="379">
        <v>130.93984962406023</v>
      </c>
      <c r="AW69" s="351">
        <f t="shared" si="34"/>
        <v>1</v>
      </c>
      <c r="AX69" s="629"/>
    </row>
    <row r="70" spans="2:50">
      <c r="B70" s="598"/>
      <c r="C70" s="319">
        <v>4</v>
      </c>
      <c r="D70" s="231" t="s">
        <v>411</v>
      </c>
      <c r="E70" s="187">
        <v>19</v>
      </c>
      <c r="F70" s="319">
        <v>3000</v>
      </c>
      <c r="G70" s="322">
        <v>157.89473684210526</v>
      </c>
      <c r="H70" s="633"/>
      <c r="I70" s="204">
        <f t="shared" si="27"/>
        <v>19</v>
      </c>
      <c r="J70" s="204">
        <f t="shared" si="27"/>
        <v>2453.2454682830066</v>
      </c>
      <c r="K70" s="205">
        <f t="shared" si="27"/>
        <v>129.1181825412109</v>
      </c>
      <c r="L70" s="572"/>
      <c r="M70" s="206">
        <f>RANK(K70, K$67:$K$81)</f>
        <v>2</v>
      </c>
      <c r="N70" s="590"/>
      <c r="O70" s="590"/>
      <c r="P70" s="187">
        <v>19</v>
      </c>
      <c r="Q70" s="187">
        <v>2429.3750000000005</v>
      </c>
      <c r="R70" s="187">
        <v>127.86184210526318</v>
      </c>
      <c r="S70" s="351">
        <f t="shared" si="28"/>
        <v>2</v>
      </c>
      <c r="T70" s="633"/>
      <c r="U70" s="378">
        <v>19</v>
      </c>
      <c r="V70" s="379">
        <v>2443.6363636363635</v>
      </c>
      <c r="W70" s="379">
        <v>128.61244019138755</v>
      </c>
      <c r="X70" s="351">
        <f t="shared" si="29"/>
        <v>2</v>
      </c>
      <c r="Y70" s="633"/>
      <c r="Z70" s="378">
        <v>19</v>
      </c>
      <c r="AA70" s="379">
        <v>2459.9999999999995</v>
      </c>
      <c r="AB70" s="379">
        <v>129.4736842105263</v>
      </c>
      <c r="AC70" s="351">
        <f t="shared" si="30"/>
        <v>1</v>
      </c>
      <c r="AD70" s="633"/>
      <c r="AE70" s="378">
        <v>19</v>
      </c>
      <c r="AF70" s="379">
        <v>2444.4705882352937</v>
      </c>
      <c r="AG70" s="379">
        <v>128.65634674922597</v>
      </c>
      <c r="AH70" s="351">
        <f t="shared" si="31"/>
        <v>2</v>
      </c>
      <c r="AI70" s="633"/>
      <c r="AJ70" s="378">
        <v>19</v>
      </c>
      <c r="AK70" s="379">
        <v>2497.411764705882</v>
      </c>
      <c r="AL70" s="379">
        <v>131.44272445820431</v>
      </c>
      <c r="AM70" s="351">
        <f t="shared" si="32"/>
        <v>1</v>
      </c>
      <c r="AN70" s="633"/>
      <c r="AO70" s="378">
        <v>19</v>
      </c>
      <c r="AP70" s="379">
        <v>2439.1578947368421</v>
      </c>
      <c r="AQ70" s="379">
        <v>128.37673130193906</v>
      </c>
      <c r="AR70" s="351">
        <f t="shared" si="33"/>
        <v>1</v>
      </c>
      <c r="AS70" s="633"/>
      <c r="AT70" s="378">
        <v>19</v>
      </c>
      <c r="AU70" s="379">
        <v>2458.6666666666665</v>
      </c>
      <c r="AV70" s="379">
        <v>129.40350877192981</v>
      </c>
      <c r="AW70" s="351">
        <f t="shared" si="34"/>
        <v>2</v>
      </c>
      <c r="AX70" s="629"/>
    </row>
    <row r="71" spans="2:50">
      <c r="B71" s="598"/>
      <c r="C71" s="319">
        <v>5</v>
      </c>
      <c r="D71" s="231"/>
      <c r="E71" s="187"/>
      <c r="F71" s="319"/>
      <c r="G71" s="322"/>
      <c r="H71" s="633"/>
      <c r="I71" s="204"/>
      <c r="J71" s="204"/>
      <c r="K71" s="205"/>
      <c r="L71" s="572"/>
      <c r="M71" s="206" t="e">
        <f>RANK(K71, K$67:$K$81)</f>
        <v>#N/A</v>
      </c>
      <c r="N71" s="590"/>
      <c r="O71" s="590"/>
      <c r="P71" s="378"/>
      <c r="Q71" s="379"/>
      <c r="R71" s="379"/>
      <c r="S71" s="351" t="e">
        <f t="shared" si="28"/>
        <v>#N/A</v>
      </c>
      <c r="T71" s="633"/>
      <c r="U71" s="378"/>
      <c r="V71" s="379"/>
      <c r="W71" s="379"/>
      <c r="X71" s="351" t="e">
        <f t="shared" si="29"/>
        <v>#N/A</v>
      </c>
      <c r="Y71" s="633"/>
      <c r="Z71" s="378"/>
      <c r="AA71" s="379"/>
      <c r="AB71" s="379"/>
      <c r="AC71" s="351" t="e">
        <f t="shared" si="30"/>
        <v>#N/A</v>
      </c>
      <c r="AD71" s="633"/>
      <c r="AE71" s="378"/>
      <c r="AF71" s="379"/>
      <c r="AG71" s="379"/>
      <c r="AH71" s="351" t="e">
        <f t="shared" si="31"/>
        <v>#N/A</v>
      </c>
      <c r="AI71" s="633"/>
      <c r="AJ71" s="378"/>
      <c r="AK71" s="379"/>
      <c r="AL71" s="379"/>
      <c r="AM71" s="351" t="e">
        <f t="shared" si="32"/>
        <v>#N/A</v>
      </c>
      <c r="AN71" s="633"/>
      <c r="AO71" s="378"/>
      <c r="AP71" s="379"/>
      <c r="AQ71" s="379"/>
      <c r="AR71" s="351" t="e">
        <f t="shared" si="33"/>
        <v>#N/A</v>
      </c>
      <c r="AS71" s="633"/>
      <c r="AT71" s="378"/>
      <c r="AU71" s="379"/>
      <c r="AV71" s="379"/>
      <c r="AW71" s="351" t="e">
        <f t="shared" si="34"/>
        <v>#N/A</v>
      </c>
      <c r="AX71" s="629"/>
    </row>
    <row r="72" spans="2:50">
      <c r="B72" s="598"/>
      <c r="C72" s="319">
        <v>6</v>
      </c>
      <c r="D72" s="231"/>
      <c r="E72" s="187"/>
      <c r="F72" s="319"/>
      <c r="G72" s="322"/>
      <c r="H72" s="633"/>
      <c r="I72" s="204"/>
      <c r="J72" s="204"/>
      <c r="K72" s="205"/>
      <c r="L72" s="572"/>
      <c r="M72" s="206" t="e">
        <f>RANK(K72, K$67:$K$81)</f>
        <v>#N/A</v>
      </c>
      <c r="N72" s="590"/>
      <c r="O72" s="590"/>
      <c r="P72" s="378"/>
      <c r="Q72" s="379"/>
      <c r="R72" s="379"/>
      <c r="S72" s="351" t="e">
        <f t="shared" si="28"/>
        <v>#N/A</v>
      </c>
      <c r="T72" s="633"/>
      <c r="U72" s="378"/>
      <c r="V72" s="379"/>
      <c r="W72" s="379"/>
      <c r="X72" s="351" t="e">
        <f t="shared" si="29"/>
        <v>#N/A</v>
      </c>
      <c r="Y72" s="633"/>
      <c r="Z72" s="378"/>
      <c r="AA72" s="379"/>
      <c r="AB72" s="379"/>
      <c r="AC72" s="351" t="e">
        <f t="shared" si="30"/>
        <v>#N/A</v>
      </c>
      <c r="AD72" s="633"/>
      <c r="AE72" s="378"/>
      <c r="AF72" s="379"/>
      <c r="AG72" s="379"/>
      <c r="AH72" s="351" t="e">
        <f t="shared" si="31"/>
        <v>#N/A</v>
      </c>
      <c r="AI72" s="633"/>
      <c r="AJ72" s="378"/>
      <c r="AK72" s="379"/>
      <c r="AL72" s="379"/>
      <c r="AM72" s="351" t="e">
        <f t="shared" si="32"/>
        <v>#N/A</v>
      </c>
      <c r="AN72" s="633"/>
      <c r="AO72" s="378"/>
      <c r="AP72" s="379"/>
      <c r="AQ72" s="379"/>
      <c r="AR72" s="351" t="e">
        <f t="shared" si="33"/>
        <v>#N/A</v>
      </c>
      <c r="AS72" s="633"/>
      <c r="AT72" s="378"/>
      <c r="AU72" s="379"/>
      <c r="AV72" s="379"/>
      <c r="AW72" s="351" t="e">
        <f t="shared" si="34"/>
        <v>#N/A</v>
      </c>
      <c r="AX72" s="629"/>
    </row>
    <row r="73" spans="2:50">
      <c r="B73" s="598"/>
      <c r="C73" s="319">
        <v>7</v>
      </c>
      <c r="D73" s="231"/>
      <c r="E73" s="187"/>
      <c r="F73" s="319"/>
      <c r="G73" s="322"/>
      <c r="H73" s="633"/>
      <c r="I73" s="204"/>
      <c r="J73" s="204"/>
      <c r="K73" s="205"/>
      <c r="L73" s="572"/>
      <c r="M73" s="206" t="e">
        <f>RANK(K73, K$67:$K$81)</f>
        <v>#N/A</v>
      </c>
      <c r="N73" s="590"/>
      <c r="O73" s="590"/>
      <c r="P73" s="378"/>
      <c r="Q73" s="379"/>
      <c r="R73" s="379"/>
      <c r="S73" s="351" t="e">
        <f t="shared" si="28"/>
        <v>#N/A</v>
      </c>
      <c r="T73" s="633"/>
      <c r="U73" s="378"/>
      <c r="V73" s="379"/>
      <c r="W73" s="379"/>
      <c r="X73" s="351" t="e">
        <f t="shared" si="29"/>
        <v>#N/A</v>
      </c>
      <c r="Y73" s="633"/>
      <c r="Z73" s="378"/>
      <c r="AA73" s="379"/>
      <c r="AB73" s="379"/>
      <c r="AC73" s="351" t="e">
        <f t="shared" si="30"/>
        <v>#N/A</v>
      </c>
      <c r="AD73" s="633"/>
      <c r="AE73" s="378"/>
      <c r="AF73" s="379"/>
      <c r="AG73" s="379"/>
      <c r="AH73" s="351" t="e">
        <f t="shared" si="31"/>
        <v>#N/A</v>
      </c>
      <c r="AI73" s="633"/>
      <c r="AJ73" s="378"/>
      <c r="AK73" s="379"/>
      <c r="AL73" s="379"/>
      <c r="AM73" s="351" t="e">
        <f t="shared" si="32"/>
        <v>#N/A</v>
      </c>
      <c r="AN73" s="633"/>
      <c r="AO73" s="378"/>
      <c r="AP73" s="379"/>
      <c r="AQ73" s="379"/>
      <c r="AR73" s="351" t="e">
        <f t="shared" si="33"/>
        <v>#N/A</v>
      </c>
      <c r="AS73" s="633"/>
      <c r="AT73" s="378"/>
      <c r="AU73" s="379"/>
      <c r="AV73" s="379"/>
      <c r="AW73" s="351" t="e">
        <f t="shared" si="34"/>
        <v>#N/A</v>
      </c>
      <c r="AX73" s="629"/>
    </row>
    <row r="74" spans="2:50">
      <c r="B74" s="598"/>
      <c r="C74" s="319">
        <v>8</v>
      </c>
      <c r="D74" s="231"/>
      <c r="E74" s="187"/>
      <c r="F74" s="319"/>
      <c r="G74" s="322"/>
      <c r="H74" s="633"/>
      <c r="I74" s="204"/>
      <c r="J74" s="204"/>
      <c r="K74" s="205"/>
      <c r="L74" s="572"/>
      <c r="M74" s="206" t="e">
        <f>RANK(K74, K$67:$K$81)</f>
        <v>#N/A</v>
      </c>
      <c r="N74" s="590"/>
      <c r="O74" s="590"/>
      <c r="P74" s="378"/>
      <c r="Q74" s="379"/>
      <c r="R74" s="379"/>
      <c r="S74" s="351" t="e">
        <f t="shared" si="28"/>
        <v>#N/A</v>
      </c>
      <c r="T74" s="633"/>
      <c r="U74" s="378"/>
      <c r="V74" s="379"/>
      <c r="W74" s="379"/>
      <c r="X74" s="351" t="e">
        <f t="shared" si="29"/>
        <v>#N/A</v>
      </c>
      <c r="Y74" s="633"/>
      <c r="Z74" s="378"/>
      <c r="AA74" s="379"/>
      <c r="AB74" s="379"/>
      <c r="AC74" s="351" t="e">
        <f t="shared" si="30"/>
        <v>#N/A</v>
      </c>
      <c r="AD74" s="633"/>
      <c r="AE74" s="378"/>
      <c r="AF74" s="379"/>
      <c r="AG74" s="379"/>
      <c r="AH74" s="351" t="e">
        <f t="shared" si="31"/>
        <v>#N/A</v>
      </c>
      <c r="AI74" s="633"/>
      <c r="AJ74" s="378"/>
      <c r="AK74" s="379"/>
      <c r="AL74" s="379"/>
      <c r="AM74" s="351" t="e">
        <f t="shared" si="32"/>
        <v>#N/A</v>
      </c>
      <c r="AN74" s="633"/>
      <c r="AO74" s="378"/>
      <c r="AP74" s="379"/>
      <c r="AQ74" s="379"/>
      <c r="AR74" s="351" t="e">
        <f t="shared" si="33"/>
        <v>#N/A</v>
      </c>
      <c r="AS74" s="633"/>
      <c r="AT74" s="378"/>
      <c r="AU74" s="379"/>
      <c r="AV74" s="379"/>
      <c r="AW74" s="351" t="e">
        <f t="shared" si="34"/>
        <v>#N/A</v>
      </c>
      <c r="AX74" s="629"/>
    </row>
    <row r="75" spans="2:50">
      <c r="B75" s="598"/>
      <c r="C75" s="319">
        <v>9</v>
      </c>
      <c r="D75" s="231"/>
      <c r="E75" s="187"/>
      <c r="F75" s="319"/>
      <c r="G75" s="322"/>
      <c r="H75" s="633"/>
      <c r="I75" s="204"/>
      <c r="J75" s="204"/>
      <c r="K75" s="205"/>
      <c r="L75" s="572"/>
      <c r="M75" s="206" t="e">
        <f>RANK(K75, K$67:$K$81)</f>
        <v>#N/A</v>
      </c>
      <c r="N75" s="590"/>
      <c r="O75" s="590"/>
      <c r="P75" s="378"/>
      <c r="Q75" s="379"/>
      <c r="R75" s="379"/>
      <c r="S75" s="351" t="e">
        <f t="shared" si="28"/>
        <v>#N/A</v>
      </c>
      <c r="T75" s="633"/>
      <c r="U75" s="378"/>
      <c r="V75" s="379"/>
      <c r="W75" s="379"/>
      <c r="X75" s="351" t="e">
        <f t="shared" si="29"/>
        <v>#N/A</v>
      </c>
      <c r="Y75" s="633"/>
      <c r="Z75" s="378"/>
      <c r="AA75" s="379"/>
      <c r="AB75" s="379"/>
      <c r="AC75" s="351" t="e">
        <f t="shared" si="30"/>
        <v>#N/A</v>
      </c>
      <c r="AD75" s="633"/>
      <c r="AE75" s="378"/>
      <c r="AF75" s="379"/>
      <c r="AG75" s="379"/>
      <c r="AH75" s="351" t="e">
        <f t="shared" si="31"/>
        <v>#N/A</v>
      </c>
      <c r="AI75" s="633"/>
      <c r="AJ75" s="378"/>
      <c r="AK75" s="379"/>
      <c r="AL75" s="379"/>
      <c r="AM75" s="351" t="e">
        <f t="shared" si="32"/>
        <v>#N/A</v>
      </c>
      <c r="AN75" s="633"/>
      <c r="AO75" s="378"/>
      <c r="AP75" s="379"/>
      <c r="AQ75" s="379"/>
      <c r="AR75" s="351" t="e">
        <f t="shared" si="33"/>
        <v>#N/A</v>
      </c>
      <c r="AS75" s="633"/>
      <c r="AT75" s="378"/>
      <c r="AU75" s="379"/>
      <c r="AV75" s="379"/>
      <c r="AW75" s="351" t="e">
        <f t="shared" si="34"/>
        <v>#N/A</v>
      </c>
      <c r="AX75" s="629"/>
    </row>
    <row r="76" spans="2:50">
      <c r="B76" s="598"/>
      <c r="C76" s="319">
        <v>10</v>
      </c>
      <c r="D76" s="231"/>
      <c r="E76" s="187"/>
      <c r="F76" s="319"/>
      <c r="G76" s="322"/>
      <c r="H76" s="633"/>
      <c r="I76" s="204"/>
      <c r="J76" s="204"/>
      <c r="K76" s="205"/>
      <c r="L76" s="572"/>
      <c r="M76" s="206" t="e">
        <f>RANK(K76, K$67:$K$81)</f>
        <v>#N/A</v>
      </c>
      <c r="N76" s="590"/>
      <c r="O76" s="590"/>
      <c r="P76" s="378"/>
      <c r="Q76" s="378"/>
      <c r="R76" s="379"/>
      <c r="S76" s="351" t="e">
        <f t="shared" si="28"/>
        <v>#N/A</v>
      </c>
      <c r="T76" s="633"/>
      <c r="U76" s="378"/>
      <c r="V76" s="378"/>
      <c r="W76" s="379"/>
      <c r="X76" s="351" t="e">
        <f t="shared" si="29"/>
        <v>#N/A</v>
      </c>
      <c r="Y76" s="633"/>
      <c r="Z76" s="378"/>
      <c r="AA76" s="378"/>
      <c r="AB76" s="379"/>
      <c r="AC76" s="351" t="e">
        <f t="shared" si="30"/>
        <v>#N/A</v>
      </c>
      <c r="AD76" s="633"/>
      <c r="AE76" s="378"/>
      <c r="AF76" s="378"/>
      <c r="AG76" s="379"/>
      <c r="AH76" s="351" t="e">
        <f t="shared" si="31"/>
        <v>#N/A</v>
      </c>
      <c r="AI76" s="633"/>
      <c r="AJ76" s="378"/>
      <c r="AK76" s="378"/>
      <c r="AL76" s="379"/>
      <c r="AM76" s="351" t="e">
        <f t="shared" si="32"/>
        <v>#N/A</v>
      </c>
      <c r="AN76" s="633"/>
      <c r="AO76" s="378"/>
      <c r="AP76" s="378"/>
      <c r="AQ76" s="379"/>
      <c r="AR76" s="351" t="e">
        <f t="shared" si="33"/>
        <v>#N/A</v>
      </c>
      <c r="AS76" s="633"/>
      <c r="AT76" s="378"/>
      <c r="AU76" s="378"/>
      <c r="AV76" s="379"/>
      <c r="AW76" s="351" t="e">
        <f t="shared" si="34"/>
        <v>#N/A</v>
      </c>
      <c r="AX76" s="629"/>
    </row>
    <row r="77" spans="2:50">
      <c r="B77" s="598"/>
      <c r="C77" s="319">
        <v>11</v>
      </c>
      <c r="D77" s="231"/>
      <c r="E77" s="187"/>
      <c r="F77" s="319"/>
      <c r="G77" s="322"/>
      <c r="H77" s="633"/>
      <c r="I77" s="207"/>
      <c r="J77" s="207"/>
      <c r="K77" s="207"/>
      <c r="L77" s="572"/>
      <c r="M77" s="206" t="e">
        <f>RANK(K77, K$67:$K$81)</f>
        <v>#N/A</v>
      </c>
      <c r="N77" s="590"/>
      <c r="O77" s="590"/>
      <c r="P77" s="378"/>
      <c r="Q77" s="378"/>
      <c r="R77" s="378"/>
      <c r="S77" s="351" t="e">
        <f t="shared" si="28"/>
        <v>#N/A</v>
      </c>
      <c r="T77" s="633"/>
      <c r="U77" s="378"/>
      <c r="V77" s="378"/>
      <c r="W77" s="378"/>
      <c r="X77" s="351" t="e">
        <f t="shared" si="29"/>
        <v>#N/A</v>
      </c>
      <c r="Y77" s="633"/>
      <c r="Z77" s="378"/>
      <c r="AA77" s="378"/>
      <c r="AB77" s="378"/>
      <c r="AC77" s="351" t="e">
        <f t="shared" si="30"/>
        <v>#N/A</v>
      </c>
      <c r="AD77" s="633"/>
      <c r="AE77" s="378"/>
      <c r="AF77" s="378"/>
      <c r="AG77" s="378"/>
      <c r="AH77" s="351" t="e">
        <f t="shared" si="31"/>
        <v>#N/A</v>
      </c>
      <c r="AI77" s="633"/>
      <c r="AJ77" s="378"/>
      <c r="AK77" s="378"/>
      <c r="AL77" s="378"/>
      <c r="AM77" s="351" t="e">
        <f t="shared" si="32"/>
        <v>#N/A</v>
      </c>
      <c r="AN77" s="633"/>
      <c r="AO77" s="378"/>
      <c r="AP77" s="378"/>
      <c r="AQ77" s="378"/>
      <c r="AR77" s="351" t="e">
        <f t="shared" si="33"/>
        <v>#N/A</v>
      </c>
      <c r="AS77" s="633"/>
      <c r="AT77" s="378"/>
      <c r="AU77" s="378"/>
      <c r="AV77" s="378"/>
      <c r="AW77" s="351" t="e">
        <f t="shared" si="34"/>
        <v>#N/A</v>
      </c>
      <c r="AX77" s="629"/>
    </row>
    <row r="78" spans="2:50">
      <c r="B78" s="598"/>
      <c r="C78" s="319">
        <v>12</v>
      </c>
      <c r="D78" s="231"/>
      <c r="E78" s="187"/>
      <c r="F78" s="319"/>
      <c r="G78" s="322"/>
      <c r="H78" s="633"/>
      <c r="I78" s="207"/>
      <c r="J78" s="207"/>
      <c r="K78" s="207"/>
      <c r="L78" s="572"/>
      <c r="M78" s="206" t="e">
        <f>RANK(K78, K$67:$K$81)</f>
        <v>#N/A</v>
      </c>
      <c r="N78" s="590"/>
      <c r="O78" s="590"/>
      <c r="P78" s="378"/>
      <c r="Q78" s="378"/>
      <c r="R78" s="378"/>
      <c r="S78" s="351" t="e">
        <f t="shared" si="28"/>
        <v>#N/A</v>
      </c>
      <c r="T78" s="633"/>
      <c r="U78" s="378"/>
      <c r="V78" s="378"/>
      <c r="W78" s="378"/>
      <c r="X78" s="351" t="e">
        <f t="shared" si="29"/>
        <v>#N/A</v>
      </c>
      <c r="Y78" s="633"/>
      <c r="Z78" s="378"/>
      <c r="AA78" s="378"/>
      <c r="AB78" s="378"/>
      <c r="AC78" s="351" t="e">
        <f t="shared" si="30"/>
        <v>#N/A</v>
      </c>
      <c r="AD78" s="633"/>
      <c r="AE78" s="378"/>
      <c r="AF78" s="378"/>
      <c r="AG78" s="378"/>
      <c r="AH78" s="351" t="e">
        <f t="shared" si="31"/>
        <v>#N/A</v>
      </c>
      <c r="AI78" s="633"/>
      <c r="AJ78" s="378"/>
      <c r="AK78" s="378"/>
      <c r="AL78" s="378"/>
      <c r="AM78" s="351" t="e">
        <f t="shared" si="32"/>
        <v>#N/A</v>
      </c>
      <c r="AN78" s="633"/>
      <c r="AO78" s="378"/>
      <c r="AP78" s="378"/>
      <c r="AQ78" s="378"/>
      <c r="AR78" s="351" t="e">
        <f t="shared" si="33"/>
        <v>#N/A</v>
      </c>
      <c r="AS78" s="633"/>
      <c r="AT78" s="378"/>
      <c r="AU78" s="378"/>
      <c r="AV78" s="378"/>
      <c r="AW78" s="351" t="e">
        <f t="shared" si="34"/>
        <v>#N/A</v>
      </c>
      <c r="AX78" s="629"/>
    </row>
    <row r="79" spans="2:50">
      <c r="B79" s="598"/>
      <c r="C79" s="319">
        <v>13</v>
      </c>
      <c r="D79" s="231"/>
      <c r="E79" s="187"/>
      <c r="F79" s="319"/>
      <c r="G79" s="322"/>
      <c r="H79" s="633"/>
      <c r="I79" s="207"/>
      <c r="J79" s="207"/>
      <c r="K79" s="207"/>
      <c r="L79" s="572"/>
      <c r="M79" s="206" t="e">
        <f>RANK(K79, K$67:$K$81)</f>
        <v>#N/A</v>
      </c>
      <c r="N79" s="590"/>
      <c r="O79" s="590"/>
      <c r="P79" s="378"/>
      <c r="Q79" s="378"/>
      <c r="R79" s="378"/>
      <c r="S79" s="351" t="e">
        <f t="shared" si="28"/>
        <v>#N/A</v>
      </c>
      <c r="T79" s="633"/>
      <c r="U79" s="378"/>
      <c r="V79" s="378"/>
      <c r="W79" s="378"/>
      <c r="X79" s="351" t="e">
        <f t="shared" si="29"/>
        <v>#N/A</v>
      </c>
      <c r="Y79" s="633"/>
      <c r="Z79" s="378"/>
      <c r="AA79" s="378"/>
      <c r="AB79" s="378"/>
      <c r="AC79" s="351" t="e">
        <f t="shared" si="30"/>
        <v>#N/A</v>
      </c>
      <c r="AD79" s="633"/>
      <c r="AE79" s="378"/>
      <c r="AF79" s="378"/>
      <c r="AG79" s="378"/>
      <c r="AH79" s="351" t="e">
        <f t="shared" si="31"/>
        <v>#N/A</v>
      </c>
      <c r="AI79" s="633"/>
      <c r="AJ79" s="378"/>
      <c r="AK79" s="378"/>
      <c r="AL79" s="378"/>
      <c r="AM79" s="351" t="e">
        <f t="shared" si="32"/>
        <v>#N/A</v>
      </c>
      <c r="AN79" s="633"/>
      <c r="AO79" s="378"/>
      <c r="AP79" s="378"/>
      <c r="AQ79" s="378"/>
      <c r="AR79" s="351" t="e">
        <f t="shared" si="33"/>
        <v>#N/A</v>
      </c>
      <c r="AS79" s="633"/>
      <c r="AT79" s="378"/>
      <c r="AU79" s="378"/>
      <c r="AV79" s="378"/>
      <c r="AW79" s="351" t="e">
        <f t="shared" si="34"/>
        <v>#N/A</v>
      </c>
      <c r="AX79" s="629"/>
    </row>
    <row r="80" spans="2:50">
      <c r="B80" s="598"/>
      <c r="C80" s="319">
        <v>14</v>
      </c>
      <c r="D80" s="231"/>
      <c r="E80" s="187"/>
      <c r="F80" s="319"/>
      <c r="G80" s="322"/>
      <c r="H80" s="633"/>
      <c r="I80" s="207"/>
      <c r="J80" s="207"/>
      <c r="K80" s="207"/>
      <c r="L80" s="572"/>
      <c r="M80" s="206" t="e">
        <f>RANK(K80, K$67:$K$81)</f>
        <v>#N/A</v>
      </c>
      <c r="N80" s="590"/>
      <c r="O80" s="590"/>
      <c r="P80" s="378"/>
      <c r="Q80" s="378"/>
      <c r="R80" s="378"/>
      <c r="S80" s="351" t="e">
        <f t="shared" si="28"/>
        <v>#N/A</v>
      </c>
      <c r="T80" s="633"/>
      <c r="U80" s="378"/>
      <c r="V80" s="378"/>
      <c r="W80" s="378"/>
      <c r="X80" s="351" t="e">
        <f t="shared" si="29"/>
        <v>#N/A</v>
      </c>
      <c r="Y80" s="633"/>
      <c r="Z80" s="378"/>
      <c r="AA80" s="378"/>
      <c r="AB80" s="378"/>
      <c r="AC80" s="351" t="e">
        <f t="shared" si="30"/>
        <v>#N/A</v>
      </c>
      <c r="AD80" s="633"/>
      <c r="AE80" s="378"/>
      <c r="AF80" s="378"/>
      <c r="AG80" s="378"/>
      <c r="AH80" s="351" t="e">
        <f t="shared" si="31"/>
        <v>#N/A</v>
      </c>
      <c r="AI80" s="633"/>
      <c r="AJ80" s="378"/>
      <c r="AK80" s="378"/>
      <c r="AL80" s="378"/>
      <c r="AM80" s="351" t="e">
        <f t="shared" si="32"/>
        <v>#N/A</v>
      </c>
      <c r="AN80" s="633"/>
      <c r="AO80" s="378"/>
      <c r="AP80" s="378"/>
      <c r="AQ80" s="378"/>
      <c r="AR80" s="351" t="e">
        <f t="shared" si="33"/>
        <v>#N/A</v>
      </c>
      <c r="AS80" s="633"/>
      <c r="AT80" s="378"/>
      <c r="AU80" s="378"/>
      <c r="AV80" s="378"/>
      <c r="AW80" s="351" t="e">
        <f t="shared" si="34"/>
        <v>#N/A</v>
      </c>
      <c r="AX80" s="629"/>
    </row>
    <row r="81" spans="2:50">
      <c r="B81" s="598"/>
      <c r="C81" s="319">
        <v>15</v>
      </c>
      <c r="D81" s="231"/>
      <c r="E81" s="187"/>
      <c r="F81" s="319"/>
      <c r="G81" s="322"/>
      <c r="H81" s="634"/>
      <c r="I81" s="207"/>
      <c r="J81" s="207"/>
      <c r="K81" s="207"/>
      <c r="L81" s="573"/>
      <c r="M81" s="206" t="e">
        <f>RANK(K81, K$67:$K$81)</f>
        <v>#N/A</v>
      </c>
      <c r="N81" s="590"/>
      <c r="O81" s="590"/>
      <c r="P81" s="378"/>
      <c r="Q81" s="378"/>
      <c r="R81" s="378"/>
      <c r="S81" s="351" t="e">
        <f t="shared" si="28"/>
        <v>#N/A</v>
      </c>
      <c r="T81" s="634"/>
      <c r="U81" s="378"/>
      <c r="V81" s="378"/>
      <c r="W81" s="378"/>
      <c r="X81" s="351" t="e">
        <f t="shared" si="29"/>
        <v>#N/A</v>
      </c>
      <c r="Y81" s="634"/>
      <c r="Z81" s="378"/>
      <c r="AA81" s="378"/>
      <c r="AB81" s="378"/>
      <c r="AC81" s="351" t="e">
        <f t="shared" si="30"/>
        <v>#N/A</v>
      </c>
      <c r="AD81" s="634"/>
      <c r="AE81" s="378"/>
      <c r="AF81" s="378"/>
      <c r="AG81" s="378"/>
      <c r="AH81" s="351" t="e">
        <f t="shared" si="31"/>
        <v>#N/A</v>
      </c>
      <c r="AI81" s="634"/>
      <c r="AJ81" s="378"/>
      <c r="AK81" s="378"/>
      <c r="AL81" s="378"/>
      <c r="AM81" s="351" t="e">
        <f t="shared" si="32"/>
        <v>#N/A</v>
      </c>
      <c r="AN81" s="634"/>
      <c r="AO81" s="378"/>
      <c r="AP81" s="378"/>
      <c r="AQ81" s="378"/>
      <c r="AR81" s="351" t="e">
        <f t="shared" si="33"/>
        <v>#N/A</v>
      </c>
      <c r="AS81" s="634"/>
      <c r="AT81" s="378"/>
      <c r="AU81" s="378"/>
      <c r="AV81" s="378"/>
      <c r="AW81" s="351" t="e">
        <f t="shared" si="34"/>
        <v>#N/A</v>
      </c>
      <c r="AX81" s="629"/>
    </row>
    <row r="82" spans="2:50" ht="15.75">
      <c r="B82" s="602" t="s">
        <v>163</v>
      </c>
      <c r="C82" s="603"/>
      <c r="D82" s="603"/>
      <c r="E82" s="603"/>
      <c r="F82" s="603"/>
      <c r="G82" s="603"/>
      <c r="H82" s="604"/>
      <c r="I82" s="213"/>
      <c r="J82" s="213"/>
      <c r="K82" s="213"/>
      <c r="L82" s="213"/>
      <c r="M82" s="212"/>
      <c r="N82" s="591" t="s">
        <v>156</v>
      </c>
      <c r="O82" s="591" t="s">
        <v>105</v>
      </c>
      <c r="P82" s="597">
        <f>P62+7</f>
        <v>45958</v>
      </c>
      <c r="Q82" s="598"/>
      <c r="R82" s="598"/>
      <c r="S82" s="598"/>
      <c r="T82" s="598"/>
      <c r="U82" s="594">
        <f>P82+1</f>
        <v>45959</v>
      </c>
      <c r="V82" s="595"/>
      <c r="W82" s="595"/>
      <c r="X82" s="595"/>
      <c r="Y82" s="596"/>
      <c r="Z82" s="594">
        <f>U82+1</f>
        <v>45960</v>
      </c>
      <c r="AA82" s="595"/>
      <c r="AB82" s="595"/>
      <c r="AC82" s="595"/>
      <c r="AD82" s="596"/>
      <c r="AE82" s="594">
        <f>Z82+1</f>
        <v>45961</v>
      </c>
      <c r="AF82" s="595"/>
      <c r="AG82" s="595"/>
      <c r="AH82" s="595"/>
      <c r="AI82" s="596"/>
      <c r="AJ82" s="594">
        <f>AE82+1</f>
        <v>45962</v>
      </c>
      <c r="AK82" s="595"/>
      <c r="AL82" s="595"/>
      <c r="AM82" s="595"/>
      <c r="AN82" s="596"/>
      <c r="AO82" s="594">
        <f>AJ82+1</f>
        <v>45963</v>
      </c>
      <c r="AP82" s="595"/>
      <c r="AQ82" s="595"/>
      <c r="AR82" s="595"/>
      <c r="AS82" s="596"/>
      <c r="AT82" s="594">
        <f>AO82+1</f>
        <v>45964</v>
      </c>
      <c r="AU82" s="595"/>
      <c r="AV82" s="595"/>
      <c r="AW82" s="595"/>
      <c r="AX82" s="596"/>
    </row>
    <row r="83" spans="2:50" ht="15.75">
      <c r="B83" s="605"/>
      <c r="C83" s="605"/>
      <c r="D83" s="605"/>
      <c r="E83" s="605"/>
      <c r="F83" s="605"/>
      <c r="G83" s="605"/>
      <c r="H83" s="605"/>
      <c r="I83" s="210"/>
      <c r="J83" s="210"/>
      <c r="K83" s="210"/>
      <c r="L83" s="210"/>
      <c r="M83" s="211"/>
      <c r="N83" s="593"/>
      <c r="O83" s="593"/>
      <c r="P83" s="597" t="s">
        <v>336</v>
      </c>
      <c r="Q83" s="598"/>
      <c r="R83" s="598"/>
      <c r="S83" s="598"/>
      <c r="T83" s="598"/>
      <c r="U83" s="597" t="s">
        <v>337</v>
      </c>
      <c r="V83" s="598"/>
      <c r="W83" s="598"/>
      <c r="X83" s="598"/>
      <c r="Y83" s="598"/>
      <c r="Z83" s="597" t="s">
        <v>338</v>
      </c>
      <c r="AA83" s="598"/>
      <c r="AB83" s="598"/>
      <c r="AC83" s="598"/>
      <c r="AD83" s="598"/>
      <c r="AE83" s="597" t="s">
        <v>339</v>
      </c>
      <c r="AF83" s="598"/>
      <c r="AG83" s="598"/>
      <c r="AH83" s="598"/>
      <c r="AI83" s="598"/>
      <c r="AJ83" s="597" t="s">
        <v>340</v>
      </c>
      <c r="AK83" s="598"/>
      <c r="AL83" s="598"/>
      <c r="AM83" s="598"/>
      <c r="AN83" s="598"/>
      <c r="AO83" s="597" t="s">
        <v>341</v>
      </c>
      <c r="AP83" s="598"/>
      <c r="AQ83" s="598"/>
      <c r="AR83" s="598"/>
      <c r="AS83" s="598"/>
      <c r="AT83" s="597" t="s">
        <v>342</v>
      </c>
      <c r="AU83" s="598"/>
      <c r="AV83" s="598"/>
      <c r="AW83" s="598"/>
      <c r="AX83" s="598"/>
    </row>
    <row r="84" spans="2:50">
      <c r="B84" s="590" t="s">
        <v>494</v>
      </c>
      <c r="C84" s="590" t="s">
        <v>495</v>
      </c>
      <c r="D84" s="590"/>
      <c r="E84" s="590" t="s">
        <v>496</v>
      </c>
      <c r="F84" s="590"/>
      <c r="G84" s="590"/>
      <c r="H84" s="606" t="s">
        <v>497</v>
      </c>
      <c r="I84" s="574" t="s">
        <v>498</v>
      </c>
      <c r="J84" s="574"/>
      <c r="K84" s="574"/>
      <c r="L84" s="575" t="s">
        <v>497</v>
      </c>
      <c r="M84" s="581" t="s">
        <v>499</v>
      </c>
      <c r="N84" s="590"/>
      <c r="O84" s="590" t="s">
        <v>500</v>
      </c>
      <c r="P84" s="587" t="s">
        <v>501</v>
      </c>
      <c r="Q84" s="588"/>
      <c r="R84" s="588"/>
      <c r="S84" s="589"/>
      <c r="T84" s="590" t="s">
        <v>497</v>
      </c>
      <c r="U84" s="587" t="s">
        <v>501</v>
      </c>
      <c r="V84" s="588"/>
      <c r="W84" s="588"/>
      <c r="X84" s="589"/>
      <c r="Y84" s="590" t="s">
        <v>497</v>
      </c>
      <c r="Z84" s="587" t="s">
        <v>501</v>
      </c>
      <c r="AA84" s="588"/>
      <c r="AB84" s="588"/>
      <c r="AC84" s="589"/>
      <c r="AD84" s="590" t="s">
        <v>497</v>
      </c>
      <c r="AE84" s="587" t="s">
        <v>501</v>
      </c>
      <c r="AF84" s="588"/>
      <c r="AG84" s="588"/>
      <c r="AH84" s="589"/>
      <c r="AI84" s="590" t="s">
        <v>497</v>
      </c>
      <c r="AJ84" s="587" t="s">
        <v>501</v>
      </c>
      <c r="AK84" s="588"/>
      <c r="AL84" s="588"/>
      <c r="AM84" s="589"/>
      <c r="AN84" s="590" t="s">
        <v>497</v>
      </c>
      <c r="AO84" s="587" t="s">
        <v>501</v>
      </c>
      <c r="AP84" s="588"/>
      <c r="AQ84" s="588"/>
      <c r="AR84" s="589"/>
      <c r="AS84" s="590" t="s">
        <v>497</v>
      </c>
      <c r="AT84" s="587" t="s">
        <v>501</v>
      </c>
      <c r="AU84" s="588"/>
      <c r="AV84" s="588"/>
      <c r="AW84" s="589"/>
      <c r="AX84" s="590" t="s">
        <v>497</v>
      </c>
    </row>
    <row r="85" spans="2:50">
      <c r="B85" s="590"/>
      <c r="C85" s="590"/>
      <c r="D85" s="590"/>
      <c r="E85" s="590" t="s">
        <v>502</v>
      </c>
      <c r="F85" s="590"/>
      <c r="G85" s="590"/>
      <c r="H85" s="607"/>
      <c r="I85" s="574" t="s">
        <v>502</v>
      </c>
      <c r="J85" s="574"/>
      <c r="K85" s="574"/>
      <c r="L85" s="576"/>
      <c r="M85" s="582"/>
      <c r="N85" s="590"/>
      <c r="O85" s="590"/>
      <c r="P85" s="587" t="s">
        <v>503</v>
      </c>
      <c r="Q85" s="588"/>
      <c r="R85" s="588"/>
      <c r="S85" s="589"/>
      <c r="T85" s="590"/>
      <c r="U85" s="587" t="s">
        <v>503</v>
      </c>
      <c r="V85" s="588"/>
      <c r="W85" s="588"/>
      <c r="X85" s="589"/>
      <c r="Y85" s="590"/>
      <c r="Z85" s="587" t="s">
        <v>503</v>
      </c>
      <c r="AA85" s="588"/>
      <c r="AB85" s="588"/>
      <c r="AC85" s="589"/>
      <c r="AD85" s="590"/>
      <c r="AE85" s="587" t="s">
        <v>503</v>
      </c>
      <c r="AF85" s="588"/>
      <c r="AG85" s="588"/>
      <c r="AH85" s="589"/>
      <c r="AI85" s="590"/>
      <c r="AJ85" s="587" t="s">
        <v>503</v>
      </c>
      <c r="AK85" s="588"/>
      <c r="AL85" s="588"/>
      <c r="AM85" s="589"/>
      <c r="AN85" s="590"/>
      <c r="AO85" s="587" t="s">
        <v>503</v>
      </c>
      <c r="AP85" s="588"/>
      <c r="AQ85" s="588"/>
      <c r="AR85" s="589"/>
      <c r="AS85" s="590"/>
      <c r="AT85" s="587" t="s">
        <v>503</v>
      </c>
      <c r="AU85" s="588"/>
      <c r="AV85" s="588"/>
      <c r="AW85" s="589"/>
      <c r="AX85" s="590"/>
    </row>
    <row r="86" spans="2:50">
      <c r="B86" s="590"/>
      <c r="C86" s="590"/>
      <c r="D86" s="590"/>
      <c r="E86" s="311" t="s">
        <v>504</v>
      </c>
      <c r="F86" s="311" t="s">
        <v>505</v>
      </c>
      <c r="G86" s="311" t="s">
        <v>506</v>
      </c>
      <c r="H86" s="608"/>
      <c r="I86" s="313" t="s">
        <v>504</v>
      </c>
      <c r="J86" s="313" t="s">
        <v>505</v>
      </c>
      <c r="K86" s="313" t="s">
        <v>506</v>
      </c>
      <c r="L86" s="577"/>
      <c r="M86" s="583"/>
      <c r="N86" s="590"/>
      <c r="O86" s="590"/>
      <c r="P86" s="311" t="s">
        <v>504</v>
      </c>
      <c r="Q86" s="311" t="s">
        <v>505</v>
      </c>
      <c r="R86" s="311" t="s">
        <v>506</v>
      </c>
      <c r="S86" s="311" t="s">
        <v>499</v>
      </c>
      <c r="T86" s="590"/>
      <c r="U86" s="311" t="s">
        <v>504</v>
      </c>
      <c r="V86" s="311" t="s">
        <v>505</v>
      </c>
      <c r="W86" s="311" t="s">
        <v>506</v>
      </c>
      <c r="X86" s="311" t="s">
        <v>499</v>
      </c>
      <c r="Y86" s="590"/>
      <c r="Z86" s="311" t="s">
        <v>504</v>
      </c>
      <c r="AA86" s="311" t="s">
        <v>505</v>
      </c>
      <c r="AB86" s="311" t="s">
        <v>506</v>
      </c>
      <c r="AC86" s="311" t="s">
        <v>499</v>
      </c>
      <c r="AD86" s="590"/>
      <c r="AE86" s="311" t="s">
        <v>504</v>
      </c>
      <c r="AF86" s="311" t="s">
        <v>505</v>
      </c>
      <c r="AG86" s="311" t="s">
        <v>506</v>
      </c>
      <c r="AH86" s="311" t="s">
        <v>499</v>
      </c>
      <c r="AI86" s="590"/>
      <c r="AJ86" s="311" t="s">
        <v>504</v>
      </c>
      <c r="AK86" s="311" t="s">
        <v>505</v>
      </c>
      <c r="AL86" s="311" t="s">
        <v>506</v>
      </c>
      <c r="AM86" s="311" t="s">
        <v>499</v>
      </c>
      <c r="AN86" s="590"/>
      <c r="AO86" s="311" t="s">
        <v>504</v>
      </c>
      <c r="AP86" s="311" t="s">
        <v>505</v>
      </c>
      <c r="AQ86" s="311" t="s">
        <v>506</v>
      </c>
      <c r="AR86" s="311" t="s">
        <v>499</v>
      </c>
      <c r="AS86" s="590"/>
      <c r="AT86" s="311" t="s">
        <v>504</v>
      </c>
      <c r="AU86" s="311" t="s">
        <v>505</v>
      </c>
      <c r="AV86" s="311" t="s">
        <v>506</v>
      </c>
      <c r="AW86" s="311" t="s">
        <v>499</v>
      </c>
      <c r="AX86" s="590"/>
    </row>
    <row r="87" spans="2:50">
      <c r="B87" s="590" t="s">
        <v>521</v>
      </c>
      <c r="C87" s="310">
        <v>1</v>
      </c>
      <c r="D87" s="231" t="s">
        <v>408</v>
      </c>
      <c r="E87" s="187">
        <v>21</v>
      </c>
      <c r="F87" s="310">
        <v>2400</v>
      </c>
      <c r="G87" s="312">
        <v>114.28571428571429</v>
      </c>
      <c r="H87" s="632">
        <f>AVERAGE(G87:G101)</f>
        <v>143.60275689223059</v>
      </c>
      <c r="I87" s="204">
        <f>AVERAGE(P87,U87,Z87,AE87,AJ87,AO87,AT87)</f>
        <v>20.857142857142858</v>
      </c>
      <c r="J87" s="204">
        <f>AVERAGE(Q87,V87,AA87,AF87,AK87,AP87,AU87)</f>
        <v>2168.4204490553893</v>
      </c>
      <c r="K87" s="205">
        <f>AVERAGE(R87,W87,AB87,AG87,AL87,AQ87,AV87)</f>
        <v>104.00892220707728</v>
      </c>
      <c r="L87" s="571">
        <f>IFERROR(AVERAGE(K87:K101),"-")</f>
        <v>119.81396780056511</v>
      </c>
      <c r="M87" s="206">
        <f>RANK(K87, K$87:$K$101)</f>
        <v>5</v>
      </c>
      <c r="N87" s="590"/>
      <c r="O87" s="590"/>
      <c r="P87" s="187">
        <v>20</v>
      </c>
      <c r="Q87" s="379">
        <v>2207.3684210526326</v>
      </c>
      <c r="R87" s="379">
        <v>110.36842105263163</v>
      </c>
      <c r="S87" s="310">
        <f>RANK(R87, R$87:R$101)</f>
        <v>4</v>
      </c>
      <c r="T87" s="632">
        <f>AVERAGE(R87:R101)</f>
        <v>119.44108555804564</v>
      </c>
      <c r="U87" s="187">
        <v>21</v>
      </c>
      <c r="V87" s="496">
        <v>2129.5890410958909</v>
      </c>
      <c r="W87" s="496">
        <v>101.40900195694719</v>
      </c>
      <c r="X87" s="310">
        <f>RANK(W87, W$87:W$101)</f>
        <v>5</v>
      </c>
      <c r="Y87" s="632">
        <f>AVERAGE(W87:W101)</f>
        <v>118.33730633713745</v>
      </c>
      <c r="Z87" s="187">
        <v>21</v>
      </c>
      <c r="AA87" s="496">
        <v>2203.3846153846152</v>
      </c>
      <c r="AB87" s="496">
        <v>104.92307692307692</v>
      </c>
      <c r="AC87" s="310">
        <f>RANK(AB87, AB$87:AB$101)</f>
        <v>5</v>
      </c>
      <c r="AD87" s="632">
        <f>AVERAGE(AB87:AB101)</f>
        <v>118.88947151719489</v>
      </c>
      <c r="AE87" s="187">
        <v>21</v>
      </c>
      <c r="AF87" s="496">
        <v>2110.3124999999995</v>
      </c>
      <c r="AG87" s="496">
        <v>100.4910714285714</v>
      </c>
      <c r="AH87" s="310">
        <f>RANK(AG87, AG$87:AG$101)</f>
        <v>5</v>
      </c>
      <c r="AI87" s="632">
        <f>AVERAGE(AG87:AG101)</f>
        <v>119.56030422874782</v>
      </c>
      <c r="AJ87" s="187">
        <v>21</v>
      </c>
      <c r="AK87" s="496">
        <v>2194.6874999999995</v>
      </c>
      <c r="AL87" s="496">
        <v>104.50892857142856</v>
      </c>
      <c r="AM87" s="310">
        <f>RANK(AL87, AL$87:AL$101)</f>
        <v>5</v>
      </c>
      <c r="AN87" s="632">
        <f>AVERAGE(AL87:AL101)</f>
        <v>123.18872128062625</v>
      </c>
      <c r="AO87" s="187">
        <v>21</v>
      </c>
      <c r="AP87" s="496">
        <v>2138.1081081081093</v>
      </c>
      <c r="AQ87" s="496">
        <v>101.81467181467187</v>
      </c>
      <c r="AR87" s="310">
        <f>RANK(AQ87, AQ$87:AQ$101)</f>
        <v>5</v>
      </c>
      <c r="AS87" s="632">
        <f>AVERAGE(AQ87:AQ101)</f>
        <v>118.92085873634328</v>
      </c>
      <c r="AT87" s="187">
        <v>21</v>
      </c>
      <c r="AU87" s="496">
        <v>2195.4929577464791</v>
      </c>
      <c r="AV87" s="496">
        <v>104.54728370221329</v>
      </c>
      <c r="AW87" s="310">
        <f>RANK(AV87, AV$87:AV$101)</f>
        <v>5</v>
      </c>
      <c r="AX87" s="629">
        <f>AVERAGE(AV87:AV101)</f>
        <v>120.36002694586053</v>
      </c>
    </row>
    <row r="88" spans="2:50">
      <c r="B88" s="598"/>
      <c r="C88" s="310">
        <v>2</v>
      </c>
      <c r="D88" s="231" t="s">
        <v>409</v>
      </c>
      <c r="E88" s="187">
        <v>18</v>
      </c>
      <c r="F88" s="310">
        <v>3000</v>
      </c>
      <c r="G88" s="312">
        <v>166.66666666666666</v>
      </c>
      <c r="H88" s="633"/>
      <c r="I88" s="204">
        <f t="shared" ref="I88:K91" si="35">AVERAGE(P88,U88,Z88,AE88,AJ88,AO88,AT88)</f>
        <v>18.857142857142858</v>
      </c>
      <c r="J88" s="204">
        <f t="shared" si="35"/>
        <v>2376.8830668252508</v>
      </c>
      <c r="K88" s="205">
        <f t="shared" si="35"/>
        <v>126.10107020557872</v>
      </c>
      <c r="L88" s="572"/>
      <c r="M88" s="206">
        <f>RANK(K88, K$87:$K$101)</f>
        <v>3</v>
      </c>
      <c r="N88" s="590"/>
      <c r="O88" s="590"/>
      <c r="P88" s="378">
        <v>19</v>
      </c>
      <c r="Q88" s="379">
        <v>2326.6666666666679</v>
      </c>
      <c r="R88" s="379">
        <v>122.45614035087726</v>
      </c>
      <c r="S88" s="310">
        <f t="shared" ref="S88:S101" si="36">RANK(R88, R$87:R$101)</f>
        <v>3</v>
      </c>
      <c r="T88" s="633"/>
      <c r="U88" s="495">
        <v>19</v>
      </c>
      <c r="V88" s="496">
        <v>2392.3404255319156</v>
      </c>
      <c r="W88" s="496">
        <v>125.91265397536398</v>
      </c>
      <c r="X88" s="310">
        <f t="shared" ref="X88:X101" si="37">RANK(W88, W$87:W$101)</f>
        <v>3</v>
      </c>
      <c r="Y88" s="633"/>
      <c r="Z88" s="495">
        <v>19</v>
      </c>
      <c r="AA88" s="496">
        <v>2311.2500000000005</v>
      </c>
      <c r="AB88" s="496">
        <v>121.64473684210529</v>
      </c>
      <c r="AC88" s="310">
        <f t="shared" ref="AC88:AC101" si="38">RANK(AB88, AB$87:AB$101)</f>
        <v>3</v>
      </c>
      <c r="AD88" s="633"/>
      <c r="AE88" s="495">
        <v>19</v>
      </c>
      <c r="AF88" s="496">
        <v>2362.978723404256</v>
      </c>
      <c r="AG88" s="496">
        <v>124.36730123180295</v>
      </c>
      <c r="AH88" s="310">
        <f t="shared" ref="AH88:AH101" si="39">RANK(AG88, AG$87:AG$101)</f>
        <v>3</v>
      </c>
      <c r="AI88" s="633"/>
      <c r="AJ88" s="495">
        <v>18</v>
      </c>
      <c r="AK88" s="496">
        <v>2398.695652173913</v>
      </c>
      <c r="AL88" s="496">
        <v>133.26086956521738</v>
      </c>
      <c r="AM88" s="310">
        <f t="shared" ref="AM88:AM101" si="40">RANK(AL88, AL$87:AL$101)</f>
        <v>2</v>
      </c>
      <c r="AN88" s="633"/>
      <c r="AO88" s="495">
        <v>19</v>
      </c>
      <c r="AP88" s="496">
        <v>2425.0000000000009</v>
      </c>
      <c r="AQ88" s="496">
        <v>127.63157894736847</v>
      </c>
      <c r="AR88" s="310">
        <f t="shared" ref="AR88:AR101" si="41">RANK(AQ88, AQ$87:AQ$101)</f>
        <v>3</v>
      </c>
      <c r="AS88" s="633"/>
      <c r="AT88" s="495">
        <v>19</v>
      </c>
      <c r="AU88" s="496">
        <v>2421.2500000000009</v>
      </c>
      <c r="AV88" s="496">
        <v>127.43421052631584</v>
      </c>
      <c r="AW88" s="310">
        <f t="shared" ref="AW88:AW101" si="42">RANK(AV88, AV$87:AV$101)</f>
        <v>3</v>
      </c>
      <c r="AX88" s="629"/>
    </row>
    <row r="89" spans="2:50">
      <c r="B89" s="598"/>
      <c r="C89" s="310">
        <v>3</v>
      </c>
      <c r="D89" s="231" t="s">
        <v>410</v>
      </c>
      <c r="E89" s="187">
        <v>18</v>
      </c>
      <c r="F89" s="310">
        <v>3000</v>
      </c>
      <c r="G89" s="312">
        <v>166.66666666666666</v>
      </c>
      <c r="H89" s="633"/>
      <c r="I89" s="204">
        <f t="shared" si="35"/>
        <v>18.857142857142858</v>
      </c>
      <c r="J89" s="204">
        <f t="shared" si="35"/>
        <v>2458.2845036319623</v>
      </c>
      <c r="K89" s="205">
        <f t="shared" si="35"/>
        <v>130.40827856566358</v>
      </c>
      <c r="L89" s="572"/>
      <c r="M89" s="206">
        <f>RANK(K89, K$87:$K$101)</f>
        <v>1</v>
      </c>
      <c r="N89" s="590"/>
      <c r="O89" s="590"/>
      <c r="P89" s="378">
        <v>19</v>
      </c>
      <c r="Q89" s="379">
        <v>2401.0169491525444</v>
      </c>
      <c r="R89" s="379">
        <v>126.36931311329181</v>
      </c>
      <c r="S89" s="310">
        <f t="shared" si="36"/>
        <v>2</v>
      </c>
      <c r="T89" s="633"/>
      <c r="U89" s="495">
        <v>19</v>
      </c>
      <c r="V89" s="496">
        <v>2436.0000000000014</v>
      </c>
      <c r="W89" s="496">
        <v>128.21052631578954</v>
      </c>
      <c r="X89" s="310">
        <f t="shared" si="37"/>
        <v>2</v>
      </c>
      <c r="Y89" s="633"/>
      <c r="Z89" s="495">
        <v>19</v>
      </c>
      <c r="AA89" s="496">
        <v>2457.7777777777792</v>
      </c>
      <c r="AB89" s="496">
        <v>129.3567251461989</v>
      </c>
      <c r="AC89" s="310">
        <f t="shared" si="38"/>
        <v>2</v>
      </c>
      <c r="AD89" s="633"/>
      <c r="AE89" s="495">
        <v>19</v>
      </c>
      <c r="AF89" s="496">
        <v>2542.2222222222199</v>
      </c>
      <c r="AG89" s="496">
        <v>133.80116959064316</v>
      </c>
      <c r="AH89" s="310">
        <f t="shared" si="39"/>
        <v>1</v>
      </c>
      <c r="AI89" s="633"/>
      <c r="AJ89" s="495">
        <v>18</v>
      </c>
      <c r="AK89" s="496">
        <v>2453.5714285714266</v>
      </c>
      <c r="AL89" s="496">
        <v>136.30952380952371</v>
      </c>
      <c r="AM89" s="310">
        <f t="shared" si="40"/>
        <v>1</v>
      </c>
      <c r="AN89" s="633"/>
      <c r="AO89" s="495">
        <v>19</v>
      </c>
      <c r="AP89" s="496">
        <v>2428.4745762711882</v>
      </c>
      <c r="AQ89" s="496">
        <v>127.81445138269412</v>
      </c>
      <c r="AR89" s="310">
        <f t="shared" si="41"/>
        <v>1</v>
      </c>
      <c r="AS89" s="633"/>
      <c r="AT89" s="495">
        <v>19</v>
      </c>
      <c r="AU89" s="496">
        <v>2488.9285714285734</v>
      </c>
      <c r="AV89" s="496">
        <v>130.99624060150387</v>
      </c>
      <c r="AW89" s="310">
        <f t="shared" si="42"/>
        <v>1</v>
      </c>
      <c r="AX89" s="629"/>
    </row>
    <row r="90" spans="2:50">
      <c r="B90" s="598"/>
      <c r="C90" s="310">
        <v>4</v>
      </c>
      <c r="D90" s="231" t="s">
        <v>411</v>
      </c>
      <c r="E90" s="187">
        <v>19</v>
      </c>
      <c r="F90" s="310">
        <v>3000</v>
      </c>
      <c r="G90" s="312">
        <v>157.89473684210526</v>
      </c>
      <c r="H90" s="633"/>
      <c r="I90" s="204">
        <f t="shared" si="35"/>
        <v>19</v>
      </c>
      <c r="J90" s="204">
        <f t="shared" si="35"/>
        <v>2472.2915699197069</v>
      </c>
      <c r="K90" s="205">
        <f t="shared" si="35"/>
        <v>130.12060894314249</v>
      </c>
      <c r="L90" s="572"/>
      <c r="M90" s="206">
        <f>RANK(K90, K$87:$K$101)</f>
        <v>2</v>
      </c>
      <c r="N90" s="590"/>
      <c r="O90" s="590"/>
      <c r="P90" s="378">
        <v>19</v>
      </c>
      <c r="Q90" s="379">
        <v>2451.2195121951208</v>
      </c>
      <c r="R90" s="379">
        <v>129.01155327342741</v>
      </c>
      <c r="S90" s="310">
        <f t="shared" si="36"/>
        <v>1</v>
      </c>
      <c r="T90" s="633"/>
      <c r="U90" s="495">
        <v>19</v>
      </c>
      <c r="V90" s="496">
        <v>2447.3239436619692</v>
      </c>
      <c r="W90" s="496">
        <v>128.80652335062996</v>
      </c>
      <c r="X90" s="310">
        <f t="shared" si="37"/>
        <v>1</v>
      </c>
      <c r="Y90" s="633"/>
      <c r="Z90" s="495">
        <v>19</v>
      </c>
      <c r="AA90" s="496">
        <v>2501.1428571428546</v>
      </c>
      <c r="AB90" s="496">
        <v>131.63909774436078</v>
      </c>
      <c r="AC90" s="310">
        <f t="shared" si="38"/>
        <v>1</v>
      </c>
      <c r="AD90" s="633"/>
      <c r="AE90" s="495">
        <v>19</v>
      </c>
      <c r="AF90" s="496">
        <v>2506.5671641791014</v>
      </c>
      <c r="AG90" s="496">
        <v>131.92458758837375</v>
      </c>
      <c r="AH90" s="310">
        <f t="shared" si="39"/>
        <v>2</v>
      </c>
      <c r="AI90" s="633"/>
      <c r="AJ90" s="495">
        <v>19</v>
      </c>
      <c r="AK90" s="496">
        <v>2515.6521739130408</v>
      </c>
      <c r="AL90" s="496">
        <v>132.4027459954232</v>
      </c>
      <c r="AM90" s="310">
        <f t="shared" si="40"/>
        <v>3</v>
      </c>
      <c r="AN90" s="633"/>
      <c r="AO90" s="495">
        <v>19</v>
      </c>
      <c r="AP90" s="496">
        <v>2425.7142857142844</v>
      </c>
      <c r="AQ90" s="496">
        <v>127.66917293233075</v>
      </c>
      <c r="AR90" s="310">
        <f t="shared" si="41"/>
        <v>2</v>
      </c>
      <c r="AS90" s="633"/>
      <c r="AT90" s="495">
        <v>19</v>
      </c>
      <c r="AU90" s="496">
        <v>2458.4210526315774</v>
      </c>
      <c r="AV90" s="496">
        <v>129.39058171745145</v>
      </c>
      <c r="AW90" s="310">
        <f t="shared" si="42"/>
        <v>2</v>
      </c>
      <c r="AX90" s="629"/>
    </row>
    <row r="91" spans="2:50">
      <c r="B91" s="598"/>
      <c r="C91" s="310">
        <v>5</v>
      </c>
      <c r="D91" s="231" t="s">
        <v>821</v>
      </c>
      <c r="E91" s="187">
        <v>20</v>
      </c>
      <c r="F91" s="310">
        <v>2250</v>
      </c>
      <c r="G91" s="312">
        <v>112.5</v>
      </c>
      <c r="H91" s="633"/>
      <c r="I91" s="204">
        <f t="shared" si="35"/>
        <v>20</v>
      </c>
      <c r="J91" s="204">
        <f t="shared" si="35"/>
        <v>2168.6191816272708</v>
      </c>
      <c r="K91" s="205">
        <f t="shared" si="35"/>
        <v>108.43095908136353</v>
      </c>
      <c r="L91" s="572"/>
      <c r="M91" s="206">
        <f>RANK(K91, K$87:$K$101)</f>
        <v>4</v>
      </c>
      <c r="N91" s="590"/>
      <c r="O91" s="590"/>
      <c r="P91" s="378">
        <v>20</v>
      </c>
      <c r="Q91" s="379">
        <v>2180.0000000000023</v>
      </c>
      <c r="R91" s="379">
        <v>109.00000000000011</v>
      </c>
      <c r="S91" s="310">
        <f t="shared" si="36"/>
        <v>5</v>
      </c>
      <c r="T91" s="633"/>
      <c r="U91" s="495">
        <v>20</v>
      </c>
      <c r="V91" s="496">
        <v>2146.9565217391305</v>
      </c>
      <c r="W91" s="496">
        <v>107.34782608695653</v>
      </c>
      <c r="X91" s="310">
        <f t="shared" si="37"/>
        <v>4</v>
      </c>
      <c r="Y91" s="633"/>
      <c r="Z91" s="495">
        <v>20</v>
      </c>
      <c r="AA91" s="496">
        <v>2137.6744186046508</v>
      </c>
      <c r="AB91" s="496">
        <v>106.88372093023254</v>
      </c>
      <c r="AC91" s="310">
        <f t="shared" si="38"/>
        <v>4</v>
      </c>
      <c r="AD91" s="633"/>
      <c r="AE91" s="495">
        <v>20</v>
      </c>
      <c r="AF91" s="496">
        <v>2144.3478260869565</v>
      </c>
      <c r="AG91" s="496">
        <v>107.21739130434783</v>
      </c>
      <c r="AH91" s="310">
        <f t="shared" si="39"/>
        <v>4</v>
      </c>
      <c r="AI91" s="633"/>
      <c r="AJ91" s="495">
        <v>20</v>
      </c>
      <c r="AK91" s="496">
        <v>2189.2307692307681</v>
      </c>
      <c r="AL91" s="496">
        <v>109.46153846153841</v>
      </c>
      <c r="AM91" s="310">
        <f t="shared" si="40"/>
        <v>4</v>
      </c>
      <c r="AN91" s="633"/>
      <c r="AO91" s="495">
        <v>20</v>
      </c>
      <c r="AP91" s="496">
        <v>2193.4883720930229</v>
      </c>
      <c r="AQ91" s="496">
        <v>109.67441860465115</v>
      </c>
      <c r="AR91" s="310">
        <f t="shared" si="41"/>
        <v>4</v>
      </c>
      <c r="AS91" s="633"/>
      <c r="AT91" s="495">
        <v>20</v>
      </c>
      <c r="AU91" s="496">
        <v>2188.6363636363635</v>
      </c>
      <c r="AV91" s="496">
        <v>109.43181818181817</v>
      </c>
      <c r="AW91" s="310">
        <f t="shared" si="42"/>
        <v>4</v>
      </c>
      <c r="AX91" s="629"/>
    </row>
    <row r="92" spans="2:50">
      <c r="B92" s="598"/>
      <c r="C92" s="310">
        <v>6</v>
      </c>
      <c r="D92" s="231"/>
      <c r="E92" s="187"/>
      <c r="F92" s="310"/>
      <c r="G92" s="312"/>
      <c r="H92" s="633"/>
      <c r="I92" s="204"/>
      <c r="J92" s="204"/>
      <c r="K92" s="205"/>
      <c r="L92" s="572"/>
      <c r="M92" s="206" t="e">
        <f>RANK(K92, K$87:$K$101)</f>
        <v>#N/A</v>
      </c>
      <c r="N92" s="590"/>
      <c r="O92" s="590"/>
      <c r="P92" s="378"/>
      <c r="Q92" s="379"/>
      <c r="R92" s="379"/>
      <c r="S92" s="310" t="e">
        <f t="shared" si="36"/>
        <v>#N/A</v>
      </c>
      <c r="T92" s="633"/>
      <c r="U92" s="378"/>
      <c r="V92" s="379"/>
      <c r="W92" s="379"/>
      <c r="X92" s="310" t="e">
        <f t="shared" si="37"/>
        <v>#N/A</v>
      </c>
      <c r="Y92" s="633"/>
      <c r="Z92" s="378"/>
      <c r="AA92" s="379"/>
      <c r="AB92" s="379"/>
      <c r="AC92" s="310" t="e">
        <f t="shared" si="38"/>
        <v>#N/A</v>
      </c>
      <c r="AD92" s="633"/>
      <c r="AE92" s="378"/>
      <c r="AF92" s="379"/>
      <c r="AG92" s="379"/>
      <c r="AH92" s="310" t="e">
        <f t="shared" si="39"/>
        <v>#N/A</v>
      </c>
      <c r="AI92" s="633"/>
      <c r="AJ92" s="378"/>
      <c r="AK92" s="379"/>
      <c r="AL92" s="379"/>
      <c r="AM92" s="310" t="e">
        <f t="shared" si="40"/>
        <v>#N/A</v>
      </c>
      <c r="AN92" s="633"/>
      <c r="AO92" s="378"/>
      <c r="AP92" s="379"/>
      <c r="AQ92" s="379"/>
      <c r="AR92" s="310" t="e">
        <f t="shared" si="41"/>
        <v>#N/A</v>
      </c>
      <c r="AS92" s="633"/>
      <c r="AT92" s="378"/>
      <c r="AU92" s="379"/>
      <c r="AV92" s="379"/>
      <c r="AW92" s="310" t="e">
        <f t="shared" si="42"/>
        <v>#N/A</v>
      </c>
      <c r="AX92" s="629"/>
    </row>
    <row r="93" spans="2:50">
      <c r="B93" s="598"/>
      <c r="C93" s="310">
        <v>7</v>
      </c>
      <c r="D93" s="231"/>
      <c r="E93" s="187"/>
      <c r="F93" s="310"/>
      <c r="G93" s="312"/>
      <c r="H93" s="633"/>
      <c r="I93" s="204"/>
      <c r="J93" s="204"/>
      <c r="K93" s="205"/>
      <c r="L93" s="572"/>
      <c r="M93" s="206" t="e">
        <f>RANK(K93, K$87:$K$101)</f>
        <v>#N/A</v>
      </c>
      <c r="N93" s="590"/>
      <c r="O93" s="590"/>
      <c r="P93" s="378"/>
      <c r="Q93" s="379"/>
      <c r="R93" s="379"/>
      <c r="S93" s="310" t="e">
        <f t="shared" si="36"/>
        <v>#N/A</v>
      </c>
      <c r="T93" s="633"/>
      <c r="U93" s="378"/>
      <c r="V93" s="379"/>
      <c r="W93" s="379"/>
      <c r="X93" s="310" t="e">
        <f t="shared" si="37"/>
        <v>#N/A</v>
      </c>
      <c r="Y93" s="633"/>
      <c r="Z93" s="378"/>
      <c r="AA93" s="379"/>
      <c r="AB93" s="379"/>
      <c r="AC93" s="310" t="e">
        <f t="shared" si="38"/>
        <v>#N/A</v>
      </c>
      <c r="AD93" s="633"/>
      <c r="AE93" s="378"/>
      <c r="AF93" s="379"/>
      <c r="AG93" s="379"/>
      <c r="AH93" s="310" t="e">
        <f t="shared" si="39"/>
        <v>#N/A</v>
      </c>
      <c r="AI93" s="633"/>
      <c r="AJ93" s="378"/>
      <c r="AK93" s="379"/>
      <c r="AL93" s="379"/>
      <c r="AM93" s="310" t="e">
        <f t="shared" si="40"/>
        <v>#N/A</v>
      </c>
      <c r="AN93" s="633"/>
      <c r="AO93" s="378"/>
      <c r="AP93" s="379"/>
      <c r="AQ93" s="379"/>
      <c r="AR93" s="310" t="e">
        <f t="shared" si="41"/>
        <v>#N/A</v>
      </c>
      <c r="AS93" s="633"/>
      <c r="AT93" s="378"/>
      <c r="AU93" s="379"/>
      <c r="AV93" s="379"/>
      <c r="AW93" s="310" t="e">
        <f t="shared" si="42"/>
        <v>#N/A</v>
      </c>
      <c r="AX93" s="629"/>
    </row>
    <row r="94" spans="2:50">
      <c r="B94" s="598"/>
      <c r="C94" s="310">
        <v>8</v>
      </c>
      <c r="D94" s="231"/>
      <c r="E94" s="187"/>
      <c r="F94" s="310"/>
      <c r="G94" s="312"/>
      <c r="H94" s="633"/>
      <c r="I94" s="204"/>
      <c r="J94" s="204"/>
      <c r="K94" s="205"/>
      <c r="L94" s="572"/>
      <c r="M94" s="206" t="e">
        <f>RANK(K94, K$87:$K$101)</f>
        <v>#N/A</v>
      </c>
      <c r="N94" s="590"/>
      <c r="O94" s="590"/>
      <c r="P94" s="378"/>
      <c r="Q94" s="379"/>
      <c r="R94" s="379"/>
      <c r="S94" s="310" t="e">
        <f t="shared" si="36"/>
        <v>#N/A</v>
      </c>
      <c r="T94" s="633"/>
      <c r="U94" s="378"/>
      <c r="V94" s="379"/>
      <c r="W94" s="379"/>
      <c r="X94" s="310" t="e">
        <f t="shared" si="37"/>
        <v>#N/A</v>
      </c>
      <c r="Y94" s="633"/>
      <c r="Z94" s="378"/>
      <c r="AA94" s="379"/>
      <c r="AB94" s="379"/>
      <c r="AC94" s="310" t="e">
        <f t="shared" si="38"/>
        <v>#N/A</v>
      </c>
      <c r="AD94" s="633"/>
      <c r="AE94" s="378"/>
      <c r="AF94" s="379"/>
      <c r="AG94" s="379"/>
      <c r="AH94" s="310" t="e">
        <f t="shared" si="39"/>
        <v>#N/A</v>
      </c>
      <c r="AI94" s="633"/>
      <c r="AJ94" s="378"/>
      <c r="AK94" s="379"/>
      <c r="AL94" s="379"/>
      <c r="AM94" s="310" t="e">
        <f t="shared" si="40"/>
        <v>#N/A</v>
      </c>
      <c r="AN94" s="633"/>
      <c r="AO94" s="378"/>
      <c r="AP94" s="379"/>
      <c r="AQ94" s="379"/>
      <c r="AR94" s="310" t="e">
        <f t="shared" si="41"/>
        <v>#N/A</v>
      </c>
      <c r="AS94" s="633"/>
      <c r="AT94" s="378"/>
      <c r="AU94" s="379"/>
      <c r="AV94" s="379"/>
      <c r="AW94" s="310" t="e">
        <f t="shared" si="42"/>
        <v>#N/A</v>
      </c>
      <c r="AX94" s="629"/>
    </row>
    <row r="95" spans="2:50">
      <c r="B95" s="598"/>
      <c r="C95" s="310">
        <v>9</v>
      </c>
      <c r="D95" s="231"/>
      <c r="E95" s="187"/>
      <c r="F95" s="310"/>
      <c r="G95" s="312"/>
      <c r="H95" s="633"/>
      <c r="I95" s="204"/>
      <c r="J95" s="204"/>
      <c r="K95" s="205"/>
      <c r="L95" s="572"/>
      <c r="M95" s="206" t="e">
        <f>RANK(K95, K$87:$K$101)</f>
        <v>#N/A</v>
      </c>
      <c r="N95" s="590"/>
      <c r="O95" s="590"/>
      <c r="P95" s="378"/>
      <c r="Q95" s="379"/>
      <c r="R95" s="379"/>
      <c r="S95" s="310" t="e">
        <f t="shared" si="36"/>
        <v>#N/A</v>
      </c>
      <c r="T95" s="633"/>
      <c r="U95" s="378"/>
      <c r="V95" s="379"/>
      <c r="W95" s="379"/>
      <c r="X95" s="310" t="e">
        <f t="shared" si="37"/>
        <v>#N/A</v>
      </c>
      <c r="Y95" s="633"/>
      <c r="Z95" s="378"/>
      <c r="AA95" s="379"/>
      <c r="AB95" s="379"/>
      <c r="AC95" s="310" t="e">
        <f t="shared" si="38"/>
        <v>#N/A</v>
      </c>
      <c r="AD95" s="633"/>
      <c r="AE95" s="378"/>
      <c r="AF95" s="379"/>
      <c r="AG95" s="379"/>
      <c r="AH95" s="310" t="e">
        <f t="shared" si="39"/>
        <v>#N/A</v>
      </c>
      <c r="AI95" s="633"/>
      <c r="AJ95" s="378"/>
      <c r="AK95" s="379"/>
      <c r="AL95" s="379"/>
      <c r="AM95" s="310" t="e">
        <f t="shared" si="40"/>
        <v>#N/A</v>
      </c>
      <c r="AN95" s="633"/>
      <c r="AO95" s="378"/>
      <c r="AP95" s="379"/>
      <c r="AQ95" s="379"/>
      <c r="AR95" s="310" t="e">
        <f t="shared" si="41"/>
        <v>#N/A</v>
      </c>
      <c r="AS95" s="633"/>
      <c r="AT95" s="378"/>
      <c r="AU95" s="379"/>
      <c r="AV95" s="379"/>
      <c r="AW95" s="310" t="e">
        <f t="shared" si="42"/>
        <v>#N/A</v>
      </c>
      <c r="AX95" s="629"/>
    </row>
    <row r="96" spans="2:50">
      <c r="B96" s="598"/>
      <c r="C96" s="310">
        <v>10</v>
      </c>
      <c r="D96" s="231"/>
      <c r="E96" s="187"/>
      <c r="F96" s="310"/>
      <c r="G96" s="312"/>
      <c r="H96" s="633"/>
      <c r="I96" s="204"/>
      <c r="J96" s="204"/>
      <c r="K96" s="205"/>
      <c r="L96" s="572"/>
      <c r="M96" s="206" t="e">
        <f>RANK(K96, K$87:$K$101)</f>
        <v>#N/A</v>
      </c>
      <c r="N96" s="590"/>
      <c r="O96" s="590"/>
      <c r="P96" s="378"/>
      <c r="Q96" s="378"/>
      <c r="R96" s="379"/>
      <c r="S96" s="310" t="e">
        <f t="shared" si="36"/>
        <v>#N/A</v>
      </c>
      <c r="T96" s="633"/>
      <c r="U96" s="378"/>
      <c r="V96" s="378"/>
      <c r="W96" s="379"/>
      <c r="X96" s="310" t="e">
        <f t="shared" si="37"/>
        <v>#N/A</v>
      </c>
      <c r="Y96" s="633"/>
      <c r="Z96" s="378"/>
      <c r="AA96" s="378"/>
      <c r="AB96" s="379"/>
      <c r="AC96" s="310" t="e">
        <f t="shared" si="38"/>
        <v>#N/A</v>
      </c>
      <c r="AD96" s="633"/>
      <c r="AE96" s="378"/>
      <c r="AF96" s="378"/>
      <c r="AG96" s="379"/>
      <c r="AH96" s="310" t="e">
        <f t="shared" si="39"/>
        <v>#N/A</v>
      </c>
      <c r="AI96" s="633"/>
      <c r="AJ96" s="378"/>
      <c r="AK96" s="378"/>
      <c r="AL96" s="379"/>
      <c r="AM96" s="310" t="e">
        <f t="shared" si="40"/>
        <v>#N/A</v>
      </c>
      <c r="AN96" s="633"/>
      <c r="AO96" s="378"/>
      <c r="AP96" s="378"/>
      <c r="AQ96" s="379"/>
      <c r="AR96" s="310" t="e">
        <f t="shared" si="41"/>
        <v>#N/A</v>
      </c>
      <c r="AS96" s="633"/>
      <c r="AT96" s="378"/>
      <c r="AU96" s="378"/>
      <c r="AV96" s="379"/>
      <c r="AW96" s="310" t="e">
        <f t="shared" si="42"/>
        <v>#N/A</v>
      </c>
      <c r="AX96" s="629"/>
    </row>
    <row r="97" spans="2:50">
      <c r="B97" s="598"/>
      <c r="C97" s="310">
        <v>11</v>
      </c>
      <c r="D97" s="231"/>
      <c r="E97" s="187"/>
      <c r="F97" s="310"/>
      <c r="G97" s="312"/>
      <c r="H97" s="633"/>
      <c r="I97" s="207"/>
      <c r="J97" s="207"/>
      <c r="K97" s="207"/>
      <c r="L97" s="572"/>
      <c r="M97" s="206" t="e">
        <f>RANK(K97, K$87:$K$101)</f>
        <v>#N/A</v>
      </c>
      <c r="N97" s="590"/>
      <c r="O97" s="590"/>
      <c r="P97" s="378"/>
      <c r="Q97" s="378"/>
      <c r="R97" s="378"/>
      <c r="S97" s="310" t="e">
        <f t="shared" si="36"/>
        <v>#N/A</v>
      </c>
      <c r="T97" s="633"/>
      <c r="U97" s="378"/>
      <c r="V97" s="378"/>
      <c r="W97" s="378"/>
      <c r="X97" s="310" t="e">
        <f t="shared" si="37"/>
        <v>#N/A</v>
      </c>
      <c r="Y97" s="633"/>
      <c r="Z97" s="378"/>
      <c r="AA97" s="378"/>
      <c r="AB97" s="378"/>
      <c r="AC97" s="310" t="e">
        <f t="shared" si="38"/>
        <v>#N/A</v>
      </c>
      <c r="AD97" s="633"/>
      <c r="AE97" s="378"/>
      <c r="AF97" s="378"/>
      <c r="AG97" s="378"/>
      <c r="AH97" s="310" t="e">
        <f t="shared" si="39"/>
        <v>#N/A</v>
      </c>
      <c r="AI97" s="633"/>
      <c r="AJ97" s="378"/>
      <c r="AK97" s="378"/>
      <c r="AL97" s="378"/>
      <c r="AM97" s="310" t="e">
        <f t="shared" si="40"/>
        <v>#N/A</v>
      </c>
      <c r="AN97" s="633"/>
      <c r="AO97" s="378"/>
      <c r="AP97" s="378"/>
      <c r="AQ97" s="378"/>
      <c r="AR97" s="310" t="e">
        <f t="shared" si="41"/>
        <v>#N/A</v>
      </c>
      <c r="AS97" s="633"/>
      <c r="AT97" s="378"/>
      <c r="AU97" s="378"/>
      <c r="AV97" s="378"/>
      <c r="AW97" s="310" t="e">
        <f t="shared" si="42"/>
        <v>#N/A</v>
      </c>
      <c r="AX97" s="629"/>
    </row>
    <row r="98" spans="2:50">
      <c r="B98" s="598"/>
      <c r="C98" s="310">
        <v>12</v>
      </c>
      <c r="D98" s="231"/>
      <c r="E98" s="187"/>
      <c r="F98" s="310"/>
      <c r="G98" s="312"/>
      <c r="H98" s="633"/>
      <c r="I98" s="207"/>
      <c r="J98" s="207"/>
      <c r="K98" s="207"/>
      <c r="L98" s="572"/>
      <c r="M98" s="206" t="e">
        <f>RANK(K98, K$87:$K$101)</f>
        <v>#N/A</v>
      </c>
      <c r="N98" s="590"/>
      <c r="O98" s="590"/>
      <c r="P98" s="378"/>
      <c r="Q98" s="378"/>
      <c r="R98" s="378"/>
      <c r="S98" s="310" t="e">
        <f t="shared" si="36"/>
        <v>#N/A</v>
      </c>
      <c r="T98" s="633"/>
      <c r="U98" s="378"/>
      <c r="V98" s="378"/>
      <c r="W98" s="378"/>
      <c r="X98" s="310" t="e">
        <f t="shared" si="37"/>
        <v>#N/A</v>
      </c>
      <c r="Y98" s="633"/>
      <c r="Z98" s="378"/>
      <c r="AA98" s="378"/>
      <c r="AB98" s="378"/>
      <c r="AC98" s="310" t="e">
        <f t="shared" si="38"/>
        <v>#N/A</v>
      </c>
      <c r="AD98" s="633"/>
      <c r="AE98" s="378"/>
      <c r="AF98" s="378"/>
      <c r="AG98" s="378"/>
      <c r="AH98" s="310" t="e">
        <f t="shared" si="39"/>
        <v>#N/A</v>
      </c>
      <c r="AI98" s="633"/>
      <c r="AJ98" s="378"/>
      <c r="AK98" s="378"/>
      <c r="AL98" s="378"/>
      <c r="AM98" s="310" t="e">
        <f t="shared" si="40"/>
        <v>#N/A</v>
      </c>
      <c r="AN98" s="633"/>
      <c r="AO98" s="378"/>
      <c r="AP98" s="378"/>
      <c r="AQ98" s="378"/>
      <c r="AR98" s="310" t="e">
        <f t="shared" si="41"/>
        <v>#N/A</v>
      </c>
      <c r="AS98" s="633"/>
      <c r="AT98" s="378"/>
      <c r="AU98" s="378"/>
      <c r="AV98" s="378"/>
      <c r="AW98" s="310" t="e">
        <f t="shared" si="42"/>
        <v>#N/A</v>
      </c>
      <c r="AX98" s="629"/>
    </row>
    <row r="99" spans="2:50">
      <c r="B99" s="598"/>
      <c r="C99" s="310">
        <v>13</v>
      </c>
      <c r="D99" s="231"/>
      <c r="E99" s="187"/>
      <c r="F99" s="310"/>
      <c r="G99" s="312"/>
      <c r="H99" s="633"/>
      <c r="I99" s="207"/>
      <c r="J99" s="207"/>
      <c r="K99" s="207"/>
      <c r="L99" s="572"/>
      <c r="M99" s="206" t="e">
        <f>RANK(K99, K$87:$K$101)</f>
        <v>#N/A</v>
      </c>
      <c r="N99" s="590"/>
      <c r="O99" s="590"/>
      <c r="P99" s="378"/>
      <c r="Q99" s="378"/>
      <c r="R99" s="378"/>
      <c r="S99" s="310" t="e">
        <f t="shared" si="36"/>
        <v>#N/A</v>
      </c>
      <c r="T99" s="633"/>
      <c r="U99" s="378"/>
      <c r="V99" s="378"/>
      <c r="W99" s="378"/>
      <c r="X99" s="310" t="e">
        <f t="shared" si="37"/>
        <v>#N/A</v>
      </c>
      <c r="Y99" s="633"/>
      <c r="Z99" s="378"/>
      <c r="AA99" s="378"/>
      <c r="AB99" s="378"/>
      <c r="AC99" s="310" t="e">
        <f t="shared" si="38"/>
        <v>#N/A</v>
      </c>
      <c r="AD99" s="633"/>
      <c r="AE99" s="378"/>
      <c r="AF99" s="378"/>
      <c r="AG99" s="378"/>
      <c r="AH99" s="310" t="e">
        <f t="shared" si="39"/>
        <v>#N/A</v>
      </c>
      <c r="AI99" s="633"/>
      <c r="AJ99" s="378"/>
      <c r="AK99" s="378"/>
      <c r="AL99" s="378"/>
      <c r="AM99" s="310" t="e">
        <f t="shared" si="40"/>
        <v>#N/A</v>
      </c>
      <c r="AN99" s="633"/>
      <c r="AO99" s="378"/>
      <c r="AP99" s="378"/>
      <c r="AQ99" s="378"/>
      <c r="AR99" s="310" t="e">
        <f t="shared" si="41"/>
        <v>#N/A</v>
      </c>
      <c r="AS99" s="633"/>
      <c r="AT99" s="378"/>
      <c r="AU99" s="378"/>
      <c r="AV99" s="378"/>
      <c r="AW99" s="310" t="e">
        <f t="shared" si="42"/>
        <v>#N/A</v>
      </c>
      <c r="AX99" s="629"/>
    </row>
    <row r="100" spans="2:50">
      <c r="B100" s="598"/>
      <c r="C100" s="310">
        <v>14</v>
      </c>
      <c r="D100" s="231"/>
      <c r="E100" s="187"/>
      <c r="F100" s="310"/>
      <c r="G100" s="312"/>
      <c r="H100" s="633"/>
      <c r="I100" s="207"/>
      <c r="J100" s="207"/>
      <c r="K100" s="207"/>
      <c r="L100" s="572"/>
      <c r="M100" s="206" t="e">
        <f>RANK(K100, K$87:$K$101)</f>
        <v>#N/A</v>
      </c>
      <c r="N100" s="590"/>
      <c r="O100" s="590"/>
      <c r="P100" s="378"/>
      <c r="Q100" s="378"/>
      <c r="R100" s="378"/>
      <c r="S100" s="310" t="e">
        <f t="shared" si="36"/>
        <v>#N/A</v>
      </c>
      <c r="T100" s="633"/>
      <c r="U100" s="378"/>
      <c r="V100" s="378"/>
      <c r="W100" s="378"/>
      <c r="X100" s="310" t="e">
        <f t="shared" si="37"/>
        <v>#N/A</v>
      </c>
      <c r="Y100" s="633"/>
      <c r="Z100" s="378"/>
      <c r="AA100" s="378"/>
      <c r="AB100" s="378"/>
      <c r="AC100" s="310" t="e">
        <f t="shared" si="38"/>
        <v>#N/A</v>
      </c>
      <c r="AD100" s="633"/>
      <c r="AE100" s="378"/>
      <c r="AF100" s="378"/>
      <c r="AG100" s="378"/>
      <c r="AH100" s="310" t="e">
        <f t="shared" si="39"/>
        <v>#N/A</v>
      </c>
      <c r="AI100" s="633"/>
      <c r="AJ100" s="378"/>
      <c r="AK100" s="378"/>
      <c r="AL100" s="378"/>
      <c r="AM100" s="310" t="e">
        <f t="shared" si="40"/>
        <v>#N/A</v>
      </c>
      <c r="AN100" s="633"/>
      <c r="AO100" s="378"/>
      <c r="AP100" s="378"/>
      <c r="AQ100" s="378"/>
      <c r="AR100" s="310" t="e">
        <f t="shared" si="41"/>
        <v>#N/A</v>
      </c>
      <c r="AS100" s="633"/>
      <c r="AT100" s="378"/>
      <c r="AU100" s="378"/>
      <c r="AV100" s="378"/>
      <c r="AW100" s="310" t="e">
        <f t="shared" si="42"/>
        <v>#N/A</v>
      </c>
      <c r="AX100" s="629"/>
    </row>
    <row r="101" spans="2:50">
      <c r="B101" s="598"/>
      <c r="C101" s="310">
        <v>15</v>
      </c>
      <c r="D101" s="231"/>
      <c r="E101" s="187"/>
      <c r="F101" s="310"/>
      <c r="G101" s="312"/>
      <c r="H101" s="634"/>
      <c r="I101" s="207"/>
      <c r="J101" s="207"/>
      <c r="K101" s="207"/>
      <c r="L101" s="573"/>
      <c r="M101" s="204" t="e">
        <f>RANK(K101, K$87:$K$101)</f>
        <v>#N/A</v>
      </c>
      <c r="N101" s="590"/>
      <c r="O101" s="590"/>
      <c r="P101" s="378"/>
      <c r="Q101" s="378"/>
      <c r="R101" s="378"/>
      <c r="S101" s="310" t="e">
        <f t="shared" si="36"/>
        <v>#N/A</v>
      </c>
      <c r="T101" s="634"/>
      <c r="U101" s="378"/>
      <c r="V101" s="378"/>
      <c r="W101" s="378"/>
      <c r="X101" s="310" t="e">
        <f t="shared" si="37"/>
        <v>#N/A</v>
      </c>
      <c r="Y101" s="634"/>
      <c r="Z101" s="378"/>
      <c r="AA101" s="378"/>
      <c r="AB101" s="378"/>
      <c r="AC101" s="310" t="e">
        <f t="shared" si="38"/>
        <v>#N/A</v>
      </c>
      <c r="AD101" s="634"/>
      <c r="AE101" s="378"/>
      <c r="AF101" s="378"/>
      <c r="AG101" s="378"/>
      <c r="AH101" s="310" t="e">
        <f t="shared" si="39"/>
        <v>#N/A</v>
      </c>
      <c r="AI101" s="634"/>
      <c r="AJ101" s="378"/>
      <c r="AK101" s="378"/>
      <c r="AL101" s="378"/>
      <c r="AM101" s="310" t="e">
        <f t="shared" si="40"/>
        <v>#N/A</v>
      </c>
      <c r="AN101" s="634"/>
      <c r="AO101" s="378"/>
      <c r="AP101" s="378"/>
      <c r="AQ101" s="378"/>
      <c r="AR101" s="310" t="e">
        <f t="shared" si="41"/>
        <v>#N/A</v>
      </c>
      <c r="AS101" s="634"/>
      <c r="AT101" s="378"/>
      <c r="AU101" s="378"/>
      <c r="AV101" s="378"/>
      <c r="AW101" s="310" t="e">
        <f t="shared" si="42"/>
        <v>#N/A</v>
      </c>
      <c r="AX101" s="629"/>
    </row>
    <row r="102" spans="2:50" ht="15.75">
      <c r="B102" s="602" t="s">
        <v>163</v>
      </c>
      <c r="C102" s="603"/>
      <c r="D102" s="603"/>
      <c r="E102" s="603"/>
      <c r="F102" s="603"/>
      <c r="G102" s="603"/>
      <c r="H102" s="604"/>
      <c r="I102" s="213"/>
      <c r="J102" s="213"/>
      <c r="K102" s="213"/>
      <c r="L102" s="213"/>
      <c r="M102" s="212"/>
      <c r="N102" s="591" t="s">
        <v>156</v>
      </c>
      <c r="O102" s="591" t="s">
        <v>105</v>
      </c>
      <c r="P102" s="597">
        <f>P82+7</f>
        <v>45965</v>
      </c>
      <c r="Q102" s="598"/>
      <c r="R102" s="598"/>
      <c r="S102" s="598"/>
      <c r="T102" s="598"/>
      <c r="U102" s="594">
        <f>P102+1</f>
        <v>45966</v>
      </c>
      <c r="V102" s="595"/>
      <c r="W102" s="595"/>
      <c r="X102" s="595"/>
      <c r="Y102" s="596"/>
      <c r="Z102" s="594">
        <f>U102+1</f>
        <v>45967</v>
      </c>
      <c r="AA102" s="595"/>
      <c r="AB102" s="595"/>
      <c r="AC102" s="595"/>
      <c r="AD102" s="596"/>
      <c r="AE102" s="594">
        <f>Z102+1</f>
        <v>45968</v>
      </c>
      <c r="AF102" s="595"/>
      <c r="AG102" s="595"/>
      <c r="AH102" s="595"/>
      <c r="AI102" s="596"/>
      <c r="AJ102" s="594">
        <f>AE102+1</f>
        <v>45969</v>
      </c>
      <c r="AK102" s="595"/>
      <c r="AL102" s="595"/>
      <c r="AM102" s="595"/>
      <c r="AN102" s="596"/>
      <c r="AO102" s="594">
        <f>AJ102+1</f>
        <v>45970</v>
      </c>
      <c r="AP102" s="595"/>
      <c r="AQ102" s="595"/>
      <c r="AR102" s="595"/>
      <c r="AS102" s="596"/>
      <c r="AT102" s="594">
        <f>AO102+1</f>
        <v>45971</v>
      </c>
      <c r="AU102" s="595"/>
      <c r="AV102" s="595"/>
      <c r="AW102" s="595"/>
      <c r="AX102" s="596"/>
    </row>
    <row r="103" spans="2:50" ht="15.75">
      <c r="B103" s="605"/>
      <c r="C103" s="605"/>
      <c r="D103" s="605"/>
      <c r="E103" s="605"/>
      <c r="F103" s="605"/>
      <c r="G103" s="605"/>
      <c r="H103" s="605"/>
      <c r="I103" s="210"/>
      <c r="J103" s="210"/>
      <c r="K103" s="210"/>
      <c r="L103" s="210"/>
      <c r="M103" s="211"/>
      <c r="N103" s="593"/>
      <c r="O103" s="593"/>
      <c r="P103" s="597" t="s">
        <v>158</v>
      </c>
      <c r="Q103" s="598"/>
      <c r="R103" s="598"/>
      <c r="S103" s="598"/>
      <c r="T103" s="598"/>
      <c r="U103" s="597" t="s">
        <v>114</v>
      </c>
      <c r="V103" s="598"/>
      <c r="W103" s="598"/>
      <c r="X103" s="598"/>
      <c r="Y103" s="598"/>
      <c r="Z103" s="597" t="s">
        <v>159</v>
      </c>
      <c r="AA103" s="598"/>
      <c r="AB103" s="598"/>
      <c r="AC103" s="598"/>
      <c r="AD103" s="598"/>
      <c r="AE103" s="597" t="s">
        <v>157</v>
      </c>
      <c r="AF103" s="598"/>
      <c r="AG103" s="598"/>
      <c r="AH103" s="598"/>
      <c r="AI103" s="598"/>
      <c r="AJ103" s="597" t="s">
        <v>160</v>
      </c>
      <c r="AK103" s="598"/>
      <c r="AL103" s="598"/>
      <c r="AM103" s="598"/>
      <c r="AN103" s="598"/>
      <c r="AO103" s="597" t="s">
        <v>115</v>
      </c>
      <c r="AP103" s="598"/>
      <c r="AQ103" s="598"/>
      <c r="AR103" s="598"/>
      <c r="AS103" s="598"/>
      <c r="AT103" s="597" t="s">
        <v>162</v>
      </c>
      <c r="AU103" s="598"/>
      <c r="AV103" s="598"/>
      <c r="AW103" s="598"/>
      <c r="AX103" s="598"/>
    </row>
    <row r="104" spans="2:50">
      <c r="B104" s="590" t="s">
        <v>154</v>
      </c>
      <c r="C104" s="590" t="s">
        <v>454</v>
      </c>
      <c r="D104" s="590"/>
      <c r="E104" s="590" t="s">
        <v>445</v>
      </c>
      <c r="F104" s="590"/>
      <c r="G104" s="590"/>
      <c r="H104" s="606" t="s">
        <v>441</v>
      </c>
      <c r="I104" s="574" t="s">
        <v>446</v>
      </c>
      <c r="J104" s="574"/>
      <c r="K104" s="574"/>
      <c r="L104" s="575" t="s">
        <v>441</v>
      </c>
      <c r="M104" s="581" t="s">
        <v>442</v>
      </c>
      <c r="N104" s="590"/>
      <c r="O104" s="590" t="s">
        <v>447</v>
      </c>
      <c r="P104" s="587" t="s">
        <v>443</v>
      </c>
      <c r="Q104" s="588"/>
      <c r="R104" s="588"/>
      <c r="S104" s="589"/>
      <c r="T104" s="590" t="s">
        <v>441</v>
      </c>
      <c r="U104" s="587" t="s">
        <v>443</v>
      </c>
      <c r="V104" s="588"/>
      <c r="W104" s="588"/>
      <c r="X104" s="589"/>
      <c r="Y104" s="590" t="s">
        <v>441</v>
      </c>
      <c r="Z104" s="587" t="s">
        <v>443</v>
      </c>
      <c r="AA104" s="588"/>
      <c r="AB104" s="588"/>
      <c r="AC104" s="589"/>
      <c r="AD104" s="590" t="s">
        <v>441</v>
      </c>
      <c r="AE104" s="587" t="s">
        <v>443</v>
      </c>
      <c r="AF104" s="588"/>
      <c r="AG104" s="588"/>
      <c r="AH104" s="589"/>
      <c r="AI104" s="590" t="s">
        <v>441</v>
      </c>
      <c r="AJ104" s="587" t="s">
        <v>443</v>
      </c>
      <c r="AK104" s="588"/>
      <c r="AL104" s="588"/>
      <c r="AM104" s="589"/>
      <c r="AN104" s="590" t="s">
        <v>441</v>
      </c>
      <c r="AO104" s="587" t="s">
        <v>443</v>
      </c>
      <c r="AP104" s="588"/>
      <c r="AQ104" s="588"/>
      <c r="AR104" s="589"/>
      <c r="AS104" s="590" t="s">
        <v>441</v>
      </c>
      <c r="AT104" s="587" t="s">
        <v>443</v>
      </c>
      <c r="AU104" s="588"/>
      <c r="AV104" s="588"/>
      <c r="AW104" s="589"/>
      <c r="AX104" s="590" t="s">
        <v>441</v>
      </c>
    </row>
    <row r="105" spans="2:50">
      <c r="B105" s="590"/>
      <c r="C105" s="590"/>
      <c r="D105" s="590"/>
      <c r="E105" s="590" t="s">
        <v>448</v>
      </c>
      <c r="F105" s="590"/>
      <c r="G105" s="590"/>
      <c r="H105" s="607"/>
      <c r="I105" s="574" t="s">
        <v>448</v>
      </c>
      <c r="J105" s="574"/>
      <c r="K105" s="574"/>
      <c r="L105" s="576"/>
      <c r="M105" s="582"/>
      <c r="N105" s="590"/>
      <c r="O105" s="590"/>
      <c r="P105" s="587" t="s">
        <v>449</v>
      </c>
      <c r="Q105" s="588"/>
      <c r="R105" s="588"/>
      <c r="S105" s="589"/>
      <c r="T105" s="590"/>
      <c r="U105" s="587" t="s">
        <v>449</v>
      </c>
      <c r="V105" s="588"/>
      <c r="W105" s="588"/>
      <c r="X105" s="589"/>
      <c r="Y105" s="590"/>
      <c r="Z105" s="587" t="s">
        <v>449</v>
      </c>
      <c r="AA105" s="588"/>
      <c r="AB105" s="588"/>
      <c r="AC105" s="589"/>
      <c r="AD105" s="590"/>
      <c r="AE105" s="587" t="s">
        <v>449</v>
      </c>
      <c r="AF105" s="588"/>
      <c r="AG105" s="588"/>
      <c r="AH105" s="589"/>
      <c r="AI105" s="590"/>
      <c r="AJ105" s="587" t="s">
        <v>449</v>
      </c>
      <c r="AK105" s="588"/>
      <c r="AL105" s="588"/>
      <c r="AM105" s="589"/>
      <c r="AN105" s="590"/>
      <c r="AO105" s="587" t="s">
        <v>449</v>
      </c>
      <c r="AP105" s="588"/>
      <c r="AQ105" s="588"/>
      <c r="AR105" s="589"/>
      <c r="AS105" s="590"/>
      <c r="AT105" s="587" t="s">
        <v>449</v>
      </c>
      <c r="AU105" s="588"/>
      <c r="AV105" s="588"/>
      <c r="AW105" s="589"/>
      <c r="AX105" s="590"/>
    </row>
    <row r="106" spans="2:50">
      <c r="B106" s="590"/>
      <c r="C106" s="590"/>
      <c r="D106" s="590"/>
      <c r="E106" s="358" t="s">
        <v>450</v>
      </c>
      <c r="F106" s="358" t="s">
        <v>451</v>
      </c>
      <c r="G106" s="358" t="s">
        <v>452</v>
      </c>
      <c r="H106" s="608"/>
      <c r="I106" s="359" t="s">
        <v>450</v>
      </c>
      <c r="J106" s="359" t="s">
        <v>451</v>
      </c>
      <c r="K106" s="359" t="s">
        <v>452</v>
      </c>
      <c r="L106" s="577"/>
      <c r="M106" s="583"/>
      <c r="N106" s="590"/>
      <c r="O106" s="590"/>
      <c r="P106" s="358" t="s">
        <v>450</v>
      </c>
      <c r="Q106" s="358" t="s">
        <v>451</v>
      </c>
      <c r="R106" s="358" t="s">
        <v>452</v>
      </c>
      <c r="S106" s="358" t="s">
        <v>442</v>
      </c>
      <c r="T106" s="590"/>
      <c r="U106" s="358" t="s">
        <v>450</v>
      </c>
      <c r="V106" s="358" t="s">
        <v>451</v>
      </c>
      <c r="W106" s="358" t="s">
        <v>452</v>
      </c>
      <c r="X106" s="358" t="s">
        <v>442</v>
      </c>
      <c r="Y106" s="590"/>
      <c r="Z106" s="358" t="s">
        <v>450</v>
      </c>
      <c r="AA106" s="358" t="s">
        <v>451</v>
      </c>
      <c r="AB106" s="358" t="s">
        <v>452</v>
      </c>
      <c r="AC106" s="358" t="s">
        <v>442</v>
      </c>
      <c r="AD106" s="590"/>
      <c r="AE106" s="358" t="s">
        <v>450</v>
      </c>
      <c r="AF106" s="358" t="s">
        <v>451</v>
      </c>
      <c r="AG106" s="358" t="s">
        <v>452</v>
      </c>
      <c r="AH106" s="358" t="s">
        <v>442</v>
      </c>
      <c r="AI106" s="590"/>
      <c r="AJ106" s="358" t="s">
        <v>450</v>
      </c>
      <c r="AK106" s="358" t="s">
        <v>451</v>
      </c>
      <c r="AL106" s="358" t="s">
        <v>452</v>
      </c>
      <c r="AM106" s="358" t="s">
        <v>442</v>
      </c>
      <c r="AN106" s="590"/>
      <c r="AO106" s="358" t="s">
        <v>450</v>
      </c>
      <c r="AP106" s="358" t="s">
        <v>451</v>
      </c>
      <c r="AQ106" s="358" t="s">
        <v>452</v>
      </c>
      <c r="AR106" s="358" t="s">
        <v>442</v>
      </c>
      <c r="AS106" s="590"/>
      <c r="AT106" s="358" t="s">
        <v>450</v>
      </c>
      <c r="AU106" s="358" t="s">
        <v>451</v>
      </c>
      <c r="AV106" s="358" t="s">
        <v>452</v>
      </c>
      <c r="AW106" s="358" t="s">
        <v>442</v>
      </c>
      <c r="AX106" s="590"/>
    </row>
    <row r="107" spans="2:50">
      <c r="B107" s="590" t="s">
        <v>521</v>
      </c>
      <c r="C107" s="357">
        <v>1</v>
      </c>
      <c r="D107" s="231"/>
      <c r="E107" s="187"/>
      <c r="F107" s="357"/>
      <c r="G107" s="360"/>
      <c r="H107" s="632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71" t="str">
        <f>IFERROR(AVERAGE(K107:K121),"-")</f>
        <v>-</v>
      </c>
      <c r="M107" s="206" t="e">
        <f>RANK(K107, K$107:$K$121)</f>
        <v>#DIV/0!</v>
      </c>
      <c r="N107" s="590"/>
      <c r="O107" s="590"/>
      <c r="P107" s="187"/>
      <c r="Q107" s="360"/>
      <c r="R107" s="360"/>
      <c r="S107" s="357" t="e">
        <f>RANK(R107, R$107:R$121)</f>
        <v>#N/A</v>
      </c>
      <c r="T107" s="632" t="e">
        <f>AVERAGE(R107:R121)</f>
        <v>#DIV/0!</v>
      </c>
      <c r="U107" s="187"/>
      <c r="V107" s="379"/>
      <c r="W107" s="379"/>
      <c r="X107" s="357" t="e">
        <f>RANK(W107, W$107:W$121)</f>
        <v>#N/A</v>
      </c>
      <c r="Y107" s="632" t="e">
        <f>AVERAGE(W107:W121)</f>
        <v>#DIV/0!</v>
      </c>
      <c r="Z107" s="187"/>
      <c r="AA107" s="379"/>
      <c r="AB107" s="379"/>
      <c r="AC107" s="357" t="e">
        <f>RANK(AB107, AB$107:AB$121)</f>
        <v>#N/A</v>
      </c>
      <c r="AD107" s="632" t="e">
        <f>AVERAGE(AB107:AB121)</f>
        <v>#DIV/0!</v>
      </c>
      <c r="AE107" s="187"/>
      <c r="AF107" s="379"/>
      <c r="AG107" s="379"/>
      <c r="AH107" s="357" t="e">
        <f>RANK(AG107, AG$107:AG$121)</f>
        <v>#N/A</v>
      </c>
      <c r="AI107" s="632" t="e">
        <f>AVERAGE(AG107:AG121)</f>
        <v>#DIV/0!</v>
      </c>
      <c r="AJ107" s="187"/>
      <c r="AK107" s="379"/>
      <c r="AL107" s="379"/>
      <c r="AM107" s="357" t="e">
        <f>RANK(AL107, AL$107:AL$121)</f>
        <v>#N/A</v>
      </c>
      <c r="AN107" s="632" t="e">
        <f>AVERAGE(AL107:AL121)</f>
        <v>#DIV/0!</v>
      </c>
      <c r="AO107" s="187"/>
      <c r="AP107" s="379"/>
      <c r="AQ107" s="379"/>
      <c r="AR107" s="357" t="e">
        <f>RANK(AQ107, AQ$107:AQ$121)</f>
        <v>#N/A</v>
      </c>
      <c r="AS107" s="632" t="e">
        <f>AVERAGE(AQ107:AQ121)</f>
        <v>#DIV/0!</v>
      </c>
      <c r="AT107" s="187"/>
      <c r="AU107" s="379"/>
      <c r="AV107" s="379"/>
      <c r="AW107" s="357" t="e">
        <f>RANK(AV107, AV$107:AV$121)</f>
        <v>#N/A</v>
      </c>
      <c r="AX107" s="629" t="e">
        <f>AVERAGE(AV107:AV121)</f>
        <v>#DIV/0!</v>
      </c>
    </row>
    <row r="108" spans="2:50">
      <c r="B108" s="598"/>
      <c r="C108" s="357">
        <v>2</v>
      </c>
      <c r="D108" s="231"/>
      <c r="E108" s="187"/>
      <c r="F108" s="357"/>
      <c r="G108" s="360"/>
      <c r="H108" s="633"/>
      <c r="I108" s="204" t="e">
        <f t="shared" ref="I108:I110" si="43">AVERAGE(P108,U108,Z108,AE108,AJ108,AO108,AT108)</f>
        <v>#DIV/0!</v>
      </c>
      <c r="J108" s="204" t="e">
        <f t="shared" ref="J108:J110" si="44">AVERAGE(Q108,V108,AA108,AF108,AK108,AP108,AU108)</f>
        <v>#DIV/0!</v>
      </c>
      <c r="K108" s="205" t="e">
        <f t="shared" ref="K108:K110" si="45">AVERAGE(R108,W108,AB108,AG108,AL108,AQ108,AV108)</f>
        <v>#DIV/0!</v>
      </c>
      <c r="L108" s="572"/>
      <c r="M108" s="368" t="e">
        <f>RANK(K108, K$107:$K$121)</f>
        <v>#DIV/0!</v>
      </c>
      <c r="N108" s="590"/>
      <c r="O108" s="590"/>
      <c r="P108" s="357"/>
      <c r="Q108" s="360"/>
      <c r="R108" s="360"/>
      <c r="S108" s="367" t="e">
        <f t="shared" ref="S108:S121" si="46">RANK(R108, R$107:R$121)</f>
        <v>#N/A</v>
      </c>
      <c r="T108" s="633"/>
      <c r="U108" s="378"/>
      <c r="V108" s="379"/>
      <c r="W108" s="379"/>
      <c r="X108" s="357" t="e">
        <f t="shared" ref="X108:X121" si="47">RANK(W108, W$107:W$121)</f>
        <v>#N/A</v>
      </c>
      <c r="Y108" s="633"/>
      <c r="Z108" s="378"/>
      <c r="AA108" s="379"/>
      <c r="AB108" s="379"/>
      <c r="AC108" s="357" t="e">
        <f t="shared" ref="AC108:AC121" si="48">RANK(AB108, AB$107:AB$121)</f>
        <v>#N/A</v>
      </c>
      <c r="AD108" s="633"/>
      <c r="AE108" s="378"/>
      <c r="AF108" s="379"/>
      <c r="AG108" s="379"/>
      <c r="AH108" s="357" t="e">
        <f t="shared" ref="AH108:AH121" si="49">RANK(AG108, AG$107:AG$121)</f>
        <v>#N/A</v>
      </c>
      <c r="AI108" s="633"/>
      <c r="AJ108" s="378"/>
      <c r="AK108" s="379"/>
      <c r="AL108" s="379"/>
      <c r="AM108" s="357" t="e">
        <f t="shared" ref="AM108:AM121" si="50">RANK(AL108, AL$107:AL$121)</f>
        <v>#N/A</v>
      </c>
      <c r="AN108" s="633"/>
      <c r="AO108" s="378"/>
      <c r="AP108" s="379"/>
      <c r="AQ108" s="379"/>
      <c r="AR108" s="357" t="e">
        <f t="shared" ref="AR108:AR121" si="51">RANK(AQ108, AQ$107:AQ$121)</f>
        <v>#N/A</v>
      </c>
      <c r="AS108" s="633"/>
      <c r="AT108" s="378"/>
      <c r="AU108" s="379"/>
      <c r="AV108" s="379"/>
      <c r="AW108" s="357" t="e">
        <f t="shared" ref="AW108:AW121" si="52">RANK(AV108, AV$107:AV$121)</f>
        <v>#N/A</v>
      </c>
      <c r="AX108" s="629"/>
    </row>
    <row r="109" spans="2:50">
      <c r="B109" s="598"/>
      <c r="C109" s="357">
        <v>3</v>
      </c>
      <c r="D109" s="231"/>
      <c r="E109" s="187"/>
      <c r="F109" s="357"/>
      <c r="G109" s="360"/>
      <c r="H109" s="633"/>
      <c r="I109" s="204" t="e">
        <f t="shared" si="43"/>
        <v>#DIV/0!</v>
      </c>
      <c r="J109" s="204" t="e">
        <f t="shared" si="44"/>
        <v>#DIV/0!</v>
      </c>
      <c r="K109" s="205" t="e">
        <f t="shared" si="45"/>
        <v>#DIV/0!</v>
      </c>
      <c r="L109" s="572"/>
      <c r="M109" s="368" t="e">
        <f>RANK(K109, K$107:$K$121)</f>
        <v>#DIV/0!</v>
      </c>
      <c r="N109" s="590"/>
      <c r="O109" s="590"/>
      <c r="P109" s="357"/>
      <c r="Q109" s="360"/>
      <c r="R109" s="360"/>
      <c r="S109" s="367" t="e">
        <f t="shared" si="46"/>
        <v>#N/A</v>
      </c>
      <c r="T109" s="633"/>
      <c r="U109" s="378"/>
      <c r="V109" s="379"/>
      <c r="W109" s="379"/>
      <c r="X109" s="357" t="e">
        <f t="shared" si="47"/>
        <v>#N/A</v>
      </c>
      <c r="Y109" s="633"/>
      <c r="Z109" s="378"/>
      <c r="AA109" s="379"/>
      <c r="AB109" s="379"/>
      <c r="AC109" s="357" t="e">
        <f t="shared" si="48"/>
        <v>#N/A</v>
      </c>
      <c r="AD109" s="633"/>
      <c r="AE109" s="378"/>
      <c r="AF109" s="379"/>
      <c r="AG109" s="379"/>
      <c r="AH109" s="357" t="e">
        <f t="shared" si="49"/>
        <v>#N/A</v>
      </c>
      <c r="AI109" s="633"/>
      <c r="AJ109" s="378"/>
      <c r="AK109" s="379"/>
      <c r="AL109" s="379"/>
      <c r="AM109" s="357" t="e">
        <f t="shared" si="50"/>
        <v>#N/A</v>
      </c>
      <c r="AN109" s="633"/>
      <c r="AO109" s="378"/>
      <c r="AP109" s="379"/>
      <c r="AQ109" s="379"/>
      <c r="AR109" s="357" t="e">
        <f t="shared" si="51"/>
        <v>#N/A</v>
      </c>
      <c r="AS109" s="633"/>
      <c r="AT109" s="378"/>
      <c r="AU109" s="379"/>
      <c r="AV109" s="379"/>
      <c r="AW109" s="357" t="e">
        <f t="shared" si="52"/>
        <v>#N/A</v>
      </c>
      <c r="AX109" s="629"/>
    </row>
    <row r="110" spans="2:50">
      <c r="B110" s="598"/>
      <c r="C110" s="357">
        <v>4</v>
      </c>
      <c r="D110" s="231"/>
      <c r="E110" s="187"/>
      <c r="F110" s="357"/>
      <c r="G110" s="360"/>
      <c r="H110" s="633"/>
      <c r="I110" s="204" t="e">
        <f t="shared" si="43"/>
        <v>#DIV/0!</v>
      </c>
      <c r="J110" s="204" t="e">
        <f t="shared" si="44"/>
        <v>#DIV/0!</v>
      </c>
      <c r="K110" s="205" t="e">
        <f t="shared" si="45"/>
        <v>#DIV/0!</v>
      </c>
      <c r="L110" s="572"/>
      <c r="M110" s="368" t="e">
        <f>RANK(K110, K$107:$K$121)</f>
        <v>#DIV/0!</v>
      </c>
      <c r="N110" s="590"/>
      <c r="O110" s="590"/>
      <c r="P110" s="357"/>
      <c r="Q110" s="360"/>
      <c r="R110" s="360"/>
      <c r="S110" s="367" t="e">
        <f t="shared" si="46"/>
        <v>#N/A</v>
      </c>
      <c r="T110" s="633"/>
      <c r="U110" s="378"/>
      <c r="V110" s="379"/>
      <c r="W110" s="379"/>
      <c r="X110" s="357" t="e">
        <f t="shared" si="47"/>
        <v>#N/A</v>
      </c>
      <c r="Y110" s="633"/>
      <c r="Z110" s="378"/>
      <c r="AA110" s="379"/>
      <c r="AB110" s="379"/>
      <c r="AC110" s="357" t="e">
        <f t="shared" si="48"/>
        <v>#N/A</v>
      </c>
      <c r="AD110" s="633"/>
      <c r="AE110" s="378"/>
      <c r="AF110" s="379"/>
      <c r="AG110" s="379"/>
      <c r="AH110" s="357" t="e">
        <f t="shared" si="49"/>
        <v>#N/A</v>
      </c>
      <c r="AI110" s="633"/>
      <c r="AJ110" s="378"/>
      <c r="AK110" s="379"/>
      <c r="AL110" s="379"/>
      <c r="AM110" s="357" t="e">
        <f t="shared" si="50"/>
        <v>#N/A</v>
      </c>
      <c r="AN110" s="633"/>
      <c r="AO110" s="378"/>
      <c r="AP110" s="379"/>
      <c r="AQ110" s="379"/>
      <c r="AR110" s="357" t="e">
        <f t="shared" si="51"/>
        <v>#N/A</v>
      </c>
      <c r="AS110" s="633"/>
      <c r="AT110" s="378"/>
      <c r="AU110" s="379"/>
      <c r="AV110" s="379"/>
      <c r="AW110" s="357" t="e">
        <f t="shared" si="52"/>
        <v>#N/A</v>
      </c>
      <c r="AX110" s="629"/>
    </row>
    <row r="111" spans="2:50">
      <c r="B111" s="598"/>
      <c r="C111" s="357">
        <v>5</v>
      </c>
      <c r="D111" s="231"/>
      <c r="E111" s="187"/>
      <c r="F111" s="357"/>
      <c r="G111" s="360"/>
      <c r="H111" s="633"/>
      <c r="I111" s="204"/>
      <c r="J111" s="204"/>
      <c r="K111" s="205"/>
      <c r="L111" s="572"/>
      <c r="M111" s="368" t="e">
        <f>RANK(K111, K$107:$K$121)</f>
        <v>#DIV/0!</v>
      </c>
      <c r="N111" s="590"/>
      <c r="O111" s="590"/>
      <c r="P111" s="357"/>
      <c r="Q111" s="360"/>
      <c r="R111" s="360"/>
      <c r="S111" s="367" t="e">
        <f t="shared" si="46"/>
        <v>#N/A</v>
      </c>
      <c r="T111" s="633"/>
      <c r="U111" s="378"/>
      <c r="V111" s="379"/>
      <c r="W111" s="379"/>
      <c r="X111" s="357" t="e">
        <f t="shared" si="47"/>
        <v>#N/A</v>
      </c>
      <c r="Y111" s="633"/>
      <c r="Z111" s="378"/>
      <c r="AA111" s="379"/>
      <c r="AB111" s="379"/>
      <c r="AC111" s="357" t="e">
        <f t="shared" si="48"/>
        <v>#N/A</v>
      </c>
      <c r="AD111" s="633"/>
      <c r="AE111" s="378"/>
      <c r="AF111" s="379"/>
      <c r="AG111" s="379"/>
      <c r="AH111" s="357" t="e">
        <f t="shared" si="49"/>
        <v>#N/A</v>
      </c>
      <c r="AI111" s="633"/>
      <c r="AJ111" s="378"/>
      <c r="AK111" s="379"/>
      <c r="AL111" s="379"/>
      <c r="AM111" s="357" t="e">
        <f t="shared" si="50"/>
        <v>#N/A</v>
      </c>
      <c r="AN111" s="633"/>
      <c r="AO111" s="378"/>
      <c r="AP111" s="379"/>
      <c r="AQ111" s="379"/>
      <c r="AR111" s="357" t="e">
        <f t="shared" si="51"/>
        <v>#N/A</v>
      </c>
      <c r="AS111" s="633"/>
      <c r="AT111" s="378"/>
      <c r="AU111" s="379"/>
      <c r="AV111" s="379"/>
      <c r="AW111" s="357" t="e">
        <f t="shared" si="52"/>
        <v>#N/A</v>
      </c>
      <c r="AX111" s="629"/>
    </row>
    <row r="112" spans="2:50">
      <c r="B112" s="598"/>
      <c r="C112" s="357">
        <v>6</v>
      </c>
      <c r="D112" s="231"/>
      <c r="E112" s="187"/>
      <c r="F112" s="357"/>
      <c r="G112" s="360"/>
      <c r="H112" s="633"/>
      <c r="I112" s="204"/>
      <c r="J112" s="204"/>
      <c r="K112" s="205"/>
      <c r="L112" s="572"/>
      <c r="M112" s="368" t="e">
        <f>RANK(K112, K$107:$K$121)</f>
        <v>#DIV/0!</v>
      </c>
      <c r="N112" s="590"/>
      <c r="O112" s="590"/>
      <c r="P112" s="357"/>
      <c r="Q112" s="360"/>
      <c r="R112" s="360"/>
      <c r="S112" s="367" t="e">
        <f t="shared" si="46"/>
        <v>#N/A</v>
      </c>
      <c r="T112" s="633"/>
      <c r="U112" s="378"/>
      <c r="V112" s="379"/>
      <c r="W112" s="379"/>
      <c r="X112" s="357" t="e">
        <f t="shared" si="47"/>
        <v>#N/A</v>
      </c>
      <c r="Y112" s="633"/>
      <c r="Z112" s="378"/>
      <c r="AA112" s="379"/>
      <c r="AB112" s="379"/>
      <c r="AC112" s="357" t="e">
        <f t="shared" si="48"/>
        <v>#N/A</v>
      </c>
      <c r="AD112" s="633"/>
      <c r="AE112" s="378"/>
      <c r="AF112" s="379"/>
      <c r="AG112" s="379"/>
      <c r="AH112" s="357" t="e">
        <f t="shared" si="49"/>
        <v>#N/A</v>
      </c>
      <c r="AI112" s="633"/>
      <c r="AJ112" s="378"/>
      <c r="AK112" s="379"/>
      <c r="AL112" s="379"/>
      <c r="AM112" s="357" t="e">
        <f t="shared" si="50"/>
        <v>#N/A</v>
      </c>
      <c r="AN112" s="633"/>
      <c r="AO112" s="378"/>
      <c r="AP112" s="379"/>
      <c r="AQ112" s="379"/>
      <c r="AR112" s="357" t="e">
        <f t="shared" si="51"/>
        <v>#N/A</v>
      </c>
      <c r="AS112" s="633"/>
      <c r="AT112" s="378"/>
      <c r="AU112" s="379"/>
      <c r="AV112" s="379"/>
      <c r="AW112" s="357" t="e">
        <f t="shared" si="52"/>
        <v>#N/A</v>
      </c>
      <c r="AX112" s="629"/>
    </row>
    <row r="113" spans="2:50">
      <c r="B113" s="598"/>
      <c r="C113" s="357">
        <v>7</v>
      </c>
      <c r="D113" s="231"/>
      <c r="E113" s="187"/>
      <c r="F113" s="357"/>
      <c r="G113" s="360"/>
      <c r="H113" s="633"/>
      <c r="I113" s="204"/>
      <c r="J113" s="204"/>
      <c r="K113" s="205"/>
      <c r="L113" s="572"/>
      <c r="M113" s="368" t="e">
        <f>RANK(K113, K$107:$K$121)</f>
        <v>#DIV/0!</v>
      </c>
      <c r="N113" s="590"/>
      <c r="O113" s="590"/>
      <c r="P113" s="357"/>
      <c r="Q113" s="360"/>
      <c r="R113" s="360"/>
      <c r="S113" s="367" t="e">
        <f t="shared" si="46"/>
        <v>#N/A</v>
      </c>
      <c r="T113" s="633"/>
      <c r="U113" s="378"/>
      <c r="V113" s="379"/>
      <c r="W113" s="379"/>
      <c r="X113" s="357" t="e">
        <f t="shared" si="47"/>
        <v>#N/A</v>
      </c>
      <c r="Y113" s="633"/>
      <c r="Z113" s="378"/>
      <c r="AA113" s="379"/>
      <c r="AB113" s="379"/>
      <c r="AC113" s="357" t="e">
        <f t="shared" si="48"/>
        <v>#N/A</v>
      </c>
      <c r="AD113" s="633"/>
      <c r="AE113" s="378"/>
      <c r="AF113" s="379"/>
      <c r="AG113" s="379"/>
      <c r="AH113" s="357" t="e">
        <f t="shared" si="49"/>
        <v>#N/A</v>
      </c>
      <c r="AI113" s="633"/>
      <c r="AJ113" s="378"/>
      <c r="AK113" s="379"/>
      <c r="AL113" s="379"/>
      <c r="AM113" s="357" t="e">
        <f t="shared" si="50"/>
        <v>#N/A</v>
      </c>
      <c r="AN113" s="633"/>
      <c r="AO113" s="378"/>
      <c r="AP113" s="379"/>
      <c r="AQ113" s="379"/>
      <c r="AR113" s="357" t="e">
        <f t="shared" si="51"/>
        <v>#N/A</v>
      </c>
      <c r="AS113" s="633"/>
      <c r="AT113" s="378"/>
      <c r="AU113" s="379"/>
      <c r="AV113" s="379"/>
      <c r="AW113" s="357" t="e">
        <f t="shared" si="52"/>
        <v>#N/A</v>
      </c>
      <c r="AX113" s="629"/>
    </row>
    <row r="114" spans="2:50">
      <c r="B114" s="598"/>
      <c r="C114" s="357">
        <v>8</v>
      </c>
      <c r="D114" s="231"/>
      <c r="E114" s="187"/>
      <c r="F114" s="357"/>
      <c r="G114" s="360"/>
      <c r="H114" s="633"/>
      <c r="I114" s="204"/>
      <c r="J114" s="204"/>
      <c r="K114" s="205"/>
      <c r="L114" s="572"/>
      <c r="M114" s="368" t="e">
        <f>RANK(K114, K$107:$K$121)</f>
        <v>#DIV/0!</v>
      </c>
      <c r="N114" s="590"/>
      <c r="O114" s="590"/>
      <c r="P114" s="357"/>
      <c r="Q114" s="360"/>
      <c r="R114" s="360"/>
      <c r="S114" s="367" t="e">
        <f t="shared" si="46"/>
        <v>#N/A</v>
      </c>
      <c r="T114" s="633"/>
      <c r="U114" s="378"/>
      <c r="V114" s="379"/>
      <c r="W114" s="379"/>
      <c r="X114" s="357" t="e">
        <f t="shared" si="47"/>
        <v>#N/A</v>
      </c>
      <c r="Y114" s="633"/>
      <c r="Z114" s="378"/>
      <c r="AA114" s="379"/>
      <c r="AB114" s="379"/>
      <c r="AC114" s="357" t="e">
        <f t="shared" si="48"/>
        <v>#N/A</v>
      </c>
      <c r="AD114" s="633"/>
      <c r="AE114" s="378"/>
      <c r="AF114" s="379"/>
      <c r="AG114" s="379"/>
      <c r="AH114" s="357" t="e">
        <f t="shared" si="49"/>
        <v>#N/A</v>
      </c>
      <c r="AI114" s="633"/>
      <c r="AJ114" s="378"/>
      <c r="AK114" s="379"/>
      <c r="AL114" s="379"/>
      <c r="AM114" s="357" t="e">
        <f t="shared" si="50"/>
        <v>#N/A</v>
      </c>
      <c r="AN114" s="633"/>
      <c r="AO114" s="378"/>
      <c r="AP114" s="379"/>
      <c r="AQ114" s="379"/>
      <c r="AR114" s="357" t="e">
        <f t="shared" si="51"/>
        <v>#N/A</v>
      </c>
      <c r="AS114" s="633"/>
      <c r="AT114" s="378"/>
      <c r="AU114" s="379"/>
      <c r="AV114" s="379"/>
      <c r="AW114" s="357" t="e">
        <f t="shared" si="52"/>
        <v>#N/A</v>
      </c>
      <c r="AX114" s="629"/>
    </row>
    <row r="115" spans="2:50">
      <c r="B115" s="598"/>
      <c r="C115" s="357">
        <v>9</v>
      </c>
      <c r="D115" s="231"/>
      <c r="E115" s="187"/>
      <c r="F115" s="357"/>
      <c r="G115" s="360"/>
      <c r="H115" s="633"/>
      <c r="I115" s="204"/>
      <c r="J115" s="204"/>
      <c r="K115" s="205"/>
      <c r="L115" s="572"/>
      <c r="M115" s="368" t="e">
        <f>RANK(K115, K$107:$K$121)</f>
        <v>#DIV/0!</v>
      </c>
      <c r="N115" s="590"/>
      <c r="O115" s="590"/>
      <c r="P115" s="357"/>
      <c r="Q115" s="360"/>
      <c r="R115" s="360"/>
      <c r="S115" s="367" t="e">
        <f t="shared" si="46"/>
        <v>#N/A</v>
      </c>
      <c r="T115" s="633"/>
      <c r="U115" s="378"/>
      <c r="V115" s="379"/>
      <c r="W115" s="379"/>
      <c r="X115" s="357" t="e">
        <f t="shared" si="47"/>
        <v>#N/A</v>
      </c>
      <c r="Y115" s="633"/>
      <c r="Z115" s="378"/>
      <c r="AA115" s="379"/>
      <c r="AB115" s="379"/>
      <c r="AC115" s="357" t="e">
        <f t="shared" si="48"/>
        <v>#N/A</v>
      </c>
      <c r="AD115" s="633"/>
      <c r="AE115" s="378"/>
      <c r="AF115" s="379"/>
      <c r="AG115" s="379"/>
      <c r="AH115" s="357" t="e">
        <f t="shared" si="49"/>
        <v>#N/A</v>
      </c>
      <c r="AI115" s="633"/>
      <c r="AJ115" s="378"/>
      <c r="AK115" s="379"/>
      <c r="AL115" s="379"/>
      <c r="AM115" s="357" t="e">
        <f t="shared" si="50"/>
        <v>#N/A</v>
      </c>
      <c r="AN115" s="633"/>
      <c r="AO115" s="378"/>
      <c r="AP115" s="379"/>
      <c r="AQ115" s="379"/>
      <c r="AR115" s="357" t="e">
        <f t="shared" si="51"/>
        <v>#N/A</v>
      </c>
      <c r="AS115" s="633"/>
      <c r="AT115" s="378"/>
      <c r="AU115" s="379"/>
      <c r="AV115" s="379"/>
      <c r="AW115" s="357" t="e">
        <f t="shared" si="52"/>
        <v>#N/A</v>
      </c>
      <c r="AX115" s="629"/>
    </row>
    <row r="116" spans="2:50">
      <c r="B116" s="598"/>
      <c r="C116" s="357">
        <v>10</v>
      </c>
      <c r="D116" s="231"/>
      <c r="E116" s="187"/>
      <c r="F116" s="357"/>
      <c r="G116" s="360"/>
      <c r="H116" s="633"/>
      <c r="I116" s="204"/>
      <c r="J116" s="204"/>
      <c r="K116" s="205"/>
      <c r="L116" s="572"/>
      <c r="M116" s="368" t="e">
        <f>RANK(K116, K$107:$K$121)</f>
        <v>#DIV/0!</v>
      </c>
      <c r="N116" s="590"/>
      <c r="O116" s="590"/>
      <c r="P116" s="357"/>
      <c r="Q116" s="357"/>
      <c r="R116" s="360"/>
      <c r="S116" s="367" t="e">
        <f t="shared" si="46"/>
        <v>#N/A</v>
      </c>
      <c r="T116" s="633"/>
      <c r="U116" s="378"/>
      <c r="V116" s="378"/>
      <c r="W116" s="379"/>
      <c r="X116" s="357" t="e">
        <f t="shared" si="47"/>
        <v>#N/A</v>
      </c>
      <c r="Y116" s="633"/>
      <c r="Z116" s="378"/>
      <c r="AA116" s="378"/>
      <c r="AB116" s="379"/>
      <c r="AC116" s="357" t="e">
        <f t="shared" si="48"/>
        <v>#N/A</v>
      </c>
      <c r="AD116" s="633"/>
      <c r="AE116" s="378"/>
      <c r="AF116" s="378"/>
      <c r="AG116" s="379"/>
      <c r="AH116" s="357" t="e">
        <f t="shared" si="49"/>
        <v>#N/A</v>
      </c>
      <c r="AI116" s="633"/>
      <c r="AJ116" s="378"/>
      <c r="AK116" s="378"/>
      <c r="AL116" s="379"/>
      <c r="AM116" s="357" t="e">
        <f t="shared" si="50"/>
        <v>#N/A</v>
      </c>
      <c r="AN116" s="633"/>
      <c r="AO116" s="378"/>
      <c r="AP116" s="378"/>
      <c r="AQ116" s="379"/>
      <c r="AR116" s="357" t="e">
        <f t="shared" si="51"/>
        <v>#N/A</v>
      </c>
      <c r="AS116" s="633"/>
      <c r="AT116" s="378"/>
      <c r="AU116" s="378"/>
      <c r="AV116" s="379"/>
      <c r="AW116" s="357" t="e">
        <f t="shared" si="52"/>
        <v>#N/A</v>
      </c>
      <c r="AX116" s="629"/>
    </row>
    <row r="117" spans="2:50">
      <c r="B117" s="598"/>
      <c r="C117" s="357">
        <v>11</v>
      </c>
      <c r="D117" s="231"/>
      <c r="E117" s="187"/>
      <c r="F117" s="357"/>
      <c r="G117" s="360"/>
      <c r="H117" s="633"/>
      <c r="I117" s="207"/>
      <c r="J117" s="207"/>
      <c r="K117" s="207"/>
      <c r="L117" s="572"/>
      <c r="M117" s="368" t="e">
        <f>RANK(K117, K$107:$K$121)</f>
        <v>#DIV/0!</v>
      </c>
      <c r="N117" s="590"/>
      <c r="O117" s="590"/>
      <c r="P117" s="357"/>
      <c r="Q117" s="357"/>
      <c r="R117" s="357"/>
      <c r="S117" s="367" t="e">
        <f t="shared" si="46"/>
        <v>#N/A</v>
      </c>
      <c r="T117" s="633"/>
      <c r="U117" s="378"/>
      <c r="V117" s="378"/>
      <c r="W117" s="378"/>
      <c r="X117" s="357" t="e">
        <f t="shared" si="47"/>
        <v>#N/A</v>
      </c>
      <c r="Y117" s="633"/>
      <c r="Z117" s="378"/>
      <c r="AA117" s="378"/>
      <c r="AB117" s="378"/>
      <c r="AC117" s="357" t="e">
        <f t="shared" si="48"/>
        <v>#N/A</v>
      </c>
      <c r="AD117" s="633"/>
      <c r="AE117" s="378"/>
      <c r="AF117" s="378"/>
      <c r="AG117" s="378"/>
      <c r="AH117" s="357" t="e">
        <f t="shared" si="49"/>
        <v>#N/A</v>
      </c>
      <c r="AI117" s="633"/>
      <c r="AJ117" s="378"/>
      <c r="AK117" s="378"/>
      <c r="AL117" s="378"/>
      <c r="AM117" s="357" t="e">
        <f t="shared" si="50"/>
        <v>#N/A</v>
      </c>
      <c r="AN117" s="633"/>
      <c r="AO117" s="378"/>
      <c r="AP117" s="378"/>
      <c r="AQ117" s="378"/>
      <c r="AR117" s="357" t="e">
        <f t="shared" si="51"/>
        <v>#N/A</v>
      </c>
      <c r="AS117" s="633"/>
      <c r="AT117" s="378"/>
      <c r="AU117" s="378"/>
      <c r="AV117" s="378"/>
      <c r="AW117" s="357" t="e">
        <f t="shared" si="52"/>
        <v>#N/A</v>
      </c>
      <c r="AX117" s="629"/>
    </row>
    <row r="118" spans="2:50">
      <c r="B118" s="598"/>
      <c r="C118" s="357">
        <v>12</v>
      </c>
      <c r="D118" s="231"/>
      <c r="E118" s="187"/>
      <c r="F118" s="357"/>
      <c r="G118" s="360"/>
      <c r="H118" s="633"/>
      <c r="I118" s="207"/>
      <c r="J118" s="207"/>
      <c r="K118" s="207"/>
      <c r="L118" s="572"/>
      <c r="M118" s="368" t="e">
        <f>RANK(K118, K$107:$K$121)</f>
        <v>#DIV/0!</v>
      </c>
      <c r="N118" s="590"/>
      <c r="O118" s="590"/>
      <c r="P118" s="357"/>
      <c r="Q118" s="357"/>
      <c r="R118" s="357"/>
      <c r="S118" s="367" t="e">
        <f t="shared" si="46"/>
        <v>#N/A</v>
      </c>
      <c r="T118" s="633"/>
      <c r="U118" s="378"/>
      <c r="V118" s="378"/>
      <c r="W118" s="378"/>
      <c r="X118" s="357" t="e">
        <f t="shared" si="47"/>
        <v>#N/A</v>
      </c>
      <c r="Y118" s="633"/>
      <c r="Z118" s="378"/>
      <c r="AA118" s="378"/>
      <c r="AB118" s="378"/>
      <c r="AC118" s="357" t="e">
        <f t="shared" si="48"/>
        <v>#N/A</v>
      </c>
      <c r="AD118" s="633"/>
      <c r="AE118" s="378"/>
      <c r="AF118" s="378"/>
      <c r="AG118" s="378"/>
      <c r="AH118" s="357" t="e">
        <f t="shared" si="49"/>
        <v>#N/A</v>
      </c>
      <c r="AI118" s="633"/>
      <c r="AJ118" s="378"/>
      <c r="AK118" s="378"/>
      <c r="AL118" s="378"/>
      <c r="AM118" s="357" t="e">
        <f t="shared" si="50"/>
        <v>#N/A</v>
      </c>
      <c r="AN118" s="633"/>
      <c r="AO118" s="378"/>
      <c r="AP118" s="378"/>
      <c r="AQ118" s="378"/>
      <c r="AR118" s="357" t="e">
        <f t="shared" si="51"/>
        <v>#N/A</v>
      </c>
      <c r="AS118" s="633"/>
      <c r="AT118" s="378"/>
      <c r="AU118" s="378"/>
      <c r="AV118" s="378"/>
      <c r="AW118" s="357" t="e">
        <f t="shared" si="52"/>
        <v>#N/A</v>
      </c>
      <c r="AX118" s="629"/>
    </row>
    <row r="119" spans="2:50">
      <c r="B119" s="598"/>
      <c r="C119" s="357">
        <v>13</v>
      </c>
      <c r="D119" s="231"/>
      <c r="E119" s="187"/>
      <c r="F119" s="357"/>
      <c r="G119" s="360"/>
      <c r="H119" s="633"/>
      <c r="I119" s="207"/>
      <c r="J119" s="207"/>
      <c r="K119" s="207"/>
      <c r="L119" s="572"/>
      <c r="M119" s="368" t="e">
        <f>RANK(K119, K$107:$K$121)</f>
        <v>#DIV/0!</v>
      </c>
      <c r="N119" s="590"/>
      <c r="O119" s="590"/>
      <c r="P119" s="357"/>
      <c r="Q119" s="357"/>
      <c r="R119" s="357"/>
      <c r="S119" s="367" t="e">
        <f t="shared" si="46"/>
        <v>#N/A</v>
      </c>
      <c r="T119" s="633"/>
      <c r="U119" s="378"/>
      <c r="V119" s="378"/>
      <c r="W119" s="378"/>
      <c r="X119" s="357" t="e">
        <f t="shared" si="47"/>
        <v>#N/A</v>
      </c>
      <c r="Y119" s="633"/>
      <c r="Z119" s="378"/>
      <c r="AA119" s="378"/>
      <c r="AB119" s="378"/>
      <c r="AC119" s="357" t="e">
        <f t="shared" si="48"/>
        <v>#N/A</v>
      </c>
      <c r="AD119" s="633"/>
      <c r="AE119" s="378"/>
      <c r="AF119" s="378"/>
      <c r="AG119" s="378"/>
      <c r="AH119" s="357" t="e">
        <f t="shared" si="49"/>
        <v>#N/A</v>
      </c>
      <c r="AI119" s="633"/>
      <c r="AJ119" s="378"/>
      <c r="AK119" s="378"/>
      <c r="AL119" s="378"/>
      <c r="AM119" s="357" t="e">
        <f t="shared" si="50"/>
        <v>#N/A</v>
      </c>
      <c r="AN119" s="633"/>
      <c r="AO119" s="378"/>
      <c r="AP119" s="378"/>
      <c r="AQ119" s="378"/>
      <c r="AR119" s="357" t="e">
        <f t="shared" si="51"/>
        <v>#N/A</v>
      </c>
      <c r="AS119" s="633"/>
      <c r="AT119" s="378"/>
      <c r="AU119" s="378"/>
      <c r="AV119" s="378"/>
      <c r="AW119" s="357" t="e">
        <f t="shared" si="52"/>
        <v>#N/A</v>
      </c>
      <c r="AX119" s="629"/>
    </row>
    <row r="120" spans="2:50">
      <c r="B120" s="598"/>
      <c r="C120" s="357">
        <v>14</v>
      </c>
      <c r="D120" s="231"/>
      <c r="E120" s="187"/>
      <c r="F120" s="357"/>
      <c r="G120" s="360"/>
      <c r="H120" s="633"/>
      <c r="I120" s="207"/>
      <c r="J120" s="207"/>
      <c r="K120" s="207"/>
      <c r="L120" s="572"/>
      <c r="M120" s="368" t="e">
        <f>RANK(K120, K$107:$K$121)</f>
        <v>#DIV/0!</v>
      </c>
      <c r="N120" s="590"/>
      <c r="O120" s="590"/>
      <c r="P120" s="357"/>
      <c r="Q120" s="357"/>
      <c r="R120" s="357"/>
      <c r="S120" s="367" t="e">
        <f t="shared" si="46"/>
        <v>#N/A</v>
      </c>
      <c r="T120" s="633"/>
      <c r="U120" s="378"/>
      <c r="V120" s="378"/>
      <c r="W120" s="378"/>
      <c r="X120" s="357" t="e">
        <f t="shared" si="47"/>
        <v>#N/A</v>
      </c>
      <c r="Y120" s="633"/>
      <c r="Z120" s="378"/>
      <c r="AA120" s="378"/>
      <c r="AB120" s="378"/>
      <c r="AC120" s="357" t="e">
        <f t="shared" si="48"/>
        <v>#N/A</v>
      </c>
      <c r="AD120" s="633"/>
      <c r="AE120" s="378"/>
      <c r="AF120" s="378"/>
      <c r="AG120" s="378"/>
      <c r="AH120" s="357" t="e">
        <f t="shared" si="49"/>
        <v>#N/A</v>
      </c>
      <c r="AI120" s="633"/>
      <c r="AJ120" s="378"/>
      <c r="AK120" s="378"/>
      <c r="AL120" s="378"/>
      <c r="AM120" s="357" t="e">
        <f t="shared" si="50"/>
        <v>#N/A</v>
      </c>
      <c r="AN120" s="633"/>
      <c r="AO120" s="378"/>
      <c r="AP120" s="378"/>
      <c r="AQ120" s="378"/>
      <c r="AR120" s="357" t="e">
        <f t="shared" si="51"/>
        <v>#N/A</v>
      </c>
      <c r="AS120" s="633"/>
      <c r="AT120" s="378"/>
      <c r="AU120" s="378"/>
      <c r="AV120" s="378"/>
      <c r="AW120" s="357" t="e">
        <f t="shared" si="52"/>
        <v>#N/A</v>
      </c>
      <c r="AX120" s="629"/>
    </row>
    <row r="121" spans="2:50">
      <c r="B121" s="598"/>
      <c r="C121" s="357">
        <v>15</v>
      </c>
      <c r="D121" s="231"/>
      <c r="E121" s="187"/>
      <c r="F121" s="357"/>
      <c r="G121" s="360"/>
      <c r="H121" s="634"/>
      <c r="I121" s="207"/>
      <c r="J121" s="207"/>
      <c r="K121" s="207"/>
      <c r="L121" s="573"/>
      <c r="M121" s="368" t="e">
        <f>RANK(K121, K$107:$K$121)</f>
        <v>#DIV/0!</v>
      </c>
      <c r="N121" s="590"/>
      <c r="O121" s="590"/>
      <c r="P121" s="357"/>
      <c r="Q121" s="357"/>
      <c r="R121" s="357"/>
      <c r="S121" s="367" t="e">
        <f t="shared" si="46"/>
        <v>#N/A</v>
      </c>
      <c r="T121" s="634"/>
      <c r="U121" s="378"/>
      <c r="V121" s="378"/>
      <c r="W121" s="378"/>
      <c r="X121" s="357" t="e">
        <f t="shared" si="47"/>
        <v>#N/A</v>
      </c>
      <c r="Y121" s="634"/>
      <c r="Z121" s="378"/>
      <c r="AA121" s="378"/>
      <c r="AB121" s="378"/>
      <c r="AC121" s="357" t="e">
        <f t="shared" si="48"/>
        <v>#N/A</v>
      </c>
      <c r="AD121" s="634"/>
      <c r="AE121" s="378"/>
      <c r="AF121" s="378"/>
      <c r="AG121" s="378"/>
      <c r="AH121" s="357" t="e">
        <f t="shared" si="49"/>
        <v>#N/A</v>
      </c>
      <c r="AI121" s="634"/>
      <c r="AJ121" s="378"/>
      <c r="AK121" s="378"/>
      <c r="AL121" s="378"/>
      <c r="AM121" s="357" t="e">
        <f t="shared" si="50"/>
        <v>#N/A</v>
      </c>
      <c r="AN121" s="634"/>
      <c r="AO121" s="378"/>
      <c r="AP121" s="378"/>
      <c r="AQ121" s="378"/>
      <c r="AR121" s="357" t="e">
        <f t="shared" si="51"/>
        <v>#N/A</v>
      </c>
      <c r="AS121" s="634"/>
      <c r="AT121" s="378"/>
      <c r="AU121" s="378"/>
      <c r="AV121" s="378"/>
      <c r="AW121" s="357" t="e">
        <f t="shared" si="52"/>
        <v>#N/A</v>
      </c>
      <c r="AX121" s="629"/>
    </row>
    <row r="123" spans="2:50" ht="15.75">
      <c r="B123" s="623" t="s">
        <v>668</v>
      </c>
      <c r="C123" s="624"/>
      <c r="D123" s="624"/>
      <c r="E123" s="624"/>
      <c r="F123" s="624"/>
      <c r="G123" s="624"/>
      <c r="H123" s="625"/>
      <c r="I123" s="361"/>
      <c r="J123" s="361"/>
      <c r="K123" s="361"/>
      <c r="L123" s="361"/>
      <c r="M123" s="362"/>
    </row>
    <row r="124" spans="2:50" ht="15.75">
      <c r="B124" s="626"/>
      <c r="C124" s="626"/>
      <c r="D124" s="626"/>
      <c r="E124" s="626"/>
      <c r="F124" s="626"/>
      <c r="G124" s="626"/>
      <c r="H124" s="626"/>
      <c r="I124" s="363"/>
      <c r="J124" s="363"/>
      <c r="K124" s="363"/>
      <c r="L124" s="363"/>
      <c r="M124" s="364"/>
    </row>
    <row r="125" spans="2:50">
      <c r="B125" s="590" t="s">
        <v>669</v>
      </c>
      <c r="C125" s="590" t="s">
        <v>670</v>
      </c>
      <c r="D125" s="590"/>
      <c r="E125" s="590" t="s">
        <v>671</v>
      </c>
      <c r="F125" s="590"/>
      <c r="G125" s="590"/>
      <c r="H125" s="606" t="s">
        <v>672</v>
      </c>
      <c r="I125" s="627" t="s">
        <v>673</v>
      </c>
      <c r="J125" s="627"/>
      <c r="K125" s="627"/>
      <c r="L125" s="643" t="s">
        <v>672</v>
      </c>
      <c r="M125" s="646" t="s">
        <v>674</v>
      </c>
    </row>
    <row r="126" spans="2:50">
      <c r="B126" s="590"/>
      <c r="C126" s="590"/>
      <c r="D126" s="590"/>
      <c r="E126" s="590" t="s">
        <v>675</v>
      </c>
      <c r="F126" s="590"/>
      <c r="G126" s="590"/>
      <c r="H126" s="607"/>
      <c r="I126" s="627" t="s">
        <v>675</v>
      </c>
      <c r="J126" s="627"/>
      <c r="K126" s="627"/>
      <c r="L126" s="644"/>
      <c r="M126" s="647"/>
    </row>
    <row r="127" spans="2:50">
      <c r="B127" s="590"/>
      <c r="C127" s="590"/>
      <c r="D127" s="590"/>
      <c r="E127" s="358" t="s">
        <v>676</v>
      </c>
      <c r="F127" s="358" t="s">
        <v>677</v>
      </c>
      <c r="G127" s="358" t="s">
        <v>678</v>
      </c>
      <c r="H127" s="608"/>
      <c r="I127" s="365" t="s">
        <v>676</v>
      </c>
      <c r="J127" s="365" t="s">
        <v>677</v>
      </c>
      <c r="K127" s="365" t="s">
        <v>678</v>
      </c>
      <c r="L127" s="645"/>
      <c r="M127" s="648"/>
    </row>
    <row r="128" spans="2:50">
      <c r="B128" s="590" t="s">
        <v>685</v>
      </c>
      <c r="C128" s="357">
        <v>1</v>
      </c>
      <c r="D128" s="231"/>
      <c r="E128" s="187"/>
      <c r="F128" s="357"/>
      <c r="G128" s="360"/>
      <c r="H128" s="632" t="e">
        <f>AVERAGE(G128:G142)</f>
        <v>#DIV/0!</v>
      </c>
      <c r="I128" s="204" t="e">
        <f t="shared" ref="I128:J132" si="53">AVERAGEIF($D$7:$D$121,$D128,I$7:I$121)</f>
        <v>#DIV/0!</v>
      </c>
      <c r="J128" s="204" t="e">
        <f t="shared" si="53"/>
        <v>#DIV/0!</v>
      </c>
      <c r="K128" s="204" t="e">
        <f>AVERAGEIF($D$7:$D$121,$D128,K$7:K$121)</f>
        <v>#DIV/0!</v>
      </c>
      <c r="L128" s="640" t="e">
        <f>AVERAGE(K128:K142)</f>
        <v>#DIV/0!</v>
      </c>
      <c r="M128" s="204" t="e">
        <f>RANK(K128, K$128:$K$142)</f>
        <v>#DIV/0!</v>
      </c>
    </row>
    <row r="129" spans="2:13">
      <c r="B129" s="598"/>
      <c r="C129" s="357">
        <v>2</v>
      </c>
      <c r="D129" s="231"/>
      <c r="E129" s="187"/>
      <c r="F129" s="357"/>
      <c r="G129" s="360"/>
      <c r="H129" s="633"/>
      <c r="I129" s="204" t="e">
        <f t="shared" si="53"/>
        <v>#DIV/0!</v>
      </c>
      <c r="J129" s="204" t="e">
        <f t="shared" si="53"/>
        <v>#DIV/0!</v>
      </c>
      <c r="K129" s="204" t="e">
        <f>AVERAGEIF($D$7:$D$121,$D129,K$7:K$121)</f>
        <v>#DIV/0!</v>
      </c>
      <c r="L129" s="641"/>
      <c r="M129" s="204" t="e">
        <f>RANK(K129, K$128:$K$142)</f>
        <v>#DIV/0!</v>
      </c>
    </row>
    <row r="130" spans="2:13">
      <c r="B130" s="598"/>
      <c r="C130" s="357">
        <v>3</v>
      </c>
      <c r="D130" s="231"/>
      <c r="E130" s="187"/>
      <c r="F130" s="357"/>
      <c r="G130" s="360"/>
      <c r="H130" s="633"/>
      <c r="I130" s="204" t="e">
        <f t="shared" si="53"/>
        <v>#DIV/0!</v>
      </c>
      <c r="J130" s="204" t="e">
        <f t="shared" si="53"/>
        <v>#DIV/0!</v>
      </c>
      <c r="K130" s="204" t="e">
        <f>AVERAGEIF($D$7:$D$121,$D130,K$7:K$121)</f>
        <v>#DIV/0!</v>
      </c>
      <c r="L130" s="641"/>
      <c r="M130" s="204" t="e">
        <f>RANK(K130, K$128:$K$142)</f>
        <v>#DIV/0!</v>
      </c>
    </row>
    <row r="131" spans="2:13">
      <c r="B131" s="598"/>
      <c r="C131" s="357">
        <v>4</v>
      </c>
      <c r="D131" s="231"/>
      <c r="E131" s="187"/>
      <c r="F131" s="357"/>
      <c r="G131" s="360"/>
      <c r="H131" s="633"/>
      <c r="I131" s="204" t="e">
        <f t="shared" si="53"/>
        <v>#DIV/0!</v>
      </c>
      <c r="J131" s="204" t="e">
        <f t="shared" si="53"/>
        <v>#DIV/0!</v>
      </c>
      <c r="K131" s="204" t="e">
        <f>AVERAGEIF($D$7:$D$121,$D131,K$7:K$121)</f>
        <v>#DIV/0!</v>
      </c>
      <c r="L131" s="641"/>
      <c r="M131" s="204" t="e">
        <f>RANK(K131, K$128:$K$142)</f>
        <v>#DIV/0!</v>
      </c>
    </row>
    <row r="132" spans="2:13">
      <c r="B132" s="598"/>
      <c r="C132" s="357">
        <v>5</v>
      </c>
      <c r="D132" s="231"/>
      <c r="E132" s="187"/>
      <c r="F132" s="357"/>
      <c r="G132" s="360"/>
      <c r="H132" s="633"/>
      <c r="I132" s="204" t="e">
        <f t="shared" si="53"/>
        <v>#DIV/0!</v>
      </c>
      <c r="J132" s="204" t="e">
        <f t="shared" si="53"/>
        <v>#DIV/0!</v>
      </c>
      <c r="K132" s="204" t="e">
        <f>AVERAGEIF($D$7:$D$121,$D132,K$7:K$121)</f>
        <v>#DIV/0!</v>
      </c>
      <c r="L132" s="641"/>
      <c r="M132" s="204" t="e">
        <f>RANK(K132, K$128:$K$142)</f>
        <v>#DIV/0!</v>
      </c>
    </row>
    <row r="133" spans="2:13">
      <c r="B133" s="598"/>
      <c r="C133" s="357">
        <v>6</v>
      </c>
      <c r="D133" s="366"/>
      <c r="E133" s="187"/>
      <c r="F133" s="357"/>
      <c r="G133" s="360"/>
      <c r="H133" s="633"/>
      <c r="I133" s="204"/>
      <c r="J133" s="204"/>
      <c r="K133" s="204"/>
      <c r="L133" s="641"/>
      <c r="M133" s="204" t="e">
        <f>RANK(K133, K$128:$K$142)</f>
        <v>#DIV/0!</v>
      </c>
    </row>
    <row r="134" spans="2:13">
      <c r="B134" s="598"/>
      <c r="C134" s="357">
        <v>7</v>
      </c>
      <c r="D134" s="231"/>
      <c r="E134" s="187"/>
      <c r="F134" s="357"/>
      <c r="G134" s="360"/>
      <c r="H134" s="633"/>
      <c r="I134" s="204"/>
      <c r="J134" s="204"/>
      <c r="K134" s="204"/>
      <c r="L134" s="641"/>
      <c r="M134" s="204" t="e">
        <f>RANK(K134, K$128:$K$142)</f>
        <v>#DIV/0!</v>
      </c>
    </row>
    <row r="135" spans="2:13">
      <c r="B135" s="598"/>
      <c r="C135" s="357">
        <v>8</v>
      </c>
      <c r="D135" s="231"/>
      <c r="E135" s="187"/>
      <c r="F135" s="357"/>
      <c r="G135" s="360"/>
      <c r="H135" s="633"/>
      <c r="I135" s="204"/>
      <c r="J135" s="204"/>
      <c r="K135" s="204"/>
      <c r="L135" s="641"/>
      <c r="M135" s="204" t="e">
        <f>RANK(K135, K$128:$K$142)</f>
        <v>#DIV/0!</v>
      </c>
    </row>
    <row r="136" spans="2:13">
      <c r="B136" s="598"/>
      <c r="C136" s="357">
        <v>9</v>
      </c>
      <c r="D136" s="231"/>
      <c r="E136" s="357"/>
      <c r="F136" s="357"/>
      <c r="G136" s="357"/>
      <c r="H136" s="633"/>
      <c r="I136" s="204"/>
      <c r="J136" s="204"/>
      <c r="K136" s="204"/>
      <c r="L136" s="641"/>
      <c r="M136" s="204" t="e">
        <f>RANK(K136, K$128:$K$142)</f>
        <v>#DIV/0!</v>
      </c>
    </row>
    <row r="137" spans="2:13">
      <c r="B137" s="598"/>
      <c r="C137" s="357">
        <v>10</v>
      </c>
      <c r="D137" s="231"/>
      <c r="E137" s="357"/>
      <c r="F137" s="357"/>
      <c r="G137" s="357"/>
      <c r="H137" s="633"/>
      <c r="I137" s="204"/>
      <c r="J137" s="204"/>
      <c r="K137" s="204"/>
      <c r="L137" s="641"/>
      <c r="M137" s="204" t="e">
        <f>RANK(K137, K$128:$K$142)</f>
        <v>#DIV/0!</v>
      </c>
    </row>
    <row r="138" spans="2:13">
      <c r="B138" s="598"/>
      <c r="C138" s="357">
        <v>11</v>
      </c>
      <c r="D138" s="231"/>
      <c r="E138" s="357"/>
      <c r="F138" s="357"/>
      <c r="G138" s="357"/>
      <c r="H138" s="633"/>
      <c r="I138" s="204"/>
      <c r="J138" s="204"/>
      <c r="K138" s="204"/>
      <c r="L138" s="641"/>
      <c r="M138" s="204" t="e">
        <f>RANK(K138, K$128:$K$142)</f>
        <v>#DIV/0!</v>
      </c>
    </row>
    <row r="139" spans="2:13">
      <c r="B139" s="598"/>
      <c r="C139" s="357">
        <v>12</v>
      </c>
      <c r="D139" s="231"/>
      <c r="E139" s="357"/>
      <c r="F139" s="357"/>
      <c r="G139" s="357"/>
      <c r="H139" s="633"/>
      <c r="I139" s="204"/>
      <c r="J139" s="204"/>
      <c r="K139" s="204"/>
      <c r="L139" s="641"/>
      <c r="M139" s="204" t="e">
        <f>RANK(K139, K$128:$K$142)</f>
        <v>#DIV/0!</v>
      </c>
    </row>
    <row r="140" spans="2:13">
      <c r="B140" s="598"/>
      <c r="C140" s="357">
        <v>13</v>
      </c>
      <c r="D140" s="231"/>
      <c r="E140" s="357"/>
      <c r="F140" s="357"/>
      <c r="G140" s="357"/>
      <c r="H140" s="633"/>
      <c r="I140" s="204"/>
      <c r="J140" s="204"/>
      <c r="K140" s="204"/>
      <c r="L140" s="641"/>
      <c r="M140" s="204" t="e">
        <f>RANK(K140, K$128:$K$142)</f>
        <v>#DIV/0!</v>
      </c>
    </row>
    <row r="141" spans="2:13">
      <c r="B141" s="598"/>
      <c r="C141" s="357">
        <v>14</v>
      </c>
      <c r="D141" s="231"/>
      <c r="E141" s="357"/>
      <c r="F141" s="357"/>
      <c r="G141" s="357"/>
      <c r="H141" s="633"/>
      <c r="I141" s="204"/>
      <c r="J141" s="204"/>
      <c r="K141" s="204"/>
      <c r="L141" s="641"/>
      <c r="M141" s="204" t="e">
        <f>RANK(K141, K$128:$K$142)</f>
        <v>#DIV/0!</v>
      </c>
    </row>
    <row r="142" spans="2:13">
      <c r="B142" s="598"/>
      <c r="C142" s="357">
        <v>15</v>
      </c>
      <c r="D142" s="231"/>
      <c r="E142" s="357"/>
      <c r="F142" s="357"/>
      <c r="G142" s="357"/>
      <c r="H142" s="634"/>
      <c r="I142" s="204"/>
      <c r="J142" s="204"/>
      <c r="K142" s="204"/>
      <c r="L142" s="642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F1" zoomScale="50" zoomScaleNormal="50" workbookViewId="0">
      <selection activeCell="AT5" sqref="AT5:AW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6" t="s">
        <v>332</v>
      </c>
      <c r="C1" s="225">
        <f>AVERAGE(L7,L27,L47,L67,L87,L107)</f>
        <v>115.29816592129694</v>
      </c>
    </row>
    <row r="2" spans="1:54" ht="15.75">
      <c r="A2" s="81"/>
      <c r="B2" s="602" t="s">
        <v>163</v>
      </c>
      <c r="C2" s="602"/>
      <c r="D2" s="602"/>
      <c r="E2" s="602"/>
      <c r="F2" s="602"/>
      <c r="G2" s="602"/>
      <c r="H2" s="602"/>
      <c r="I2" s="320"/>
      <c r="J2" s="320"/>
      <c r="K2" s="320"/>
      <c r="L2" s="320"/>
      <c r="M2" s="202"/>
      <c r="N2" s="591" t="s">
        <v>156</v>
      </c>
      <c r="O2" s="591" t="s">
        <v>155</v>
      </c>
      <c r="P2" s="637">
        <v>45930</v>
      </c>
      <c r="Q2" s="638"/>
      <c r="R2" s="638"/>
      <c r="S2" s="638"/>
      <c r="T2" s="639"/>
      <c r="U2" s="597">
        <f>P2+1</f>
        <v>45931</v>
      </c>
      <c r="V2" s="598"/>
      <c r="W2" s="598"/>
      <c r="X2" s="598"/>
      <c r="Y2" s="598"/>
      <c r="Z2" s="597">
        <f>U2+1</f>
        <v>45932</v>
      </c>
      <c r="AA2" s="598"/>
      <c r="AB2" s="598"/>
      <c r="AC2" s="598"/>
      <c r="AD2" s="598"/>
      <c r="AE2" s="597">
        <f>Z2+1</f>
        <v>45933</v>
      </c>
      <c r="AF2" s="598"/>
      <c r="AG2" s="598"/>
      <c r="AH2" s="598"/>
      <c r="AI2" s="598"/>
      <c r="AJ2" s="597">
        <f>AE2+1</f>
        <v>45934</v>
      </c>
      <c r="AK2" s="598"/>
      <c r="AL2" s="598"/>
      <c r="AM2" s="598"/>
      <c r="AN2" s="598"/>
      <c r="AO2" s="597">
        <f>AJ2+1</f>
        <v>45935</v>
      </c>
      <c r="AP2" s="598"/>
      <c r="AQ2" s="598"/>
      <c r="AR2" s="598"/>
      <c r="AS2" s="598"/>
      <c r="AT2" s="597">
        <f>AO2+1</f>
        <v>45936</v>
      </c>
      <c r="AU2" s="598"/>
      <c r="AV2" s="598"/>
      <c r="AW2" s="598"/>
      <c r="AX2" s="598"/>
    </row>
    <row r="3" spans="1:54" ht="15.75">
      <c r="A3" s="81"/>
      <c r="B3" s="622"/>
      <c r="C3" s="622"/>
      <c r="D3" s="622"/>
      <c r="E3" s="622"/>
      <c r="F3" s="622"/>
      <c r="G3" s="622"/>
      <c r="H3" s="622"/>
      <c r="I3" s="321"/>
      <c r="J3" s="321"/>
      <c r="K3" s="321"/>
      <c r="L3" s="321"/>
      <c r="M3" s="203"/>
      <c r="N3" s="593"/>
      <c r="O3" s="593"/>
      <c r="P3" s="594" t="s">
        <v>158</v>
      </c>
      <c r="Q3" s="595"/>
      <c r="R3" s="595"/>
      <c r="S3" s="595"/>
      <c r="T3" s="596"/>
      <c r="U3" s="594" t="s">
        <v>114</v>
      </c>
      <c r="V3" s="595"/>
      <c r="W3" s="595"/>
      <c r="X3" s="595"/>
      <c r="Y3" s="596"/>
      <c r="Z3" s="594" t="s">
        <v>159</v>
      </c>
      <c r="AA3" s="595"/>
      <c r="AB3" s="595"/>
      <c r="AC3" s="595"/>
      <c r="AD3" s="596"/>
      <c r="AE3" s="594" t="s">
        <v>157</v>
      </c>
      <c r="AF3" s="595"/>
      <c r="AG3" s="595"/>
      <c r="AH3" s="595"/>
      <c r="AI3" s="596"/>
      <c r="AJ3" s="594" t="s">
        <v>160</v>
      </c>
      <c r="AK3" s="595"/>
      <c r="AL3" s="595"/>
      <c r="AM3" s="595"/>
      <c r="AN3" s="596"/>
      <c r="AO3" s="594" t="s">
        <v>161</v>
      </c>
      <c r="AP3" s="595"/>
      <c r="AQ3" s="595"/>
      <c r="AR3" s="595"/>
      <c r="AS3" s="596"/>
      <c r="AT3" s="594" t="s">
        <v>162</v>
      </c>
      <c r="AU3" s="595"/>
      <c r="AV3" s="595"/>
      <c r="AW3" s="595"/>
      <c r="AX3" s="596"/>
    </row>
    <row r="4" spans="1:54" ht="14.25">
      <c r="A4" s="81"/>
      <c r="B4" s="590" t="s">
        <v>154</v>
      </c>
      <c r="C4" s="590" t="s">
        <v>454</v>
      </c>
      <c r="D4" s="590"/>
      <c r="E4" s="590" t="s">
        <v>445</v>
      </c>
      <c r="F4" s="590"/>
      <c r="G4" s="590"/>
      <c r="H4" s="606" t="s">
        <v>441</v>
      </c>
      <c r="I4" s="574" t="s">
        <v>446</v>
      </c>
      <c r="J4" s="574"/>
      <c r="K4" s="574"/>
      <c r="L4" s="575" t="s">
        <v>441</v>
      </c>
      <c r="M4" s="581" t="s">
        <v>442</v>
      </c>
      <c r="N4" s="590"/>
      <c r="O4" s="590" t="s">
        <v>447</v>
      </c>
      <c r="P4" s="587" t="s">
        <v>443</v>
      </c>
      <c r="Q4" s="588"/>
      <c r="R4" s="588"/>
      <c r="S4" s="589"/>
      <c r="T4" s="590" t="s">
        <v>441</v>
      </c>
      <c r="U4" s="587" t="s">
        <v>443</v>
      </c>
      <c r="V4" s="588"/>
      <c r="W4" s="588"/>
      <c r="X4" s="589"/>
      <c r="Y4" s="590" t="s">
        <v>441</v>
      </c>
      <c r="Z4" s="587" t="s">
        <v>443</v>
      </c>
      <c r="AA4" s="588"/>
      <c r="AB4" s="588"/>
      <c r="AC4" s="589"/>
      <c r="AD4" s="590" t="s">
        <v>441</v>
      </c>
      <c r="AE4" s="587" t="s">
        <v>443</v>
      </c>
      <c r="AF4" s="588"/>
      <c r="AG4" s="588"/>
      <c r="AH4" s="589"/>
      <c r="AI4" s="590" t="s">
        <v>441</v>
      </c>
      <c r="AJ4" s="587" t="s">
        <v>443</v>
      </c>
      <c r="AK4" s="588"/>
      <c r="AL4" s="588"/>
      <c r="AM4" s="589"/>
      <c r="AN4" s="590" t="s">
        <v>441</v>
      </c>
      <c r="AO4" s="587" t="s">
        <v>443</v>
      </c>
      <c r="AP4" s="588"/>
      <c r="AQ4" s="588"/>
      <c r="AR4" s="589"/>
      <c r="AS4" s="590" t="s">
        <v>441</v>
      </c>
      <c r="AT4" s="587" t="s">
        <v>443</v>
      </c>
      <c r="AU4" s="588"/>
      <c r="AV4" s="588"/>
      <c r="AW4" s="589"/>
      <c r="AX4" s="590" t="s">
        <v>441</v>
      </c>
    </row>
    <row r="5" spans="1:54" ht="14.25">
      <c r="A5" s="81"/>
      <c r="B5" s="590"/>
      <c r="C5" s="590"/>
      <c r="D5" s="590"/>
      <c r="E5" s="590" t="s">
        <v>448</v>
      </c>
      <c r="F5" s="590"/>
      <c r="G5" s="590"/>
      <c r="H5" s="607"/>
      <c r="I5" s="574" t="s">
        <v>448</v>
      </c>
      <c r="J5" s="574"/>
      <c r="K5" s="574"/>
      <c r="L5" s="576"/>
      <c r="M5" s="582"/>
      <c r="N5" s="590"/>
      <c r="O5" s="590"/>
      <c r="P5" s="587" t="s">
        <v>449</v>
      </c>
      <c r="Q5" s="588"/>
      <c r="R5" s="588"/>
      <c r="S5" s="589"/>
      <c r="T5" s="590"/>
      <c r="U5" s="587" t="s">
        <v>449</v>
      </c>
      <c r="V5" s="588"/>
      <c r="W5" s="588"/>
      <c r="X5" s="589"/>
      <c r="Y5" s="590"/>
      <c r="Z5" s="587" t="s">
        <v>449</v>
      </c>
      <c r="AA5" s="588"/>
      <c r="AB5" s="588"/>
      <c r="AC5" s="589"/>
      <c r="AD5" s="590"/>
      <c r="AE5" s="587" t="s">
        <v>449</v>
      </c>
      <c r="AF5" s="588"/>
      <c r="AG5" s="588"/>
      <c r="AH5" s="589"/>
      <c r="AI5" s="590"/>
      <c r="AJ5" s="587" t="s">
        <v>449</v>
      </c>
      <c r="AK5" s="588"/>
      <c r="AL5" s="588"/>
      <c r="AM5" s="589"/>
      <c r="AN5" s="590"/>
      <c r="AO5" s="587" t="s">
        <v>449</v>
      </c>
      <c r="AP5" s="588"/>
      <c r="AQ5" s="588"/>
      <c r="AR5" s="589"/>
      <c r="AS5" s="590"/>
      <c r="AT5" s="587" t="s">
        <v>449</v>
      </c>
      <c r="AU5" s="588"/>
      <c r="AV5" s="588"/>
      <c r="AW5" s="589"/>
      <c r="AX5" s="590"/>
    </row>
    <row r="6" spans="1:54" ht="14.25">
      <c r="A6" s="79"/>
      <c r="B6" s="590"/>
      <c r="C6" s="590"/>
      <c r="D6" s="590"/>
      <c r="E6" s="377" t="s">
        <v>450</v>
      </c>
      <c r="F6" s="377" t="s">
        <v>451</v>
      </c>
      <c r="G6" s="377" t="s">
        <v>452</v>
      </c>
      <c r="H6" s="608"/>
      <c r="I6" s="376" t="s">
        <v>450</v>
      </c>
      <c r="J6" s="376" t="s">
        <v>451</v>
      </c>
      <c r="K6" s="376" t="s">
        <v>452</v>
      </c>
      <c r="L6" s="577"/>
      <c r="M6" s="583"/>
      <c r="N6" s="590"/>
      <c r="O6" s="590"/>
      <c r="P6" s="377" t="s">
        <v>450</v>
      </c>
      <c r="Q6" s="377" t="s">
        <v>451</v>
      </c>
      <c r="R6" s="377" t="s">
        <v>452</v>
      </c>
      <c r="S6" s="377" t="s">
        <v>442</v>
      </c>
      <c r="T6" s="590"/>
      <c r="U6" s="377" t="s">
        <v>450</v>
      </c>
      <c r="V6" s="377" t="s">
        <v>451</v>
      </c>
      <c r="W6" s="377" t="s">
        <v>452</v>
      </c>
      <c r="X6" s="377" t="s">
        <v>442</v>
      </c>
      <c r="Y6" s="590"/>
      <c r="Z6" s="377" t="s">
        <v>450</v>
      </c>
      <c r="AA6" s="377" t="s">
        <v>451</v>
      </c>
      <c r="AB6" s="377" t="s">
        <v>452</v>
      </c>
      <c r="AC6" s="377" t="s">
        <v>442</v>
      </c>
      <c r="AD6" s="590"/>
      <c r="AE6" s="377" t="s">
        <v>450</v>
      </c>
      <c r="AF6" s="377" t="s">
        <v>451</v>
      </c>
      <c r="AG6" s="377" t="s">
        <v>452</v>
      </c>
      <c r="AH6" s="377" t="s">
        <v>442</v>
      </c>
      <c r="AI6" s="590"/>
      <c r="AJ6" s="377" t="s">
        <v>450</v>
      </c>
      <c r="AK6" s="377" t="s">
        <v>451</v>
      </c>
      <c r="AL6" s="377" t="s">
        <v>452</v>
      </c>
      <c r="AM6" s="377" t="s">
        <v>442</v>
      </c>
      <c r="AN6" s="590"/>
      <c r="AO6" s="377" t="s">
        <v>450</v>
      </c>
      <c r="AP6" s="377" t="s">
        <v>451</v>
      </c>
      <c r="AQ6" s="377" t="s">
        <v>452</v>
      </c>
      <c r="AR6" s="377" t="s">
        <v>442</v>
      </c>
      <c r="AS6" s="590"/>
      <c r="AT6" s="377" t="s">
        <v>450</v>
      </c>
      <c r="AU6" s="377" t="s">
        <v>451</v>
      </c>
      <c r="AV6" s="377" t="s">
        <v>452</v>
      </c>
      <c r="AW6" s="377" t="s">
        <v>442</v>
      </c>
      <c r="AX6" s="590"/>
    </row>
    <row r="7" spans="1:54" ht="14.25">
      <c r="A7" s="81"/>
      <c r="B7" s="590" t="s">
        <v>138</v>
      </c>
      <c r="C7" s="378">
        <v>1</v>
      </c>
      <c r="D7" s="231" t="s">
        <v>413</v>
      </c>
      <c r="E7" s="187">
        <v>7</v>
      </c>
      <c r="F7" s="378">
        <v>1500</v>
      </c>
      <c r="G7" s="379">
        <v>214.28571428571428</v>
      </c>
      <c r="H7" s="632">
        <f>AVERAGE(G7:G21)</f>
        <v>115.73098330241187</v>
      </c>
      <c r="I7" s="380">
        <f>AVERAGE(P7,U7,Z7,AE7,AJ7,AO7,AT7)</f>
        <v>6.1428571428571432</v>
      </c>
      <c r="J7" s="380">
        <f>AVERAGE(Q7,V7,AA7,AF7,AK7,AP7,AU7)</f>
        <v>1286.4758662734287</v>
      </c>
      <c r="K7" s="205">
        <f>AVERAGE(R7,W7,AB7,AG7,AL7,AQ7,AV7)</f>
        <v>209.97551468831884</v>
      </c>
      <c r="L7" s="571">
        <f>IFERROR(AVERAGE(K7:K21),"-")</f>
        <v>110.71252286891195</v>
      </c>
      <c r="M7" s="381">
        <f>RANK(K7, $K$7:K$21)</f>
        <v>2</v>
      </c>
      <c r="N7" s="590"/>
      <c r="O7" s="590"/>
      <c r="P7" s="187">
        <v>7</v>
      </c>
      <c r="Q7" s="187">
        <v>1304.5161290322576</v>
      </c>
      <c r="R7" s="379">
        <v>186.35944700460823</v>
      </c>
      <c r="S7" s="378">
        <f>RANK(R7, R$7:R$21)</f>
        <v>1</v>
      </c>
      <c r="T7" s="599">
        <f>AVERAGE(R7:R21)</f>
        <v>102.95655701476369</v>
      </c>
      <c r="U7" s="187">
        <v>6</v>
      </c>
      <c r="V7" s="187">
        <v>1307.608695652174</v>
      </c>
      <c r="W7" s="379">
        <v>217.93478260869566</v>
      </c>
      <c r="X7" s="378">
        <f>RANK(W7, W$7:W$21)</f>
        <v>1</v>
      </c>
      <c r="Y7" s="599">
        <f>AVERAGE(W7:W21)</f>
        <v>112.07990176644321</v>
      </c>
      <c r="Z7" s="187">
        <v>6</v>
      </c>
      <c r="AA7" s="187">
        <v>1272.6666666666667</v>
      </c>
      <c r="AB7" s="379">
        <v>212.11111111111111</v>
      </c>
      <c r="AC7" s="378">
        <f>RANK(AB7, AB$7:AB$21)</f>
        <v>2</v>
      </c>
      <c r="AD7" s="599">
        <f>AVERAGE(AB7:AB21)</f>
        <v>112.21796977635351</v>
      </c>
      <c r="AE7" s="187">
        <v>6</v>
      </c>
      <c r="AF7" s="187">
        <v>1262.25</v>
      </c>
      <c r="AG7" s="379">
        <v>210.375</v>
      </c>
      <c r="AH7" s="378">
        <f>RANK(AG7, AG$7:AG$21)</f>
        <v>2</v>
      </c>
      <c r="AI7" s="599">
        <f>AVERAGE(AG7:AG21)</f>
        <v>112.11041190415374</v>
      </c>
      <c r="AJ7" s="187">
        <v>6</v>
      </c>
      <c r="AK7" s="187">
        <v>1261.6438356164381</v>
      </c>
      <c r="AL7" s="379">
        <v>210.27397260273969</v>
      </c>
      <c r="AM7" s="378">
        <f>RANK(AL7, AL$7:AL$21)</f>
        <v>2</v>
      </c>
      <c r="AN7" s="599">
        <f>AVERAGE(AL7:AL21)</f>
        <v>111.2407115549792</v>
      </c>
      <c r="AO7" s="187">
        <v>6</v>
      </c>
      <c r="AP7" s="187">
        <v>1319.1176470588234</v>
      </c>
      <c r="AQ7" s="379">
        <v>219.85294117647058</v>
      </c>
      <c r="AR7" s="378">
        <f>RANK(AQ7, AQ$7:AQ$21)</f>
        <v>1</v>
      </c>
      <c r="AS7" s="599">
        <f>AVERAGE(AQ7:AQ21)</f>
        <v>112.6210415399872</v>
      </c>
      <c r="AT7" s="187">
        <v>6</v>
      </c>
      <c r="AU7" s="187">
        <v>1277.5280898876406</v>
      </c>
      <c r="AV7" s="379">
        <v>212.92134831460677</v>
      </c>
      <c r="AW7" s="378">
        <f>RANK(AV7, AV$7:AV$21)</f>
        <v>2</v>
      </c>
      <c r="AX7" s="599">
        <f>AVERAGE(AV7:AV21)</f>
        <v>111.76106652570313</v>
      </c>
      <c r="AZ7" s="381" t="e">
        <f>RANK(AX7, $K$7:AX$21)</f>
        <v>#N/A</v>
      </c>
      <c r="BB7" s="378" t="e">
        <f>RANK(BA7, BA$7:BA$21)</f>
        <v>#N/A</v>
      </c>
    </row>
    <row r="8" spans="1:54" ht="15" customHeight="1">
      <c r="A8" s="81"/>
      <c r="B8" s="598"/>
      <c r="C8" s="378">
        <v>2</v>
      </c>
      <c r="D8" s="231" t="s">
        <v>414</v>
      </c>
      <c r="E8" s="187">
        <v>15</v>
      </c>
      <c r="F8" s="378">
        <v>1500</v>
      </c>
      <c r="G8" s="379">
        <v>100</v>
      </c>
      <c r="H8" s="633"/>
      <c r="I8" s="380">
        <f t="shared" ref="I8:I13" si="0">AVERAGE(P8,U8,Z8,AE8,AJ8,AO8,AT8)</f>
        <v>15</v>
      </c>
      <c r="J8" s="380">
        <f t="shared" ref="J8:J13" si="1">AVERAGE(Q8,V8,AA8,AF8,AK8,AP8,AU8)</f>
        <v>1298.4480118941842</v>
      </c>
      <c r="K8" s="205">
        <f t="shared" ref="K8:K13" si="2">AVERAGE(R8,W8,AB8,AG8,AL8,AQ8,AV8)</f>
        <v>86.563200792945608</v>
      </c>
      <c r="L8" s="572"/>
      <c r="M8" s="381">
        <f>RANK(K8, $K$7:K$21)</f>
        <v>3</v>
      </c>
      <c r="N8" s="590"/>
      <c r="O8" s="590"/>
      <c r="P8" s="378">
        <v>15</v>
      </c>
      <c r="Q8" s="187">
        <v>1285.8333333333337</v>
      </c>
      <c r="R8" s="379">
        <v>85.722222222222243</v>
      </c>
      <c r="S8" s="378">
        <f t="shared" ref="S8:S21" si="3">RANK(R8, R$7:R$21)</f>
        <v>3</v>
      </c>
      <c r="T8" s="600"/>
      <c r="U8" s="378">
        <v>15</v>
      </c>
      <c r="V8" s="187">
        <v>1277.5999999999997</v>
      </c>
      <c r="W8" s="379">
        <v>85.173333333333318</v>
      </c>
      <c r="X8" s="378">
        <f t="shared" ref="X8:X21" si="4">RANK(W8, W$7:W$21)</f>
        <v>3</v>
      </c>
      <c r="Y8" s="600"/>
      <c r="Z8" s="378">
        <v>15</v>
      </c>
      <c r="AA8" s="187">
        <v>1300.6015037593986</v>
      </c>
      <c r="AB8" s="379">
        <v>86.706766917293237</v>
      </c>
      <c r="AC8" s="378">
        <f t="shared" ref="AC8:AC21" si="5">RANK(AB8, AB$7:AB$21)</f>
        <v>3</v>
      </c>
      <c r="AD8" s="600"/>
      <c r="AE8" s="378">
        <v>15</v>
      </c>
      <c r="AF8" s="187">
        <v>1301.834862385321</v>
      </c>
      <c r="AG8" s="379">
        <v>86.78899082568806</v>
      </c>
      <c r="AH8" s="378">
        <f t="shared" ref="AH8:AH21" si="6">RANK(AG8, AG$7:AG$21)</f>
        <v>3</v>
      </c>
      <c r="AI8" s="600"/>
      <c r="AJ8" s="378">
        <v>15</v>
      </c>
      <c r="AK8" s="187">
        <v>1305.7425742574264</v>
      </c>
      <c r="AL8" s="379">
        <v>87.049504950495091</v>
      </c>
      <c r="AM8" s="378">
        <f t="shared" ref="AM8:AM21" si="7">RANK(AL8, AL$7:AL$21)</f>
        <v>3</v>
      </c>
      <c r="AN8" s="600"/>
      <c r="AO8" s="378">
        <v>15</v>
      </c>
      <c r="AP8" s="187">
        <v>1306.8571428571424</v>
      </c>
      <c r="AQ8" s="379">
        <v>87.123809523809499</v>
      </c>
      <c r="AR8" s="378">
        <f t="shared" ref="AR8:AR21" si="8">RANK(AQ8, AQ$7:AQ$21)</f>
        <v>3</v>
      </c>
      <c r="AS8" s="600"/>
      <c r="AT8" s="378">
        <v>15</v>
      </c>
      <c r="AU8" s="187">
        <v>1310.6666666666667</v>
      </c>
      <c r="AV8" s="379">
        <v>87.37777777777778</v>
      </c>
      <c r="AW8" s="378">
        <f t="shared" ref="AW8:AW21" si="9">RANK(AV8, AV$7:AV$21)</f>
        <v>3</v>
      </c>
      <c r="AX8" s="600"/>
      <c r="AZ8" s="381" t="e">
        <f>RANK(AX8, $K$7:AX$21)</f>
        <v>#N/A</v>
      </c>
      <c r="BB8" s="378" t="e">
        <f t="shared" ref="BB8:BB21" si="10">RANK(BA8, BA$7:BA$21)</f>
        <v>#N/A</v>
      </c>
    </row>
    <row r="9" spans="1:54" ht="14.25">
      <c r="A9" s="81"/>
      <c r="B9" s="598"/>
      <c r="C9" s="378">
        <v>3</v>
      </c>
      <c r="D9" s="231" t="s">
        <v>353</v>
      </c>
      <c r="E9" s="187">
        <v>20</v>
      </c>
      <c r="F9" s="378">
        <v>1500</v>
      </c>
      <c r="G9" s="379">
        <v>75</v>
      </c>
      <c r="H9" s="633"/>
      <c r="I9" s="380">
        <f t="shared" si="0"/>
        <v>18</v>
      </c>
      <c r="J9" s="380">
        <f t="shared" si="1"/>
        <v>1289.940308209088</v>
      </c>
      <c r="K9" s="205">
        <f t="shared" si="2"/>
        <v>71.663350456060456</v>
      </c>
      <c r="L9" s="572"/>
      <c r="M9" s="381">
        <f>RANK(K9, $K$7:K$21)</f>
        <v>6</v>
      </c>
      <c r="N9" s="590"/>
      <c r="O9" s="590"/>
      <c r="P9" s="378">
        <v>18</v>
      </c>
      <c r="Q9" s="187">
        <v>1294.875</v>
      </c>
      <c r="R9" s="379">
        <v>71.9375</v>
      </c>
      <c r="S9" s="378">
        <f t="shared" si="3"/>
        <v>6</v>
      </c>
      <c r="T9" s="600"/>
      <c r="U9" s="378">
        <v>18</v>
      </c>
      <c r="V9" s="187">
        <v>1292.8662420382166</v>
      </c>
      <c r="W9" s="379">
        <v>71.825902335456476</v>
      </c>
      <c r="X9" s="378">
        <f t="shared" si="4"/>
        <v>5</v>
      </c>
      <c r="Y9" s="600"/>
      <c r="Z9" s="378">
        <v>18</v>
      </c>
      <c r="AA9" s="187">
        <v>1317.0629370629374</v>
      </c>
      <c r="AB9" s="379">
        <v>73.170163170163192</v>
      </c>
      <c r="AC9" s="378">
        <f t="shared" si="5"/>
        <v>4</v>
      </c>
      <c r="AD9" s="600"/>
      <c r="AE9" s="378">
        <v>18</v>
      </c>
      <c r="AF9" s="187">
        <v>1280.0000000000005</v>
      </c>
      <c r="AG9" s="379">
        <v>71.111111111111143</v>
      </c>
      <c r="AH9" s="378">
        <f t="shared" si="6"/>
        <v>5</v>
      </c>
      <c r="AI9" s="600"/>
      <c r="AJ9" s="378">
        <v>18</v>
      </c>
      <c r="AK9" s="187">
        <v>1274.634146341464</v>
      </c>
      <c r="AL9" s="379">
        <v>70.813008130081329</v>
      </c>
      <c r="AM9" s="378">
        <f t="shared" si="7"/>
        <v>6</v>
      </c>
      <c r="AN9" s="600"/>
      <c r="AO9" s="378">
        <v>18</v>
      </c>
      <c r="AP9" s="187">
        <v>1282.6771653543306</v>
      </c>
      <c r="AQ9" s="379">
        <v>71.259842519685037</v>
      </c>
      <c r="AR9" s="378">
        <f t="shared" si="8"/>
        <v>6</v>
      </c>
      <c r="AS9" s="600"/>
      <c r="AT9" s="378">
        <v>18</v>
      </c>
      <c r="AU9" s="187">
        <v>1287.4666666666665</v>
      </c>
      <c r="AV9" s="379">
        <v>71.525925925925918</v>
      </c>
      <c r="AW9" s="378">
        <f t="shared" si="9"/>
        <v>5</v>
      </c>
      <c r="AX9" s="600"/>
      <c r="AZ9" s="381" t="e">
        <f>RANK(AX9, $K$7:AX$21)</f>
        <v>#N/A</v>
      </c>
      <c r="BB9" s="378" t="e">
        <f t="shared" si="10"/>
        <v>#N/A</v>
      </c>
    </row>
    <row r="10" spans="1:54" ht="14.25">
      <c r="A10" s="81"/>
      <c r="B10" s="598"/>
      <c r="C10" s="378">
        <v>4</v>
      </c>
      <c r="D10" s="231" t="s">
        <v>415</v>
      </c>
      <c r="E10" s="187">
        <v>18</v>
      </c>
      <c r="F10" s="378">
        <v>1440</v>
      </c>
      <c r="G10" s="379">
        <v>80</v>
      </c>
      <c r="H10" s="633"/>
      <c r="I10" s="380">
        <f t="shared" si="0"/>
        <v>17.857142857142858</v>
      </c>
      <c r="J10" s="380">
        <f t="shared" si="1"/>
        <v>1285.357622769387</v>
      </c>
      <c r="K10" s="205">
        <f t="shared" si="2"/>
        <v>72.00539547598369</v>
      </c>
      <c r="L10" s="572"/>
      <c r="M10" s="381">
        <f>RANK(K10, $K$7:K$21)</f>
        <v>4</v>
      </c>
      <c r="N10" s="590"/>
      <c r="O10" s="590"/>
      <c r="P10" s="378">
        <v>17</v>
      </c>
      <c r="Q10" s="187">
        <v>1277.9999999999995</v>
      </c>
      <c r="R10" s="379">
        <v>75.176470588235262</v>
      </c>
      <c r="S10" s="378">
        <f t="shared" si="3"/>
        <v>4</v>
      </c>
      <c r="T10" s="600"/>
      <c r="U10" s="378">
        <v>18</v>
      </c>
      <c r="V10" s="187">
        <v>1299.9999999999993</v>
      </c>
      <c r="W10" s="379">
        <v>72.222222222222186</v>
      </c>
      <c r="X10" s="378">
        <f t="shared" si="4"/>
        <v>4</v>
      </c>
      <c r="Y10" s="600"/>
      <c r="Z10" s="378">
        <v>18</v>
      </c>
      <c r="AA10" s="187">
        <v>1307.6923076923069</v>
      </c>
      <c r="AB10" s="379">
        <v>72.649572649572605</v>
      </c>
      <c r="AC10" s="378">
        <f t="shared" si="5"/>
        <v>5</v>
      </c>
      <c r="AD10" s="600"/>
      <c r="AE10" s="378">
        <v>18</v>
      </c>
      <c r="AF10" s="187">
        <v>1258.2352941176455</v>
      </c>
      <c r="AG10" s="379">
        <v>69.901960784313644</v>
      </c>
      <c r="AH10" s="378">
        <f t="shared" si="6"/>
        <v>6</v>
      </c>
      <c r="AI10" s="600"/>
      <c r="AJ10" s="378">
        <v>18</v>
      </c>
      <c r="AK10" s="187">
        <v>1290.9090909090921</v>
      </c>
      <c r="AL10" s="379">
        <v>71.71717171717178</v>
      </c>
      <c r="AM10" s="378">
        <f t="shared" si="7"/>
        <v>5</v>
      </c>
      <c r="AN10" s="600"/>
      <c r="AO10" s="378">
        <v>18</v>
      </c>
      <c r="AP10" s="187">
        <v>1306.6666666666656</v>
      </c>
      <c r="AQ10" s="379">
        <v>72.592592592592538</v>
      </c>
      <c r="AR10" s="378">
        <f t="shared" si="8"/>
        <v>4</v>
      </c>
      <c r="AS10" s="600"/>
      <c r="AT10" s="378">
        <v>18</v>
      </c>
      <c r="AU10" s="187">
        <v>1256</v>
      </c>
      <c r="AV10" s="379">
        <v>69.777777777777771</v>
      </c>
      <c r="AW10" s="378">
        <f t="shared" si="9"/>
        <v>6</v>
      </c>
      <c r="AX10" s="600"/>
      <c r="AZ10" s="381" t="e">
        <f>RANK(AX10, $K$7:AX$21)</f>
        <v>#N/A</v>
      </c>
      <c r="BB10" s="378" t="e">
        <f t="shared" si="10"/>
        <v>#N/A</v>
      </c>
    </row>
    <row r="11" spans="1:54" ht="14.25">
      <c r="A11" s="81"/>
      <c r="B11" s="598"/>
      <c r="C11" s="378">
        <v>5</v>
      </c>
      <c r="D11" s="231" t="s">
        <v>473</v>
      </c>
      <c r="E11" s="187">
        <v>7</v>
      </c>
      <c r="F11" s="378">
        <v>1500</v>
      </c>
      <c r="G11" s="379">
        <v>214.28571428571428</v>
      </c>
      <c r="H11" s="633"/>
      <c r="I11" s="380">
        <f t="shared" si="0"/>
        <v>6.1428571428571432</v>
      </c>
      <c r="J11" s="380">
        <f t="shared" si="1"/>
        <v>1295.8719355822502</v>
      </c>
      <c r="K11" s="205">
        <f t="shared" si="2"/>
        <v>211.67873342972919</v>
      </c>
      <c r="L11" s="572"/>
      <c r="M11" s="381">
        <f>RANK(K11, $K$7:K$21)</f>
        <v>1</v>
      </c>
      <c r="N11" s="590"/>
      <c r="O11" s="590"/>
      <c r="P11" s="378">
        <v>7</v>
      </c>
      <c r="Q11" s="187">
        <v>1264.1772151898736</v>
      </c>
      <c r="R11" s="379">
        <v>180.5967450271248</v>
      </c>
      <c r="S11" s="378">
        <f t="shared" si="3"/>
        <v>2</v>
      </c>
      <c r="T11" s="600"/>
      <c r="U11" s="378">
        <v>6</v>
      </c>
      <c r="V11" s="187">
        <v>1300.1324503311255</v>
      </c>
      <c r="W11" s="379">
        <v>216.68874172185426</v>
      </c>
      <c r="X11" s="378">
        <f t="shared" si="4"/>
        <v>2</v>
      </c>
      <c r="Y11" s="600"/>
      <c r="Z11" s="378">
        <v>6</v>
      </c>
      <c r="AA11" s="187">
        <v>1315.6521739130435</v>
      </c>
      <c r="AB11" s="379">
        <v>219.27536231884059</v>
      </c>
      <c r="AC11" s="378">
        <f t="shared" si="5"/>
        <v>1</v>
      </c>
      <c r="AD11" s="600"/>
      <c r="AE11" s="378">
        <v>6</v>
      </c>
      <c r="AF11" s="187">
        <v>1325.1923076923074</v>
      </c>
      <c r="AG11" s="379">
        <v>220.86538461538456</v>
      </c>
      <c r="AH11" s="378">
        <f t="shared" si="6"/>
        <v>1</v>
      </c>
      <c r="AI11" s="600"/>
      <c r="AJ11" s="378">
        <v>6</v>
      </c>
      <c r="AK11" s="187">
        <v>1289.7142857142853</v>
      </c>
      <c r="AL11" s="379">
        <v>214.95238095238088</v>
      </c>
      <c r="AM11" s="378">
        <f t="shared" si="7"/>
        <v>1</v>
      </c>
      <c r="AN11" s="600"/>
      <c r="AO11" s="378">
        <v>6</v>
      </c>
      <c r="AP11" s="187">
        <v>1295.6756756756756</v>
      </c>
      <c r="AQ11" s="379">
        <v>215.94594594594594</v>
      </c>
      <c r="AR11" s="378">
        <f t="shared" si="8"/>
        <v>2</v>
      </c>
      <c r="AS11" s="600"/>
      <c r="AT11" s="378">
        <v>6</v>
      </c>
      <c r="AU11" s="187">
        <v>1280.5594405594409</v>
      </c>
      <c r="AV11" s="379">
        <v>213.42657342657347</v>
      </c>
      <c r="AW11" s="378">
        <f t="shared" si="9"/>
        <v>1</v>
      </c>
      <c r="AX11" s="600"/>
      <c r="AZ11" s="381" t="e">
        <f>RANK(AX11, $K$7:AX$21)</f>
        <v>#N/A</v>
      </c>
      <c r="BB11" s="378" t="e">
        <f t="shared" si="10"/>
        <v>#N/A</v>
      </c>
    </row>
    <row r="12" spans="1:54" ht="14.25">
      <c r="A12" s="81"/>
      <c r="B12" s="598"/>
      <c r="C12" s="378">
        <v>6</v>
      </c>
      <c r="D12" s="231" t="s">
        <v>667</v>
      </c>
      <c r="E12" s="187">
        <v>20</v>
      </c>
      <c r="F12" s="378">
        <v>1440</v>
      </c>
      <c r="G12" s="379">
        <v>72</v>
      </c>
      <c r="H12" s="633"/>
      <c r="I12" s="380">
        <f t="shared" si="0"/>
        <v>18</v>
      </c>
      <c r="J12" s="380">
        <f t="shared" si="1"/>
        <v>1294.8790515040782</v>
      </c>
      <c r="K12" s="205">
        <f t="shared" si="2"/>
        <v>71.937725083559897</v>
      </c>
      <c r="L12" s="572"/>
      <c r="M12" s="381">
        <f>RANK(K12, $K$7:K$21)</f>
        <v>5</v>
      </c>
      <c r="N12" s="590"/>
      <c r="O12" s="590"/>
      <c r="P12" s="378">
        <v>18</v>
      </c>
      <c r="Q12" s="187">
        <v>1298.4525547445255</v>
      </c>
      <c r="R12" s="379">
        <v>72.136253041362522</v>
      </c>
      <c r="S12" s="378">
        <f t="shared" si="3"/>
        <v>5</v>
      </c>
      <c r="T12" s="600"/>
      <c r="U12" s="378">
        <v>18</v>
      </c>
      <c r="V12" s="187">
        <v>1268.1900000000003</v>
      </c>
      <c r="W12" s="379">
        <v>70.455000000000013</v>
      </c>
      <c r="X12" s="378">
        <f t="shared" si="4"/>
        <v>6</v>
      </c>
      <c r="Y12" s="600"/>
      <c r="Z12" s="378">
        <v>18</v>
      </c>
      <c r="AA12" s="187">
        <v>1279.911111111111</v>
      </c>
      <c r="AB12" s="379">
        <v>71.106172839506172</v>
      </c>
      <c r="AC12" s="378">
        <f t="shared" si="5"/>
        <v>6</v>
      </c>
      <c r="AD12" s="600"/>
      <c r="AE12" s="378">
        <v>18</v>
      </c>
      <c r="AF12" s="187">
        <v>1314.0409090909093</v>
      </c>
      <c r="AG12" s="379">
        <v>73.002272727272739</v>
      </c>
      <c r="AH12" s="378">
        <f t="shared" si="6"/>
        <v>4</v>
      </c>
      <c r="AI12" s="600"/>
      <c r="AJ12" s="378">
        <v>18</v>
      </c>
      <c r="AK12" s="187">
        <v>1314.1531914893621</v>
      </c>
      <c r="AL12" s="379">
        <v>73.008510638297892</v>
      </c>
      <c r="AM12" s="378">
        <f t="shared" si="7"/>
        <v>4</v>
      </c>
      <c r="AN12" s="600"/>
      <c r="AO12" s="378">
        <v>18</v>
      </c>
      <c r="AP12" s="187">
        <v>1301.834862385321</v>
      </c>
      <c r="AQ12" s="379">
        <v>72.324159021406729</v>
      </c>
      <c r="AR12" s="378">
        <f t="shared" si="8"/>
        <v>5</v>
      </c>
      <c r="AS12" s="600"/>
      <c r="AT12" s="378">
        <v>18</v>
      </c>
      <c r="AU12" s="187">
        <v>1287.5707317073175</v>
      </c>
      <c r="AV12" s="379">
        <v>71.531707317073199</v>
      </c>
      <c r="AW12" s="378">
        <f t="shared" si="9"/>
        <v>4</v>
      </c>
      <c r="AX12" s="600"/>
      <c r="AZ12" s="381" t="e">
        <f>RANK(AX12, $K$7:AX$21)</f>
        <v>#N/A</v>
      </c>
      <c r="BB12" s="378" t="e">
        <f t="shared" si="10"/>
        <v>#N/A</v>
      </c>
    </row>
    <row r="13" spans="1:54" ht="14.25">
      <c r="A13" s="81"/>
      <c r="B13" s="598"/>
      <c r="C13" s="378">
        <v>7</v>
      </c>
      <c r="D13" s="231" t="s">
        <v>687</v>
      </c>
      <c r="E13" s="187">
        <v>22</v>
      </c>
      <c r="F13" s="378">
        <v>1200</v>
      </c>
      <c r="G13" s="379">
        <v>54.545454545454547</v>
      </c>
      <c r="H13" s="633"/>
      <c r="I13" s="380">
        <f t="shared" si="0"/>
        <v>21.428571428571427</v>
      </c>
      <c r="J13" s="380">
        <f t="shared" si="1"/>
        <v>1094.8692397930965</v>
      </c>
      <c r="K13" s="205">
        <f t="shared" si="2"/>
        <v>51.163740155785995</v>
      </c>
      <c r="L13" s="572"/>
      <c r="M13" s="381">
        <f>RANK(K13, $K$7:K$21)</f>
        <v>7</v>
      </c>
      <c r="N13" s="590"/>
      <c r="O13" s="590"/>
      <c r="P13" s="378">
        <v>22</v>
      </c>
      <c r="Q13" s="187">
        <v>1072.8797468354426</v>
      </c>
      <c r="R13" s="379">
        <v>48.767261219792843</v>
      </c>
      <c r="S13" s="378">
        <f t="shared" si="3"/>
        <v>7</v>
      </c>
      <c r="T13" s="600"/>
      <c r="U13" s="378">
        <v>22</v>
      </c>
      <c r="V13" s="187">
        <v>1105.7052631578949</v>
      </c>
      <c r="W13" s="379">
        <v>50.25933014354068</v>
      </c>
      <c r="X13" s="378">
        <f t="shared" si="4"/>
        <v>7</v>
      </c>
      <c r="Y13" s="600"/>
      <c r="Z13" s="378">
        <v>22</v>
      </c>
      <c r="AA13" s="187">
        <v>1111.1460674157302</v>
      </c>
      <c r="AB13" s="379">
        <v>50.506639427987736</v>
      </c>
      <c r="AC13" s="378">
        <f t="shared" si="5"/>
        <v>7</v>
      </c>
      <c r="AD13" s="600"/>
      <c r="AE13" s="378">
        <v>21</v>
      </c>
      <c r="AF13" s="187">
        <v>1107.2914285714273</v>
      </c>
      <c r="AG13" s="379">
        <v>52.728163265306065</v>
      </c>
      <c r="AH13" s="378">
        <f t="shared" si="6"/>
        <v>7</v>
      </c>
      <c r="AI13" s="600"/>
      <c r="AJ13" s="378">
        <v>21</v>
      </c>
      <c r="AK13" s="187">
        <v>1068.2790697674416</v>
      </c>
      <c r="AL13" s="379">
        <v>50.870431893687694</v>
      </c>
      <c r="AM13" s="378">
        <f t="shared" si="7"/>
        <v>7</v>
      </c>
      <c r="AN13" s="600"/>
      <c r="AO13" s="378">
        <v>22</v>
      </c>
      <c r="AP13" s="187">
        <v>1083.4559999999997</v>
      </c>
      <c r="AQ13" s="379">
        <v>49.247999999999983</v>
      </c>
      <c r="AR13" s="378">
        <f t="shared" si="8"/>
        <v>7</v>
      </c>
      <c r="AS13" s="600"/>
      <c r="AT13" s="378">
        <v>20</v>
      </c>
      <c r="AU13" s="187">
        <v>1115.3271028037391</v>
      </c>
      <c r="AV13" s="379">
        <v>55.766355140186953</v>
      </c>
      <c r="AW13" s="378">
        <f t="shared" si="9"/>
        <v>7</v>
      </c>
      <c r="AX13" s="600"/>
      <c r="AZ13" s="381" t="e">
        <f>RANK(AX13, $K$7:AX$21)</f>
        <v>#N/A</v>
      </c>
      <c r="BB13" s="378" t="e">
        <f t="shared" si="10"/>
        <v>#N/A</v>
      </c>
    </row>
    <row r="14" spans="1:54" ht="14.25">
      <c r="A14" s="81"/>
      <c r="B14" s="598"/>
      <c r="C14" s="378">
        <v>8</v>
      </c>
      <c r="D14" s="231"/>
      <c r="E14" s="187"/>
      <c r="F14" s="378"/>
      <c r="G14" s="379"/>
      <c r="H14" s="633"/>
      <c r="I14" s="380"/>
      <c r="J14" s="380"/>
      <c r="K14" s="205"/>
      <c r="L14" s="572"/>
      <c r="M14" s="381" t="e">
        <f>RANK(K14, $K$7:K$21)</f>
        <v>#N/A</v>
      </c>
      <c r="N14" s="590"/>
      <c r="O14" s="590"/>
      <c r="P14" s="378"/>
      <c r="Q14" s="187"/>
      <c r="R14" s="379"/>
      <c r="S14" s="378" t="e">
        <f t="shared" si="3"/>
        <v>#N/A</v>
      </c>
      <c r="T14" s="600"/>
      <c r="U14" s="378"/>
      <c r="V14" s="187"/>
      <c r="W14" s="379"/>
      <c r="X14" s="378" t="e">
        <f t="shared" si="4"/>
        <v>#N/A</v>
      </c>
      <c r="Y14" s="600"/>
      <c r="Z14" s="378"/>
      <c r="AA14" s="187"/>
      <c r="AB14" s="379"/>
      <c r="AC14" s="378" t="e">
        <f t="shared" si="5"/>
        <v>#N/A</v>
      </c>
      <c r="AD14" s="600"/>
      <c r="AE14" s="378"/>
      <c r="AF14" s="187"/>
      <c r="AG14" s="379"/>
      <c r="AH14" s="378" t="e">
        <f t="shared" si="6"/>
        <v>#N/A</v>
      </c>
      <c r="AI14" s="600"/>
      <c r="AJ14" s="378"/>
      <c r="AK14" s="187"/>
      <c r="AL14" s="379"/>
      <c r="AM14" s="378" t="e">
        <f t="shared" si="7"/>
        <v>#N/A</v>
      </c>
      <c r="AN14" s="600"/>
      <c r="AO14" s="378"/>
      <c r="AP14" s="187"/>
      <c r="AQ14" s="379"/>
      <c r="AR14" s="378" t="e">
        <f t="shared" si="8"/>
        <v>#N/A</v>
      </c>
      <c r="AS14" s="600"/>
      <c r="AT14" s="378"/>
      <c r="AU14" s="187"/>
      <c r="AV14" s="379"/>
      <c r="AW14" s="378" t="e">
        <f t="shared" si="9"/>
        <v>#N/A</v>
      </c>
      <c r="AX14" s="600"/>
      <c r="AZ14" s="381" t="e">
        <f>RANK(AX14, $K$7:AX$21)</f>
        <v>#N/A</v>
      </c>
      <c r="BB14" s="378" t="e">
        <f t="shared" si="10"/>
        <v>#N/A</v>
      </c>
    </row>
    <row r="15" spans="1:54" ht="14.25">
      <c r="A15" s="81"/>
      <c r="B15" s="598"/>
      <c r="C15" s="378">
        <v>9</v>
      </c>
      <c r="D15" s="231"/>
      <c r="E15" s="187"/>
      <c r="F15" s="378"/>
      <c r="G15" s="379"/>
      <c r="H15" s="633"/>
      <c r="I15" s="380"/>
      <c r="J15" s="380"/>
      <c r="K15" s="205"/>
      <c r="L15" s="572"/>
      <c r="M15" s="381" t="e">
        <f>RANK(K15, $K$7:K$21)</f>
        <v>#N/A</v>
      </c>
      <c r="N15" s="590"/>
      <c r="O15" s="590"/>
      <c r="P15" s="378"/>
      <c r="Q15" s="187"/>
      <c r="R15" s="379"/>
      <c r="S15" s="378" t="e">
        <f t="shared" si="3"/>
        <v>#N/A</v>
      </c>
      <c r="T15" s="600"/>
      <c r="U15" s="378"/>
      <c r="V15" s="187"/>
      <c r="W15" s="379"/>
      <c r="X15" s="378" t="e">
        <f t="shared" si="4"/>
        <v>#N/A</v>
      </c>
      <c r="Y15" s="600"/>
      <c r="Z15" s="378"/>
      <c r="AA15" s="187"/>
      <c r="AB15" s="379"/>
      <c r="AC15" s="378" t="e">
        <f t="shared" si="5"/>
        <v>#N/A</v>
      </c>
      <c r="AD15" s="600"/>
      <c r="AE15" s="378"/>
      <c r="AF15" s="187"/>
      <c r="AG15" s="379"/>
      <c r="AH15" s="378" t="e">
        <f t="shared" si="6"/>
        <v>#N/A</v>
      </c>
      <c r="AI15" s="600"/>
      <c r="AJ15" s="378"/>
      <c r="AK15" s="187"/>
      <c r="AL15" s="379"/>
      <c r="AM15" s="378" t="e">
        <f t="shared" si="7"/>
        <v>#N/A</v>
      </c>
      <c r="AN15" s="600"/>
      <c r="AO15" s="378"/>
      <c r="AP15" s="187"/>
      <c r="AQ15" s="379"/>
      <c r="AR15" s="378" t="e">
        <f t="shared" si="8"/>
        <v>#N/A</v>
      </c>
      <c r="AS15" s="600"/>
      <c r="AT15" s="378"/>
      <c r="AU15" s="187"/>
      <c r="AV15" s="379"/>
      <c r="AW15" s="378" t="e">
        <f t="shared" si="9"/>
        <v>#N/A</v>
      </c>
      <c r="AX15" s="600"/>
      <c r="AZ15" s="381" t="e">
        <f>RANK(AX15, $K$7:AX$21)</f>
        <v>#N/A</v>
      </c>
      <c r="BB15" s="378" t="e">
        <f t="shared" si="10"/>
        <v>#N/A</v>
      </c>
    </row>
    <row r="16" spans="1:54" ht="14.25">
      <c r="A16" s="81"/>
      <c r="B16" s="598"/>
      <c r="C16" s="378">
        <v>10</v>
      </c>
      <c r="D16" s="231"/>
      <c r="E16" s="187"/>
      <c r="F16" s="378"/>
      <c r="G16" s="379"/>
      <c r="H16" s="633"/>
      <c r="I16" s="380"/>
      <c r="J16" s="380"/>
      <c r="K16" s="205"/>
      <c r="L16" s="572"/>
      <c r="M16" s="381" t="e">
        <f>RANK(K16, $K$7:K$21)</f>
        <v>#N/A</v>
      </c>
      <c r="N16" s="590"/>
      <c r="O16" s="590"/>
      <c r="P16" s="378"/>
      <c r="Q16" s="187"/>
      <c r="R16" s="379"/>
      <c r="S16" s="378" t="e">
        <f t="shared" si="3"/>
        <v>#N/A</v>
      </c>
      <c r="T16" s="600"/>
      <c r="U16" s="378"/>
      <c r="V16" s="187"/>
      <c r="W16" s="379"/>
      <c r="X16" s="378" t="e">
        <f t="shared" si="4"/>
        <v>#N/A</v>
      </c>
      <c r="Y16" s="600"/>
      <c r="Z16" s="378"/>
      <c r="AA16" s="187"/>
      <c r="AB16" s="379"/>
      <c r="AC16" s="378" t="e">
        <f t="shared" si="5"/>
        <v>#N/A</v>
      </c>
      <c r="AD16" s="600"/>
      <c r="AE16" s="378"/>
      <c r="AF16" s="187"/>
      <c r="AG16" s="379"/>
      <c r="AH16" s="378" t="e">
        <f t="shared" si="6"/>
        <v>#N/A</v>
      </c>
      <c r="AI16" s="600"/>
      <c r="AJ16" s="378"/>
      <c r="AK16" s="187"/>
      <c r="AL16" s="379"/>
      <c r="AM16" s="378" t="e">
        <f t="shared" si="7"/>
        <v>#N/A</v>
      </c>
      <c r="AN16" s="600"/>
      <c r="AO16" s="378"/>
      <c r="AP16" s="187"/>
      <c r="AQ16" s="379"/>
      <c r="AR16" s="378" t="e">
        <f t="shared" si="8"/>
        <v>#N/A</v>
      </c>
      <c r="AS16" s="600"/>
      <c r="AT16" s="378"/>
      <c r="AU16" s="187"/>
      <c r="AV16" s="379"/>
      <c r="AW16" s="378" t="e">
        <f t="shared" si="9"/>
        <v>#N/A</v>
      </c>
      <c r="AX16" s="600"/>
      <c r="AZ16" s="381" t="e">
        <f>RANK(AX16, $K$7:AX$21)</f>
        <v>#N/A</v>
      </c>
      <c r="BB16" s="378" t="e">
        <f t="shared" si="10"/>
        <v>#N/A</v>
      </c>
    </row>
    <row r="17" spans="2:54">
      <c r="B17" s="598"/>
      <c r="C17" s="378">
        <v>11</v>
      </c>
      <c r="D17" s="231"/>
      <c r="E17" s="187"/>
      <c r="F17" s="378"/>
      <c r="G17" s="379"/>
      <c r="H17" s="633"/>
      <c r="I17" s="380"/>
      <c r="J17" s="380"/>
      <c r="K17" s="205"/>
      <c r="L17" s="572"/>
      <c r="M17" s="381" t="e">
        <f>RANK(K17, $K$7:K$21)</f>
        <v>#N/A</v>
      </c>
      <c r="N17" s="590"/>
      <c r="O17" s="590"/>
      <c r="P17" s="378"/>
      <c r="Q17" s="187"/>
      <c r="R17" s="379"/>
      <c r="S17" s="378" t="e">
        <f t="shared" si="3"/>
        <v>#N/A</v>
      </c>
      <c r="T17" s="600"/>
      <c r="U17" s="378"/>
      <c r="V17" s="187"/>
      <c r="W17" s="379"/>
      <c r="X17" s="378" t="e">
        <f t="shared" si="4"/>
        <v>#N/A</v>
      </c>
      <c r="Y17" s="600"/>
      <c r="Z17" s="378"/>
      <c r="AA17" s="187"/>
      <c r="AB17" s="379"/>
      <c r="AC17" s="378" t="e">
        <f t="shared" si="5"/>
        <v>#N/A</v>
      </c>
      <c r="AD17" s="600"/>
      <c r="AE17" s="378"/>
      <c r="AF17" s="187"/>
      <c r="AG17" s="379"/>
      <c r="AH17" s="378" t="e">
        <f t="shared" si="6"/>
        <v>#N/A</v>
      </c>
      <c r="AI17" s="600"/>
      <c r="AJ17" s="378"/>
      <c r="AK17" s="187"/>
      <c r="AL17" s="379"/>
      <c r="AM17" s="378" t="e">
        <f t="shared" si="7"/>
        <v>#N/A</v>
      </c>
      <c r="AN17" s="600"/>
      <c r="AO17" s="378"/>
      <c r="AP17" s="187"/>
      <c r="AQ17" s="379"/>
      <c r="AR17" s="378" t="e">
        <f t="shared" si="8"/>
        <v>#N/A</v>
      </c>
      <c r="AS17" s="600"/>
      <c r="AT17" s="378"/>
      <c r="AU17" s="187"/>
      <c r="AV17" s="379"/>
      <c r="AW17" s="378" t="e">
        <f t="shared" si="9"/>
        <v>#N/A</v>
      </c>
      <c r="AX17" s="600"/>
      <c r="AZ17" s="381" t="e">
        <f>RANK(AX17, $K$7:AX$21)</f>
        <v>#N/A</v>
      </c>
      <c r="BB17" s="378" t="e">
        <f t="shared" si="10"/>
        <v>#N/A</v>
      </c>
    </row>
    <row r="18" spans="2:54">
      <c r="B18" s="598"/>
      <c r="C18" s="378">
        <v>12</v>
      </c>
      <c r="D18" s="231"/>
      <c r="E18" s="187"/>
      <c r="F18" s="378"/>
      <c r="G18" s="379"/>
      <c r="H18" s="633"/>
      <c r="I18" s="380"/>
      <c r="J18" s="380"/>
      <c r="K18" s="205"/>
      <c r="L18" s="572"/>
      <c r="M18" s="381" t="e">
        <f>RANK(K18, $K$7:K$21)</f>
        <v>#N/A</v>
      </c>
      <c r="N18" s="590"/>
      <c r="O18" s="590"/>
      <c r="P18" s="378"/>
      <c r="Q18" s="187"/>
      <c r="R18" s="379"/>
      <c r="S18" s="378" t="e">
        <f t="shared" si="3"/>
        <v>#N/A</v>
      </c>
      <c r="T18" s="600"/>
      <c r="U18" s="378"/>
      <c r="V18" s="187"/>
      <c r="W18" s="379"/>
      <c r="X18" s="378" t="e">
        <f t="shared" si="4"/>
        <v>#N/A</v>
      </c>
      <c r="Y18" s="600"/>
      <c r="Z18" s="378"/>
      <c r="AA18" s="187"/>
      <c r="AB18" s="379"/>
      <c r="AC18" s="378" t="e">
        <f t="shared" si="5"/>
        <v>#N/A</v>
      </c>
      <c r="AD18" s="600"/>
      <c r="AE18" s="378"/>
      <c r="AF18" s="187"/>
      <c r="AG18" s="379"/>
      <c r="AH18" s="378" t="e">
        <f t="shared" si="6"/>
        <v>#N/A</v>
      </c>
      <c r="AI18" s="600"/>
      <c r="AJ18" s="378"/>
      <c r="AK18" s="187"/>
      <c r="AL18" s="379"/>
      <c r="AM18" s="378" t="e">
        <f t="shared" si="7"/>
        <v>#N/A</v>
      </c>
      <c r="AN18" s="600"/>
      <c r="AO18" s="378"/>
      <c r="AP18" s="187"/>
      <c r="AQ18" s="379"/>
      <c r="AR18" s="378" t="e">
        <f t="shared" si="8"/>
        <v>#N/A</v>
      </c>
      <c r="AS18" s="600"/>
      <c r="AT18" s="378"/>
      <c r="AU18" s="187"/>
      <c r="AV18" s="379"/>
      <c r="AW18" s="378" t="e">
        <f t="shared" si="9"/>
        <v>#N/A</v>
      </c>
      <c r="AX18" s="600"/>
      <c r="AZ18" s="381" t="e">
        <f>RANK(AX18, $K$7:AX$21)</f>
        <v>#N/A</v>
      </c>
      <c r="BB18" s="378" t="e">
        <f t="shared" si="10"/>
        <v>#N/A</v>
      </c>
    </row>
    <row r="19" spans="2:54">
      <c r="B19" s="598"/>
      <c r="C19" s="378">
        <v>13</v>
      </c>
      <c r="D19" s="231"/>
      <c r="E19" s="187"/>
      <c r="F19" s="378"/>
      <c r="G19" s="379"/>
      <c r="H19" s="633"/>
      <c r="I19" s="380"/>
      <c r="J19" s="380"/>
      <c r="K19" s="205"/>
      <c r="L19" s="572"/>
      <c r="M19" s="381" t="e">
        <f>RANK(K19, $K$7:K$21)</f>
        <v>#N/A</v>
      </c>
      <c r="N19" s="590"/>
      <c r="O19" s="590"/>
      <c r="P19" s="378"/>
      <c r="Q19" s="187"/>
      <c r="R19" s="379"/>
      <c r="S19" s="378" t="e">
        <f t="shared" si="3"/>
        <v>#N/A</v>
      </c>
      <c r="T19" s="600"/>
      <c r="U19" s="378"/>
      <c r="V19" s="187"/>
      <c r="W19" s="379"/>
      <c r="X19" s="378" t="e">
        <f t="shared" si="4"/>
        <v>#N/A</v>
      </c>
      <c r="Y19" s="600"/>
      <c r="Z19" s="378"/>
      <c r="AA19" s="187"/>
      <c r="AB19" s="379"/>
      <c r="AC19" s="378" t="e">
        <f t="shared" si="5"/>
        <v>#N/A</v>
      </c>
      <c r="AD19" s="600"/>
      <c r="AE19" s="378"/>
      <c r="AF19" s="187"/>
      <c r="AG19" s="379"/>
      <c r="AH19" s="378" t="e">
        <f t="shared" si="6"/>
        <v>#N/A</v>
      </c>
      <c r="AI19" s="600"/>
      <c r="AJ19" s="378"/>
      <c r="AK19" s="187"/>
      <c r="AL19" s="379"/>
      <c r="AM19" s="378" t="e">
        <f t="shared" si="7"/>
        <v>#N/A</v>
      </c>
      <c r="AN19" s="600"/>
      <c r="AO19" s="378"/>
      <c r="AP19" s="187"/>
      <c r="AQ19" s="379"/>
      <c r="AR19" s="378" t="e">
        <f t="shared" si="8"/>
        <v>#N/A</v>
      </c>
      <c r="AS19" s="600"/>
      <c r="AT19" s="378"/>
      <c r="AU19" s="187"/>
      <c r="AV19" s="379"/>
      <c r="AW19" s="378" t="e">
        <f t="shared" si="9"/>
        <v>#N/A</v>
      </c>
      <c r="AX19" s="600"/>
      <c r="AZ19" s="381" t="e">
        <f>RANK(AX19, $K$7:AX$21)</f>
        <v>#N/A</v>
      </c>
      <c r="BB19" s="378" t="e">
        <f t="shared" si="10"/>
        <v>#N/A</v>
      </c>
    </row>
    <row r="20" spans="2:54">
      <c r="B20" s="598"/>
      <c r="C20" s="378">
        <v>14</v>
      </c>
      <c r="D20" s="231"/>
      <c r="E20" s="187"/>
      <c r="F20" s="378"/>
      <c r="G20" s="379"/>
      <c r="H20" s="633"/>
      <c r="I20" s="380"/>
      <c r="J20" s="380"/>
      <c r="K20" s="205"/>
      <c r="L20" s="572"/>
      <c r="M20" s="381" t="e">
        <f>RANK(K20, $K$7:K$21)</f>
        <v>#N/A</v>
      </c>
      <c r="N20" s="590"/>
      <c r="O20" s="590"/>
      <c r="P20" s="378"/>
      <c r="Q20" s="187"/>
      <c r="R20" s="379"/>
      <c r="S20" s="378" t="e">
        <f t="shared" si="3"/>
        <v>#N/A</v>
      </c>
      <c r="T20" s="600"/>
      <c r="U20" s="378"/>
      <c r="V20" s="187"/>
      <c r="W20" s="379"/>
      <c r="X20" s="378" t="e">
        <f t="shared" si="4"/>
        <v>#N/A</v>
      </c>
      <c r="Y20" s="600"/>
      <c r="Z20" s="378"/>
      <c r="AA20" s="187"/>
      <c r="AB20" s="379"/>
      <c r="AC20" s="378" t="e">
        <f t="shared" si="5"/>
        <v>#N/A</v>
      </c>
      <c r="AD20" s="600"/>
      <c r="AE20" s="378"/>
      <c r="AF20" s="187"/>
      <c r="AG20" s="379"/>
      <c r="AH20" s="378" t="e">
        <f t="shared" si="6"/>
        <v>#N/A</v>
      </c>
      <c r="AI20" s="600"/>
      <c r="AJ20" s="378"/>
      <c r="AK20" s="187"/>
      <c r="AL20" s="379"/>
      <c r="AM20" s="378" t="e">
        <f t="shared" si="7"/>
        <v>#N/A</v>
      </c>
      <c r="AN20" s="600"/>
      <c r="AO20" s="378"/>
      <c r="AP20" s="187"/>
      <c r="AQ20" s="379"/>
      <c r="AR20" s="378" t="e">
        <f t="shared" si="8"/>
        <v>#N/A</v>
      </c>
      <c r="AS20" s="600"/>
      <c r="AT20" s="378"/>
      <c r="AU20" s="187"/>
      <c r="AV20" s="379"/>
      <c r="AW20" s="378" t="e">
        <f t="shared" si="9"/>
        <v>#N/A</v>
      </c>
      <c r="AX20" s="600"/>
      <c r="AZ20" s="381" t="e">
        <f>RANK(AX20, $K$7:AX$21)</f>
        <v>#N/A</v>
      </c>
      <c r="BB20" s="378" t="e">
        <f t="shared" si="10"/>
        <v>#N/A</v>
      </c>
    </row>
    <row r="21" spans="2:54">
      <c r="B21" s="598"/>
      <c r="C21" s="378">
        <v>15</v>
      </c>
      <c r="D21" s="231"/>
      <c r="E21" s="187"/>
      <c r="F21" s="378"/>
      <c r="G21" s="379"/>
      <c r="H21" s="634"/>
      <c r="I21" s="380"/>
      <c r="J21" s="380"/>
      <c r="K21" s="205"/>
      <c r="L21" s="573"/>
      <c r="M21" s="380" t="e">
        <f>RANK(K21, $K$7:K$21)</f>
        <v>#N/A</v>
      </c>
      <c r="N21" s="590"/>
      <c r="O21" s="590"/>
      <c r="P21" s="378"/>
      <c r="Q21" s="187"/>
      <c r="R21" s="379"/>
      <c r="S21" s="378" t="e">
        <f t="shared" si="3"/>
        <v>#N/A</v>
      </c>
      <c r="T21" s="601"/>
      <c r="U21" s="378"/>
      <c r="V21" s="187"/>
      <c r="W21" s="379"/>
      <c r="X21" s="378" t="e">
        <f t="shared" si="4"/>
        <v>#N/A</v>
      </c>
      <c r="Y21" s="601"/>
      <c r="Z21" s="378"/>
      <c r="AA21" s="187"/>
      <c r="AB21" s="379"/>
      <c r="AC21" s="378" t="e">
        <f t="shared" si="5"/>
        <v>#N/A</v>
      </c>
      <c r="AD21" s="601"/>
      <c r="AE21" s="378"/>
      <c r="AF21" s="187"/>
      <c r="AG21" s="379"/>
      <c r="AH21" s="378" t="e">
        <f t="shared" si="6"/>
        <v>#N/A</v>
      </c>
      <c r="AI21" s="601"/>
      <c r="AJ21" s="378"/>
      <c r="AK21" s="187"/>
      <c r="AL21" s="379"/>
      <c r="AM21" s="378" t="e">
        <f t="shared" si="7"/>
        <v>#N/A</v>
      </c>
      <c r="AN21" s="601"/>
      <c r="AO21" s="378"/>
      <c r="AP21" s="187"/>
      <c r="AQ21" s="379"/>
      <c r="AR21" s="378" t="e">
        <f t="shared" si="8"/>
        <v>#N/A</v>
      </c>
      <c r="AS21" s="601"/>
      <c r="AT21" s="378"/>
      <c r="AU21" s="187"/>
      <c r="AV21" s="379"/>
      <c r="AW21" s="378" t="e">
        <f t="shared" si="9"/>
        <v>#N/A</v>
      </c>
      <c r="AX21" s="601"/>
      <c r="AZ21" s="380" t="e">
        <f>RANK(AX21, $K$7:AX$21)</f>
        <v>#N/A</v>
      </c>
      <c r="BB21" s="378" t="e">
        <f t="shared" si="10"/>
        <v>#N/A</v>
      </c>
    </row>
    <row r="22" spans="2:54" ht="15.75">
      <c r="B22" s="615" t="s">
        <v>163</v>
      </c>
      <c r="C22" s="616"/>
      <c r="D22" s="616"/>
      <c r="E22" s="616"/>
      <c r="F22" s="616"/>
      <c r="G22" s="616"/>
      <c r="H22" s="616"/>
      <c r="I22" s="208"/>
      <c r="J22" s="208"/>
      <c r="K22" s="208"/>
      <c r="L22" s="208"/>
      <c r="M22" s="209"/>
      <c r="N22" s="591" t="s">
        <v>156</v>
      </c>
      <c r="O22" s="591" t="s">
        <v>105</v>
      </c>
      <c r="P22" s="635">
        <f>AT2+1</f>
        <v>45937</v>
      </c>
      <c r="Q22" s="636"/>
      <c r="R22" s="636"/>
      <c r="S22" s="636"/>
      <c r="T22" s="636"/>
      <c r="U22" s="597">
        <f>P22+1</f>
        <v>45938</v>
      </c>
      <c r="V22" s="598"/>
      <c r="W22" s="598"/>
      <c r="X22" s="598"/>
      <c r="Y22" s="598"/>
      <c r="Z22" s="597">
        <f>U22+1</f>
        <v>45939</v>
      </c>
      <c r="AA22" s="598"/>
      <c r="AB22" s="598"/>
      <c r="AC22" s="598"/>
      <c r="AD22" s="598"/>
      <c r="AE22" s="597">
        <f>Z22+1</f>
        <v>45940</v>
      </c>
      <c r="AF22" s="598"/>
      <c r="AG22" s="598"/>
      <c r="AH22" s="598"/>
      <c r="AI22" s="598"/>
      <c r="AJ22" s="597">
        <f>AE22+1</f>
        <v>45941</v>
      </c>
      <c r="AK22" s="598"/>
      <c r="AL22" s="598"/>
      <c r="AM22" s="598"/>
      <c r="AN22" s="598"/>
      <c r="AO22" s="597">
        <f>AJ22+1</f>
        <v>45942</v>
      </c>
      <c r="AP22" s="598"/>
      <c r="AQ22" s="598"/>
      <c r="AR22" s="598"/>
      <c r="AS22" s="598"/>
      <c r="AT22" s="597">
        <f>AO22+1</f>
        <v>45943</v>
      </c>
      <c r="AU22" s="598"/>
      <c r="AV22" s="598"/>
      <c r="AW22" s="598"/>
      <c r="AX22" s="598"/>
    </row>
    <row r="23" spans="2:54" ht="15.75">
      <c r="B23" s="605"/>
      <c r="C23" s="605"/>
      <c r="D23" s="605"/>
      <c r="E23" s="605"/>
      <c r="F23" s="605"/>
      <c r="G23" s="605"/>
      <c r="H23" s="605"/>
      <c r="I23" s="210"/>
      <c r="J23" s="210"/>
      <c r="K23" s="210"/>
      <c r="L23" s="210"/>
      <c r="M23" s="211"/>
      <c r="N23" s="593"/>
      <c r="O23" s="593"/>
      <c r="P23" s="597" t="s">
        <v>336</v>
      </c>
      <c r="Q23" s="598"/>
      <c r="R23" s="598"/>
      <c r="S23" s="598"/>
      <c r="T23" s="598"/>
      <c r="U23" s="597" t="s">
        <v>337</v>
      </c>
      <c r="V23" s="598"/>
      <c r="W23" s="598"/>
      <c r="X23" s="598"/>
      <c r="Y23" s="598"/>
      <c r="Z23" s="597" t="s">
        <v>338</v>
      </c>
      <c r="AA23" s="598"/>
      <c r="AB23" s="598"/>
      <c r="AC23" s="598"/>
      <c r="AD23" s="598"/>
      <c r="AE23" s="597" t="s">
        <v>339</v>
      </c>
      <c r="AF23" s="598"/>
      <c r="AG23" s="598"/>
      <c r="AH23" s="598"/>
      <c r="AI23" s="598"/>
      <c r="AJ23" s="597" t="s">
        <v>340</v>
      </c>
      <c r="AK23" s="598"/>
      <c r="AL23" s="598"/>
      <c r="AM23" s="598"/>
      <c r="AN23" s="598"/>
      <c r="AO23" s="597" t="s">
        <v>341</v>
      </c>
      <c r="AP23" s="598"/>
      <c r="AQ23" s="598"/>
      <c r="AR23" s="598"/>
      <c r="AS23" s="598"/>
      <c r="AT23" s="597" t="s">
        <v>342</v>
      </c>
      <c r="AU23" s="598"/>
      <c r="AV23" s="598"/>
      <c r="AW23" s="598"/>
      <c r="AX23" s="598"/>
    </row>
    <row r="24" spans="2:54">
      <c r="B24" s="590" t="s">
        <v>603</v>
      </c>
      <c r="C24" s="590" t="s">
        <v>604</v>
      </c>
      <c r="D24" s="590"/>
      <c r="E24" s="590" t="s">
        <v>605</v>
      </c>
      <c r="F24" s="590"/>
      <c r="G24" s="590"/>
      <c r="H24" s="606" t="s">
        <v>575</v>
      </c>
      <c r="I24" s="574" t="s">
        <v>571</v>
      </c>
      <c r="J24" s="574"/>
      <c r="K24" s="574"/>
      <c r="L24" s="575" t="s">
        <v>575</v>
      </c>
      <c r="M24" s="581" t="s">
        <v>606</v>
      </c>
      <c r="N24" s="590"/>
      <c r="O24" s="590" t="s">
        <v>607</v>
      </c>
      <c r="P24" s="587" t="s">
        <v>573</v>
      </c>
      <c r="Q24" s="588"/>
      <c r="R24" s="588"/>
      <c r="S24" s="589"/>
      <c r="T24" s="590" t="s">
        <v>575</v>
      </c>
      <c r="U24" s="587" t="s">
        <v>573</v>
      </c>
      <c r="V24" s="588"/>
      <c r="W24" s="588"/>
      <c r="X24" s="589"/>
      <c r="Y24" s="590" t="s">
        <v>575</v>
      </c>
      <c r="Z24" s="587" t="s">
        <v>573</v>
      </c>
      <c r="AA24" s="588"/>
      <c r="AB24" s="588"/>
      <c r="AC24" s="589"/>
      <c r="AD24" s="590" t="s">
        <v>575</v>
      </c>
      <c r="AE24" s="587" t="s">
        <v>573</v>
      </c>
      <c r="AF24" s="588"/>
      <c r="AG24" s="588"/>
      <c r="AH24" s="589"/>
      <c r="AI24" s="590" t="s">
        <v>575</v>
      </c>
      <c r="AJ24" s="587" t="s">
        <v>573</v>
      </c>
      <c r="AK24" s="588"/>
      <c r="AL24" s="588"/>
      <c r="AM24" s="589"/>
      <c r="AN24" s="590" t="s">
        <v>575</v>
      </c>
      <c r="AO24" s="587" t="s">
        <v>573</v>
      </c>
      <c r="AP24" s="588"/>
      <c r="AQ24" s="588"/>
      <c r="AR24" s="589"/>
      <c r="AS24" s="590" t="s">
        <v>575</v>
      </c>
      <c r="AT24" s="587" t="s">
        <v>573</v>
      </c>
      <c r="AU24" s="588"/>
      <c r="AV24" s="588"/>
      <c r="AW24" s="589"/>
      <c r="AX24" s="590" t="s">
        <v>575</v>
      </c>
    </row>
    <row r="25" spans="2:54">
      <c r="B25" s="590"/>
      <c r="C25" s="590"/>
      <c r="D25" s="590"/>
      <c r="E25" s="590" t="s">
        <v>578</v>
      </c>
      <c r="F25" s="590"/>
      <c r="G25" s="590"/>
      <c r="H25" s="607"/>
      <c r="I25" s="574" t="s">
        <v>578</v>
      </c>
      <c r="J25" s="574"/>
      <c r="K25" s="574"/>
      <c r="L25" s="576"/>
      <c r="M25" s="582"/>
      <c r="N25" s="590"/>
      <c r="O25" s="590"/>
      <c r="P25" s="587" t="s">
        <v>579</v>
      </c>
      <c r="Q25" s="588"/>
      <c r="R25" s="588"/>
      <c r="S25" s="589"/>
      <c r="T25" s="590"/>
      <c r="U25" s="587" t="s">
        <v>579</v>
      </c>
      <c r="V25" s="588"/>
      <c r="W25" s="588"/>
      <c r="X25" s="589"/>
      <c r="Y25" s="590"/>
      <c r="Z25" s="587" t="s">
        <v>579</v>
      </c>
      <c r="AA25" s="588"/>
      <c r="AB25" s="588"/>
      <c r="AC25" s="589"/>
      <c r="AD25" s="590"/>
      <c r="AE25" s="587" t="s">
        <v>579</v>
      </c>
      <c r="AF25" s="588"/>
      <c r="AG25" s="588"/>
      <c r="AH25" s="589"/>
      <c r="AI25" s="590"/>
      <c r="AJ25" s="587" t="s">
        <v>579</v>
      </c>
      <c r="AK25" s="588"/>
      <c r="AL25" s="588"/>
      <c r="AM25" s="589"/>
      <c r="AN25" s="590"/>
      <c r="AO25" s="587" t="s">
        <v>579</v>
      </c>
      <c r="AP25" s="588"/>
      <c r="AQ25" s="588"/>
      <c r="AR25" s="589"/>
      <c r="AS25" s="590"/>
      <c r="AT25" s="587" t="s">
        <v>579</v>
      </c>
      <c r="AU25" s="588"/>
      <c r="AV25" s="588"/>
      <c r="AW25" s="589"/>
      <c r="AX25" s="590"/>
    </row>
    <row r="26" spans="2:54">
      <c r="B26" s="590"/>
      <c r="C26" s="590"/>
      <c r="D26" s="590"/>
      <c r="E26" s="335" t="s">
        <v>583</v>
      </c>
      <c r="F26" s="335" t="s">
        <v>608</v>
      </c>
      <c r="G26" s="335" t="s">
        <v>582</v>
      </c>
      <c r="H26" s="608"/>
      <c r="I26" s="334" t="s">
        <v>583</v>
      </c>
      <c r="J26" s="334" t="s">
        <v>608</v>
      </c>
      <c r="K26" s="334" t="s">
        <v>582</v>
      </c>
      <c r="L26" s="577"/>
      <c r="M26" s="583"/>
      <c r="N26" s="590"/>
      <c r="O26" s="590"/>
      <c r="P26" s="335" t="s">
        <v>583</v>
      </c>
      <c r="Q26" s="335" t="s">
        <v>608</v>
      </c>
      <c r="R26" s="335" t="s">
        <v>582</v>
      </c>
      <c r="S26" s="335" t="s">
        <v>606</v>
      </c>
      <c r="T26" s="590"/>
      <c r="U26" s="335" t="s">
        <v>583</v>
      </c>
      <c r="V26" s="335" t="s">
        <v>451</v>
      </c>
      <c r="W26" s="335" t="s">
        <v>582</v>
      </c>
      <c r="X26" s="335" t="s">
        <v>606</v>
      </c>
      <c r="Y26" s="590"/>
      <c r="Z26" s="335" t="s">
        <v>583</v>
      </c>
      <c r="AA26" s="335" t="s">
        <v>451</v>
      </c>
      <c r="AB26" s="335" t="s">
        <v>582</v>
      </c>
      <c r="AC26" s="335" t="s">
        <v>606</v>
      </c>
      <c r="AD26" s="590"/>
      <c r="AE26" s="335" t="s">
        <v>583</v>
      </c>
      <c r="AF26" s="335" t="s">
        <v>608</v>
      </c>
      <c r="AG26" s="335" t="s">
        <v>582</v>
      </c>
      <c r="AH26" s="335" t="s">
        <v>606</v>
      </c>
      <c r="AI26" s="590"/>
      <c r="AJ26" s="335" t="s">
        <v>583</v>
      </c>
      <c r="AK26" s="335" t="s">
        <v>608</v>
      </c>
      <c r="AL26" s="335" t="s">
        <v>582</v>
      </c>
      <c r="AM26" s="335" t="s">
        <v>606</v>
      </c>
      <c r="AN26" s="590"/>
      <c r="AO26" s="335" t="s">
        <v>583</v>
      </c>
      <c r="AP26" s="335" t="s">
        <v>608</v>
      </c>
      <c r="AQ26" s="335" t="s">
        <v>582</v>
      </c>
      <c r="AR26" s="335" t="s">
        <v>606</v>
      </c>
      <c r="AS26" s="590"/>
      <c r="AT26" s="335" t="s">
        <v>583</v>
      </c>
      <c r="AU26" s="335" t="s">
        <v>608</v>
      </c>
      <c r="AV26" s="335" t="s">
        <v>582</v>
      </c>
      <c r="AW26" s="335" t="s">
        <v>606</v>
      </c>
      <c r="AX26" s="590"/>
    </row>
    <row r="27" spans="2:54">
      <c r="B27" s="590" t="s">
        <v>609</v>
      </c>
      <c r="C27" s="336">
        <v>1</v>
      </c>
      <c r="D27" s="231" t="s">
        <v>413</v>
      </c>
      <c r="E27" s="187">
        <v>7</v>
      </c>
      <c r="F27" s="336">
        <v>1500</v>
      </c>
      <c r="G27" s="337">
        <v>214.28571428571428</v>
      </c>
      <c r="H27" s="632">
        <f>AVERAGE(G27:G41)</f>
        <v>132.05751391465677</v>
      </c>
      <c r="I27" s="204">
        <f t="shared" ref="I27:K32" si="11">AVERAGE(P27,U27,Z27,AE27,AJ27,AO27,AT27)</f>
        <v>7</v>
      </c>
      <c r="J27" s="204">
        <f t="shared" si="11"/>
        <v>1283.2846912345353</v>
      </c>
      <c r="K27" s="205">
        <f t="shared" si="11"/>
        <v>183.32638446207642</v>
      </c>
      <c r="L27" s="571">
        <f>IFERROR(AVERAGE(K27:K41),"-")</f>
        <v>126.5038745749298</v>
      </c>
      <c r="M27" s="206">
        <f>RANK(K27, K$27:$K$41)</f>
        <v>2</v>
      </c>
      <c r="N27" s="590"/>
      <c r="O27" s="590"/>
      <c r="P27" s="187">
        <v>7</v>
      </c>
      <c r="Q27" s="187">
        <v>1274.4827586206895</v>
      </c>
      <c r="R27" s="379">
        <v>182.06896551724137</v>
      </c>
      <c r="S27" s="336">
        <f t="shared" ref="S27:S41" si="12">RANK(R27, R$27:R$41)</f>
        <v>2</v>
      </c>
      <c r="T27" s="599">
        <f>AVERAGE(R27:R41)</f>
        <v>126.99728993866921</v>
      </c>
      <c r="U27" s="187">
        <v>7</v>
      </c>
      <c r="V27" s="187">
        <v>1289.9999999999995</v>
      </c>
      <c r="W27" s="464">
        <v>184.28571428571422</v>
      </c>
      <c r="X27" s="336">
        <f t="shared" ref="X27:X41" si="13">RANK(W27, W$27:W$41)</f>
        <v>2</v>
      </c>
      <c r="Y27" s="599">
        <f>AVERAGE(W27:W41)</f>
        <v>126.78439221214906</v>
      </c>
      <c r="Z27" s="187">
        <v>7</v>
      </c>
      <c r="AA27" s="187">
        <v>1278.9873417721512</v>
      </c>
      <c r="AB27" s="464">
        <v>182.7124773960216</v>
      </c>
      <c r="AC27" s="336">
        <f t="shared" ref="AC27:AC41" si="14">RANK(AB27, AB$27:AB$41)</f>
        <v>2</v>
      </c>
      <c r="AD27" s="599">
        <f>AVERAGE(AB27:AB41)</f>
        <v>125.9164582048047</v>
      </c>
      <c r="AE27" s="187">
        <v>7</v>
      </c>
      <c r="AF27" s="187">
        <v>1316.8831168831173</v>
      </c>
      <c r="AG27" s="464">
        <v>188.12615955473103</v>
      </c>
      <c r="AH27" s="336">
        <f t="shared" ref="AH27:AH41" si="15">RANK(AG27, AG$27:AG$41)</f>
        <v>1</v>
      </c>
      <c r="AI27" s="599">
        <f>AVERAGE(AG27:AG41)</f>
        <v>127.40726256911285</v>
      </c>
      <c r="AJ27" s="187">
        <v>7</v>
      </c>
      <c r="AK27" s="187">
        <v>1250.8235294117644</v>
      </c>
      <c r="AL27" s="464">
        <v>178.68907563025206</v>
      </c>
      <c r="AM27" s="336">
        <f t="shared" ref="AM27:AM41" si="16">RANK(AL27, AL$27:AL$41)</f>
        <v>3</v>
      </c>
      <c r="AN27" s="599">
        <f>AVERAGE(AL27:AL41)</f>
        <v>125.1241902846145</v>
      </c>
      <c r="AO27" s="187">
        <v>7</v>
      </c>
      <c r="AP27" s="187">
        <v>1297.3333333333335</v>
      </c>
      <c r="AQ27" s="464">
        <v>185.33333333333334</v>
      </c>
      <c r="AR27" s="336">
        <f t="shared" ref="AR27:AR41" si="17">RANK(AQ27, AQ$27:AQ$41)</f>
        <v>2</v>
      </c>
      <c r="AS27" s="599">
        <f>AVERAGE(AQ27:AQ41)</f>
        <v>126.30023887648905</v>
      </c>
      <c r="AT27" s="187">
        <v>7</v>
      </c>
      <c r="AU27" s="187">
        <v>1274.4827586206895</v>
      </c>
      <c r="AV27" s="464">
        <v>182.06896551724137</v>
      </c>
      <c r="AW27" s="336">
        <f t="shared" ref="AW27:AW41" si="18">RANK(AV27, AV$27:AV$41)</f>
        <v>2</v>
      </c>
      <c r="AX27" s="599">
        <f>AVERAGE(AV27:AV41)</f>
        <v>126.99728993866921</v>
      </c>
    </row>
    <row r="28" spans="2:54">
      <c r="B28" s="598"/>
      <c r="C28" s="336">
        <v>2</v>
      </c>
      <c r="D28" s="231" t="s">
        <v>414</v>
      </c>
      <c r="E28" s="187">
        <v>7</v>
      </c>
      <c r="F28" s="336">
        <v>1500</v>
      </c>
      <c r="G28" s="337">
        <v>214.28571428571428</v>
      </c>
      <c r="H28" s="633"/>
      <c r="I28" s="204">
        <f t="shared" si="11"/>
        <v>7</v>
      </c>
      <c r="J28" s="204">
        <f t="shared" si="11"/>
        <v>1280.2789423001745</v>
      </c>
      <c r="K28" s="205">
        <f t="shared" si="11"/>
        <v>182.8969917571678</v>
      </c>
      <c r="L28" s="572"/>
      <c r="M28" s="206">
        <f>RANK(K28, K$27:$K$41)</f>
        <v>3</v>
      </c>
      <c r="N28" s="590"/>
      <c r="O28" s="590"/>
      <c r="P28" s="378">
        <v>7</v>
      </c>
      <c r="Q28" s="187">
        <v>1264</v>
      </c>
      <c r="R28" s="379">
        <v>180.57142857142858</v>
      </c>
      <c r="S28" s="336">
        <f t="shared" si="12"/>
        <v>3</v>
      </c>
      <c r="T28" s="600"/>
      <c r="U28" s="463">
        <v>7</v>
      </c>
      <c r="V28" s="187">
        <v>1258.7323943661975</v>
      </c>
      <c r="W28" s="464">
        <v>179.81891348088536</v>
      </c>
      <c r="X28" s="336">
        <f t="shared" si="13"/>
        <v>3</v>
      </c>
      <c r="Y28" s="600"/>
      <c r="Z28" s="463">
        <v>7</v>
      </c>
      <c r="AA28" s="187">
        <v>1295.8928571428571</v>
      </c>
      <c r="AB28" s="464">
        <v>185.12755102040816</v>
      </c>
      <c r="AC28" s="336">
        <f t="shared" si="14"/>
        <v>1</v>
      </c>
      <c r="AD28" s="600"/>
      <c r="AE28" s="463">
        <v>7</v>
      </c>
      <c r="AF28" s="187">
        <v>1298.608695652174</v>
      </c>
      <c r="AG28" s="464">
        <v>185.51552795031057</v>
      </c>
      <c r="AH28" s="336">
        <f t="shared" si="15"/>
        <v>2</v>
      </c>
      <c r="AI28" s="600"/>
      <c r="AJ28" s="463">
        <v>7</v>
      </c>
      <c r="AK28" s="187">
        <v>1272.8925619834713</v>
      </c>
      <c r="AL28" s="464">
        <v>181.84179456906733</v>
      </c>
      <c r="AM28" s="336">
        <f t="shared" si="16"/>
        <v>2</v>
      </c>
      <c r="AN28" s="600"/>
      <c r="AO28" s="463">
        <v>7</v>
      </c>
      <c r="AP28" s="187">
        <v>1307.8260869565211</v>
      </c>
      <c r="AQ28" s="464">
        <v>186.83229813664587</v>
      </c>
      <c r="AR28" s="336">
        <f t="shared" si="17"/>
        <v>1</v>
      </c>
      <c r="AS28" s="600"/>
      <c r="AT28" s="463">
        <v>7</v>
      </c>
      <c r="AU28" s="187">
        <v>1264</v>
      </c>
      <c r="AV28" s="464">
        <v>180.57142857142858</v>
      </c>
      <c r="AW28" s="336">
        <f t="shared" si="18"/>
        <v>3</v>
      </c>
      <c r="AX28" s="600"/>
    </row>
    <row r="29" spans="2:54">
      <c r="B29" s="598"/>
      <c r="C29" s="336">
        <v>3</v>
      </c>
      <c r="D29" s="231" t="s">
        <v>353</v>
      </c>
      <c r="E29" s="187">
        <v>20</v>
      </c>
      <c r="F29" s="336">
        <v>1500</v>
      </c>
      <c r="G29" s="337">
        <v>75</v>
      </c>
      <c r="H29" s="633"/>
      <c r="I29" s="204">
        <f t="shared" si="11"/>
        <v>18</v>
      </c>
      <c r="J29" s="204">
        <f t="shared" si="11"/>
        <v>1282.7075252418711</v>
      </c>
      <c r="K29" s="205">
        <f t="shared" si="11"/>
        <v>71.261529180103949</v>
      </c>
      <c r="L29" s="572"/>
      <c r="M29" s="206">
        <f>RANK(K29, K$27:$K$41)</f>
        <v>4</v>
      </c>
      <c r="N29" s="590"/>
      <c r="O29" s="590"/>
      <c r="P29" s="378">
        <v>18</v>
      </c>
      <c r="Q29" s="187">
        <v>1268.4615384615386</v>
      </c>
      <c r="R29" s="379">
        <v>70.470085470085479</v>
      </c>
      <c r="S29" s="336">
        <f t="shared" si="12"/>
        <v>6</v>
      </c>
      <c r="T29" s="600"/>
      <c r="U29" s="463">
        <v>18</v>
      </c>
      <c r="V29" s="187">
        <v>1287.3103448275858</v>
      </c>
      <c r="W29" s="464">
        <v>71.51724137931032</v>
      </c>
      <c r="X29" s="336">
        <f t="shared" si="13"/>
        <v>4</v>
      </c>
      <c r="Y29" s="600"/>
      <c r="Z29" s="463">
        <v>18</v>
      </c>
      <c r="AA29" s="187">
        <v>1263.206106870229</v>
      </c>
      <c r="AB29" s="464">
        <v>70.178117048346053</v>
      </c>
      <c r="AC29" s="336">
        <f t="shared" si="14"/>
        <v>5</v>
      </c>
      <c r="AD29" s="600"/>
      <c r="AE29" s="463">
        <v>18</v>
      </c>
      <c r="AF29" s="187">
        <v>1302.4390243902444</v>
      </c>
      <c r="AG29" s="464">
        <v>72.357723577235802</v>
      </c>
      <c r="AH29" s="336">
        <f t="shared" si="15"/>
        <v>4</v>
      </c>
      <c r="AI29" s="600"/>
      <c r="AJ29" s="463">
        <v>18</v>
      </c>
      <c r="AK29" s="187">
        <v>1288.7603305785126</v>
      </c>
      <c r="AL29" s="464">
        <v>71.597796143250704</v>
      </c>
      <c r="AM29" s="336">
        <f t="shared" si="16"/>
        <v>4</v>
      </c>
      <c r="AN29" s="600"/>
      <c r="AO29" s="463">
        <v>18</v>
      </c>
      <c r="AP29" s="187">
        <v>1300.3137931034485</v>
      </c>
      <c r="AQ29" s="464">
        <v>72.239655172413805</v>
      </c>
      <c r="AR29" s="336">
        <f t="shared" si="17"/>
        <v>4</v>
      </c>
      <c r="AS29" s="600"/>
      <c r="AT29" s="463">
        <v>18</v>
      </c>
      <c r="AU29" s="187">
        <v>1268.4615384615386</v>
      </c>
      <c r="AV29" s="464">
        <v>70.470085470085479</v>
      </c>
      <c r="AW29" s="336">
        <f t="shared" si="18"/>
        <v>6</v>
      </c>
      <c r="AX29" s="600"/>
    </row>
    <row r="30" spans="2:54">
      <c r="B30" s="598"/>
      <c r="C30" s="336">
        <v>4</v>
      </c>
      <c r="D30" s="231" t="s">
        <v>415</v>
      </c>
      <c r="E30" s="187">
        <v>18</v>
      </c>
      <c r="F30" s="336">
        <v>1440</v>
      </c>
      <c r="G30" s="337">
        <v>80</v>
      </c>
      <c r="H30" s="633"/>
      <c r="I30" s="204">
        <f t="shared" si="11"/>
        <v>18</v>
      </c>
      <c r="J30" s="204">
        <f t="shared" si="11"/>
        <v>1262.448505389681</v>
      </c>
      <c r="K30" s="205">
        <f t="shared" si="11"/>
        <v>70.1360280772045</v>
      </c>
      <c r="L30" s="572"/>
      <c r="M30" s="206">
        <f>RANK(K30, K$27:$K$41)</f>
        <v>5</v>
      </c>
      <c r="N30" s="590"/>
      <c r="O30" s="590"/>
      <c r="P30" s="378">
        <v>18</v>
      </c>
      <c r="Q30" s="187">
        <v>1278.4615384615377</v>
      </c>
      <c r="R30" s="379">
        <v>71.025641025640979</v>
      </c>
      <c r="S30" s="336">
        <f t="shared" si="12"/>
        <v>5</v>
      </c>
      <c r="T30" s="600"/>
      <c r="U30" s="463">
        <v>18</v>
      </c>
      <c r="V30" s="187">
        <v>1265.7142857142853</v>
      </c>
      <c r="W30" s="464">
        <v>70.317460317460302</v>
      </c>
      <c r="X30" s="336">
        <f t="shared" si="13"/>
        <v>5</v>
      </c>
      <c r="Y30" s="600"/>
      <c r="Z30" s="463">
        <v>18</v>
      </c>
      <c r="AA30" s="187">
        <v>1269.2307692307686</v>
      </c>
      <c r="AB30" s="464">
        <v>70.512820512820483</v>
      </c>
      <c r="AC30" s="336">
        <f t="shared" si="14"/>
        <v>4</v>
      </c>
      <c r="AD30" s="600"/>
      <c r="AE30" s="463">
        <v>18</v>
      </c>
      <c r="AF30" s="187">
        <v>1298.823529411763</v>
      </c>
      <c r="AG30" s="464">
        <v>72.156862745097953</v>
      </c>
      <c r="AH30" s="336">
        <f t="shared" si="15"/>
        <v>5</v>
      </c>
      <c r="AI30" s="600"/>
      <c r="AJ30" s="463">
        <v>18</v>
      </c>
      <c r="AK30" s="187">
        <v>1242.1621621621612</v>
      </c>
      <c r="AL30" s="464">
        <v>69.009009009008949</v>
      </c>
      <c r="AM30" s="336">
        <f t="shared" si="16"/>
        <v>5</v>
      </c>
      <c r="AN30" s="600"/>
      <c r="AO30" s="463">
        <v>18</v>
      </c>
      <c r="AP30" s="187">
        <v>1204.285714285714</v>
      </c>
      <c r="AQ30" s="464">
        <v>66.904761904761884</v>
      </c>
      <c r="AR30" s="336">
        <f t="shared" si="17"/>
        <v>5</v>
      </c>
      <c r="AS30" s="600"/>
      <c r="AT30" s="463">
        <v>18</v>
      </c>
      <c r="AU30" s="187">
        <v>1278.4615384615377</v>
      </c>
      <c r="AV30" s="464">
        <v>71.025641025640979</v>
      </c>
      <c r="AW30" s="336">
        <f t="shared" si="18"/>
        <v>5</v>
      </c>
      <c r="AX30" s="600"/>
    </row>
    <row r="31" spans="2:54">
      <c r="B31" s="598"/>
      <c r="C31" s="336">
        <v>5</v>
      </c>
      <c r="D31" s="231" t="s">
        <v>473</v>
      </c>
      <c r="E31" s="187">
        <v>7</v>
      </c>
      <c r="F31" s="336">
        <v>1500</v>
      </c>
      <c r="G31" s="337">
        <v>214.28571428571428</v>
      </c>
      <c r="H31" s="633"/>
      <c r="I31" s="204">
        <f t="shared" si="11"/>
        <v>7</v>
      </c>
      <c r="J31" s="204">
        <f t="shared" si="11"/>
        <v>1286.8790747953092</v>
      </c>
      <c r="K31" s="205">
        <f t="shared" si="11"/>
        <v>183.83986782790132</v>
      </c>
      <c r="L31" s="572"/>
      <c r="M31" s="206">
        <f>RANK(K31, K$27:$K$41)</f>
        <v>1</v>
      </c>
      <c r="N31" s="590"/>
      <c r="O31" s="590"/>
      <c r="P31" s="378">
        <v>7</v>
      </c>
      <c r="Q31" s="187">
        <v>1303.1111111111111</v>
      </c>
      <c r="R31" s="379">
        <v>186.15873015873015</v>
      </c>
      <c r="S31" s="336">
        <f t="shared" si="12"/>
        <v>1</v>
      </c>
      <c r="T31" s="600"/>
      <c r="U31" s="463">
        <v>7</v>
      </c>
      <c r="V31" s="187">
        <v>1320.9374999999998</v>
      </c>
      <c r="W31" s="464">
        <v>188.70535714285711</v>
      </c>
      <c r="X31" s="336">
        <f t="shared" si="13"/>
        <v>1</v>
      </c>
      <c r="Y31" s="600"/>
      <c r="Z31" s="463">
        <v>7</v>
      </c>
      <c r="AA31" s="187">
        <v>1261.0344827586209</v>
      </c>
      <c r="AB31" s="464">
        <v>180.14778325123157</v>
      </c>
      <c r="AC31" s="336">
        <f t="shared" si="14"/>
        <v>3</v>
      </c>
      <c r="AD31" s="600"/>
      <c r="AE31" s="463">
        <v>7</v>
      </c>
      <c r="AF31" s="187">
        <v>1269.4444444444443</v>
      </c>
      <c r="AG31" s="464">
        <v>181.34920634920633</v>
      </c>
      <c r="AH31" s="336">
        <f t="shared" si="15"/>
        <v>3</v>
      </c>
      <c r="AI31" s="600"/>
      <c r="AJ31" s="463">
        <v>7</v>
      </c>
      <c r="AK31" s="187">
        <v>1291.304347826087</v>
      </c>
      <c r="AL31" s="464">
        <v>184.47204968944101</v>
      </c>
      <c r="AM31" s="336">
        <f t="shared" si="16"/>
        <v>1</v>
      </c>
      <c r="AN31" s="600"/>
      <c r="AO31" s="463">
        <v>7</v>
      </c>
      <c r="AP31" s="187">
        <v>1259.2105263157891</v>
      </c>
      <c r="AQ31" s="464">
        <v>179.88721804511275</v>
      </c>
      <c r="AR31" s="336">
        <f t="shared" si="17"/>
        <v>3</v>
      </c>
      <c r="AS31" s="600"/>
      <c r="AT31" s="463">
        <v>7</v>
      </c>
      <c r="AU31" s="187">
        <v>1303.1111111111111</v>
      </c>
      <c r="AV31" s="464">
        <v>186.15873015873015</v>
      </c>
      <c r="AW31" s="336">
        <f t="shared" si="18"/>
        <v>1</v>
      </c>
      <c r="AX31" s="600"/>
    </row>
    <row r="32" spans="2:54">
      <c r="B32" s="598"/>
      <c r="C32" s="336">
        <v>6</v>
      </c>
      <c r="D32" s="231" t="s">
        <v>667</v>
      </c>
      <c r="E32" s="187">
        <v>20</v>
      </c>
      <c r="F32" s="336">
        <v>1440</v>
      </c>
      <c r="G32" s="337">
        <v>72</v>
      </c>
      <c r="H32" s="633"/>
      <c r="I32" s="204">
        <f t="shared" si="11"/>
        <v>18</v>
      </c>
      <c r="J32" s="204">
        <f t="shared" si="11"/>
        <v>1216.1240306122465</v>
      </c>
      <c r="K32" s="205">
        <f t="shared" si="11"/>
        <v>67.562446145124795</v>
      </c>
      <c r="L32" s="572"/>
      <c r="M32" s="206">
        <f>RANK(K32, K$27:$K$41)</f>
        <v>6</v>
      </c>
      <c r="N32" s="590"/>
      <c r="O32" s="590"/>
      <c r="P32" s="378">
        <v>18</v>
      </c>
      <c r="Q32" s="187">
        <v>1290.3999999999978</v>
      </c>
      <c r="R32" s="379">
        <v>71.688888888888769</v>
      </c>
      <c r="S32" s="336">
        <f t="shared" si="12"/>
        <v>4</v>
      </c>
      <c r="T32" s="600"/>
      <c r="U32" s="463">
        <v>18</v>
      </c>
      <c r="V32" s="187">
        <v>1189.1100000000042</v>
      </c>
      <c r="W32" s="464">
        <v>66.061666666666895</v>
      </c>
      <c r="X32" s="336">
        <f t="shared" si="13"/>
        <v>6</v>
      </c>
      <c r="Y32" s="600"/>
      <c r="Z32" s="463">
        <v>18</v>
      </c>
      <c r="AA32" s="187">
        <v>1202.7600000000043</v>
      </c>
      <c r="AB32" s="464">
        <v>66.820000000000235</v>
      </c>
      <c r="AC32" s="336">
        <f t="shared" si="14"/>
        <v>6</v>
      </c>
      <c r="AD32" s="600"/>
      <c r="AE32" s="463">
        <v>18</v>
      </c>
      <c r="AF32" s="187">
        <v>1168.8857142857184</v>
      </c>
      <c r="AG32" s="464">
        <v>64.938095238095471</v>
      </c>
      <c r="AH32" s="336">
        <f t="shared" si="15"/>
        <v>6</v>
      </c>
      <c r="AI32" s="600"/>
      <c r="AJ32" s="463">
        <v>18</v>
      </c>
      <c r="AK32" s="187">
        <v>1172.4375000000043</v>
      </c>
      <c r="AL32" s="464">
        <v>65.135416666666913</v>
      </c>
      <c r="AM32" s="336">
        <f t="shared" si="16"/>
        <v>6</v>
      </c>
      <c r="AN32" s="600"/>
      <c r="AO32" s="463">
        <v>18</v>
      </c>
      <c r="AP32" s="187">
        <v>1198.8749999999986</v>
      </c>
      <c r="AQ32" s="464">
        <v>66.604166666666586</v>
      </c>
      <c r="AR32" s="336">
        <f t="shared" si="17"/>
        <v>6</v>
      </c>
      <c r="AS32" s="600"/>
      <c r="AT32" s="463">
        <v>18</v>
      </c>
      <c r="AU32" s="187">
        <v>1290.3999999999978</v>
      </c>
      <c r="AV32" s="464">
        <v>71.688888888888769</v>
      </c>
      <c r="AW32" s="336">
        <f t="shared" si="18"/>
        <v>4</v>
      </c>
      <c r="AX32" s="600"/>
    </row>
    <row r="33" spans="2:50">
      <c r="B33" s="598"/>
      <c r="C33" s="336">
        <v>7</v>
      </c>
      <c r="D33" s="231" t="s">
        <v>687</v>
      </c>
      <c r="E33" s="187">
        <v>22</v>
      </c>
      <c r="F33" s="336">
        <v>1200</v>
      </c>
      <c r="G33" s="337">
        <v>54.545454545454547</v>
      </c>
      <c r="H33" s="633"/>
      <c r="I33" s="204"/>
      <c r="J33" s="204"/>
      <c r="K33" s="205"/>
      <c r="L33" s="572"/>
      <c r="M33" s="206" t="e">
        <f>RANK(K33, K$27:$K$41)</f>
        <v>#N/A</v>
      </c>
      <c r="N33" s="590"/>
      <c r="O33" s="590"/>
      <c r="P33" s="378"/>
      <c r="Q33" s="187"/>
      <c r="R33" s="379"/>
      <c r="S33" s="336" t="e">
        <f t="shared" si="12"/>
        <v>#N/A</v>
      </c>
      <c r="T33" s="600"/>
      <c r="U33" s="378"/>
      <c r="V33" s="187"/>
      <c r="W33" s="379"/>
      <c r="X33" s="336" t="e">
        <f t="shared" si="13"/>
        <v>#N/A</v>
      </c>
      <c r="Y33" s="600"/>
      <c r="Z33" s="378"/>
      <c r="AA33" s="187"/>
      <c r="AB33" s="379"/>
      <c r="AC33" s="336" t="e">
        <f t="shared" si="14"/>
        <v>#N/A</v>
      </c>
      <c r="AD33" s="600"/>
      <c r="AE33" s="378"/>
      <c r="AF33" s="187"/>
      <c r="AG33" s="379"/>
      <c r="AH33" s="336" t="e">
        <f t="shared" si="15"/>
        <v>#N/A</v>
      </c>
      <c r="AI33" s="600"/>
      <c r="AJ33" s="378"/>
      <c r="AK33" s="187"/>
      <c r="AL33" s="379"/>
      <c r="AM33" s="336" t="e">
        <f t="shared" si="16"/>
        <v>#N/A</v>
      </c>
      <c r="AN33" s="600"/>
      <c r="AO33" s="378"/>
      <c r="AP33" s="187"/>
      <c r="AQ33" s="379"/>
      <c r="AR33" s="336" t="e">
        <f t="shared" si="17"/>
        <v>#N/A</v>
      </c>
      <c r="AS33" s="600"/>
      <c r="AT33" s="378"/>
      <c r="AU33" s="187"/>
      <c r="AV33" s="379"/>
      <c r="AW33" s="336" t="e">
        <f t="shared" si="18"/>
        <v>#N/A</v>
      </c>
      <c r="AX33" s="600"/>
    </row>
    <row r="34" spans="2:50">
      <c r="B34" s="598"/>
      <c r="C34" s="336">
        <v>8</v>
      </c>
      <c r="D34" s="231"/>
      <c r="E34" s="187"/>
      <c r="F34" s="336"/>
      <c r="G34" s="337"/>
      <c r="H34" s="633"/>
      <c r="I34" s="204"/>
      <c r="J34" s="204"/>
      <c r="K34" s="205"/>
      <c r="L34" s="572"/>
      <c r="M34" s="206" t="e">
        <f>RANK(K34, K$27:$K$41)</f>
        <v>#N/A</v>
      </c>
      <c r="N34" s="590"/>
      <c r="O34" s="590"/>
      <c r="P34" s="378"/>
      <c r="Q34" s="187"/>
      <c r="R34" s="379"/>
      <c r="S34" s="336" t="e">
        <f t="shared" si="12"/>
        <v>#N/A</v>
      </c>
      <c r="T34" s="600"/>
      <c r="U34" s="378"/>
      <c r="V34" s="187"/>
      <c r="W34" s="379"/>
      <c r="X34" s="336" t="e">
        <f t="shared" si="13"/>
        <v>#N/A</v>
      </c>
      <c r="Y34" s="600"/>
      <c r="Z34" s="378"/>
      <c r="AA34" s="187"/>
      <c r="AB34" s="379"/>
      <c r="AC34" s="336" t="e">
        <f t="shared" si="14"/>
        <v>#N/A</v>
      </c>
      <c r="AD34" s="600"/>
      <c r="AE34" s="378"/>
      <c r="AF34" s="187"/>
      <c r="AG34" s="379"/>
      <c r="AH34" s="336" t="e">
        <f t="shared" si="15"/>
        <v>#N/A</v>
      </c>
      <c r="AI34" s="600"/>
      <c r="AJ34" s="378"/>
      <c r="AK34" s="187"/>
      <c r="AL34" s="379"/>
      <c r="AM34" s="336" t="e">
        <f t="shared" si="16"/>
        <v>#N/A</v>
      </c>
      <c r="AN34" s="600"/>
      <c r="AO34" s="378"/>
      <c r="AP34" s="187"/>
      <c r="AQ34" s="379"/>
      <c r="AR34" s="336" t="e">
        <f t="shared" si="17"/>
        <v>#N/A</v>
      </c>
      <c r="AS34" s="600"/>
      <c r="AT34" s="378"/>
      <c r="AU34" s="187"/>
      <c r="AV34" s="379"/>
      <c r="AW34" s="336" t="e">
        <f t="shared" si="18"/>
        <v>#N/A</v>
      </c>
      <c r="AX34" s="600"/>
    </row>
    <row r="35" spans="2:50">
      <c r="B35" s="598"/>
      <c r="C35" s="336">
        <v>9</v>
      </c>
      <c r="D35" s="231"/>
      <c r="E35" s="187"/>
      <c r="F35" s="336"/>
      <c r="G35" s="337"/>
      <c r="H35" s="633"/>
      <c r="I35" s="204"/>
      <c r="J35" s="204"/>
      <c r="K35" s="205"/>
      <c r="L35" s="572"/>
      <c r="M35" s="206" t="e">
        <f>RANK(K35, K$27:$K$41)</f>
        <v>#N/A</v>
      </c>
      <c r="N35" s="590"/>
      <c r="O35" s="590"/>
      <c r="P35" s="378"/>
      <c r="Q35" s="187"/>
      <c r="R35" s="379"/>
      <c r="S35" s="336" t="e">
        <f t="shared" si="12"/>
        <v>#N/A</v>
      </c>
      <c r="T35" s="600"/>
      <c r="U35" s="378"/>
      <c r="V35" s="187"/>
      <c r="W35" s="379"/>
      <c r="X35" s="336" t="e">
        <f t="shared" si="13"/>
        <v>#N/A</v>
      </c>
      <c r="Y35" s="600"/>
      <c r="Z35" s="378"/>
      <c r="AA35" s="187"/>
      <c r="AB35" s="379"/>
      <c r="AC35" s="336" t="e">
        <f t="shared" si="14"/>
        <v>#N/A</v>
      </c>
      <c r="AD35" s="600"/>
      <c r="AE35" s="378"/>
      <c r="AF35" s="187"/>
      <c r="AG35" s="379"/>
      <c r="AH35" s="336" t="e">
        <f t="shared" si="15"/>
        <v>#N/A</v>
      </c>
      <c r="AI35" s="600"/>
      <c r="AJ35" s="378"/>
      <c r="AK35" s="187"/>
      <c r="AL35" s="379"/>
      <c r="AM35" s="336" t="e">
        <f t="shared" si="16"/>
        <v>#N/A</v>
      </c>
      <c r="AN35" s="600"/>
      <c r="AO35" s="378"/>
      <c r="AP35" s="187"/>
      <c r="AQ35" s="379"/>
      <c r="AR35" s="336" t="e">
        <f t="shared" si="17"/>
        <v>#N/A</v>
      </c>
      <c r="AS35" s="600"/>
      <c r="AT35" s="378"/>
      <c r="AU35" s="187"/>
      <c r="AV35" s="379"/>
      <c r="AW35" s="336" t="e">
        <f t="shared" si="18"/>
        <v>#N/A</v>
      </c>
      <c r="AX35" s="600"/>
    </row>
    <row r="36" spans="2:50">
      <c r="B36" s="598"/>
      <c r="C36" s="336">
        <v>10</v>
      </c>
      <c r="D36" s="231"/>
      <c r="E36" s="187"/>
      <c r="F36" s="336"/>
      <c r="G36" s="337"/>
      <c r="H36" s="633"/>
      <c r="I36" s="204"/>
      <c r="J36" s="204"/>
      <c r="K36" s="205"/>
      <c r="L36" s="572"/>
      <c r="M36" s="206" t="e">
        <f>RANK(K36, K$27:$K$41)</f>
        <v>#N/A</v>
      </c>
      <c r="N36" s="590"/>
      <c r="O36" s="590"/>
      <c r="P36" s="378"/>
      <c r="Q36" s="187"/>
      <c r="R36" s="379"/>
      <c r="S36" s="336" t="e">
        <f t="shared" si="12"/>
        <v>#N/A</v>
      </c>
      <c r="T36" s="600"/>
      <c r="U36" s="378"/>
      <c r="V36" s="187"/>
      <c r="W36" s="379"/>
      <c r="X36" s="336" t="e">
        <f t="shared" si="13"/>
        <v>#N/A</v>
      </c>
      <c r="Y36" s="600"/>
      <c r="Z36" s="378"/>
      <c r="AA36" s="187"/>
      <c r="AB36" s="379"/>
      <c r="AC36" s="336" t="e">
        <f t="shared" si="14"/>
        <v>#N/A</v>
      </c>
      <c r="AD36" s="600"/>
      <c r="AE36" s="378"/>
      <c r="AF36" s="187"/>
      <c r="AG36" s="379"/>
      <c r="AH36" s="336" t="e">
        <f t="shared" si="15"/>
        <v>#N/A</v>
      </c>
      <c r="AI36" s="600"/>
      <c r="AJ36" s="378"/>
      <c r="AK36" s="187"/>
      <c r="AL36" s="379"/>
      <c r="AM36" s="336" t="e">
        <f t="shared" si="16"/>
        <v>#N/A</v>
      </c>
      <c r="AN36" s="600"/>
      <c r="AO36" s="378"/>
      <c r="AP36" s="187"/>
      <c r="AQ36" s="379"/>
      <c r="AR36" s="336" t="e">
        <f t="shared" si="17"/>
        <v>#N/A</v>
      </c>
      <c r="AS36" s="600"/>
      <c r="AT36" s="378"/>
      <c r="AU36" s="187"/>
      <c r="AV36" s="379"/>
      <c r="AW36" s="336" t="e">
        <f t="shared" si="18"/>
        <v>#N/A</v>
      </c>
      <c r="AX36" s="600"/>
    </row>
    <row r="37" spans="2:50">
      <c r="B37" s="598"/>
      <c r="C37" s="336">
        <v>11</v>
      </c>
      <c r="D37" s="231"/>
      <c r="E37" s="187"/>
      <c r="F37" s="336"/>
      <c r="G37" s="337"/>
      <c r="H37" s="633"/>
      <c r="I37" s="204"/>
      <c r="J37" s="204"/>
      <c r="K37" s="205"/>
      <c r="L37" s="572"/>
      <c r="M37" s="206" t="e">
        <f>RANK(K37, K$27:$K$41)</f>
        <v>#N/A</v>
      </c>
      <c r="N37" s="590"/>
      <c r="O37" s="590"/>
      <c r="P37" s="378"/>
      <c r="Q37" s="187"/>
      <c r="R37" s="379"/>
      <c r="S37" s="336" t="e">
        <f t="shared" si="12"/>
        <v>#N/A</v>
      </c>
      <c r="T37" s="600"/>
      <c r="U37" s="378"/>
      <c r="V37" s="187"/>
      <c r="W37" s="379"/>
      <c r="X37" s="336" t="e">
        <f t="shared" si="13"/>
        <v>#N/A</v>
      </c>
      <c r="Y37" s="600"/>
      <c r="Z37" s="378"/>
      <c r="AA37" s="187"/>
      <c r="AB37" s="379"/>
      <c r="AC37" s="336" t="e">
        <f t="shared" si="14"/>
        <v>#N/A</v>
      </c>
      <c r="AD37" s="600"/>
      <c r="AE37" s="378"/>
      <c r="AF37" s="187"/>
      <c r="AG37" s="379"/>
      <c r="AH37" s="336" t="e">
        <f t="shared" si="15"/>
        <v>#N/A</v>
      </c>
      <c r="AI37" s="600"/>
      <c r="AJ37" s="378"/>
      <c r="AK37" s="187"/>
      <c r="AL37" s="379"/>
      <c r="AM37" s="336" t="e">
        <f t="shared" si="16"/>
        <v>#N/A</v>
      </c>
      <c r="AN37" s="600"/>
      <c r="AO37" s="378"/>
      <c r="AP37" s="187"/>
      <c r="AQ37" s="379"/>
      <c r="AR37" s="336" t="e">
        <f t="shared" si="17"/>
        <v>#N/A</v>
      </c>
      <c r="AS37" s="600"/>
      <c r="AT37" s="378"/>
      <c r="AU37" s="187"/>
      <c r="AV37" s="379"/>
      <c r="AW37" s="336" t="e">
        <f t="shared" si="18"/>
        <v>#N/A</v>
      </c>
      <c r="AX37" s="600"/>
    </row>
    <row r="38" spans="2:50">
      <c r="B38" s="598"/>
      <c r="C38" s="336">
        <v>12</v>
      </c>
      <c r="D38" s="231"/>
      <c r="E38" s="187"/>
      <c r="F38" s="336"/>
      <c r="G38" s="337"/>
      <c r="H38" s="633"/>
      <c r="I38" s="204"/>
      <c r="J38" s="204"/>
      <c r="K38" s="205"/>
      <c r="L38" s="572"/>
      <c r="M38" s="206" t="e">
        <f>RANK(K38, K$27:$K$41)</f>
        <v>#N/A</v>
      </c>
      <c r="N38" s="590"/>
      <c r="O38" s="590"/>
      <c r="P38" s="378"/>
      <c r="Q38" s="187"/>
      <c r="R38" s="379"/>
      <c r="S38" s="336" t="e">
        <f t="shared" si="12"/>
        <v>#N/A</v>
      </c>
      <c r="T38" s="600"/>
      <c r="U38" s="378"/>
      <c r="V38" s="187"/>
      <c r="W38" s="379"/>
      <c r="X38" s="336" t="e">
        <f t="shared" si="13"/>
        <v>#N/A</v>
      </c>
      <c r="Y38" s="600"/>
      <c r="Z38" s="378"/>
      <c r="AA38" s="187"/>
      <c r="AB38" s="379"/>
      <c r="AC38" s="336" t="e">
        <f t="shared" si="14"/>
        <v>#N/A</v>
      </c>
      <c r="AD38" s="600"/>
      <c r="AE38" s="378"/>
      <c r="AF38" s="187"/>
      <c r="AG38" s="379"/>
      <c r="AH38" s="336" t="e">
        <f t="shared" si="15"/>
        <v>#N/A</v>
      </c>
      <c r="AI38" s="600"/>
      <c r="AJ38" s="378"/>
      <c r="AK38" s="187"/>
      <c r="AL38" s="379"/>
      <c r="AM38" s="336" t="e">
        <f t="shared" si="16"/>
        <v>#N/A</v>
      </c>
      <c r="AN38" s="600"/>
      <c r="AO38" s="378"/>
      <c r="AP38" s="187"/>
      <c r="AQ38" s="379"/>
      <c r="AR38" s="336" t="e">
        <f t="shared" si="17"/>
        <v>#N/A</v>
      </c>
      <c r="AS38" s="600"/>
      <c r="AT38" s="378"/>
      <c r="AU38" s="187"/>
      <c r="AV38" s="379"/>
      <c r="AW38" s="336" t="e">
        <f t="shared" si="18"/>
        <v>#N/A</v>
      </c>
      <c r="AX38" s="600"/>
    </row>
    <row r="39" spans="2:50">
      <c r="B39" s="598"/>
      <c r="C39" s="336">
        <v>13</v>
      </c>
      <c r="D39" s="231"/>
      <c r="E39" s="187"/>
      <c r="F39" s="336"/>
      <c r="G39" s="337"/>
      <c r="H39" s="633"/>
      <c r="I39" s="204"/>
      <c r="J39" s="204"/>
      <c r="K39" s="205"/>
      <c r="L39" s="572"/>
      <c r="M39" s="206" t="e">
        <f>RANK(K39, K$27:$K$41)</f>
        <v>#N/A</v>
      </c>
      <c r="N39" s="590"/>
      <c r="O39" s="590"/>
      <c r="P39" s="378"/>
      <c r="Q39" s="187"/>
      <c r="R39" s="379"/>
      <c r="S39" s="336" t="e">
        <f t="shared" si="12"/>
        <v>#N/A</v>
      </c>
      <c r="T39" s="600"/>
      <c r="U39" s="378"/>
      <c r="V39" s="187"/>
      <c r="W39" s="379"/>
      <c r="X39" s="336" t="e">
        <f t="shared" si="13"/>
        <v>#N/A</v>
      </c>
      <c r="Y39" s="600"/>
      <c r="Z39" s="378"/>
      <c r="AA39" s="187"/>
      <c r="AB39" s="379"/>
      <c r="AC39" s="336" t="e">
        <f t="shared" si="14"/>
        <v>#N/A</v>
      </c>
      <c r="AD39" s="600"/>
      <c r="AE39" s="378"/>
      <c r="AF39" s="187"/>
      <c r="AG39" s="379"/>
      <c r="AH39" s="336" t="e">
        <f t="shared" si="15"/>
        <v>#N/A</v>
      </c>
      <c r="AI39" s="600"/>
      <c r="AJ39" s="378"/>
      <c r="AK39" s="187"/>
      <c r="AL39" s="379"/>
      <c r="AM39" s="336" t="e">
        <f t="shared" si="16"/>
        <v>#N/A</v>
      </c>
      <c r="AN39" s="600"/>
      <c r="AO39" s="378"/>
      <c r="AP39" s="187"/>
      <c r="AQ39" s="379"/>
      <c r="AR39" s="336" t="e">
        <f t="shared" si="17"/>
        <v>#N/A</v>
      </c>
      <c r="AS39" s="600"/>
      <c r="AT39" s="378"/>
      <c r="AU39" s="187"/>
      <c r="AV39" s="379"/>
      <c r="AW39" s="336" t="e">
        <f t="shared" si="18"/>
        <v>#N/A</v>
      </c>
      <c r="AX39" s="600"/>
    </row>
    <row r="40" spans="2:50">
      <c r="B40" s="598"/>
      <c r="C40" s="336">
        <v>14</v>
      </c>
      <c r="D40" s="231"/>
      <c r="E40" s="187"/>
      <c r="F40" s="336"/>
      <c r="G40" s="337"/>
      <c r="H40" s="633"/>
      <c r="I40" s="204"/>
      <c r="J40" s="204"/>
      <c r="K40" s="205"/>
      <c r="L40" s="572"/>
      <c r="M40" s="206" t="e">
        <f>RANK(K40, K$27:$K$41)</f>
        <v>#N/A</v>
      </c>
      <c r="N40" s="590"/>
      <c r="O40" s="590"/>
      <c r="P40" s="378"/>
      <c r="Q40" s="187"/>
      <c r="R40" s="379"/>
      <c r="S40" s="336" t="e">
        <f t="shared" si="12"/>
        <v>#N/A</v>
      </c>
      <c r="T40" s="600"/>
      <c r="U40" s="378"/>
      <c r="V40" s="187"/>
      <c r="W40" s="379"/>
      <c r="X40" s="336" t="e">
        <f t="shared" si="13"/>
        <v>#N/A</v>
      </c>
      <c r="Y40" s="600"/>
      <c r="Z40" s="378"/>
      <c r="AA40" s="187"/>
      <c r="AB40" s="379"/>
      <c r="AC40" s="336" t="e">
        <f t="shared" si="14"/>
        <v>#N/A</v>
      </c>
      <c r="AD40" s="600"/>
      <c r="AE40" s="378"/>
      <c r="AF40" s="187"/>
      <c r="AG40" s="379"/>
      <c r="AH40" s="336" t="e">
        <f t="shared" si="15"/>
        <v>#N/A</v>
      </c>
      <c r="AI40" s="600"/>
      <c r="AJ40" s="378"/>
      <c r="AK40" s="187"/>
      <c r="AL40" s="379"/>
      <c r="AM40" s="336" t="e">
        <f t="shared" si="16"/>
        <v>#N/A</v>
      </c>
      <c r="AN40" s="600"/>
      <c r="AO40" s="378"/>
      <c r="AP40" s="187"/>
      <c r="AQ40" s="379"/>
      <c r="AR40" s="336" t="e">
        <f t="shared" si="17"/>
        <v>#N/A</v>
      </c>
      <c r="AS40" s="600"/>
      <c r="AT40" s="378"/>
      <c r="AU40" s="187"/>
      <c r="AV40" s="379"/>
      <c r="AW40" s="336" t="e">
        <f t="shared" si="18"/>
        <v>#N/A</v>
      </c>
      <c r="AX40" s="600"/>
    </row>
    <row r="41" spans="2:50">
      <c r="B41" s="598"/>
      <c r="C41" s="336">
        <v>15</v>
      </c>
      <c r="D41" s="231"/>
      <c r="E41" s="187"/>
      <c r="F41" s="336"/>
      <c r="G41" s="337"/>
      <c r="H41" s="634"/>
      <c r="I41" s="204"/>
      <c r="J41" s="204"/>
      <c r="K41" s="205"/>
      <c r="L41" s="573"/>
      <c r="M41" s="204" t="e">
        <f>RANK(K41, K$27:$K$41)</f>
        <v>#N/A</v>
      </c>
      <c r="N41" s="590"/>
      <c r="O41" s="590"/>
      <c r="P41" s="378"/>
      <c r="Q41" s="187"/>
      <c r="R41" s="379"/>
      <c r="S41" s="336" t="e">
        <f t="shared" si="12"/>
        <v>#N/A</v>
      </c>
      <c r="T41" s="601"/>
      <c r="U41" s="378"/>
      <c r="V41" s="187"/>
      <c r="W41" s="379"/>
      <c r="X41" s="336" t="e">
        <f t="shared" si="13"/>
        <v>#N/A</v>
      </c>
      <c r="Y41" s="601"/>
      <c r="Z41" s="378"/>
      <c r="AA41" s="187"/>
      <c r="AB41" s="379"/>
      <c r="AC41" s="336" t="e">
        <f t="shared" si="14"/>
        <v>#N/A</v>
      </c>
      <c r="AD41" s="601"/>
      <c r="AE41" s="378"/>
      <c r="AF41" s="187"/>
      <c r="AG41" s="379"/>
      <c r="AH41" s="336" t="e">
        <f t="shared" si="15"/>
        <v>#N/A</v>
      </c>
      <c r="AI41" s="601"/>
      <c r="AJ41" s="378"/>
      <c r="AK41" s="187"/>
      <c r="AL41" s="379"/>
      <c r="AM41" s="336" t="e">
        <f t="shared" si="16"/>
        <v>#N/A</v>
      </c>
      <c r="AN41" s="601"/>
      <c r="AO41" s="378"/>
      <c r="AP41" s="187"/>
      <c r="AQ41" s="379"/>
      <c r="AR41" s="336" t="e">
        <f t="shared" si="17"/>
        <v>#N/A</v>
      </c>
      <c r="AS41" s="601"/>
      <c r="AT41" s="378"/>
      <c r="AU41" s="187"/>
      <c r="AV41" s="379"/>
      <c r="AW41" s="336" t="e">
        <f t="shared" si="18"/>
        <v>#N/A</v>
      </c>
      <c r="AX41" s="601"/>
    </row>
    <row r="42" spans="2:50" ht="15.75">
      <c r="B42" s="615" t="s">
        <v>163</v>
      </c>
      <c r="C42" s="616"/>
      <c r="D42" s="616"/>
      <c r="E42" s="616"/>
      <c r="F42" s="616"/>
      <c r="G42" s="616"/>
      <c r="H42" s="616"/>
      <c r="I42" s="213"/>
      <c r="J42" s="208"/>
      <c r="K42" s="213"/>
      <c r="L42" s="213"/>
      <c r="M42" s="209"/>
      <c r="N42" s="591" t="s">
        <v>156</v>
      </c>
      <c r="O42" s="591" t="s">
        <v>105</v>
      </c>
      <c r="P42" s="597">
        <f>P22+7</f>
        <v>45944</v>
      </c>
      <c r="Q42" s="598"/>
      <c r="R42" s="598"/>
      <c r="S42" s="598"/>
      <c r="T42" s="598"/>
      <c r="U42" s="594">
        <f>P42+1</f>
        <v>45945</v>
      </c>
      <c r="V42" s="595"/>
      <c r="W42" s="595"/>
      <c r="X42" s="595"/>
      <c r="Y42" s="596"/>
      <c r="Z42" s="594">
        <f>U42+1</f>
        <v>45946</v>
      </c>
      <c r="AA42" s="595"/>
      <c r="AB42" s="595"/>
      <c r="AC42" s="595"/>
      <c r="AD42" s="596"/>
      <c r="AE42" s="594">
        <f>Z42+1</f>
        <v>45947</v>
      </c>
      <c r="AF42" s="595"/>
      <c r="AG42" s="595"/>
      <c r="AH42" s="595"/>
      <c r="AI42" s="596"/>
      <c r="AJ42" s="594">
        <f>AE42+1</f>
        <v>45948</v>
      </c>
      <c r="AK42" s="595"/>
      <c r="AL42" s="595"/>
      <c r="AM42" s="595"/>
      <c r="AN42" s="596"/>
      <c r="AO42" s="594">
        <f>AJ42+1</f>
        <v>45949</v>
      </c>
      <c r="AP42" s="595"/>
      <c r="AQ42" s="595"/>
      <c r="AR42" s="595"/>
      <c r="AS42" s="596"/>
      <c r="AT42" s="594">
        <f>AO42+1</f>
        <v>45950</v>
      </c>
      <c r="AU42" s="595"/>
      <c r="AV42" s="595"/>
      <c r="AW42" s="595"/>
      <c r="AX42" s="596"/>
    </row>
    <row r="43" spans="2:50" ht="15.75">
      <c r="B43" s="605"/>
      <c r="C43" s="605"/>
      <c r="D43" s="605"/>
      <c r="E43" s="605"/>
      <c r="F43" s="605"/>
      <c r="G43" s="605"/>
      <c r="H43" s="605"/>
      <c r="I43" s="210"/>
      <c r="J43" s="210"/>
      <c r="K43" s="210"/>
      <c r="L43" s="210"/>
      <c r="M43" s="211"/>
      <c r="N43" s="593"/>
      <c r="O43" s="593"/>
      <c r="P43" s="597" t="s">
        <v>336</v>
      </c>
      <c r="Q43" s="598"/>
      <c r="R43" s="598"/>
      <c r="S43" s="598"/>
      <c r="T43" s="598"/>
      <c r="U43" s="597" t="s">
        <v>337</v>
      </c>
      <c r="V43" s="598"/>
      <c r="W43" s="598"/>
      <c r="X43" s="598"/>
      <c r="Y43" s="598"/>
      <c r="Z43" s="597" t="s">
        <v>338</v>
      </c>
      <c r="AA43" s="598"/>
      <c r="AB43" s="598"/>
      <c r="AC43" s="598"/>
      <c r="AD43" s="598"/>
      <c r="AE43" s="597" t="s">
        <v>339</v>
      </c>
      <c r="AF43" s="598"/>
      <c r="AG43" s="598"/>
      <c r="AH43" s="598"/>
      <c r="AI43" s="598"/>
      <c r="AJ43" s="597" t="s">
        <v>340</v>
      </c>
      <c r="AK43" s="598"/>
      <c r="AL43" s="598"/>
      <c r="AM43" s="598"/>
      <c r="AN43" s="598"/>
      <c r="AO43" s="597" t="s">
        <v>341</v>
      </c>
      <c r="AP43" s="598"/>
      <c r="AQ43" s="598"/>
      <c r="AR43" s="598"/>
      <c r="AS43" s="598"/>
      <c r="AT43" s="597" t="s">
        <v>342</v>
      </c>
      <c r="AU43" s="598"/>
      <c r="AV43" s="598"/>
      <c r="AW43" s="598"/>
      <c r="AX43" s="598"/>
    </row>
    <row r="44" spans="2:50">
      <c r="B44" s="590" t="s">
        <v>627</v>
      </c>
      <c r="C44" s="590" t="s">
        <v>628</v>
      </c>
      <c r="D44" s="590"/>
      <c r="E44" s="590" t="s">
        <v>629</v>
      </c>
      <c r="F44" s="590"/>
      <c r="G44" s="590"/>
      <c r="H44" s="606" t="s">
        <v>630</v>
      </c>
      <c r="I44" s="574" t="s">
        <v>631</v>
      </c>
      <c r="J44" s="574"/>
      <c r="K44" s="574"/>
      <c r="L44" s="575" t="s">
        <v>630</v>
      </c>
      <c r="M44" s="581" t="s">
        <v>632</v>
      </c>
      <c r="N44" s="590"/>
      <c r="O44" s="590" t="s">
        <v>633</v>
      </c>
      <c r="P44" s="587" t="s">
        <v>634</v>
      </c>
      <c r="Q44" s="588"/>
      <c r="R44" s="588"/>
      <c r="S44" s="589"/>
      <c r="T44" s="590" t="s">
        <v>630</v>
      </c>
      <c r="U44" s="587" t="s">
        <v>634</v>
      </c>
      <c r="V44" s="588"/>
      <c r="W44" s="588"/>
      <c r="X44" s="589"/>
      <c r="Y44" s="590" t="s">
        <v>630</v>
      </c>
      <c r="Z44" s="587" t="s">
        <v>634</v>
      </c>
      <c r="AA44" s="588"/>
      <c r="AB44" s="588"/>
      <c r="AC44" s="589"/>
      <c r="AD44" s="590" t="s">
        <v>630</v>
      </c>
      <c r="AE44" s="587" t="s">
        <v>634</v>
      </c>
      <c r="AF44" s="588"/>
      <c r="AG44" s="588"/>
      <c r="AH44" s="589"/>
      <c r="AI44" s="590" t="s">
        <v>630</v>
      </c>
      <c r="AJ44" s="587" t="s">
        <v>634</v>
      </c>
      <c r="AK44" s="588"/>
      <c r="AL44" s="588"/>
      <c r="AM44" s="589"/>
      <c r="AN44" s="590" t="s">
        <v>630</v>
      </c>
      <c r="AO44" s="587" t="s">
        <v>634</v>
      </c>
      <c r="AP44" s="588"/>
      <c r="AQ44" s="588"/>
      <c r="AR44" s="589"/>
      <c r="AS44" s="590" t="s">
        <v>630</v>
      </c>
      <c r="AT44" s="587" t="s">
        <v>634</v>
      </c>
      <c r="AU44" s="588"/>
      <c r="AV44" s="588"/>
      <c r="AW44" s="589"/>
      <c r="AX44" s="590" t="s">
        <v>630</v>
      </c>
    </row>
    <row r="45" spans="2:50">
      <c r="B45" s="590"/>
      <c r="C45" s="590"/>
      <c r="D45" s="590"/>
      <c r="E45" s="590" t="s">
        <v>635</v>
      </c>
      <c r="F45" s="590"/>
      <c r="G45" s="590"/>
      <c r="H45" s="607"/>
      <c r="I45" s="574" t="s">
        <v>635</v>
      </c>
      <c r="J45" s="574"/>
      <c r="K45" s="574"/>
      <c r="L45" s="576"/>
      <c r="M45" s="582"/>
      <c r="N45" s="590"/>
      <c r="O45" s="590"/>
      <c r="P45" s="587" t="s">
        <v>636</v>
      </c>
      <c r="Q45" s="588"/>
      <c r="R45" s="588"/>
      <c r="S45" s="589"/>
      <c r="T45" s="590"/>
      <c r="U45" s="587" t="s">
        <v>636</v>
      </c>
      <c r="V45" s="588"/>
      <c r="W45" s="588"/>
      <c r="X45" s="589"/>
      <c r="Y45" s="590"/>
      <c r="Z45" s="587" t="s">
        <v>636</v>
      </c>
      <c r="AA45" s="588"/>
      <c r="AB45" s="588"/>
      <c r="AC45" s="589"/>
      <c r="AD45" s="590"/>
      <c r="AE45" s="587" t="s">
        <v>636</v>
      </c>
      <c r="AF45" s="588"/>
      <c r="AG45" s="588"/>
      <c r="AH45" s="589"/>
      <c r="AI45" s="590"/>
      <c r="AJ45" s="587" t="s">
        <v>636</v>
      </c>
      <c r="AK45" s="588"/>
      <c r="AL45" s="588"/>
      <c r="AM45" s="589"/>
      <c r="AN45" s="590"/>
      <c r="AO45" s="587" t="s">
        <v>636</v>
      </c>
      <c r="AP45" s="588"/>
      <c r="AQ45" s="588"/>
      <c r="AR45" s="589"/>
      <c r="AS45" s="590"/>
      <c r="AT45" s="587" t="s">
        <v>636</v>
      </c>
      <c r="AU45" s="588"/>
      <c r="AV45" s="588"/>
      <c r="AW45" s="589"/>
      <c r="AX45" s="590"/>
    </row>
    <row r="46" spans="2:50">
      <c r="B46" s="590"/>
      <c r="C46" s="590"/>
      <c r="D46" s="590"/>
      <c r="E46" s="339" t="s">
        <v>637</v>
      </c>
      <c r="F46" s="339" t="s">
        <v>638</v>
      </c>
      <c r="G46" s="339" t="s">
        <v>639</v>
      </c>
      <c r="H46" s="608"/>
      <c r="I46" s="338" t="s">
        <v>637</v>
      </c>
      <c r="J46" s="338" t="s">
        <v>638</v>
      </c>
      <c r="K46" s="338" t="s">
        <v>639</v>
      </c>
      <c r="L46" s="577"/>
      <c r="M46" s="583"/>
      <c r="N46" s="590"/>
      <c r="O46" s="590"/>
      <c r="P46" s="339" t="s">
        <v>637</v>
      </c>
      <c r="Q46" s="339" t="s">
        <v>638</v>
      </c>
      <c r="R46" s="339" t="s">
        <v>639</v>
      </c>
      <c r="S46" s="339" t="s">
        <v>632</v>
      </c>
      <c r="T46" s="590"/>
      <c r="U46" s="339" t="s">
        <v>637</v>
      </c>
      <c r="V46" s="339" t="s">
        <v>638</v>
      </c>
      <c r="W46" s="339" t="s">
        <v>639</v>
      </c>
      <c r="X46" s="339" t="s">
        <v>632</v>
      </c>
      <c r="Y46" s="590"/>
      <c r="Z46" s="339" t="s">
        <v>637</v>
      </c>
      <c r="AA46" s="339" t="s">
        <v>638</v>
      </c>
      <c r="AB46" s="339" t="s">
        <v>639</v>
      </c>
      <c r="AC46" s="339" t="s">
        <v>632</v>
      </c>
      <c r="AD46" s="590"/>
      <c r="AE46" s="339" t="s">
        <v>637</v>
      </c>
      <c r="AF46" s="339" t="s">
        <v>638</v>
      </c>
      <c r="AG46" s="339" t="s">
        <v>639</v>
      </c>
      <c r="AH46" s="339" t="s">
        <v>632</v>
      </c>
      <c r="AI46" s="590"/>
      <c r="AJ46" s="339" t="s">
        <v>637</v>
      </c>
      <c r="AK46" s="339" t="s">
        <v>638</v>
      </c>
      <c r="AL46" s="339" t="s">
        <v>639</v>
      </c>
      <c r="AM46" s="339" t="s">
        <v>632</v>
      </c>
      <c r="AN46" s="590"/>
      <c r="AO46" s="339" t="s">
        <v>637</v>
      </c>
      <c r="AP46" s="339" t="s">
        <v>638</v>
      </c>
      <c r="AQ46" s="339" t="s">
        <v>639</v>
      </c>
      <c r="AR46" s="339" t="s">
        <v>632</v>
      </c>
      <c r="AS46" s="590"/>
      <c r="AT46" s="339" t="s">
        <v>637</v>
      </c>
      <c r="AU46" s="339" t="s">
        <v>638</v>
      </c>
      <c r="AV46" s="339" t="s">
        <v>639</v>
      </c>
      <c r="AW46" s="339" t="s">
        <v>632</v>
      </c>
      <c r="AX46" s="590"/>
    </row>
    <row r="47" spans="2:50">
      <c r="B47" s="590" t="s">
        <v>644</v>
      </c>
      <c r="C47" s="340">
        <v>1</v>
      </c>
      <c r="D47" s="231" t="s">
        <v>413</v>
      </c>
      <c r="E47" s="187">
        <v>7</v>
      </c>
      <c r="F47" s="340">
        <v>1500</v>
      </c>
      <c r="G47" s="341">
        <v>214.28571428571428</v>
      </c>
      <c r="H47" s="632">
        <f>AVERAGE(G47:G61)</f>
        <v>132.05751391465677</v>
      </c>
      <c r="I47" s="204">
        <f t="shared" ref="I47:K51" si="19">AVERAGE(P47,U47,Z47,AE47,AJ47,AO47,AT47)</f>
        <v>7</v>
      </c>
      <c r="J47" s="204">
        <f t="shared" si="19"/>
        <v>1280.9508607622377</v>
      </c>
      <c r="K47" s="205">
        <f t="shared" si="19"/>
        <v>182.99298010889109</v>
      </c>
      <c r="L47" s="571">
        <f>IFERROR(AVERAGE(K47:K61),"-")</f>
        <v>113.3723605310481</v>
      </c>
      <c r="M47" s="206">
        <f>RANK(K47, K$47:$K$61)</f>
        <v>2</v>
      </c>
      <c r="N47" s="590"/>
      <c r="O47" s="590"/>
      <c r="P47" s="187">
        <v>7</v>
      </c>
      <c r="Q47" s="187">
        <v>1286.2499999999998</v>
      </c>
      <c r="R47" s="187">
        <v>183.74999999999997</v>
      </c>
      <c r="S47" s="340">
        <f>RANK(R47, R$47:R$61)</f>
        <v>2</v>
      </c>
      <c r="T47" s="599">
        <f>AVERAGE(R47:R61)</f>
        <v>102.83826990251328</v>
      </c>
      <c r="U47" s="187">
        <v>7</v>
      </c>
      <c r="V47" s="187">
        <v>1308.7912087912089</v>
      </c>
      <c r="W47" s="187">
        <v>186.97017268445842</v>
      </c>
      <c r="X47" s="346">
        <f>RANK(W47, W$47:W$61)</f>
        <v>1</v>
      </c>
      <c r="Y47" s="599">
        <f>AVERAGE(W47:W61)</f>
        <v>117.17568270189847</v>
      </c>
      <c r="Z47" s="187">
        <v>7</v>
      </c>
      <c r="AA47" s="187">
        <v>1253.2584269662921</v>
      </c>
      <c r="AB47" s="187">
        <v>179.03691813804173</v>
      </c>
      <c r="AC47" s="346">
        <f>RANK(AB47, AB$47:AB$61)</f>
        <v>3</v>
      </c>
      <c r="AD47" s="599">
        <f>AVERAGE(AB47:AB61)</f>
        <v>116.52519910600799</v>
      </c>
      <c r="AE47" s="187">
        <v>7</v>
      </c>
      <c r="AF47" s="187">
        <v>1285.3846153846155</v>
      </c>
      <c r="AG47" s="187">
        <v>183.62637362637363</v>
      </c>
      <c r="AH47" s="346">
        <f>RANK(AG47, AG$47:AG$61)</f>
        <v>2</v>
      </c>
      <c r="AI47" s="599">
        <f>AVERAGE(AG47:AG61)</f>
        <v>113.62303943160678</v>
      </c>
      <c r="AJ47" s="187">
        <v>7</v>
      </c>
      <c r="AK47" s="187">
        <v>1280.25</v>
      </c>
      <c r="AL47" s="187">
        <v>182.89285714285714</v>
      </c>
      <c r="AM47" s="346">
        <f>RANK(AL47, AL$47:AL$61)</f>
        <v>1</v>
      </c>
      <c r="AN47" s="599">
        <f>AVERAGE(AL47:AL61)</f>
        <v>113.1209449530199</v>
      </c>
      <c r="AO47" s="187">
        <v>7</v>
      </c>
      <c r="AP47" s="187">
        <v>1265.6249999999998</v>
      </c>
      <c r="AQ47" s="187">
        <v>180.80357142857139</v>
      </c>
      <c r="AR47" s="346">
        <f>RANK(AQ47, AQ$47:AQ$61)</f>
        <v>3</v>
      </c>
      <c r="AS47" s="599">
        <f>AVERAGE(AQ47:AQ61)</f>
        <v>116.42209558643286</v>
      </c>
      <c r="AT47" s="187">
        <v>7</v>
      </c>
      <c r="AU47" s="187">
        <v>1287.0967741935481</v>
      </c>
      <c r="AV47" s="187">
        <v>183.87096774193543</v>
      </c>
      <c r="AW47" s="346">
        <f>RANK(AV47, AV$47:AV$61)</f>
        <v>1</v>
      </c>
      <c r="AX47" s="599">
        <f>AVERAGE(AV47:AV61)</f>
        <v>113.90129203585742</v>
      </c>
    </row>
    <row r="48" spans="2:50">
      <c r="B48" s="598"/>
      <c r="C48" s="340">
        <v>2</v>
      </c>
      <c r="D48" s="231" t="s">
        <v>414</v>
      </c>
      <c r="E48" s="187">
        <v>7</v>
      </c>
      <c r="F48" s="340">
        <v>1500</v>
      </c>
      <c r="G48" s="341">
        <v>214.28571428571428</v>
      </c>
      <c r="H48" s="633"/>
      <c r="I48" s="204">
        <f t="shared" si="19"/>
        <v>8.5714285714285712</v>
      </c>
      <c r="J48" s="204">
        <f t="shared" si="19"/>
        <v>1293.3604576632977</v>
      </c>
      <c r="K48" s="205">
        <f t="shared" si="19"/>
        <v>160.69406484849986</v>
      </c>
      <c r="L48" s="572"/>
      <c r="M48" s="206">
        <f>RANK(K48, K$47:$K$61)</f>
        <v>3</v>
      </c>
      <c r="N48" s="590"/>
      <c r="O48" s="590"/>
      <c r="P48" s="187">
        <v>15</v>
      </c>
      <c r="Q48" s="187">
        <v>1294.2857142857147</v>
      </c>
      <c r="R48" s="187">
        <v>86.285714285714306</v>
      </c>
      <c r="S48" s="346">
        <f t="shared" ref="S48:S61" si="20">RANK(R48, R$47:R$61)</f>
        <v>3</v>
      </c>
      <c r="T48" s="600"/>
      <c r="U48" s="187">
        <v>7</v>
      </c>
      <c r="V48" s="187">
        <v>1296.4285714285716</v>
      </c>
      <c r="W48" s="187">
        <v>185.20408163265307</v>
      </c>
      <c r="X48" s="346">
        <f t="shared" ref="X48:X61" si="21">RANK(W48, W$47:W$61)</f>
        <v>2</v>
      </c>
      <c r="Y48" s="600"/>
      <c r="Z48" s="187">
        <v>7</v>
      </c>
      <c r="AA48" s="187">
        <v>1282.1739130434783</v>
      </c>
      <c r="AB48" s="187">
        <v>183.16770186335404</v>
      </c>
      <c r="AC48" s="346">
        <f t="shared" ref="AC48:AC61" si="22">RANK(AB48, AB$47:AB$61)</f>
        <v>2</v>
      </c>
      <c r="AD48" s="600"/>
      <c r="AE48" s="187">
        <v>8</v>
      </c>
      <c r="AF48" s="187">
        <v>1292.8571428571433</v>
      </c>
      <c r="AG48" s="187">
        <v>161.60714285714292</v>
      </c>
      <c r="AH48" s="346">
        <f t="shared" ref="AH48:AH61" si="23">RANK(AG48, AG$47:AG$61)</f>
        <v>3</v>
      </c>
      <c r="AI48" s="600"/>
      <c r="AJ48" s="187">
        <v>8</v>
      </c>
      <c r="AK48" s="187">
        <v>1298.3606557377052</v>
      </c>
      <c r="AL48" s="187">
        <v>162.29508196721315</v>
      </c>
      <c r="AM48" s="346">
        <f t="shared" ref="AM48:AM61" si="24">RANK(AL48, AL$47:AL$61)</f>
        <v>3</v>
      </c>
      <c r="AN48" s="600"/>
      <c r="AO48" s="187">
        <v>7</v>
      </c>
      <c r="AP48" s="187">
        <v>1266.8085106382982</v>
      </c>
      <c r="AQ48" s="187">
        <v>180.97264437689975</v>
      </c>
      <c r="AR48" s="346">
        <f t="shared" ref="AR48:AR61" si="25">RANK(AQ48, AQ$47:AQ$61)</f>
        <v>2</v>
      </c>
      <c r="AS48" s="600"/>
      <c r="AT48" s="187">
        <v>8</v>
      </c>
      <c r="AU48" s="187">
        <v>1322.608695652174</v>
      </c>
      <c r="AV48" s="187">
        <v>165.32608695652175</v>
      </c>
      <c r="AW48" s="346">
        <f t="shared" ref="AW48:AW61" si="26">RANK(AV48, AV$47:AV$61)</f>
        <v>3</v>
      </c>
      <c r="AX48" s="600"/>
    </row>
    <row r="49" spans="2:50">
      <c r="B49" s="598"/>
      <c r="C49" s="340">
        <v>3</v>
      </c>
      <c r="D49" s="231" t="s">
        <v>353</v>
      </c>
      <c r="E49" s="187">
        <v>20</v>
      </c>
      <c r="F49" s="340">
        <v>1500</v>
      </c>
      <c r="G49" s="341">
        <v>75</v>
      </c>
      <c r="H49" s="633"/>
      <c r="I49" s="204">
        <f t="shared" si="19"/>
        <v>18</v>
      </c>
      <c r="J49" s="204">
        <f t="shared" si="19"/>
        <v>1275.1252735851515</v>
      </c>
      <c r="K49" s="205">
        <f t="shared" si="19"/>
        <v>70.840292976952867</v>
      </c>
      <c r="L49" s="572"/>
      <c r="M49" s="206">
        <f>RANK(K49, K$47:$K$61)</f>
        <v>5</v>
      </c>
      <c r="N49" s="590"/>
      <c r="O49" s="590"/>
      <c r="P49" s="187">
        <v>18</v>
      </c>
      <c r="Q49" s="187">
        <v>1265.7435897435898</v>
      </c>
      <c r="R49" s="187">
        <v>70.319088319088323</v>
      </c>
      <c r="S49" s="346">
        <f t="shared" si="20"/>
        <v>6</v>
      </c>
      <c r="T49" s="600"/>
      <c r="U49" s="187">
        <v>18</v>
      </c>
      <c r="V49" s="187">
        <v>1283.1724137931035</v>
      </c>
      <c r="W49" s="187">
        <v>71.287356321839084</v>
      </c>
      <c r="X49" s="346">
        <f t="shared" si="21"/>
        <v>5</v>
      </c>
      <c r="Y49" s="600"/>
      <c r="Z49" s="187">
        <v>18</v>
      </c>
      <c r="AA49" s="187">
        <v>1313.094339622641</v>
      </c>
      <c r="AB49" s="187">
        <v>72.949685534591168</v>
      </c>
      <c r="AC49" s="346">
        <f t="shared" si="22"/>
        <v>4</v>
      </c>
      <c r="AD49" s="600"/>
      <c r="AE49" s="187">
        <v>18</v>
      </c>
      <c r="AF49" s="187">
        <v>1249.1052631578948</v>
      </c>
      <c r="AG49" s="187">
        <v>69.39473684210526</v>
      </c>
      <c r="AH49" s="346">
        <f t="shared" si="23"/>
        <v>6</v>
      </c>
      <c r="AI49" s="600"/>
      <c r="AJ49" s="187">
        <v>18</v>
      </c>
      <c r="AK49" s="187">
        <v>1281.0638297872342</v>
      </c>
      <c r="AL49" s="187">
        <v>71.170212765957459</v>
      </c>
      <c r="AM49" s="346">
        <f t="shared" si="24"/>
        <v>5</v>
      </c>
      <c r="AN49" s="600"/>
      <c r="AO49" s="187">
        <v>18</v>
      </c>
      <c r="AP49" s="187">
        <v>1281.55462184874</v>
      </c>
      <c r="AQ49" s="187">
        <v>71.197478991596668</v>
      </c>
      <c r="AR49" s="346">
        <f t="shared" si="25"/>
        <v>5</v>
      </c>
      <c r="AS49" s="600"/>
      <c r="AT49" s="187">
        <v>18</v>
      </c>
      <c r="AU49" s="187">
        <v>1252.1428571428576</v>
      </c>
      <c r="AV49" s="187">
        <v>69.563492063492092</v>
      </c>
      <c r="AW49" s="346">
        <f t="shared" si="26"/>
        <v>6</v>
      </c>
      <c r="AX49" s="600"/>
    </row>
    <row r="50" spans="2:50">
      <c r="B50" s="598"/>
      <c r="C50" s="340">
        <v>4</v>
      </c>
      <c r="D50" s="231" t="s">
        <v>415</v>
      </c>
      <c r="E50" s="187">
        <v>18</v>
      </c>
      <c r="F50" s="340">
        <v>1440</v>
      </c>
      <c r="G50" s="341">
        <v>80</v>
      </c>
      <c r="H50" s="633"/>
      <c r="I50" s="204">
        <f t="shared" si="19"/>
        <v>18</v>
      </c>
      <c r="J50" s="204">
        <f t="shared" si="19"/>
        <v>1262.8248945636099</v>
      </c>
      <c r="K50" s="205">
        <f t="shared" si="19"/>
        <v>70.156938586867213</v>
      </c>
      <c r="L50" s="572"/>
      <c r="M50" s="206">
        <f>RANK(K50, K$47:$K$61)</f>
        <v>6</v>
      </c>
      <c r="N50" s="590"/>
      <c r="O50" s="590"/>
      <c r="P50" s="187">
        <v>18</v>
      </c>
      <c r="Q50" s="187">
        <v>1278.1395348837207</v>
      </c>
      <c r="R50" s="187">
        <v>71.00775193798448</v>
      </c>
      <c r="S50" s="346">
        <f t="shared" si="20"/>
        <v>5</v>
      </c>
      <c r="T50" s="600"/>
      <c r="U50" s="187">
        <v>18</v>
      </c>
      <c r="V50" s="187">
        <v>1293.6585365853605</v>
      </c>
      <c r="W50" s="187">
        <v>71.869918699186698</v>
      </c>
      <c r="X50" s="346">
        <f t="shared" si="21"/>
        <v>4</v>
      </c>
      <c r="Y50" s="600"/>
      <c r="Z50" s="187">
        <v>18</v>
      </c>
      <c r="AA50" s="187">
        <v>1265.9999999999995</v>
      </c>
      <c r="AB50" s="187">
        <v>70.333333333333314</v>
      </c>
      <c r="AC50" s="346">
        <f t="shared" si="22"/>
        <v>6</v>
      </c>
      <c r="AD50" s="600"/>
      <c r="AE50" s="187">
        <v>18</v>
      </c>
      <c r="AF50" s="187">
        <v>1253.3333333333323</v>
      </c>
      <c r="AG50" s="187">
        <v>69.629629629629576</v>
      </c>
      <c r="AH50" s="346">
        <f t="shared" si="23"/>
        <v>5</v>
      </c>
      <c r="AI50" s="600"/>
      <c r="AJ50" s="187">
        <v>18</v>
      </c>
      <c r="AK50" s="187">
        <v>1229.9999999999989</v>
      </c>
      <c r="AL50" s="187">
        <v>68.333333333333272</v>
      </c>
      <c r="AM50" s="346">
        <f t="shared" si="24"/>
        <v>6</v>
      </c>
      <c r="AN50" s="600"/>
      <c r="AO50" s="187">
        <v>18</v>
      </c>
      <c r="AP50" s="187">
        <v>1257.1428571428567</v>
      </c>
      <c r="AQ50" s="187">
        <v>69.841269841269821</v>
      </c>
      <c r="AR50" s="346">
        <f t="shared" si="25"/>
        <v>6</v>
      </c>
      <c r="AS50" s="600"/>
      <c r="AT50" s="187">
        <v>18</v>
      </c>
      <c r="AU50" s="187">
        <v>1261.4999999999995</v>
      </c>
      <c r="AV50" s="187">
        <v>70.083333333333314</v>
      </c>
      <c r="AW50" s="346">
        <f t="shared" si="26"/>
        <v>5</v>
      </c>
      <c r="AX50" s="600"/>
    </row>
    <row r="51" spans="2:50">
      <c r="B51" s="598"/>
      <c r="C51" s="340">
        <v>5</v>
      </c>
      <c r="D51" s="231" t="s">
        <v>473</v>
      </c>
      <c r="E51" s="187">
        <v>7</v>
      </c>
      <c r="F51" s="340">
        <v>1500</v>
      </c>
      <c r="G51" s="341">
        <v>214.28571428571428</v>
      </c>
      <c r="H51" s="633"/>
      <c r="I51" s="204">
        <f t="shared" si="19"/>
        <v>7</v>
      </c>
      <c r="J51" s="204">
        <f t="shared" si="19"/>
        <v>1288.2817365452504</v>
      </c>
      <c r="K51" s="205">
        <f t="shared" si="19"/>
        <v>184.04024807789293</v>
      </c>
      <c r="L51" s="572"/>
      <c r="M51" s="206">
        <f>RANK(K51, K$47:$K$61)</f>
        <v>1</v>
      </c>
      <c r="N51" s="590"/>
      <c r="O51" s="590"/>
      <c r="P51" s="187">
        <v>7</v>
      </c>
      <c r="Q51" s="187">
        <v>1294.4594594594594</v>
      </c>
      <c r="R51" s="187">
        <v>184.92277992277991</v>
      </c>
      <c r="S51" s="346">
        <f t="shared" si="20"/>
        <v>1</v>
      </c>
      <c r="T51" s="600"/>
      <c r="U51" s="187">
        <v>7</v>
      </c>
      <c r="V51" s="187">
        <v>1278.2432432432429</v>
      </c>
      <c r="W51" s="187">
        <v>182.60617760617757</v>
      </c>
      <c r="X51" s="346">
        <f t="shared" si="21"/>
        <v>3</v>
      </c>
      <c r="Y51" s="600"/>
      <c r="Z51" s="187">
        <v>7</v>
      </c>
      <c r="AA51" s="187">
        <v>1301.1428571428573</v>
      </c>
      <c r="AB51" s="187">
        <v>185.87755102040819</v>
      </c>
      <c r="AC51" s="346">
        <f t="shared" si="22"/>
        <v>1</v>
      </c>
      <c r="AD51" s="600"/>
      <c r="AE51" s="187">
        <v>7</v>
      </c>
      <c r="AF51" s="187">
        <v>1301.1864406779659</v>
      </c>
      <c r="AG51" s="187">
        <v>185.88377723970942</v>
      </c>
      <c r="AH51" s="346">
        <f t="shared" si="23"/>
        <v>1</v>
      </c>
      <c r="AI51" s="600"/>
      <c r="AJ51" s="187">
        <v>7</v>
      </c>
      <c r="AK51" s="187">
        <v>1270.1612903225807</v>
      </c>
      <c r="AL51" s="187">
        <v>181.45161290322582</v>
      </c>
      <c r="AM51" s="346">
        <f t="shared" si="24"/>
        <v>2</v>
      </c>
      <c r="AN51" s="600"/>
      <c r="AO51" s="187">
        <v>7</v>
      </c>
      <c r="AP51" s="187">
        <v>1294.2857142857144</v>
      </c>
      <c r="AQ51" s="187">
        <v>184.89795918367349</v>
      </c>
      <c r="AR51" s="346">
        <f t="shared" si="25"/>
        <v>1</v>
      </c>
      <c r="AS51" s="600"/>
      <c r="AT51" s="187">
        <v>7</v>
      </c>
      <c r="AU51" s="187">
        <v>1278.4931506849314</v>
      </c>
      <c r="AV51" s="187">
        <v>182.64187866927591</v>
      </c>
      <c r="AW51" s="346">
        <f t="shared" si="26"/>
        <v>2</v>
      </c>
      <c r="AX51" s="600"/>
    </row>
    <row r="52" spans="2:50">
      <c r="B52" s="598"/>
      <c r="C52" s="340">
        <v>6</v>
      </c>
      <c r="D52" s="231" t="s">
        <v>667</v>
      </c>
      <c r="E52" s="187">
        <v>20</v>
      </c>
      <c r="F52" s="340">
        <v>1440</v>
      </c>
      <c r="G52" s="341">
        <v>72</v>
      </c>
      <c r="H52" s="633"/>
      <c r="I52" s="470">
        <f t="shared" ref="I52:I53" si="27">AVERAGE(P52,U52,Z52,AE52,AJ52,AO52,AT52)</f>
        <v>18</v>
      </c>
      <c r="J52" s="470">
        <f t="shared" ref="J52:J53" si="28">AVERAGE(Q52,V52,AA52,AF52,AK52,AP52,AU52)</f>
        <v>1283.793789688611</v>
      </c>
      <c r="K52" s="205">
        <f t="shared" ref="K52:K53" si="29">AVERAGE(R52,W52,AB52,AG52,AL52,AQ52,AV52)</f>
        <v>71.321877204922828</v>
      </c>
      <c r="L52" s="572"/>
      <c r="M52" s="206">
        <f>RANK(K52, K$47:$K$61)</f>
        <v>4</v>
      </c>
      <c r="N52" s="590"/>
      <c r="O52" s="590"/>
      <c r="P52" s="187">
        <v>18</v>
      </c>
      <c r="Q52" s="187">
        <v>1282.3357664233577</v>
      </c>
      <c r="R52" s="187">
        <v>71.240875912408754</v>
      </c>
      <c r="S52" s="346">
        <f t="shared" si="20"/>
        <v>4</v>
      </c>
      <c r="T52" s="600"/>
      <c r="U52" s="187">
        <v>18</v>
      </c>
      <c r="V52" s="187">
        <v>1257.4205607476633</v>
      </c>
      <c r="W52" s="187">
        <v>69.856697819314633</v>
      </c>
      <c r="X52" s="346">
        <f t="shared" si="21"/>
        <v>6</v>
      </c>
      <c r="Y52" s="600"/>
      <c r="Z52" s="187">
        <v>18</v>
      </c>
      <c r="AA52" s="187">
        <v>1277.7942857142853</v>
      </c>
      <c r="AB52" s="187">
        <v>70.988571428571404</v>
      </c>
      <c r="AC52" s="346">
        <f t="shared" si="22"/>
        <v>5</v>
      </c>
      <c r="AD52" s="600"/>
      <c r="AE52" s="187">
        <v>18</v>
      </c>
      <c r="AF52" s="187">
        <v>1275.8563106796112</v>
      </c>
      <c r="AG52" s="187">
        <v>70.880906148867282</v>
      </c>
      <c r="AH52" s="346">
        <f t="shared" si="23"/>
        <v>4</v>
      </c>
      <c r="AI52" s="600"/>
      <c r="AJ52" s="187">
        <v>18</v>
      </c>
      <c r="AK52" s="187">
        <v>1296.2495049504944</v>
      </c>
      <c r="AL52" s="187">
        <v>72.013861386138572</v>
      </c>
      <c r="AM52" s="346">
        <f t="shared" si="24"/>
        <v>4</v>
      </c>
      <c r="AN52" s="600"/>
      <c r="AO52" s="187">
        <v>18</v>
      </c>
      <c r="AP52" s="187">
        <v>1286.6264150943391</v>
      </c>
      <c r="AQ52" s="187">
        <v>71.479245283018841</v>
      </c>
      <c r="AR52" s="346">
        <f t="shared" si="25"/>
        <v>4</v>
      </c>
      <c r="AS52" s="600"/>
      <c r="AT52" s="187">
        <v>18</v>
      </c>
      <c r="AU52" s="187">
        <v>1310.2736842105264</v>
      </c>
      <c r="AV52" s="187">
        <v>72.792982456140351</v>
      </c>
      <c r="AW52" s="346">
        <f t="shared" si="26"/>
        <v>4</v>
      </c>
      <c r="AX52" s="600"/>
    </row>
    <row r="53" spans="2:50">
      <c r="B53" s="598"/>
      <c r="C53" s="340">
        <v>7</v>
      </c>
      <c r="D53" s="231" t="s">
        <v>687</v>
      </c>
      <c r="E53" s="187">
        <v>22</v>
      </c>
      <c r="F53" s="340">
        <v>1200</v>
      </c>
      <c r="G53" s="341">
        <v>54.545454545454547</v>
      </c>
      <c r="H53" s="633"/>
      <c r="I53" s="470">
        <f t="shared" si="27"/>
        <v>20.428571428571427</v>
      </c>
      <c r="J53" s="470">
        <f t="shared" si="28"/>
        <v>1093.7881076252027</v>
      </c>
      <c r="K53" s="205">
        <f t="shared" si="29"/>
        <v>53.560121913309899</v>
      </c>
      <c r="L53" s="572"/>
      <c r="M53" s="206">
        <f>RANK(K53, K$47:$K$61)</f>
        <v>7</v>
      </c>
      <c r="N53" s="590"/>
      <c r="O53" s="590"/>
      <c r="P53" s="187">
        <v>21</v>
      </c>
      <c r="Q53" s="187">
        <v>1099.1752577319592</v>
      </c>
      <c r="R53" s="187">
        <v>52.341678939617104</v>
      </c>
      <c r="S53" s="346">
        <f t="shared" si="20"/>
        <v>7</v>
      </c>
      <c r="T53" s="600"/>
      <c r="U53" s="187">
        <v>21</v>
      </c>
      <c r="V53" s="187">
        <v>1101.1428571428578</v>
      </c>
      <c r="W53" s="187">
        <v>52.435374149659893</v>
      </c>
      <c r="X53" s="346">
        <f t="shared" si="21"/>
        <v>7</v>
      </c>
      <c r="Y53" s="600"/>
      <c r="Z53" s="187">
        <v>21</v>
      </c>
      <c r="AA53" s="187">
        <v>1119.7752808988764</v>
      </c>
      <c r="AB53" s="187">
        <v>53.322632423756019</v>
      </c>
      <c r="AC53" s="346">
        <f t="shared" si="22"/>
        <v>7</v>
      </c>
      <c r="AD53" s="600"/>
      <c r="AE53" s="187">
        <v>20</v>
      </c>
      <c r="AF53" s="187">
        <v>1086.7741935483882</v>
      </c>
      <c r="AG53" s="187">
        <v>54.338709677419409</v>
      </c>
      <c r="AH53" s="346">
        <f t="shared" si="23"/>
        <v>7</v>
      </c>
      <c r="AI53" s="600"/>
      <c r="AJ53" s="187">
        <v>20</v>
      </c>
      <c r="AK53" s="187">
        <v>1073.7931034482765</v>
      </c>
      <c r="AL53" s="187">
        <v>53.689655172413822</v>
      </c>
      <c r="AM53" s="346">
        <f t="shared" si="24"/>
        <v>7</v>
      </c>
      <c r="AN53" s="600"/>
      <c r="AO53" s="187">
        <v>20</v>
      </c>
      <c r="AP53" s="187">
        <v>1115.2499999999998</v>
      </c>
      <c r="AQ53" s="187">
        <v>55.762499999999989</v>
      </c>
      <c r="AR53" s="346">
        <f t="shared" si="25"/>
        <v>7</v>
      </c>
      <c r="AS53" s="600"/>
      <c r="AT53" s="187">
        <v>20</v>
      </c>
      <c r="AU53" s="187">
        <v>1060.606060606061</v>
      </c>
      <c r="AV53" s="187">
        <v>53.030303030303045</v>
      </c>
      <c r="AW53" s="346">
        <f t="shared" si="26"/>
        <v>7</v>
      </c>
      <c r="AX53" s="600"/>
    </row>
    <row r="54" spans="2:50">
      <c r="B54" s="598"/>
      <c r="C54" s="340">
        <v>8</v>
      </c>
      <c r="D54" s="231"/>
      <c r="E54" s="187"/>
      <c r="F54" s="340"/>
      <c r="G54" s="341"/>
      <c r="H54" s="633"/>
      <c r="I54" s="204"/>
      <c r="J54" s="204"/>
      <c r="K54" s="205"/>
      <c r="L54" s="572"/>
      <c r="M54" s="206" t="e">
        <f>RANK(K54, K$47:$K$61)</f>
        <v>#N/A</v>
      </c>
      <c r="N54" s="590"/>
      <c r="O54" s="590"/>
      <c r="P54" s="378"/>
      <c r="Q54" s="187"/>
      <c r="R54" s="379"/>
      <c r="S54" s="346" t="e">
        <f t="shared" si="20"/>
        <v>#N/A</v>
      </c>
      <c r="T54" s="600"/>
      <c r="U54" s="378"/>
      <c r="V54" s="187"/>
      <c r="W54" s="379"/>
      <c r="X54" s="346" t="e">
        <f t="shared" si="21"/>
        <v>#N/A</v>
      </c>
      <c r="Y54" s="600"/>
      <c r="Z54" s="378"/>
      <c r="AA54" s="187"/>
      <c r="AB54" s="379"/>
      <c r="AC54" s="346" t="e">
        <f t="shared" si="22"/>
        <v>#N/A</v>
      </c>
      <c r="AD54" s="600"/>
      <c r="AE54" s="378"/>
      <c r="AF54" s="187"/>
      <c r="AG54" s="379"/>
      <c r="AH54" s="346" t="e">
        <f t="shared" si="23"/>
        <v>#N/A</v>
      </c>
      <c r="AI54" s="600"/>
      <c r="AJ54" s="378"/>
      <c r="AK54" s="187"/>
      <c r="AL54" s="379"/>
      <c r="AM54" s="346" t="e">
        <f t="shared" si="24"/>
        <v>#N/A</v>
      </c>
      <c r="AN54" s="600"/>
      <c r="AO54" s="378"/>
      <c r="AP54" s="187"/>
      <c r="AQ54" s="379"/>
      <c r="AR54" s="346" t="e">
        <f t="shared" si="25"/>
        <v>#N/A</v>
      </c>
      <c r="AS54" s="600"/>
      <c r="AT54" s="378"/>
      <c r="AU54" s="187"/>
      <c r="AV54" s="379"/>
      <c r="AW54" s="346" t="e">
        <f t="shared" si="26"/>
        <v>#N/A</v>
      </c>
      <c r="AX54" s="600"/>
    </row>
    <row r="55" spans="2:50">
      <c r="B55" s="598"/>
      <c r="C55" s="340">
        <v>9</v>
      </c>
      <c r="D55" s="231"/>
      <c r="E55" s="187"/>
      <c r="F55" s="340"/>
      <c r="G55" s="341"/>
      <c r="H55" s="633"/>
      <c r="I55" s="204"/>
      <c r="J55" s="204"/>
      <c r="K55" s="205"/>
      <c r="L55" s="572"/>
      <c r="M55" s="206" t="e">
        <f>RANK(K55, K$47:$K$61)</f>
        <v>#N/A</v>
      </c>
      <c r="N55" s="590"/>
      <c r="O55" s="590"/>
      <c r="P55" s="378"/>
      <c r="Q55" s="187"/>
      <c r="R55" s="379"/>
      <c r="S55" s="346" t="e">
        <f t="shared" si="20"/>
        <v>#N/A</v>
      </c>
      <c r="T55" s="600"/>
      <c r="U55" s="378"/>
      <c r="V55" s="187"/>
      <c r="W55" s="379"/>
      <c r="X55" s="346" t="e">
        <f t="shared" si="21"/>
        <v>#N/A</v>
      </c>
      <c r="Y55" s="600"/>
      <c r="Z55" s="378"/>
      <c r="AA55" s="187"/>
      <c r="AB55" s="379"/>
      <c r="AC55" s="346" t="e">
        <f t="shared" si="22"/>
        <v>#N/A</v>
      </c>
      <c r="AD55" s="600"/>
      <c r="AE55" s="378"/>
      <c r="AF55" s="187"/>
      <c r="AG55" s="379"/>
      <c r="AH55" s="346" t="e">
        <f t="shared" si="23"/>
        <v>#N/A</v>
      </c>
      <c r="AI55" s="600"/>
      <c r="AJ55" s="378"/>
      <c r="AK55" s="187"/>
      <c r="AL55" s="379"/>
      <c r="AM55" s="346" t="e">
        <f t="shared" si="24"/>
        <v>#N/A</v>
      </c>
      <c r="AN55" s="600"/>
      <c r="AO55" s="378"/>
      <c r="AP55" s="187"/>
      <c r="AQ55" s="379"/>
      <c r="AR55" s="346" t="e">
        <f t="shared" si="25"/>
        <v>#N/A</v>
      </c>
      <c r="AS55" s="600"/>
      <c r="AT55" s="378"/>
      <c r="AU55" s="187"/>
      <c r="AV55" s="379"/>
      <c r="AW55" s="346" t="e">
        <f t="shared" si="26"/>
        <v>#N/A</v>
      </c>
      <c r="AX55" s="600"/>
    </row>
    <row r="56" spans="2:50">
      <c r="B56" s="598"/>
      <c r="C56" s="340">
        <v>10</v>
      </c>
      <c r="D56" s="231"/>
      <c r="E56" s="187"/>
      <c r="F56" s="340"/>
      <c r="G56" s="341"/>
      <c r="H56" s="633"/>
      <c r="I56" s="204"/>
      <c r="J56" s="204"/>
      <c r="K56" s="205"/>
      <c r="L56" s="572"/>
      <c r="M56" s="206" t="e">
        <f>RANK(K56, K$47:$K$61)</f>
        <v>#N/A</v>
      </c>
      <c r="N56" s="590"/>
      <c r="O56" s="590"/>
      <c r="P56" s="378"/>
      <c r="Q56" s="187"/>
      <c r="R56" s="379"/>
      <c r="S56" s="346" t="e">
        <f t="shared" si="20"/>
        <v>#N/A</v>
      </c>
      <c r="T56" s="600"/>
      <c r="U56" s="378"/>
      <c r="V56" s="187"/>
      <c r="W56" s="379"/>
      <c r="X56" s="346" t="e">
        <f t="shared" si="21"/>
        <v>#N/A</v>
      </c>
      <c r="Y56" s="600"/>
      <c r="Z56" s="378"/>
      <c r="AA56" s="187"/>
      <c r="AB56" s="379"/>
      <c r="AC56" s="346" t="e">
        <f t="shared" si="22"/>
        <v>#N/A</v>
      </c>
      <c r="AD56" s="600"/>
      <c r="AE56" s="378"/>
      <c r="AF56" s="187"/>
      <c r="AG56" s="379"/>
      <c r="AH56" s="346" t="e">
        <f t="shared" si="23"/>
        <v>#N/A</v>
      </c>
      <c r="AI56" s="600"/>
      <c r="AJ56" s="378"/>
      <c r="AK56" s="187"/>
      <c r="AL56" s="379"/>
      <c r="AM56" s="346" t="e">
        <f t="shared" si="24"/>
        <v>#N/A</v>
      </c>
      <c r="AN56" s="600"/>
      <c r="AO56" s="378"/>
      <c r="AP56" s="187"/>
      <c r="AQ56" s="379"/>
      <c r="AR56" s="346" t="e">
        <f t="shared" si="25"/>
        <v>#N/A</v>
      </c>
      <c r="AS56" s="600"/>
      <c r="AT56" s="378"/>
      <c r="AU56" s="187"/>
      <c r="AV56" s="379"/>
      <c r="AW56" s="346" t="e">
        <f t="shared" si="26"/>
        <v>#N/A</v>
      </c>
      <c r="AX56" s="600"/>
    </row>
    <row r="57" spans="2:50">
      <c r="B57" s="598"/>
      <c r="C57" s="340">
        <v>11</v>
      </c>
      <c r="D57" s="231"/>
      <c r="E57" s="187"/>
      <c r="F57" s="340"/>
      <c r="G57" s="341"/>
      <c r="H57" s="633"/>
      <c r="I57" s="204"/>
      <c r="J57" s="204"/>
      <c r="K57" s="205"/>
      <c r="L57" s="572"/>
      <c r="M57" s="206" t="e">
        <f>RANK(K57, K$47:$K$61)</f>
        <v>#N/A</v>
      </c>
      <c r="N57" s="590"/>
      <c r="O57" s="590"/>
      <c r="P57" s="378"/>
      <c r="Q57" s="187"/>
      <c r="R57" s="379"/>
      <c r="S57" s="346" t="e">
        <f t="shared" si="20"/>
        <v>#N/A</v>
      </c>
      <c r="T57" s="600"/>
      <c r="U57" s="378"/>
      <c r="V57" s="187"/>
      <c r="W57" s="379"/>
      <c r="X57" s="346" t="e">
        <f t="shared" si="21"/>
        <v>#N/A</v>
      </c>
      <c r="Y57" s="600"/>
      <c r="Z57" s="378"/>
      <c r="AA57" s="187"/>
      <c r="AB57" s="379"/>
      <c r="AC57" s="346" t="e">
        <f t="shared" si="22"/>
        <v>#N/A</v>
      </c>
      <c r="AD57" s="600"/>
      <c r="AE57" s="378"/>
      <c r="AF57" s="187"/>
      <c r="AG57" s="379"/>
      <c r="AH57" s="346" t="e">
        <f t="shared" si="23"/>
        <v>#N/A</v>
      </c>
      <c r="AI57" s="600"/>
      <c r="AJ57" s="378"/>
      <c r="AK57" s="187"/>
      <c r="AL57" s="379"/>
      <c r="AM57" s="346" t="e">
        <f t="shared" si="24"/>
        <v>#N/A</v>
      </c>
      <c r="AN57" s="600"/>
      <c r="AO57" s="378"/>
      <c r="AP57" s="187"/>
      <c r="AQ57" s="379"/>
      <c r="AR57" s="346" t="e">
        <f t="shared" si="25"/>
        <v>#N/A</v>
      </c>
      <c r="AS57" s="600"/>
      <c r="AT57" s="378"/>
      <c r="AU57" s="187"/>
      <c r="AV57" s="379"/>
      <c r="AW57" s="346" t="e">
        <f t="shared" si="26"/>
        <v>#N/A</v>
      </c>
      <c r="AX57" s="600"/>
    </row>
    <row r="58" spans="2:50">
      <c r="B58" s="598"/>
      <c r="C58" s="340">
        <v>12</v>
      </c>
      <c r="D58" s="231"/>
      <c r="E58" s="187"/>
      <c r="F58" s="340"/>
      <c r="G58" s="341"/>
      <c r="H58" s="633"/>
      <c r="I58" s="204"/>
      <c r="J58" s="204"/>
      <c r="K58" s="205"/>
      <c r="L58" s="572"/>
      <c r="M58" s="206" t="e">
        <f>RANK(K58, K$47:$K$61)</f>
        <v>#N/A</v>
      </c>
      <c r="N58" s="590"/>
      <c r="O58" s="590"/>
      <c r="P58" s="378"/>
      <c r="Q58" s="187"/>
      <c r="R58" s="379"/>
      <c r="S58" s="346" t="e">
        <f t="shared" si="20"/>
        <v>#N/A</v>
      </c>
      <c r="T58" s="600"/>
      <c r="U58" s="378"/>
      <c r="V58" s="187"/>
      <c r="W58" s="379"/>
      <c r="X58" s="346" t="e">
        <f t="shared" si="21"/>
        <v>#N/A</v>
      </c>
      <c r="Y58" s="600"/>
      <c r="Z58" s="378"/>
      <c r="AA58" s="187"/>
      <c r="AB58" s="379"/>
      <c r="AC58" s="346" t="e">
        <f t="shared" si="22"/>
        <v>#N/A</v>
      </c>
      <c r="AD58" s="600"/>
      <c r="AE58" s="378"/>
      <c r="AF58" s="187"/>
      <c r="AG58" s="379"/>
      <c r="AH58" s="346" t="e">
        <f t="shared" si="23"/>
        <v>#N/A</v>
      </c>
      <c r="AI58" s="600"/>
      <c r="AJ58" s="378"/>
      <c r="AK58" s="187"/>
      <c r="AL58" s="379"/>
      <c r="AM58" s="346" t="e">
        <f t="shared" si="24"/>
        <v>#N/A</v>
      </c>
      <c r="AN58" s="600"/>
      <c r="AO58" s="378"/>
      <c r="AP58" s="187"/>
      <c r="AQ58" s="379"/>
      <c r="AR58" s="346" t="e">
        <f t="shared" si="25"/>
        <v>#N/A</v>
      </c>
      <c r="AS58" s="600"/>
      <c r="AT58" s="378"/>
      <c r="AU58" s="187"/>
      <c r="AV58" s="379"/>
      <c r="AW58" s="346" t="e">
        <f t="shared" si="26"/>
        <v>#N/A</v>
      </c>
      <c r="AX58" s="600"/>
    </row>
    <row r="59" spans="2:50">
      <c r="B59" s="598"/>
      <c r="C59" s="340">
        <v>13</v>
      </c>
      <c r="D59" s="231"/>
      <c r="E59" s="187"/>
      <c r="F59" s="340"/>
      <c r="G59" s="341"/>
      <c r="H59" s="633"/>
      <c r="I59" s="204"/>
      <c r="J59" s="204"/>
      <c r="K59" s="205"/>
      <c r="L59" s="572"/>
      <c r="M59" s="206" t="e">
        <f>RANK(K59, K$47:$K$61)</f>
        <v>#N/A</v>
      </c>
      <c r="N59" s="590"/>
      <c r="O59" s="590"/>
      <c r="P59" s="378"/>
      <c r="Q59" s="187"/>
      <c r="R59" s="379"/>
      <c r="S59" s="346" t="e">
        <f t="shared" si="20"/>
        <v>#N/A</v>
      </c>
      <c r="T59" s="600"/>
      <c r="U59" s="378"/>
      <c r="V59" s="187"/>
      <c r="W59" s="379"/>
      <c r="X59" s="346" t="e">
        <f t="shared" si="21"/>
        <v>#N/A</v>
      </c>
      <c r="Y59" s="600"/>
      <c r="Z59" s="378"/>
      <c r="AA59" s="187"/>
      <c r="AB59" s="379"/>
      <c r="AC59" s="346" t="e">
        <f t="shared" si="22"/>
        <v>#N/A</v>
      </c>
      <c r="AD59" s="600"/>
      <c r="AE59" s="378"/>
      <c r="AF59" s="187"/>
      <c r="AG59" s="379"/>
      <c r="AH59" s="346" t="e">
        <f t="shared" si="23"/>
        <v>#N/A</v>
      </c>
      <c r="AI59" s="600"/>
      <c r="AJ59" s="378"/>
      <c r="AK59" s="187"/>
      <c r="AL59" s="379"/>
      <c r="AM59" s="346" t="e">
        <f t="shared" si="24"/>
        <v>#N/A</v>
      </c>
      <c r="AN59" s="600"/>
      <c r="AO59" s="378"/>
      <c r="AP59" s="187"/>
      <c r="AQ59" s="379"/>
      <c r="AR59" s="346" t="e">
        <f t="shared" si="25"/>
        <v>#N/A</v>
      </c>
      <c r="AS59" s="600"/>
      <c r="AT59" s="378"/>
      <c r="AU59" s="187"/>
      <c r="AV59" s="379"/>
      <c r="AW59" s="346" t="e">
        <f t="shared" si="26"/>
        <v>#N/A</v>
      </c>
      <c r="AX59" s="600"/>
    </row>
    <row r="60" spans="2:50">
      <c r="B60" s="598"/>
      <c r="C60" s="340">
        <v>14</v>
      </c>
      <c r="D60" s="231"/>
      <c r="E60" s="187"/>
      <c r="F60" s="340"/>
      <c r="G60" s="341"/>
      <c r="H60" s="633"/>
      <c r="I60" s="204"/>
      <c r="J60" s="204"/>
      <c r="K60" s="205"/>
      <c r="L60" s="572"/>
      <c r="M60" s="206" t="e">
        <f>RANK(K60, K$47:$K$61)</f>
        <v>#N/A</v>
      </c>
      <c r="N60" s="590"/>
      <c r="O60" s="590"/>
      <c r="P60" s="378"/>
      <c r="Q60" s="187"/>
      <c r="R60" s="379"/>
      <c r="S60" s="346" t="e">
        <f t="shared" si="20"/>
        <v>#N/A</v>
      </c>
      <c r="T60" s="600"/>
      <c r="U60" s="378"/>
      <c r="V60" s="187"/>
      <c r="W60" s="379"/>
      <c r="X60" s="346" t="e">
        <f t="shared" si="21"/>
        <v>#N/A</v>
      </c>
      <c r="Y60" s="600"/>
      <c r="Z60" s="378"/>
      <c r="AA60" s="187"/>
      <c r="AB60" s="379"/>
      <c r="AC60" s="346" t="e">
        <f t="shared" si="22"/>
        <v>#N/A</v>
      </c>
      <c r="AD60" s="600"/>
      <c r="AE60" s="378"/>
      <c r="AF60" s="187"/>
      <c r="AG60" s="379"/>
      <c r="AH60" s="346" t="e">
        <f t="shared" si="23"/>
        <v>#N/A</v>
      </c>
      <c r="AI60" s="600"/>
      <c r="AJ60" s="378"/>
      <c r="AK60" s="187"/>
      <c r="AL60" s="379"/>
      <c r="AM60" s="346" t="e">
        <f t="shared" si="24"/>
        <v>#N/A</v>
      </c>
      <c r="AN60" s="600"/>
      <c r="AO60" s="378"/>
      <c r="AP60" s="187"/>
      <c r="AQ60" s="379"/>
      <c r="AR60" s="346" t="e">
        <f t="shared" si="25"/>
        <v>#N/A</v>
      </c>
      <c r="AS60" s="600"/>
      <c r="AT60" s="378"/>
      <c r="AU60" s="187"/>
      <c r="AV60" s="379"/>
      <c r="AW60" s="346" t="e">
        <f t="shared" si="26"/>
        <v>#N/A</v>
      </c>
      <c r="AX60" s="600"/>
    </row>
    <row r="61" spans="2:50">
      <c r="B61" s="598"/>
      <c r="C61" s="340">
        <v>15</v>
      </c>
      <c r="D61" s="231"/>
      <c r="E61" s="187"/>
      <c r="F61" s="340"/>
      <c r="G61" s="341"/>
      <c r="H61" s="634"/>
      <c r="I61" s="204"/>
      <c r="J61" s="204"/>
      <c r="K61" s="205"/>
      <c r="L61" s="573"/>
      <c r="M61" s="206" t="e">
        <f>RANK(K61, K$47:$K$61)</f>
        <v>#N/A</v>
      </c>
      <c r="N61" s="590"/>
      <c r="O61" s="590"/>
      <c r="P61" s="378"/>
      <c r="Q61" s="187"/>
      <c r="R61" s="379"/>
      <c r="S61" s="346" t="e">
        <f t="shared" si="20"/>
        <v>#N/A</v>
      </c>
      <c r="T61" s="601"/>
      <c r="U61" s="378"/>
      <c r="V61" s="187"/>
      <c r="W61" s="379"/>
      <c r="X61" s="346" t="e">
        <f t="shared" si="21"/>
        <v>#N/A</v>
      </c>
      <c r="Y61" s="601"/>
      <c r="Z61" s="378"/>
      <c r="AA61" s="187"/>
      <c r="AB61" s="379"/>
      <c r="AC61" s="346" t="e">
        <f t="shared" si="22"/>
        <v>#N/A</v>
      </c>
      <c r="AD61" s="601"/>
      <c r="AE61" s="378"/>
      <c r="AF61" s="187"/>
      <c r="AG61" s="379"/>
      <c r="AH61" s="346" t="e">
        <f t="shared" si="23"/>
        <v>#N/A</v>
      </c>
      <c r="AI61" s="601"/>
      <c r="AJ61" s="378"/>
      <c r="AK61" s="187"/>
      <c r="AL61" s="379"/>
      <c r="AM61" s="346" t="e">
        <f t="shared" si="24"/>
        <v>#N/A</v>
      </c>
      <c r="AN61" s="601"/>
      <c r="AO61" s="378"/>
      <c r="AP61" s="187"/>
      <c r="AQ61" s="379"/>
      <c r="AR61" s="346" t="e">
        <f t="shared" si="25"/>
        <v>#N/A</v>
      </c>
      <c r="AS61" s="601"/>
      <c r="AT61" s="378"/>
      <c r="AU61" s="187"/>
      <c r="AV61" s="379"/>
      <c r="AW61" s="346" t="e">
        <f t="shared" si="26"/>
        <v>#N/A</v>
      </c>
      <c r="AX61" s="601"/>
    </row>
    <row r="62" spans="2:50" ht="15.75">
      <c r="B62" s="602" t="s">
        <v>163</v>
      </c>
      <c r="C62" s="603"/>
      <c r="D62" s="603"/>
      <c r="E62" s="603"/>
      <c r="F62" s="603"/>
      <c r="G62" s="603"/>
      <c r="H62" s="604"/>
      <c r="I62" s="213"/>
      <c r="J62" s="213"/>
      <c r="K62" s="213"/>
      <c r="L62" s="213"/>
      <c r="M62" s="212"/>
      <c r="N62" s="591" t="s">
        <v>156</v>
      </c>
      <c r="O62" s="591" t="s">
        <v>105</v>
      </c>
      <c r="P62" s="597">
        <f>P42+7</f>
        <v>45951</v>
      </c>
      <c r="Q62" s="598"/>
      <c r="R62" s="598"/>
      <c r="S62" s="598"/>
      <c r="T62" s="598"/>
      <c r="U62" s="594">
        <f>P62+1</f>
        <v>45952</v>
      </c>
      <c r="V62" s="595"/>
      <c r="W62" s="595"/>
      <c r="X62" s="595"/>
      <c r="Y62" s="596"/>
      <c r="Z62" s="594">
        <f>U62+1</f>
        <v>45953</v>
      </c>
      <c r="AA62" s="595"/>
      <c r="AB62" s="595"/>
      <c r="AC62" s="595"/>
      <c r="AD62" s="596"/>
      <c r="AE62" s="594">
        <f>Z62+1</f>
        <v>45954</v>
      </c>
      <c r="AF62" s="595"/>
      <c r="AG62" s="595"/>
      <c r="AH62" s="595"/>
      <c r="AI62" s="596"/>
      <c r="AJ62" s="594">
        <f>AE62+1</f>
        <v>45955</v>
      </c>
      <c r="AK62" s="595"/>
      <c r="AL62" s="595"/>
      <c r="AM62" s="595"/>
      <c r="AN62" s="596"/>
      <c r="AO62" s="594">
        <f>AJ62+1</f>
        <v>45956</v>
      </c>
      <c r="AP62" s="595"/>
      <c r="AQ62" s="595"/>
      <c r="AR62" s="595"/>
      <c r="AS62" s="596"/>
      <c r="AT62" s="594">
        <f>AO62+1</f>
        <v>45957</v>
      </c>
      <c r="AU62" s="595"/>
      <c r="AV62" s="595"/>
      <c r="AW62" s="595"/>
      <c r="AX62" s="596"/>
    </row>
    <row r="63" spans="2:50" ht="15.75">
      <c r="B63" s="605"/>
      <c r="C63" s="605"/>
      <c r="D63" s="605"/>
      <c r="E63" s="605"/>
      <c r="F63" s="605"/>
      <c r="G63" s="605"/>
      <c r="H63" s="605"/>
      <c r="I63" s="210"/>
      <c r="J63" s="210"/>
      <c r="K63" s="210"/>
      <c r="L63" s="210"/>
      <c r="M63" s="211"/>
      <c r="N63" s="593"/>
      <c r="O63" s="593"/>
      <c r="P63" s="597" t="s">
        <v>336</v>
      </c>
      <c r="Q63" s="598"/>
      <c r="R63" s="598"/>
      <c r="S63" s="598"/>
      <c r="T63" s="598"/>
      <c r="U63" s="597" t="s">
        <v>337</v>
      </c>
      <c r="V63" s="598"/>
      <c r="W63" s="598"/>
      <c r="X63" s="598"/>
      <c r="Y63" s="598"/>
      <c r="Z63" s="597" t="s">
        <v>338</v>
      </c>
      <c r="AA63" s="598"/>
      <c r="AB63" s="598"/>
      <c r="AC63" s="598"/>
      <c r="AD63" s="598"/>
      <c r="AE63" s="597" t="s">
        <v>339</v>
      </c>
      <c r="AF63" s="598"/>
      <c r="AG63" s="598"/>
      <c r="AH63" s="598"/>
      <c r="AI63" s="598"/>
      <c r="AJ63" s="597" t="s">
        <v>340</v>
      </c>
      <c r="AK63" s="598"/>
      <c r="AL63" s="598"/>
      <c r="AM63" s="598"/>
      <c r="AN63" s="598"/>
      <c r="AO63" s="597" t="s">
        <v>341</v>
      </c>
      <c r="AP63" s="598"/>
      <c r="AQ63" s="598"/>
      <c r="AR63" s="598"/>
      <c r="AS63" s="598"/>
      <c r="AT63" s="597" t="s">
        <v>342</v>
      </c>
      <c r="AU63" s="598"/>
      <c r="AV63" s="598"/>
      <c r="AW63" s="598"/>
      <c r="AX63" s="598"/>
    </row>
    <row r="64" spans="2:50">
      <c r="B64" s="590" t="s">
        <v>494</v>
      </c>
      <c r="C64" s="590" t="s">
        <v>495</v>
      </c>
      <c r="D64" s="590"/>
      <c r="E64" s="590" t="s">
        <v>496</v>
      </c>
      <c r="F64" s="590"/>
      <c r="G64" s="590"/>
      <c r="H64" s="606" t="s">
        <v>497</v>
      </c>
      <c r="I64" s="574" t="s">
        <v>498</v>
      </c>
      <c r="J64" s="574"/>
      <c r="K64" s="574"/>
      <c r="L64" s="575" t="s">
        <v>497</v>
      </c>
      <c r="M64" s="581" t="s">
        <v>499</v>
      </c>
      <c r="N64" s="590"/>
      <c r="O64" s="590" t="s">
        <v>500</v>
      </c>
      <c r="P64" s="587" t="s">
        <v>501</v>
      </c>
      <c r="Q64" s="588"/>
      <c r="R64" s="588"/>
      <c r="S64" s="589"/>
      <c r="T64" s="590" t="s">
        <v>497</v>
      </c>
      <c r="U64" s="587" t="s">
        <v>501</v>
      </c>
      <c r="V64" s="588"/>
      <c r="W64" s="588"/>
      <c r="X64" s="589"/>
      <c r="Y64" s="590" t="s">
        <v>497</v>
      </c>
      <c r="Z64" s="587" t="s">
        <v>501</v>
      </c>
      <c r="AA64" s="588"/>
      <c r="AB64" s="588"/>
      <c r="AC64" s="589"/>
      <c r="AD64" s="590" t="s">
        <v>497</v>
      </c>
      <c r="AE64" s="587" t="s">
        <v>501</v>
      </c>
      <c r="AF64" s="588"/>
      <c r="AG64" s="588"/>
      <c r="AH64" s="589"/>
      <c r="AI64" s="590" t="s">
        <v>497</v>
      </c>
      <c r="AJ64" s="587" t="s">
        <v>501</v>
      </c>
      <c r="AK64" s="588"/>
      <c r="AL64" s="588"/>
      <c r="AM64" s="589"/>
      <c r="AN64" s="590" t="s">
        <v>497</v>
      </c>
      <c r="AO64" s="587" t="s">
        <v>501</v>
      </c>
      <c r="AP64" s="588"/>
      <c r="AQ64" s="588"/>
      <c r="AR64" s="589"/>
      <c r="AS64" s="590" t="s">
        <v>497</v>
      </c>
      <c r="AT64" s="587" t="s">
        <v>501</v>
      </c>
      <c r="AU64" s="588"/>
      <c r="AV64" s="588"/>
      <c r="AW64" s="589"/>
      <c r="AX64" s="590" t="s">
        <v>497</v>
      </c>
    </row>
    <row r="65" spans="2:50">
      <c r="B65" s="590"/>
      <c r="C65" s="590"/>
      <c r="D65" s="590"/>
      <c r="E65" s="590" t="s">
        <v>502</v>
      </c>
      <c r="F65" s="590"/>
      <c r="G65" s="590"/>
      <c r="H65" s="607"/>
      <c r="I65" s="574" t="s">
        <v>502</v>
      </c>
      <c r="J65" s="574"/>
      <c r="K65" s="574"/>
      <c r="L65" s="576"/>
      <c r="M65" s="582"/>
      <c r="N65" s="590"/>
      <c r="O65" s="590"/>
      <c r="P65" s="587" t="s">
        <v>503</v>
      </c>
      <c r="Q65" s="588"/>
      <c r="R65" s="588"/>
      <c r="S65" s="589"/>
      <c r="T65" s="590"/>
      <c r="U65" s="587" t="s">
        <v>503</v>
      </c>
      <c r="V65" s="588"/>
      <c r="W65" s="588"/>
      <c r="X65" s="589"/>
      <c r="Y65" s="590"/>
      <c r="Z65" s="587" t="s">
        <v>503</v>
      </c>
      <c r="AA65" s="588"/>
      <c r="AB65" s="588"/>
      <c r="AC65" s="589"/>
      <c r="AD65" s="590"/>
      <c r="AE65" s="587" t="s">
        <v>503</v>
      </c>
      <c r="AF65" s="588"/>
      <c r="AG65" s="588"/>
      <c r="AH65" s="589"/>
      <c r="AI65" s="590"/>
      <c r="AJ65" s="587" t="s">
        <v>503</v>
      </c>
      <c r="AK65" s="588"/>
      <c r="AL65" s="588"/>
      <c r="AM65" s="589"/>
      <c r="AN65" s="590"/>
      <c r="AO65" s="587" t="s">
        <v>503</v>
      </c>
      <c r="AP65" s="588"/>
      <c r="AQ65" s="588"/>
      <c r="AR65" s="589"/>
      <c r="AS65" s="590"/>
      <c r="AT65" s="587" t="s">
        <v>503</v>
      </c>
      <c r="AU65" s="588"/>
      <c r="AV65" s="588"/>
      <c r="AW65" s="589"/>
      <c r="AX65" s="590"/>
    </row>
    <row r="66" spans="2:50">
      <c r="B66" s="590"/>
      <c r="C66" s="590"/>
      <c r="D66" s="590"/>
      <c r="E66" s="318" t="s">
        <v>504</v>
      </c>
      <c r="F66" s="318" t="s">
        <v>505</v>
      </c>
      <c r="G66" s="318" t="s">
        <v>506</v>
      </c>
      <c r="H66" s="608"/>
      <c r="I66" s="317" t="s">
        <v>504</v>
      </c>
      <c r="J66" s="317" t="s">
        <v>505</v>
      </c>
      <c r="K66" s="317" t="s">
        <v>506</v>
      </c>
      <c r="L66" s="577"/>
      <c r="M66" s="583"/>
      <c r="N66" s="590"/>
      <c r="O66" s="590"/>
      <c r="P66" s="318" t="s">
        <v>504</v>
      </c>
      <c r="Q66" s="318" t="s">
        <v>505</v>
      </c>
      <c r="R66" s="318" t="s">
        <v>506</v>
      </c>
      <c r="S66" s="318" t="s">
        <v>499</v>
      </c>
      <c r="T66" s="590"/>
      <c r="U66" s="318" t="s">
        <v>504</v>
      </c>
      <c r="V66" s="318" t="s">
        <v>505</v>
      </c>
      <c r="W66" s="318" t="s">
        <v>506</v>
      </c>
      <c r="X66" s="318" t="s">
        <v>499</v>
      </c>
      <c r="Y66" s="590"/>
      <c r="Z66" s="318" t="s">
        <v>504</v>
      </c>
      <c r="AA66" s="318" t="s">
        <v>505</v>
      </c>
      <c r="AB66" s="318" t="s">
        <v>506</v>
      </c>
      <c r="AC66" s="318" t="s">
        <v>499</v>
      </c>
      <c r="AD66" s="590"/>
      <c r="AE66" s="318" t="s">
        <v>504</v>
      </c>
      <c r="AF66" s="318" t="s">
        <v>505</v>
      </c>
      <c r="AG66" s="318" t="s">
        <v>506</v>
      </c>
      <c r="AH66" s="318" t="s">
        <v>499</v>
      </c>
      <c r="AI66" s="590"/>
      <c r="AJ66" s="318" t="s">
        <v>504</v>
      </c>
      <c r="AK66" s="318" t="s">
        <v>505</v>
      </c>
      <c r="AL66" s="318" t="s">
        <v>506</v>
      </c>
      <c r="AM66" s="318" t="s">
        <v>499</v>
      </c>
      <c r="AN66" s="590"/>
      <c r="AO66" s="318" t="s">
        <v>504</v>
      </c>
      <c r="AP66" s="318" t="s">
        <v>505</v>
      </c>
      <c r="AQ66" s="318" t="s">
        <v>506</v>
      </c>
      <c r="AR66" s="318" t="s">
        <v>499</v>
      </c>
      <c r="AS66" s="590"/>
      <c r="AT66" s="318" t="s">
        <v>504</v>
      </c>
      <c r="AU66" s="318" t="s">
        <v>505</v>
      </c>
      <c r="AV66" s="318" t="s">
        <v>506</v>
      </c>
      <c r="AW66" s="318" t="s">
        <v>499</v>
      </c>
      <c r="AX66" s="590"/>
    </row>
    <row r="67" spans="2:50">
      <c r="B67" s="590" t="s">
        <v>508</v>
      </c>
      <c r="C67" s="319">
        <v>1</v>
      </c>
      <c r="D67" s="231" t="s">
        <v>413</v>
      </c>
      <c r="E67" s="187">
        <v>7</v>
      </c>
      <c r="F67" s="319">
        <v>1500</v>
      </c>
      <c r="G67" s="322">
        <v>214.28571428571428</v>
      </c>
      <c r="H67" s="632">
        <f>AVERAGE(G67:G81)</f>
        <v>132.05751391465677</v>
      </c>
      <c r="I67" s="204">
        <f t="shared" ref="I67:K72" si="30">AVERAGE(P67,U67,Z67,AE67,AJ67,AO67,AT67)</f>
        <v>7</v>
      </c>
      <c r="J67" s="204">
        <f t="shared" si="30"/>
        <v>1288.7240455065225</v>
      </c>
      <c r="K67" s="205">
        <f t="shared" si="30"/>
        <v>184.10343507236038</v>
      </c>
      <c r="L67" s="571">
        <f>IFERROR(AVERAGE(K67:K81),"-")</f>
        <v>113.74352962009657</v>
      </c>
      <c r="M67" s="206">
        <f>RANK(K67, K$67:$K$81)</f>
        <v>1</v>
      </c>
      <c r="N67" s="590"/>
      <c r="O67" s="590"/>
      <c r="P67" s="187">
        <v>7</v>
      </c>
      <c r="Q67" s="187">
        <v>1290.3370786516853</v>
      </c>
      <c r="R67" s="379">
        <v>184.33386837881218</v>
      </c>
      <c r="S67" s="319">
        <f>RANK(R67, R$67:R$81)</f>
        <v>1</v>
      </c>
      <c r="T67" s="599">
        <f>AVERAGE(R67:R81)</f>
        <v>113.64496627952045</v>
      </c>
      <c r="U67" s="187">
        <v>7</v>
      </c>
      <c r="V67" s="187">
        <v>1267.6595744680849</v>
      </c>
      <c r="W67" s="473">
        <v>181.09422492401214</v>
      </c>
      <c r="X67" s="351">
        <f>RANK(W67, W$67:W$81)</f>
        <v>1</v>
      </c>
      <c r="Y67" s="599">
        <f>AVERAGE(W67:W81)</f>
        <v>113.05216463996521</v>
      </c>
      <c r="Z67" s="187">
        <v>7</v>
      </c>
      <c r="AA67" s="187">
        <v>1315.1999999999996</v>
      </c>
      <c r="AB67" s="473">
        <v>187.88571428571422</v>
      </c>
      <c r="AC67" s="351">
        <f>RANK(AB67, AB$67:AB$81)</f>
        <v>1</v>
      </c>
      <c r="AD67" s="599">
        <f>AVERAGE(AB67:AB81)</f>
        <v>113.22635522181019</v>
      </c>
      <c r="AE67" s="187">
        <v>7</v>
      </c>
      <c r="AF67" s="187">
        <v>1277.1428571428571</v>
      </c>
      <c r="AG67" s="473">
        <v>182.44897959183672</v>
      </c>
      <c r="AH67" s="351">
        <f>RANK(AG67, AG$67:AG$81)</f>
        <v>1</v>
      </c>
      <c r="AI67" s="599">
        <f>AVERAGE(AG67:AG81)</f>
        <v>112.78752250158729</v>
      </c>
      <c r="AJ67" s="187">
        <v>7</v>
      </c>
      <c r="AK67" s="187">
        <v>1323.0379746835442</v>
      </c>
      <c r="AL67" s="473">
        <v>189.00542495479203</v>
      </c>
      <c r="AM67" s="351">
        <f>RANK(AL67, AL$67:AL$81)</f>
        <v>1</v>
      </c>
      <c r="AN67" s="599">
        <f>AVERAGE(AL67:AL81)</f>
        <v>114.26936309602912</v>
      </c>
      <c r="AO67" s="187">
        <v>7</v>
      </c>
      <c r="AP67" s="187">
        <v>1260.5940594059405</v>
      </c>
      <c r="AQ67" s="473">
        <v>180.08486562942008</v>
      </c>
      <c r="AR67" s="351">
        <f>RANK(AQ67, AQ$67:AQ$81)</f>
        <v>2</v>
      </c>
      <c r="AS67" s="599">
        <f>AVERAGE(AQ67:AQ81)</f>
        <v>112.92876761817327</v>
      </c>
      <c r="AT67" s="187">
        <v>7</v>
      </c>
      <c r="AU67" s="187">
        <v>1287.0967741935481</v>
      </c>
      <c r="AV67" s="473">
        <v>183.87096774193543</v>
      </c>
      <c r="AW67" s="351">
        <f>RANK(AV67, AV$67:AV$81)</f>
        <v>2</v>
      </c>
      <c r="AX67" s="599">
        <f>AVERAGE(AV67:AV81)</f>
        <v>116.29556798359043</v>
      </c>
    </row>
    <row r="68" spans="2:50">
      <c r="B68" s="598"/>
      <c r="C68" s="319">
        <v>2</v>
      </c>
      <c r="D68" s="231" t="s">
        <v>414</v>
      </c>
      <c r="E68" s="187">
        <v>7</v>
      </c>
      <c r="F68" s="319">
        <v>1500</v>
      </c>
      <c r="G68" s="322">
        <v>214.28571428571428</v>
      </c>
      <c r="H68" s="633"/>
      <c r="I68" s="204">
        <f t="shared" si="30"/>
        <v>7.8571428571428568</v>
      </c>
      <c r="J68" s="204">
        <f t="shared" si="30"/>
        <v>1294.6870966674426</v>
      </c>
      <c r="K68" s="205">
        <f t="shared" si="30"/>
        <v>165.13250918054499</v>
      </c>
      <c r="L68" s="572"/>
      <c r="M68" s="206">
        <f>RANK(K68, K$67:$K$81)</f>
        <v>3</v>
      </c>
      <c r="N68" s="590"/>
      <c r="O68" s="590"/>
      <c r="P68" s="378">
        <v>8</v>
      </c>
      <c r="Q68" s="187">
        <v>1317.9166666666661</v>
      </c>
      <c r="R68" s="379">
        <v>164.73958333333326</v>
      </c>
      <c r="S68" s="351">
        <f t="shared" ref="S68:S81" si="31">RANK(R68, R$67:R$81)</f>
        <v>3</v>
      </c>
      <c r="T68" s="600"/>
      <c r="U68" s="472">
        <v>8</v>
      </c>
      <c r="V68" s="187">
        <v>1302.9787234042556</v>
      </c>
      <c r="W68" s="473">
        <v>162.87234042553195</v>
      </c>
      <c r="X68" s="351">
        <f t="shared" ref="X68:X81" si="32">RANK(W68, W$67:W$81)</f>
        <v>3</v>
      </c>
      <c r="Y68" s="600"/>
      <c r="Z68" s="472">
        <v>8</v>
      </c>
      <c r="AA68" s="187">
        <v>1298.5365853658543</v>
      </c>
      <c r="AB68" s="473">
        <v>162.31707317073179</v>
      </c>
      <c r="AC68" s="351">
        <f t="shared" ref="AC68:AC81" si="33">RANK(AB68, AB$67:AB$81)</f>
        <v>3</v>
      </c>
      <c r="AD68" s="600"/>
      <c r="AE68" s="472">
        <v>8</v>
      </c>
      <c r="AF68" s="187">
        <v>1279.5238095238101</v>
      </c>
      <c r="AG68" s="473">
        <v>159.94047619047626</v>
      </c>
      <c r="AH68" s="351">
        <f t="shared" ref="AH68:AH81" si="34">RANK(AG68, AG$67:AG$81)</f>
        <v>3</v>
      </c>
      <c r="AI68" s="600"/>
      <c r="AJ68" s="472">
        <v>8</v>
      </c>
      <c r="AK68" s="187">
        <v>1288.0645161290327</v>
      </c>
      <c r="AL68" s="473">
        <v>161.00806451612908</v>
      </c>
      <c r="AM68" s="351">
        <f t="shared" ref="AM68:AM81" si="35">RANK(AL68, AL$67:AL$81)</f>
        <v>3</v>
      </c>
      <c r="AN68" s="600"/>
      <c r="AO68" s="472">
        <v>8</v>
      </c>
      <c r="AP68" s="187">
        <v>1283.5135135135133</v>
      </c>
      <c r="AQ68" s="473">
        <v>160.43918918918916</v>
      </c>
      <c r="AR68" s="351">
        <f t="shared" ref="AR68:AR81" si="36">RANK(AQ68, AQ$67:AQ$81)</f>
        <v>3</v>
      </c>
      <c r="AS68" s="600"/>
      <c r="AT68" s="472">
        <v>7</v>
      </c>
      <c r="AU68" s="187">
        <v>1292.2758620689649</v>
      </c>
      <c r="AV68" s="473">
        <v>184.61083743842354</v>
      </c>
      <c r="AW68" s="351">
        <f t="shared" ref="AW68:AW81" si="37">RANK(AV68, AV$67:AV$81)</f>
        <v>1</v>
      </c>
      <c r="AX68" s="600"/>
    </row>
    <row r="69" spans="2:50">
      <c r="B69" s="598"/>
      <c r="C69" s="319">
        <v>3</v>
      </c>
      <c r="D69" s="231" t="s">
        <v>353</v>
      </c>
      <c r="E69" s="187">
        <v>20</v>
      </c>
      <c r="F69" s="319">
        <v>1500</v>
      </c>
      <c r="G69" s="322">
        <v>75</v>
      </c>
      <c r="H69" s="633"/>
      <c r="I69" s="204">
        <f t="shared" si="30"/>
        <v>18</v>
      </c>
      <c r="J69" s="204">
        <f t="shared" si="30"/>
        <v>1303.1820405339952</v>
      </c>
      <c r="K69" s="205">
        <f t="shared" si="30"/>
        <v>72.399002251888618</v>
      </c>
      <c r="L69" s="572"/>
      <c r="M69" s="206">
        <f>RANK(K69, K$67:$K$81)</f>
        <v>4</v>
      </c>
      <c r="N69" s="590"/>
      <c r="O69" s="590"/>
      <c r="P69" s="378">
        <v>18</v>
      </c>
      <c r="Q69" s="187">
        <v>1256.3855421686749</v>
      </c>
      <c r="R69" s="379">
        <v>69.799196787148603</v>
      </c>
      <c r="S69" s="351">
        <f t="shared" si="31"/>
        <v>6</v>
      </c>
      <c r="T69" s="600"/>
      <c r="U69" s="472">
        <v>18</v>
      </c>
      <c r="V69" s="187">
        <v>1322.8187919463085</v>
      </c>
      <c r="W69" s="473">
        <v>73.489932885906029</v>
      </c>
      <c r="X69" s="351">
        <f t="shared" si="32"/>
        <v>4</v>
      </c>
      <c r="Y69" s="600"/>
      <c r="Z69" s="472">
        <v>18</v>
      </c>
      <c r="AA69" s="187">
        <v>1274.4360902255639</v>
      </c>
      <c r="AB69" s="473">
        <v>70.802005012531325</v>
      </c>
      <c r="AC69" s="351">
        <f t="shared" si="33"/>
        <v>5</v>
      </c>
      <c r="AD69" s="600"/>
      <c r="AE69" s="472">
        <v>18</v>
      </c>
      <c r="AF69" s="187">
        <v>1305.3658536585372</v>
      </c>
      <c r="AG69" s="473">
        <v>72.520325203252071</v>
      </c>
      <c r="AH69" s="351">
        <f t="shared" si="34"/>
        <v>4</v>
      </c>
      <c r="AI69" s="600"/>
      <c r="AJ69" s="472">
        <v>18</v>
      </c>
      <c r="AK69" s="187">
        <v>1322.9268292682932</v>
      </c>
      <c r="AL69" s="473">
        <v>73.495934959349626</v>
      </c>
      <c r="AM69" s="351">
        <f t="shared" si="35"/>
        <v>4</v>
      </c>
      <c r="AN69" s="600"/>
      <c r="AO69" s="472">
        <v>18</v>
      </c>
      <c r="AP69" s="187">
        <v>1315.2941176470586</v>
      </c>
      <c r="AQ69" s="473">
        <v>73.071895424836583</v>
      </c>
      <c r="AR69" s="351">
        <f t="shared" si="36"/>
        <v>4</v>
      </c>
      <c r="AS69" s="600"/>
      <c r="AT69" s="472">
        <v>18</v>
      </c>
      <c r="AU69" s="187">
        <v>1325.0470588235296</v>
      </c>
      <c r="AV69" s="473">
        <v>73.613725490196089</v>
      </c>
      <c r="AW69" s="351">
        <f t="shared" si="37"/>
        <v>4</v>
      </c>
      <c r="AX69" s="600"/>
    </row>
    <row r="70" spans="2:50">
      <c r="B70" s="598"/>
      <c r="C70" s="319">
        <v>4</v>
      </c>
      <c r="D70" s="231" t="s">
        <v>415</v>
      </c>
      <c r="E70" s="187">
        <v>18</v>
      </c>
      <c r="F70" s="319">
        <v>1440</v>
      </c>
      <c r="G70" s="322">
        <v>80</v>
      </c>
      <c r="H70" s="633"/>
      <c r="I70" s="204">
        <f t="shared" si="30"/>
        <v>18</v>
      </c>
      <c r="J70" s="204">
        <f t="shared" si="30"/>
        <v>1273.9227753341727</v>
      </c>
      <c r="K70" s="205">
        <f t="shared" si="30"/>
        <v>70.773487518565133</v>
      </c>
      <c r="L70" s="572"/>
      <c r="M70" s="206">
        <f>RANK(K70, K$67:$K$81)</f>
        <v>5</v>
      </c>
      <c r="N70" s="590"/>
      <c r="O70" s="590"/>
      <c r="P70" s="378">
        <v>18</v>
      </c>
      <c r="Q70" s="187">
        <v>1262.9268292682921</v>
      </c>
      <c r="R70" s="379">
        <v>70.162601626016226</v>
      </c>
      <c r="S70" s="351">
        <f t="shared" si="31"/>
        <v>5</v>
      </c>
      <c r="T70" s="600"/>
      <c r="U70" s="472">
        <v>18</v>
      </c>
      <c r="V70" s="187">
        <v>1277.9999999999995</v>
      </c>
      <c r="W70" s="473">
        <v>70.999999999999972</v>
      </c>
      <c r="X70" s="351">
        <f t="shared" si="32"/>
        <v>5</v>
      </c>
      <c r="Y70" s="600"/>
      <c r="Z70" s="472">
        <v>18</v>
      </c>
      <c r="AA70" s="187">
        <v>1289.0909090909106</v>
      </c>
      <c r="AB70" s="473">
        <v>71.616161616161705</v>
      </c>
      <c r="AC70" s="351">
        <f t="shared" si="33"/>
        <v>4</v>
      </c>
      <c r="AD70" s="600"/>
      <c r="AE70" s="472">
        <v>18</v>
      </c>
      <c r="AF70" s="187">
        <v>1284.3750000000016</v>
      </c>
      <c r="AG70" s="473">
        <v>71.354166666666757</v>
      </c>
      <c r="AH70" s="351">
        <f t="shared" si="34"/>
        <v>5</v>
      </c>
      <c r="AI70" s="600"/>
      <c r="AJ70" s="472">
        <v>18</v>
      </c>
      <c r="AK70" s="187">
        <v>1277.6470588235311</v>
      </c>
      <c r="AL70" s="473">
        <v>70.980392156862834</v>
      </c>
      <c r="AM70" s="351">
        <f t="shared" si="35"/>
        <v>5</v>
      </c>
      <c r="AN70" s="600"/>
      <c r="AO70" s="472">
        <v>18</v>
      </c>
      <c r="AP70" s="187">
        <v>1285.9459459459451</v>
      </c>
      <c r="AQ70" s="473">
        <v>71.441441441441398</v>
      </c>
      <c r="AR70" s="351">
        <f t="shared" si="36"/>
        <v>6</v>
      </c>
      <c r="AS70" s="600"/>
      <c r="AT70" s="472">
        <v>18</v>
      </c>
      <c r="AU70" s="187">
        <v>1239.4736842105281</v>
      </c>
      <c r="AV70" s="473">
        <v>68.859649122807113</v>
      </c>
      <c r="AW70" s="351">
        <f t="shared" si="37"/>
        <v>6</v>
      </c>
      <c r="AX70" s="600"/>
    </row>
    <row r="71" spans="2:50">
      <c r="B71" s="598"/>
      <c r="C71" s="319">
        <v>5</v>
      </c>
      <c r="D71" s="231" t="s">
        <v>473</v>
      </c>
      <c r="E71" s="187">
        <v>7</v>
      </c>
      <c r="F71" s="319">
        <v>1500</v>
      </c>
      <c r="G71" s="322">
        <v>214.28571428571428</v>
      </c>
      <c r="H71" s="633"/>
      <c r="I71" s="204">
        <f t="shared" si="30"/>
        <v>7</v>
      </c>
      <c r="J71" s="204">
        <f t="shared" si="30"/>
        <v>1270.5462766654794</v>
      </c>
      <c r="K71" s="205">
        <f t="shared" si="30"/>
        <v>181.5066109522113</v>
      </c>
      <c r="L71" s="572"/>
      <c r="M71" s="206">
        <f>RANK(K71, K$67:$K$81)</f>
        <v>2</v>
      </c>
      <c r="N71" s="590"/>
      <c r="O71" s="590"/>
      <c r="P71" s="378">
        <v>7</v>
      </c>
      <c r="Q71" s="187">
        <v>1281.2244897959181</v>
      </c>
      <c r="R71" s="379">
        <v>183.03206997084544</v>
      </c>
      <c r="S71" s="351">
        <f t="shared" si="31"/>
        <v>2</v>
      </c>
      <c r="T71" s="600"/>
      <c r="U71" s="472">
        <v>7</v>
      </c>
      <c r="V71" s="187">
        <v>1263.333333333333</v>
      </c>
      <c r="W71" s="473">
        <v>180.47619047619042</v>
      </c>
      <c r="X71" s="351">
        <f t="shared" si="32"/>
        <v>2</v>
      </c>
      <c r="Y71" s="600"/>
      <c r="Z71" s="472">
        <v>7</v>
      </c>
      <c r="AA71" s="187">
        <v>1264.8000000000002</v>
      </c>
      <c r="AB71" s="473">
        <v>180.68571428571431</v>
      </c>
      <c r="AC71" s="351">
        <f t="shared" si="33"/>
        <v>2</v>
      </c>
      <c r="AD71" s="600"/>
      <c r="AE71" s="472">
        <v>7</v>
      </c>
      <c r="AF71" s="187">
        <v>1262.0338983050847</v>
      </c>
      <c r="AG71" s="473">
        <v>180.29055690072639</v>
      </c>
      <c r="AH71" s="351">
        <f t="shared" si="34"/>
        <v>2</v>
      </c>
      <c r="AI71" s="600"/>
      <c r="AJ71" s="472">
        <v>7</v>
      </c>
      <c r="AK71" s="187">
        <v>1287.894736842105</v>
      </c>
      <c r="AL71" s="473">
        <v>183.984962406015</v>
      </c>
      <c r="AM71" s="351">
        <f t="shared" si="35"/>
        <v>2</v>
      </c>
      <c r="AN71" s="600"/>
      <c r="AO71" s="472">
        <v>7</v>
      </c>
      <c r="AP71" s="187">
        <v>1274.1401273885353</v>
      </c>
      <c r="AQ71" s="473">
        <v>182.02001819836218</v>
      </c>
      <c r="AR71" s="351">
        <f t="shared" si="36"/>
        <v>1</v>
      </c>
      <c r="AS71" s="600"/>
      <c r="AT71" s="472">
        <v>7</v>
      </c>
      <c r="AU71" s="187">
        <v>1260.3973509933776</v>
      </c>
      <c r="AV71" s="473">
        <v>180.05676442762538</v>
      </c>
      <c r="AW71" s="351">
        <f t="shared" si="37"/>
        <v>3</v>
      </c>
      <c r="AX71" s="600"/>
    </row>
    <row r="72" spans="2:50">
      <c r="B72" s="598"/>
      <c r="C72" s="319">
        <v>6</v>
      </c>
      <c r="D72" s="231" t="s">
        <v>667</v>
      </c>
      <c r="E72" s="187">
        <v>20</v>
      </c>
      <c r="F72" s="319">
        <v>1440</v>
      </c>
      <c r="G72" s="322">
        <v>72</v>
      </c>
      <c r="H72" s="633"/>
      <c r="I72" s="204">
        <f t="shared" si="30"/>
        <v>18</v>
      </c>
      <c r="J72" s="204">
        <f t="shared" si="30"/>
        <v>1271.9648797446332</v>
      </c>
      <c r="K72" s="205">
        <f t="shared" si="30"/>
        <v>70.664715541368523</v>
      </c>
      <c r="L72" s="572"/>
      <c r="M72" s="206">
        <f>RANK(K72, K$67:$K$81)</f>
        <v>6</v>
      </c>
      <c r="N72" s="590"/>
      <c r="O72" s="590"/>
      <c r="P72" s="378">
        <v>18</v>
      </c>
      <c r="Q72" s="187">
        <v>1301.0869565217392</v>
      </c>
      <c r="R72" s="379">
        <v>72.282608695652186</v>
      </c>
      <c r="S72" s="351">
        <f t="shared" si="31"/>
        <v>4</v>
      </c>
      <c r="T72" s="600"/>
      <c r="U72" s="472">
        <v>18</v>
      </c>
      <c r="V72" s="187">
        <v>1260.4800000000002</v>
      </c>
      <c r="W72" s="473">
        <v>70.026666666666685</v>
      </c>
      <c r="X72" s="351">
        <f t="shared" si="32"/>
        <v>6</v>
      </c>
      <c r="Y72" s="600"/>
      <c r="Z72" s="472">
        <v>18</v>
      </c>
      <c r="AA72" s="187">
        <v>1254.5279999999966</v>
      </c>
      <c r="AB72" s="473">
        <v>69.695999999999813</v>
      </c>
      <c r="AC72" s="351">
        <f t="shared" si="33"/>
        <v>6</v>
      </c>
      <c r="AD72" s="600"/>
      <c r="AE72" s="472">
        <v>18</v>
      </c>
      <c r="AF72" s="187">
        <v>1261.8181818181813</v>
      </c>
      <c r="AG72" s="473">
        <v>70.101010101010075</v>
      </c>
      <c r="AH72" s="351">
        <f t="shared" si="34"/>
        <v>6</v>
      </c>
      <c r="AI72" s="600"/>
      <c r="AJ72" s="472">
        <v>18</v>
      </c>
      <c r="AK72" s="187">
        <v>1269.7142857142856</v>
      </c>
      <c r="AL72" s="473">
        <v>70.539682539682531</v>
      </c>
      <c r="AM72" s="351">
        <f t="shared" si="35"/>
        <v>6</v>
      </c>
      <c r="AN72" s="600"/>
      <c r="AO72" s="472">
        <v>18</v>
      </c>
      <c r="AP72" s="187">
        <v>1288.0952380952385</v>
      </c>
      <c r="AQ72" s="473">
        <v>71.560846560846585</v>
      </c>
      <c r="AR72" s="351">
        <f t="shared" si="36"/>
        <v>5</v>
      </c>
      <c r="AS72" s="600"/>
      <c r="AT72" s="472">
        <v>18</v>
      </c>
      <c r="AU72" s="187">
        <v>1268.0314960629919</v>
      </c>
      <c r="AV72" s="473">
        <v>70.446194225721769</v>
      </c>
      <c r="AW72" s="351">
        <f t="shared" si="37"/>
        <v>5</v>
      </c>
      <c r="AX72" s="600"/>
    </row>
    <row r="73" spans="2:50">
      <c r="B73" s="598"/>
      <c r="C73" s="319">
        <v>7</v>
      </c>
      <c r="D73" s="231" t="s">
        <v>687</v>
      </c>
      <c r="E73" s="187">
        <v>22</v>
      </c>
      <c r="F73" s="319">
        <v>1200</v>
      </c>
      <c r="G73" s="322">
        <v>54.545454545454547</v>
      </c>
      <c r="H73" s="633"/>
      <c r="I73" s="474">
        <f t="shared" ref="I73" si="38">AVERAGE(P73,U73,Z73,AE73,AJ73,AO73,AT73)</f>
        <v>21.142857142857142</v>
      </c>
      <c r="J73" s="474">
        <f t="shared" ref="J73" si="39">AVERAGE(Q73,V73,AA73,AF73,AK73,AP73,AU73)</f>
        <v>1091.2070001815932</v>
      </c>
      <c r="K73" s="205">
        <f t="shared" ref="K73" si="40">AVERAGE(R73,W73,AB73,AG73,AL73,AQ73,AV73)</f>
        <v>51.62494682373697</v>
      </c>
      <c r="L73" s="572"/>
      <c r="M73" s="206">
        <f>RANK(K73, K$67:$K$81)</f>
        <v>7</v>
      </c>
      <c r="N73" s="590"/>
      <c r="O73" s="590"/>
      <c r="P73" s="378">
        <v>21</v>
      </c>
      <c r="Q73" s="187">
        <v>1074.4615384615381</v>
      </c>
      <c r="R73" s="379">
        <v>51.164835164835146</v>
      </c>
      <c r="S73" s="351">
        <f t="shared" si="31"/>
        <v>7</v>
      </c>
      <c r="T73" s="600"/>
      <c r="U73" s="472">
        <v>21</v>
      </c>
      <c r="V73" s="187">
        <v>1100.5217391304338</v>
      </c>
      <c r="W73" s="473">
        <v>52.405797101449231</v>
      </c>
      <c r="X73" s="351">
        <f t="shared" si="32"/>
        <v>7</v>
      </c>
      <c r="Y73" s="600"/>
      <c r="Z73" s="472">
        <v>22</v>
      </c>
      <c r="AA73" s="187">
        <v>1090.8000000000013</v>
      </c>
      <c r="AB73" s="473">
        <v>49.581818181818242</v>
      </c>
      <c r="AC73" s="351">
        <f t="shared" si="33"/>
        <v>7</v>
      </c>
      <c r="AD73" s="600"/>
      <c r="AE73" s="472">
        <v>21</v>
      </c>
      <c r="AF73" s="187">
        <v>1109.9999999999991</v>
      </c>
      <c r="AG73" s="473">
        <v>52.857142857142811</v>
      </c>
      <c r="AH73" s="351">
        <f t="shared" si="34"/>
        <v>7</v>
      </c>
      <c r="AI73" s="600"/>
      <c r="AJ73" s="472">
        <v>21</v>
      </c>
      <c r="AK73" s="187">
        <v>1068.2926829268288</v>
      </c>
      <c r="AL73" s="473">
        <v>50.8710801393728</v>
      </c>
      <c r="AM73" s="351">
        <f t="shared" si="35"/>
        <v>7</v>
      </c>
      <c r="AN73" s="600"/>
      <c r="AO73" s="472">
        <v>21</v>
      </c>
      <c r="AP73" s="187">
        <v>1089.5454545454545</v>
      </c>
      <c r="AQ73" s="473">
        <v>51.883116883116884</v>
      </c>
      <c r="AR73" s="351">
        <f t="shared" si="36"/>
        <v>7</v>
      </c>
      <c r="AS73" s="600"/>
      <c r="AT73" s="472">
        <v>21</v>
      </c>
      <c r="AU73" s="187">
        <v>1104.8275862068965</v>
      </c>
      <c r="AV73" s="473">
        <v>52.610837438423644</v>
      </c>
      <c r="AW73" s="351">
        <f t="shared" si="37"/>
        <v>7</v>
      </c>
      <c r="AX73" s="600"/>
    </row>
    <row r="74" spans="2:50">
      <c r="B74" s="598"/>
      <c r="C74" s="319">
        <v>8</v>
      </c>
      <c r="D74" s="231"/>
      <c r="E74" s="187"/>
      <c r="F74" s="319"/>
      <c r="G74" s="322"/>
      <c r="H74" s="633"/>
      <c r="I74" s="204"/>
      <c r="J74" s="204"/>
      <c r="K74" s="205"/>
      <c r="L74" s="572"/>
      <c r="M74" s="206" t="e">
        <f>RANK(K74, K$67:$K$81)</f>
        <v>#N/A</v>
      </c>
      <c r="N74" s="590"/>
      <c r="O74" s="590"/>
      <c r="P74" s="378"/>
      <c r="Q74" s="187"/>
      <c r="R74" s="379"/>
      <c r="S74" s="351" t="e">
        <f t="shared" si="31"/>
        <v>#N/A</v>
      </c>
      <c r="T74" s="600"/>
      <c r="U74" s="378"/>
      <c r="V74" s="187"/>
      <c r="W74" s="379"/>
      <c r="X74" s="351" t="e">
        <f t="shared" si="32"/>
        <v>#N/A</v>
      </c>
      <c r="Y74" s="600"/>
      <c r="Z74" s="378"/>
      <c r="AA74" s="187"/>
      <c r="AB74" s="379"/>
      <c r="AC74" s="351" t="e">
        <f t="shared" si="33"/>
        <v>#N/A</v>
      </c>
      <c r="AD74" s="600"/>
      <c r="AE74" s="378"/>
      <c r="AF74" s="187"/>
      <c r="AG74" s="379"/>
      <c r="AH74" s="351" t="e">
        <f t="shared" si="34"/>
        <v>#N/A</v>
      </c>
      <c r="AI74" s="600"/>
      <c r="AJ74" s="378"/>
      <c r="AK74" s="187"/>
      <c r="AL74" s="379"/>
      <c r="AM74" s="351" t="e">
        <f t="shared" si="35"/>
        <v>#N/A</v>
      </c>
      <c r="AN74" s="600"/>
      <c r="AO74" s="378"/>
      <c r="AP74" s="187"/>
      <c r="AQ74" s="379"/>
      <c r="AR74" s="351" t="e">
        <f t="shared" si="36"/>
        <v>#N/A</v>
      </c>
      <c r="AS74" s="600"/>
      <c r="AT74" s="378"/>
      <c r="AU74" s="187"/>
      <c r="AV74" s="379"/>
      <c r="AW74" s="351" t="e">
        <f t="shared" si="37"/>
        <v>#N/A</v>
      </c>
      <c r="AX74" s="600"/>
    </row>
    <row r="75" spans="2:50">
      <c r="B75" s="598"/>
      <c r="C75" s="319">
        <v>9</v>
      </c>
      <c r="D75" s="231"/>
      <c r="E75" s="187"/>
      <c r="F75" s="319"/>
      <c r="G75" s="322"/>
      <c r="H75" s="633"/>
      <c r="I75" s="204"/>
      <c r="J75" s="204"/>
      <c r="K75" s="205"/>
      <c r="L75" s="572"/>
      <c r="M75" s="206" t="e">
        <f>RANK(K75, K$67:$K$81)</f>
        <v>#N/A</v>
      </c>
      <c r="N75" s="590"/>
      <c r="O75" s="590"/>
      <c r="P75" s="378"/>
      <c r="Q75" s="187"/>
      <c r="R75" s="379"/>
      <c r="S75" s="351" t="e">
        <f t="shared" si="31"/>
        <v>#N/A</v>
      </c>
      <c r="T75" s="600"/>
      <c r="U75" s="378"/>
      <c r="V75" s="187"/>
      <c r="W75" s="379"/>
      <c r="X75" s="351" t="e">
        <f t="shared" si="32"/>
        <v>#N/A</v>
      </c>
      <c r="Y75" s="600"/>
      <c r="Z75" s="378"/>
      <c r="AA75" s="187"/>
      <c r="AB75" s="379"/>
      <c r="AC75" s="351" t="e">
        <f t="shared" si="33"/>
        <v>#N/A</v>
      </c>
      <c r="AD75" s="600"/>
      <c r="AE75" s="378"/>
      <c r="AF75" s="187"/>
      <c r="AG75" s="379"/>
      <c r="AH75" s="351" t="e">
        <f t="shared" si="34"/>
        <v>#N/A</v>
      </c>
      <c r="AI75" s="600"/>
      <c r="AJ75" s="378"/>
      <c r="AK75" s="187"/>
      <c r="AL75" s="379"/>
      <c r="AM75" s="351" t="e">
        <f t="shared" si="35"/>
        <v>#N/A</v>
      </c>
      <c r="AN75" s="600"/>
      <c r="AO75" s="378"/>
      <c r="AP75" s="187"/>
      <c r="AQ75" s="379"/>
      <c r="AR75" s="351" t="e">
        <f t="shared" si="36"/>
        <v>#N/A</v>
      </c>
      <c r="AS75" s="600"/>
      <c r="AT75" s="378"/>
      <c r="AU75" s="187"/>
      <c r="AV75" s="379"/>
      <c r="AW75" s="351" t="e">
        <f t="shared" si="37"/>
        <v>#N/A</v>
      </c>
      <c r="AX75" s="600"/>
    </row>
    <row r="76" spans="2:50">
      <c r="B76" s="598"/>
      <c r="C76" s="319">
        <v>10</v>
      </c>
      <c r="D76" s="231"/>
      <c r="E76" s="187"/>
      <c r="F76" s="319"/>
      <c r="G76" s="322"/>
      <c r="H76" s="633"/>
      <c r="I76" s="204"/>
      <c r="J76" s="204"/>
      <c r="K76" s="205"/>
      <c r="L76" s="572"/>
      <c r="M76" s="206" t="e">
        <f>RANK(K76, K$67:$K$81)</f>
        <v>#N/A</v>
      </c>
      <c r="N76" s="590"/>
      <c r="O76" s="590"/>
      <c r="P76" s="378"/>
      <c r="Q76" s="187"/>
      <c r="R76" s="379"/>
      <c r="S76" s="351" t="e">
        <f t="shared" si="31"/>
        <v>#N/A</v>
      </c>
      <c r="T76" s="600"/>
      <c r="U76" s="378"/>
      <c r="V76" s="187"/>
      <c r="W76" s="379"/>
      <c r="X76" s="351" t="e">
        <f t="shared" si="32"/>
        <v>#N/A</v>
      </c>
      <c r="Y76" s="600"/>
      <c r="Z76" s="378"/>
      <c r="AA76" s="187"/>
      <c r="AB76" s="379"/>
      <c r="AC76" s="351" t="e">
        <f t="shared" si="33"/>
        <v>#N/A</v>
      </c>
      <c r="AD76" s="600"/>
      <c r="AE76" s="378"/>
      <c r="AF76" s="187"/>
      <c r="AG76" s="379"/>
      <c r="AH76" s="351" t="e">
        <f t="shared" si="34"/>
        <v>#N/A</v>
      </c>
      <c r="AI76" s="600"/>
      <c r="AJ76" s="378"/>
      <c r="AK76" s="187"/>
      <c r="AL76" s="379"/>
      <c r="AM76" s="351" t="e">
        <f t="shared" si="35"/>
        <v>#N/A</v>
      </c>
      <c r="AN76" s="600"/>
      <c r="AO76" s="378"/>
      <c r="AP76" s="187"/>
      <c r="AQ76" s="379"/>
      <c r="AR76" s="351" t="e">
        <f t="shared" si="36"/>
        <v>#N/A</v>
      </c>
      <c r="AS76" s="600"/>
      <c r="AT76" s="378"/>
      <c r="AU76" s="187"/>
      <c r="AV76" s="379"/>
      <c r="AW76" s="351" t="e">
        <f t="shared" si="37"/>
        <v>#N/A</v>
      </c>
      <c r="AX76" s="600"/>
    </row>
    <row r="77" spans="2:50">
      <c r="B77" s="598"/>
      <c r="C77" s="319">
        <v>11</v>
      </c>
      <c r="D77" s="231"/>
      <c r="E77" s="187"/>
      <c r="F77" s="319"/>
      <c r="G77" s="322"/>
      <c r="H77" s="633"/>
      <c r="I77" s="204"/>
      <c r="J77" s="204"/>
      <c r="K77" s="205"/>
      <c r="L77" s="572"/>
      <c r="M77" s="206" t="e">
        <f>RANK(K77, K$67:$K$81)</f>
        <v>#N/A</v>
      </c>
      <c r="N77" s="590"/>
      <c r="O77" s="590"/>
      <c r="P77" s="378"/>
      <c r="Q77" s="187"/>
      <c r="R77" s="379"/>
      <c r="S77" s="351" t="e">
        <f t="shared" si="31"/>
        <v>#N/A</v>
      </c>
      <c r="T77" s="600"/>
      <c r="U77" s="378"/>
      <c r="V77" s="187"/>
      <c r="W77" s="379"/>
      <c r="X77" s="351" t="e">
        <f t="shared" si="32"/>
        <v>#N/A</v>
      </c>
      <c r="Y77" s="600"/>
      <c r="Z77" s="378"/>
      <c r="AA77" s="187"/>
      <c r="AB77" s="379"/>
      <c r="AC77" s="351" t="e">
        <f t="shared" si="33"/>
        <v>#N/A</v>
      </c>
      <c r="AD77" s="600"/>
      <c r="AE77" s="378"/>
      <c r="AF77" s="187"/>
      <c r="AG77" s="379"/>
      <c r="AH77" s="351" t="e">
        <f t="shared" si="34"/>
        <v>#N/A</v>
      </c>
      <c r="AI77" s="600"/>
      <c r="AJ77" s="378"/>
      <c r="AK77" s="187"/>
      <c r="AL77" s="379"/>
      <c r="AM77" s="351" t="e">
        <f t="shared" si="35"/>
        <v>#N/A</v>
      </c>
      <c r="AN77" s="600"/>
      <c r="AO77" s="378"/>
      <c r="AP77" s="187"/>
      <c r="AQ77" s="379"/>
      <c r="AR77" s="351" t="e">
        <f t="shared" si="36"/>
        <v>#N/A</v>
      </c>
      <c r="AS77" s="600"/>
      <c r="AT77" s="378"/>
      <c r="AU77" s="187"/>
      <c r="AV77" s="379"/>
      <c r="AW77" s="351" t="e">
        <f t="shared" si="37"/>
        <v>#N/A</v>
      </c>
      <c r="AX77" s="600"/>
    </row>
    <row r="78" spans="2:50">
      <c r="B78" s="598"/>
      <c r="C78" s="319">
        <v>12</v>
      </c>
      <c r="D78" s="231"/>
      <c r="E78" s="187"/>
      <c r="F78" s="319"/>
      <c r="G78" s="322"/>
      <c r="H78" s="633"/>
      <c r="I78" s="204"/>
      <c r="J78" s="204"/>
      <c r="K78" s="205"/>
      <c r="L78" s="572"/>
      <c r="M78" s="206" t="e">
        <f>RANK(K78, K$67:$K$81)</f>
        <v>#N/A</v>
      </c>
      <c r="N78" s="590"/>
      <c r="O78" s="590"/>
      <c r="P78" s="378"/>
      <c r="Q78" s="187"/>
      <c r="R78" s="379"/>
      <c r="S78" s="351" t="e">
        <f t="shared" si="31"/>
        <v>#N/A</v>
      </c>
      <c r="T78" s="600"/>
      <c r="U78" s="378"/>
      <c r="V78" s="187"/>
      <c r="W78" s="379"/>
      <c r="X78" s="351" t="e">
        <f t="shared" si="32"/>
        <v>#N/A</v>
      </c>
      <c r="Y78" s="600"/>
      <c r="Z78" s="378"/>
      <c r="AA78" s="187"/>
      <c r="AB78" s="379"/>
      <c r="AC78" s="351" t="e">
        <f t="shared" si="33"/>
        <v>#N/A</v>
      </c>
      <c r="AD78" s="600"/>
      <c r="AE78" s="378"/>
      <c r="AF78" s="187"/>
      <c r="AG78" s="379"/>
      <c r="AH78" s="351" t="e">
        <f t="shared" si="34"/>
        <v>#N/A</v>
      </c>
      <c r="AI78" s="600"/>
      <c r="AJ78" s="378"/>
      <c r="AK78" s="187"/>
      <c r="AL78" s="379"/>
      <c r="AM78" s="351" t="e">
        <f t="shared" si="35"/>
        <v>#N/A</v>
      </c>
      <c r="AN78" s="600"/>
      <c r="AO78" s="378"/>
      <c r="AP78" s="187"/>
      <c r="AQ78" s="379"/>
      <c r="AR78" s="351" t="e">
        <f t="shared" si="36"/>
        <v>#N/A</v>
      </c>
      <c r="AS78" s="600"/>
      <c r="AT78" s="378"/>
      <c r="AU78" s="187"/>
      <c r="AV78" s="379"/>
      <c r="AW78" s="351" t="e">
        <f t="shared" si="37"/>
        <v>#N/A</v>
      </c>
      <c r="AX78" s="600"/>
    </row>
    <row r="79" spans="2:50">
      <c r="B79" s="598"/>
      <c r="C79" s="319">
        <v>13</v>
      </c>
      <c r="D79" s="231"/>
      <c r="E79" s="187"/>
      <c r="F79" s="319"/>
      <c r="G79" s="322"/>
      <c r="H79" s="633"/>
      <c r="I79" s="204"/>
      <c r="J79" s="204"/>
      <c r="K79" s="205"/>
      <c r="L79" s="572"/>
      <c r="M79" s="206" t="e">
        <f>RANK(K79, K$67:$K$81)</f>
        <v>#N/A</v>
      </c>
      <c r="N79" s="590"/>
      <c r="O79" s="590"/>
      <c r="P79" s="378"/>
      <c r="Q79" s="187"/>
      <c r="R79" s="379"/>
      <c r="S79" s="351" t="e">
        <f t="shared" si="31"/>
        <v>#N/A</v>
      </c>
      <c r="T79" s="600"/>
      <c r="U79" s="378"/>
      <c r="V79" s="187"/>
      <c r="W79" s="379"/>
      <c r="X79" s="351" t="e">
        <f t="shared" si="32"/>
        <v>#N/A</v>
      </c>
      <c r="Y79" s="600"/>
      <c r="Z79" s="378"/>
      <c r="AA79" s="187"/>
      <c r="AB79" s="379"/>
      <c r="AC79" s="351" t="e">
        <f t="shared" si="33"/>
        <v>#N/A</v>
      </c>
      <c r="AD79" s="600"/>
      <c r="AE79" s="378"/>
      <c r="AF79" s="187"/>
      <c r="AG79" s="379"/>
      <c r="AH79" s="351" t="e">
        <f t="shared" si="34"/>
        <v>#N/A</v>
      </c>
      <c r="AI79" s="600"/>
      <c r="AJ79" s="378"/>
      <c r="AK79" s="187"/>
      <c r="AL79" s="379"/>
      <c r="AM79" s="351" t="e">
        <f t="shared" si="35"/>
        <v>#N/A</v>
      </c>
      <c r="AN79" s="600"/>
      <c r="AO79" s="378"/>
      <c r="AP79" s="187"/>
      <c r="AQ79" s="379"/>
      <c r="AR79" s="351" t="e">
        <f t="shared" si="36"/>
        <v>#N/A</v>
      </c>
      <c r="AS79" s="600"/>
      <c r="AT79" s="378"/>
      <c r="AU79" s="187"/>
      <c r="AV79" s="379"/>
      <c r="AW79" s="351" t="e">
        <f t="shared" si="37"/>
        <v>#N/A</v>
      </c>
      <c r="AX79" s="600"/>
    </row>
    <row r="80" spans="2:50">
      <c r="B80" s="598"/>
      <c r="C80" s="319">
        <v>14</v>
      </c>
      <c r="D80" s="231"/>
      <c r="E80" s="187"/>
      <c r="F80" s="319"/>
      <c r="G80" s="322"/>
      <c r="H80" s="633"/>
      <c r="I80" s="204"/>
      <c r="J80" s="204"/>
      <c r="K80" s="205"/>
      <c r="L80" s="572"/>
      <c r="M80" s="206" t="e">
        <f>RANK(K80, K$67:$K$81)</f>
        <v>#N/A</v>
      </c>
      <c r="N80" s="590"/>
      <c r="O80" s="590"/>
      <c r="P80" s="378"/>
      <c r="Q80" s="187"/>
      <c r="R80" s="379"/>
      <c r="S80" s="351" t="e">
        <f t="shared" si="31"/>
        <v>#N/A</v>
      </c>
      <c r="T80" s="600"/>
      <c r="U80" s="378"/>
      <c r="V80" s="187"/>
      <c r="W80" s="379"/>
      <c r="X80" s="351" t="e">
        <f t="shared" si="32"/>
        <v>#N/A</v>
      </c>
      <c r="Y80" s="600"/>
      <c r="Z80" s="378"/>
      <c r="AA80" s="187"/>
      <c r="AB80" s="379"/>
      <c r="AC80" s="351" t="e">
        <f t="shared" si="33"/>
        <v>#N/A</v>
      </c>
      <c r="AD80" s="600"/>
      <c r="AE80" s="378"/>
      <c r="AF80" s="187"/>
      <c r="AG80" s="379"/>
      <c r="AH80" s="351" t="e">
        <f t="shared" si="34"/>
        <v>#N/A</v>
      </c>
      <c r="AI80" s="600"/>
      <c r="AJ80" s="378"/>
      <c r="AK80" s="187"/>
      <c r="AL80" s="379"/>
      <c r="AM80" s="351" t="e">
        <f t="shared" si="35"/>
        <v>#N/A</v>
      </c>
      <c r="AN80" s="600"/>
      <c r="AO80" s="378"/>
      <c r="AP80" s="187"/>
      <c r="AQ80" s="379"/>
      <c r="AR80" s="351" t="e">
        <f t="shared" si="36"/>
        <v>#N/A</v>
      </c>
      <c r="AS80" s="600"/>
      <c r="AT80" s="378"/>
      <c r="AU80" s="187"/>
      <c r="AV80" s="379"/>
      <c r="AW80" s="351" t="e">
        <f t="shared" si="37"/>
        <v>#N/A</v>
      </c>
      <c r="AX80" s="600"/>
    </row>
    <row r="81" spans="2:50">
      <c r="B81" s="598"/>
      <c r="C81" s="319">
        <v>15</v>
      </c>
      <c r="D81" s="231"/>
      <c r="E81" s="187"/>
      <c r="F81" s="319"/>
      <c r="G81" s="322"/>
      <c r="H81" s="634"/>
      <c r="I81" s="204"/>
      <c r="J81" s="204"/>
      <c r="K81" s="205"/>
      <c r="L81" s="573"/>
      <c r="M81" s="206" t="e">
        <f>RANK(K81, K$67:$K$81)</f>
        <v>#N/A</v>
      </c>
      <c r="N81" s="590"/>
      <c r="O81" s="590"/>
      <c r="P81" s="378"/>
      <c r="Q81" s="187"/>
      <c r="R81" s="379"/>
      <c r="S81" s="351" t="e">
        <f t="shared" si="31"/>
        <v>#N/A</v>
      </c>
      <c r="T81" s="601"/>
      <c r="U81" s="378"/>
      <c r="V81" s="187"/>
      <c r="W81" s="379"/>
      <c r="X81" s="351" t="e">
        <f t="shared" si="32"/>
        <v>#N/A</v>
      </c>
      <c r="Y81" s="601"/>
      <c r="Z81" s="378"/>
      <c r="AA81" s="187"/>
      <c r="AB81" s="379"/>
      <c r="AC81" s="351" t="e">
        <f t="shared" si="33"/>
        <v>#N/A</v>
      </c>
      <c r="AD81" s="601"/>
      <c r="AE81" s="378"/>
      <c r="AF81" s="187"/>
      <c r="AG81" s="379"/>
      <c r="AH81" s="351" t="e">
        <f t="shared" si="34"/>
        <v>#N/A</v>
      </c>
      <c r="AI81" s="601"/>
      <c r="AJ81" s="378"/>
      <c r="AK81" s="187"/>
      <c r="AL81" s="379"/>
      <c r="AM81" s="351" t="e">
        <f t="shared" si="35"/>
        <v>#N/A</v>
      </c>
      <c r="AN81" s="601"/>
      <c r="AO81" s="378"/>
      <c r="AP81" s="187"/>
      <c r="AQ81" s="379"/>
      <c r="AR81" s="351" t="e">
        <f t="shared" si="36"/>
        <v>#N/A</v>
      </c>
      <c r="AS81" s="601"/>
      <c r="AT81" s="378"/>
      <c r="AU81" s="187"/>
      <c r="AV81" s="379"/>
      <c r="AW81" s="351" t="e">
        <f t="shared" si="37"/>
        <v>#N/A</v>
      </c>
      <c r="AX81" s="601"/>
    </row>
    <row r="82" spans="2:50" ht="15.75">
      <c r="B82" s="602" t="s">
        <v>163</v>
      </c>
      <c r="C82" s="603"/>
      <c r="D82" s="603"/>
      <c r="E82" s="603"/>
      <c r="F82" s="603"/>
      <c r="G82" s="603"/>
      <c r="H82" s="604"/>
      <c r="I82" s="213"/>
      <c r="J82" s="213"/>
      <c r="K82" s="213"/>
      <c r="L82" s="213"/>
      <c r="M82" s="212"/>
      <c r="N82" s="591" t="s">
        <v>156</v>
      </c>
      <c r="O82" s="591" t="s">
        <v>105</v>
      </c>
      <c r="P82" s="597">
        <f>P62+7</f>
        <v>45958</v>
      </c>
      <c r="Q82" s="598"/>
      <c r="R82" s="598"/>
      <c r="S82" s="598"/>
      <c r="T82" s="598"/>
      <c r="U82" s="594">
        <f>P82+1</f>
        <v>45959</v>
      </c>
      <c r="V82" s="595"/>
      <c r="W82" s="595"/>
      <c r="X82" s="595"/>
      <c r="Y82" s="596"/>
      <c r="Z82" s="594">
        <f>U82+1</f>
        <v>45960</v>
      </c>
      <c r="AA82" s="595"/>
      <c r="AB82" s="595"/>
      <c r="AC82" s="595"/>
      <c r="AD82" s="596"/>
      <c r="AE82" s="594">
        <f>Z82+1</f>
        <v>45961</v>
      </c>
      <c r="AF82" s="595"/>
      <c r="AG82" s="595"/>
      <c r="AH82" s="595"/>
      <c r="AI82" s="596"/>
      <c r="AJ82" s="594">
        <f>AE82+1</f>
        <v>45962</v>
      </c>
      <c r="AK82" s="595"/>
      <c r="AL82" s="595"/>
      <c r="AM82" s="595"/>
      <c r="AN82" s="596"/>
      <c r="AO82" s="594">
        <f>AJ82+1</f>
        <v>45963</v>
      </c>
      <c r="AP82" s="595"/>
      <c r="AQ82" s="595"/>
      <c r="AR82" s="595"/>
      <c r="AS82" s="596"/>
      <c r="AT82" s="594">
        <f>AO82+1</f>
        <v>45964</v>
      </c>
      <c r="AU82" s="595"/>
      <c r="AV82" s="595"/>
      <c r="AW82" s="595"/>
      <c r="AX82" s="596"/>
    </row>
    <row r="83" spans="2:50" ht="15.75">
      <c r="B83" s="605"/>
      <c r="C83" s="605"/>
      <c r="D83" s="605"/>
      <c r="E83" s="605"/>
      <c r="F83" s="605"/>
      <c r="G83" s="605"/>
      <c r="H83" s="605"/>
      <c r="I83" s="210"/>
      <c r="J83" s="210"/>
      <c r="K83" s="210"/>
      <c r="L83" s="210"/>
      <c r="M83" s="211"/>
      <c r="N83" s="593"/>
      <c r="O83" s="593"/>
      <c r="P83" s="597" t="s">
        <v>336</v>
      </c>
      <c r="Q83" s="598"/>
      <c r="R83" s="598"/>
      <c r="S83" s="598"/>
      <c r="T83" s="598"/>
      <c r="U83" s="597" t="s">
        <v>337</v>
      </c>
      <c r="V83" s="598"/>
      <c r="W83" s="598"/>
      <c r="X83" s="598"/>
      <c r="Y83" s="598"/>
      <c r="Z83" s="597" t="s">
        <v>338</v>
      </c>
      <c r="AA83" s="598"/>
      <c r="AB83" s="598"/>
      <c r="AC83" s="598"/>
      <c r="AD83" s="598"/>
      <c r="AE83" s="597" t="s">
        <v>339</v>
      </c>
      <c r="AF83" s="598"/>
      <c r="AG83" s="598"/>
      <c r="AH83" s="598"/>
      <c r="AI83" s="598"/>
      <c r="AJ83" s="597" t="s">
        <v>340</v>
      </c>
      <c r="AK83" s="598"/>
      <c r="AL83" s="598"/>
      <c r="AM83" s="598"/>
      <c r="AN83" s="598"/>
      <c r="AO83" s="597" t="s">
        <v>341</v>
      </c>
      <c r="AP83" s="598"/>
      <c r="AQ83" s="598"/>
      <c r="AR83" s="598"/>
      <c r="AS83" s="598"/>
      <c r="AT83" s="597" t="s">
        <v>342</v>
      </c>
      <c r="AU83" s="598"/>
      <c r="AV83" s="598"/>
      <c r="AW83" s="598"/>
      <c r="AX83" s="598"/>
    </row>
    <row r="84" spans="2:50">
      <c r="B84" s="590" t="s">
        <v>494</v>
      </c>
      <c r="C84" s="590" t="s">
        <v>495</v>
      </c>
      <c r="D84" s="590"/>
      <c r="E84" s="590" t="s">
        <v>496</v>
      </c>
      <c r="F84" s="590"/>
      <c r="G84" s="590"/>
      <c r="H84" s="606" t="s">
        <v>497</v>
      </c>
      <c r="I84" s="574" t="s">
        <v>498</v>
      </c>
      <c r="J84" s="574"/>
      <c r="K84" s="574"/>
      <c r="L84" s="575" t="s">
        <v>497</v>
      </c>
      <c r="M84" s="581" t="s">
        <v>499</v>
      </c>
      <c r="N84" s="590"/>
      <c r="O84" s="590" t="s">
        <v>500</v>
      </c>
      <c r="P84" s="587" t="s">
        <v>501</v>
      </c>
      <c r="Q84" s="588"/>
      <c r="R84" s="588"/>
      <c r="S84" s="589"/>
      <c r="T84" s="590" t="s">
        <v>497</v>
      </c>
      <c r="U84" s="587" t="s">
        <v>501</v>
      </c>
      <c r="V84" s="588"/>
      <c r="W84" s="588"/>
      <c r="X84" s="589"/>
      <c r="Y84" s="590" t="s">
        <v>497</v>
      </c>
      <c r="Z84" s="587" t="s">
        <v>501</v>
      </c>
      <c r="AA84" s="588"/>
      <c r="AB84" s="588"/>
      <c r="AC84" s="589"/>
      <c r="AD84" s="590" t="s">
        <v>497</v>
      </c>
      <c r="AE84" s="587" t="s">
        <v>501</v>
      </c>
      <c r="AF84" s="588"/>
      <c r="AG84" s="588"/>
      <c r="AH84" s="589"/>
      <c r="AI84" s="590" t="s">
        <v>497</v>
      </c>
      <c r="AJ84" s="587" t="s">
        <v>501</v>
      </c>
      <c r="AK84" s="588"/>
      <c r="AL84" s="588"/>
      <c r="AM84" s="589"/>
      <c r="AN84" s="590" t="s">
        <v>497</v>
      </c>
      <c r="AO84" s="587" t="s">
        <v>501</v>
      </c>
      <c r="AP84" s="588"/>
      <c r="AQ84" s="588"/>
      <c r="AR84" s="589"/>
      <c r="AS84" s="590" t="s">
        <v>497</v>
      </c>
      <c r="AT84" s="587" t="s">
        <v>501</v>
      </c>
      <c r="AU84" s="588"/>
      <c r="AV84" s="588"/>
      <c r="AW84" s="589"/>
      <c r="AX84" s="590" t="s">
        <v>497</v>
      </c>
    </row>
    <row r="85" spans="2:50">
      <c r="B85" s="590"/>
      <c r="C85" s="590"/>
      <c r="D85" s="590"/>
      <c r="E85" s="590" t="s">
        <v>502</v>
      </c>
      <c r="F85" s="590"/>
      <c r="G85" s="590"/>
      <c r="H85" s="607"/>
      <c r="I85" s="574" t="s">
        <v>502</v>
      </c>
      <c r="J85" s="574"/>
      <c r="K85" s="574"/>
      <c r="L85" s="576"/>
      <c r="M85" s="582"/>
      <c r="N85" s="590"/>
      <c r="O85" s="590"/>
      <c r="P85" s="587" t="s">
        <v>503</v>
      </c>
      <c r="Q85" s="588"/>
      <c r="R85" s="588"/>
      <c r="S85" s="589"/>
      <c r="T85" s="590"/>
      <c r="U85" s="587" t="s">
        <v>503</v>
      </c>
      <c r="V85" s="588"/>
      <c r="W85" s="588"/>
      <c r="X85" s="589"/>
      <c r="Y85" s="590"/>
      <c r="Z85" s="587" t="s">
        <v>503</v>
      </c>
      <c r="AA85" s="588"/>
      <c r="AB85" s="588"/>
      <c r="AC85" s="589"/>
      <c r="AD85" s="590"/>
      <c r="AE85" s="587" t="s">
        <v>503</v>
      </c>
      <c r="AF85" s="588"/>
      <c r="AG85" s="588"/>
      <c r="AH85" s="589"/>
      <c r="AI85" s="590"/>
      <c r="AJ85" s="587" t="s">
        <v>503</v>
      </c>
      <c r="AK85" s="588"/>
      <c r="AL85" s="588"/>
      <c r="AM85" s="589"/>
      <c r="AN85" s="590"/>
      <c r="AO85" s="587" t="s">
        <v>503</v>
      </c>
      <c r="AP85" s="588"/>
      <c r="AQ85" s="588"/>
      <c r="AR85" s="589"/>
      <c r="AS85" s="590"/>
      <c r="AT85" s="587" t="s">
        <v>503</v>
      </c>
      <c r="AU85" s="588"/>
      <c r="AV85" s="588"/>
      <c r="AW85" s="589"/>
      <c r="AX85" s="590"/>
    </row>
    <row r="86" spans="2:50">
      <c r="B86" s="590"/>
      <c r="C86" s="590"/>
      <c r="D86" s="590"/>
      <c r="E86" s="311" t="s">
        <v>504</v>
      </c>
      <c r="F86" s="311" t="s">
        <v>505</v>
      </c>
      <c r="G86" s="311" t="s">
        <v>506</v>
      </c>
      <c r="H86" s="608"/>
      <c r="I86" s="313" t="s">
        <v>504</v>
      </c>
      <c r="J86" s="313" t="s">
        <v>505</v>
      </c>
      <c r="K86" s="313" t="s">
        <v>506</v>
      </c>
      <c r="L86" s="577"/>
      <c r="M86" s="583"/>
      <c r="N86" s="590"/>
      <c r="O86" s="590"/>
      <c r="P86" s="311" t="s">
        <v>504</v>
      </c>
      <c r="Q86" s="311" t="s">
        <v>505</v>
      </c>
      <c r="R86" s="311" t="s">
        <v>506</v>
      </c>
      <c r="S86" s="311" t="s">
        <v>499</v>
      </c>
      <c r="T86" s="590"/>
      <c r="U86" s="311" t="s">
        <v>504</v>
      </c>
      <c r="V86" s="311" t="s">
        <v>505</v>
      </c>
      <c r="W86" s="311" t="s">
        <v>506</v>
      </c>
      <c r="X86" s="311" t="s">
        <v>499</v>
      </c>
      <c r="Y86" s="590"/>
      <c r="Z86" s="311" t="s">
        <v>504</v>
      </c>
      <c r="AA86" s="311" t="s">
        <v>505</v>
      </c>
      <c r="AB86" s="311" t="s">
        <v>506</v>
      </c>
      <c r="AC86" s="311" t="s">
        <v>499</v>
      </c>
      <c r="AD86" s="590"/>
      <c r="AE86" s="311" t="s">
        <v>504</v>
      </c>
      <c r="AF86" s="311" t="s">
        <v>505</v>
      </c>
      <c r="AG86" s="311" t="s">
        <v>506</v>
      </c>
      <c r="AH86" s="311" t="s">
        <v>499</v>
      </c>
      <c r="AI86" s="590"/>
      <c r="AJ86" s="311" t="s">
        <v>504</v>
      </c>
      <c r="AK86" s="311" t="s">
        <v>505</v>
      </c>
      <c r="AL86" s="311" t="s">
        <v>506</v>
      </c>
      <c r="AM86" s="311" t="s">
        <v>499</v>
      </c>
      <c r="AN86" s="590"/>
      <c r="AO86" s="311" t="s">
        <v>504</v>
      </c>
      <c r="AP86" s="311" t="s">
        <v>505</v>
      </c>
      <c r="AQ86" s="311" t="s">
        <v>506</v>
      </c>
      <c r="AR86" s="311" t="s">
        <v>499</v>
      </c>
      <c r="AS86" s="590"/>
      <c r="AT86" s="311" t="s">
        <v>504</v>
      </c>
      <c r="AU86" s="311" t="s">
        <v>505</v>
      </c>
      <c r="AV86" s="311" t="s">
        <v>506</v>
      </c>
      <c r="AW86" s="311" t="s">
        <v>499</v>
      </c>
      <c r="AX86" s="590"/>
    </row>
    <row r="87" spans="2:50">
      <c r="B87" s="590" t="s">
        <v>508</v>
      </c>
      <c r="C87" s="310">
        <v>1</v>
      </c>
      <c r="D87" s="231" t="s">
        <v>413</v>
      </c>
      <c r="E87" s="187">
        <v>7</v>
      </c>
      <c r="F87" s="310">
        <v>1500</v>
      </c>
      <c r="G87" s="312">
        <v>214.28571428571428</v>
      </c>
      <c r="H87" s="632">
        <f>AVERAGE(G87:G101)</f>
        <v>123.60609243697479</v>
      </c>
      <c r="I87" s="204">
        <f>AVERAGE(P87,U87,Z87,AE87,AJ87,AO87,AT87)</f>
        <v>6.7142857142857144</v>
      </c>
      <c r="J87" s="204">
        <f>AVERAGE(Q87,V87,AA87,AF87,AK87,AP87,AU87)</f>
        <v>1304.533521132186</v>
      </c>
      <c r="K87" s="205">
        <f>AVERAGE(R87,W87,AB87,AG87,AL87,AQ87,AV87)</f>
        <v>195.21249848373631</v>
      </c>
      <c r="L87" s="571">
        <f>IFERROR(AVERAGE(K87:K101),"-")</f>
        <v>112.15854201149821</v>
      </c>
      <c r="M87" s="206">
        <f>RANK(K87, K$87:$K$101)</f>
        <v>1</v>
      </c>
      <c r="N87" s="590"/>
      <c r="O87" s="590"/>
      <c r="P87" s="187">
        <v>7</v>
      </c>
      <c r="Q87" s="187">
        <v>1293.9393939393938</v>
      </c>
      <c r="R87" s="379">
        <v>184.84848484848482</v>
      </c>
      <c r="S87" s="310">
        <f>RANK(R87, R$87:R$101)</f>
        <v>1</v>
      </c>
      <c r="T87" s="599">
        <f>AVERAGE(R87:R101)</f>
        <v>108.36019250048935</v>
      </c>
      <c r="U87" s="187">
        <v>7</v>
      </c>
      <c r="V87" s="187">
        <v>1306.4516129032254</v>
      </c>
      <c r="W87" s="379">
        <v>186.63594470046078</v>
      </c>
      <c r="X87" s="310">
        <f>RANK(W87, W$87:W$101)</f>
        <v>1</v>
      </c>
      <c r="Y87" s="599">
        <f>AVERAGE(W87:W101)</f>
        <v>108.32263170390071</v>
      </c>
      <c r="Z87" s="187">
        <v>7</v>
      </c>
      <c r="AA87" s="187">
        <v>1315.4838709677415</v>
      </c>
      <c r="AB87" s="379">
        <v>187.92626728110594</v>
      </c>
      <c r="AC87" s="310">
        <f>RANK(AB87, AB$87:AB$101)</f>
        <v>1</v>
      </c>
      <c r="AD87" s="599">
        <f>AVERAGE(AB87:AB101)</f>
        <v>108.0090499811169</v>
      </c>
      <c r="AE87" s="187">
        <v>6</v>
      </c>
      <c r="AF87" s="187">
        <v>1291.6666666666661</v>
      </c>
      <c r="AG87" s="379">
        <v>215.27777777777769</v>
      </c>
      <c r="AH87" s="310">
        <f>RANK(AG87, AG$87:AG$101)</f>
        <v>1</v>
      </c>
      <c r="AI87" s="599">
        <f>AVERAGE(AG87:AG101)</f>
        <v>120.13283935849771</v>
      </c>
      <c r="AJ87" s="187">
        <v>6</v>
      </c>
      <c r="AK87" s="187">
        <v>1310.3999999999999</v>
      </c>
      <c r="AL87" s="379">
        <v>218.39999999999998</v>
      </c>
      <c r="AM87" s="310">
        <f>RANK(AL87, AL$87:AL$101)</f>
        <v>1</v>
      </c>
      <c r="AN87" s="599">
        <f>AVERAGE(AL87:AL101)</f>
        <v>120.3924222019195</v>
      </c>
      <c r="AO87" s="187">
        <v>7</v>
      </c>
      <c r="AP87" s="187">
        <v>1299.3103448275861</v>
      </c>
      <c r="AQ87" s="379">
        <v>185.61576354679801</v>
      </c>
      <c r="AR87" s="310">
        <f>RANK(AQ87, AQ$87:AQ$101)</f>
        <v>2</v>
      </c>
      <c r="AS87" s="599">
        <f>AVERAGE(AQ87:AQ101)</f>
        <v>109.8602598633946</v>
      </c>
      <c r="AT87" s="187">
        <v>7</v>
      </c>
      <c r="AU87" s="187">
        <v>1314.4827586206893</v>
      </c>
      <c r="AV87" s="379">
        <v>187.78325123152703</v>
      </c>
      <c r="AW87" s="310">
        <f>RANK(AV87, AV$87:AV$101)</f>
        <v>1</v>
      </c>
      <c r="AX87" s="599">
        <f>AVERAGE(AV87:AV101)</f>
        <v>110.03239847116873</v>
      </c>
    </row>
    <row r="88" spans="2:50">
      <c r="B88" s="598"/>
      <c r="C88" s="310">
        <v>2</v>
      </c>
      <c r="D88" s="231" t="s">
        <v>414</v>
      </c>
      <c r="E88" s="187">
        <v>7</v>
      </c>
      <c r="F88" s="310">
        <v>1500</v>
      </c>
      <c r="G88" s="312">
        <v>214.28571428571428</v>
      </c>
      <c r="H88" s="633"/>
      <c r="I88" s="204">
        <f t="shared" ref="I88:K92" si="41">AVERAGE(P88,U88,Z88,AE88,AJ88,AO88,AT88)</f>
        <v>6.7142857142857144</v>
      </c>
      <c r="J88" s="204">
        <f t="shared" si="41"/>
        <v>1282.6748258186344</v>
      </c>
      <c r="K88" s="205">
        <f t="shared" si="41"/>
        <v>191.91664701451398</v>
      </c>
      <c r="L88" s="572"/>
      <c r="M88" s="206">
        <f>RANK(K88, K$87:$K$101)</f>
        <v>2</v>
      </c>
      <c r="N88" s="590"/>
      <c r="O88" s="590"/>
      <c r="P88" s="378">
        <v>7</v>
      </c>
      <c r="Q88" s="187">
        <v>1279.2307692307693</v>
      </c>
      <c r="R88" s="379">
        <v>182.74725274725276</v>
      </c>
      <c r="S88" s="310">
        <f t="shared" ref="S88:S101" si="42">RANK(R88, R$87:R$101)</f>
        <v>2</v>
      </c>
      <c r="T88" s="600"/>
      <c r="U88" s="378">
        <v>7</v>
      </c>
      <c r="V88" s="187">
        <v>1286.0869565217392</v>
      </c>
      <c r="W88" s="379">
        <v>183.72670807453417</v>
      </c>
      <c r="X88" s="310">
        <f t="shared" ref="X88:X101" si="43">RANK(W88, W$87:W$101)</f>
        <v>2</v>
      </c>
      <c r="Y88" s="600"/>
      <c r="Z88" s="378">
        <v>7</v>
      </c>
      <c r="AA88" s="187">
        <v>1284.4585987261146</v>
      </c>
      <c r="AB88" s="379">
        <v>183.49408553230208</v>
      </c>
      <c r="AC88" s="310">
        <f t="shared" ref="AC88:AC101" si="44">RANK(AB88, AB$87:AB$101)</f>
        <v>2</v>
      </c>
      <c r="AD88" s="600"/>
      <c r="AE88" s="378">
        <v>6</v>
      </c>
      <c r="AF88" s="187">
        <v>1267.4418604651162</v>
      </c>
      <c r="AG88" s="379">
        <v>211.24031007751935</v>
      </c>
      <c r="AH88" s="310">
        <f t="shared" ref="AH88:AH101" si="45">RANK(AG88, AG$87:AG$101)</f>
        <v>3</v>
      </c>
      <c r="AI88" s="600"/>
      <c r="AJ88" s="378">
        <v>6</v>
      </c>
      <c r="AK88" s="187">
        <v>1283.7096774193544</v>
      </c>
      <c r="AL88" s="379">
        <v>213.95161290322574</v>
      </c>
      <c r="AM88" s="310">
        <f t="shared" ref="AM88:AM101" si="46">RANK(AL88, AL$87:AL$101)</f>
        <v>2</v>
      </c>
      <c r="AN88" s="600"/>
      <c r="AO88" s="378">
        <v>7</v>
      </c>
      <c r="AP88" s="187">
        <v>1269.7959183673465</v>
      </c>
      <c r="AQ88" s="379">
        <v>181.39941690962092</v>
      </c>
      <c r="AR88" s="310">
        <f t="shared" ref="AR88:AR101" si="47">RANK(AQ88, AQ$87:AQ$101)</f>
        <v>3</v>
      </c>
      <c r="AS88" s="600"/>
      <c r="AT88" s="378">
        <v>7</v>
      </c>
      <c r="AU88" s="187">
        <v>1308</v>
      </c>
      <c r="AV88" s="379">
        <v>186.85714285714286</v>
      </c>
      <c r="AW88" s="310">
        <f t="shared" ref="AW88:AW101" si="48">RANK(AV88, AV$87:AV$101)</f>
        <v>2</v>
      </c>
      <c r="AX88" s="600"/>
    </row>
    <row r="89" spans="2:50">
      <c r="B89" s="598"/>
      <c r="C89" s="310">
        <v>3</v>
      </c>
      <c r="D89" s="231" t="s">
        <v>353</v>
      </c>
      <c r="E89" s="187">
        <v>20</v>
      </c>
      <c r="F89" s="310">
        <v>1500</v>
      </c>
      <c r="G89" s="312">
        <v>75</v>
      </c>
      <c r="H89" s="633"/>
      <c r="I89" s="204">
        <f t="shared" si="41"/>
        <v>18</v>
      </c>
      <c r="J89" s="204">
        <f t="shared" si="41"/>
        <v>1282.6456414793322</v>
      </c>
      <c r="K89" s="205">
        <f t="shared" si="41"/>
        <v>71.258091193296224</v>
      </c>
      <c r="L89" s="572"/>
      <c r="M89" s="206">
        <f>RANK(K89, K$87:$K$101)</f>
        <v>5</v>
      </c>
      <c r="N89" s="590"/>
      <c r="O89" s="590"/>
      <c r="P89" s="378">
        <v>18</v>
      </c>
      <c r="Q89" s="187">
        <v>1296.8181818181818</v>
      </c>
      <c r="R89" s="379">
        <v>72.045454545454547</v>
      </c>
      <c r="S89" s="310">
        <f t="shared" si="42"/>
        <v>5</v>
      </c>
      <c r="T89" s="600"/>
      <c r="U89" s="378">
        <v>18</v>
      </c>
      <c r="V89" s="187">
        <v>1270.7462686567164</v>
      </c>
      <c r="W89" s="379">
        <v>70.597014925373131</v>
      </c>
      <c r="X89" s="310">
        <f t="shared" si="43"/>
        <v>5</v>
      </c>
      <c r="Y89" s="600"/>
      <c r="Z89" s="378">
        <v>18</v>
      </c>
      <c r="AA89" s="187">
        <v>1263.9919354838714</v>
      </c>
      <c r="AB89" s="379">
        <v>70.221774193548413</v>
      </c>
      <c r="AC89" s="310">
        <f t="shared" si="44"/>
        <v>5</v>
      </c>
      <c r="AD89" s="600"/>
      <c r="AE89" s="378">
        <v>18</v>
      </c>
      <c r="AF89" s="187">
        <v>1291.5957446808513</v>
      </c>
      <c r="AG89" s="379">
        <v>71.755319148936181</v>
      </c>
      <c r="AH89" s="310">
        <f t="shared" si="45"/>
        <v>5</v>
      </c>
      <c r="AI89" s="600"/>
      <c r="AJ89" s="378">
        <v>18</v>
      </c>
      <c r="AK89" s="187">
        <v>1293.4020618556704</v>
      </c>
      <c r="AL89" s="379">
        <v>71.855670103092791</v>
      </c>
      <c r="AM89" s="310">
        <f t="shared" si="46"/>
        <v>5</v>
      </c>
      <c r="AN89" s="600"/>
      <c r="AO89" s="378">
        <v>18</v>
      </c>
      <c r="AP89" s="187">
        <v>1290.4615384615381</v>
      </c>
      <c r="AQ89" s="379">
        <v>71.692307692307679</v>
      </c>
      <c r="AR89" s="310">
        <f t="shared" si="47"/>
        <v>6</v>
      </c>
      <c r="AS89" s="600"/>
      <c r="AT89" s="378">
        <v>18</v>
      </c>
      <c r="AU89" s="187">
        <v>1271.5037593984962</v>
      </c>
      <c r="AV89" s="379">
        <v>70.639097744360896</v>
      </c>
      <c r="AW89" s="310">
        <f t="shared" si="48"/>
        <v>6</v>
      </c>
      <c r="AX89" s="600"/>
    </row>
    <row r="90" spans="2:50">
      <c r="B90" s="598"/>
      <c r="C90" s="310">
        <v>4</v>
      </c>
      <c r="D90" s="231" t="s">
        <v>415</v>
      </c>
      <c r="E90" s="187">
        <v>17</v>
      </c>
      <c r="F90" s="310">
        <v>1440</v>
      </c>
      <c r="G90" s="312">
        <v>84.705882352941174</v>
      </c>
      <c r="H90" s="633"/>
      <c r="I90" s="204">
        <f t="shared" si="41"/>
        <v>17.571428571428573</v>
      </c>
      <c r="J90" s="204">
        <f t="shared" si="41"/>
        <v>1284.5080473382188</v>
      </c>
      <c r="K90" s="205">
        <f t="shared" si="41"/>
        <v>73.163368117297509</v>
      </c>
      <c r="L90" s="572"/>
      <c r="M90" s="206">
        <f>RANK(K90, K$87:$K$101)</f>
        <v>4</v>
      </c>
      <c r="N90" s="590"/>
      <c r="O90" s="590"/>
      <c r="P90" s="378">
        <v>17</v>
      </c>
      <c r="Q90" s="187">
        <v>1289.3333333333333</v>
      </c>
      <c r="R90" s="379">
        <v>75.843137254901961</v>
      </c>
      <c r="S90" s="310">
        <f t="shared" si="42"/>
        <v>4</v>
      </c>
      <c r="T90" s="600"/>
      <c r="U90" s="378">
        <v>18</v>
      </c>
      <c r="V90" s="187">
        <v>1290.6666666666667</v>
      </c>
      <c r="W90" s="379">
        <v>71.703703703703709</v>
      </c>
      <c r="X90" s="310">
        <f t="shared" si="43"/>
        <v>4</v>
      </c>
      <c r="Y90" s="600"/>
      <c r="Z90" s="378">
        <v>18</v>
      </c>
      <c r="AA90" s="187">
        <v>1271.1627906976742</v>
      </c>
      <c r="AB90" s="379">
        <v>70.620155038759677</v>
      </c>
      <c r="AC90" s="310">
        <f t="shared" si="44"/>
        <v>4</v>
      </c>
      <c r="AD90" s="600"/>
      <c r="AE90" s="378">
        <v>17</v>
      </c>
      <c r="AF90" s="187">
        <v>1269.0909090909104</v>
      </c>
      <c r="AG90" s="379">
        <v>74.652406417112374</v>
      </c>
      <c r="AH90" s="310">
        <f t="shared" si="45"/>
        <v>4</v>
      </c>
      <c r="AI90" s="600"/>
      <c r="AJ90" s="378">
        <v>18</v>
      </c>
      <c r="AK90" s="187">
        <v>1293.7500000000016</v>
      </c>
      <c r="AL90" s="379">
        <v>71.875000000000085</v>
      </c>
      <c r="AM90" s="310">
        <f t="shared" si="46"/>
        <v>4</v>
      </c>
      <c r="AN90" s="600"/>
      <c r="AO90" s="378">
        <v>17</v>
      </c>
      <c r="AP90" s="187">
        <v>1301.0526315789464</v>
      </c>
      <c r="AQ90" s="379">
        <v>76.532507739938026</v>
      </c>
      <c r="AR90" s="310">
        <f t="shared" si="47"/>
        <v>4</v>
      </c>
      <c r="AS90" s="600"/>
      <c r="AT90" s="378">
        <v>18</v>
      </c>
      <c r="AU90" s="187">
        <v>1276.4999999999995</v>
      </c>
      <c r="AV90" s="379">
        <v>70.916666666666643</v>
      </c>
      <c r="AW90" s="310">
        <f t="shared" si="48"/>
        <v>5</v>
      </c>
      <c r="AX90" s="600"/>
    </row>
    <row r="91" spans="2:50">
      <c r="B91" s="598"/>
      <c r="C91" s="310">
        <v>5</v>
      </c>
      <c r="D91" s="231" t="s">
        <v>473</v>
      </c>
      <c r="E91" s="187">
        <v>7</v>
      </c>
      <c r="F91" s="310">
        <v>1500</v>
      </c>
      <c r="G91" s="312">
        <v>214.28571428571428</v>
      </c>
      <c r="H91" s="633"/>
      <c r="I91" s="204">
        <f t="shared" si="41"/>
        <v>6.7142857142857144</v>
      </c>
      <c r="J91" s="204">
        <f t="shared" si="41"/>
        <v>1281.7873853558849</v>
      </c>
      <c r="K91" s="205">
        <f t="shared" si="41"/>
        <v>191.85800079247491</v>
      </c>
      <c r="L91" s="572"/>
      <c r="M91" s="206">
        <f>RANK(K91, K$87:$K$101)</f>
        <v>3</v>
      </c>
      <c r="N91" s="590"/>
      <c r="O91" s="590"/>
      <c r="P91" s="378">
        <v>7</v>
      </c>
      <c r="Q91" s="187">
        <v>1260.7500000000002</v>
      </c>
      <c r="R91" s="379">
        <v>180.10714285714289</v>
      </c>
      <c r="S91" s="310">
        <f t="shared" si="42"/>
        <v>3</v>
      </c>
      <c r="T91" s="600"/>
      <c r="U91" s="378">
        <v>7</v>
      </c>
      <c r="V91" s="187">
        <v>1270.6329113924053</v>
      </c>
      <c r="W91" s="379">
        <v>181.51898734177217</v>
      </c>
      <c r="X91" s="310">
        <f t="shared" si="43"/>
        <v>3</v>
      </c>
      <c r="Y91" s="600"/>
      <c r="Z91" s="378">
        <v>7</v>
      </c>
      <c r="AA91" s="187">
        <v>1256</v>
      </c>
      <c r="AB91" s="379">
        <v>179.42857142857142</v>
      </c>
      <c r="AC91" s="310">
        <f t="shared" si="44"/>
        <v>3</v>
      </c>
      <c r="AD91" s="600"/>
      <c r="AE91" s="378">
        <v>6</v>
      </c>
      <c r="AF91" s="187">
        <v>1287.610619469026</v>
      </c>
      <c r="AG91" s="379">
        <v>214.60176991150433</v>
      </c>
      <c r="AH91" s="310">
        <f t="shared" si="45"/>
        <v>2</v>
      </c>
      <c r="AI91" s="600"/>
      <c r="AJ91" s="378">
        <v>6</v>
      </c>
      <c r="AK91" s="187">
        <v>1283.5714285714282</v>
      </c>
      <c r="AL91" s="379">
        <v>213.92857142857136</v>
      </c>
      <c r="AM91" s="310">
        <f t="shared" si="46"/>
        <v>3</v>
      </c>
      <c r="AN91" s="600"/>
      <c r="AO91" s="378">
        <v>7</v>
      </c>
      <c r="AP91" s="187">
        <v>1316.5957446808513</v>
      </c>
      <c r="AQ91" s="379">
        <v>188.08510638297875</v>
      </c>
      <c r="AR91" s="310">
        <f t="shared" si="47"/>
        <v>1</v>
      </c>
      <c r="AS91" s="600"/>
      <c r="AT91" s="378">
        <v>7</v>
      </c>
      <c r="AU91" s="187">
        <v>1297.3509933774833</v>
      </c>
      <c r="AV91" s="379">
        <v>185.33585619678334</v>
      </c>
      <c r="AW91" s="310">
        <f t="shared" si="48"/>
        <v>3</v>
      </c>
      <c r="AX91" s="600"/>
    </row>
    <row r="92" spans="2:50">
      <c r="B92" s="598"/>
      <c r="C92" s="310">
        <v>6</v>
      </c>
      <c r="D92" s="231" t="s">
        <v>667</v>
      </c>
      <c r="E92" s="187">
        <v>20</v>
      </c>
      <c r="F92" s="310">
        <v>1440</v>
      </c>
      <c r="G92" s="312">
        <v>72</v>
      </c>
      <c r="H92" s="633"/>
      <c r="I92" s="204">
        <f t="shared" si="41"/>
        <v>18</v>
      </c>
      <c r="J92" s="204">
        <f t="shared" si="41"/>
        <v>1258.7014383138689</v>
      </c>
      <c r="K92" s="205">
        <f t="shared" si="41"/>
        <v>69.927857684103827</v>
      </c>
      <c r="L92" s="572"/>
      <c r="M92" s="206">
        <f>RANK(K92, K$87:$K$101)</f>
        <v>6</v>
      </c>
      <c r="N92" s="590"/>
      <c r="O92" s="590"/>
      <c r="P92" s="378">
        <v>18</v>
      </c>
      <c r="Q92" s="187">
        <v>1207.3500000000042</v>
      </c>
      <c r="R92" s="379">
        <v>67.07500000000023</v>
      </c>
      <c r="S92" s="310">
        <f t="shared" si="42"/>
        <v>6</v>
      </c>
      <c r="T92" s="600"/>
      <c r="U92" s="378">
        <v>18</v>
      </c>
      <c r="V92" s="187">
        <v>1254.2400000000046</v>
      </c>
      <c r="W92" s="379">
        <v>69.680000000000248</v>
      </c>
      <c r="X92" s="310">
        <f t="shared" si="43"/>
        <v>6</v>
      </c>
      <c r="Y92" s="600"/>
      <c r="Z92" s="378">
        <v>18</v>
      </c>
      <c r="AA92" s="187">
        <v>1230.7200000000046</v>
      </c>
      <c r="AB92" s="379">
        <v>68.373333333333591</v>
      </c>
      <c r="AC92" s="310">
        <f t="shared" si="44"/>
        <v>6</v>
      </c>
      <c r="AD92" s="600"/>
      <c r="AE92" s="378">
        <v>18</v>
      </c>
      <c r="AF92" s="187">
        <v>1246.7076923076968</v>
      </c>
      <c r="AG92" s="379">
        <v>69.261538461538706</v>
      </c>
      <c r="AH92" s="310">
        <f t="shared" si="45"/>
        <v>6</v>
      </c>
      <c r="AI92" s="600"/>
      <c r="AJ92" s="378">
        <v>18</v>
      </c>
      <c r="AK92" s="187">
        <v>1261.5929203539822</v>
      </c>
      <c r="AL92" s="379">
        <v>70.088495575221231</v>
      </c>
      <c r="AM92" s="310">
        <f t="shared" si="46"/>
        <v>6</v>
      </c>
      <c r="AN92" s="600"/>
      <c r="AO92" s="378">
        <v>18</v>
      </c>
      <c r="AP92" s="187">
        <v>1302.9310344827588</v>
      </c>
      <c r="AQ92" s="379">
        <v>72.385057471264375</v>
      </c>
      <c r="AR92" s="310">
        <f t="shared" si="47"/>
        <v>5</v>
      </c>
      <c r="AS92" s="600"/>
      <c r="AT92" s="378">
        <v>18</v>
      </c>
      <c r="AU92" s="187">
        <v>1307.3684210526317</v>
      </c>
      <c r="AV92" s="379">
        <v>72.631578947368425</v>
      </c>
      <c r="AW92" s="310">
        <f t="shared" si="48"/>
        <v>4</v>
      </c>
      <c r="AX92" s="600"/>
    </row>
    <row r="93" spans="2:50">
      <c r="B93" s="598"/>
      <c r="C93" s="310">
        <v>7</v>
      </c>
      <c r="D93" s="231" t="s">
        <v>687</v>
      </c>
      <c r="E93" s="187">
        <v>21</v>
      </c>
      <c r="F93" s="310">
        <v>1200</v>
      </c>
      <c r="G93" s="312">
        <v>57.142857142857146</v>
      </c>
      <c r="H93" s="633"/>
      <c r="I93" s="497">
        <f t="shared" ref="I93:I94" si="49">AVERAGE(P93,U93,Z93,AE93,AJ93,AO93,AT93)</f>
        <v>20.714285714285715</v>
      </c>
      <c r="J93" s="497">
        <f t="shared" ref="J93:J94" si="50">AVERAGE(Q93,V93,AA93,AF93,AK93,AP93,AU93)</f>
        <v>1082.0309734142479</v>
      </c>
      <c r="K93" s="205">
        <f t="shared" ref="K93:K94" si="51">AVERAGE(R93,W93,AB93,AG93,AL93,AQ93,AV93)</f>
        <v>52.258988839144777</v>
      </c>
      <c r="L93" s="572"/>
      <c r="M93" s="206">
        <f>RANK(K93, K$87:$K$101)</f>
        <v>7</v>
      </c>
      <c r="N93" s="590"/>
      <c r="O93" s="590"/>
      <c r="P93" s="378">
        <v>21</v>
      </c>
      <c r="Q93" s="187">
        <v>1075.6097560975606</v>
      </c>
      <c r="R93" s="379">
        <v>51.219512195121936</v>
      </c>
      <c r="S93" s="310">
        <f t="shared" si="42"/>
        <v>8</v>
      </c>
      <c r="T93" s="600"/>
      <c r="U93" s="378">
        <v>21</v>
      </c>
      <c r="V93" s="187">
        <v>1072.5925925925922</v>
      </c>
      <c r="W93" s="379">
        <v>51.07583774250439</v>
      </c>
      <c r="X93" s="310">
        <f t="shared" si="43"/>
        <v>8</v>
      </c>
      <c r="Y93" s="600"/>
      <c r="Z93" s="378">
        <v>21</v>
      </c>
      <c r="AA93" s="187">
        <v>1090.2439024390239</v>
      </c>
      <c r="AB93" s="379">
        <v>51.916376306620187</v>
      </c>
      <c r="AC93" s="310">
        <f t="shared" si="44"/>
        <v>8</v>
      </c>
      <c r="AD93" s="600"/>
      <c r="AE93" s="378">
        <v>20</v>
      </c>
      <c r="AF93" s="187">
        <v>1069.0909090909086</v>
      </c>
      <c r="AG93" s="379">
        <v>53.454545454545425</v>
      </c>
      <c r="AH93" s="310">
        <f t="shared" si="45"/>
        <v>7</v>
      </c>
      <c r="AI93" s="600"/>
      <c r="AJ93" s="378">
        <v>21</v>
      </c>
      <c r="AK93" s="187">
        <v>1091.6666666666656</v>
      </c>
      <c r="AL93" s="379">
        <v>51.984126984126931</v>
      </c>
      <c r="AM93" s="310">
        <f t="shared" si="46"/>
        <v>7</v>
      </c>
      <c r="AN93" s="600"/>
      <c r="AO93" s="378">
        <v>21</v>
      </c>
      <c r="AP93" s="187">
        <v>1087.0129870129863</v>
      </c>
      <c r="AQ93" s="379">
        <v>51.762523191094587</v>
      </c>
      <c r="AR93" s="310">
        <f t="shared" si="47"/>
        <v>7</v>
      </c>
      <c r="AS93" s="600"/>
      <c r="AT93" s="378">
        <v>20</v>
      </c>
      <c r="AU93" s="187">
        <v>1087.9999999999991</v>
      </c>
      <c r="AV93" s="379">
        <v>54.399999999999956</v>
      </c>
      <c r="AW93" s="310">
        <f t="shared" si="48"/>
        <v>7</v>
      </c>
      <c r="AX93" s="600"/>
    </row>
    <row r="94" spans="2:50">
      <c r="B94" s="598"/>
      <c r="C94" s="310">
        <v>8</v>
      </c>
      <c r="D94" s="231" t="s">
        <v>822</v>
      </c>
      <c r="E94" s="187">
        <v>21</v>
      </c>
      <c r="F94" s="310">
        <v>1200</v>
      </c>
      <c r="G94" s="312">
        <v>57.142857142857146</v>
      </c>
      <c r="H94" s="633"/>
      <c r="I94" s="497">
        <f t="shared" si="49"/>
        <v>21</v>
      </c>
      <c r="J94" s="497">
        <f t="shared" si="50"/>
        <v>1085.1305633157815</v>
      </c>
      <c r="K94" s="205">
        <f t="shared" si="51"/>
        <v>51.67288396741818</v>
      </c>
      <c r="L94" s="572"/>
      <c r="M94" s="206">
        <f>RANK(K94, K$87:$K$101)</f>
        <v>8</v>
      </c>
      <c r="N94" s="590"/>
      <c r="O94" s="590"/>
      <c r="P94" s="378">
        <v>21</v>
      </c>
      <c r="Q94" s="187">
        <v>1112.9066666666668</v>
      </c>
      <c r="R94" s="379">
        <v>52.995555555555562</v>
      </c>
      <c r="S94" s="310">
        <f t="shared" si="42"/>
        <v>7</v>
      </c>
      <c r="T94" s="600"/>
      <c r="U94" s="378">
        <v>21</v>
      </c>
      <c r="V94" s="187">
        <v>1084.4999999999995</v>
      </c>
      <c r="W94" s="379">
        <v>51.642857142857125</v>
      </c>
      <c r="X94" s="310">
        <f t="shared" si="43"/>
        <v>7</v>
      </c>
      <c r="Y94" s="600"/>
      <c r="Z94" s="378">
        <v>21</v>
      </c>
      <c r="AA94" s="187">
        <v>1093.9285714285722</v>
      </c>
      <c r="AB94" s="379">
        <v>52.091836734693914</v>
      </c>
      <c r="AC94" s="310">
        <f t="shared" si="44"/>
        <v>7</v>
      </c>
      <c r="AD94" s="600"/>
      <c r="AE94" s="378">
        <v>21</v>
      </c>
      <c r="AF94" s="187">
        <v>1067.1999999999994</v>
      </c>
      <c r="AG94" s="379">
        <v>50.819047619047588</v>
      </c>
      <c r="AH94" s="310">
        <f t="shared" si="45"/>
        <v>8</v>
      </c>
      <c r="AI94" s="600"/>
      <c r="AJ94" s="378">
        <v>21</v>
      </c>
      <c r="AK94" s="187">
        <v>1072.1739130434783</v>
      </c>
      <c r="AL94" s="379">
        <v>51.055900621118013</v>
      </c>
      <c r="AM94" s="310">
        <f t="shared" si="46"/>
        <v>8</v>
      </c>
      <c r="AN94" s="600"/>
      <c r="AO94" s="378">
        <v>21</v>
      </c>
      <c r="AP94" s="187">
        <v>1079.5973154362421</v>
      </c>
      <c r="AQ94" s="379">
        <v>51.409395973154382</v>
      </c>
      <c r="AR94" s="310">
        <f t="shared" si="47"/>
        <v>8</v>
      </c>
      <c r="AS94" s="600"/>
      <c r="AT94" s="378">
        <v>21</v>
      </c>
      <c r="AU94" s="187">
        <v>1085.6074766355146</v>
      </c>
      <c r="AV94" s="379">
        <v>51.695594125500691</v>
      </c>
      <c r="AW94" s="310">
        <f t="shared" si="48"/>
        <v>8</v>
      </c>
      <c r="AX94" s="600"/>
    </row>
    <row r="95" spans="2:50">
      <c r="B95" s="598"/>
      <c r="C95" s="310">
        <v>9</v>
      </c>
      <c r="D95" s="231"/>
      <c r="E95" s="187"/>
      <c r="F95" s="310"/>
      <c r="G95" s="312"/>
      <c r="H95" s="633"/>
      <c r="I95" s="204"/>
      <c r="J95" s="204"/>
      <c r="K95" s="205"/>
      <c r="L95" s="572"/>
      <c r="M95" s="206" t="e">
        <f>RANK(K95, K$87:$K$101)</f>
        <v>#N/A</v>
      </c>
      <c r="N95" s="590"/>
      <c r="O95" s="590"/>
      <c r="P95" s="378"/>
      <c r="Q95" s="187"/>
      <c r="R95" s="379"/>
      <c r="S95" s="310" t="e">
        <f t="shared" si="42"/>
        <v>#N/A</v>
      </c>
      <c r="T95" s="600"/>
      <c r="U95" s="378"/>
      <c r="V95" s="187"/>
      <c r="W95" s="379"/>
      <c r="X95" s="310" t="e">
        <f t="shared" si="43"/>
        <v>#N/A</v>
      </c>
      <c r="Y95" s="600"/>
      <c r="Z95" s="378"/>
      <c r="AA95" s="187"/>
      <c r="AB95" s="379"/>
      <c r="AC95" s="310" t="e">
        <f t="shared" si="44"/>
        <v>#N/A</v>
      </c>
      <c r="AD95" s="600"/>
      <c r="AE95" s="378"/>
      <c r="AF95" s="187"/>
      <c r="AG95" s="379"/>
      <c r="AH95" s="310" t="e">
        <f t="shared" si="45"/>
        <v>#N/A</v>
      </c>
      <c r="AI95" s="600"/>
      <c r="AJ95" s="378"/>
      <c r="AK95" s="187"/>
      <c r="AL95" s="379"/>
      <c r="AM95" s="310" t="e">
        <f t="shared" si="46"/>
        <v>#N/A</v>
      </c>
      <c r="AN95" s="600"/>
      <c r="AO95" s="378"/>
      <c r="AP95" s="187"/>
      <c r="AQ95" s="379"/>
      <c r="AR95" s="310" t="e">
        <f t="shared" si="47"/>
        <v>#N/A</v>
      </c>
      <c r="AS95" s="600"/>
      <c r="AT95" s="378"/>
      <c r="AU95" s="187"/>
      <c r="AV95" s="379"/>
      <c r="AW95" s="310" t="e">
        <f t="shared" si="48"/>
        <v>#N/A</v>
      </c>
      <c r="AX95" s="600"/>
    </row>
    <row r="96" spans="2:50">
      <c r="B96" s="598"/>
      <c r="C96" s="310">
        <v>10</v>
      </c>
      <c r="D96" s="231"/>
      <c r="E96" s="187"/>
      <c r="F96" s="310"/>
      <c r="G96" s="312"/>
      <c r="H96" s="633"/>
      <c r="I96" s="204"/>
      <c r="J96" s="204"/>
      <c r="K96" s="205"/>
      <c r="L96" s="572"/>
      <c r="M96" s="206" t="e">
        <f>RANK(K96, K$87:$K$101)</f>
        <v>#N/A</v>
      </c>
      <c r="N96" s="590"/>
      <c r="O96" s="590"/>
      <c r="P96" s="378"/>
      <c r="Q96" s="187"/>
      <c r="R96" s="379"/>
      <c r="S96" s="310" t="e">
        <f t="shared" si="42"/>
        <v>#N/A</v>
      </c>
      <c r="T96" s="600"/>
      <c r="U96" s="378"/>
      <c r="V96" s="187"/>
      <c r="W96" s="379"/>
      <c r="X96" s="310" t="e">
        <f t="shared" si="43"/>
        <v>#N/A</v>
      </c>
      <c r="Y96" s="600"/>
      <c r="Z96" s="378"/>
      <c r="AA96" s="187"/>
      <c r="AB96" s="379"/>
      <c r="AC96" s="310" t="e">
        <f t="shared" si="44"/>
        <v>#N/A</v>
      </c>
      <c r="AD96" s="600"/>
      <c r="AE96" s="378"/>
      <c r="AF96" s="187"/>
      <c r="AG96" s="379"/>
      <c r="AH96" s="310" t="e">
        <f t="shared" si="45"/>
        <v>#N/A</v>
      </c>
      <c r="AI96" s="600"/>
      <c r="AJ96" s="378"/>
      <c r="AK96" s="187"/>
      <c r="AL96" s="379"/>
      <c r="AM96" s="310" t="e">
        <f t="shared" si="46"/>
        <v>#N/A</v>
      </c>
      <c r="AN96" s="600"/>
      <c r="AO96" s="378"/>
      <c r="AP96" s="187"/>
      <c r="AQ96" s="379"/>
      <c r="AR96" s="310" t="e">
        <f t="shared" si="47"/>
        <v>#N/A</v>
      </c>
      <c r="AS96" s="600"/>
      <c r="AT96" s="378"/>
      <c r="AU96" s="187"/>
      <c r="AV96" s="379"/>
      <c r="AW96" s="310" t="e">
        <f t="shared" si="48"/>
        <v>#N/A</v>
      </c>
      <c r="AX96" s="600"/>
    </row>
    <row r="97" spans="2:50">
      <c r="B97" s="598"/>
      <c r="C97" s="310">
        <v>11</v>
      </c>
      <c r="D97" s="231"/>
      <c r="E97" s="187"/>
      <c r="F97" s="310"/>
      <c r="G97" s="312"/>
      <c r="H97" s="633"/>
      <c r="I97" s="204"/>
      <c r="J97" s="204"/>
      <c r="K97" s="205"/>
      <c r="L97" s="572"/>
      <c r="M97" s="206" t="e">
        <f>RANK(K97, K$87:$K$101)</f>
        <v>#N/A</v>
      </c>
      <c r="N97" s="590"/>
      <c r="O97" s="590"/>
      <c r="P97" s="378"/>
      <c r="Q97" s="187"/>
      <c r="R97" s="379"/>
      <c r="S97" s="310" t="e">
        <f t="shared" si="42"/>
        <v>#N/A</v>
      </c>
      <c r="T97" s="600"/>
      <c r="U97" s="378"/>
      <c r="V97" s="187"/>
      <c r="W97" s="379"/>
      <c r="X97" s="310" t="e">
        <f t="shared" si="43"/>
        <v>#N/A</v>
      </c>
      <c r="Y97" s="600"/>
      <c r="Z97" s="378"/>
      <c r="AA97" s="187"/>
      <c r="AB97" s="379"/>
      <c r="AC97" s="310" t="e">
        <f t="shared" si="44"/>
        <v>#N/A</v>
      </c>
      <c r="AD97" s="600"/>
      <c r="AE97" s="378"/>
      <c r="AF97" s="187"/>
      <c r="AG97" s="379"/>
      <c r="AH97" s="310" t="e">
        <f t="shared" si="45"/>
        <v>#N/A</v>
      </c>
      <c r="AI97" s="600"/>
      <c r="AJ97" s="378"/>
      <c r="AK97" s="187"/>
      <c r="AL97" s="379"/>
      <c r="AM97" s="310" t="e">
        <f t="shared" si="46"/>
        <v>#N/A</v>
      </c>
      <c r="AN97" s="600"/>
      <c r="AO97" s="378"/>
      <c r="AP97" s="187"/>
      <c r="AQ97" s="379"/>
      <c r="AR97" s="310" t="e">
        <f t="shared" si="47"/>
        <v>#N/A</v>
      </c>
      <c r="AS97" s="600"/>
      <c r="AT97" s="378"/>
      <c r="AU97" s="187"/>
      <c r="AV97" s="379"/>
      <c r="AW97" s="310" t="e">
        <f t="shared" si="48"/>
        <v>#N/A</v>
      </c>
      <c r="AX97" s="600"/>
    </row>
    <row r="98" spans="2:50">
      <c r="B98" s="598"/>
      <c r="C98" s="310">
        <v>12</v>
      </c>
      <c r="D98" s="231"/>
      <c r="E98" s="187"/>
      <c r="F98" s="310"/>
      <c r="G98" s="312"/>
      <c r="H98" s="633"/>
      <c r="I98" s="204"/>
      <c r="J98" s="204"/>
      <c r="K98" s="205"/>
      <c r="L98" s="572"/>
      <c r="M98" s="206" t="e">
        <f>RANK(K98, K$87:$K$101)</f>
        <v>#N/A</v>
      </c>
      <c r="N98" s="590"/>
      <c r="O98" s="590"/>
      <c r="P98" s="378"/>
      <c r="Q98" s="187"/>
      <c r="R98" s="379"/>
      <c r="S98" s="310" t="e">
        <f t="shared" si="42"/>
        <v>#N/A</v>
      </c>
      <c r="T98" s="600"/>
      <c r="U98" s="378"/>
      <c r="V98" s="187"/>
      <c r="W98" s="379"/>
      <c r="X98" s="310" t="e">
        <f t="shared" si="43"/>
        <v>#N/A</v>
      </c>
      <c r="Y98" s="600"/>
      <c r="Z98" s="378"/>
      <c r="AA98" s="187"/>
      <c r="AB98" s="379"/>
      <c r="AC98" s="310" t="e">
        <f t="shared" si="44"/>
        <v>#N/A</v>
      </c>
      <c r="AD98" s="600"/>
      <c r="AE98" s="378"/>
      <c r="AF98" s="187"/>
      <c r="AG98" s="379"/>
      <c r="AH98" s="310" t="e">
        <f t="shared" si="45"/>
        <v>#N/A</v>
      </c>
      <c r="AI98" s="600"/>
      <c r="AJ98" s="378"/>
      <c r="AK98" s="187"/>
      <c r="AL98" s="379"/>
      <c r="AM98" s="310" t="e">
        <f t="shared" si="46"/>
        <v>#N/A</v>
      </c>
      <c r="AN98" s="600"/>
      <c r="AO98" s="378"/>
      <c r="AP98" s="187"/>
      <c r="AQ98" s="379"/>
      <c r="AR98" s="310" t="e">
        <f t="shared" si="47"/>
        <v>#N/A</v>
      </c>
      <c r="AS98" s="600"/>
      <c r="AT98" s="378"/>
      <c r="AU98" s="187"/>
      <c r="AV98" s="379"/>
      <c r="AW98" s="310" t="e">
        <f t="shared" si="48"/>
        <v>#N/A</v>
      </c>
      <c r="AX98" s="600"/>
    </row>
    <row r="99" spans="2:50">
      <c r="B99" s="598"/>
      <c r="C99" s="310">
        <v>13</v>
      </c>
      <c r="D99" s="231"/>
      <c r="E99" s="187"/>
      <c r="F99" s="310"/>
      <c r="G99" s="312"/>
      <c r="H99" s="633"/>
      <c r="I99" s="204"/>
      <c r="J99" s="204"/>
      <c r="K99" s="205"/>
      <c r="L99" s="572"/>
      <c r="M99" s="206" t="e">
        <f>RANK(K99, K$87:$K$101)</f>
        <v>#N/A</v>
      </c>
      <c r="N99" s="590"/>
      <c r="O99" s="590"/>
      <c r="P99" s="378"/>
      <c r="Q99" s="187"/>
      <c r="R99" s="379"/>
      <c r="S99" s="310" t="e">
        <f t="shared" si="42"/>
        <v>#N/A</v>
      </c>
      <c r="T99" s="600"/>
      <c r="U99" s="378"/>
      <c r="V99" s="187"/>
      <c r="W99" s="379"/>
      <c r="X99" s="310" t="e">
        <f t="shared" si="43"/>
        <v>#N/A</v>
      </c>
      <c r="Y99" s="600"/>
      <c r="Z99" s="378"/>
      <c r="AA99" s="187"/>
      <c r="AB99" s="379"/>
      <c r="AC99" s="310" t="e">
        <f t="shared" si="44"/>
        <v>#N/A</v>
      </c>
      <c r="AD99" s="600"/>
      <c r="AE99" s="378"/>
      <c r="AF99" s="187"/>
      <c r="AG99" s="379"/>
      <c r="AH99" s="310" t="e">
        <f t="shared" si="45"/>
        <v>#N/A</v>
      </c>
      <c r="AI99" s="600"/>
      <c r="AJ99" s="378"/>
      <c r="AK99" s="187"/>
      <c r="AL99" s="379"/>
      <c r="AM99" s="310" t="e">
        <f t="shared" si="46"/>
        <v>#N/A</v>
      </c>
      <c r="AN99" s="600"/>
      <c r="AO99" s="378"/>
      <c r="AP99" s="187"/>
      <c r="AQ99" s="379"/>
      <c r="AR99" s="310" t="e">
        <f t="shared" si="47"/>
        <v>#N/A</v>
      </c>
      <c r="AS99" s="600"/>
      <c r="AT99" s="378"/>
      <c r="AU99" s="187"/>
      <c r="AV99" s="379"/>
      <c r="AW99" s="310" t="e">
        <f t="shared" si="48"/>
        <v>#N/A</v>
      </c>
      <c r="AX99" s="600"/>
    </row>
    <row r="100" spans="2:50">
      <c r="B100" s="598"/>
      <c r="C100" s="310">
        <v>14</v>
      </c>
      <c r="D100" s="231"/>
      <c r="E100" s="187"/>
      <c r="F100" s="310"/>
      <c r="G100" s="312"/>
      <c r="H100" s="633"/>
      <c r="I100" s="204"/>
      <c r="J100" s="204"/>
      <c r="K100" s="205"/>
      <c r="L100" s="572"/>
      <c r="M100" s="206" t="e">
        <f>RANK(K100, K$87:$K$101)</f>
        <v>#N/A</v>
      </c>
      <c r="N100" s="590"/>
      <c r="O100" s="590"/>
      <c r="P100" s="378"/>
      <c r="Q100" s="187"/>
      <c r="R100" s="379"/>
      <c r="S100" s="310" t="e">
        <f t="shared" si="42"/>
        <v>#N/A</v>
      </c>
      <c r="T100" s="600"/>
      <c r="U100" s="378"/>
      <c r="V100" s="187"/>
      <c r="W100" s="379"/>
      <c r="X100" s="310" t="e">
        <f t="shared" si="43"/>
        <v>#N/A</v>
      </c>
      <c r="Y100" s="600"/>
      <c r="Z100" s="378"/>
      <c r="AA100" s="187"/>
      <c r="AB100" s="379"/>
      <c r="AC100" s="310" t="e">
        <f t="shared" si="44"/>
        <v>#N/A</v>
      </c>
      <c r="AD100" s="600"/>
      <c r="AE100" s="378"/>
      <c r="AF100" s="187"/>
      <c r="AG100" s="379"/>
      <c r="AH100" s="310" t="e">
        <f t="shared" si="45"/>
        <v>#N/A</v>
      </c>
      <c r="AI100" s="600"/>
      <c r="AJ100" s="378"/>
      <c r="AK100" s="187"/>
      <c r="AL100" s="379"/>
      <c r="AM100" s="310" t="e">
        <f t="shared" si="46"/>
        <v>#N/A</v>
      </c>
      <c r="AN100" s="600"/>
      <c r="AO100" s="378"/>
      <c r="AP100" s="187"/>
      <c r="AQ100" s="379"/>
      <c r="AR100" s="310" t="e">
        <f t="shared" si="47"/>
        <v>#N/A</v>
      </c>
      <c r="AS100" s="600"/>
      <c r="AT100" s="378"/>
      <c r="AU100" s="187"/>
      <c r="AV100" s="379"/>
      <c r="AW100" s="310" t="e">
        <f t="shared" si="48"/>
        <v>#N/A</v>
      </c>
      <c r="AX100" s="600"/>
    </row>
    <row r="101" spans="2:50">
      <c r="B101" s="598"/>
      <c r="C101" s="310">
        <v>15</v>
      </c>
      <c r="D101" s="231"/>
      <c r="E101" s="187"/>
      <c r="F101" s="310"/>
      <c r="G101" s="312"/>
      <c r="H101" s="634"/>
      <c r="I101" s="204"/>
      <c r="J101" s="204"/>
      <c r="K101" s="205"/>
      <c r="L101" s="573"/>
      <c r="M101" s="204" t="e">
        <f>RANK(K101, K$87:$K$101)</f>
        <v>#N/A</v>
      </c>
      <c r="N101" s="590"/>
      <c r="O101" s="590"/>
      <c r="P101" s="378"/>
      <c r="Q101" s="187"/>
      <c r="R101" s="379"/>
      <c r="S101" s="310" t="e">
        <f t="shared" si="42"/>
        <v>#N/A</v>
      </c>
      <c r="T101" s="601"/>
      <c r="U101" s="378"/>
      <c r="V101" s="187"/>
      <c r="W101" s="379"/>
      <c r="X101" s="310" t="e">
        <f t="shared" si="43"/>
        <v>#N/A</v>
      </c>
      <c r="Y101" s="601"/>
      <c r="Z101" s="378"/>
      <c r="AA101" s="187"/>
      <c r="AB101" s="379"/>
      <c r="AC101" s="310" t="e">
        <f t="shared" si="44"/>
        <v>#N/A</v>
      </c>
      <c r="AD101" s="601"/>
      <c r="AE101" s="378"/>
      <c r="AF101" s="187"/>
      <c r="AG101" s="379"/>
      <c r="AH101" s="310" t="e">
        <f t="shared" si="45"/>
        <v>#N/A</v>
      </c>
      <c r="AI101" s="601"/>
      <c r="AJ101" s="378"/>
      <c r="AK101" s="187"/>
      <c r="AL101" s="379"/>
      <c r="AM101" s="310" t="e">
        <f t="shared" si="46"/>
        <v>#N/A</v>
      </c>
      <c r="AN101" s="601"/>
      <c r="AO101" s="378"/>
      <c r="AP101" s="187"/>
      <c r="AQ101" s="379"/>
      <c r="AR101" s="310" t="e">
        <f t="shared" si="47"/>
        <v>#N/A</v>
      </c>
      <c r="AS101" s="601"/>
      <c r="AT101" s="378"/>
      <c r="AU101" s="187"/>
      <c r="AV101" s="379"/>
      <c r="AW101" s="310" t="e">
        <f t="shared" si="48"/>
        <v>#N/A</v>
      </c>
      <c r="AX101" s="601"/>
    </row>
    <row r="102" spans="2:50" ht="15.75">
      <c r="B102" s="602" t="s">
        <v>163</v>
      </c>
      <c r="C102" s="603"/>
      <c r="D102" s="603"/>
      <c r="E102" s="603"/>
      <c r="F102" s="603"/>
      <c r="G102" s="603"/>
      <c r="H102" s="604"/>
      <c r="I102" s="213"/>
      <c r="J102" s="213"/>
      <c r="K102" s="213"/>
      <c r="L102" s="213"/>
      <c r="M102" s="212"/>
      <c r="N102" s="591" t="s">
        <v>156</v>
      </c>
      <c r="O102" s="591" t="s">
        <v>105</v>
      </c>
      <c r="P102" s="597">
        <f>P82+7</f>
        <v>45965</v>
      </c>
      <c r="Q102" s="598"/>
      <c r="R102" s="598"/>
      <c r="S102" s="598"/>
      <c r="T102" s="598"/>
      <c r="U102" s="594">
        <f>P102+1</f>
        <v>45966</v>
      </c>
      <c r="V102" s="595"/>
      <c r="W102" s="595"/>
      <c r="X102" s="595"/>
      <c r="Y102" s="596"/>
      <c r="Z102" s="594">
        <f>U102+1</f>
        <v>45967</v>
      </c>
      <c r="AA102" s="595"/>
      <c r="AB102" s="595"/>
      <c r="AC102" s="595"/>
      <c r="AD102" s="596"/>
      <c r="AE102" s="594">
        <f>Z102+1</f>
        <v>45968</v>
      </c>
      <c r="AF102" s="595"/>
      <c r="AG102" s="595"/>
      <c r="AH102" s="595"/>
      <c r="AI102" s="596"/>
      <c r="AJ102" s="594">
        <f>AE102+1</f>
        <v>45969</v>
      </c>
      <c r="AK102" s="595"/>
      <c r="AL102" s="595"/>
      <c r="AM102" s="595"/>
      <c r="AN102" s="596"/>
      <c r="AO102" s="594">
        <f>AJ102+1</f>
        <v>45970</v>
      </c>
      <c r="AP102" s="595"/>
      <c r="AQ102" s="595"/>
      <c r="AR102" s="595"/>
      <c r="AS102" s="596"/>
      <c r="AT102" s="594">
        <f>AO102+1</f>
        <v>45971</v>
      </c>
      <c r="AU102" s="595"/>
      <c r="AV102" s="595"/>
      <c r="AW102" s="595"/>
      <c r="AX102" s="596"/>
    </row>
    <row r="103" spans="2:50" ht="15.75">
      <c r="B103" s="605"/>
      <c r="C103" s="605"/>
      <c r="D103" s="605"/>
      <c r="E103" s="605"/>
      <c r="F103" s="605"/>
      <c r="G103" s="605"/>
      <c r="H103" s="605"/>
      <c r="I103" s="210"/>
      <c r="J103" s="210"/>
      <c r="K103" s="210"/>
      <c r="L103" s="210"/>
      <c r="M103" s="211"/>
      <c r="N103" s="593"/>
      <c r="O103" s="593"/>
      <c r="P103" s="597" t="s">
        <v>158</v>
      </c>
      <c r="Q103" s="598"/>
      <c r="R103" s="598"/>
      <c r="S103" s="598"/>
      <c r="T103" s="598"/>
      <c r="U103" s="597" t="s">
        <v>114</v>
      </c>
      <c r="V103" s="598"/>
      <c r="W103" s="598"/>
      <c r="X103" s="598"/>
      <c r="Y103" s="598"/>
      <c r="Z103" s="597" t="s">
        <v>159</v>
      </c>
      <c r="AA103" s="598"/>
      <c r="AB103" s="598"/>
      <c r="AC103" s="598"/>
      <c r="AD103" s="598"/>
      <c r="AE103" s="597" t="s">
        <v>157</v>
      </c>
      <c r="AF103" s="598"/>
      <c r="AG103" s="598"/>
      <c r="AH103" s="598"/>
      <c r="AI103" s="598"/>
      <c r="AJ103" s="597" t="s">
        <v>160</v>
      </c>
      <c r="AK103" s="598"/>
      <c r="AL103" s="598"/>
      <c r="AM103" s="598"/>
      <c r="AN103" s="598"/>
      <c r="AO103" s="597" t="s">
        <v>115</v>
      </c>
      <c r="AP103" s="598"/>
      <c r="AQ103" s="598"/>
      <c r="AR103" s="598"/>
      <c r="AS103" s="598"/>
      <c r="AT103" s="597" t="s">
        <v>162</v>
      </c>
      <c r="AU103" s="598"/>
      <c r="AV103" s="598"/>
      <c r="AW103" s="598"/>
      <c r="AX103" s="598"/>
    </row>
    <row r="104" spans="2:50">
      <c r="B104" s="590" t="s">
        <v>154</v>
      </c>
      <c r="C104" s="590" t="s">
        <v>454</v>
      </c>
      <c r="D104" s="590"/>
      <c r="E104" s="590" t="s">
        <v>445</v>
      </c>
      <c r="F104" s="590"/>
      <c r="G104" s="590"/>
      <c r="H104" s="606" t="s">
        <v>441</v>
      </c>
      <c r="I104" s="574" t="s">
        <v>446</v>
      </c>
      <c r="J104" s="574"/>
      <c r="K104" s="574"/>
      <c r="L104" s="575" t="s">
        <v>441</v>
      </c>
      <c r="M104" s="581" t="s">
        <v>442</v>
      </c>
      <c r="N104" s="590"/>
      <c r="O104" s="590" t="s">
        <v>447</v>
      </c>
      <c r="P104" s="587" t="s">
        <v>443</v>
      </c>
      <c r="Q104" s="588"/>
      <c r="R104" s="588"/>
      <c r="S104" s="589"/>
      <c r="T104" s="590" t="s">
        <v>441</v>
      </c>
      <c r="U104" s="587" t="s">
        <v>443</v>
      </c>
      <c r="V104" s="588"/>
      <c r="W104" s="588"/>
      <c r="X104" s="589"/>
      <c r="Y104" s="590" t="s">
        <v>441</v>
      </c>
      <c r="Z104" s="587" t="s">
        <v>443</v>
      </c>
      <c r="AA104" s="588"/>
      <c r="AB104" s="588"/>
      <c r="AC104" s="589"/>
      <c r="AD104" s="590" t="s">
        <v>441</v>
      </c>
      <c r="AE104" s="587" t="s">
        <v>443</v>
      </c>
      <c r="AF104" s="588"/>
      <c r="AG104" s="588"/>
      <c r="AH104" s="589"/>
      <c r="AI104" s="590" t="s">
        <v>441</v>
      </c>
      <c r="AJ104" s="587" t="s">
        <v>443</v>
      </c>
      <c r="AK104" s="588"/>
      <c r="AL104" s="588"/>
      <c r="AM104" s="589"/>
      <c r="AN104" s="590" t="s">
        <v>441</v>
      </c>
      <c r="AO104" s="587" t="s">
        <v>443</v>
      </c>
      <c r="AP104" s="588"/>
      <c r="AQ104" s="588"/>
      <c r="AR104" s="589"/>
      <c r="AS104" s="590" t="s">
        <v>441</v>
      </c>
      <c r="AT104" s="587" t="s">
        <v>443</v>
      </c>
      <c r="AU104" s="588"/>
      <c r="AV104" s="588"/>
      <c r="AW104" s="589"/>
      <c r="AX104" s="590" t="s">
        <v>441</v>
      </c>
    </row>
    <row r="105" spans="2:50">
      <c r="B105" s="590"/>
      <c r="C105" s="590"/>
      <c r="D105" s="590"/>
      <c r="E105" s="590" t="s">
        <v>448</v>
      </c>
      <c r="F105" s="590"/>
      <c r="G105" s="590"/>
      <c r="H105" s="607"/>
      <c r="I105" s="574" t="s">
        <v>448</v>
      </c>
      <c r="J105" s="574"/>
      <c r="K105" s="574"/>
      <c r="L105" s="576"/>
      <c r="M105" s="582"/>
      <c r="N105" s="590"/>
      <c r="O105" s="590"/>
      <c r="P105" s="587" t="s">
        <v>449</v>
      </c>
      <c r="Q105" s="588"/>
      <c r="R105" s="588"/>
      <c r="S105" s="589"/>
      <c r="T105" s="590"/>
      <c r="U105" s="587" t="s">
        <v>449</v>
      </c>
      <c r="V105" s="588"/>
      <c r="W105" s="588"/>
      <c r="X105" s="589"/>
      <c r="Y105" s="590"/>
      <c r="Z105" s="587" t="s">
        <v>449</v>
      </c>
      <c r="AA105" s="588"/>
      <c r="AB105" s="588"/>
      <c r="AC105" s="589"/>
      <c r="AD105" s="590"/>
      <c r="AE105" s="587" t="s">
        <v>449</v>
      </c>
      <c r="AF105" s="588"/>
      <c r="AG105" s="588"/>
      <c r="AH105" s="589"/>
      <c r="AI105" s="590"/>
      <c r="AJ105" s="587" t="s">
        <v>449</v>
      </c>
      <c r="AK105" s="588"/>
      <c r="AL105" s="588"/>
      <c r="AM105" s="589"/>
      <c r="AN105" s="590"/>
      <c r="AO105" s="587" t="s">
        <v>449</v>
      </c>
      <c r="AP105" s="588"/>
      <c r="AQ105" s="588"/>
      <c r="AR105" s="589"/>
      <c r="AS105" s="590"/>
      <c r="AT105" s="587" t="s">
        <v>449</v>
      </c>
      <c r="AU105" s="588"/>
      <c r="AV105" s="588"/>
      <c r="AW105" s="589"/>
      <c r="AX105" s="590"/>
    </row>
    <row r="106" spans="2:50">
      <c r="B106" s="590"/>
      <c r="C106" s="590"/>
      <c r="D106" s="590"/>
      <c r="E106" s="358" t="s">
        <v>450</v>
      </c>
      <c r="F106" s="358" t="s">
        <v>451</v>
      </c>
      <c r="G106" s="358" t="s">
        <v>452</v>
      </c>
      <c r="H106" s="608"/>
      <c r="I106" s="359" t="s">
        <v>450</v>
      </c>
      <c r="J106" s="359" t="s">
        <v>451</v>
      </c>
      <c r="K106" s="359" t="s">
        <v>452</v>
      </c>
      <c r="L106" s="577"/>
      <c r="M106" s="583"/>
      <c r="N106" s="590"/>
      <c r="O106" s="590"/>
      <c r="P106" s="358" t="s">
        <v>450</v>
      </c>
      <c r="Q106" s="358" t="s">
        <v>451</v>
      </c>
      <c r="R106" s="358" t="s">
        <v>452</v>
      </c>
      <c r="S106" s="358" t="s">
        <v>442</v>
      </c>
      <c r="T106" s="590"/>
      <c r="U106" s="358" t="s">
        <v>450</v>
      </c>
      <c r="V106" s="358" t="s">
        <v>451</v>
      </c>
      <c r="W106" s="358" t="s">
        <v>452</v>
      </c>
      <c r="X106" s="358" t="s">
        <v>442</v>
      </c>
      <c r="Y106" s="590"/>
      <c r="Z106" s="358" t="s">
        <v>450</v>
      </c>
      <c r="AA106" s="358" t="s">
        <v>451</v>
      </c>
      <c r="AB106" s="358" t="s">
        <v>452</v>
      </c>
      <c r="AC106" s="358" t="s">
        <v>442</v>
      </c>
      <c r="AD106" s="590"/>
      <c r="AE106" s="358" t="s">
        <v>450</v>
      </c>
      <c r="AF106" s="358" t="s">
        <v>451</v>
      </c>
      <c r="AG106" s="358" t="s">
        <v>452</v>
      </c>
      <c r="AH106" s="358" t="s">
        <v>442</v>
      </c>
      <c r="AI106" s="590"/>
      <c r="AJ106" s="358" t="s">
        <v>450</v>
      </c>
      <c r="AK106" s="358" t="s">
        <v>451</v>
      </c>
      <c r="AL106" s="358" t="s">
        <v>452</v>
      </c>
      <c r="AM106" s="358" t="s">
        <v>442</v>
      </c>
      <c r="AN106" s="590"/>
      <c r="AO106" s="358" t="s">
        <v>450</v>
      </c>
      <c r="AP106" s="358" t="s">
        <v>451</v>
      </c>
      <c r="AQ106" s="358" t="s">
        <v>452</v>
      </c>
      <c r="AR106" s="358" t="s">
        <v>442</v>
      </c>
      <c r="AS106" s="590"/>
      <c r="AT106" s="358" t="s">
        <v>450</v>
      </c>
      <c r="AU106" s="358" t="s">
        <v>451</v>
      </c>
      <c r="AV106" s="358" t="s">
        <v>452</v>
      </c>
      <c r="AW106" s="358" t="s">
        <v>442</v>
      </c>
      <c r="AX106" s="590"/>
    </row>
    <row r="107" spans="2:50">
      <c r="B107" s="590" t="s">
        <v>138</v>
      </c>
      <c r="C107" s="357">
        <v>1</v>
      </c>
      <c r="D107" s="231"/>
      <c r="E107" s="187"/>
      <c r="F107" s="357"/>
      <c r="G107" s="360"/>
      <c r="H107" s="632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71" t="str">
        <f>IFERROR(AVERAGE(K107:K121),"-")</f>
        <v>-</v>
      </c>
      <c r="M107" s="368" t="e">
        <f>RANK(K107, K$107:$K$121)</f>
        <v>#DIV/0!</v>
      </c>
      <c r="N107" s="590"/>
      <c r="O107" s="590"/>
      <c r="P107" s="187"/>
      <c r="Q107" s="187"/>
      <c r="R107" s="360"/>
      <c r="S107" s="357" t="e">
        <f>RANK(R107, R$107:R$121)</f>
        <v>#N/A</v>
      </c>
      <c r="T107" s="599" t="e">
        <f>AVERAGE(R107:R121)</f>
        <v>#DIV/0!</v>
      </c>
      <c r="U107" s="187"/>
      <c r="V107" s="187"/>
      <c r="W107" s="379"/>
      <c r="X107" s="370" t="e">
        <f>RANK(W107, W$107:W$121)</f>
        <v>#N/A</v>
      </c>
      <c r="Y107" s="599" t="e">
        <f>AVERAGE(W107:W121)</f>
        <v>#DIV/0!</v>
      </c>
      <c r="Z107" s="187"/>
      <c r="AA107" s="187"/>
      <c r="AB107" s="379"/>
      <c r="AC107" s="370" t="e">
        <f>RANK(AB107, AB$107:AB$121)</f>
        <v>#N/A</v>
      </c>
      <c r="AD107" s="599" t="e">
        <f>AVERAGE(AB107:AB121)</f>
        <v>#DIV/0!</v>
      </c>
      <c r="AE107" s="187"/>
      <c r="AF107" s="187"/>
      <c r="AG107" s="379"/>
      <c r="AH107" s="370" t="e">
        <f>RANK(AG107, AG$107:AG$121)</f>
        <v>#N/A</v>
      </c>
      <c r="AI107" s="599" t="e">
        <f>AVERAGE(AG107:AG121)</f>
        <v>#DIV/0!</v>
      </c>
      <c r="AJ107" s="187"/>
      <c r="AK107" s="187"/>
      <c r="AL107" s="379"/>
      <c r="AM107" s="370" t="e">
        <f>RANK(AL107, AL$107:AL$121)</f>
        <v>#N/A</v>
      </c>
      <c r="AN107" s="599" t="e">
        <f>AVERAGE(AL107:AL121)</f>
        <v>#DIV/0!</v>
      </c>
      <c r="AO107" s="187"/>
      <c r="AP107" s="187"/>
      <c r="AQ107" s="379"/>
      <c r="AR107" s="370" t="e">
        <f>RANK(AQ107, AQ$107:AQ$121)</f>
        <v>#N/A</v>
      </c>
      <c r="AS107" s="599" t="e">
        <f>AVERAGE(AQ107:AQ121)</f>
        <v>#DIV/0!</v>
      </c>
      <c r="AT107" s="187"/>
      <c r="AU107" s="187"/>
      <c r="AV107" s="379"/>
      <c r="AW107" s="370" t="e">
        <f>RANK(AV107, AV$107:AV$121)</f>
        <v>#N/A</v>
      </c>
      <c r="AX107" s="599" t="e">
        <f>AVERAGE(AV107:AV121)</f>
        <v>#DIV/0!</v>
      </c>
    </row>
    <row r="108" spans="2:50">
      <c r="B108" s="598"/>
      <c r="C108" s="357">
        <v>2</v>
      </c>
      <c r="D108" s="231"/>
      <c r="E108" s="187"/>
      <c r="F108" s="357"/>
      <c r="G108" s="360"/>
      <c r="H108" s="633"/>
      <c r="I108" s="204" t="e">
        <f t="shared" ref="I108:I112" si="52">AVERAGE(P108,U108,Z108,AE108,AJ108,AO108,AT108)</f>
        <v>#DIV/0!</v>
      </c>
      <c r="J108" s="204" t="e">
        <f t="shared" ref="J108:J112" si="53">AVERAGE(Q108,V108,AA108,AF108,AK108,AP108,AU108)</f>
        <v>#DIV/0!</v>
      </c>
      <c r="K108" s="205" t="e">
        <f t="shared" ref="K108:K112" si="54">AVERAGE(R108,W108,AB108,AG108,AL108,AQ108,AV108)</f>
        <v>#DIV/0!</v>
      </c>
      <c r="L108" s="572"/>
      <c r="M108" s="368" t="e">
        <f>RANK(K108, K$107:$K$121)</f>
        <v>#DIV/0!</v>
      </c>
      <c r="N108" s="590"/>
      <c r="O108" s="590"/>
      <c r="P108" s="357"/>
      <c r="Q108" s="187"/>
      <c r="R108" s="360"/>
      <c r="S108" s="367" t="e">
        <f t="shared" ref="S108:S121" si="55">RANK(R108, R$107:R$121)</f>
        <v>#N/A</v>
      </c>
      <c r="T108" s="600"/>
      <c r="U108" s="378"/>
      <c r="V108" s="187"/>
      <c r="W108" s="379"/>
      <c r="X108" s="370" t="e">
        <f t="shared" ref="X108:X113" si="56">RANK(W108, W$107:W$121)</f>
        <v>#N/A</v>
      </c>
      <c r="Y108" s="600"/>
      <c r="Z108" s="378"/>
      <c r="AA108" s="187"/>
      <c r="AB108" s="379"/>
      <c r="AC108" s="370" t="e">
        <f t="shared" ref="AC108:AC113" si="57">RANK(AB108, AB$107:AB$121)</f>
        <v>#N/A</v>
      </c>
      <c r="AD108" s="600"/>
      <c r="AE108" s="378"/>
      <c r="AF108" s="187"/>
      <c r="AG108" s="379"/>
      <c r="AH108" s="370" t="e">
        <f t="shared" ref="AH108:AH113" si="58">RANK(AG108, AG$107:AG$121)</f>
        <v>#N/A</v>
      </c>
      <c r="AI108" s="600"/>
      <c r="AJ108" s="378"/>
      <c r="AK108" s="187"/>
      <c r="AL108" s="379"/>
      <c r="AM108" s="370" t="e">
        <f t="shared" ref="AM108:AM113" si="59">RANK(AL108, AL$107:AL$121)</f>
        <v>#N/A</v>
      </c>
      <c r="AN108" s="600"/>
      <c r="AO108" s="378"/>
      <c r="AP108" s="187"/>
      <c r="AQ108" s="379"/>
      <c r="AR108" s="370" t="e">
        <f t="shared" ref="AR108:AR113" si="60">RANK(AQ108, AQ$107:AQ$121)</f>
        <v>#N/A</v>
      </c>
      <c r="AS108" s="600"/>
      <c r="AT108" s="378"/>
      <c r="AU108" s="187"/>
      <c r="AV108" s="379"/>
      <c r="AW108" s="370" t="e">
        <f t="shared" ref="AW108:AW113" si="61">RANK(AV108, AV$107:AV$121)</f>
        <v>#N/A</v>
      </c>
      <c r="AX108" s="600"/>
    </row>
    <row r="109" spans="2:50">
      <c r="B109" s="598"/>
      <c r="C109" s="357">
        <v>3</v>
      </c>
      <c r="D109" s="231"/>
      <c r="E109" s="187"/>
      <c r="F109" s="357"/>
      <c r="G109" s="360"/>
      <c r="H109" s="633"/>
      <c r="I109" s="204" t="e">
        <f t="shared" si="52"/>
        <v>#DIV/0!</v>
      </c>
      <c r="J109" s="204" t="e">
        <f t="shared" si="53"/>
        <v>#DIV/0!</v>
      </c>
      <c r="K109" s="205" t="e">
        <f t="shared" si="54"/>
        <v>#DIV/0!</v>
      </c>
      <c r="L109" s="572"/>
      <c r="M109" s="368" t="e">
        <f>RANK(K109, K$107:$K$121)</f>
        <v>#DIV/0!</v>
      </c>
      <c r="N109" s="590"/>
      <c r="O109" s="590"/>
      <c r="P109" s="357"/>
      <c r="Q109" s="187"/>
      <c r="R109" s="360"/>
      <c r="S109" s="367" t="e">
        <f t="shared" si="55"/>
        <v>#N/A</v>
      </c>
      <c r="T109" s="600"/>
      <c r="U109" s="378"/>
      <c r="V109" s="187"/>
      <c r="W109" s="379"/>
      <c r="X109" s="370" t="e">
        <f t="shared" si="56"/>
        <v>#N/A</v>
      </c>
      <c r="Y109" s="600"/>
      <c r="Z109" s="378"/>
      <c r="AA109" s="187"/>
      <c r="AB109" s="379"/>
      <c r="AC109" s="370" t="e">
        <f t="shared" si="57"/>
        <v>#N/A</v>
      </c>
      <c r="AD109" s="600"/>
      <c r="AE109" s="378"/>
      <c r="AF109" s="187"/>
      <c r="AG109" s="379"/>
      <c r="AH109" s="370" t="e">
        <f t="shared" si="58"/>
        <v>#N/A</v>
      </c>
      <c r="AI109" s="600"/>
      <c r="AJ109" s="378"/>
      <c r="AK109" s="187"/>
      <c r="AL109" s="379"/>
      <c r="AM109" s="370" t="e">
        <f t="shared" si="59"/>
        <v>#N/A</v>
      </c>
      <c r="AN109" s="600"/>
      <c r="AO109" s="378"/>
      <c r="AP109" s="187"/>
      <c r="AQ109" s="379"/>
      <c r="AR109" s="370" t="e">
        <f t="shared" si="60"/>
        <v>#N/A</v>
      </c>
      <c r="AS109" s="600"/>
      <c r="AT109" s="378"/>
      <c r="AU109" s="187"/>
      <c r="AV109" s="379"/>
      <c r="AW109" s="370" t="e">
        <f t="shared" si="61"/>
        <v>#N/A</v>
      </c>
      <c r="AX109" s="600"/>
    </row>
    <row r="110" spans="2:50">
      <c r="B110" s="598"/>
      <c r="C110" s="357">
        <v>4</v>
      </c>
      <c r="D110" s="231"/>
      <c r="E110" s="187"/>
      <c r="F110" s="357"/>
      <c r="G110" s="360"/>
      <c r="H110" s="633"/>
      <c r="I110" s="204" t="e">
        <f t="shared" si="52"/>
        <v>#DIV/0!</v>
      </c>
      <c r="J110" s="204" t="e">
        <f t="shared" si="53"/>
        <v>#DIV/0!</v>
      </c>
      <c r="K110" s="205" t="e">
        <f t="shared" si="54"/>
        <v>#DIV/0!</v>
      </c>
      <c r="L110" s="572"/>
      <c r="M110" s="368" t="e">
        <f>RANK(K110, K$107:$K$121)</f>
        <v>#DIV/0!</v>
      </c>
      <c r="N110" s="590"/>
      <c r="O110" s="590"/>
      <c r="P110" s="357"/>
      <c r="Q110" s="187"/>
      <c r="R110" s="360"/>
      <c r="S110" s="367" t="e">
        <f t="shared" si="55"/>
        <v>#N/A</v>
      </c>
      <c r="T110" s="600"/>
      <c r="U110" s="378"/>
      <c r="V110" s="187"/>
      <c r="W110" s="379"/>
      <c r="X110" s="370" t="e">
        <f t="shared" si="56"/>
        <v>#N/A</v>
      </c>
      <c r="Y110" s="600"/>
      <c r="Z110" s="378"/>
      <c r="AA110" s="187"/>
      <c r="AB110" s="379"/>
      <c r="AC110" s="370" t="e">
        <f t="shared" si="57"/>
        <v>#N/A</v>
      </c>
      <c r="AD110" s="600"/>
      <c r="AE110" s="378"/>
      <c r="AF110" s="187"/>
      <c r="AG110" s="379"/>
      <c r="AH110" s="370" t="e">
        <f t="shared" si="58"/>
        <v>#N/A</v>
      </c>
      <c r="AI110" s="600"/>
      <c r="AJ110" s="378"/>
      <c r="AK110" s="187"/>
      <c r="AL110" s="379"/>
      <c r="AM110" s="370" t="e">
        <f t="shared" si="59"/>
        <v>#N/A</v>
      </c>
      <c r="AN110" s="600"/>
      <c r="AO110" s="378"/>
      <c r="AP110" s="187"/>
      <c r="AQ110" s="379"/>
      <c r="AR110" s="370" t="e">
        <f t="shared" si="60"/>
        <v>#N/A</v>
      </c>
      <c r="AS110" s="600"/>
      <c r="AT110" s="378"/>
      <c r="AU110" s="187"/>
      <c r="AV110" s="379"/>
      <c r="AW110" s="370" t="e">
        <f t="shared" si="61"/>
        <v>#N/A</v>
      </c>
      <c r="AX110" s="600"/>
    </row>
    <row r="111" spans="2:50">
      <c r="B111" s="598"/>
      <c r="C111" s="357">
        <v>5</v>
      </c>
      <c r="D111" s="231"/>
      <c r="E111" s="187"/>
      <c r="F111" s="357"/>
      <c r="G111" s="360"/>
      <c r="H111" s="633"/>
      <c r="I111" s="204" t="e">
        <f t="shared" si="52"/>
        <v>#DIV/0!</v>
      </c>
      <c r="J111" s="204" t="e">
        <f t="shared" si="53"/>
        <v>#DIV/0!</v>
      </c>
      <c r="K111" s="205" t="e">
        <f t="shared" si="54"/>
        <v>#DIV/0!</v>
      </c>
      <c r="L111" s="572"/>
      <c r="M111" s="368" t="e">
        <f>RANK(K111, K$107:$K$121)</f>
        <v>#DIV/0!</v>
      </c>
      <c r="N111" s="590"/>
      <c r="O111" s="590"/>
      <c r="P111" s="357"/>
      <c r="Q111" s="187"/>
      <c r="R111" s="360"/>
      <c r="S111" s="367" t="e">
        <f t="shared" si="55"/>
        <v>#N/A</v>
      </c>
      <c r="T111" s="600"/>
      <c r="U111" s="378"/>
      <c r="V111" s="187"/>
      <c r="W111" s="379"/>
      <c r="X111" s="370" t="e">
        <f t="shared" si="56"/>
        <v>#N/A</v>
      </c>
      <c r="Y111" s="600"/>
      <c r="Z111" s="378"/>
      <c r="AA111" s="187"/>
      <c r="AB111" s="379"/>
      <c r="AC111" s="370" t="e">
        <f t="shared" si="57"/>
        <v>#N/A</v>
      </c>
      <c r="AD111" s="600"/>
      <c r="AE111" s="378"/>
      <c r="AF111" s="187"/>
      <c r="AG111" s="379"/>
      <c r="AH111" s="370" t="e">
        <f t="shared" si="58"/>
        <v>#N/A</v>
      </c>
      <c r="AI111" s="600"/>
      <c r="AJ111" s="378"/>
      <c r="AK111" s="187"/>
      <c r="AL111" s="379"/>
      <c r="AM111" s="370" t="e">
        <f t="shared" si="59"/>
        <v>#N/A</v>
      </c>
      <c r="AN111" s="600"/>
      <c r="AO111" s="378"/>
      <c r="AP111" s="187"/>
      <c r="AQ111" s="379"/>
      <c r="AR111" s="370" t="e">
        <f t="shared" si="60"/>
        <v>#N/A</v>
      </c>
      <c r="AS111" s="600"/>
      <c r="AT111" s="378"/>
      <c r="AU111" s="187"/>
      <c r="AV111" s="379"/>
      <c r="AW111" s="370" t="e">
        <f t="shared" si="61"/>
        <v>#N/A</v>
      </c>
      <c r="AX111" s="600"/>
    </row>
    <row r="112" spans="2:50">
      <c r="B112" s="598"/>
      <c r="C112" s="357">
        <v>6</v>
      </c>
      <c r="D112" s="231"/>
      <c r="E112" s="187"/>
      <c r="F112" s="357"/>
      <c r="G112" s="360"/>
      <c r="H112" s="633"/>
      <c r="I112" s="204" t="e">
        <f t="shared" si="52"/>
        <v>#DIV/0!</v>
      </c>
      <c r="J112" s="204" t="e">
        <f t="shared" si="53"/>
        <v>#DIV/0!</v>
      </c>
      <c r="K112" s="205" t="e">
        <f t="shared" si="54"/>
        <v>#DIV/0!</v>
      </c>
      <c r="L112" s="572"/>
      <c r="M112" s="368" t="e">
        <f>RANK(K112, K$107:$K$121)</f>
        <v>#DIV/0!</v>
      </c>
      <c r="N112" s="590"/>
      <c r="O112" s="590"/>
      <c r="P112" s="357"/>
      <c r="Q112" s="187"/>
      <c r="R112" s="360"/>
      <c r="S112" s="367" t="e">
        <f t="shared" si="55"/>
        <v>#N/A</v>
      </c>
      <c r="T112" s="600"/>
      <c r="U112" s="378"/>
      <c r="V112" s="187"/>
      <c r="W112" s="379"/>
      <c r="X112" s="370" t="e">
        <f t="shared" si="56"/>
        <v>#N/A</v>
      </c>
      <c r="Y112" s="600"/>
      <c r="Z112" s="378"/>
      <c r="AA112" s="187"/>
      <c r="AB112" s="379"/>
      <c r="AC112" s="370" t="e">
        <f t="shared" si="57"/>
        <v>#N/A</v>
      </c>
      <c r="AD112" s="600"/>
      <c r="AE112" s="378"/>
      <c r="AF112" s="187"/>
      <c r="AG112" s="379"/>
      <c r="AH112" s="370" t="e">
        <f t="shared" si="58"/>
        <v>#N/A</v>
      </c>
      <c r="AI112" s="600"/>
      <c r="AJ112" s="378"/>
      <c r="AK112" s="187"/>
      <c r="AL112" s="379"/>
      <c r="AM112" s="370" t="e">
        <f t="shared" si="59"/>
        <v>#N/A</v>
      </c>
      <c r="AN112" s="600"/>
      <c r="AO112" s="378"/>
      <c r="AP112" s="187"/>
      <c r="AQ112" s="379"/>
      <c r="AR112" s="370" t="e">
        <f t="shared" si="60"/>
        <v>#N/A</v>
      </c>
      <c r="AS112" s="600"/>
      <c r="AT112" s="378"/>
      <c r="AU112" s="187"/>
      <c r="AV112" s="379"/>
      <c r="AW112" s="370" t="e">
        <f t="shared" si="61"/>
        <v>#N/A</v>
      </c>
      <c r="AX112" s="600"/>
    </row>
    <row r="113" spans="2:50">
      <c r="B113" s="598"/>
      <c r="C113" s="357">
        <v>7</v>
      </c>
      <c r="D113" s="231"/>
      <c r="E113" s="187"/>
      <c r="F113" s="357"/>
      <c r="G113" s="360"/>
      <c r="H113" s="633"/>
      <c r="I113" s="372" t="e">
        <f t="shared" ref="I113" si="62">AVERAGE(P113,U113,Z113,AE113,AJ113,AO113,AT113)</f>
        <v>#DIV/0!</v>
      </c>
      <c r="J113" s="372" t="e">
        <f t="shared" ref="J113" si="63">AVERAGE(Q113,V113,AA113,AF113,AK113,AP113,AU113)</f>
        <v>#DIV/0!</v>
      </c>
      <c r="K113" s="205" t="e">
        <f t="shared" ref="K113" si="64">AVERAGE(R113,W113,AB113,AG113,AL113,AQ113,AV113)</f>
        <v>#DIV/0!</v>
      </c>
      <c r="L113" s="572"/>
      <c r="M113" s="368" t="e">
        <f>RANK(K113, K$107:$K$121)</f>
        <v>#DIV/0!</v>
      </c>
      <c r="N113" s="590"/>
      <c r="O113" s="590"/>
      <c r="P113" s="357"/>
      <c r="Q113" s="187"/>
      <c r="R113" s="360"/>
      <c r="S113" s="367" t="e">
        <f t="shared" si="55"/>
        <v>#N/A</v>
      </c>
      <c r="T113" s="600"/>
      <c r="U113" s="378"/>
      <c r="V113" s="187"/>
      <c r="W113" s="379"/>
      <c r="X113" s="370" t="e">
        <f t="shared" si="56"/>
        <v>#N/A</v>
      </c>
      <c r="Y113" s="600"/>
      <c r="Z113" s="378"/>
      <c r="AA113" s="187"/>
      <c r="AB113" s="379"/>
      <c r="AC113" s="370" t="e">
        <f t="shared" si="57"/>
        <v>#N/A</v>
      </c>
      <c r="AD113" s="600"/>
      <c r="AE113" s="378"/>
      <c r="AF113" s="187"/>
      <c r="AG113" s="379"/>
      <c r="AH113" s="370" t="e">
        <f t="shared" si="58"/>
        <v>#N/A</v>
      </c>
      <c r="AI113" s="600"/>
      <c r="AJ113" s="378"/>
      <c r="AK113" s="187"/>
      <c r="AL113" s="379"/>
      <c r="AM113" s="370" t="e">
        <f t="shared" si="59"/>
        <v>#N/A</v>
      </c>
      <c r="AN113" s="600"/>
      <c r="AO113" s="378"/>
      <c r="AP113" s="187"/>
      <c r="AQ113" s="379"/>
      <c r="AR113" s="370" t="e">
        <f t="shared" si="60"/>
        <v>#N/A</v>
      </c>
      <c r="AS113" s="600"/>
      <c r="AT113" s="378"/>
      <c r="AU113" s="187"/>
      <c r="AV113" s="379"/>
      <c r="AW113" s="370" t="e">
        <f t="shared" si="61"/>
        <v>#N/A</v>
      </c>
      <c r="AX113" s="600"/>
    </row>
    <row r="114" spans="2:50">
      <c r="B114" s="598"/>
      <c r="C114" s="357">
        <v>8</v>
      </c>
      <c r="D114" s="231"/>
      <c r="E114" s="187"/>
      <c r="F114" s="357"/>
      <c r="G114" s="360"/>
      <c r="H114" s="633"/>
      <c r="I114" s="204"/>
      <c r="J114" s="204"/>
      <c r="K114" s="205"/>
      <c r="L114" s="572"/>
      <c r="M114" s="368" t="e">
        <f>RANK(K114, K$107:$K$121)</f>
        <v>#DIV/0!</v>
      </c>
      <c r="N114" s="590"/>
      <c r="O114" s="590"/>
      <c r="P114" s="357"/>
      <c r="Q114" s="187"/>
      <c r="R114" s="360"/>
      <c r="S114" s="367" t="e">
        <f t="shared" si="55"/>
        <v>#N/A</v>
      </c>
      <c r="T114" s="600"/>
      <c r="U114" s="378"/>
      <c r="V114" s="187"/>
      <c r="W114" s="379"/>
      <c r="X114" s="367" t="e">
        <f t="shared" ref="X114:X121" si="65">RANK(W114, W$107:W$121)</f>
        <v>#N/A</v>
      </c>
      <c r="Y114" s="600"/>
      <c r="Z114" s="378"/>
      <c r="AA114" s="187"/>
      <c r="AB114" s="379"/>
      <c r="AC114" s="367" t="e">
        <f t="shared" ref="AC114:AC121" si="66">RANK(AB114, AB$107:AB$121)</f>
        <v>#N/A</v>
      </c>
      <c r="AD114" s="600"/>
      <c r="AE114" s="378"/>
      <c r="AF114" s="187"/>
      <c r="AG114" s="379"/>
      <c r="AH114" s="367" t="e">
        <f t="shared" ref="AH114:AH121" si="67">RANK(AG114, AG$107:AG$121)</f>
        <v>#N/A</v>
      </c>
      <c r="AI114" s="600"/>
      <c r="AJ114" s="378"/>
      <c r="AK114" s="187"/>
      <c r="AL114" s="379"/>
      <c r="AM114" s="367" t="e">
        <f t="shared" ref="AM114:AM121" si="68">RANK(AL114, AL$107:AL$121)</f>
        <v>#N/A</v>
      </c>
      <c r="AN114" s="600"/>
      <c r="AO114" s="378"/>
      <c r="AP114" s="187"/>
      <c r="AQ114" s="379"/>
      <c r="AR114" s="367" t="e">
        <f t="shared" ref="AR114:AR121" si="69">RANK(AQ114, AQ$107:AQ$121)</f>
        <v>#N/A</v>
      </c>
      <c r="AS114" s="600"/>
      <c r="AT114" s="378"/>
      <c r="AU114" s="187"/>
      <c r="AV114" s="379"/>
      <c r="AW114" s="367" t="e">
        <f t="shared" ref="AW114:AW121" si="70">RANK(AV114, AV$107:AV$121)</f>
        <v>#N/A</v>
      </c>
      <c r="AX114" s="600"/>
    </row>
    <row r="115" spans="2:50">
      <c r="B115" s="598"/>
      <c r="C115" s="357">
        <v>9</v>
      </c>
      <c r="D115" s="231"/>
      <c r="E115" s="187"/>
      <c r="F115" s="357"/>
      <c r="G115" s="360"/>
      <c r="H115" s="633"/>
      <c r="I115" s="204"/>
      <c r="J115" s="204"/>
      <c r="K115" s="205"/>
      <c r="L115" s="572"/>
      <c r="M115" s="368" t="e">
        <f>RANK(K115, K$107:$K$121)</f>
        <v>#DIV/0!</v>
      </c>
      <c r="N115" s="590"/>
      <c r="O115" s="590"/>
      <c r="P115" s="357"/>
      <c r="Q115" s="187"/>
      <c r="R115" s="360"/>
      <c r="S115" s="367" t="e">
        <f t="shared" si="55"/>
        <v>#N/A</v>
      </c>
      <c r="T115" s="600"/>
      <c r="U115" s="378"/>
      <c r="V115" s="187"/>
      <c r="W115" s="379"/>
      <c r="X115" s="367" t="e">
        <f t="shared" si="65"/>
        <v>#N/A</v>
      </c>
      <c r="Y115" s="600"/>
      <c r="Z115" s="378"/>
      <c r="AA115" s="187"/>
      <c r="AB115" s="379"/>
      <c r="AC115" s="367" t="e">
        <f t="shared" si="66"/>
        <v>#N/A</v>
      </c>
      <c r="AD115" s="600"/>
      <c r="AE115" s="378"/>
      <c r="AF115" s="187"/>
      <c r="AG115" s="379"/>
      <c r="AH115" s="367" t="e">
        <f t="shared" si="67"/>
        <v>#N/A</v>
      </c>
      <c r="AI115" s="600"/>
      <c r="AJ115" s="378"/>
      <c r="AK115" s="187"/>
      <c r="AL115" s="379"/>
      <c r="AM115" s="367" t="e">
        <f t="shared" si="68"/>
        <v>#N/A</v>
      </c>
      <c r="AN115" s="600"/>
      <c r="AO115" s="378"/>
      <c r="AP115" s="187"/>
      <c r="AQ115" s="379"/>
      <c r="AR115" s="367" t="e">
        <f t="shared" si="69"/>
        <v>#N/A</v>
      </c>
      <c r="AS115" s="600"/>
      <c r="AT115" s="378"/>
      <c r="AU115" s="187"/>
      <c r="AV115" s="379"/>
      <c r="AW115" s="367" t="e">
        <f t="shared" si="70"/>
        <v>#N/A</v>
      </c>
      <c r="AX115" s="600"/>
    </row>
    <row r="116" spans="2:50">
      <c r="B116" s="598"/>
      <c r="C116" s="357">
        <v>10</v>
      </c>
      <c r="D116" s="231"/>
      <c r="E116" s="187"/>
      <c r="F116" s="357"/>
      <c r="G116" s="360"/>
      <c r="H116" s="633"/>
      <c r="I116" s="204"/>
      <c r="J116" s="204"/>
      <c r="K116" s="205"/>
      <c r="L116" s="572"/>
      <c r="M116" s="368" t="e">
        <f>RANK(K116, K$107:$K$121)</f>
        <v>#DIV/0!</v>
      </c>
      <c r="N116" s="590"/>
      <c r="O116" s="590"/>
      <c r="P116" s="357"/>
      <c r="Q116" s="187"/>
      <c r="R116" s="360"/>
      <c r="S116" s="367" t="e">
        <f t="shared" si="55"/>
        <v>#N/A</v>
      </c>
      <c r="T116" s="600"/>
      <c r="U116" s="378"/>
      <c r="V116" s="187"/>
      <c r="W116" s="379"/>
      <c r="X116" s="367" t="e">
        <f t="shared" si="65"/>
        <v>#N/A</v>
      </c>
      <c r="Y116" s="600"/>
      <c r="Z116" s="378"/>
      <c r="AA116" s="187"/>
      <c r="AB116" s="379"/>
      <c r="AC116" s="367" t="e">
        <f t="shared" si="66"/>
        <v>#N/A</v>
      </c>
      <c r="AD116" s="600"/>
      <c r="AE116" s="378"/>
      <c r="AF116" s="187"/>
      <c r="AG116" s="379"/>
      <c r="AH116" s="367" t="e">
        <f t="shared" si="67"/>
        <v>#N/A</v>
      </c>
      <c r="AI116" s="600"/>
      <c r="AJ116" s="378"/>
      <c r="AK116" s="187"/>
      <c r="AL116" s="379"/>
      <c r="AM116" s="367" t="e">
        <f t="shared" si="68"/>
        <v>#N/A</v>
      </c>
      <c r="AN116" s="600"/>
      <c r="AO116" s="378"/>
      <c r="AP116" s="187"/>
      <c r="AQ116" s="379"/>
      <c r="AR116" s="367" t="e">
        <f t="shared" si="69"/>
        <v>#N/A</v>
      </c>
      <c r="AS116" s="600"/>
      <c r="AT116" s="378"/>
      <c r="AU116" s="187"/>
      <c r="AV116" s="379"/>
      <c r="AW116" s="367" t="e">
        <f t="shared" si="70"/>
        <v>#N/A</v>
      </c>
      <c r="AX116" s="600"/>
    </row>
    <row r="117" spans="2:50">
      <c r="B117" s="598"/>
      <c r="C117" s="357">
        <v>11</v>
      </c>
      <c r="D117" s="231"/>
      <c r="E117" s="187"/>
      <c r="F117" s="357"/>
      <c r="G117" s="360"/>
      <c r="H117" s="633"/>
      <c r="I117" s="204"/>
      <c r="J117" s="204"/>
      <c r="K117" s="205"/>
      <c r="L117" s="572"/>
      <c r="M117" s="368" t="e">
        <f>RANK(K117, K$107:$K$121)</f>
        <v>#DIV/0!</v>
      </c>
      <c r="N117" s="590"/>
      <c r="O117" s="590"/>
      <c r="P117" s="357"/>
      <c r="Q117" s="187"/>
      <c r="R117" s="360"/>
      <c r="S117" s="367" t="e">
        <f t="shared" si="55"/>
        <v>#N/A</v>
      </c>
      <c r="T117" s="600"/>
      <c r="U117" s="378"/>
      <c r="V117" s="187"/>
      <c r="W117" s="379"/>
      <c r="X117" s="367" t="e">
        <f t="shared" si="65"/>
        <v>#N/A</v>
      </c>
      <c r="Y117" s="600"/>
      <c r="Z117" s="378"/>
      <c r="AA117" s="187"/>
      <c r="AB117" s="379"/>
      <c r="AC117" s="367" t="e">
        <f t="shared" si="66"/>
        <v>#N/A</v>
      </c>
      <c r="AD117" s="600"/>
      <c r="AE117" s="378"/>
      <c r="AF117" s="187"/>
      <c r="AG117" s="379"/>
      <c r="AH117" s="367" t="e">
        <f t="shared" si="67"/>
        <v>#N/A</v>
      </c>
      <c r="AI117" s="600"/>
      <c r="AJ117" s="378"/>
      <c r="AK117" s="187"/>
      <c r="AL117" s="379"/>
      <c r="AM117" s="367" t="e">
        <f t="shared" si="68"/>
        <v>#N/A</v>
      </c>
      <c r="AN117" s="600"/>
      <c r="AO117" s="378"/>
      <c r="AP117" s="187"/>
      <c r="AQ117" s="379"/>
      <c r="AR117" s="367" t="e">
        <f t="shared" si="69"/>
        <v>#N/A</v>
      </c>
      <c r="AS117" s="600"/>
      <c r="AT117" s="378"/>
      <c r="AU117" s="187"/>
      <c r="AV117" s="379"/>
      <c r="AW117" s="367" t="e">
        <f t="shared" si="70"/>
        <v>#N/A</v>
      </c>
      <c r="AX117" s="600"/>
    </row>
    <row r="118" spans="2:50">
      <c r="B118" s="598"/>
      <c r="C118" s="357">
        <v>12</v>
      </c>
      <c r="D118" s="231"/>
      <c r="E118" s="187"/>
      <c r="F118" s="357"/>
      <c r="G118" s="360"/>
      <c r="H118" s="633"/>
      <c r="I118" s="204"/>
      <c r="J118" s="204"/>
      <c r="K118" s="205"/>
      <c r="L118" s="572"/>
      <c r="M118" s="368" t="e">
        <f>RANK(K118, K$107:$K$121)</f>
        <v>#DIV/0!</v>
      </c>
      <c r="N118" s="590"/>
      <c r="O118" s="590"/>
      <c r="P118" s="357"/>
      <c r="Q118" s="187"/>
      <c r="R118" s="360"/>
      <c r="S118" s="367" t="e">
        <f t="shared" si="55"/>
        <v>#N/A</v>
      </c>
      <c r="T118" s="600"/>
      <c r="U118" s="378"/>
      <c r="V118" s="187"/>
      <c r="W118" s="379"/>
      <c r="X118" s="367" t="e">
        <f t="shared" si="65"/>
        <v>#N/A</v>
      </c>
      <c r="Y118" s="600"/>
      <c r="Z118" s="378"/>
      <c r="AA118" s="187"/>
      <c r="AB118" s="379"/>
      <c r="AC118" s="367" t="e">
        <f t="shared" si="66"/>
        <v>#N/A</v>
      </c>
      <c r="AD118" s="600"/>
      <c r="AE118" s="378"/>
      <c r="AF118" s="187"/>
      <c r="AG118" s="379"/>
      <c r="AH118" s="367" t="e">
        <f t="shared" si="67"/>
        <v>#N/A</v>
      </c>
      <c r="AI118" s="600"/>
      <c r="AJ118" s="378"/>
      <c r="AK118" s="187"/>
      <c r="AL118" s="379"/>
      <c r="AM118" s="367" t="e">
        <f t="shared" si="68"/>
        <v>#N/A</v>
      </c>
      <c r="AN118" s="600"/>
      <c r="AO118" s="378"/>
      <c r="AP118" s="187"/>
      <c r="AQ118" s="379"/>
      <c r="AR118" s="367" t="e">
        <f t="shared" si="69"/>
        <v>#N/A</v>
      </c>
      <c r="AS118" s="600"/>
      <c r="AT118" s="378"/>
      <c r="AU118" s="187"/>
      <c r="AV118" s="379"/>
      <c r="AW118" s="367" t="e">
        <f t="shared" si="70"/>
        <v>#N/A</v>
      </c>
      <c r="AX118" s="600"/>
    </row>
    <row r="119" spans="2:50">
      <c r="B119" s="598"/>
      <c r="C119" s="357">
        <v>13</v>
      </c>
      <c r="D119" s="231"/>
      <c r="E119" s="187"/>
      <c r="F119" s="357"/>
      <c r="G119" s="360"/>
      <c r="H119" s="633"/>
      <c r="I119" s="204"/>
      <c r="J119" s="204"/>
      <c r="K119" s="205"/>
      <c r="L119" s="572"/>
      <c r="M119" s="368" t="e">
        <f>RANK(K119, K$107:$K$121)</f>
        <v>#DIV/0!</v>
      </c>
      <c r="N119" s="590"/>
      <c r="O119" s="590"/>
      <c r="P119" s="357"/>
      <c r="Q119" s="187"/>
      <c r="R119" s="360"/>
      <c r="S119" s="367" t="e">
        <f t="shared" si="55"/>
        <v>#N/A</v>
      </c>
      <c r="T119" s="600"/>
      <c r="U119" s="378"/>
      <c r="V119" s="187"/>
      <c r="W119" s="379"/>
      <c r="X119" s="367" t="e">
        <f t="shared" si="65"/>
        <v>#N/A</v>
      </c>
      <c r="Y119" s="600"/>
      <c r="Z119" s="378"/>
      <c r="AA119" s="187"/>
      <c r="AB119" s="379"/>
      <c r="AC119" s="367" t="e">
        <f t="shared" si="66"/>
        <v>#N/A</v>
      </c>
      <c r="AD119" s="600"/>
      <c r="AE119" s="378"/>
      <c r="AF119" s="187"/>
      <c r="AG119" s="379"/>
      <c r="AH119" s="367" t="e">
        <f t="shared" si="67"/>
        <v>#N/A</v>
      </c>
      <c r="AI119" s="600"/>
      <c r="AJ119" s="378"/>
      <c r="AK119" s="187"/>
      <c r="AL119" s="379"/>
      <c r="AM119" s="367" t="e">
        <f t="shared" si="68"/>
        <v>#N/A</v>
      </c>
      <c r="AN119" s="600"/>
      <c r="AO119" s="378"/>
      <c r="AP119" s="187"/>
      <c r="AQ119" s="379"/>
      <c r="AR119" s="367" t="e">
        <f t="shared" si="69"/>
        <v>#N/A</v>
      </c>
      <c r="AS119" s="600"/>
      <c r="AT119" s="378"/>
      <c r="AU119" s="187"/>
      <c r="AV119" s="379"/>
      <c r="AW119" s="367" t="e">
        <f t="shared" si="70"/>
        <v>#N/A</v>
      </c>
      <c r="AX119" s="600"/>
    </row>
    <row r="120" spans="2:50">
      <c r="B120" s="598"/>
      <c r="C120" s="357">
        <v>14</v>
      </c>
      <c r="D120" s="231"/>
      <c r="E120" s="187"/>
      <c r="F120" s="357"/>
      <c r="G120" s="360"/>
      <c r="H120" s="633"/>
      <c r="I120" s="204"/>
      <c r="J120" s="204"/>
      <c r="K120" s="205"/>
      <c r="L120" s="572"/>
      <c r="M120" s="368" t="e">
        <f>RANK(K120, K$107:$K$121)</f>
        <v>#DIV/0!</v>
      </c>
      <c r="N120" s="590"/>
      <c r="O120" s="590"/>
      <c r="P120" s="357"/>
      <c r="Q120" s="187"/>
      <c r="R120" s="360"/>
      <c r="S120" s="367" t="e">
        <f t="shared" si="55"/>
        <v>#N/A</v>
      </c>
      <c r="T120" s="600"/>
      <c r="U120" s="378"/>
      <c r="V120" s="187"/>
      <c r="W120" s="379"/>
      <c r="X120" s="367" t="e">
        <f t="shared" si="65"/>
        <v>#N/A</v>
      </c>
      <c r="Y120" s="600"/>
      <c r="Z120" s="378"/>
      <c r="AA120" s="187"/>
      <c r="AB120" s="379"/>
      <c r="AC120" s="367" t="e">
        <f t="shared" si="66"/>
        <v>#N/A</v>
      </c>
      <c r="AD120" s="600"/>
      <c r="AE120" s="378"/>
      <c r="AF120" s="187"/>
      <c r="AG120" s="379"/>
      <c r="AH120" s="367" t="e">
        <f t="shared" si="67"/>
        <v>#N/A</v>
      </c>
      <c r="AI120" s="600"/>
      <c r="AJ120" s="378"/>
      <c r="AK120" s="187"/>
      <c r="AL120" s="379"/>
      <c r="AM120" s="367" t="e">
        <f t="shared" si="68"/>
        <v>#N/A</v>
      </c>
      <c r="AN120" s="600"/>
      <c r="AO120" s="378"/>
      <c r="AP120" s="187"/>
      <c r="AQ120" s="379"/>
      <c r="AR120" s="367" t="e">
        <f t="shared" si="69"/>
        <v>#N/A</v>
      </c>
      <c r="AS120" s="600"/>
      <c r="AT120" s="378"/>
      <c r="AU120" s="187"/>
      <c r="AV120" s="379"/>
      <c r="AW120" s="367" t="e">
        <f t="shared" si="70"/>
        <v>#N/A</v>
      </c>
      <c r="AX120" s="600"/>
    </row>
    <row r="121" spans="2:50">
      <c r="B121" s="598"/>
      <c r="C121" s="357">
        <v>15</v>
      </c>
      <c r="D121" s="231"/>
      <c r="E121" s="187"/>
      <c r="F121" s="357"/>
      <c r="G121" s="360"/>
      <c r="H121" s="634"/>
      <c r="I121" s="204"/>
      <c r="J121" s="204"/>
      <c r="K121" s="205"/>
      <c r="L121" s="573"/>
      <c r="M121" s="368" t="e">
        <f>RANK(K121, K$107:$K$121)</f>
        <v>#DIV/0!</v>
      </c>
      <c r="N121" s="590"/>
      <c r="O121" s="590"/>
      <c r="P121" s="357"/>
      <c r="Q121" s="187"/>
      <c r="R121" s="360"/>
      <c r="S121" s="367" t="e">
        <f t="shared" si="55"/>
        <v>#N/A</v>
      </c>
      <c r="T121" s="601"/>
      <c r="U121" s="378"/>
      <c r="V121" s="187"/>
      <c r="W121" s="379"/>
      <c r="X121" s="367" t="e">
        <f t="shared" si="65"/>
        <v>#N/A</v>
      </c>
      <c r="Y121" s="601"/>
      <c r="Z121" s="378"/>
      <c r="AA121" s="187"/>
      <c r="AB121" s="379"/>
      <c r="AC121" s="367" t="e">
        <f t="shared" si="66"/>
        <v>#N/A</v>
      </c>
      <c r="AD121" s="601"/>
      <c r="AE121" s="378"/>
      <c r="AF121" s="187"/>
      <c r="AG121" s="379"/>
      <c r="AH121" s="367" t="e">
        <f t="shared" si="67"/>
        <v>#N/A</v>
      </c>
      <c r="AI121" s="601"/>
      <c r="AJ121" s="378"/>
      <c r="AK121" s="187"/>
      <c r="AL121" s="379"/>
      <c r="AM121" s="367" t="e">
        <f t="shared" si="68"/>
        <v>#N/A</v>
      </c>
      <c r="AN121" s="601"/>
      <c r="AO121" s="378"/>
      <c r="AP121" s="187"/>
      <c r="AQ121" s="379"/>
      <c r="AR121" s="367" t="e">
        <f t="shared" si="69"/>
        <v>#N/A</v>
      </c>
      <c r="AS121" s="601"/>
      <c r="AT121" s="378"/>
      <c r="AU121" s="187"/>
      <c r="AV121" s="379"/>
      <c r="AW121" s="367" t="e">
        <f t="shared" si="70"/>
        <v>#N/A</v>
      </c>
      <c r="AX121" s="601"/>
    </row>
    <row r="123" spans="2:50" ht="15.75">
      <c r="B123" s="623" t="s">
        <v>668</v>
      </c>
      <c r="C123" s="624"/>
      <c r="D123" s="624"/>
      <c r="E123" s="624"/>
      <c r="F123" s="624"/>
      <c r="G123" s="624"/>
      <c r="H123" s="625"/>
      <c r="I123" s="361"/>
      <c r="J123" s="361"/>
      <c r="K123" s="361"/>
      <c r="L123" s="361"/>
      <c r="M123" s="362"/>
    </row>
    <row r="124" spans="2:50" ht="15.75">
      <c r="B124" s="626"/>
      <c r="C124" s="626"/>
      <c r="D124" s="626"/>
      <c r="E124" s="626"/>
      <c r="F124" s="626"/>
      <c r="G124" s="626"/>
      <c r="H124" s="626"/>
      <c r="I124" s="363"/>
      <c r="J124" s="363"/>
      <c r="K124" s="363"/>
      <c r="L124" s="363"/>
      <c r="M124" s="364"/>
    </row>
    <row r="125" spans="2:50">
      <c r="B125" s="590" t="s">
        <v>669</v>
      </c>
      <c r="C125" s="590" t="s">
        <v>670</v>
      </c>
      <c r="D125" s="590"/>
      <c r="E125" s="590" t="s">
        <v>671</v>
      </c>
      <c r="F125" s="590"/>
      <c r="G125" s="590"/>
      <c r="H125" s="606" t="s">
        <v>672</v>
      </c>
      <c r="I125" s="627" t="s">
        <v>673</v>
      </c>
      <c r="J125" s="627"/>
      <c r="K125" s="627"/>
      <c r="L125" s="643" t="s">
        <v>672</v>
      </c>
      <c r="M125" s="646" t="s">
        <v>674</v>
      </c>
    </row>
    <row r="126" spans="2:50">
      <c r="B126" s="590"/>
      <c r="C126" s="590"/>
      <c r="D126" s="590"/>
      <c r="E126" s="590" t="s">
        <v>675</v>
      </c>
      <c r="F126" s="590"/>
      <c r="G126" s="590"/>
      <c r="H126" s="607"/>
      <c r="I126" s="627" t="s">
        <v>675</v>
      </c>
      <c r="J126" s="627"/>
      <c r="K126" s="627"/>
      <c r="L126" s="644"/>
      <c r="M126" s="647"/>
    </row>
    <row r="127" spans="2:50">
      <c r="B127" s="590"/>
      <c r="C127" s="590"/>
      <c r="D127" s="590"/>
      <c r="E127" s="358" t="s">
        <v>676</v>
      </c>
      <c r="F127" s="358" t="s">
        <v>677</v>
      </c>
      <c r="G127" s="358" t="s">
        <v>678</v>
      </c>
      <c r="H127" s="608"/>
      <c r="I127" s="365" t="s">
        <v>676</v>
      </c>
      <c r="J127" s="365" t="s">
        <v>677</v>
      </c>
      <c r="K127" s="365" t="s">
        <v>678</v>
      </c>
      <c r="L127" s="645"/>
      <c r="M127" s="648"/>
    </row>
    <row r="128" spans="2:50">
      <c r="B128" s="590" t="s">
        <v>686</v>
      </c>
      <c r="C128" s="357">
        <v>1</v>
      </c>
      <c r="D128" s="231"/>
      <c r="E128" s="187"/>
      <c r="F128" s="357"/>
      <c r="G128" s="360"/>
      <c r="H128" s="632" t="e">
        <f>AVERAGE(G128:G142)</f>
        <v>#DIV/0!</v>
      </c>
      <c r="I128" s="204" t="e">
        <f t="shared" ref="I128:J133" si="71">AVERAGEIF($D$7:$D$121,$D128,I$7:I$121)</f>
        <v>#DIV/0!</v>
      </c>
      <c r="J128" s="204" t="e">
        <f t="shared" si="71"/>
        <v>#DIV/0!</v>
      </c>
      <c r="K128" s="204" t="e">
        <f t="shared" ref="K128:K133" si="72">AVERAGEIF($D$7:$D$121,$D128,K$7:K$121)</f>
        <v>#DIV/0!</v>
      </c>
      <c r="L128" s="640" t="e">
        <f>AVERAGE(K128:K142)</f>
        <v>#DIV/0!</v>
      </c>
      <c r="M128" s="204" t="e">
        <f>RANK(K128, K$128:$K$142)</f>
        <v>#DIV/0!</v>
      </c>
    </row>
    <row r="129" spans="2:13">
      <c r="B129" s="598"/>
      <c r="C129" s="357">
        <v>2</v>
      </c>
      <c r="D129" s="231"/>
      <c r="E129" s="187"/>
      <c r="F129" s="357"/>
      <c r="G129" s="360"/>
      <c r="H129" s="633"/>
      <c r="I129" s="204" t="e">
        <f t="shared" si="71"/>
        <v>#DIV/0!</v>
      </c>
      <c r="J129" s="204" t="e">
        <f t="shared" si="71"/>
        <v>#DIV/0!</v>
      </c>
      <c r="K129" s="204" t="e">
        <f t="shared" si="72"/>
        <v>#DIV/0!</v>
      </c>
      <c r="L129" s="641"/>
      <c r="M129" s="204" t="e">
        <f>RANK(K129, K$128:$K$142)</f>
        <v>#DIV/0!</v>
      </c>
    </row>
    <row r="130" spans="2:13">
      <c r="B130" s="598"/>
      <c r="C130" s="357">
        <v>3</v>
      </c>
      <c r="D130" s="231"/>
      <c r="E130" s="187"/>
      <c r="F130" s="357"/>
      <c r="G130" s="360"/>
      <c r="H130" s="633"/>
      <c r="I130" s="204" t="e">
        <f t="shared" si="71"/>
        <v>#DIV/0!</v>
      </c>
      <c r="J130" s="204" t="e">
        <f t="shared" si="71"/>
        <v>#DIV/0!</v>
      </c>
      <c r="K130" s="204" t="e">
        <f t="shared" si="72"/>
        <v>#DIV/0!</v>
      </c>
      <c r="L130" s="641"/>
      <c r="M130" s="204" t="e">
        <f>RANK(K130, K$128:$K$142)</f>
        <v>#DIV/0!</v>
      </c>
    </row>
    <row r="131" spans="2:13">
      <c r="B131" s="598"/>
      <c r="C131" s="357">
        <v>4</v>
      </c>
      <c r="D131" s="231"/>
      <c r="E131" s="187"/>
      <c r="F131" s="357"/>
      <c r="G131" s="360"/>
      <c r="H131" s="633"/>
      <c r="I131" s="204" t="e">
        <f t="shared" si="71"/>
        <v>#DIV/0!</v>
      </c>
      <c r="J131" s="204" t="e">
        <f t="shared" si="71"/>
        <v>#DIV/0!</v>
      </c>
      <c r="K131" s="204" t="e">
        <f t="shared" si="72"/>
        <v>#DIV/0!</v>
      </c>
      <c r="L131" s="641"/>
      <c r="M131" s="204" t="e">
        <f>RANK(K131, K$128:$K$142)</f>
        <v>#DIV/0!</v>
      </c>
    </row>
    <row r="132" spans="2:13">
      <c r="B132" s="598"/>
      <c r="C132" s="357">
        <v>5</v>
      </c>
      <c r="D132" s="231"/>
      <c r="E132" s="187"/>
      <c r="F132" s="357"/>
      <c r="G132" s="360"/>
      <c r="H132" s="633"/>
      <c r="I132" s="204" t="e">
        <f t="shared" si="71"/>
        <v>#DIV/0!</v>
      </c>
      <c r="J132" s="204" t="e">
        <f t="shared" si="71"/>
        <v>#DIV/0!</v>
      </c>
      <c r="K132" s="204" t="e">
        <f t="shared" si="72"/>
        <v>#DIV/0!</v>
      </c>
      <c r="L132" s="641"/>
      <c r="M132" s="204" t="e">
        <f>RANK(K132, K$128:$K$142)</f>
        <v>#DIV/0!</v>
      </c>
    </row>
    <row r="133" spans="2:13">
      <c r="B133" s="598"/>
      <c r="C133" s="357">
        <v>6</v>
      </c>
      <c r="D133" s="366"/>
      <c r="E133" s="187"/>
      <c r="F133" s="357"/>
      <c r="G133" s="360"/>
      <c r="H133" s="633"/>
      <c r="I133" s="204" t="e">
        <f t="shared" si="71"/>
        <v>#DIV/0!</v>
      </c>
      <c r="J133" s="204" t="e">
        <f t="shared" si="71"/>
        <v>#DIV/0!</v>
      </c>
      <c r="K133" s="204" t="e">
        <f t="shared" si="72"/>
        <v>#DIV/0!</v>
      </c>
      <c r="L133" s="641"/>
      <c r="M133" s="204" t="e">
        <f>RANK(K133, K$128:$K$142)</f>
        <v>#DIV/0!</v>
      </c>
    </row>
    <row r="134" spans="2:13">
      <c r="B134" s="598"/>
      <c r="C134" s="357">
        <v>7</v>
      </c>
      <c r="D134" s="231"/>
      <c r="E134" s="187"/>
      <c r="F134" s="357"/>
      <c r="G134" s="360"/>
      <c r="H134" s="633"/>
      <c r="I134" s="204"/>
      <c r="J134" s="204"/>
      <c r="K134" s="204"/>
      <c r="L134" s="641"/>
      <c r="M134" s="204" t="e">
        <f>RANK(K134, K$128:$K$142)</f>
        <v>#DIV/0!</v>
      </c>
    </row>
    <row r="135" spans="2:13">
      <c r="B135" s="598"/>
      <c r="C135" s="357">
        <v>8</v>
      </c>
      <c r="D135" s="231"/>
      <c r="E135" s="187"/>
      <c r="F135" s="357"/>
      <c r="G135" s="360"/>
      <c r="H135" s="633"/>
      <c r="I135" s="204"/>
      <c r="J135" s="204"/>
      <c r="K135" s="204"/>
      <c r="L135" s="641"/>
      <c r="M135" s="204" t="e">
        <f>RANK(K135, K$128:$K$142)</f>
        <v>#DIV/0!</v>
      </c>
    </row>
    <row r="136" spans="2:13">
      <c r="B136" s="598"/>
      <c r="C136" s="357">
        <v>9</v>
      </c>
      <c r="D136" s="231"/>
      <c r="E136" s="357"/>
      <c r="F136" s="357"/>
      <c r="G136" s="357"/>
      <c r="H136" s="633"/>
      <c r="I136" s="204"/>
      <c r="J136" s="204"/>
      <c r="K136" s="204"/>
      <c r="L136" s="641"/>
      <c r="M136" s="204" t="e">
        <f>RANK(K136, K$128:$K$142)</f>
        <v>#DIV/0!</v>
      </c>
    </row>
    <row r="137" spans="2:13">
      <c r="B137" s="598"/>
      <c r="C137" s="357">
        <v>10</v>
      </c>
      <c r="D137" s="231"/>
      <c r="E137" s="357"/>
      <c r="F137" s="357"/>
      <c r="G137" s="357"/>
      <c r="H137" s="633"/>
      <c r="I137" s="204"/>
      <c r="J137" s="204"/>
      <c r="K137" s="204"/>
      <c r="L137" s="641"/>
      <c r="M137" s="204" t="e">
        <f>RANK(K137, K$128:$K$142)</f>
        <v>#DIV/0!</v>
      </c>
    </row>
    <row r="138" spans="2:13">
      <c r="B138" s="598"/>
      <c r="C138" s="357">
        <v>11</v>
      </c>
      <c r="D138" s="231"/>
      <c r="E138" s="357"/>
      <c r="F138" s="357"/>
      <c r="G138" s="357"/>
      <c r="H138" s="633"/>
      <c r="I138" s="204"/>
      <c r="J138" s="204"/>
      <c r="K138" s="204"/>
      <c r="L138" s="641"/>
      <c r="M138" s="204" t="e">
        <f>RANK(K138, K$128:$K$142)</f>
        <v>#DIV/0!</v>
      </c>
    </row>
    <row r="139" spans="2:13">
      <c r="B139" s="598"/>
      <c r="C139" s="357">
        <v>12</v>
      </c>
      <c r="D139" s="231"/>
      <c r="E139" s="357"/>
      <c r="F139" s="357"/>
      <c r="G139" s="357"/>
      <c r="H139" s="633"/>
      <c r="I139" s="204"/>
      <c r="J139" s="204"/>
      <c r="K139" s="204"/>
      <c r="L139" s="641"/>
      <c r="M139" s="204" t="e">
        <f>RANK(K139, K$128:$K$142)</f>
        <v>#DIV/0!</v>
      </c>
    </row>
    <row r="140" spans="2:13">
      <c r="B140" s="598"/>
      <c r="C140" s="357">
        <v>13</v>
      </c>
      <c r="D140" s="231"/>
      <c r="E140" s="357"/>
      <c r="F140" s="357"/>
      <c r="G140" s="357"/>
      <c r="H140" s="633"/>
      <c r="I140" s="204"/>
      <c r="J140" s="204"/>
      <c r="K140" s="204"/>
      <c r="L140" s="641"/>
      <c r="M140" s="204" t="e">
        <f>RANK(K140, K$128:$K$142)</f>
        <v>#DIV/0!</v>
      </c>
    </row>
    <row r="141" spans="2:13">
      <c r="B141" s="598"/>
      <c r="C141" s="357">
        <v>14</v>
      </c>
      <c r="D141" s="231"/>
      <c r="E141" s="357"/>
      <c r="F141" s="357"/>
      <c r="G141" s="357"/>
      <c r="H141" s="633"/>
      <c r="I141" s="204"/>
      <c r="J141" s="204"/>
      <c r="K141" s="204"/>
      <c r="L141" s="641"/>
      <c r="M141" s="204" t="e">
        <f>RANK(K141, K$128:$K$142)</f>
        <v>#DIV/0!</v>
      </c>
    </row>
    <row r="142" spans="2:13">
      <c r="B142" s="598"/>
      <c r="C142" s="357">
        <v>15</v>
      </c>
      <c r="D142" s="231"/>
      <c r="E142" s="357"/>
      <c r="F142" s="357"/>
      <c r="G142" s="357"/>
      <c r="H142" s="634"/>
      <c r="I142" s="204"/>
      <c r="J142" s="204"/>
      <c r="K142" s="204"/>
      <c r="L142" s="642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90" zoomScaleNormal="90" zoomScaleSheetLayoutView="100" workbookViewId="0">
      <selection sqref="A1:L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1" t="s">
        <v>204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120"/>
    </row>
    <row r="2" spans="1:13" s="121" customFormat="1" ht="15.75" customHeight="1">
      <c r="A2" s="541"/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</row>
    <row r="3" spans="1:13" ht="15.75" customHeight="1">
      <c r="A3" s="669" t="s">
        <v>205</v>
      </c>
      <c r="B3" s="670"/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156"/>
    </row>
    <row r="4" spans="1:13" s="121" customFormat="1" ht="15.75" customHeight="1">
      <c r="A4" s="670"/>
      <c r="B4" s="670"/>
      <c r="C4" s="670"/>
      <c r="D4" s="670"/>
      <c r="E4" s="670"/>
      <c r="F4" s="670"/>
      <c r="G4" s="670"/>
      <c r="H4" s="670"/>
      <c r="I4" s="670"/>
      <c r="J4" s="670"/>
      <c r="K4" s="670"/>
      <c r="L4" s="670"/>
      <c r="M4" s="131"/>
    </row>
    <row r="5" spans="1:13" s="158" customFormat="1" ht="16.350000000000001" customHeight="1">
      <c r="A5" s="683" t="s">
        <v>154</v>
      </c>
      <c r="B5" s="171">
        <v>1</v>
      </c>
      <c r="C5" s="171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683"/>
      <c r="B6" s="172" t="s">
        <v>206</v>
      </c>
      <c r="C6" s="172" t="s">
        <v>151</v>
      </c>
      <c r="D6" s="161" t="s">
        <v>207</v>
      </c>
      <c r="E6" s="161" t="s">
        <v>153</v>
      </c>
      <c r="F6" s="162" t="s">
        <v>133</v>
      </c>
      <c r="G6" s="163" t="s">
        <v>131</v>
      </c>
      <c r="H6" s="164" t="s">
        <v>208</v>
      </c>
      <c r="I6" s="163" t="s">
        <v>209</v>
      </c>
      <c r="J6" s="163" t="s">
        <v>137</v>
      </c>
      <c r="K6" s="159"/>
      <c r="L6" s="159"/>
      <c r="M6" s="131"/>
    </row>
    <row r="7" spans="1:13" s="158" customFormat="1" ht="15.75" customHeight="1">
      <c r="A7" s="685" t="s">
        <v>187</v>
      </c>
      <c r="B7" s="685"/>
      <c r="C7" s="167" t="s">
        <v>47</v>
      </c>
      <c r="D7" s="685" t="s">
        <v>12</v>
      </c>
      <c r="E7" s="686"/>
      <c r="F7" s="686"/>
      <c r="G7" s="466" t="s">
        <v>766</v>
      </c>
      <c r="H7" s="466" t="s">
        <v>767</v>
      </c>
      <c r="I7" s="466" t="s">
        <v>768</v>
      </c>
      <c r="J7" s="227" t="s">
        <v>769</v>
      </c>
      <c r="K7" s="685" t="s">
        <v>770</v>
      </c>
      <c r="L7" s="686"/>
      <c r="M7" s="157"/>
    </row>
    <row r="8" spans="1:13" ht="15.75" customHeight="1">
      <c r="A8" s="683">
        <v>1</v>
      </c>
      <c r="B8" s="685" t="s">
        <v>150</v>
      </c>
      <c r="C8" s="315">
        <v>1</v>
      </c>
      <c r="D8" s="671" t="s">
        <v>368</v>
      </c>
      <c r="E8" s="672"/>
      <c r="F8" s="673"/>
      <c r="G8" s="160">
        <v>3</v>
      </c>
      <c r="H8" s="245">
        <v>3068.639455782311</v>
      </c>
      <c r="I8" s="245">
        <v>1022.8798185941035</v>
      </c>
      <c r="J8" s="246" t="s">
        <v>823</v>
      </c>
      <c r="K8" s="655"/>
      <c r="L8" s="656"/>
      <c r="M8" s="131"/>
    </row>
    <row r="9" spans="1:13" ht="15.75" customHeight="1">
      <c r="A9" s="683"/>
      <c r="B9" s="685"/>
      <c r="C9" s="315">
        <v>2</v>
      </c>
      <c r="D9" s="671" t="s">
        <v>787</v>
      </c>
      <c r="E9" s="672"/>
      <c r="F9" s="673"/>
      <c r="G9" s="160">
        <v>3</v>
      </c>
      <c r="H9" s="245">
        <v>2771.5890538033404</v>
      </c>
      <c r="I9" s="245">
        <v>923.86301793444659</v>
      </c>
      <c r="J9" s="247" t="s">
        <v>824</v>
      </c>
      <c r="K9" s="657" t="s">
        <v>825</v>
      </c>
      <c r="L9" s="658"/>
      <c r="M9" s="131"/>
    </row>
    <row r="10" spans="1:13" ht="15.75" customHeight="1">
      <c r="A10" s="683"/>
      <c r="B10" s="685"/>
      <c r="C10" s="315">
        <v>3</v>
      </c>
      <c r="D10" s="671" t="s">
        <v>366</v>
      </c>
      <c r="E10" s="672"/>
      <c r="F10" s="673"/>
      <c r="G10" s="160">
        <v>3</v>
      </c>
      <c r="H10" s="245">
        <v>2769.3067008179773</v>
      </c>
      <c r="I10" s="245">
        <v>923.10223360599241</v>
      </c>
      <c r="J10" s="247" t="s">
        <v>824</v>
      </c>
      <c r="K10" s="655"/>
      <c r="L10" s="656"/>
      <c r="M10" s="131"/>
    </row>
    <row r="11" spans="1:13" ht="15.75" customHeight="1">
      <c r="A11" s="683"/>
      <c r="B11" s="685"/>
      <c r="C11" s="315">
        <v>4</v>
      </c>
      <c r="D11" s="671" t="s">
        <v>372</v>
      </c>
      <c r="E11" s="672"/>
      <c r="F11" s="673"/>
      <c r="G11" s="160">
        <v>3</v>
      </c>
      <c r="H11" s="245">
        <v>2758.0248008838093</v>
      </c>
      <c r="I11" s="245">
        <v>919.3416002946027</v>
      </c>
      <c r="J11" s="248" t="s">
        <v>826</v>
      </c>
      <c r="K11" s="661" t="s">
        <v>827</v>
      </c>
      <c r="L11" s="662"/>
      <c r="M11" s="131"/>
    </row>
    <row r="12" spans="1:13" ht="15.75" customHeight="1">
      <c r="A12" s="683"/>
      <c r="B12" s="685"/>
      <c r="C12" s="315">
        <v>5</v>
      </c>
      <c r="D12" s="671" t="s">
        <v>371</v>
      </c>
      <c r="E12" s="672"/>
      <c r="F12" s="673"/>
      <c r="G12" s="160">
        <v>3</v>
      </c>
      <c r="H12" s="245">
        <v>2744.2751223110822</v>
      </c>
      <c r="I12" s="245">
        <v>914.758374103694</v>
      </c>
      <c r="J12" s="248" t="s">
        <v>826</v>
      </c>
      <c r="K12" s="663"/>
      <c r="L12" s="664"/>
      <c r="M12" s="131"/>
    </row>
    <row r="13" spans="1:13" ht="15.75" customHeight="1">
      <c r="A13" s="683"/>
      <c r="B13" s="685"/>
      <c r="C13" s="170" t="s">
        <v>509</v>
      </c>
      <c r="D13" s="678" t="s">
        <v>816</v>
      </c>
      <c r="E13" s="679"/>
      <c r="F13" s="680"/>
      <c r="G13" s="160">
        <v>4</v>
      </c>
      <c r="H13" s="245">
        <v>2336.207792207801</v>
      </c>
      <c r="I13" s="245">
        <v>584.05194805195026</v>
      </c>
      <c r="J13" s="246" t="s">
        <v>823</v>
      </c>
      <c r="K13" s="665" t="s">
        <v>828</v>
      </c>
      <c r="L13" s="666"/>
      <c r="M13" s="131"/>
    </row>
    <row r="14" spans="1:13" ht="15.75" customHeight="1">
      <c r="A14" s="683"/>
      <c r="B14" s="685"/>
      <c r="C14" s="170" t="s">
        <v>510</v>
      </c>
      <c r="D14" s="678" t="s">
        <v>815</v>
      </c>
      <c r="E14" s="679"/>
      <c r="F14" s="680"/>
      <c r="G14" s="160">
        <v>4</v>
      </c>
      <c r="H14" s="245">
        <v>2720.4675324675341</v>
      </c>
      <c r="I14" s="245">
        <v>680.11688311688351</v>
      </c>
      <c r="J14" s="246" t="s">
        <v>823</v>
      </c>
      <c r="K14" s="667"/>
      <c r="L14" s="668"/>
      <c r="M14" s="131"/>
    </row>
    <row r="15" spans="1:13" ht="15.75" customHeight="1">
      <c r="A15" s="683"/>
      <c r="B15" s="685"/>
      <c r="C15" s="170" t="s">
        <v>511</v>
      </c>
      <c r="D15" s="671" t="s">
        <v>370</v>
      </c>
      <c r="E15" s="672"/>
      <c r="F15" s="673"/>
      <c r="G15" s="160">
        <v>4</v>
      </c>
      <c r="H15" s="245">
        <v>2742.257043357883</v>
      </c>
      <c r="I15" s="245">
        <v>685.56426083947076</v>
      </c>
      <c r="J15" s="246" t="s">
        <v>823</v>
      </c>
      <c r="K15" s="651"/>
      <c r="L15" s="652"/>
      <c r="M15" s="131"/>
    </row>
    <row r="16" spans="1:13" ht="15.75" customHeight="1">
      <c r="A16" s="683"/>
      <c r="B16" s="685"/>
      <c r="C16" s="170" t="s">
        <v>512</v>
      </c>
      <c r="D16" s="671" t="s">
        <v>380</v>
      </c>
      <c r="E16" s="672"/>
      <c r="F16" s="673"/>
      <c r="G16" s="160">
        <v>4</v>
      </c>
      <c r="H16" s="245">
        <v>2755.7617168180113</v>
      </c>
      <c r="I16" s="245">
        <v>688.94042920450283</v>
      </c>
      <c r="J16" s="246" t="s">
        <v>823</v>
      </c>
      <c r="K16" s="659"/>
      <c r="L16" s="660"/>
      <c r="M16" s="156"/>
    </row>
    <row r="17" spans="1:13" ht="15.75" customHeight="1">
      <c r="A17" s="683"/>
      <c r="B17" s="685"/>
      <c r="C17" s="170" t="s">
        <v>513</v>
      </c>
      <c r="D17" s="671" t="s">
        <v>426</v>
      </c>
      <c r="E17" s="672"/>
      <c r="F17" s="673"/>
      <c r="G17" s="160">
        <v>4</v>
      </c>
      <c r="H17" s="245">
        <v>2759.4571428571435</v>
      </c>
      <c r="I17" s="245">
        <v>689.86428571428587</v>
      </c>
      <c r="J17" s="246" t="s">
        <v>823</v>
      </c>
      <c r="K17" s="651"/>
      <c r="L17" s="652"/>
      <c r="M17" s="156"/>
    </row>
    <row r="18" spans="1:13" s="166" customFormat="1" ht="15.75" customHeight="1">
      <c r="A18" s="681" t="s">
        <v>187</v>
      </c>
      <c r="B18" s="681"/>
      <c r="C18" s="316" t="s">
        <v>514</v>
      </c>
      <c r="D18" s="681" t="s">
        <v>12</v>
      </c>
      <c r="E18" s="682"/>
      <c r="F18" s="682"/>
      <c r="G18" s="498" t="s">
        <v>829</v>
      </c>
      <c r="H18" s="498" t="s">
        <v>830</v>
      </c>
      <c r="I18" s="498" t="s">
        <v>831</v>
      </c>
      <c r="J18" s="227" t="s">
        <v>832</v>
      </c>
      <c r="K18" s="681" t="s">
        <v>833</v>
      </c>
      <c r="L18" s="682"/>
      <c r="M18" s="159"/>
    </row>
    <row r="19" spans="1:13" ht="15.75" customHeight="1">
      <c r="A19" s="683">
        <v>2</v>
      </c>
      <c r="B19" s="685" t="s">
        <v>151</v>
      </c>
      <c r="C19" s="315">
        <v>1</v>
      </c>
      <c r="D19" s="671" t="s">
        <v>691</v>
      </c>
      <c r="E19" s="672"/>
      <c r="F19" s="673"/>
      <c r="G19" s="160">
        <v>5</v>
      </c>
      <c r="H19" s="245">
        <v>1510.891738825959</v>
      </c>
      <c r="I19" s="245">
        <v>302.17834776519169</v>
      </c>
      <c r="J19" s="246" t="s">
        <v>823</v>
      </c>
      <c r="K19" s="649"/>
      <c r="L19" s="650"/>
      <c r="M19" s="156"/>
    </row>
    <row r="20" spans="1:13" ht="15.75" customHeight="1">
      <c r="A20" s="683"/>
      <c r="B20" s="685"/>
      <c r="C20" s="315">
        <v>2</v>
      </c>
      <c r="D20" s="671" t="s">
        <v>789</v>
      </c>
      <c r="E20" s="672"/>
      <c r="F20" s="673"/>
      <c r="G20" s="160">
        <v>5</v>
      </c>
      <c r="H20" s="245">
        <v>1495.08444578443</v>
      </c>
      <c r="I20" s="245">
        <v>299.01688915688607</v>
      </c>
      <c r="J20" s="246" t="s">
        <v>823</v>
      </c>
      <c r="K20" s="649"/>
      <c r="L20" s="650"/>
      <c r="M20" s="156"/>
    </row>
    <row r="21" spans="1:13" ht="15.75" customHeight="1">
      <c r="A21" s="683"/>
      <c r="B21" s="685"/>
      <c r="C21" s="315">
        <v>3</v>
      </c>
      <c r="D21" s="671" t="s">
        <v>659</v>
      </c>
      <c r="E21" s="672"/>
      <c r="F21" s="673"/>
      <c r="G21" s="245">
        <v>5</v>
      </c>
      <c r="H21" s="245">
        <v>1491.6161480475039</v>
      </c>
      <c r="I21" s="245">
        <v>298.32322960950074</v>
      </c>
      <c r="J21" s="248" t="s">
        <v>826</v>
      </c>
      <c r="K21" s="649" t="s">
        <v>834</v>
      </c>
      <c r="L21" s="650"/>
      <c r="M21" s="156"/>
    </row>
    <row r="22" spans="1:13" ht="15.75" customHeight="1">
      <c r="A22" s="683"/>
      <c r="B22" s="685"/>
      <c r="C22" s="315">
        <v>4</v>
      </c>
      <c r="D22" s="671" t="s">
        <v>382</v>
      </c>
      <c r="E22" s="672"/>
      <c r="F22" s="673"/>
      <c r="G22" s="245">
        <v>12.285714285714286</v>
      </c>
      <c r="H22" s="245">
        <v>1825.2666666666657</v>
      </c>
      <c r="I22" s="245">
        <v>148.75170940170932</v>
      </c>
      <c r="J22" s="246" t="s">
        <v>823</v>
      </c>
      <c r="K22" s="674"/>
      <c r="L22" s="675"/>
      <c r="M22" s="156"/>
    </row>
    <row r="23" spans="1:13" ht="15.75" customHeight="1">
      <c r="A23" s="683"/>
      <c r="B23" s="685"/>
      <c r="C23" s="315">
        <v>5</v>
      </c>
      <c r="D23" s="671" t="s">
        <v>383</v>
      </c>
      <c r="E23" s="672"/>
      <c r="F23" s="673"/>
      <c r="G23" s="245">
        <v>12.285714285714286</v>
      </c>
      <c r="H23" s="245">
        <v>1779.066666666668</v>
      </c>
      <c r="I23" s="245">
        <v>145.01989121989135</v>
      </c>
      <c r="J23" s="246" t="s">
        <v>823</v>
      </c>
      <c r="K23" s="676"/>
      <c r="L23" s="677"/>
      <c r="M23" s="156"/>
    </row>
    <row r="24" spans="1:13" ht="15.75" customHeight="1">
      <c r="A24" s="683"/>
      <c r="B24" s="685"/>
      <c r="C24" s="170" t="s">
        <v>509</v>
      </c>
      <c r="D24" s="671" t="s">
        <v>381</v>
      </c>
      <c r="E24" s="672"/>
      <c r="F24" s="673"/>
      <c r="G24" s="245">
        <v>10</v>
      </c>
      <c r="H24" s="245">
        <v>778.3768167440287</v>
      </c>
      <c r="I24" s="245">
        <v>77.837681674402887</v>
      </c>
      <c r="J24" s="248" t="s">
        <v>826</v>
      </c>
      <c r="K24" s="653" t="s">
        <v>835</v>
      </c>
      <c r="L24" s="654"/>
      <c r="M24" s="156"/>
    </row>
    <row r="25" spans="1:13" ht="15.75" customHeight="1">
      <c r="A25" s="683"/>
      <c r="B25" s="685"/>
      <c r="C25" s="170" t="s">
        <v>510</v>
      </c>
      <c r="D25" s="671" t="s">
        <v>801</v>
      </c>
      <c r="E25" s="672"/>
      <c r="F25" s="673"/>
      <c r="G25" s="245">
        <v>12.714285714285714</v>
      </c>
      <c r="H25" s="245">
        <v>1200.8903096903093</v>
      </c>
      <c r="I25" s="245">
        <v>94.564089756397451</v>
      </c>
      <c r="J25" s="246" t="s">
        <v>823</v>
      </c>
      <c r="K25" s="653"/>
      <c r="L25" s="654"/>
      <c r="M25" s="156"/>
    </row>
    <row r="26" spans="1:13" ht="15.75" customHeight="1">
      <c r="A26" s="683"/>
      <c r="B26" s="685"/>
      <c r="C26" s="170" t="s">
        <v>511</v>
      </c>
      <c r="D26" s="671" t="s">
        <v>790</v>
      </c>
      <c r="E26" s="672"/>
      <c r="F26" s="673"/>
      <c r="G26" s="245">
        <v>12.714285714285714</v>
      </c>
      <c r="H26" s="245">
        <v>1228.8695374800643</v>
      </c>
      <c r="I26" s="245">
        <v>96.924363355942319</v>
      </c>
      <c r="J26" s="247" t="s">
        <v>824</v>
      </c>
      <c r="K26" s="653" t="s">
        <v>836</v>
      </c>
      <c r="L26" s="654"/>
      <c r="M26" s="156"/>
    </row>
    <row r="27" spans="1:13" ht="15.75" customHeight="1">
      <c r="A27" s="683"/>
      <c r="B27" s="685"/>
      <c r="C27" s="170" t="s">
        <v>512</v>
      </c>
      <c r="D27" s="671"/>
      <c r="E27" s="672"/>
      <c r="F27" s="673"/>
      <c r="G27" s="160"/>
      <c r="H27" s="245"/>
      <c r="I27" s="245"/>
      <c r="J27" s="475"/>
      <c r="K27" s="684"/>
      <c r="L27" s="654"/>
      <c r="M27" s="156"/>
    </row>
    <row r="28" spans="1:13" ht="15.75" customHeight="1">
      <c r="A28" s="683"/>
      <c r="B28" s="685"/>
      <c r="C28" s="170" t="s">
        <v>513</v>
      </c>
      <c r="D28" s="671"/>
      <c r="E28" s="672"/>
      <c r="F28" s="673"/>
      <c r="G28" s="160"/>
      <c r="H28" s="245"/>
      <c r="I28" s="245"/>
      <c r="J28" s="475"/>
      <c r="K28" s="684"/>
      <c r="L28" s="654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1">
    <mergeCell ref="D19:F19"/>
    <mergeCell ref="D20:F20"/>
    <mergeCell ref="D21:F21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D10:F10"/>
    <mergeCell ref="D15:F15"/>
    <mergeCell ref="K27:L27"/>
    <mergeCell ref="D22:F22"/>
    <mergeCell ref="D24:F24"/>
    <mergeCell ref="D25:F25"/>
    <mergeCell ref="D26:F26"/>
    <mergeCell ref="D23:F23"/>
    <mergeCell ref="A3:L4"/>
    <mergeCell ref="K24:L24"/>
    <mergeCell ref="D16:F16"/>
    <mergeCell ref="D17:F17"/>
    <mergeCell ref="K22:L22"/>
    <mergeCell ref="K23:L23"/>
    <mergeCell ref="D11:F11"/>
    <mergeCell ref="D14:F14"/>
    <mergeCell ref="A18:B18"/>
    <mergeCell ref="D18:F18"/>
    <mergeCell ref="K18:L18"/>
    <mergeCell ref="A19:A28"/>
    <mergeCell ref="K28:L28"/>
    <mergeCell ref="D27:F27"/>
    <mergeCell ref="B19:B28"/>
    <mergeCell ref="D28:F28"/>
    <mergeCell ref="K8:L8"/>
    <mergeCell ref="K9:L9"/>
    <mergeCell ref="K10:L10"/>
    <mergeCell ref="K16:L16"/>
    <mergeCell ref="K17:L17"/>
    <mergeCell ref="K11:L12"/>
    <mergeCell ref="K13:L14"/>
    <mergeCell ref="K21:L21"/>
    <mergeCell ref="K15:L15"/>
    <mergeCell ref="K25:L25"/>
    <mergeCell ref="K26:L26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0" zoomScaleNormal="80" zoomScaleSheetLayoutView="100" workbookViewId="0">
      <selection sqref="A1:L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1" t="s">
        <v>204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120"/>
    </row>
    <row r="2" spans="1:13" s="121" customFormat="1" ht="15.75" customHeight="1">
      <c r="A2" s="541"/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</row>
    <row r="3" spans="1:13" ht="15.75" customHeight="1">
      <c r="A3" s="669" t="s">
        <v>205</v>
      </c>
      <c r="B3" s="670"/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156"/>
    </row>
    <row r="4" spans="1:13" s="121" customFormat="1" ht="15.75" customHeight="1">
      <c r="A4" s="670"/>
      <c r="B4" s="670"/>
      <c r="C4" s="670"/>
      <c r="D4" s="670"/>
      <c r="E4" s="670"/>
      <c r="F4" s="670"/>
      <c r="G4" s="670"/>
      <c r="H4" s="670"/>
      <c r="I4" s="670"/>
      <c r="J4" s="670"/>
      <c r="K4" s="670"/>
      <c r="L4" s="670"/>
      <c r="M4" s="131"/>
    </row>
    <row r="5" spans="1:13" s="158" customFormat="1" ht="16.350000000000001" customHeight="1">
      <c r="A5" s="683" t="s">
        <v>154</v>
      </c>
      <c r="B5" s="160">
        <v>1</v>
      </c>
      <c r="C5" s="160">
        <v>2</v>
      </c>
      <c r="D5" s="171">
        <v>3</v>
      </c>
      <c r="E5" s="171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683"/>
      <c r="B6" s="161" t="s">
        <v>206</v>
      </c>
      <c r="C6" s="161" t="s">
        <v>151</v>
      </c>
      <c r="D6" s="172" t="s">
        <v>207</v>
      </c>
      <c r="E6" s="172" t="s">
        <v>153</v>
      </c>
      <c r="F6" s="162" t="s">
        <v>133</v>
      </c>
      <c r="G6" s="163" t="s">
        <v>131</v>
      </c>
      <c r="H6" s="164" t="s">
        <v>208</v>
      </c>
      <c r="I6" s="163" t="s">
        <v>209</v>
      </c>
      <c r="J6" s="163" t="s">
        <v>137</v>
      </c>
      <c r="K6" s="159"/>
      <c r="L6" s="159"/>
      <c r="M6" s="131"/>
    </row>
    <row r="7" spans="1:13" s="158" customFormat="1" ht="15.75" customHeight="1">
      <c r="A7" s="685" t="s">
        <v>187</v>
      </c>
      <c r="B7" s="685"/>
      <c r="C7" s="167" t="s">
        <v>47</v>
      </c>
      <c r="D7" s="685" t="s">
        <v>12</v>
      </c>
      <c r="E7" s="686"/>
      <c r="F7" s="686"/>
      <c r="G7" s="466" t="s">
        <v>766</v>
      </c>
      <c r="H7" s="466" t="s">
        <v>767</v>
      </c>
      <c r="I7" s="466" t="s">
        <v>772</v>
      </c>
      <c r="J7" s="227" t="s">
        <v>769</v>
      </c>
      <c r="K7" s="685" t="s">
        <v>770</v>
      </c>
      <c r="L7" s="686"/>
      <c r="M7" s="157"/>
    </row>
    <row r="8" spans="1:13" ht="15.75" customHeight="1">
      <c r="A8" s="683">
        <v>3</v>
      </c>
      <c r="B8" s="685" t="s">
        <v>152</v>
      </c>
      <c r="C8" s="375">
        <v>1</v>
      </c>
      <c r="D8" s="687" t="s">
        <v>542</v>
      </c>
      <c r="E8" s="654"/>
      <c r="F8" s="654"/>
      <c r="G8" s="245">
        <v>4</v>
      </c>
      <c r="H8" s="245">
        <v>2138.3552903999084</v>
      </c>
      <c r="I8" s="245">
        <v>534.58882259997711</v>
      </c>
      <c r="J8" s="249" t="s">
        <v>429</v>
      </c>
      <c r="K8" s="655" t="s">
        <v>837</v>
      </c>
      <c r="L8" s="656"/>
      <c r="M8" s="131"/>
    </row>
    <row r="9" spans="1:13" ht="15.75" customHeight="1">
      <c r="A9" s="683"/>
      <c r="B9" s="685"/>
      <c r="C9" s="375">
        <v>2</v>
      </c>
      <c r="D9" s="687" t="s">
        <v>417</v>
      </c>
      <c r="E9" s="654"/>
      <c r="F9" s="654"/>
      <c r="G9" s="245">
        <v>4</v>
      </c>
      <c r="H9" s="245">
        <v>2059.2624470840974</v>
      </c>
      <c r="I9" s="245">
        <v>514.81561177102435</v>
      </c>
      <c r="J9" s="249" t="s">
        <v>429</v>
      </c>
      <c r="K9" s="688"/>
      <c r="L9" s="689"/>
      <c r="M9" s="131"/>
    </row>
    <row r="10" spans="1:13" ht="15.75" customHeight="1">
      <c r="A10" s="683"/>
      <c r="B10" s="685"/>
      <c r="C10" s="375">
        <v>3</v>
      </c>
      <c r="D10" s="687" t="s">
        <v>664</v>
      </c>
      <c r="E10" s="654"/>
      <c r="F10" s="654"/>
      <c r="G10" s="245">
        <v>4</v>
      </c>
      <c r="H10" s="245">
        <v>1781.8203463203524</v>
      </c>
      <c r="I10" s="245">
        <v>445.45508658008811</v>
      </c>
      <c r="J10" s="249" t="s">
        <v>429</v>
      </c>
      <c r="K10" s="690"/>
      <c r="L10" s="691"/>
      <c r="M10" s="131"/>
    </row>
    <row r="11" spans="1:13" ht="15.75" customHeight="1">
      <c r="A11" s="683"/>
      <c r="B11" s="685"/>
      <c r="C11" s="375">
        <v>4</v>
      </c>
      <c r="D11" s="687" t="s">
        <v>422</v>
      </c>
      <c r="E11" s="654"/>
      <c r="F11" s="654"/>
      <c r="G11" s="245">
        <v>9</v>
      </c>
      <c r="H11" s="245">
        <v>2353.3186710216273</v>
      </c>
      <c r="I11" s="245">
        <v>261.47985233573633</v>
      </c>
      <c r="J11" s="249" t="s">
        <v>429</v>
      </c>
      <c r="K11" s="653" t="s">
        <v>838</v>
      </c>
      <c r="L11" s="654"/>
      <c r="M11" s="131"/>
    </row>
    <row r="12" spans="1:13" ht="15.75" customHeight="1">
      <c r="A12" s="683"/>
      <c r="B12" s="685"/>
      <c r="C12" s="375">
        <v>5</v>
      </c>
      <c r="D12" s="687" t="s">
        <v>423</v>
      </c>
      <c r="E12" s="654"/>
      <c r="F12" s="654"/>
      <c r="G12" s="245">
        <v>10</v>
      </c>
      <c r="H12" s="245">
        <v>2350.9110018987635</v>
      </c>
      <c r="I12" s="245">
        <v>235.09110018987636</v>
      </c>
      <c r="J12" s="247" t="s">
        <v>824</v>
      </c>
      <c r="K12" s="653" t="s">
        <v>839</v>
      </c>
      <c r="L12" s="654"/>
      <c r="M12" s="131"/>
    </row>
    <row r="13" spans="1:13" ht="15.75" customHeight="1">
      <c r="A13" s="683"/>
      <c r="B13" s="685"/>
      <c r="C13" s="170" t="s">
        <v>696</v>
      </c>
      <c r="D13" s="687" t="s">
        <v>416</v>
      </c>
      <c r="E13" s="654"/>
      <c r="F13" s="654"/>
      <c r="G13" s="245">
        <v>18</v>
      </c>
      <c r="H13" s="245">
        <v>1232.508278178213</v>
      </c>
      <c r="I13" s="245">
        <v>68.472682121011829</v>
      </c>
      <c r="J13" s="249" t="s">
        <v>429</v>
      </c>
      <c r="K13" s="687"/>
      <c r="L13" s="654"/>
      <c r="M13" s="131"/>
    </row>
    <row r="14" spans="1:13" ht="15.75" customHeight="1">
      <c r="A14" s="683"/>
      <c r="B14" s="685"/>
      <c r="C14" s="170" t="s">
        <v>697</v>
      </c>
      <c r="D14" s="687" t="s">
        <v>421</v>
      </c>
      <c r="E14" s="654"/>
      <c r="F14" s="654"/>
      <c r="G14" s="160">
        <v>13</v>
      </c>
      <c r="H14" s="245">
        <v>2166.5034183229905</v>
      </c>
      <c r="I14" s="245">
        <v>166.65410910176848</v>
      </c>
      <c r="J14" s="249" t="s">
        <v>429</v>
      </c>
      <c r="K14" s="684"/>
      <c r="L14" s="654"/>
      <c r="M14" s="131"/>
    </row>
    <row r="15" spans="1:13" ht="15.75" customHeight="1">
      <c r="A15" s="683"/>
      <c r="B15" s="685"/>
      <c r="C15" s="170" t="s">
        <v>698</v>
      </c>
      <c r="D15" s="687" t="s">
        <v>418</v>
      </c>
      <c r="E15" s="654"/>
      <c r="F15" s="654"/>
      <c r="G15" s="245">
        <v>12</v>
      </c>
      <c r="H15" s="245">
        <v>2163.6330998189433</v>
      </c>
      <c r="I15" s="245">
        <v>180.30275831824525</v>
      </c>
      <c r="J15" s="249" t="s">
        <v>429</v>
      </c>
      <c r="K15" s="653"/>
      <c r="L15" s="654"/>
      <c r="M15" s="131"/>
    </row>
    <row r="16" spans="1:13" ht="15.75" customHeight="1">
      <c r="A16" s="683"/>
      <c r="B16" s="685"/>
      <c r="C16" s="170" t="s">
        <v>699</v>
      </c>
      <c r="D16" s="687" t="s">
        <v>419</v>
      </c>
      <c r="E16" s="654"/>
      <c r="F16" s="654"/>
      <c r="G16" s="245">
        <v>11</v>
      </c>
      <c r="H16" s="245">
        <v>2079.5306891543573</v>
      </c>
      <c r="I16" s="245">
        <v>189.04824446857791</v>
      </c>
      <c r="J16" s="249" t="s">
        <v>429</v>
      </c>
      <c r="K16" s="653"/>
      <c r="L16" s="654"/>
      <c r="M16" s="156"/>
    </row>
    <row r="17" spans="1:13" ht="15.75" customHeight="1">
      <c r="A17" s="683"/>
      <c r="B17" s="685"/>
      <c r="C17" s="170" t="s">
        <v>700</v>
      </c>
      <c r="D17" s="687" t="s">
        <v>420</v>
      </c>
      <c r="E17" s="654"/>
      <c r="F17" s="654"/>
      <c r="G17" s="245">
        <v>11</v>
      </c>
      <c r="H17" s="245">
        <v>2163.5704051741059</v>
      </c>
      <c r="I17" s="245">
        <v>196.68821865219144</v>
      </c>
      <c r="J17" s="249" t="s">
        <v>429</v>
      </c>
      <c r="K17" s="653"/>
      <c r="L17" s="654"/>
      <c r="M17" s="156"/>
    </row>
    <row r="18" spans="1:13" s="166" customFormat="1" ht="15.75" customHeight="1">
      <c r="A18" s="681" t="s">
        <v>187</v>
      </c>
      <c r="B18" s="681"/>
      <c r="C18" s="374" t="s">
        <v>701</v>
      </c>
      <c r="D18" s="681" t="s">
        <v>12</v>
      </c>
      <c r="E18" s="682"/>
      <c r="F18" s="682"/>
      <c r="G18" s="498" t="s">
        <v>829</v>
      </c>
      <c r="H18" s="498" t="s">
        <v>830</v>
      </c>
      <c r="I18" s="498" t="s">
        <v>831</v>
      </c>
      <c r="J18" s="227" t="s">
        <v>832</v>
      </c>
      <c r="K18" s="681" t="s">
        <v>833</v>
      </c>
      <c r="L18" s="682"/>
      <c r="M18" s="159"/>
    </row>
    <row r="19" spans="1:13" ht="15.75" customHeight="1">
      <c r="A19" s="683">
        <v>4</v>
      </c>
      <c r="B19" s="685" t="s">
        <v>153</v>
      </c>
      <c r="C19" s="375">
        <v>1</v>
      </c>
      <c r="D19" s="687" t="s">
        <v>840</v>
      </c>
      <c r="E19" s="654"/>
      <c r="F19" s="654"/>
      <c r="G19" s="250">
        <v>12.428571428571429</v>
      </c>
      <c r="H19" s="250">
        <v>1509.3877551020425</v>
      </c>
      <c r="I19" s="250">
        <v>122.41244469815911</v>
      </c>
      <c r="J19" s="249" t="s">
        <v>429</v>
      </c>
      <c r="K19" s="684" t="s">
        <v>841</v>
      </c>
      <c r="L19" s="654"/>
      <c r="M19" s="156"/>
    </row>
    <row r="20" spans="1:13" ht="15.75" customHeight="1">
      <c r="A20" s="683"/>
      <c r="B20" s="685"/>
      <c r="C20" s="375">
        <v>2</v>
      </c>
      <c r="D20" s="687"/>
      <c r="E20" s="654"/>
      <c r="F20" s="654"/>
      <c r="G20" s="499"/>
      <c r="H20" s="499"/>
      <c r="I20" s="499"/>
      <c r="J20" s="499"/>
      <c r="K20" s="684"/>
      <c r="L20" s="654"/>
      <c r="M20" s="156"/>
    </row>
    <row r="21" spans="1:13" ht="15.75" customHeight="1">
      <c r="A21" s="683"/>
      <c r="B21" s="685"/>
      <c r="C21" s="375">
        <v>3</v>
      </c>
      <c r="D21" s="684"/>
      <c r="E21" s="654"/>
      <c r="F21" s="654"/>
      <c r="G21" s="499"/>
      <c r="H21" s="499"/>
      <c r="I21" s="499"/>
      <c r="J21" s="499"/>
      <c r="K21" s="684"/>
      <c r="L21" s="654"/>
      <c r="M21" s="156"/>
    </row>
    <row r="22" spans="1:13" ht="15.75" customHeight="1">
      <c r="A22" s="683"/>
      <c r="B22" s="685"/>
      <c r="C22" s="375">
        <v>4</v>
      </c>
      <c r="D22" s="684"/>
      <c r="E22" s="654"/>
      <c r="F22" s="654"/>
      <c r="G22" s="499"/>
      <c r="H22" s="499"/>
      <c r="I22" s="499"/>
      <c r="J22" s="499"/>
      <c r="K22" s="684"/>
      <c r="L22" s="654"/>
      <c r="M22" s="156"/>
    </row>
    <row r="23" spans="1:13" ht="15.75" customHeight="1">
      <c r="A23" s="683"/>
      <c r="B23" s="685"/>
      <c r="C23" s="375">
        <v>5</v>
      </c>
      <c r="D23" s="684"/>
      <c r="E23" s="654"/>
      <c r="F23" s="654"/>
      <c r="G23" s="499"/>
      <c r="H23" s="499"/>
      <c r="I23" s="499"/>
      <c r="J23" s="499"/>
      <c r="K23" s="684"/>
      <c r="L23" s="654"/>
      <c r="M23" s="156"/>
    </row>
    <row r="24" spans="1:13" ht="15.75" customHeight="1">
      <c r="A24" s="683"/>
      <c r="B24" s="685"/>
      <c r="C24" s="170" t="s">
        <v>696</v>
      </c>
      <c r="D24" s="687" t="s">
        <v>842</v>
      </c>
      <c r="E24" s="654"/>
      <c r="F24" s="654"/>
      <c r="G24" s="250">
        <v>12.428571428571429</v>
      </c>
      <c r="H24" s="250">
        <v>1499.0765306122453</v>
      </c>
      <c r="I24" s="250">
        <v>121.32791788043895</v>
      </c>
      <c r="J24" s="249" t="s">
        <v>429</v>
      </c>
      <c r="K24" s="692" t="s">
        <v>843</v>
      </c>
      <c r="L24" s="654"/>
      <c r="M24" s="156"/>
    </row>
    <row r="25" spans="1:13" ht="15.75" customHeight="1">
      <c r="A25" s="683"/>
      <c r="B25" s="685"/>
      <c r="C25" s="170" t="s">
        <v>510</v>
      </c>
      <c r="D25" s="684"/>
      <c r="E25" s="654"/>
      <c r="F25" s="654"/>
      <c r="G25" s="314"/>
      <c r="H25" s="314"/>
      <c r="I25" s="314"/>
      <c r="J25" s="314"/>
      <c r="K25" s="684"/>
      <c r="L25" s="654"/>
      <c r="M25" s="156"/>
    </row>
    <row r="26" spans="1:13" ht="15.75" customHeight="1">
      <c r="A26" s="683"/>
      <c r="B26" s="685"/>
      <c r="C26" s="170" t="s">
        <v>511</v>
      </c>
      <c r="D26" s="684"/>
      <c r="E26" s="654"/>
      <c r="F26" s="654"/>
      <c r="G26" s="314"/>
      <c r="H26" s="314"/>
      <c r="I26" s="314"/>
      <c r="J26" s="314"/>
      <c r="K26" s="684"/>
      <c r="L26" s="654"/>
      <c r="M26" s="156"/>
    </row>
    <row r="27" spans="1:13" ht="15.75" customHeight="1">
      <c r="A27" s="683"/>
      <c r="B27" s="685"/>
      <c r="C27" s="170" t="s">
        <v>512</v>
      </c>
      <c r="D27" s="684"/>
      <c r="E27" s="654"/>
      <c r="F27" s="654"/>
      <c r="G27" s="314"/>
      <c r="H27" s="314"/>
      <c r="I27" s="314"/>
      <c r="J27" s="314"/>
      <c r="K27" s="684"/>
      <c r="L27" s="654"/>
      <c r="M27" s="156"/>
    </row>
    <row r="28" spans="1:13" ht="15.75" customHeight="1">
      <c r="A28" s="683"/>
      <c r="B28" s="685"/>
      <c r="C28" s="170" t="s">
        <v>513</v>
      </c>
      <c r="D28" s="684"/>
      <c r="E28" s="654"/>
      <c r="F28" s="654"/>
      <c r="G28" s="314"/>
      <c r="H28" s="314"/>
      <c r="I28" s="314"/>
      <c r="J28" s="314"/>
      <c r="K28" s="684"/>
      <c r="L28" s="654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1">
    <mergeCell ref="D25:F25"/>
    <mergeCell ref="K25:L25"/>
    <mergeCell ref="D26:F26"/>
    <mergeCell ref="K26:L26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10"/>
    <mergeCell ref="A18:B18"/>
    <mergeCell ref="D18:F18"/>
    <mergeCell ref="K18:L18"/>
    <mergeCell ref="K22:L22"/>
    <mergeCell ref="D23:F23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80" zoomScaleNormal="80" zoomScaleSheetLayoutView="100" workbookViewId="0">
      <selection sqref="A1:L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41" t="s">
        <v>204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120"/>
    </row>
    <row r="2" spans="1:18" s="121" customFormat="1" ht="15.75" customHeight="1">
      <c r="A2" s="541"/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</row>
    <row r="3" spans="1:18" ht="15.75" customHeight="1">
      <c r="A3" s="669" t="s">
        <v>205</v>
      </c>
      <c r="B3" s="670"/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156"/>
    </row>
    <row r="4" spans="1:18" s="121" customFormat="1" ht="15.75" customHeight="1">
      <c r="A4" s="670"/>
      <c r="B4" s="670"/>
      <c r="C4" s="670"/>
      <c r="D4" s="670"/>
      <c r="E4" s="670"/>
      <c r="F4" s="670"/>
      <c r="G4" s="670"/>
      <c r="H4" s="670"/>
      <c r="I4" s="670"/>
      <c r="J4" s="670"/>
      <c r="K4" s="670"/>
      <c r="L4" s="670"/>
      <c r="M4" s="131"/>
    </row>
    <row r="5" spans="1:18" s="158" customFormat="1" ht="16.350000000000001" customHeight="1">
      <c r="A5" s="683" t="s">
        <v>154</v>
      </c>
      <c r="B5" s="160">
        <v>1</v>
      </c>
      <c r="C5" s="160">
        <v>2</v>
      </c>
      <c r="D5" s="160">
        <v>3</v>
      </c>
      <c r="E5" s="160">
        <v>4</v>
      </c>
      <c r="F5" s="171">
        <v>5</v>
      </c>
      <c r="G5" s="171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8" ht="16.350000000000001" customHeight="1">
      <c r="A6" s="683"/>
      <c r="B6" s="161" t="s">
        <v>206</v>
      </c>
      <c r="C6" s="161" t="s">
        <v>151</v>
      </c>
      <c r="D6" s="161" t="s">
        <v>207</v>
      </c>
      <c r="E6" s="161" t="s">
        <v>153</v>
      </c>
      <c r="F6" s="173" t="s">
        <v>133</v>
      </c>
      <c r="G6" s="174" t="s">
        <v>131</v>
      </c>
      <c r="H6" s="164" t="s">
        <v>208</v>
      </c>
      <c r="I6" s="163" t="s">
        <v>209</v>
      </c>
      <c r="J6" s="163" t="s">
        <v>137</v>
      </c>
      <c r="K6" s="159"/>
      <c r="L6" s="159"/>
      <c r="M6" s="131"/>
    </row>
    <row r="7" spans="1:18" s="158" customFormat="1" ht="15.75" customHeight="1">
      <c r="A7" s="685" t="s">
        <v>187</v>
      </c>
      <c r="B7" s="685"/>
      <c r="C7" s="167" t="s">
        <v>47</v>
      </c>
      <c r="D7" s="685" t="s">
        <v>12</v>
      </c>
      <c r="E7" s="686"/>
      <c r="F7" s="686"/>
      <c r="G7" s="466" t="s">
        <v>766</v>
      </c>
      <c r="H7" s="466" t="s">
        <v>767</v>
      </c>
      <c r="I7" s="466" t="s">
        <v>768</v>
      </c>
      <c r="J7" s="227" t="s">
        <v>769</v>
      </c>
      <c r="K7" s="685" t="s">
        <v>770</v>
      </c>
      <c r="L7" s="686"/>
      <c r="M7" s="157"/>
    </row>
    <row r="8" spans="1:18" ht="15.75" customHeight="1">
      <c r="A8" s="683">
        <v>5</v>
      </c>
      <c r="B8" s="685" t="s">
        <v>133</v>
      </c>
      <c r="C8" s="375">
        <v>1</v>
      </c>
      <c r="D8" s="697" t="s">
        <v>844</v>
      </c>
      <c r="E8" s="698"/>
      <c r="F8" s="699"/>
      <c r="G8" s="250">
        <v>6</v>
      </c>
      <c r="H8" s="250">
        <v>1482.0000501488171</v>
      </c>
      <c r="I8" s="250">
        <v>247.00000835813617</v>
      </c>
      <c r="J8" s="249" t="s">
        <v>429</v>
      </c>
      <c r="K8" s="687"/>
      <c r="L8" s="654"/>
      <c r="M8" s="131"/>
      <c r="P8" s="260"/>
      <c r="Q8" s="260"/>
      <c r="R8" s="260"/>
    </row>
    <row r="9" spans="1:18" ht="15.75" customHeight="1">
      <c r="A9" s="683"/>
      <c r="B9" s="685"/>
      <c r="C9" s="375">
        <v>2</v>
      </c>
      <c r="D9" s="697" t="s">
        <v>845</v>
      </c>
      <c r="E9" s="698"/>
      <c r="F9" s="699"/>
      <c r="G9" s="250">
        <v>6.1428571428571432</v>
      </c>
      <c r="H9" s="250">
        <v>1487.3671556400006</v>
      </c>
      <c r="I9" s="250">
        <v>242.75266431730228</v>
      </c>
      <c r="J9" s="249" t="s">
        <v>429</v>
      </c>
      <c r="K9" s="684"/>
      <c r="L9" s="654"/>
      <c r="M9" s="131"/>
      <c r="P9" s="260"/>
      <c r="Q9" s="260"/>
      <c r="R9" s="260"/>
    </row>
    <row r="10" spans="1:18" ht="15.75" customHeight="1">
      <c r="A10" s="683"/>
      <c r="B10" s="685"/>
      <c r="C10" s="375">
        <v>3</v>
      </c>
      <c r="D10" s="697" t="s">
        <v>846</v>
      </c>
      <c r="E10" s="698"/>
      <c r="F10" s="699"/>
      <c r="G10" s="250">
        <v>16.428571428571427</v>
      </c>
      <c r="H10" s="250">
        <v>1392.0463719533338</v>
      </c>
      <c r="I10" s="250">
        <v>84.811470371883857</v>
      </c>
      <c r="J10" s="247" t="s">
        <v>824</v>
      </c>
      <c r="K10" s="693" t="s">
        <v>847</v>
      </c>
      <c r="L10" s="694"/>
      <c r="M10" s="131"/>
      <c r="P10" s="260"/>
      <c r="Q10" s="260"/>
      <c r="R10" s="260"/>
    </row>
    <row r="11" spans="1:18" ht="15.75" customHeight="1">
      <c r="A11" s="683"/>
      <c r="B11" s="685"/>
      <c r="C11" s="375">
        <v>4</v>
      </c>
      <c r="D11" s="697" t="s">
        <v>848</v>
      </c>
      <c r="E11" s="698"/>
      <c r="F11" s="699"/>
      <c r="G11" s="250">
        <v>16.285714285714285</v>
      </c>
      <c r="H11" s="250">
        <v>1333.078556891601</v>
      </c>
      <c r="I11" s="250">
        <v>81.932871470267045</v>
      </c>
      <c r="J11" s="247" t="s">
        <v>824</v>
      </c>
      <c r="K11" s="695"/>
      <c r="L11" s="696"/>
      <c r="M11" s="131"/>
      <c r="P11" s="260"/>
      <c r="Q11" s="260"/>
      <c r="R11" s="260"/>
    </row>
    <row r="12" spans="1:18" ht="15.75" customHeight="1">
      <c r="A12" s="683"/>
      <c r="B12" s="685"/>
      <c r="C12" s="375">
        <v>5</v>
      </c>
      <c r="D12" s="697" t="s">
        <v>849</v>
      </c>
      <c r="E12" s="698"/>
      <c r="F12" s="699"/>
      <c r="G12" s="250">
        <v>16</v>
      </c>
      <c r="H12" s="250">
        <v>1284.645753295755</v>
      </c>
      <c r="I12" s="250">
        <v>80.290359580984685</v>
      </c>
      <c r="J12" s="249" t="s">
        <v>429</v>
      </c>
      <c r="K12" s="684"/>
      <c r="L12" s="654"/>
      <c r="M12" s="131"/>
      <c r="P12" s="260"/>
      <c r="Q12" s="260"/>
      <c r="R12" s="260"/>
    </row>
    <row r="13" spans="1:18" ht="15.75" customHeight="1">
      <c r="A13" s="683"/>
      <c r="B13" s="685"/>
      <c r="C13" s="170" t="s">
        <v>696</v>
      </c>
      <c r="D13" s="697" t="s">
        <v>850</v>
      </c>
      <c r="E13" s="698"/>
      <c r="F13" s="699"/>
      <c r="G13" s="250">
        <v>20</v>
      </c>
      <c r="H13" s="250">
        <v>1193.709677419356</v>
      </c>
      <c r="I13" s="250">
        <v>59.685483870967794</v>
      </c>
      <c r="J13" s="249" t="s">
        <v>429</v>
      </c>
      <c r="K13" s="684"/>
      <c r="L13" s="654"/>
      <c r="M13" s="131"/>
      <c r="P13" s="260"/>
      <c r="Q13" s="260"/>
      <c r="R13" s="260"/>
    </row>
    <row r="14" spans="1:18" ht="15.75" customHeight="1">
      <c r="A14" s="683"/>
      <c r="B14" s="685"/>
      <c r="C14" s="170" t="s">
        <v>697</v>
      </c>
      <c r="D14" s="697" t="s">
        <v>851</v>
      </c>
      <c r="E14" s="698"/>
      <c r="F14" s="699"/>
      <c r="G14" s="250">
        <v>19.857142857142858</v>
      </c>
      <c r="H14" s="250">
        <v>1287.034139382296</v>
      </c>
      <c r="I14" s="250">
        <v>64.829994524738552</v>
      </c>
      <c r="J14" s="249" t="s">
        <v>429</v>
      </c>
      <c r="K14" s="684"/>
      <c r="L14" s="654"/>
      <c r="M14" s="131"/>
      <c r="P14" s="260"/>
      <c r="Q14" s="260"/>
      <c r="R14" s="260"/>
    </row>
    <row r="15" spans="1:18" ht="15.75" customHeight="1">
      <c r="A15" s="683"/>
      <c r="B15" s="685"/>
      <c r="C15" s="170" t="s">
        <v>698</v>
      </c>
      <c r="D15" s="697" t="s">
        <v>852</v>
      </c>
      <c r="E15" s="698"/>
      <c r="F15" s="699"/>
      <c r="G15" s="250">
        <v>17.714285714285715</v>
      </c>
      <c r="H15" s="250">
        <v>1172.8891853951004</v>
      </c>
      <c r="I15" s="250">
        <v>66.267105218397006</v>
      </c>
      <c r="J15" s="249" t="s">
        <v>429</v>
      </c>
      <c r="K15" s="684"/>
      <c r="L15" s="654"/>
      <c r="M15" s="131"/>
      <c r="P15" s="260"/>
      <c r="Q15" s="260"/>
      <c r="R15" s="260"/>
    </row>
    <row r="16" spans="1:18" ht="15.75" customHeight="1">
      <c r="A16" s="683"/>
      <c r="B16" s="685"/>
      <c r="C16" s="170" t="s">
        <v>699</v>
      </c>
      <c r="D16" s="697" t="s">
        <v>853</v>
      </c>
      <c r="E16" s="698"/>
      <c r="F16" s="699"/>
      <c r="G16" s="250">
        <v>17.571428571428573</v>
      </c>
      <c r="H16" s="250">
        <v>1171.724036872562</v>
      </c>
      <c r="I16" s="250">
        <v>66.728322601125882</v>
      </c>
      <c r="J16" s="249" t="s">
        <v>429</v>
      </c>
      <c r="K16" s="684"/>
      <c r="L16" s="654"/>
      <c r="M16" s="156"/>
      <c r="P16" s="260"/>
      <c r="Q16" s="260"/>
      <c r="R16" s="260"/>
    </row>
    <row r="17" spans="1:18" ht="15.75" customHeight="1">
      <c r="A17" s="683"/>
      <c r="B17" s="685"/>
      <c r="C17" s="170" t="s">
        <v>700</v>
      </c>
      <c r="D17" s="706" t="s">
        <v>853</v>
      </c>
      <c r="E17" s="707"/>
      <c r="F17" s="708"/>
      <c r="G17" s="250">
        <v>17.571428571428573</v>
      </c>
      <c r="H17" s="250">
        <v>1171.724036872562</v>
      </c>
      <c r="I17" s="250">
        <v>66.728322601125882</v>
      </c>
      <c r="J17" s="248" t="s">
        <v>826</v>
      </c>
      <c r="K17" s="684" t="s">
        <v>854</v>
      </c>
      <c r="L17" s="654"/>
      <c r="M17" s="156"/>
      <c r="P17" s="260"/>
      <c r="Q17" s="260"/>
      <c r="R17" s="260"/>
    </row>
    <row r="18" spans="1:18" s="166" customFormat="1" ht="15.75" customHeight="1">
      <c r="A18" s="681" t="s">
        <v>187</v>
      </c>
      <c r="B18" s="681"/>
      <c r="C18" s="374" t="s">
        <v>701</v>
      </c>
      <c r="D18" s="681" t="s">
        <v>12</v>
      </c>
      <c r="E18" s="682"/>
      <c r="F18" s="682"/>
      <c r="G18" s="498" t="s">
        <v>829</v>
      </c>
      <c r="H18" s="498" t="s">
        <v>830</v>
      </c>
      <c r="I18" s="498" t="s">
        <v>831</v>
      </c>
      <c r="J18" s="227" t="s">
        <v>832</v>
      </c>
      <c r="K18" s="681" t="s">
        <v>833</v>
      </c>
      <c r="L18" s="682"/>
      <c r="M18" s="159"/>
    </row>
    <row r="19" spans="1:18" ht="15.75" customHeight="1">
      <c r="A19" s="683">
        <v>6</v>
      </c>
      <c r="B19" s="685" t="s">
        <v>131</v>
      </c>
      <c r="C19" s="375">
        <v>1</v>
      </c>
      <c r="D19" s="697" t="s">
        <v>855</v>
      </c>
      <c r="E19" s="698"/>
      <c r="F19" s="699"/>
      <c r="G19" s="250">
        <v>17</v>
      </c>
      <c r="H19" s="250">
        <v>1328.6833769405202</v>
      </c>
      <c r="I19" s="250">
        <v>78.15784570238354</v>
      </c>
      <c r="J19" s="249" t="s">
        <v>429</v>
      </c>
      <c r="K19" s="692"/>
      <c r="L19" s="654"/>
      <c r="M19" s="156"/>
      <c r="P19" s="260"/>
      <c r="Q19" s="260"/>
      <c r="R19" s="260"/>
    </row>
    <row r="20" spans="1:18" ht="15.75" customHeight="1">
      <c r="A20" s="683"/>
      <c r="B20" s="685"/>
      <c r="C20" s="375">
        <v>2</v>
      </c>
      <c r="D20" s="706" t="s">
        <v>856</v>
      </c>
      <c r="E20" s="707"/>
      <c r="F20" s="708"/>
      <c r="G20" s="250">
        <v>16.714285714285715</v>
      </c>
      <c r="H20" s="250">
        <v>1294.6884598563136</v>
      </c>
      <c r="I20" s="250">
        <v>77.51512693867916</v>
      </c>
      <c r="J20" s="247" t="s">
        <v>824</v>
      </c>
      <c r="K20" s="653" t="s">
        <v>857</v>
      </c>
      <c r="L20" s="654"/>
      <c r="M20" s="156"/>
      <c r="P20" s="260"/>
      <c r="Q20" s="260"/>
      <c r="R20" s="260"/>
    </row>
    <row r="21" spans="1:18" ht="15.75" customHeight="1">
      <c r="A21" s="683"/>
      <c r="B21" s="685"/>
      <c r="C21" s="375">
        <v>3</v>
      </c>
      <c r="D21" s="697" t="s">
        <v>858</v>
      </c>
      <c r="E21" s="698"/>
      <c r="F21" s="699"/>
      <c r="G21" s="250">
        <v>15.857142857142858</v>
      </c>
      <c r="H21" s="250">
        <v>1172.8377900592654</v>
      </c>
      <c r="I21" s="250">
        <v>74.09804701322301</v>
      </c>
      <c r="J21" s="249" t="s">
        <v>429</v>
      </c>
      <c r="K21" s="653"/>
      <c r="L21" s="654"/>
      <c r="M21" s="156"/>
      <c r="P21" s="260"/>
      <c r="Q21" s="260"/>
      <c r="R21" s="260"/>
    </row>
    <row r="22" spans="1:18" ht="15.75" customHeight="1">
      <c r="A22" s="683"/>
      <c r="B22" s="685"/>
      <c r="C22" s="375">
        <v>4</v>
      </c>
      <c r="D22" s="697" t="s">
        <v>859</v>
      </c>
      <c r="E22" s="698"/>
      <c r="F22" s="699"/>
      <c r="G22" s="250">
        <v>18</v>
      </c>
      <c r="H22" s="250">
        <v>1260.3719609089437</v>
      </c>
      <c r="I22" s="250">
        <v>70.020664494941315</v>
      </c>
      <c r="J22" s="249" t="s">
        <v>429</v>
      </c>
      <c r="K22" s="653"/>
      <c r="L22" s="654"/>
      <c r="M22" s="156"/>
      <c r="P22" s="260"/>
      <c r="Q22" s="260"/>
      <c r="R22" s="260"/>
    </row>
    <row r="23" spans="1:18" ht="15.75" customHeight="1">
      <c r="A23" s="683"/>
      <c r="B23" s="685"/>
      <c r="C23" s="375">
        <v>5</v>
      </c>
      <c r="D23" s="697" t="s">
        <v>860</v>
      </c>
      <c r="E23" s="698"/>
      <c r="F23" s="699"/>
      <c r="G23" s="250">
        <v>18</v>
      </c>
      <c r="H23" s="250">
        <v>1236.9483391055478</v>
      </c>
      <c r="I23" s="250">
        <v>68.719352172530435</v>
      </c>
      <c r="J23" s="247" t="s">
        <v>861</v>
      </c>
      <c r="K23" s="700" t="s">
        <v>862</v>
      </c>
      <c r="L23" s="701"/>
      <c r="M23" s="156"/>
      <c r="P23" s="260"/>
      <c r="Q23" s="260"/>
      <c r="R23" s="260"/>
    </row>
    <row r="24" spans="1:18" ht="15.75" customHeight="1">
      <c r="A24" s="683"/>
      <c r="B24" s="685"/>
      <c r="C24" s="170" t="s">
        <v>696</v>
      </c>
      <c r="D24" s="697" t="s">
        <v>863</v>
      </c>
      <c r="E24" s="698"/>
      <c r="F24" s="699"/>
      <c r="G24" s="250">
        <v>20</v>
      </c>
      <c r="H24" s="250">
        <v>1189.244854748049</v>
      </c>
      <c r="I24" s="250">
        <v>59.462242737402448</v>
      </c>
      <c r="J24" s="248" t="s">
        <v>864</v>
      </c>
      <c r="K24" s="700" t="s">
        <v>865</v>
      </c>
      <c r="L24" s="701"/>
      <c r="M24" s="156"/>
      <c r="P24" s="260"/>
      <c r="Q24" s="260"/>
      <c r="R24" s="260"/>
    </row>
    <row r="25" spans="1:18" ht="15.75" customHeight="1">
      <c r="A25" s="683"/>
      <c r="B25" s="685"/>
      <c r="C25" s="170" t="s">
        <v>697</v>
      </c>
      <c r="D25" s="697" t="s">
        <v>866</v>
      </c>
      <c r="E25" s="698"/>
      <c r="F25" s="699"/>
      <c r="G25" s="250">
        <v>20</v>
      </c>
      <c r="H25" s="250">
        <v>1233.1934006454273</v>
      </c>
      <c r="I25" s="250">
        <v>61.659670032271372</v>
      </c>
      <c r="J25" s="249" t="s">
        <v>429</v>
      </c>
      <c r="K25" s="702" t="s">
        <v>867</v>
      </c>
      <c r="L25" s="703"/>
      <c r="M25" s="156"/>
      <c r="P25" s="260"/>
      <c r="Q25" s="260"/>
      <c r="R25" s="260"/>
    </row>
    <row r="26" spans="1:18" ht="15.75" customHeight="1">
      <c r="A26" s="683"/>
      <c r="B26" s="685"/>
      <c r="C26" s="170" t="s">
        <v>698</v>
      </c>
      <c r="D26" s="697" t="s">
        <v>868</v>
      </c>
      <c r="E26" s="698"/>
      <c r="F26" s="699"/>
      <c r="G26" s="250">
        <v>20</v>
      </c>
      <c r="H26" s="250">
        <v>1235.0150811383678</v>
      </c>
      <c r="I26" s="250">
        <v>61.750754056918382</v>
      </c>
      <c r="J26" s="249" t="s">
        <v>429</v>
      </c>
      <c r="K26" s="702"/>
      <c r="L26" s="703"/>
      <c r="M26" s="156"/>
      <c r="P26" s="260"/>
      <c r="Q26" s="260"/>
      <c r="R26" s="260"/>
    </row>
    <row r="27" spans="1:18" ht="15.75" customHeight="1">
      <c r="A27" s="683"/>
      <c r="B27" s="685"/>
      <c r="C27" s="170" t="s">
        <v>699</v>
      </c>
      <c r="D27" s="697" t="s">
        <v>869</v>
      </c>
      <c r="E27" s="698"/>
      <c r="F27" s="699"/>
      <c r="G27" s="250">
        <v>19</v>
      </c>
      <c r="H27" s="250">
        <v>1224.1206134149791</v>
      </c>
      <c r="I27" s="250">
        <v>64.427400706051515</v>
      </c>
      <c r="J27" s="249" t="s">
        <v>429</v>
      </c>
      <c r="K27" s="702"/>
      <c r="L27" s="703"/>
      <c r="M27" s="156"/>
      <c r="P27" s="260"/>
      <c r="Q27" s="260"/>
      <c r="R27" s="260"/>
    </row>
    <row r="28" spans="1:18" ht="15.75" customHeight="1">
      <c r="A28" s="683"/>
      <c r="B28" s="685"/>
      <c r="C28" s="170" t="s">
        <v>700</v>
      </c>
      <c r="D28" s="697" t="s">
        <v>870</v>
      </c>
      <c r="E28" s="698"/>
      <c r="F28" s="699"/>
      <c r="G28" s="250">
        <v>18</v>
      </c>
      <c r="H28" s="250">
        <v>1178.387628967841</v>
      </c>
      <c r="I28" s="250">
        <v>65.465979387102294</v>
      </c>
      <c r="J28" s="249" t="s">
        <v>429</v>
      </c>
      <c r="K28" s="704"/>
      <c r="L28" s="705"/>
      <c r="M28" s="156"/>
      <c r="P28" s="260"/>
      <c r="Q28" s="260"/>
      <c r="R28" s="260"/>
    </row>
    <row r="29" spans="1:18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8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8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8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49">
    <mergeCell ref="D9:F9"/>
    <mergeCell ref="K8:L8"/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A8:A17"/>
    <mergeCell ref="B8:B17"/>
    <mergeCell ref="K9:L9"/>
    <mergeCell ref="D10:F10"/>
    <mergeCell ref="K20:L20"/>
    <mergeCell ref="D8:F8"/>
    <mergeCell ref="K14:L14"/>
    <mergeCell ref="A1:L2"/>
    <mergeCell ref="A18:B18"/>
    <mergeCell ref="D18:F18"/>
    <mergeCell ref="K18:L18"/>
    <mergeCell ref="K16:L16"/>
    <mergeCell ref="A3:L4"/>
    <mergeCell ref="A5:A6"/>
    <mergeCell ref="A7:B7"/>
    <mergeCell ref="D7:F7"/>
    <mergeCell ref="K7:L7"/>
    <mergeCell ref="D11:F11"/>
    <mergeCell ref="D14:F14"/>
    <mergeCell ref="D13:F13"/>
    <mergeCell ref="D12:F12"/>
    <mergeCell ref="K12:L12"/>
    <mergeCell ref="K10:L11"/>
    <mergeCell ref="D28:F28"/>
    <mergeCell ref="D24:F24"/>
    <mergeCell ref="D25:F25"/>
    <mergeCell ref="D26:F26"/>
    <mergeCell ref="K24:L24"/>
    <mergeCell ref="K25:L28"/>
    <mergeCell ref="D21:F21"/>
    <mergeCell ref="D22:F22"/>
    <mergeCell ref="D23:F23"/>
    <mergeCell ref="K21:L21"/>
    <mergeCell ref="D27:F27"/>
    <mergeCell ref="D19:F19"/>
    <mergeCell ref="D20:F20"/>
    <mergeCell ref="K15:L15"/>
    <mergeCell ref="K13:L1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0" zoomScaleNormal="80" zoomScaleSheetLayoutView="100" workbookViewId="0">
      <selection sqref="A1:L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1" t="s">
        <v>204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120"/>
    </row>
    <row r="2" spans="1:13" s="121" customFormat="1" ht="15.75" customHeight="1">
      <c r="A2" s="541"/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</row>
    <row r="3" spans="1:13" ht="15.75" customHeight="1">
      <c r="A3" s="669" t="s">
        <v>205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  <c r="M3" s="156"/>
    </row>
    <row r="4" spans="1:13" s="121" customFormat="1" ht="15.75" customHeight="1">
      <c r="A4" s="669"/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  <c r="M4" s="131"/>
    </row>
    <row r="5" spans="1:13" s="158" customFormat="1" ht="16.350000000000001" customHeight="1">
      <c r="A5" s="714" t="s">
        <v>154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71">
        <v>7</v>
      </c>
      <c r="I5" s="171">
        <v>8</v>
      </c>
      <c r="J5" s="160">
        <v>9</v>
      </c>
      <c r="K5" s="157"/>
      <c r="L5" s="157"/>
      <c r="M5" s="157"/>
    </row>
    <row r="6" spans="1:13" ht="16.350000000000001" customHeight="1">
      <c r="A6" s="715"/>
      <c r="B6" s="161" t="s">
        <v>206</v>
      </c>
      <c r="C6" s="161" t="s">
        <v>151</v>
      </c>
      <c r="D6" s="161" t="s">
        <v>207</v>
      </c>
      <c r="E6" s="161" t="s">
        <v>153</v>
      </c>
      <c r="F6" s="162" t="s">
        <v>133</v>
      </c>
      <c r="G6" s="163" t="s">
        <v>131</v>
      </c>
      <c r="H6" s="172" t="s">
        <v>208</v>
      </c>
      <c r="I6" s="174" t="s">
        <v>209</v>
      </c>
      <c r="J6" s="163" t="s">
        <v>137</v>
      </c>
      <c r="K6" s="159"/>
      <c r="L6" s="159"/>
      <c r="M6" s="131"/>
    </row>
    <row r="7" spans="1:13" s="158" customFormat="1" ht="15.75" customHeight="1">
      <c r="A7" s="716" t="s">
        <v>187</v>
      </c>
      <c r="B7" s="717"/>
      <c r="C7" s="167" t="s">
        <v>47</v>
      </c>
      <c r="D7" s="716" t="s">
        <v>12</v>
      </c>
      <c r="E7" s="718"/>
      <c r="F7" s="717"/>
      <c r="G7" s="466" t="s">
        <v>766</v>
      </c>
      <c r="H7" s="466" t="s">
        <v>767</v>
      </c>
      <c r="I7" s="466" t="s">
        <v>768</v>
      </c>
      <c r="J7" s="227" t="s">
        <v>769</v>
      </c>
      <c r="K7" s="716" t="s">
        <v>770</v>
      </c>
      <c r="L7" s="717"/>
      <c r="M7" s="157"/>
    </row>
    <row r="8" spans="1:13" ht="15.75" customHeight="1">
      <c r="A8" s="714">
        <v>7</v>
      </c>
      <c r="B8" s="722" t="s">
        <v>135</v>
      </c>
      <c r="C8" s="315">
        <v>1</v>
      </c>
      <c r="D8" s="709" t="s">
        <v>871</v>
      </c>
      <c r="E8" s="710"/>
      <c r="F8" s="711"/>
      <c r="G8" s="245">
        <v>11.142857142857142</v>
      </c>
      <c r="H8" s="245">
        <v>1386.8721699949315</v>
      </c>
      <c r="I8" s="245">
        <v>126.83664361431561</v>
      </c>
      <c r="J8" s="249" t="s">
        <v>429</v>
      </c>
      <c r="K8" s="712"/>
      <c r="L8" s="713"/>
      <c r="M8" s="131"/>
    </row>
    <row r="9" spans="1:13" ht="15.75" customHeight="1">
      <c r="A9" s="721"/>
      <c r="B9" s="723"/>
      <c r="C9" s="315">
        <v>2</v>
      </c>
      <c r="D9" s="709" t="s">
        <v>803</v>
      </c>
      <c r="E9" s="710"/>
      <c r="F9" s="711"/>
      <c r="G9" s="245">
        <v>17</v>
      </c>
      <c r="H9" s="245">
        <v>1413.6585365853653</v>
      </c>
      <c r="I9" s="245">
        <v>83.156384505021492</v>
      </c>
      <c r="J9" s="249" t="s">
        <v>429</v>
      </c>
      <c r="K9" s="712"/>
      <c r="L9" s="713"/>
      <c r="M9" s="131"/>
    </row>
    <row r="10" spans="1:13" ht="15.75" customHeight="1">
      <c r="A10" s="721"/>
      <c r="B10" s="723"/>
      <c r="C10" s="315">
        <v>3</v>
      </c>
      <c r="D10" s="709" t="s">
        <v>804</v>
      </c>
      <c r="E10" s="710"/>
      <c r="F10" s="711"/>
      <c r="G10" s="245">
        <v>17.142857142857142</v>
      </c>
      <c r="H10" s="245">
        <v>1392.5815096827621</v>
      </c>
      <c r="I10" s="245">
        <v>81.259318822456777</v>
      </c>
      <c r="J10" s="247" t="s">
        <v>773</v>
      </c>
      <c r="K10" s="712"/>
      <c r="L10" s="713"/>
      <c r="M10" s="131"/>
    </row>
    <row r="11" spans="1:13" ht="15.75" customHeight="1">
      <c r="A11" s="721"/>
      <c r="B11" s="723"/>
      <c r="C11" s="315">
        <v>4</v>
      </c>
      <c r="D11" s="709" t="s">
        <v>872</v>
      </c>
      <c r="E11" s="710"/>
      <c r="F11" s="711"/>
      <c r="G11" s="245">
        <v>17.714285714285715</v>
      </c>
      <c r="H11" s="245">
        <v>1382.4224459601417</v>
      </c>
      <c r="I11" s="245">
        <v>78.115652396700668</v>
      </c>
      <c r="J11" s="248" t="s">
        <v>771</v>
      </c>
      <c r="K11" s="712" t="s">
        <v>791</v>
      </c>
      <c r="L11" s="713"/>
      <c r="M11" s="131"/>
    </row>
    <row r="12" spans="1:13" ht="15.75" customHeight="1">
      <c r="A12" s="721"/>
      <c r="B12" s="723"/>
      <c r="C12" s="315">
        <v>5</v>
      </c>
      <c r="D12" s="709" t="s">
        <v>809</v>
      </c>
      <c r="E12" s="710"/>
      <c r="F12" s="711"/>
      <c r="G12" s="245">
        <v>18</v>
      </c>
      <c r="H12" s="245">
        <v>1385.5325382245155</v>
      </c>
      <c r="I12" s="245">
        <v>76.974029901361973</v>
      </c>
      <c r="J12" s="247" t="s">
        <v>773</v>
      </c>
      <c r="K12" s="700"/>
      <c r="L12" s="701"/>
      <c r="M12" s="131"/>
    </row>
    <row r="13" spans="1:13" ht="15.75" customHeight="1">
      <c r="A13" s="721"/>
      <c r="B13" s="723"/>
      <c r="C13" s="170" t="s">
        <v>515</v>
      </c>
      <c r="D13" s="709" t="s">
        <v>806</v>
      </c>
      <c r="E13" s="710"/>
      <c r="F13" s="711"/>
      <c r="G13" s="245">
        <v>18</v>
      </c>
      <c r="H13" s="245">
        <v>922.42765469824371</v>
      </c>
      <c r="I13" s="245">
        <v>51.245980816569102</v>
      </c>
      <c r="J13" s="249" t="s">
        <v>429</v>
      </c>
      <c r="K13" s="712"/>
      <c r="L13" s="713"/>
      <c r="M13" s="131"/>
    </row>
    <row r="14" spans="1:13" ht="15.75" customHeight="1">
      <c r="A14" s="721"/>
      <c r="B14" s="723"/>
      <c r="C14" s="170" t="s">
        <v>516</v>
      </c>
      <c r="D14" s="709" t="s">
        <v>807</v>
      </c>
      <c r="E14" s="710"/>
      <c r="F14" s="711"/>
      <c r="G14" s="245">
        <v>18.142857142857142</v>
      </c>
      <c r="H14" s="245">
        <v>1229.0609093287599</v>
      </c>
      <c r="I14" s="245">
        <v>67.772088947671278</v>
      </c>
      <c r="J14" s="249" t="s">
        <v>429</v>
      </c>
      <c r="K14" s="719"/>
      <c r="L14" s="720"/>
      <c r="M14" s="131"/>
    </row>
    <row r="15" spans="1:13" ht="15.75" customHeight="1">
      <c r="A15" s="721"/>
      <c r="B15" s="723"/>
      <c r="C15" s="170" t="s">
        <v>517</v>
      </c>
      <c r="D15" s="709" t="s">
        <v>808</v>
      </c>
      <c r="E15" s="710"/>
      <c r="F15" s="711"/>
      <c r="G15" s="245">
        <v>20</v>
      </c>
      <c r="H15" s="245">
        <v>1380.592054460476</v>
      </c>
      <c r="I15" s="245">
        <v>69.0296027230238</v>
      </c>
      <c r="J15" s="249" t="s">
        <v>429</v>
      </c>
      <c r="K15" s="719"/>
      <c r="L15" s="720"/>
      <c r="M15" s="131"/>
    </row>
    <row r="16" spans="1:13" ht="15.75" customHeight="1">
      <c r="A16" s="721"/>
      <c r="B16" s="723"/>
      <c r="C16" s="170" t="s">
        <v>518</v>
      </c>
      <c r="D16" s="709" t="s">
        <v>810</v>
      </c>
      <c r="E16" s="710"/>
      <c r="F16" s="711"/>
      <c r="G16" s="245">
        <v>18</v>
      </c>
      <c r="H16" s="245">
        <v>1344.90707595768</v>
      </c>
      <c r="I16" s="245">
        <v>74.717059775426648</v>
      </c>
      <c r="J16" s="249" t="s">
        <v>429</v>
      </c>
      <c r="K16" s="729"/>
      <c r="L16" s="730"/>
      <c r="M16" s="156"/>
    </row>
    <row r="17" spans="1:13" ht="15.75" customHeight="1">
      <c r="A17" s="715"/>
      <c r="B17" s="724"/>
      <c r="C17" s="170" t="s">
        <v>519</v>
      </c>
      <c r="D17" s="709" t="s">
        <v>805</v>
      </c>
      <c r="E17" s="710"/>
      <c r="F17" s="711"/>
      <c r="G17" s="245">
        <v>17.714285714285715</v>
      </c>
      <c r="H17" s="245">
        <v>1356.3712436806725</v>
      </c>
      <c r="I17" s="245">
        <v>76.647874241573746</v>
      </c>
      <c r="J17" s="249" t="s">
        <v>429</v>
      </c>
      <c r="K17" s="734"/>
      <c r="L17" s="730"/>
      <c r="M17" s="156"/>
    </row>
    <row r="18" spans="1:13" s="166" customFormat="1" ht="15.75" customHeight="1">
      <c r="A18" s="731" t="s">
        <v>187</v>
      </c>
      <c r="B18" s="732"/>
      <c r="C18" s="316" t="s">
        <v>520</v>
      </c>
      <c r="D18" s="731" t="s">
        <v>12</v>
      </c>
      <c r="E18" s="733"/>
      <c r="F18" s="732"/>
      <c r="G18" s="498" t="s">
        <v>46</v>
      </c>
      <c r="H18" s="498" t="s">
        <v>458</v>
      </c>
      <c r="I18" s="498" t="s">
        <v>459</v>
      </c>
      <c r="J18" s="227" t="s">
        <v>460</v>
      </c>
      <c r="K18" s="731" t="s">
        <v>51</v>
      </c>
      <c r="L18" s="732"/>
      <c r="M18" s="159"/>
    </row>
    <row r="19" spans="1:13" ht="15.75" customHeight="1">
      <c r="A19" s="714">
        <v>8</v>
      </c>
      <c r="B19" s="722" t="s">
        <v>136</v>
      </c>
      <c r="C19" s="315">
        <v>1</v>
      </c>
      <c r="D19" s="709" t="s">
        <v>873</v>
      </c>
      <c r="E19" s="710"/>
      <c r="F19" s="711"/>
      <c r="G19" s="245">
        <v>18.857142857142858</v>
      </c>
      <c r="H19" s="245">
        <v>2458.2845036319623</v>
      </c>
      <c r="I19" s="245">
        <v>130.40827856566358</v>
      </c>
      <c r="J19" s="249" t="s">
        <v>429</v>
      </c>
      <c r="K19" s="712"/>
      <c r="L19" s="713"/>
      <c r="M19" s="156"/>
    </row>
    <row r="20" spans="1:13" ht="15.75" customHeight="1">
      <c r="A20" s="721"/>
      <c r="B20" s="723"/>
      <c r="C20" s="315">
        <v>2</v>
      </c>
      <c r="D20" s="709" t="s">
        <v>411</v>
      </c>
      <c r="E20" s="710"/>
      <c r="F20" s="711"/>
      <c r="G20" s="245">
        <v>19</v>
      </c>
      <c r="H20" s="245">
        <v>2472.2915699197069</v>
      </c>
      <c r="I20" s="245">
        <v>130.12060894314249</v>
      </c>
      <c r="J20" s="249" t="s">
        <v>429</v>
      </c>
      <c r="K20" s="712"/>
      <c r="L20" s="713"/>
      <c r="M20" s="156"/>
    </row>
    <row r="21" spans="1:13" ht="15.75" customHeight="1">
      <c r="A21" s="721"/>
      <c r="B21" s="723"/>
      <c r="C21" s="315">
        <v>3</v>
      </c>
      <c r="D21" s="709" t="s">
        <v>409</v>
      </c>
      <c r="E21" s="710"/>
      <c r="F21" s="711"/>
      <c r="G21" s="245">
        <v>18.857142857142858</v>
      </c>
      <c r="H21" s="245">
        <v>2376.8830668252508</v>
      </c>
      <c r="I21" s="245">
        <v>126.10107020557872</v>
      </c>
      <c r="J21" s="249" t="s">
        <v>429</v>
      </c>
      <c r="K21" s="712"/>
      <c r="L21" s="713"/>
      <c r="M21" s="156"/>
    </row>
    <row r="22" spans="1:13" ht="15.75" customHeight="1">
      <c r="A22" s="721"/>
      <c r="B22" s="723"/>
      <c r="C22" s="315">
        <v>4</v>
      </c>
      <c r="D22" s="709"/>
      <c r="E22" s="710"/>
      <c r="F22" s="711"/>
      <c r="G22" s="245"/>
      <c r="H22" s="245"/>
      <c r="I22" s="245"/>
      <c r="J22" s="247"/>
      <c r="K22" s="712"/>
      <c r="L22" s="713"/>
      <c r="M22" s="156"/>
    </row>
    <row r="23" spans="1:13" ht="15.75" customHeight="1">
      <c r="A23" s="721"/>
      <c r="B23" s="723"/>
      <c r="C23" s="315">
        <v>5</v>
      </c>
      <c r="D23" s="709"/>
      <c r="E23" s="710"/>
      <c r="F23" s="711"/>
      <c r="G23" s="245"/>
      <c r="H23" s="245"/>
      <c r="I23" s="245"/>
      <c r="J23" s="499"/>
      <c r="K23" s="729"/>
      <c r="L23" s="730"/>
      <c r="M23" s="156"/>
    </row>
    <row r="24" spans="1:13" ht="15.75" customHeight="1">
      <c r="A24" s="721"/>
      <c r="B24" s="723"/>
      <c r="C24" s="170" t="s">
        <v>515</v>
      </c>
      <c r="D24" s="709" t="s">
        <v>408</v>
      </c>
      <c r="E24" s="710"/>
      <c r="F24" s="711" t="s">
        <v>408</v>
      </c>
      <c r="G24" s="245">
        <v>20.857142857142858</v>
      </c>
      <c r="H24" s="245">
        <v>2168.4204490553893</v>
      </c>
      <c r="I24" s="245">
        <v>104.00892220707728</v>
      </c>
      <c r="J24" s="249" t="s">
        <v>429</v>
      </c>
      <c r="K24" s="725"/>
      <c r="L24" s="713"/>
      <c r="M24" s="156"/>
    </row>
    <row r="25" spans="1:13" ht="15.75" customHeight="1">
      <c r="A25" s="721"/>
      <c r="B25" s="723"/>
      <c r="C25" s="170" t="s">
        <v>516</v>
      </c>
      <c r="D25" s="726" t="s">
        <v>821</v>
      </c>
      <c r="E25" s="727"/>
      <c r="F25" s="728"/>
      <c r="G25" s="245">
        <v>20</v>
      </c>
      <c r="H25" s="245">
        <v>2168.6191816272708</v>
      </c>
      <c r="I25" s="245">
        <v>108.43095908136353</v>
      </c>
      <c r="J25" s="249" t="s">
        <v>429</v>
      </c>
      <c r="K25" s="729" t="s">
        <v>874</v>
      </c>
      <c r="L25" s="730"/>
      <c r="M25" s="156"/>
    </row>
    <row r="26" spans="1:13" ht="15.75" customHeight="1">
      <c r="A26" s="721"/>
      <c r="B26" s="723"/>
      <c r="C26" s="170" t="s">
        <v>517</v>
      </c>
      <c r="D26" s="709"/>
      <c r="E26" s="710"/>
      <c r="F26" s="711"/>
      <c r="G26" s="245"/>
      <c r="H26" s="245"/>
      <c r="I26" s="245"/>
      <c r="J26" s="249"/>
      <c r="K26" s="729"/>
      <c r="L26" s="730"/>
      <c r="M26" s="156"/>
    </row>
    <row r="27" spans="1:13" ht="15.75" customHeight="1">
      <c r="A27" s="721"/>
      <c r="B27" s="723"/>
      <c r="C27" s="170" t="s">
        <v>518</v>
      </c>
      <c r="D27" s="709"/>
      <c r="E27" s="710"/>
      <c r="F27" s="711"/>
      <c r="G27" s="471"/>
      <c r="H27" s="471"/>
      <c r="I27" s="471"/>
      <c r="J27" s="471"/>
      <c r="K27" s="729"/>
      <c r="L27" s="730"/>
      <c r="M27" s="156"/>
    </row>
    <row r="28" spans="1:13" ht="15.75" customHeight="1">
      <c r="A28" s="715"/>
      <c r="B28" s="724"/>
      <c r="C28" s="170" t="s">
        <v>519</v>
      </c>
      <c r="D28" s="709"/>
      <c r="E28" s="710"/>
      <c r="F28" s="711"/>
      <c r="G28" s="471"/>
      <c r="H28" s="471"/>
      <c r="I28" s="471"/>
      <c r="J28" s="471"/>
      <c r="K28" s="729"/>
      <c r="L28" s="730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3">
    <mergeCell ref="K16:L16"/>
    <mergeCell ref="D17:F17"/>
    <mergeCell ref="D27:F27"/>
    <mergeCell ref="K27:L27"/>
    <mergeCell ref="K17:L1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D15:F15"/>
    <mergeCell ref="K13:L13"/>
    <mergeCell ref="A3:L4"/>
    <mergeCell ref="A5:A6"/>
    <mergeCell ref="A7:B7"/>
    <mergeCell ref="D7:F7"/>
    <mergeCell ref="K7:L7"/>
    <mergeCell ref="K14:L14"/>
    <mergeCell ref="K15:L15"/>
    <mergeCell ref="A8:A17"/>
    <mergeCell ref="B8:B17"/>
    <mergeCell ref="D10:F10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K10:L10"/>
    <mergeCell ref="K11:L11"/>
    <mergeCell ref="K12:L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0" zoomScaleNormal="80" zoomScaleSheetLayoutView="100" workbookViewId="0">
      <selection sqref="A1:L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1" t="s">
        <v>204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120"/>
    </row>
    <row r="2" spans="1:13" s="121" customFormat="1" ht="15.75" customHeight="1">
      <c r="A2" s="541"/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</row>
    <row r="3" spans="1:13" ht="15.75" customHeight="1">
      <c r="A3" s="669" t="s">
        <v>205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  <c r="M3" s="156"/>
    </row>
    <row r="4" spans="1:13" s="121" customFormat="1" ht="15.75" customHeight="1">
      <c r="A4" s="669"/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  <c r="M4" s="131"/>
    </row>
    <row r="5" spans="1:13" s="158" customFormat="1" ht="16.350000000000001" customHeight="1">
      <c r="A5" s="714" t="s">
        <v>154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71">
        <v>9</v>
      </c>
      <c r="K5" s="157"/>
      <c r="L5" s="157"/>
      <c r="M5" s="157"/>
    </row>
    <row r="6" spans="1:13" ht="16.350000000000001" customHeight="1">
      <c r="A6" s="715"/>
      <c r="B6" s="161" t="s">
        <v>206</v>
      </c>
      <c r="C6" s="161" t="s">
        <v>151</v>
      </c>
      <c r="D6" s="161" t="s">
        <v>207</v>
      </c>
      <c r="E6" s="161" t="s">
        <v>153</v>
      </c>
      <c r="F6" s="162" t="s">
        <v>133</v>
      </c>
      <c r="G6" s="163" t="s">
        <v>131</v>
      </c>
      <c r="H6" s="164" t="s">
        <v>208</v>
      </c>
      <c r="I6" s="163" t="s">
        <v>209</v>
      </c>
      <c r="J6" s="174" t="s">
        <v>137</v>
      </c>
      <c r="K6" s="159"/>
      <c r="L6" s="159"/>
      <c r="M6" s="131"/>
    </row>
    <row r="7" spans="1:13" s="158" customFormat="1" ht="15.75" customHeight="1">
      <c r="A7" s="716" t="s">
        <v>187</v>
      </c>
      <c r="B7" s="717"/>
      <c r="C7" s="290" t="s">
        <v>462</v>
      </c>
      <c r="D7" s="716" t="s">
        <v>12</v>
      </c>
      <c r="E7" s="718"/>
      <c r="F7" s="717"/>
      <c r="G7" s="466" t="s">
        <v>766</v>
      </c>
      <c r="H7" s="466" t="s">
        <v>767</v>
      </c>
      <c r="I7" s="466" t="s">
        <v>768</v>
      </c>
      <c r="J7" s="227" t="s">
        <v>769</v>
      </c>
      <c r="K7" s="716" t="s">
        <v>770</v>
      </c>
      <c r="L7" s="717"/>
      <c r="M7" s="157"/>
    </row>
    <row r="8" spans="1:13" ht="15.75" customHeight="1">
      <c r="A8" s="714">
        <f>J5</f>
        <v>9</v>
      </c>
      <c r="B8" s="722" t="str">
        <f>J6</f>
        <v>微波小吃</v>
      </c>
      <c r="C8" s="375">
        <v>1</v>
      </c>
      <c r="D8" s="725" t="s">
        <v>413</v>
      </c>
      <c r="E8" s="737"/>
      <c r="F8" s="713"/>
      <c r="G8" s="245">
        <v>6.7142857142857144</v>
      </c>
      <c r="H8" s="245">
        <v>1304.533521132186</v>
      </c>
      <c r="I8" s="245">
        <v>195.21249848373631</v>
      </c>
      <c r="J8" s="246" t="s">
        <v>823</v>
      </c>
      <c r="K8" s="735" t="s">
        <v>875</v>
      </c>
      <c r="L8" s="736"/>
      <c r="M8" s="131"/>
    </row>
    <row r="9" spans="1:13" ht="15.75" customHeight="1">
      <c r="A9" s="721"/>
      <c r="B9" s="723"/>
      <c r="C9" s="375">
        <v>2</v>
      </c>
      <c r="D9" s="725" t="s">
        <v>414</v>
      </c>
      <c r="E9" s="737"/>
      <c r="F9" s="713"/>
      <c r="G9" s="245">
        <v>6.7142857142857144</v>
      </c>
      <c r="H9" s="245">
        <v>1282.6748258186344</v>
      </c>
      <c r="I9" s="245">
        <v>191.91664701451398</v>
      </c>
      <c r="J9" s="246" t="s">
        <v>823</v>
      </c>
      <c r="K9" s="702"/>
      <c r="L9" s="703"/>
      <c r="M9" s="131"/>
    </row>
    <row r="10" spans="1:13" ht="15.75" customHeight="1">
      <c r="A10" s="721"/>
      <c r="B10" s="723"/>
      <c r="C10" s="375">
        <v>3</v>
      </c>
      <c r="D10" s="725" t="s">
        <v>473</v>
      </c>
      <c r="E10" s="737"/>
      <c r="F10" s="713"/>
      <c r="G10" s="245">
        <v>6.7142857142857144</v>
      </c>
      <c r="H10" s="245">
        <v>1281.7873853558849</v>
      </c>
      <c r="I10" s="245">
        <v>191.85800079247491</v>
      </c>
      <c r="J10" s="246" t="s">
        <v>823</v>
      </c>
      <c r="K10" s="704"/>
      <c r="L10" s="705"/>
      <c r="M10" s="131"/>
    </row>
    <row r="11" spans="1:13" ht="15.75" customHeight="1">
      <c r="A11" s="721"/>
      <c r="B11" s="723"/>
      <c r="C11" s="375">
        <v>4</v>
      </c>
      <c r="D11" s="725" t="s">
        <v>415</v>
      </c>
      <c r="E11" s="737"/>
      <c r="F11" s="713"/>
      <c r="G11" s="245">
        <v>17.571428571428573</v>
      </c>
      <c r="H11" s="245">
        <v>1284.5080473382188</v>
      </c>
      <c r="I11" s="245">
        <v>73.163368117297509</v>
      </c>
      <c r="J11" s="246" t="s">
        <v>823</v>
      </c>
      <c r="K11" s="729"/>
      <c r="L11" s="730"/>
      <c r="M11" s="131"/>
    </row>
    <row r="12" spans="1:13" ht="15.75" customHeight="1">
      <c r="A12" s="721"/>
      <c r="B12" s="723"/>
      <c r="C12" s="375">
        <v>5</v>
      </c>
      <c r="D12" s="725"/>
      <c r="E12" s="737"/>
      <c r="F12" s="713"/>
      <c r="G12" s="499"/>
      <c r="H12" s="499"/>
      <c r="I12" s="499"/>
      <c r="J12" s="499"/>
      <c r="K12" s="729"/>
      <c r="L12" s="730"/>
      <c r="M12" s="131"/>
    </row>
    <row r="13" spans="1:13" ht="15.75" customHeight="1">
      <c r="A13" s="721"/>
      <c r="B13" s="723"/>
      <c r="C13" s="170" t="s">
        <v>696</v>
      </c>
      <c r="D13" s="738" t="s">
        <v>822</v>
      </c>
      <c r="E13" s="739"/>
      <c r="F13" s="740"/>
      <c r="G13" s="245">
        <v>21</v>
      </c>
      <c r="H13" s="245">
        <v>1085.1305633157815</v>
      </c>
      <c r="I13" s="245">
        <v>51.67288396741818</v>
      </c>
      <c r="J13" s="246" t="s">
        <v>823</v>
      </c>
      <c r="K13" s="742" t="s">
        <v>876</v>
      </c>
      <c r="L13" s="743"/>
      <c r="M13" s="131"/>
    </row>
    <row r="14" spans="1:13" ht="15.75" customHeight="1">
      <c r="A14" s="721"/>
      <c r="B14" s="723"/>
      <c r="C14" s="170" t="s">
        <v>697</v>
      </c>
      <c r="D14" s="725" t="s">
        <v>687</v>
      </c>
      <c r="E14" s="737"/>
      <c r="F14" s="713"/>
      <c r="G14" s="245">
        <v>20.714285714285715</v>
      </c>
      <c r="H14" s="245">
        <v>1082.0309734142479</v>
      </c>
      <c r="I14" s="245">
        <v>52.258988839144777</v>
      </c>
      <c r="J14" s="246" t="s">
        <v>823</v>
      </c>
      <c r="K14" s="744"/>
      <c r="L14" s="743"/>
      <c r="M14" s="131"/>
    </row>
    <row r="15" spans="1:13" ht="15.75" customHeight="1">
      <c r="A15" s="721"/>
      <c r="B15" s="723"/>
      <c r="C15" s="170" t="s">
        <v>698</v>
      </c>
      <c r="D15" s="725" t="s">
        <v>667</v>
      </c>
      <c r="E15" s="737"/>
      <c r="F15" s="713"/>
      <c r="G15" s="245">
        <v>18</v>
      </c>
      <c r="H15" s="245">
        <v>1258.7014383138689</v>
      </c>
      <c r="I15" s="245">
        <v>69.927857684103827</v>
      </c>
      <c r="J15" s="246" t="s">
        <v>823</v>
      </c>
      <c r="K15" s="742"/>
      <c r="L15" s="743"/>
      <c r="M15" s="131"/>
    </row>
    <row r="16" spans="1:13" ht="15.75" customHeight="1">
      <c r="A16" s="721"/>
      <c r="B16" s="723"/>
      <c r="C16" s="170" t="s">
        <v>699</v>
      </c>
      <c r="D16" s="725" t="s">
        <v>353</v>
      </c>
      <c r="E16" s="737"/>
      <c r="F16" s="713"/>
      <c r="G16" s="245">
        <v>18</v>
      </c>
      <c r="H16" s="245">
        <v>1282.6456414793322</v>
      </c>
      <c r="I16" s="245">
        <v>71.258091193296224</v>
      </c>
      <c r="J16" s="246" t="s">
        <v>823</v>
      </c>
      <c r="K16" s="712"/>
      <c r="L16" s="713"/>
      <c r="M16" s="156"/>
    </row>
    <row r="17" spans="1:13" ht="15.75" customHeight="1">
      <c r="A17" s="715"/>
      <c r="B17" s="724"/>
      <c r="C17" s="170" t="s">
        <v>700</v>
      </c>
      <c r="D17" s="725"/>
      <c r="E17" s="737"/>
      <c r="F17" s="713"/>
      <c r="G17" s="499"/>
      <c r="H17" s="499"/>
      <c r="I17" s="499"/>
      <c r="J17" s="499"/>
      <c r="K17" s="729"/>
      <c r="L17" s="730"/>
      <c r="M17" s="156"/>
    </row>
    <row r="18" spans="1:13" s="166" customFormat="1" ht="15.75" customHeight="1">
      <c r="A18" s="731" t="s">
        <v>187</v>
      </c>
      <c r="B18" s="732"/>
      <c r="C18" s="293" t="s">
        <v>462</v>
      </c>
      <c r="D18" s="731" t="s">
        <v>12</v>
      </c>
      <c r="E18" s="733"/>
      <c r="F18" s="732"/>
      <c r="G18" s="293" t="s">
        <v>457</v>
      </c>
      <c r="H18" s="293" t="s">
        <v>458</v>
      </c>
      <c r="I18" s="293" t="s">
        <v>459</v>
      </c>
      <c r="J18" s="227" t="s">
        <v>460</v>
      </c>
      <c r="K18" s="731" t="s">
        <v>461</v>
      </c>
      <c r="L18" s="732"/>
      <c r="M18" s="159"/>
    </row>
    <row r="19" spans="1:13" ht="15.75" customHeight="1">
      <c r="A19" s="714"/>
      <c r="B19" s="722"/>
      <c r="C19" s="292">
        <v>1</v>
      </c>
      <c r="D19" s="725"/>
      <c r="E19" s="737"/>
      <c r="F19" s="713"/>
      <c r="G19" s="291"/>
      <c r="H19" s="291"/>
      <c r="I19" s="291"/>
      <c r="J19" s="291"/>
      <c r="K19" s="725"/>
      <c r="L19" s="713"/>
      <c r="M19" s="156"/>
    </row>
    <row r="20" spans="1:13" ht="15.75" customHeight="1">
      <c r="A20" s="721"/>
      <c r="B20" s="723"/>
      <c r="C20" s="292">
        <v>2</v>
      </c>
      <c r="D20" s="729"/>
      <c r="E20" s="741"/>
      <c r="F20" s="730"/>
      <c r="G20" s="291"/>
      <c r="H20" s="291"/>
      <c r="I20" s="291"/>
      <c r="J20" s="291"/>
      <c r="K20" s="729"/>
      <c r="L20" s="730"/>
      <c r="M20" s="156"/>
    </row>
    <row r="21" spans="1:13" ht="15.75" customHeight="1">
      <c r="A21" s="721"/>
      <c r="B21" s="723"/>
      <c r="C21" s="292">
        <v>3</v>
      </c>
      <c r="D21" s="729"/>
      <c r="E21" s="741"/>
      <c r="F21" s="730"/>
      <c r="G21" s="291"/>
      <c r="H21" s="291"/>
      <c r="I21" s="291"/>
      <c r="J21" s="291"/>
      <c r="K21" s="729"/>
      <c r="L21" s="730"/>
      <c r="M21" s="156"/>
    </row>
    <row r="22" spans="1:13" ht="15.75" customHeight="1">
      <c r="A22" s="721"/>
      <c r="B22" s="723"/>
      <c r="C22" s="292">
        <v>4</v>
      </c>
      <c r="D22" s="729"/>
      <c r="E22" s="741"/>
      <c r="F22" s="730"/>
      <c r="G22" s="291"/>
      <c r="H22" s="291"/>
      <c r="I22" s="291"/>
      <c r="J22" s="291"/>
      <c r="K22" s="729"/>
      <c r="L22" s="730"/>
      <c r="M22" s="156"/>
    </row>
    <row r="23" spans="1:13" ht="15.75" customHeight="1">
      <c r="A23" s="721"/>
      <c r="B23" s="723"/>
      <c r="C23" s="292">
        <v>5</v>
      </c>
      <c r="D23" s="729"/>
      <c r="E23" s="741"/>
      <c r="F23" s="730"/>
      <c r="G23" s="291"/>
      <c r="H23" s="291"/>
      <c r="I23" s="291"/>
      <c r="J23" s="291"/>
      <c r="K23" s="729"/>
      <c r="L23" s="730"/>
      <c r="M23" s="156"/>
    </row>
    <row r="24" spans="1:13" ht="15.75" customHeight="1">
      <c r="A24" s="721"/>
      <c r="B24" s="723"/>
      <c r="C24" s="170" t="s">
        <v>463</v>
      </c>
      <c r="D24" s="725"/>
      <c r="E24" s="737"/>
      <c r="F24" s="713"/>
      <c r="G24" s="291"/>
      <c r="H24" s="291"/>
      <c r="I24" s="291"/>
      <c r="J24" s="291"/>
      <c r="K24" s="725"/>
      <c r="L24" s="713"/>
      <c r="M24" s="156"/>
    </row>
    <row r="25" spans="1:13" ht="15.75" customHeight="1">
      <c r="A25" s="721"/>
      <c r="B25" s="723"/>
      <c r="C25" s="170" t="s">
        <v>464</v>
      </c>
      <c r="D25" s="729"/>
      <c r="E25" s="741"/>
      <c r="F25" s="730"/>
      <c r="G25" s="291"/>
      <c r="H25" s="291"/>
      <c r="I25" s="291"/>
      <c r="J25" s="291"/>
      <c r="K25" s="729"/>
      <c r="L25" s="730"/>
      <c r="M25" s="156"/>
    </row>
    <row r="26" spans="1:13" ht="15.75" customHeight="1">
      <c r="A26" s="721"/>
      <c r="B26" s="723"/>
      <c r="C26" s="170" t="s">
        <v>465</v>
      </c>
      <c r="D26" s="729"/>
      <c r="E26" s="741"/>
      <c r="F26" s="730"/>
      <c r="G26" s="291"/>
      <c r="H26" s="291"/>
      <c r="I26" s="291"/>
      <c r="J26" s="291"/>
      <c r="K26" s="729"/>
      <c r="L26" s="730"/>
      <c r="M26" s="156"/>
    </row>
    <row r="27" spans="1:13" ht="15.75" customHeight="1">
      <c r="A27" s="721"/>
      <c r="B27" s="723"/>
      <c r="C27" s="170" t="s">
        <v>466</v>
      </c>
      <c r="D27" s="729"/>
      <c r="E27" s="741"/>
      <c r="F27" s="730"/>
      <c r="G27" s="291"/>
      <c r="H27" s="291"/>
      <c r="I27" s="291"/>
      <c r="J27" s="291"/>
      <c r="K27" s="729"/>
      <c r="L27" s="730"/>
      <c r="M27" s="156"/>
    </row>
    <row r="28" spans="1:13" ht="15.75" customHeight="1">
      <c r="A28" s="715"/>
      <c r="B28" s="724"/>
      <c r="C28" s="170" t="s">
        <v>467</v>
      </c>
      <c r="D28" s="729"/>
      <c r="E28" s="741"/>
      <c r="F28" s="730"/>
      <c r="G28" s="291"/>
      <c r="H28" s="291"/>
      <c r="I28" s="291"/>
      <c r="J28" s="291"/>
      <c r="K28" s="729"/>
      <c r="L28" s="730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1">
    <mergeCell ref="K13:L13"/>
    <mergeCell ref="D16:F16"/>
    <mergeCell ref="K14:L14"/>
    <mergeCell ref="K15:L15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K8:L10"/>
    <mergeCell ref="A8:A17"/>
    <mergeCell ref="B8:B17"/>
    <mergeCell ref="D8:F8"/>
    <mergeCell ref="D9:F9"/>
    <mergeCell ref="D10:F10"/>
    <mergeCell ref="D11:F11"/>
    <mergeCell ref="K11:L11"/>
    <mergeCell ref="D13:F13"/>
    <mergeCell ref="D14:F14"/>
    <mergeCell ref="D12:F12"/>
    <mergeCell ref="K12:L12"/>
    <mergeCell ref="D15:F15"/>
    <mergeCell ref="K16:L16"/>
    <mergeCell ref="D17:F17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747" t="s">
        <v>236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</row>
    <row r="2" spans="1:14" s="189" customFormat="1" ht="15.75" customHeight="1">
      <c r="A2" s="747"/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</row>
    <row r="3" spans="1:14" ht="15.75" customHeight="1">
      <c r="A3" s="748" t="s">
        <v>237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190"/>
    </row>
    <row r="4" spans="1:14" s="189" customFormat="1" ht="15.75" customHeight="1">
      <c r="A4" s="748"/>
      <c r="B4" s="748"/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748"/>
      <c r="N4" s="191"/>
    </row>
    <row r="5" spans="1:14" ht="15.75" customHeight="1">
      <c r="A5" s="192" t="s">
        <v>238</v>
      </c>
      <c r="B5" s="193">
        <v>212376150</v>
      </c>
    </row>
    <row r="6" spans="1:14" ht="15.75" customHeight="1">
      <c r="A6" s="749" t="s">
        <v>239</v>
      </c>
      <c r="B6" s="750" t="s">
        <v>10</v>
      </c>
      <c r="C6" s="750"/>
      <c r="D6" s="751"/>
      <c r="E6" s="749" t="s">
        <v>239</v>
      </c>
      <c r="F6" s="753">
        <v>1</v>
      </c>
      <c r="G6" s="753"/>
      <c r="H6" s="753">
        <v>2</v>
      </c>
      <c r="I6" s="753"/>
      <c r="J6" s="753">
        <v>3</v>
      </c>
      <c r="K6" s="753"/>
      <c r="L6" s="753">
        <v>4</v>
      </c>
      <c r="M6" s="753"/>
    </row>
    <row r="7" spans="1:14" ht="31.35" customHeight="1">
      <c r="A7" s="749"/>
      <c r="B7" s="750"/>
      <c r="C7" s="750"/>
      <c r="D7" s="752"/>
      <c r="E7" s="749"/>
      <c r="F7" s="745" t="s">
        <v>250</v>
      </c>
      <c r="G7" s="745"/>
      <c r="H7" s="745" t="s">
        <v>240</v>
      </c>
      <c r="I7" s="745"/>
      <c r="J7" s="745" t="s">
        <v>241</v>
      </c>
      <c r="K7" s="745"/>
      <c r="L7" s="745" t="s">
        <v>242</v>
      </c>
      <c r="M7" s="745"/>
    </row>
    <row r="8" spans="1:14" ht="15.75" customHeight="1">
      <c r="A8" s="749"/>
      <c r="B8" s="221" t="s">
        <v>11</v>
      </c>
      <c r="C8" s="221" t="s">
        <v>243</v>
      </c>
      <c r="D8" s="752"/>
      <c r="E8" s="749"/>
      <c r="F8" s="221" t="s">
        <v>11</v>
      </c>
      <c r="G8" s="221" t="s">
        <v>243</v>
      </c>
      <c r="H8" s="221" t="s">
        <v>11</v>
      </c>
      <c r="I8" s="221" t="s">
        <v>243</v>
      </c>
      <c r="J8" s="221" t="s">
        <v>11</v>
      </c>
      <c r="K8" s="221" t="s">
        <v>243</v>
      </c>
      <c r="L8" s="221" t="s">
        <v>11</v>
      </c>
      <c r="M8" s="221" t="s">
        <v>243</v>
      </c>
    </row>
    <row r="9" spans="1:14" s="199" customFormat="1" ht="19.350000000000001" customHeight="1">
      <c r="A9" s="194" t="s">
        <v>244</v>
      </c>
      <c r="B9" s="195">
        <v>47927.00699999994</v>
      </c>
      <c r="C9" s="196">
        <f>B9/$B$5</f>
        <v>2.256703824793883E-4</v>
      </c>
      <c r="D9" s="752"/>
      <c r="E9" s="194" t="s">
        <v>244</v>
      </c>
      <c r="F9" s="197">
        <v>1423.9050000000002</v>
      </c>
      <c r="G9" s="198">
        <f>IFERROR(F9/$B$9,"")</f>
        <v>2.9709866923256903E-2</v>
      </c>
      <c r="H9" s="197">
        <v>5535.9419999999991</v>
      </c>
      <c r="I9" s="198">
        <f>IFERROR(H9/$B$9,"")</f>
        <v>0.11550777623146812</v>
      </c>
      <c r="J9" s="197">
        <v>6691.5360000000019</v>
      </c>
      <c r="K9" s="198">
        <f>IFERROR(J9/$B$9,"")</f>
        <v>0.13961931735065389</v>
      </c>
      <c r="L9" s="197">
        <v>17258.763000000006</v>
      </c>
      <c r="M9" s="198">
        <f>IFERROR(L9/$B$9,"")</f>
        <v>0.36010516993059943</v>
      </c>
    </row>
    <row r="10" spans="1:14" s="199" customFormat="1" ht="19.350000000000001" customHeight="1">
      <c r="A10" s="200" t="s">
        <v>245</v>
      </c>
      <c r="B10" s="201">
        <v>69974.579191980054</v>
      </c>
      <c r="C10" s="196">
        <f>B10/$B$5</f>
        <v>3.2948416849999424E-4</v>
      </c>
      <c r="D10" s="752"/>
      <c r="E10" s="200" t="s">
        <v>245</v>
      </c>
      <c r="F10" s="197">
        <v>1179.8078200000007</v>
      </c>
      <c r="G10" s="198">
        <f>IFERROR(F10/$B$10,"")</f>
        <v>1.6860520400746062E-2</v>
      </c>
      <c r="H10" s="197">
        <v>3563.9139100000007</v>
      </c>
      <c r="I10" s="198">
        <f>IFERROR(H10/$B$10,"")</f>
        <v>5.0931551874319365E-2</v>
      </c>
      <c r="J10" s="197">
        <v>3130.998689999999</v>
      </c>
      <c r="K10" s="198">
        <f>IFERROR(J10/$B$10,"")</f>
        <v>4.4744801986016804E-2</v>
      </c>
      <c r="L10" s="197">
        <v>14381.948886699534</v>
      </c>
      <c r="M10" s="198">
        <f>IFERROR(L10/$B$10,"")</f>
        <v>0.20553105217312806</v>
      </c>
    </row>
    <row r="11" spans="1:14" ht="15.75" customHeight="1">
      <c r="D11" s="752"/>
      <c r="E11" s="749" t="s">
        <v>239</v>
      </c>
      <c r="F11" s="753">
        <v>5</v>
      </c>
      <c r="G11" s="753"/>
      <c r="H11" s="753">
        <v>6</v>
      </c>
      <c r="I11" s="753"/>
      <c r="J11" s="753">
        <v>7</v>
      </c>
      <c r="K11" s="753"/>
      <c r="L11" s="754">
        <v>8</v>
      </c>
      <c r="M11" s="754"/>
    </row>
    <row r="12" spans="1:14" ht="31.35" customHeight="1">
      <c r="D12" s="752"/>
      <c r="E12" s="749"/>
      <c r="F12" s="745" t="s">
        <v>246</v>
      </c>
      <c r="G12" s="745"/>
      <c r="H12" s="745" t="s">
        <v>247</v>
      </c>
      <c r="I12" s="745"/>
      <c r="J12" s="745" t="s">
        <v>248</v>
      </c>
      <c r="K12" s="745"/>
      <c r="L12" s="746" t="s">
        <v>249</v>
      </c>
      <c r="M12" s="746"/>
    </row>
    <row r="13" spans="1:14" ht="15.75" customHeight="1">
      <c r="D13" s="752"/>
      <c r="E13" s="749"/>
      <c r="F13" s="221" t="s">
        <v>11</v>
      </c>
      <c r="G13" s="221" t="s">
        <v>243</v>
      </c>
      <c r="H13" s="221" t="s">
        <v>11</v>
      </c>
      <c r="I13" s="221" t="s">
        <v>243</v>
      </c>
      <c r="J13" s="221" t="s">
        <v>11</v>
      </c>
      <c r="K13" s="221" t="s">
        <v>243</v>
      </c>
      <c r="L13" s="221" t="s">
        <v>11</v>
      </c>
      <c r="M13" s="221" t="s">
        <v>243</v>
      </c>
    </row>
    <row r="14" spans="1:14" s="199" customFormat="1" ht="19.350000000000001" customHeight="1">
      <c r="D14" s="752"/>
      <c r="E14" s="194" t="s">
        <v>244</v>
      </c>
      <c r="F14" s="197">
        <v>12460.915000000001</v>
      </c>
      <c r="G14" s="198">
        <f>IFERROR(F14/$B$9,"")</f>
        <v>0.25999777119401629</v>
      </c>
      <c r="H14" s="197">
        <v>1494.27</v>
      </c>
      <c r="I14" s="198">
        <f>IFERROR(H14/$B$9,"")</f>
        <v>3.1178037051218365E-2</v>
      </c>
      <c r="J14" s="197">
        <v>3061.675999999999</v>
      </c>
      <c r="K14" s="198">
        <f>IFERROR(J14/$B$9,"")</f>
        <v>6.3882061318788444E-2</v>
      </c>
      <c r="L14" s="197">
        <v>0</v>
      </c>
      <c r="M14" s="198">
        <f>IFERROR(L14/$B$9,"")</f>
        <v>0</v>
      </c>
    </row>
    <row r="15" spans="1:14" s="199" customFormat="1" ht="19.350000000000001" customHeight="1">
      <c r="D15" s="752"/>
      <c r="E15" s="200" t="s">
        <v>245</v>
      </c>
      <c r="F15" s="197">
        <v>30846.731825280494</v>
      </c>
      <c r="G15" s="198">
        <f>IFERROR(F15/$B$10,"")</f>
        <v>0.44082768601795191</v>
      </c>
      <c r="H15" s="197">
        <v>12704.309300000044</v>
      </c>
      <c r="I15" s="198">
        <f>IFERROR(H15/$B$10,"")</f>
        <v>0.18155606574131589</v>
      </c>
      <c r="J15" s="197">
        <v>3994.7131600000112</v>
      </c>
      <c r="K15" s="198">
        <f>IFERROR(J15/$B$10,"")</f>
        <v>5.7088062638293857E-2</v>
      </c>
      <c r="L15" s="197">
        <v>0</v>
      </c>
      <c r="M15" s="198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zoomScale="110" zoomScaleNormal="110" zoomScaleSheetLayoutView="115" workbookViewId="0">
      <selection activeCell="J17" sqref="J17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3" ht="15.75" customHeight="1">
      <c r="A1" s="747" t="s">
        <v>236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</row>
    <row r="2" spans="1:13" s="189" customFormat="1" ht="15.75" customHeight="1" thickBot="1">
      <c r="A2" s="747"/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</row>
    <row r="3" spans="1:13" ht="15.75" customHeight="1">
      <c r="A3" s="755" t="s">
        <v>812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7"/>
    </row>
    <row r="4" spans="1:13" ht="15.75" customHeight="1">
      <c r="A4" s="758"/>
      <c r="B4" s="748"/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759"/>
    </row>
    <row r="5" spans="1:13" ht="15.75" customHeight="1">
      <c r="A5" s="272" t="s">
        <v>238</v>
      </c>
      <c r="B5" s="369">
        <v>52649495</v>
      </c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273"/>
    </row>
    <row r="6" spans="1:13" ht="15.75" customHeight="1">
      <c r="A6" s="760" t="s">
        <v>197</v>
      </c>
      <c r="B6" s="750" t="s">
        <v>10</v>
      </c>
      <c r="C6" s="750"/>
      <c r="D6" s="751"/>
      <c r="E6" s="749" t="s">
        <v>197</v>
      </c>
      <c r="F6" s="753">
        <v>1</v>
      </c>
      <c r="G6" s="753"/>
      <c r="H6" s="753">
        <v>2</v>
      </c>
      <c r="I6" s="753"/>
      <c r="J6" s="753">
        <v>3</v>
      </c>
      <c r="K6" s="753"/>
      <c r="L6" s="753">
        <v>4</v>
      </c>
      <c r="M6" s="762"/>
    </row>
    <row r="7" spans="1:13" ht="15.75" customHeight="1">
      <c r="A7" s="760"/>
      <c r="B7" s="750"/>
      <c r="C7" s="750"/>
      <c r="D7" s="752"/>
      <c r="E7" s="749"/>
      <c r="F7" s="745" t="s">
        <v>250</v>
      </c>
      <c r="G7" s="745"/>
      <c r="H7" s="745" t="s">
        <v>240</v>
      </c>
      <c r="I7" s="745"/>
      <c r="J7" s="745" t="s">
        <v>164</v>
      </c>
      <c r="K7" s="745"/>
      <c r="L7" s="745" t="s">
        <v>692</v>
      </c>
      <c r="M7" s="763"/>
    </row>
    <row r="8" spans="1:13" ht="15.75" customHeight="1">
      <c r="A8" s="760"/>
      <c r="B8" s="493" t="s">
        <v>11</v>
      </c>
      <c r="C8" s="493" t="s">
        <v>41</v>
      </c>
      <c r="D8" s="752"/>
      <c r="E8" s="749"/>
      <c r="F8" s="493" t="s">
        <v>11</v>
      </c>
      <c r="G8" s="493" t="s">
        <v>41</v>
      </c>
      <c r="H8" s="493" t="s">
        <v>11</v>
      </c>
      <c r="I8" s="493" t="s">
        <v>41</v>
      </c>
      <c r="J8" s="493" t="s">
        <v>11</v>
      </c>
      <c r="K8" s="493" t="s">
        <v>41</v>
      </c>
      <c r="L8" s="493" t="s">
        <v>11</v>
      </c>
      <c r="M8" s="274" t="s">
        <v>41</v>
      </c>
    </row>
    <row r="9" spans="1:13" ht="15.75" customHeight="1">
      <c r="A9" s="275" t="s">
        <v>244</v>
      </c>
      <c r="B9" s="276">
        <v>129274</v>
      </c>
      <c r="C9" s="196">
        <f>B9/B5</f>
        <v>2.4553701797139743E-3</v>
      </c>
      <c r="D9" s="752"/>
      <c r="E9" s="194" t="s">
        <v>244</v>
      </c>
      <c r="F9" s="277">
        <v>0</v>
      </c>
      <c r="G9" s="198">
        <f>IFERROR(F9/B9,"")</f>
        <v>0</v>
      </c>
      <c r="H9" s="277">
        <v>308.69000000000005</v>
      </c>
      <c r="I9" s="198">
        <f>IFERROR(H9/B9,"")</f>
        <v>2.3878738184012257E-3</v>
      </c>
      <c r="J9" s="277">
        <v>721.21400000000006</v>
      </c>
      <c r="K9" s="198">
        <f>IFERROR(J9/B9,"")</f>
        <v>5.5789563253245047E-3</v>
      </c>
      <c r="L9" s="277">
        <v>4567.991</v>
      </c>
      <c r="M9" s="278">
        <f>IFERROR(L9/B9,"")</f>
        <v>3.5335728762164086E-2</v>
      </c>
    </row>
    <row r="10" spans="1:13" ht="15.75" customHeight="1">
      <c r="A10" s="279" t="s">
        <v>245</v>
      </c>
      <c r="B10" s="280">
        <v>118981.92926777399</v>
      </c>
      <c r="C10" s="196">
        <f>B10/B5</f>
        <v>2.2598873791244149E-3</v>
      </c>
      <c r="D10" s="752"/>
      <c r="E10" s="200" t="s">
        <v>245</v>
      </c>
      <c r="F10" s="277">
        <v>0</v>
      </c>
      <c r="G10" s="198">
        <f>IFERROR(F10/B10,"")</f>
        <v>0</v>
      </c>
      <c r="H10" s="277">
        <v>0</v>
      </c>
      <c r="I10" s="198">
        <f>IFERROR(H10/B10,"")</f>
        <v>0</v>
      </c>
      <c r="J10" s="277">
        <v>638.26473999999939</v>
      </c>
      <c r="K10" s="198">
        <f>IFERROR(J10/B10,"")</f>
        <v>5.3643838516314263E-3</v>
      </c>
      <c r="L10" s="277">
        <v>4112.5036300000047</v>
      </c>
      <c r="M10" s="278">
        <f>IFERROR(L10/B10,"")</f>
        <v>3.4564102761728104E-2</v>
      </c>
    </row>
    <row r="11" spans="1:13" ht="15.75" customHeight="1">
      <c r="A11" s="281"/>
      <c r="B11" s="190"/>
      <c r="C11" s="190"/>
      <c r="D11" s="752"/>
      <c r="E11" s="749" t="s">
        <v>197</v>
      </c>
      <c r="F11" s="764">
        <v>5</v>
      </c>
      <c r="G11" s="765"/>
      <c r="H11" s="764">
        <v>6</v>
      </c>
      <c r="I11" s="765"/>
      <c r="J11" s="764">
        <v>7</v>
      </c>
      <c r="K11" s="765"/>
      <c r="L11" s="766">
        <v>8</v>
      </c>
      <c r="M11" s="767"/>
    </row>
    <row r="12" spans="1:13" ht="15.75" customHeight="1">
      <c r="A12" s="281"/>
      <c r="B12" s="190"/>
      <c r="C12" s="190"/>
      <c r="D12" s="752"/>
      <c r="E12" s="749"/>
      <c r="F12" s="768" t="s">
        <v>188</v>
      </c>
      <c r="G12" s="769"/>
      <c r="H12" s="768" t="s">
        <v>165</v>
      </c>
      <c r="I12" s="769"/>
      <c r="J12" s="768" t="s">
        <v>189</v>
      </c>
      <c r="K12" s="769"/>
      <c r="L12" s="770" t="s">
        <v>249</v>
      </c>
      <c r="M12" s="771"/>
    </row>
    <row r="13" spans="1:13" ht="15.75" customHeight="1">
      <c r="A13" s="281"/>
      <c r="B13" s="190"/>
      <c r="C13" s="190"/>
      <c r="D13" s="752"/>
      <c r="E13" s="749"/>
      <c r="F13" s="493" t="s">
        <v>11</v>
      </c>
      <c r="G13" s="493" t="s">
        <v>41</v>
      </c>
      <c r="H13" s="493" t="s">
        <v>11</v>
      </c>
      <c r="I13" s="493" t="s">
        <v>41</v>
      </c>
      <c r="J13" s="493" t="s">
        <v>11</v>
      </c>
      <c r="K13" s="493" t="s">
        <v>41</v>
      </c>
      <c r="L13" s="493" t="s">
        <v>11</v>
      </c>
      <c r="M13" s="274" t="s">
        <v>41</v>
      </c>
    </row>
    <row r="14" spans="1:13" ht="15.75" customHeight="1">
      <c r="A14" s="282"/>
      <c r="B14" s="283"/>
      <c r="C14" s="283"/>
      <c r="D14" s="752"/>
      <c r="E14" s="194" t="s">
        <v>244</v>
      </c>
      <c r="F14" s="277">
        <v>2919.8290000000006</v>
      </c>
      <c r="G14" s="198">
        <f>IFERROR(F14/B9,"")</f>
        <v>2.2586359206027511E-2</v>
      </c>
      <c r="H14" s="277">
        <v>1754.818</v>
      </c>
      <c r="I14" s="198">
        <f>IFERROR(H14/B9,"")</f>
        <v>1.3574407846898834E-2</v>
      </c>
      <c r="J14" s="277">
        <v>504.61500000000001</v>
      </c>
      <c r="K14" s="198">
        <f>IFERROR(J14/B9,"")</f>
        <v>3.9034531305598961E-3</v>
      </c>
      <c r="L14" s="277">
        <v>0</v>
      </c>
      <c r="M14" s="278">
        <f>IFERROR(L14/B9,"")</f>
        <v>0</v>
      </c>
    </row>
    <row r="15" spans="1:13" ht="15.75" customHeight="1" thickBot="1">
      <c r="A15" s="284"/>
      <c r="B15" s="285"/>
      <c r="C15" s="285"/>
      <c r="D15" s="761"/>
      <c r="E15" s="286" t="s">
        <v>245</v>
      </c>
      <c r="F15" s="287">
        <v>7286.3094799999935</v>
      </c>
      <c r="G15" s="288">
        <f>IFERROR(F15/B10,"")</f>
        <v>6.1238790838580526E-2</v>
      </c>
      <c r="H15" s="287">
        <v>3621.9585500000039</v>
      </c>
      <c r="I15" s="288">
        <f>IFERROR(H15/B10,"")</f>
        <v>3.0441249123206175E-2</v>
      </c>
      <c r="J15" s="287">
        <v>1091.537080000001</v>
      </c>
      <c r="K15" s="288">
        <f>IFERROR(J15/B10,"")</f>
        <v>9.1739736169805207E-3</v>
      </c>
      <c r="L15" s="287">
        <v>0</v>
      </c>
      <c r="M15" s="289">
        <f>IFERROR(L15/B10,"")</f>
        <v>0</v>
      </c>
    </row>
  </sheetData>
  <mergeCells count="23"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A1:M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sqref="A1:Q2"/>
    </sheetView>
  </sheetViews>
  <sheetFormatPr defaultColWidth="12.5703125" defaultRowHeight="15.75" customHeight="1"/>
  <cols>
    <col min="1" max="1" width="5.42578125" style="120" customWidth="1"/>
    <col min="2" max="2" width="11.42578125" style="180" customWidth="1"/>
    <col min="3" max="3" width="4" style="165" customWidth="1"/>
    <col min="4" max="17" width="9.5703125" style="120" customWidth="1"/>
    <col min="18" max="16384" width="12.5703125" style="120"/>
  </cols>
  <sheetData>
    <row r="1" spans="1:17" ht="15.75" customHeight="1">
      <c r="A1" s="541" t="s">
        <v>204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</row>
    <row r="2" spans="1:17" s="121" customFormat="1" ht="15.75" customHeight="1">
      <c r="A2" s="541"/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</row>
    <row r="3" spans="1:17" ht="15.75" customHeight="1">
      <c r="A3" s="669" t="s">
        <v>210</v>
      </c>
      <c r="B3" s="670"/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156"/>
    </row>
    <row r="4" spans="1:17" s="121" customFormat="1" ht="15.75" customHeight="1">
      <c r="A4" s="670"/>
      <c r="B4" s="670"/>
      <c r="C4" s="670"/>
      <c r="D4" s="670"/>
      <c r="E4" s="670"/>
      <c r="F4" s="670"/>
      <c r="G4" s="670"/>
      <c r="H4" s="670"/>
      <c r="I4" s="670"/>
      <c r="J4" s="670"/>
      <c r="K4" s="670"/>
      <c r="L4" s="670"/>
      <c r="M4" s="670"/>
      <c r="N4" s="131"/>
    </row>
    <row r="5" spans="1:17" ht="15.75" customHeight="1">
      <c r="A5" s="561" t="s">
        <v>190</v>
      </c>
      <c r="B5" s="802">
        <v>1</v>
      </c>
      <c r="C5" s="802"/>
      <c r="D5" s="802">
        <v>2</v>
      </c>
      <c r="E5" s="802"/>
      <c r="F5" s="802">
        <v>3</v>
      </c>
      <c r="G5" s="802"/>
      <c r="H5" s="798">
        <v>4</v>
      </c>
      <c r="I5" s="798"/>
      <c r="J5" s="798">
        <v>5</v>
      </c>
      <c r="K5" s="798"/>
      <c r="L5" s="798">
        <v>6</v>
      </c>
      <c r="M5" s="798"/>
      <c r="N5" s="798">
        <v>7</v>
      </c>
      <c r="O5" s="798"/>
      <c r="P5" s="798">
        <v>8</v>
      </c>
      <c r="Q5" s="798"/>
    </row>
    <row r="6" spans="1:17" ht="15.75" customHeight="1">
      <c r="A6" s="561"/>
      <c r="B6" s="803" t="s">
        <v>321</v>
      </c>
      <c r="C6" s="803"/>
      <c r="D6" s="803" t="s">
        <v>211</v>
      </c>
      <c r="E6" s="803"/>
      <c r="F6" s="803" t="s">
        <v>164</v>
      </c>
      <c r="G6" s="803"/>
      <c r="H6" s="561" t="s">
        <v>692</v>
      </c>
      <c r="I6" s="561"/>
      <c r="J6" s="561" t="s">
        <v>188</v>
      </c>
      <c r="K6" s="561"/>
      <c r="L6" s="561" t="s">
        <v>165</v>
      </c>
      <c r="M6" s="561"/>
      <c r="N6" s="561" t="s">
        <v>189</v>
      </c>
      <c r="O6" s="561"/>
      <c r="P6" s="801" t="s">
        <v>214</v>
      </c>
      <c r="Q6" s="561"/>
    </row>
    <row r="8" spans="1:17" s="158" customFormat="1" ht="15.75" customHeight="1">
      <c r="A8" s="791" t="s">
        <v>877</v>
      </c>
      <c r="B8" s="792"/>
      <c r="C8" s="503" t="s">
        <v>878</v>
      </c>
      <c r="D8" s="793" t="s">
        <v>12</v>
      </c>
      <c r="E8" s="794"/>
      <c r="F8" s="795"/>
      <c r="G8" s="501" t="s">
        <v>879</v>
      </c>
      <c r="H8" s="502"/>
      <c r="I8" s="503"/>
      <c r="J8" s="175" t="s">
        <v>880</v>
      </c>
      <c r="K8" s="175" t="s">
        <v>881</v>
      </c>
      <c r="L8" s="175" t="s">
        <v>882</v>
      </c>
      <c r="M8" s="175" t="s">
        <v>11</v>
      </c>
      <c r="N8" s="390" t="s">
        <v>883</v>
      </c>
      <c r="O8" s="796" t="s">
        <v>884</v>
      </c>
      <c r="P8" s="797"/>
    </row>
    <row r="9" spans="1:17" ht="15.75" customHeight="1">
      <c r="A9" s="714">
        <v>1</v>
      </c>
      <c r="B9" s="778" t="s">
        <v>885</v>
      </c>
      <c r="C9" s="176">
        <v>1</v>
      </c>
      <c r="D9" s="514">
        <v>0</v>
      </c>
      <c r="E9" s="781"/>
      <c r="F9" s="782"/>
      <c r="G9" s="514">
        <v>0</v>
      </c>
      <c r="H9" s="781"/>
      <c r="I9" s="782"/>
      <c r="J9" s="4">
        <v>0</v>
      </c>
      <c r="K9" s="14">
        <v>0</v>
      </c>
      <c r="L9" s="4">
        <v>0</v>
      </c>
      <c r="M9" s="16">
        <v>0</v>
      </c>
      <c r="N9" s="177"/>
      <c r="O9" s="789"/>
      <c r="P9" s="790"/>
    </row>
    <row r="10" spans="1:17" ht="15.75" customHeight="1">
      <c r="A10" s="721"/>
      <c r="B10" s="779"/>
      <c r="C10" s="176">
        <v>2</v>
      </c>
      <c r="D10" s="514">
        <v>0</v>
      </c>
      <c r="E10" s="781"/>
      <c r="F10" s="782"/>
      <c r="G10" s="514">
        <v>0</v>
      </c>
      <c r="H10" s="781"/>
      <c r="I10" s="782"/>
      <c r="J10" s="4">
        <v>0</v>
      </c>
      <c r="K10" s="14">
        <v>0</v>
      </c>
      <c r="L10" s="4">
        <v>0</v>
      </c>
      <c r="M10" s="16">
        <v>0</v>
      </c>
      <c r="N10" s="177"/>
      <c r="O10" s="789"/>
      <c r="P10" s="790"/>
    </row>
    <row r="11" spans="1:17" ht="15.75" customHeight="1">
      <c r="A11" s="721"/>
      <c r="B11" s="779"/>
      <c r="C11" s="176">
        <v>3</v>
      </c>
      <c r="D11" s="514">
        <v>0</v>
      </c>
      <c r="E11" s="781"/>
      <c r="F11" s="782"/>
      <c r="G11" s="514">
        <v>0</v>
      </c>
      <c r="H11" s="781"/>
      <c r="I11" s="782"/>
      <c r="J11" s="4">
        <v>0</v>
      </c>
      <c r="K11" s="14">
        <v>0</v>
      </c>
      <c r="L11" s="4">
        <v>0</v>
      </c>
      <c r="M11" s="16">
        <v>0</v>
      </c>
      <c r="N11" s="177"/>
      <c r="O11" s="789"/>
      <c r="P11" s="790"/>
    </row>
    <row r="12" spans="1:17" ht="15.75" customHeight="1">
      <c r="A12" s="721"/>
      <c r="B12" s="779"/>
      <c r="C12" s="176">
        <v>4</v>
      </c>
      <c r="D12" s="514">
        <v>0</v>
      </c>
      <c r="E12" s="781"/>
      <c r="F12" s="782"/>
      <c r="G12" s="514">
        <v>0</v>
      </c>
      <c r="H12" s="781"/>
      <c r="I12" s="782"/>
      <c r="J12" s="4">
        <v>0</v>
      </c>
      <c r="K12" s="14">
        <v>0</v>
      </c>
      <c r="L12" s="4">
        <v>0</v>
      </c>
      <c r="M12" s="16">
        <v>0</v>
      </c>
      <c r="N12" s="177"/>
      <c r="O12" s="789"/>
      <c r="P12" s="790"/>
    </row>
    <row r="13" spans="1:17" ht="15.75" customHeight="1" thickBot="1">
      <c r="A13" s="721"/>
      <c r="B13" s="779"/>
      <c r="C13" s="178">
        <v>5</v>
      </c>
      <c r="D13" s="786">
        <v>0</v>
      </c>
      <c r="E13" s="787"/>
      <c r="F13" s="788"/>
      <c r="G13" s="786">
        <v>0</v>
      </c>
      <c r="H13" s="787"/>
      <c r="I13" s="788"/>
      <c r="J13" s="4">
        <v>0</v>
      </c>
      <c r="K13" s="14">
        <v>0</v>
      </c>
      <c r="L13" s="4">
        <v>0</v>
      </c>
      <c r="M13" s="16">
        <v>0</v>
      </c>
      <c r="N13" s="179"/>
      <c r="O13" s="799"/>
      <c r="P13" s="800"/>
    </row>
    <row r="14" spans="1:17" ht="15.75" customHeight="1" thickTop="1" thickBot="1">
      <c r="A14" s="715"/>
      <c r="B14" s="780"/>
      <c r="C14" s="772"/>
      <c r="D14" s="773"/>
      <c r="E14" s="773"/>
      <c r="F14" s="773"/>
      <c r="G14" s="773"/>
      <c r="H14" s="773"/>
      <c r="I14" s="774"/>
      <c r="J14" s="388" t="s">
        <v>886</v>
      </c>
      <c r="K14" s="253">
        <v>0</v>
      </c>
      <c r="L14" s="388" t="s">
        <v>887</v>
      </c>
      <c r="M14" s="255">
        <v>0</v>
      </c>
      <c r="N14" s="775"/>
      <c r="O14" s="776"/>
      <c r="P14" s="777"/>
    </row>
    <row r="15" spans="1:17" ht="15.75" customHeight="1" thickTop="1"/>
    <row r="16" spans="1:17" ht="15.75" customHeight="1">
      <c r="A16" s="791" t="s">
        <v>877</v>
      </c>
      <c r="B16" s="792"/>
      <c r="C16" s="503" t="s">
        <v>878</v>
      </c>
      <c r="D16" s="793" t="s">
        <v>12</v>
      </c>
      <c r="E16" s="794"/>
      <c r="F16" s="795"/>
      <c r="G16" s="501" t="s">
        <v>879</v>
      </c>
      <c r="H16" s="502"/>
      <c r="I16" s="503"/>
      <c r="J16" s="175" t="s">
        <v>880</v>
      </c>
      <c r="K16" s="175" t="s">
        <v>881</v>
      </c>
      <c r="L16" s="175" t="s">
        <v>882</v>
      </c>
      <c r="M16" s="175" t="s">
        <v>11</v>
      </c>
      <c r="N16" s="390" t="s">
        <v>883</v>
      </c>
      <c r="O16" s="796" t="s">
        <v>884</v>
      </c>
      <c r="P16" s="797"/>
    </row>
    <row r="17" spans="1:16" ht="15.75" customHeight="1">
      <c r="A17" s="714">
        <v>2</v>
      </c>
      <c r="B17" s="778" t="s">
        <v>888</v>
      </c>
      <c r="C17" s="176">
        <v>1</v>
      </c>
      <c r="D17" s="514" t="s">
        <v>356</v>
      </c>
      <c r="E17" s="781"/>
      <c r="F17" s="782"/>
      <c r="G17" s="514" t="s">
        <v>889</v>
      </c>
      <c r="H17" s="781"/>
      <c r="I17" s="782"/>
      <c r="J17" s="391">
        <v>169.36</v>
      </c>
      <c r="K17" s="14">
        <v>2.7430326969497473E-2</v>
      </c>
      <c r="L17" s="4">
        <v>1</v>
      </c>
      <c r="M17" s="350">
        <v>169.36</v>
      </c>
      <c r="N17" s="177"/>
      <c r="O17" s="789" t="s">
        <v>704</v>
      </c>
      <c r="P17" s="790"/>
    </row>
    <row r="18" spans="1:16" ht="15.75" customHeight="1">
      <c r="A18" s="721"/>
      <c r="B18" s="779"/>
      <c r="C18" s="176">
        <v>2</v>
      </c>
      <c r="D18" s="514" t="s">
        <v>361</v>
      </c>
      <c r="E18" s="781"/>
      <c r="F18" s="782"/>
      <c r="G18" s="514" t="s">
        <v>890</v>
      </c>
      <c r="H18" s="781"/>
      <c r="I18" s="782"/>
      <c r="J18" s="391">
        <v>139.33000000000001</v>
      </c>
      <c r="K18" s="14">
        <v>9.4696969696969696E-2</v>
      </c>
      <c r="L18" s="4">
        <v>1</v>
      </c>
      <c r="M18" s="350">
        <v>139.33000000000001</v>
      </c>
      <c r="N18" s="177"/>
      <c r="O18" s="789" t="s">
        <v>704</v>
      </c>
      <c r="P18" s="790"/>
    </row>
    <row r="19" spans="1:16" ht="15.75" customHeight="1">
      <c r="A19" s="721"/>
      <c r="B19" s="779"/>
      <c r="C19" s="176">
        <v>3</v>
      </c>
      <c r="D19" s="514">
        <v>0</v>
      </c>
      <c r="E19" s="781"/>
      <c r="F19" s="782"/>
      <c r="G19" s="514">
        <v>0</v>
      </c>
      <c r="H19" s="781"/>
      <c r="I19" s="782"/>
      <c r="J19" s="391">
        <v>0</v>
      </c>
      <c r="K19" s="14">
        <v>0</v>
      </c>
      <c r="L19" s="4">
        <v>0</v>
      </c>
      <c r="M19" s="350">
        <v>0</v>
      </c>
      <c r="N19" s="177"/>
      <c r="O19" s="789"/>
      <c r="P19" s="790"/>
    </row>
    <row r="20" spans="1:16" ht="15.75" customHeight="1">
      <c r="A20" s="721"/>
      <c r="B20" s="779"/>
      <c r="C20" s="176">
        <v>4</v>
      </c>
      <c r="D20" s="514">
        <v>0</v>
      </c>
      <c r="E20" s="781"/>
      <c r="F20" s="782"/>
      <c r="G20" s="514">
        <v>0</v>
      </c>
      <c r="H20" s="781"/>
      <c r="I20" s="782"/>
      <c r="J20" s="391">
        <v>0</v>
      </c>
      <c r="K20" s="14">
        <v>0</v>
      </c>
      <c r="L20" s="4">
        <v>0</v>
      </c>
      <c r="M20" s="350">
        <v>0</v>
      </c>
      <c r="N20" s="177"/>
      <c r="O20" s="789"/>
      <c r="P20" s="790"/>
    </row>
    <row r="21" spans="1:16" ht="15.75" customHeight="1" thickBot="1">
      <c r="A21" s="721"/>
      <c r="B21" s="779"/>
      <c r="C21" s="178">
        <v>5</v>
      </c>
      <c r="D21" s="514">
        <v>0</v>
      </c>
      <c r="E21" s="781"/>
      <c r="F21" s="782"/>
      <c r="G21" s="514">
        <v>0</v>
      </c>
      <c r="H21" s="781"/>
      <c r="I21" s="782"/>
      <c r="J21" s="391">
        <v>0</v>
      </c>
      <c r="K21" s="14">
        <v>0</v>
      </c>
      <c r="L21" s="4">
        <v>0</v>
      </c>
      <c r="M21" s="350">
        <v>0</v>
      </c>
      <c r="N21" s="179"/>
      <c r="O21" s="799"/>
      <c r="P21" s="800"/>
    </row>
    <row r="22" spans="1:16" ht="15.75" customHeight="1" thickTop="1" thickBot="1">
      <c r="A22" s="715"/>
      <c r="B22" s="780"/>
      <c r="C22" s="783"/>
      <c r="D22" s="784"/>
      <c r="E22" s="784"/>
      <c r="F22" s="784"/>
      <c r="G22" s="784"/>
      <c r="H22" s="784"/>
      <c r="I22" s="785"/>
      <c r="J22" s="388" t="s">
        <v>886</v>
      </c>
      <c r="K22" s="253">
        <v>2.4404686610587571E-3</v>
      </c>
      <c r="L22" s="388" t="s">
        <v>887</v>
      </c>
      <c r="M22" s="255">
        <v>308.69000000000005</v>
      </c>
      <c r="N22" s="775"/>
      <c r="O22" s="776"/>
      <c r="P22" s="777"/>
    </row>
    <row r="23" spans="1:16" ht="15.75" customHeight="1" thickTop="1"/>
    <row r="24" spans="1:16" ht="15.75" customHeight="1">
      <c r="A24" s="791" t="s">
        <v>877</v>
      </c>
      <c r="B24" s="792"/>
      <c r="C24" s="503" t="s">
        <v>878</v>
      </c>
      <c r="D24" s="793" t="s">
        <v>12</v>
      </c>
      <c r="E24" s="794"/>
      <c r="F24" s="795"/>
      <c r="G24" s="501" t="s">
        <v>879</v>
      </c>
      <c r="H24" s="502"/>
      <c r="I24" s="503"/>
      <c r="J24" s="175" t="s">
        <v>880</v>
      </c>
      <c r="K24" s="175" t="s">
        <v>881</v>
      </c>
      <c r="L24" s="175" t="s">
        <v>882</v>
      </c>
      <c r="M24" s="175" t="s">
        <v>11</v>
      </c>
      <c r="N24" s="390" t="s">
        <v>883</v>
      </c>
      <c r="O24" s="796" t="s">
        <v>884</v>
      </c>
      <c r="P24" s="797"/>
    </row>
    <row r="25" spans="1:16" ht="15.75" customHeight="1">
      <c r="A25" s="714">
        <v>3</v>
      </c>
      <c r="B25" s="778" t="s">
        <v>891</v>
      </c>
      <c r="C25" s="176">
        <v>1</v>
      </c>
      <c r="D25" s="514" t="s">
        <v>390</v>
      </c>
      <c r="E25" s="781"/>
      <c r="F25" s="782"/>
      <c r="G25" s="514" t="s">
        <v>892</v>
      </c>
      <c r="H25" s="781"/>
      <c r="I25" s="782"/>
      <c r="J25" s="391">
        <v>418.41</v>
      </c>
      <c r="K25" s="14">
        <v>2.4870981782005849E-2</v>
      </c>
      <c r="L25" s="4">
        <v>0.4</v>
      </c>
      <c r="M25" s="350">
        <v>167.36400000000003</v>
      </c>
      <c r="N25" s="177"/>
      <c r="O25" s="789" t="s">
        <v>893</v>
      </c>
      <c r="P25" s="790"/>
    </row>
    <row r="26" spans="1:16" ht="15.75" customHeight="1">
      <c r="A26" s="721"/>
      <c r="B26" s="779"/>
      <c r="C26" s="176">
        <v>2</v>
      </c>
      <c r="D26" s="514" t="s">
        <v>707</v>
      </c>
      <c r="E26" s="781"/>
      <c r="F26" s="782"/>
      <c r="G26" s="514" t="s">
        <v>793</v>
      </c>
      <c r="H26" s="781"/>
      <c r="I26" s="782"/>
      <c r="J26" s="391">
        <v>381.03</v>
      </c>
      <c r="K26" s="14">
        <v>2.1829294913774284E-2</v>
      </c>
      <c r="L26" s="4">
        <v>0.4</v>
      </c>
      <c r="M26" s="350">
        <v>152.41200000000001</v>
      </c>
      <c r="N26" s="177"/>
      <c r="O26" s="789" t="s">
        <v>893</v>
      </c>
      <c r="P26" s="790"/>
    </row>
    <row r="27" spans="1:16" ht="15.75" customHeight="1">
      <c r="A27" s="721"/>
      <c r="B27" s="779"/>
      <c r="C27" s="176">
        <v>3</v>
      </c>
      <c r="D27" s="514" t="s">
        <v>819</v>
      </c>
      <c r="E27" s="781"/>
      <c r="F27" s="782"/>
      <c r="G27" s="514" t="s">
        <v>894</v>
      </c>
      <c r="H27" s="781"/>
      <c r="I27" s="782"/>
      <c r="J27" s="391">
        <v>278.12</v>
      </c>
      <c r="K27" s="14">
        <v>1.5262515262515264E-2</v>
      </c>
      <c r="L27" s="4">
        <v>0.5</v>
      </c>
      <c r="M27" s="350">
        <v>139.06</v>
      </c>
      <c r="N27" s="177"/>
      <c r="O27" s="789" t="s">
        <v>893</v>
      </c>
      <c r="P27" s="790"/>
    </row>
    <row r="28" spans="1:16" ht="15.75" customHeight="1">
      <c r="A28" s="721"/>
      <c r="B28" s="779"/>
      <c r="C28" s="176">
        <v>4</v>
      </c>
      <c r="D28" s="514" t="s">
        <v>387</v>
      </c>
      <c r="E28" s="781"/>
      <c r="F28" s="782"/>
      <c r="G28" s="514" t="s">
        <v>895</v>
      </c>
      <c r="H28" s="781"/>
      <c r="I28" s="782"/>
      <c r="J28" s="391">
        <v>224.83</v>
      </c>
      <c r="K28" s="14">
        <v>2.6749888542131079E-2</v>
      </c>
      <c r="L28" s="4">
        <v>0.60000000000000009</v>
      </c>
      <c r="M28" s="350">
        <v>134.89800000000002</v>
      </c>
      <c r="N28" s="177"/>
      <c r="O28" s="789" t="s">
        <v>893</v>
      </c>
      <c r="P28" s="790"/>
    </row>
    <row r="29" spans="1:16" ht="15.75" customHeight="1" thickBot="1">
      <c r="A29" s="721"/>
      <c r="B29" s="779"/>
      <c r="C29" s="178">
        <v>5</v>
      </c>
      <c r="D29" s="786" t="s">
        <v>353</v>
      </c>
      <c r="E29" s="787"/>
      <c r="F29" s="788"/>
      <c r="G29" s="786" t="s">
        <v>434</v>
      </c>
      <c r="H29" s="787"/>
      <c r="I29" s="788"/>
      <c r="J29" s="391">
        <v>127.48</v>
      </c>
      <c r="K29" s="14">
        <v>7.8860621737141777E-3</v>
      </c>
      <c r="L29" s="4">
        <v>1</v>
      </c>
      <c r="M29" s="350">
        <v>127.48</v>
      </c>
      <c r="N29" s="179"/>
      <c r="O29" s="789" t="s">
        <v>896</v>
      </c>
      <c r="P29" s="790"/>
    </row>
    <row r="30" spans="1:16" ht="15.75" customHeight="1" thickTop="1" thickBot="1">
      <c r="A30" s="715"/>
      <c r="B30" s="780"/>
      <c r="C30" s="772"/>
      <c r="D30" s="773"/>
      <c r="E30" s="773"/>
      <c r="F30" s="773"/>
      <c r="G30" s="773"/>
      <c r="H30" s="773"/>
      <c r="I30" s="774"/>
      <c r="J30" s="388" t="s">
        <v>886</v>
      </c>
      <c r="K30" s="253">
        <v>5.7018373284422252E-3</v>
      </c>
      <c r="L30" s="388" t="s">
        <v>887</v>
      </c>
      <c r="M30" s="255">
        <v>721.21400000000017</v>
      </c>
      <c r="N30" s="775"/>
      <c r="O30" s="776"/>
      <c r="P30" s="777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A8" sqref="A8:B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41" t="s">
        <v>204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</row>
    <row r="2" spans="1:17" s="121" customFormat="1" ht="15.75" customHeight="1">
      <c r="A2" s="541"/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</row>
    <row r="3" spans="1:17" s="120" customFormat="1" ht="15.75" customHeight="1">
      <c r="A3" s="669" t="s">
        <v>210</v>
      </c>
      <c r="B3" s="670"/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156"/>
    </row>
    <row r="4" spans="1:17" s="121" customFormat="1" ht="15.75" customHeight="1">
      <c r="A4" s="670"/>
      <c r="B4" s="670"/>
      <c r="C4" s="670"/>
      <c r="D4" s="670"/>
      <c r="E4" s="670"/>
      <c r="F4" s="670"/>
      <c r="G4" s="670"/>
      <c r="H4" s="670"/>
      <c r="I4" s="670"/>
      <c r="J4" s="670"/>
      <c r="K4" s="670"/>
      <c r="L4" s="670"/>
      <c r="M4" s="670"/>
      <c r="N4" s="131"/>
    </row>
    <row r="5" spans="1:17" s="120" customFormat="1" ht="15.75" customHeight="1">
      <c r="A5" s="561" t="s">
        <v>190</v>
      </c>
      <c r="B5" s="798">
        <v>1</v>
      </c>
      <c r="C5" s="798"/>
      <c r="D5" s="798">
        <v>2</v>
      </c>
      <c r="E5" s="798"/>
      <c r="F5" s="798">
        <v>3</v>
      </c>
      <c r="G5" s="798"/>
      <c r="H5" s="802">
        <v>4</v>
      </c>
      <c r="I5" s="802"/>
      <c r="J5" s="802">
        <v>5</v>
      </c>
      <c r="K5" s="802"/>
      <c r="L5" s="802">
        <v>6</v>
      </c>
      <c r="M5" s="802"/>
      <c r="N5" s="802">
        <v>7</v>
      </c>
      <c r="O5" s="802"/>
      <c r="P5" s="798">
        <v>8</v>
      </c>
      <c r="Q5" s="798"/>
    </row>
    <row r="6" spans="1:17" s="120" customFormat="1" ht="15.75" customHeight="1">
      <c r="A6" s="561"/>
      <c r="B6" s="561" t="s">
        <v>322</v>
      </c>
      <c r="C6" s="561"/>
      <c r="D6" s="561" t="s">
        <v>211</v>
      </c>
      <c r="E6" s="561"/>
      <c r="F6" s="561" t="s">
        <v>164</v>
      </c>
      <c r="G6" s="561"/>
      <c r="H6" s="803" t="s">
        <v>692</v>
      </c>
      <c r="I6" s="803"/>
      <c r="J6" s="803" t="s">
        <v>188</v>
      </c>
      <c r="K6" s="803"/>
      <c r="L6" s="803" t="s">
        <v>165</v>
      </c>
      <c r="M6" s="803"/>
      <c r="N6" s="803" t="s">
        <v>189</v>
      </c>
      <c r="O6" s="803"/>
      <c r="P6" s="801" t="s">
        <v>214</v>
      </c>
      <c r="Q6" s="561"/>
    </row>
    <row r="7" spans="1:17" s="120" customFormat="1" ht="15.75" customHeight="1">
      <c r="B7" s="180"/>
      <c r="C7" s="165"/>
    </row>
    <row r="8" spans="1:17" s="110" customFormat="1" ht="15.75" customHeight="1">
      <c r="A8" s="804" t="s">
        <v>877</v>
      </c>
      <c r="B8" s="805"/>
      <c r="C8" s="117" t="s">
        <v>878</v>
      </c>
      <c r="D8" s="806" t="s">
        <v>12</v>
      </c>
      <c r="E8" s="807"/>
      <c r="F8" s="808"/>
      <c r="G8" s="115" t="s">
        <v>879</v>
      </c>
      <c r="H8" s="116"/>
      <c r="I8" s="117"/>
      <c r="J8" s="114" t="s">
        <v>880</v>
      </c>
      <c r="K8" s="114" t="s">
        <v>881</v>
      </c>
      <c r="L8" s="114" t="s">
        <v>882</v>
      </c>
      <c r="M8" s="118" t="s">
        <v>11</v>
      </c>
      <c r="N8" s="390" t="s">
        <v>883</v>
      </c>
      <c r="O8" s="809" t="s">
        <v>884</v>
      </c>
      <c r="P8" s="810"/>
    </row>
    <row r="9" spans="1:17" ht="15.75" customHeight="1">
      <c r="A9" s="805">
        <v>4</v>
      </c>
      <c r="B9" s="812" t="s">
        <v>692</v>
      </c>
      <c r="C9" s="112">
        <v>1</v>
      </c>
      <c r="D9" s="514" t="s">
        <v>822</v>
      </c>
      <c r="E9" s="781"/>
      <c r="F9" s="782"/>
      <c r="G9" s="514" t="s">
        <v>897</v>
      </c>
      <c r="H9" s="781"/>
      <c r="I9" s="782"/>
      <c r="J9" s="391">
        <v>448.48</v>
      </c>
      <c r="K9" s="14">
        <v>7.8354554358472089E-3</v>
      </c>
      <c r="L9" s="4">
        <v>0.4</v>
      </c>
      <c r="M9" s="350">
        <v>179.39200000000002</v>
      </c>
      <c r="N9" s="4"/>
      <c r="O9" s="789" t="s">
        <v>898</v>
      </c>
      <c r="P9" s="818"/>
      <c r="Q9" s="271"/>
    </row>
    <row r="10" spans="1:17" ht="15.75" customHeight="1">
      <c r="A10" s="805"/>
      <c r="B10" s="812"/>
      <c r="C10" s="112">
        <v>2</v>
      </c>
      <c r="D10" s="514" t="s">
        <v>390</v>
      </c>
      <c r="E10" s="781"/>
      <c r="F10" s="782"/>
      <c r="G10" s="514" t="s">
        <v>892</v>
      </c>
      <c r="H10" s="781"/>
      <c r="I10" s="782"/>
      <c r="J10" s="391">
        <v>418.41</v>
      </c>
      <c r="K10" s="14">
        <v>3.084277893438199E-2</v>
      </c>
      <c r="L10" s="4">
        <v>0.4</v>
      </c>
      <c r="M10" s="350">
        <v>167.36400000000003</v>
      </c>
      <c r="N10" s="4"/>
      <c r="O10" s="789" t="s">
        <v>898</v>
      </c>
      <c r="P10" s="818"/>
      <c r="Q10" s="271"/>
    </row>
    <row r="11" spans="1:17" ht="15.75" customHeight="1">
      <c r="A11" s="805"/>
      <c r="B11" s="812"/>
      <c r="C11" s="112">
        <v>3</v>
      </c>
      <c r="D11" s="514" t="s">
        <v>819</v>
      </c>
      <c r="E11" s="781"/>
      <c r="F11" s="782"/>
      <c r="G11" s="514" t="s">
        <v>894</v>
      </c>
      <c r="H11" s="781"/>
      <c r="I11" s="782"/>
      <c r="J11" s="391">
        <v>278.12</v>
      </c>
      <c r="K11" s="14">
        <v>6.7177213489184474E-3</v>
      </c>
      <c r="L11" s="4">
        <v>0.60000000000000009</v>
      </c>
      <c r="M11" s="350">
        <v>166.87200000000001</v>
      </c>
      <c r="N11" s="4"/>
      <c r="O11" s="789" t="s">
        <v>898</v>
      </c>
      <c r="P11" s="818"/>
      <c r="Q11" s="271"/>
    </row>
    <row r="12" spans="1:17" ht="15.75" customHeight="1">
      <c r="A12" s="805"/>
      <c r="B12" s="812"/>
      <c r="C12" s="112">
        <v>4</v>
      </c>
      <c r="D12" s="514" t="s">
        <v>399</v>
      </c>
      <c r="E12" s="781"/>
      <c r="F12" s="782"/>
      <c r="G12" s="514" t="s">
        <v>794</v>
      </c>
      <c r="H12" s="781"/>
      <c r="I12" s="782"/>
      <c r="J12" s="391">
        <v>269.19</v>
      </c>
      <c r="K12" s="14">
        <v>4.8194706614723484E-3</v>
      </c>
      <c r="L12" s="4">
        <v>0.60000000000000009</v>
      </c>
      <c r="M12" s="350">
        <v>161.51400000000001</v>
      </c>
      <c r="N12" s="4"/>
      <c r="O12" s="789" t="s">
        <v>899</v>
      </c>
      <c r="P12" s="818"/>
      <c r="Q12" s="271"/>
    </row>
    <row r="13" spans="1:17" ht="15.75" customHeight="1" thickBot="1">
      <c r="A13" s="805"/>
      <c r="B13" s="812"/>
      <c r="C13" s="113">
        <v>5</v>
      </c>
      <c r="D13" s="514" t="s">
        <v>346</v>
      </c>
      <c r="E13" s="781"/>
      <c r="F13" s="782"/>
      <c r="G13" s="514" t="s">
        <v>798</v>
      </c>
      <c r="H13" s="781"/>
      <c r="I13" s="782"/>
      <c r="J13" s="391">
        <v>310.43</v>
      </c>
      <c r="K13" s="14">
        <v>2.7109086965950987E-2</v>
      </c>
      <c r="L13" s="4">
        <v>0.5</v>
      </c>
      <c r="M13" s="350">
        <v>155.215</v>
      </c>
      <c r="N13" s="27"/>
      <c r="O13" s="789" t="s">
        <v>898</v>
      </c>
      <c r="P13" s="818"/>
      <c r="Q13" s="271"/>
    </row>
    <row r="14" spans="1:17" ht="15.75" customHeight="1" thickTop="1" thickBot="1">
      <c r="A14" s="805"/>
      <c r="B14" s="812"/>
      <c r="C14" s="820"/>
      <c r="D14" s="820"/>
      <c r="E14" s="820"/>
      <c r="F14" s="820"/>
      <c r="G14" s="820"/>
      <c r="H14" s="820"/>
      <c r="I14" s="820"/>
      <c r="J14" s="254" t="s">
        <v>886</v>
      </c>
      <c r="K14" s="253">
        <v>6.5647096957814196E-3</v>
      </c>
      <c r="L14" s="254" t="s">
        <v>887</v>
      </c>
      <c r="M14" s="255">
        <v>830.3570000000002</v>
      </c>
      <c r="N14" s="819"/>
      <c r="O14" s="819"/>
      <c r="P14" s="819"/>
      <c r="Q14" s="271"/>
    </row>
    <row r="15" spans="1:17" ht="15.75" customHeight="1" thickTop="1">
      <c r="A15" s="500"/>
      <c r="D15" s="500"/>
      <c r="E15" s="500"/>
      <c r="F15" s="500"/>
      <c r="G15" s="500"/>
      <c r="H15" s="500"/>
      <c r="I15" s="500"/>
      <c r="J15" s="500"/>
      <c r="K15" s="500"/>
      <c r="L15" s="500"/>
      <c r="M15" s="500"/>
      <c r="N15" s="500"/>
      <c r="O15" s="500"/>
      <c r="P15" s="500"/>
      <c r="Q15" s="271"/>
    </row>
    <row r="16" spans="1:17" ht="15.75" customHeight="1">
      <c r="A16" s="804" t="s">
        <v>877</v>
      </c>
      <c r="B16" s="805"/>
      <c r="C16" s="117" t="s">
        <v>878</v>
      </c>
      <c r="D16" s="806" t="s">
        <v>12</v>
      </c>
      <c r="E16" s="807"/>
      <c r="F16" s="808"/>
      <c r="G16" s="115" t="s">
        <v>879</v>
      </c>
      <c r="H16" s="116"/>
      <c r="I16" s="117"/>
      <c r="J16" s="114" t="s">
        <v>880</v>
      </c>
      <c r="K16" s="114" t="s">
        <v>881</v>
      </c>
      <c r="L16" s="114" t="s">
        <v>882</v>
      </c>
      <c r="M16" s="118" t="s">
        <v>11</v>
      </c>
      <c r="N16" s="390" t="s">
        <v>883</v>
      </c>
      <c r="O16" s="809" t="s">
        <v>884</v>
      </c>
      <c r="P16" s="810"/>
      <c r="Q16" s="271"/>
    </row>
    <row r="17" spans="1:17" ht="15.75" customHeight="1">
      <c r="A17" s="805">
        <v>5</v>
      </c>
      <c r="B17" s="811" t="s">
        <v>212</v>
      </c>
      <c r="C17" s="112">
        <v>1</v>
      </c>
      <c r="D17" s="514" t="s">
        <v>361</v>
      </c>
      <c r="E17" s="781"/>
      <c r="F17" s="782"/>
      <c r="G17" s="514" t="s">
        <v>360</v>
      </c>
      <c r="H17" s="781"/>
      <c r="I17" s="782"/>
      <c r="J17" s="391">
        <v>581.91999999999996</v>
      </c>
      <c r="K17" s="14">
        <v>1.2682308180088775E-2</v>
      </c>
      <c r="L17" s="4">
        <v>0.3</v>
      </c>
      <c r="M17" s="350">
        <v>174.57599999999999</v>
      </c>
      <c r="N17" s="4"/>
      <c r="O17" s="789" t="s">
        <v>688</v>
      </c>
      <c r="P17" s="790"/>
      <c r="Q17" s="271"/>
    </row>
    <row r="18" spans="1:17" ht="15.75" customHeight="1">
      <c r="A18" s="805"/>
      <c r="B18" s="812"/>
      <c r="C18" s="112">
        <v>2</v>
      </c>
      <c r="D18" s="514" t="s">
        <v>387</v>
      </c>
      <c r="E18" s="781"/>
      <c r="F18" s="782"/>
      <c r="G18" s="514" t="s">
        <v>784</v>
      </c>
      <c r="H18" s="781"/>
      <c r="I18" s="782"/>
      <c r="J18" s="391">
        <v>432.07</v>
      </c>
      <c r="K18" s="14">
        <v>6.2833804586867742E-3</v>
      </c>
      <c r="L18" s="4">
        <v>0.4</v>
      </c>
      <c r="M18" s="350">
        <v>172.828</v>
      </c>
      <c r="N18" s="4"/>
      <c r="O18" s="789" t="s">
        <v>688</v>
      </c>
      <c r="P18" s="790"/>
      <c r="Q18" s="271"/>
    </row>
    <row r="19" spans="1:17" ht="15.75" customHeight="1">
      <c r="A19" s="805"/>
      <c r="B19" s="812"/>
      <c r="C19" s="112">
        <v>3</v>
      </c>
      <c r="D19" s="514" t="s">
        <v>404</v>
      </c>
      <c r="E19" s="781"/>
      <c r="F19" s="782"/>
      <c r="G19" s="514" t="s">
        <v>433</v>
      </c>
      <c r="H19" s="781"/>
      <c r="I19" s="782"/>
      <c r="J19" s="391">
        <v>420.33</v>
      </c>
      <c r="K19" s="14">
        <v>5.2232958997127195E-3</v>
      </c>
      <c r="L19" s="4">
        <v>0.4</v>
      </c>
      <c r="M19" s="350">
        <v>168.13200000000001</v>
      </c>
      <c r="N19" s="4"/>
      <c r="O19" s="789" t="s">
        <v>688</v>
      </c>
      <c r="P19" s="790"/>
      <c r="Q19" s="271"/>
    </row>
    <row r="20" spans="1:17" ht="15.75" customHeight="1">
      <c r="A20" s="805"/>
      <c r="B20" s="812"/>
      <c r="C20" s="112">
        <v>4</v>
      </c>
      <c r="D20" s="514" t="s">
        <v>349</v>
      </c>
      <c r="E20" s="781"/>
      <c r="F20" s="782"/>
      <c r="G20" s="514" t="s">
        <v>348</v>
      </c>
      <c r="H20" s="781"/>
      <c r="I20" s="782"/>
      <c r="J20" s="391">
        <v>330.54</v>
      </c>
      <c r="K20" s="14">
        <v>6.2178227671798444E-3</v>
      </c>
      <c r="L20" s="4">
        <v>0.5</v>
      </c>
      <c r="M20" s="350">
        <v>165.27</v>
      </c>
      <c r="N20" s="4"/>
      <c r="O20" s="789" t="s">
        <v>689</v>
      </c>
      <c r="P20" s="818"/>
      <c r="Q20" s="271"/>
    </row>
    <row r="21" spans="1:17" ht="15.75" customHeight="1" thickBot="1">
      <c r="A21" s="805"/>
      <c r="B21" s="812"/>
      <c r="C21" s="113">
        <v>5</v>
      </c>
      <c r="D21" s="514" t="s">
        <v>663</v>
      </c>
      <c r="E21" s="781"/>
      <c r="F21" s="782"/>
      <c r="G21" s="514" t="s">
        <v>900</v>
      </c>
      <c r="H21" s="781"/>
      <c r="I21" s="782"/>
      <c r="J21" s="391">
        <v>329.86</v>
      </c>
      <c r="K21" s="14">
        <v>1.8101513286510752E-2</v>
      </c>
      <c r="L21" s="4">
        <v>0.5</v>
      </c>
      <c r="M21" s="350">
        <v>164.93</v>
      </c>
      <c r="N21" s="4"/>
      <c r="O21" s="789" t="s">
        <v>689</v>
      </c>
      <c r="P21" s="818"/>
      <c r="Q21" s="271"/>
    </row>
    <row r="22" spans="1:17" ht="15.75" customHeight="1" thickTop="1" thickBot="1">
      <c r="A22" s="805"/>
      <c r="B22" s="812"/>
      <c r="C22" s="813"/>
      <c r="D22" s="813"/>
      <c r="E22" s="813"/>
      <c r="F22" s="813"/>
      <c r="G22" s="813"/>
      <c r="H22" s="813"/>
      <c r="I22" s="814"/>
      <c r="J22" s="119" t="s">
        <v>886</v>
      </c>
      <c r="K22" s="253">
        <v>6.6862943520333952E-3</v>
      </c>
      <c r="L22" s="119" t="s">
        <v>887</v>
      </c>
      <c r="M22" s="255">
        <v>845.7360000000001</v>
      </c>
      <c r="N22" s="815"/>
      <c r="O22" s="816"/>
      <c r="P22" s="817"/>
      <c r="Q22" s="271"/>
    </row>
    <row r="23" spans="1:17" ht="15.75" customHeight="1" thickTop="1">
      <c r="A23" s="500"/>
      <c r="D23" s="500"/>
      <c r="E23" s="500"/>
      <c r="F23" s="500"/>
      <c r="G23" s="500"/>
      <c r="H23" s="500"/>
      <c r="I23" s="500"/>
      <c r="J23" s="500"/>
      <c r="K23" s="500"/>
      <c r="L23" s="500"/>
      <c r="M23" s="500"/>
      <c r="N23" s="500"/>
      <c r="O23" s="500"/>
      <c r="P23" s="500"/>
      <c r="Q23" s="271"/>
    </row>
    <row r="24" spans="1:17" ht="15.75" customHeight="1">
      <c r="A24" s="804" t="s">
        <v>877</v>
      </c>
      <c r="B24" s="805"/>
      <c r="C24" s="117" t="s">
        <v>878</v>
      </c>
      <c r="D24" s="806" t="s">
        <v>12</v>
      </c>
      <c r="E24" s="807"/>
      <c r="F24" s="808"/>
      <c r="G24" s="115" t="s">
        <v>879</v>
      </c>
      <c r="H24" s="116"/>
      <c r="I24" s="117"/>
      <c r="J24" s="114" t="s">
        <v>880</v>
      </c>
      <c r="K24" s="114" t="s">
        <v>881</v>
      </c>
      <c r="L24" s="114" t="s">
        <v>882</v>
      </c>
      <c r="M24" s="118" t="s">
        <v>11</v>
      </c>
      <c r="N24" s="390" t="s">
        <v>883</v>
      </c>
      <c r="O24" s="809" t="s">
        <v>884</v>
      </c>
      <c r="P24" s="810"/>
      <c r="Q24" s="271"/>
    </row>
    <row r="25" spans="1:17" ht="15.75" customHeight="1">
      <c r="A25" s="805">
        <v>6</v>
      </c>
      <c r="B25" s="811" t="s">
        <v>213</v>
      </c>
      <c r="C25" s="112">
        <v>1</v>
      </c>
      <c r="D25" s="514" t="s">
        <v>792</v>
      </c>
      <c r="E25" s="781"/>
      <c r="F25" s="782"/>
      <c r="G25" s="514" t="s">
        <v>474</v>
      </c>
      <c r="H25" s="781"/>
      <c r="I25" s="782"/>
      <c r="J25" s="391">
        <v>13.45</v>
      </c>
      <c r="K25" s="14">
        <v>6.6280033140016566E-3</v>
      </c>
      <c r="L25" s="4">
        <v>16</v>
      </c>
      <c r="M25" s="350">
        <v>215.2</v>
      </c>
      <c r="N25" s="4"/>
      <c r="O25" s="789" t="s">
        <v>710</v>
      </c>
      <c r="P25" s="818"/>
      <c r="Q25" s="271"/>
    </row>
    <row r="26" spans="1:17" ht="15.75" customHeight="1">
      <c r="A26" s="805"/>
      <c r="B26" s="812"/>
      <c r="C26" s="112">
        <v>2</v>
      </c>
      <c r="D26" s="514" t="s">
        <v>393</v>
      </c>
      <c r="E26" s="781"/>
      <c r="F26" s="782"/>
      <c r="G26" s="514" t="s">
        <v>432</v>
      </c>
      <c r="H26" s="781"/>
      <c r="I26" s="782"/>
      <c r="J26" s="391">
        <v>930.36</v>
      </c>
      <c r="K26" s="14">
        <v>1.5810276679841896E-2</v>
      </c>
      <c r="L26" s="4">
        <v>0.2</v>
      </c>
      <c r="M26" s="350">
        <v>186.072</v>
      </c>
      <c r="N26" s="4"/>
      <c r="O26" s="789" t="s">
        <v>710</v>
      </c>
      <c r="P26" s="818"/>
      <c r="Q26" s="271"/>
    </row>
    <row r="27" spans="1:17" ht="15.75" customHeight="1">
      <c r="A27" s="805"/>
      <c r="B27" s="812"/>
      <c r="C27" s="112">
        <v>3</v>
      </c>
      <c r="D27" s="514" t="s">
        <v>356</v>
      </c>
      <c r="E27" s="781"/>
      <c r="F27" s="782"/>
      <c r="G27" s="514" t="s">
        <v>358</v>
      </c>
      <c r="H27" s="781"/>
      <c r="I27" s="782"/>
      <c r="J27" s="391">
        <v>510.06</v>
      </c>
      <c r="K27" s="14">
        <v>3.2932291209273731E-3</v>
      </c>
      <c r="L27" s="4">
        <v>0.3</v>
      </c>
      <c r="M27" s="350">
        <v>153.018</v>
      </c>
      <c r="N27" s="4"/>
      <c r="O27" s="789" t="s">
        <v>710</v>
      </c>
      <c r="P27" s="818"/>
      <c r="Q27" s="271"/>
    </row>
    <row r="28" spans="1:17" ht="15.75" customHeight="1">
      <c r="A28" s="805"/>
      <c r="B28" s="812"/>
      <c r="C28" s="112">
        <v>4</v>
      </c>
      <c r="D28" s="514" t="s">
        <v>353</v>
      </c>
      <c r="E28" s="781"/>
      <c r="F28" s="782"/>
      <c r="G28" s="514" t="s">
        <v>352</v>
      </c>
      <c r="H28" s="781"/>
      <c r="I28" s="782"/>
      <c r="J28" s="391">
        <v>758.19</v>
      </c>
      <c r="K28" s="14">
        <v>8.8090204369274134E-3</v>
      </c>
      <c r="L28" s="4">
        <v>0.2</v>
      </c>
      <c r="M28" s="350">
        <v>151.63800000000001</v>
      </c>
      <c r="N28" s="4"/>
      <c r="O28" s="789" t="s">
        <v>710</v>
      </c>
      <c r="P28" s="818"/>
      <c r="Q28" s="271"/>
    </row>
    <row r="29" spans="1:17" ht="15.75" customHeight="1" thickBot="1">
      <c r="A29" s="805"/>
      <c r="B29" s="812"/>
      <c r="C29" s="113">
        <v>5</v>
      </c>
      <c r="D29" s="514" t="s">
        <v>356</v>
      </c>
      <c r="E29" s="781"/>
      <c r="F29" s="782"/>
      <c r="G29" s="514" t="s">
        <v>901</v>
      </c>
      <c r="H29" s="781"/>
      <c r="I29" s="782"/>
      <c r="J29" s="391">
        <v>2.2200000000000002</v>
      </c>
      <c r="K29" s="14">
        <v>7.1401728673431038E-3</v>
      </c>
      <c r="L29" s="4">
        <v>57</v>
      </c>
      <c r="M29" s="350">
        <v>126.54</v>
      </c>
      <c r="N29" s="4"/>
      <c r="O29" s="789" t="s">
        <v>710</v>
      </c>
      <c r="P29" s="818"/>
      <c r="Q29" s="271"/>
    </row>
    <row r="30" spans="1:17" ht="15.75" customHeight="1" thickTop="1" thickBot="1">
      <c r="A30" s="805"/>
      <c r="B30" s="812"/>
      <c r="C30" s="813"/>
      <c r="D30" s="813"/>
      <c r="E30" s="813"/>
      <c r="F30" s="813"/>
      <c r="G30" s="813"/>
      <c r="H30" s="813"/>
      <c r="I30" s="814"/>
      <c r="J30" s="119" t="s">
        <v>886</v>
      </c>
      <c r="K30" s="253">
        <v>6.5813990259945606E-3</v>
      </c>
      <c r="L30" s="119" t="s">
        <v>887</v>
      </c>
      <c r="M30" s="255">
        <v>832.46799999999996</v>
      </c>
      <c r="N30" s="815"/>
      <c r="O30" s="816"/>
      <c r="P30" s="817"/>
      <c r="Q30" s="271"/>
    </row>
    <row r="31" spans="1:17" ht="15.75" customHeight="1" thickTop="1">
      <c r="A31" s="500"/>
      <c r="D31" s="500"/>
      <c r="E31" s="500"/>
      <c r="F31" s="500"/>
      <c r="G31" s="500"/>
      <c r="H31" s="500"/>
      <c r="I31" s="500"/>
      <c r="J31" s="500"/>
      <c r="K31" s="500"/>
      <c r="L31" s="500"/>
      <c r="M31" s="500"/>
      <c r="N31" s="500"/>
      <c r="O31" s="500"/>
      <c r="P31" s="500"/>
      <c r="Q31" s="271"/>
    </row>
    <row r="32" spans="1:17" ht="15.75" customHeight="1">
      <c r="A32" s="804" t="s">
        <v>877</v>
      </c>
      <c r="B32" s="805"/>
      <c r="C32" s="117" t="s">
        <v>878</v>
      </c>
      <c r="D32" s="806" t="s">
        <v>12</v>
      </c>
      <c r="E32" s="807"/>
      <c r="F32" s="808"/>
      <c r="G32" s="115" t="s">
        <v>879</v>
      </c>
      <c r="H32" s="116"/>
      <c r="I32" s="117"/>
      <c r="J32" s="114" t="s">
        <v>880</v>
      </c>
      <c r="K32" s="114" t="s">
        <v>881</v>
      </c>
      <c r="L32" s="114" t="s">
        <v>882</v>
      </c>
      <c r="M32" s="118" t="s">
        <v>11</v>
      </c>
      <c r="N32" s="118" t="s">
        <v>13</v>
      </c>
      <c r="O32" s="809" t="s">
        <v>884</v>
      </c>
      <c r="P32" s="810"/>
      <c r="Q32" s="271"/>
    </row>
    <row r="33" spans="1:17" ht="15.75" customHeight="1">
      <c r="A33" s="805">
        <v>7</v>
      </c>
      <c r="B33" s="811" t="s">
        <v>902</v>
      </c>
      <c r="C33" s="112">
        <v>1</v>
      </c>
      <c r="D33" s="514" t="s">
        <v>614</v>
      </c>
      <c r="E33" s="781"/>
      <c r="F33" s="782"/>
      <c r="G33" s="514" t="s">
        <v>613</v>
      </c>
      <c r="H33" s="781"/>
      <c r="I33" s="782"/>
      <c r="J33" s="4">
        <v>1682.05</v>
      </c>
      <c r="K33" s="14">
        <v>2.1701388888888892E-2</v>
      </c>
      <c r="L33" s="4">
        <v>0.1</v>
      </c>
      <c r="M33" s="350">
        <v>168.20500000000001</v>
      </c>
      <c r="N33" s="4"/>
      <c r="O33" s="789" t="s">
        <v>903</v>
      </c>
      <c r="P33" s="818"/>
      <c r="Q33" s="271"/>
    </row>
    <row r="34" spans="1:17" ht="15.75" customHeight="1">
      <c r="A34" s="805"/>
      <c r="B34" s="812"/>
      <c r="C34" s="112">
        <v>2</v>
      </c>
      <c r="D34" s="514">
        <v>0</v>
      </c>
      <c r="E34" s="781"/>
      <c r="F34" s="782"/>
      <c r="G34" s="514">
        <v>0</v>
      </c>
      <c r="H34" s="781"/>
      <c r="I34" s="782"/>
      <c r="J34" s="4">
        <v>0</v>
      </c>
      <c r="K34" s="14">
        <v>0</v>
      </c>
      <c r="L34" s="4">
        <v>0</v>
      </c>
      <c r="M34" s="350">
        <v>0</v>
      </c>
      <c r="N34" s="4"/>
      <c r="O34" s="789"/>
      <c r="P34" s="818"/>
      <c r="Q34" s="271"/>
    </row>
    <row r="35" spans="1:17" ht="15.75" customHeight="1">
      <c r="A35" s="805"/>
      <c r="B35" s="812"/>
      <c r="C35" s="112">
        <v>3</v>
      </c>
      <c r="D35" s="514">
        <v>0</v>
      </c>
      <c r="E35" s="781"/>
      <c r="F35" s="782"/>
      <c r="G35" s="514">
        <v>0</v>
      </c>
      <c r="H35" s="781"/>
      <c r="I35" s="782"/>
      <c r="J35" s="4">
        <v>0</v>
      </c>
      <c r="K35" s="14">
        <v>0</v>
      </c>
      <c r="L35" s="4">
        <v>0</v>
      </c>
      <c r="M35" s="350">
        <v>0</v>
      </c>
      <c r="N35" s="4"/>
      <c r="O35" s="789"/>
      <c r="P35" s="818"/>
      <c r="Q35" s="271"/>
    </row>
    <row r="36" spans="1:17" ht="15.75" customHeight="1">
      <c r="A36" s="805"/>
      <c r="B36" s="812"/>
      <c r="C36" s="112">
        <v>4</v>
      </c>
      <c r="D36" s="514">
        <v>0</v>
      </c>
      <c r="E36" s="781"/>
      <c r="F36" s="782"/>
      <c r="G36" s="514">
        <v>0</v>
      </c>
      <c r="H36" s="781"/>
      <c r="I36" s="782"/>
      <c r="J36" s="4">
        <v>0</v>
      </c>
      <c r="K36" s="14">
        <v>0</v>
      </c>
      <c r="L36" s="4">
        <v>0</v>
      </c>
      <c r="M36" s="350">
        <v>0</v>
      </c>
      <c r="N36" s="4"/>
      <c r="O36" s="789"/>
      <c r="P36" s="818"/>
      <c r="Q36" s="271"/>
    </row>
    <row r="37" spans="1:17" ht="15.75" customHeight="1" thickBot="1">
      <c r="A37" s="805"/>
      <c r="B37" s="812"/>
      <c r="C37" s="113">
        <v>5</v>
      </c>
      <c r="D37" s="514">
        <v>0</v>
      </c>
      <c r="E37" s="781"/>
      <c r="F37" s="782"/>
      <c r="G37" s="514">
        <v>0</v>
      </c>
      <c r="H37" s="781"/>
      <c r="I37" s="782"/>
      <c r="J37" s="4">
        <v>0</v>
      </c>
      <c r="K37" s="14">
        <v>0</v>
      </c>
      <c r="L37" s="4">
        <v>0</v>
      </c>
      <c r="M37" s="350">
        <v>0</v>
      </c>
      <c r="N37" s="4"/>
      <c r="O37" s="789"/>
      <c r="P37" s="818"/>
      <c r="Q37" s="271"/>
    </row>
    <row r="38" spans="1:17" ht="15.75" customHeight="1" thickTop="1" thickBot="1">
      <c r="A38" s="805"/>
      <c r="B38" s="812"/>
      <c r="C38" s="813"/>
      <c r="D38" s="813"/>
      <c r="E38" s="813"/>
      <c r="F38" s="813"/>
      <c r="G38" s="813"/>
      <c r="H38" s="813"/>
      <c r="I38" s="814"/>
      <c r="J38" s="119" t="s">
        <v>886</v>
      </c>
      <c r="K38" s="253">
        <v>1.3298099424451332E-3</v>
      </c>
      <c r="L38" s="119" t="s">
        <v>887</v>
      </c>
      <c r="M38" s="255">
        <v>168.20500000000001</v>
      </c>
      <c r="N38" s="815"/>
      <c r="O38" s="816"/>
      <c r="P38" s="817"/>
      <c r="Q38" s="271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sqref="A1:Q2"/>
    </sheetView>
  </sheetViews>
  <sheetFormatPr defaultColWidth="12.5703125" defaultRowHeight="15.75" customHeight="1"/>
  <cols>
    <col min="1" max="1" width="5.42578125" style="188" customWidth="1"/>
    <col min="2" max="2" width="11.42578125" style="393" customWidth="1"/>
    <col min="3" max="3" width="4" style="394" customWidth="1"/>
    <col min="4" max="17" width="9.5703125" style="188" customWidth="1"/>
    <col min="18" max="16384" width="12.5703125" style="188"/>
  </cols>
  <sheetData>
    <row r="1" spans="1:23" ht="15.75" customHeight="1">
      <c r="A1" s="747" t="s">
        <v>712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</row>
    <row r="2" spans="1:23" s="189" customFormat="1" ht="15.75" customHeight="1">
      <c r="A2" s="747"/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188"/>
      <c r="S2" s="188"/>
      <c r="T2" s="188"/>
      <c r="U2" s="188"/>
      <c r="V2" s="188"/>
      <c r="W2" s="188"/>
    </row>
    <row r="3" spans="1:23" ht="15.75" customHeight="1">
      <c r="A3" s="748" t="s">
        <v>713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190"/>
    </row>
    <row r="4" spans="1:23" s="189" customFormat="1" ht="15.75" customHeight="1">
      <c r="A4" s="748"/>
      <c r="B4" s="748"/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748"/>
      <c r="N4" s="191"/>
      <c r="R4" s="188"/>
      <c r="S4" s="188"/>
      <c r="T4" s="188"/>
      <c r="U4" s="188"/>
      <c r="V4" s="188"/>
      <c r="W4" s="188"/>
    </row>
    <row r="5" spans="1:23" ht="15.75" customHeight="1">
      <c r="A5" s="750" t="s">
        <v>702</v>
      </c>
      <c r="B5" s="822">
        <v>1</v>
      </c>
      <c r="C5" s="822"/>
      <c r="D5" s="822">
        <v>2</v>
      </c>
      <c r="E5" s="822"/>
      <c r="F5" s="822">
        <v>3</v>
      </c>
      <c r="G5" s="822"/>
      <c r="H5" s="753">
        <v>4</v>
      </c>
      <c r="I5" s="753"/>
      <c r="J5" s="753">
        <v>5</v>
      </c>
      <c r="K5" s="753"/>
      <c r="L5" s="753">
        <v>6</v>
      </c>
      <c r="M5" s="753"/>
      <c r="N5" s="753">
        <v>7</v>
      </c>
      <c r="O5" s="753"/>
      <c r="P5" s="753">
        <v>8</v>
      </c>
      <c r="Q5" s="753"/>
    </row>
    <row r="6" spans="1:23" ht="15.75" customHeight="1">
      <c r="A6" s="750"/>
      <c r="B6" s="823" t="s">
        <v>714</v>
      </c>
      <c r="C6" s="823"/>
      <c r="D6" s="823" t="s">
        <v>715</v>
      </c>
      <c r="E6" s="823"/>
      <c r="F6" s="823" t="s">
        <v>716</v>
      </c>
      <c r="G6" s="823"/>
      <c r="H6" s="821" t="s">
        <v>717</v>
      </c>
      <c r="I6" s="750"/>
      <c r="J6" s="750" t="s">
        <v>718</v>
      </c>
      <c r="K6" s="750"/>
      <c r="L6" s="750" t="s">
        <v>719</v>
      </c>
      <c r="M6" s="750"/>
      <c r="N6" s="750" t="s">
        <v>720</v>
      </c>
      <c r="O6" s="750"/>
      <c r="P6" s="821" t="s">
        <v>721</v>
      </c>
      <c r="Q6" s="750"/>
    </row>
    <row r="8" spans="1:23" s="392" customFormat="1" ht="15.75" customHeight="1">
      <c r="A8" s="791" t="s">
        <v>877</v>
      </c>
      <c r="B8" s="792"/>
      <c r="C8" s="503" t="s">
        <v>878</v>
      </c>
      <c r="D8" s="793" t="s">
        <v>12</v>
      </c>
      <c r="E8" s="794"/>
      <c r="F8" s="795"/>
      <c r="G8" s="501" t="s">
        <v>879</v>
      </c>
      <c r="H8" s="502"/>
      <c r="I8" s="503"/>
      <c r="J8" s="175" t="s">
        <v>880</v>
      </c>
      <c r="K8" s="390" t="s">
        <v>904</v>
      </c>
      <c r="L8" s="175" t="s">
        <v>882</v>
      </c>
      <c r="M8" s="175" t="s">
        <v>11</v>
      </c>
      <c r="N8" s="390" t="s">
        <v>883</v>
      </c>
      <c r="O8" s="796" t="s">
        <v>884</v>
      </c>
      <c r="P8" s="797"/>
      <c r="R8" s="188"/>
      <c r="S8" s="188"/>
      <c r="T8" s="188"/>
      <c r="U8" s="188"/>
      <c r="V8" s="188"/>
      <c r="W8" s="188"/>
    </row>
    <row r="9" spans="1:23" ht="15.75" customHeight="1">
      <c r="A9" s="714">
        <v>1</v>
      </c>
      <c r="B9" s="778" t="s">
        <v>885</v>
      </c>
      <c r="C9" s="176">
        <v>1</v>
      </c>
      <c r="D9" s="514">
        <v>0</v>
      </c>
      <c r="E9" s="781"/>
      <c r="F9" s="782"/>
      <c r="G9" s="514">
        <v>0</v>
      </c>
      <c r="H9" s="781"/>
      <c r="I9" s="782"/>
      <c r="J9" s="4">
        <v>0</v>
      </c>
      <c r="K9" s="14">
        <v>0</v>
      </c>
      <c r="L9" s="391">
        <v>0</v>
      </c>
      <c r="M9" s="16">
        <v>0</v>
      </c>
      <c r="N9" s="177"/>
      <c r="O9" s="789"/>
      <c r="P9" s="790"/>
    </row>
    <row r="10" spans="1:23" ht="15.75" customHeight="1">
      <c r="A10" s="721"/>
      <c r="B10" s="779"/>
      <c r="C10" s="176">
        <v>2</v>
      </c>
      <c r="D10" s="514">
        <v>0</v>
      </c>
      <c r="E10" s="781"/>
      <c r="F10" s="782"/>
      <c r="G10" s="514">
        <v>0</v>
      </c>
      <c r="H10" s="781"/>
      <c r="I10" s="782"/>
      <c r="J10" s="4">
        <v>0</v>
      </c>
      <c r="K10" s="14">
        <v>0</v>
      </c>
      <c r="L10" s="391">
        <v>0</v>
      </c>
      <c r="M10" s="16">
        <v>0</v>
      </c>
      <c r="N10" s="177"/>
      <c r="O10" s="789"/>
      <c r="P10" s="790"/>
    </row>
    <row r="11" spans="1:23" ht="15.75" customHeight="1">
      <c r="A11" s="721"/>
      <c r="B11" s="779"/>
      <c r="C11" s="176">
        <v>3</v>
      </c>
      <c r="D11" s="514">
        <v>0</v>
      </c>
      <c r="E11" s="781"/>
      <c r="F11" s="782"/>
      <c r="G11" s="514">
        <v>0</v>
      </c>
      <c r="H11" s="781"/>
      <c r="I11" s="782"/>
      <c r="J11" s="4">
        <v>0</v>
      </c>
      <c r="K11" s="14">
        <v>0</v>
      </c>
      <c r="L11" s="391">
        <v>0</v>
      </c>
      <c r="M11" s="16">
        <v>0</v>
      </c>
      <c r="N11" s="177"/>
      <c r="O11" s="789"/>
      <c r="P11" s="790"/>
    </row>
    <row r="12" spans="1:23" ht="15.75" customHeight="1">
      <c r="A12" s="721"/>
      <c r="B12" s="779"/>
      <c r="C12" s="176">
        <v>4</v>
      </c>
      <c r="D12" s="514">
        <v>0</v>
      </c>
      <c r="E12" s="781"/>
      <c r="F12" s="782"/>
      <c r="G12" s="514">
        <v>0</v>
      </c>
      <c r="H12" s="781"/>
      <c r="I12" s="782"/>
      <c r="J12" s="4">
        <v>0</v>
      </c>
      <c r="K12" s="14">
        <v>0</v>
      </c>
      <c r="L12" s="391">
        <v>0</v>
      </c>
      <c r="M12" s="16">
        <v>0</v>
      </c>
      <c r="N12" s="177"/>
      <c r="O12" s="789"/>
      <c r="P12" s="790"/>
    </row>
    <row r="13" spans="1:23" ht="15.75" customHeight="1" thickBot="1">
      <c r="A13" s="721"/>
      <c r="B13" s="779"/>
      <c r="C13" s="178">
        <v>5</v>
      </c>
      <c r="D13" s="786">
        <v>0</v>
      </c>
      <c r="E13" s="787"/>
      <c r="F13" s="788"/>
      <c r="G13" s="786">
        <v>0</v>
      </c>
      <c r="H13" s="787"/>
      <c r="I13" s="788"/>
      <c r="J13" s="4">
        <v>0</v>
      </c>
      <c r="K13" s="14">
        <v>0</v>
      </c>
      <c r="L13" s="391">
        <v>0</v>
      </c>
      <c r="M13" s="16">
        <v>0</v>
      </c>
      <c r="N13" s="179"/>
      <c r="O13" s="799"/>
      <c r="P13" s="800"/>
    </row>
    <row r="14" spans="1:23" ht="15.75" customHeight="1" thickTop="1" thickBot="1">
      <c r="A14" s="715"/>
      <c r="B14" s="780"/>
      <c r="C14" s="772"/>
      <c r="D14" s="773"/>
      <c r="E14" s="773"/>
      <c r="F14" s="773"/>
      <c r="G14" s="773"/>
      <c r="H14" s="773"/>
      <c r="I14" s="774"/>
      <c r="J14" s="388" t="s">
        <v>886</v>
      </c>
      <c r="K14" s="253">
        <v>0</v>
      </c>
      <c r="L14" s="388" t="s">
        <v>887</v>
      </c>
      <c r="M14" s="255">
        <v>0</v>
      </c>
      <c r="N14" s="775"/>
      <c r="O14" s="776"/>
      <c r="P14" s="777"/>
    </row>
    <row r="15" spans="1:23" ht="15.75" customHeight="1" thickTop="1">
      <c r="A15" s="120"/>
      <c r="B15" s="180"/>
      <c r="C15" s="165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791" t="s">
        <v>877</v>
      </c>
      <c r="B16" s="792"/>
      <c r="C16" s="503" t="s">
        <v>878</v>
      </c>
      <c r="D16" s="793" t="s">
        <v>12</v>
      </c>
      <c r="E16" s="794"/>
      <c r="F16" s="795"/>
      <c r="G16" s="501" t="s">
        <v>879</v>
      </c>
      <c r="H16" s="502"/>
      <c r="I16" s="503"/>
      <c r="J16" s="175" t="s">
        <v>880</v>
      </c>
      <c r="K16" s="390" t="s">
        <v>904</v>
      </c>
      <c r="L16" s="175" t="s">
        <v>882</v>
      </c>
      <c r="M16" s="175" t="s">
        <v>11</v>
      </c>
      <c r="N16" s="390" t="s">
        <v>883</v>
      </c>
      <c r="O16" s="796" t="s">
        <v>884</v>
      </c>
      <c r="P16" s="797"/>
    </row>
    <row r="17" spans="1:16" ht="15.75" customHeight="1">
      <c r="A17" s="714">
        <v>2</v>
      </c>
      <c r="B17" s="778" t="s">
        <v>888</v>
      </c>
      <c r="C17" s="176">
        <v>1</v>
      </c>
      <c r="D17" s="514">
        <v>0</v>
      </c>
      <c r="E17" s="781"/>
      <c r="F17" s="782"/>
      <c r="G17" s="514">
        <v>0</v>
      </c>
      <c r="H17" s="781"/>
      <c r="I17" s="782"/>
      <c r="J17" s="391">
        <v>0</v>
      </c>
      <c r="K17" s="14">
        <v>0</v>
      </c>
      <c r="L17" s="391">
        <v>0</v>
      </c>
      <c r="M17" s="350">
        <v>0</v>
      </c>
      <c r="N17" s="177"/>
      <c r="O17" s="789"/>
      <c r="P17" s="790"/>
    </row>
    <row r="18" spans="1:16" ht="15.75" customHeight="1">
      <c r="A18" s="721"/>
      <c r="B18" s="779"/>
      <c r="C18" s="176">
        <v>2</v>
      </c>
      <c r="D18" s="514">
        <v>0</v>
      </c>
      <c r="E18" s="781"/>
      <c r="F18" s="782"/>
      <c r="G18" s="514">
        <v>0</v>
      </c>
      <c r="H18" s="781"/>
      <c r="I18" s="782"/>
      <c r="J18" s="391">
        <v>0</v>
      </c>
      <c r="K18" s="14">
        <v>0</v>
      </c>
      <c r="L18" s="391">
        <v>0</v>
      </c>
      <c r="M18" s="350">
        <v>0</v>
      </c>
      <c r="N18" s="177"/>
      <c r="O18" s="789"/>
      <c r="P18" s="790"/>
    </row>
    <row r="19" spans="1:16" ht="15.75" customHeight="1">
      <c r="A19" s="721"/>
      <c r="B19" s="779"/>
      <c r="C19" s="176">
        <v>3</v>
      </c>
      <c r="D19" s="514">
        <v>0</v>
      </c>
      <c r="E19" s="781"/>
      <c r="F19" s="782"/>
      <c r="G19" s="514">
        <v>0</v>
      </c>
      <c r="H19" s="781"/>
      <c r="I19" s="782"/>
      <c r="J19" s="391">
        <v>0</v>
      </c>
      <c r="K19" s="14">
        <v>0</v>
      </c>
      <c r="L19" s="391">
        <v>0</v>
      </c>
      <c r="M19" s="350">
        <v>0</v>
      </c>
      <c r="N19" s="177"/>
      <c r="O19" s="789"/>
      <c r="P19" s="790"/>
    </row>
    <row r="20" spans="1:16" ht="15.75" customHeight="1">
      <c r="A20" s="721"/>
      <c r="B20" s="779"/>
      <c r="C20" s="176">
        <v>4</v>
      </c>
      <c r="D20" s="514">
        <v>0</v>
      </c>
      <c r="E20" s="781"/>
      <c r="F20" s="782"/>
      <c r="G20" s="514">
        <v>0</v>
      </c>
      <c r="H20" s="781"/>
      <c r="I20" s="782"/>
      <c r="J20" s="391">
        <v>0</v>
      </c>
      <c r="K20" s="14">
        <v>0</v>
      </c>
      <c r="L20" s="391">
        <v>0</v>
      </c>
      <c r="M20" s="350">
        <v>0</v>
      </c>
      <c r="N20" s="177"/>
      <c r="O20" s="789"/>
      <c r="P20" s="790"/>
    </row>
    <row r="21" spans="1:16" ht="15.75" customHeight="1" thickBot="1">
      <c r="A21" s="721"/>
      <c r="B21" s="779"/>
      <c r="C21" s="178">
        <v>5</v>
      </c>
      <c r="D21" s="514">
        <v>0</v>
      </c>
      <c r="E21" s="781"/>
      <c r="F21" s="782"/>
      <c r="G21" s="514">
        <v>0</v>
      </c>
      <c r="H21" s="781"/>
      <c r="I21" s="782"/>
      <c r="J21" s="391">
        <v>0</v>
      </c>
      <c r="K21" s="14">
        <v>0</v>
      </c>
      <c r="L21" s="391">
        <v>0</v>
      </c>
      <c r="M21" s="350">
        <v>0</v>
      </c>
      <c r="N21" s="179"/>
      <c r="O21" s="799"/>
      <c r="P21" s="800"/>
    </row>
    <row r="22" spans="1:16" ht="15.75" customHeight="1" thickTop="1" thickBot="1">
      <c r="A22" s="715"/>
      <c r="B22" s="780"/>
      <c r="C22" s="783"/>
      <c r="D22" s="784"/>
      <c r="E22" s="784"/>
      <c r="F22" s="784"/>
      <c r="G22" s="784"/>
      <c r="H22" s="784"/>
      <c r="I22" s="785"/>
      <c r="J22" s="388" t="s">
        <v>886</v>
      </c>
      <c r="K22" s="253">
        <v>0</v>
      </c>
      <c r="L22" s="388" t="s">
        <v>887</v>
      </c>
      <c r="M22" s="255">
        <v>0</v>
      </c>
      <c r="N22" s="775"/>
      <c r="O22" s="776"/>
      <c r="P22" s="777"/>
    </row>
    <row r="23" spans="1:16" ht="15.75" customHeight="1" thickTop="1">
      <c r="A23" s="120"/>
      <c r="B23" s="180"/>
      <c r="C23" s="165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791" t="s">
        <v>877</v>
      </c>
      <c r="B24" s="792"/>
      <c r="C24" s="503" t="s">
        <v>878</v>
      </c>
      <c r="D24" s="793" t="s">
        <v>12</v>
      </c>
      <c r="E24" s="794"/>
      <c r="F24" s="795"/>
      <c r="G24" s="501" t="s">
        <v>879</v>
      </c>
      <c r="H24" s="502"/>
      <c r="I24" s="503"/>
      <c r="J24" s="175" t="s">
        <v>880</v>
      </c>
      <c r="K24" s="390" t="s">
        <v>904</v>
      </c>
      <c r="L24" s="175" t="s">
        <v>882</v>
      </c>
      <c r="M24" s="175" t="s">
        <v>11</v>
      </c>
      <c r="N24" s="390" t="s">
        <v>883</v>
      </c>
      <c r="O24" s="796" t="s">
        <v>884</v>
      </c>
      <c r="P24" s="797"/>
    </row>
    <row r="25" spans="1:16" ht="15.75" customHeight="1">
      <c r="A25" s="714">
        <v>3</v>
      </c>
      <c r="B25" s="778" t="s">
        <v>891</v>
      </c>
      <c r="C25" s="176">
        <v>1</v>
      </c>
      <c r="D25" s="514" t="s">
        <v>346</v>
      </c>
      <c r="E25" s="781"/>
      <c r="F25" s="782"/>
      <c r="G25" s="514" t="s">
        <v>344</v>
      </c>
      <c r="H25" s="781"/>
      <c r="I25" s="782"/>
      <c r="J25" s="391">
        <v>846.44</v>
      </c>
      <c r="K25" s="14">
        <v>4.8218029350104788E-2</v>
      </c>
      <c r="L25" s="391">
        <v>0.2759999999999998</v>
      </c>
      <c r="M25" s="350">
        <v>233.61743999999985</v>
      </c>
      <c r="N25" s="177"/>
      <c r="O25" s="789" t="s">
        <v>905</v>
      </c>
      <c r="P25" s="790"/>
    </row>
    <row r="26" spans="1:16" ht="15.75" customHeight="1">
      <c r="A26" s="721"/>
      <c r="B26" s="779"/>
      <c r="C26" s="176">
        <v>2</v>
      </c>
      <c r="D26" s="514" t="s">
        <v>590</v>
      </c>
      <c r="E26" s="781"/>
      <c r="F26" s="782"/>
      <c r="G26" s="514" t="s">
        <v>626</v>
      </c>
      <c r="H26" s="781"/>
      <c r="I26" s="782"/>
      <c r="J26" s="391">
        <v>86.37</v>
      </c>
      <c r="K26" s="14">
        <v>1.8596392860480281E-2</v>
      </c>
      <c r="L26" s="391">
        <v>1.9899999999999949</v>
      </c>
      <c r="M26" s="350">
        <v>171.87629999999956</v>
      </c>
      <c r="N26" s="177"/>
      <c r="O26" s="789" t="s">
        <v>896</v>
      </c>
      <c r="P26" s="790"/>
    </row>
    <row r="27" spans="1:16" ht="15.75" customHeight="1">
      <c r="A27" s="721"/>
      <c r="B27" s="779"/>
      <c r="C27" s="176">
        <v>3</v>
      </c>
      <c r="D27" s="514">
        <v>0</v>
      </c>
      <c r="E27" s="781"/>
      <c r="F27" s="782"/>
      <c r="G27" s="514">
        <v>0</v>
      </c>
      <c r="H27" s="781"/>
      <c r="I27" s="782"/>
      <c r="J27" s="391">
        <v>0</v>
      </c>
      <c r="K27" s="14">
        <v>0</v>
      </c>
      <c r="L27" s="391">
        <v>0</v>
      </c>
      <c r="M27" s="350">
        <v>0</v>
      </c>
      <c r="N27" s="177"/>
      <c r="O27" s="789"/>
      <c r="P27" s="790"/>
    </row>
    <row r="28" spans="1:16" ht="15.75" customHeight="1">
      <c r="A28" s="721"/>
      <c r="B28" s="779"/>
      <c r="C28" s="176">
        <v>4</v>
      </c>
      <c r="D28" s="514">
        <v>0</v>
      </c>
      <c r="E28" s="781"/>
      <c r="F28" s="782"/>
      <c r="G28" s="514">
        <v>0</v>
      </c>
      <c r="H28" s="781"/>
      <c r="I28" s="782"/>
      <c r="J28" s="391">
        <v>0</v>
      </c>
      <c r="K28" s="14">
        <v>0</v>
      </c>
      <c r="L28" s="391">
        <v>0</v>
      </c>
      <c r="M28" s="350">
        <v>0</v>
      </c>
      <c r="N28" s="177"/>
      <c r="O28" s="789"/>
      <c r="P28" s="790"/>
    </row>
    <row r="29" spans="1:16" ht="15.75" customHeight="1" thickBot="1">
      <c r="A29" s="721"/>
      <c r="B29" s="779"/>
      <c r="C29" s="178">
        <v>5</v>
      </c>
      <c r="D29" s="786">
        <v>0</v>
      </c>
      <c r="E29" s="787"/>
      <c r="F29" s="788"/>
      <c r="G29" s="786">
        <v>0</v>
      </c>
      <c r="H29" s="787"/>
      <c r="I29" s="788"/>
      <c r="J29" s="391">
        <v>0</v>
      </c>
      <c r="K29" s="14">
        <v>0</v>
      </c>
      <c r="L29" s="391">
        <v>0</v>
      </c>
      <c r="M29" s="350">
        <v>0</v>
      </c>
      <c r="N29" s="179"/>
      <c r="O29" s="799"/>
      <c r="P29" s="800"/>
    </row>
    <row r="30" spans="1:16" ht="15.75" customHeight="1" thickTop="1" thickBot="1">
      <c r="A30" s="715"/>
      <c r="B30" s="780"/>
      <c r="C30" s="772"/>
      <c r="D30" s="773"/>
      <c r="E30" s="773"/>
      <c r="F30" s="773"/>
      <c r="G30" s="773"/>
      <c r="H30" s="773"/>
      <c r="I30" s="774"/>
      <c r="J30" s="388" t="s">
        <v>886</v>
      </c>
      <c r="K30" s="253">
        <v>3.5105177047830408E-3</v>
      </c>
      <c r="L30" s="388" t="s">
        <v>887</v>
      </c>
      <c r="M30" s="255">
        <v>405.49373999999943</v>
      </c>
      <c r="N30" s="775"/>
      <c r="O30" s="776"/>
      <c r="P30" s="777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sqref="A1:Q2"/>
    </sheetView>
  </sheetViews>
  <sheetFormatPr defaultColWidth="12.5703125" defaultRowHeight="15.75" customHeight="1"/>
  <cols>
    <col min="1" max="1" width="5.42578125" style="396" customWidth="1"/>
    <col min="2" max="2" width="11.42578125" style="397" customWidth="1"/>
    <col min="3" max="3" width="4" style="398" customWidth="1"/>
    <col min="4" max="17" width="9.5703125" style="396" customWidth="1"/>
    <col min="18" max="16384" width="12.5703125" style="396"/>
  </cols>
  <sheetData>
    <row r="1" spans="1:23" s="188" customFormat="1" ht="15.75" customHeight="1">
      <c r="A1" s="747" t="s">
        <v>712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</row>
    <row r="2" spans="1:23" s="189" customFormat="1" ht="15.75" customHeight="1">
      <c r="A2" s="747"/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</row>
    <row r="3" spans="1:23" s="188" customFormat="1" ht="15.75" customHeight="1">
      <c r="A3" s="748" t="s">
        <v>713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190"/>
    </row>
    <row r="4" spans="1:23" s="189" customFormat="1" ht="15.75" customHeight="1">
      <c r="A4" s="748"/>
      <c r="B4" s="748"/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748"/>
      <c r="N4" s="191"/>
    </row>
    <row r="5" spans="1:23" s="188" customFormat="1" ht="15.75" customHeight="1">
      <c r="A5" s="750" t="s">
        <v>702</v>
      </c>
      <c r="B5" s="753">
        <v>1</v>
      </c>
      <c r="C5" s="753"/>
      <c r="D5" s="753">
        <v>2</v>
      </c>
      <c r="E5" s="753"/>
      <c r="F5" s="753">
        <v>3</v>
      </c>
      <c r="G5" s="753"/>
      <c r="H5" s="822">
        <v>4</v>
      </c>
      <c r="I5" s="822"/>
      <c r="J5" s="822">
        <v>5</v>
      </c>
      <c r="K5" s="822"/>
      <c r="L5" s="822">
        <v>6</v>
      </c>
      <c r="M5" s="822"/>
      <c r="N5" s="822">
        <v>7</v>
      </c>
      <c r="O5" s="822"/>
      <c r="P5" s="753">
        <v>8</v>
      </c>
      <c r="Q5" s="753"/>
    </row>
    <row r="6" spans="1:23" s="188" customFormat="1" ht="15.75" customHeight="1">
      <c r="A6" s="750"/>
      <c r="B6" s="750" t="s">
        <v>714</v>
      </c>
      <c r="C6" s="750"/>
      <c r="D6" s="750" t="s">
        <v>715</v>
      </c>
      <c r="E6" s="750"/>
      <c r="F6" s="750" t="s">
        <v>716</v>
      </c>
      <c r="G6" s="750"/>
      <c r="H6" s="824" t="s">
        <v>717</v>
      </c>
      <c r="I6" s="823"/>
      <c r="J6" s="823" t="s">
        <v>718</v>
      </c>
      <c r="K6" s="823"/>
      <c r="L6" s="823" t="s">
        <v>719</v>
      </c>
      <c r="M6" s="823"/>
      <c r="N6" s="823" t="s">
        <v>720</v>
      </c>
      <c r="O6" s="823"/>
      <c r="P6" s="821" t="s">
        <v>721</v>
      </c>
      <c r="Q6" s="750"/>
    </row>
    <row r="7" spans="1:23" s="188" customFormat="1" ht="15.75" customHeight="1">
      <c r="B7" s="393"/>
      <c r="C7" s="394"/>
    </row>
    <row r="8" spans="1:23" s="395" customFormat="1" ht="15.75" customHeight="1">
      <c r="A8" s="804" t="s">
        <v>877</v>
      </c>
      <c r="B8" s="805"/>
      <c r="C8" s="117" t="s">
        <v>878</v>
      </c>
      <c r="D8" s="806" t="s">
        <v>12</v>
      </c>
      <c r="E8" s="807"/>
      <c r="F8" s="808"/>
      <c r="G8" s="115" t="s">
        <v>879</v>
      </c>
      <c r="H8" s="116"/>
      <c r="I8" s="117"/>
      <c r="J8" s="114" t="s">
        <v>880</v>
      </c>
      <c r="K8" s="114" t="s">
        <v>904</v>
      </c>
      <c r="L8" s="114" t="s">
        <v>882</v>
      </c>
      <c r="M8" s="118" t="s">
        <v>11</v>
      </c>
      <c r="N8" s="390" t="s">
        <v>883</v>
      </c>
      <c r="O8" s="809" t="s">
        <v>884</v>
      </c>
      <c r="P8" s="810"/>
      <c r="R8" s="188"/>
      <c r="S8" s="188"/>
      <c r="T8" s="188"/>
      <c r="U8" s="188"/>
      <c r="V8" s="188"/>
      <c r="W8" s="188"/>
    </row>
    <row r="9" spans="1:23" ht="15.75" customHeight="1">
      <c r="A9" s="805">
        <v>4</v>
      </c>
      <c r="B9" s="812" t="s">
        <v>692</v>
      </c>
      <c r="C9" s="112">
        <v>1</v>
      </c>
      <c r="D9" s="514" t="s">
        <v>818</v>
      </c>
      <c r="E9" s="781"/>
      <c r="F9" s="782"/>
      <c r="G9" s="514" t="s">
        <v>906</v>
      </c>
      <c r="H9" s="781"/>
      <c r="I9" s="782"/>
      <c r="J9" s="391">
        <v>278.82</v>
      </c>
      <c r="K9" s="14">
        <v>3.835826620636704E-3</v>
      </c>
      <c r="L9" s="391">
        <v>0.99999999999998868</v>
      </c>
      <c r="M9" s="350">
        <v>278.81999999999681</v>
      </c>
      <c r="N9" s="4"/>
      <c r="O9" s="789" t="s">
        <v>907</v>
      </c>
      <c r="P9" s="818"/>
      <c r="R9" s="188"/>
      <c r="S9" s="188"/>
      <c r="T9" s="188"/>
      <c r="U9" s="188"/>
      <c r="V9" s="188"/>
      <c r="W9" s="188"/>
    </row>
    <row r="10" spans="1:23" ht="15.75" customHeight="1">
      <c r="A10" s="805"/>
      <c r="B10" s="812"/>
      <c r="C10" s="112">
        <v>2</v>
      </c>
      <c r="D10" s="514" t="s">
        <v>822</v>
      </c>
      <c r="E10" s="781"/>
      <c r="F10" s="782"/>
      <c r="G10" s="514" t="s">
        <v>897</v>
      </c>
      <c r="H10" s="781"/>
      <c r="I10" s="782"/>
      <c r="J10" s="391">
        <v>448.48</v>
      </c>
      <c r="K10" s="14">
        <v>5.798629414865638E-3</v>
      </c>
      <c r="L10" s="391">
        <v>0.55000000000000571</v>
      </c>
      <c r="M10" s="350">
        <v>246.66400000000255</v>
      </c>
      <c r="N10" s="4"/>
      <c r="O10" s="789" t="s">
        <v>610</v>
      </c>
      <c r="P10" s="818"/>
      <c r="R10" s="188"/>
      <c r="S10" s="188"/>
      <c r="T10" s="188"/>
      <c r="U10" s="188"/>
      <c r="V10" s="188"/>
      <c r="W10" s="188"/>
    </row>
    <row r="11" spans="1:23" ht="15.75" customHeight="1">
      <c r="A11" s="805"/>
      <c r="B11" s="812"/>
      <c r="C11" s="112">
        <v>3</v>
      </c>
      <c r="D11" s="514" t="s">
        <v>346</v>
      </c>
      <c r="E11" s="781"/>
      <c r="F11" s="782"/>
      <c r="G11" s="514" t="s">
        <v>344</v>
      </c>
      <c r="H11" s="781"/>
      <c r="I11" s="782"/>
      <c r="J11" s="391">
        <v>846.44</v>
      </c>
      <c r="K11" s="14">
        <v>2.9020696034223716E-2</v>
      </c>
      <c r="L11" s="391">
        <v>0.25100000000000089</v>
      </c>
      <c r="M11" s="350">
        <v>212.45644000000073</v>
      </c>
      <c r="N11" s="4"/>
      <c r="O11" s="789" t="s">
        <v>610</v>
      </c>
      <c r="P11" s="818"/>
      <c r="R11" s="188"/>
      <c r="S11" s="188"/>
      <c r="T11" s="188"/>
      <c r="U11" s="188"/>
      <c r="V11" s="188"/>
      <c r="W11" s="188"/>
    </row>
    <row r="12" spans="1:23" ht="15.75" customHeight="1">
      <c r="A12" s="805"/>
      <c r="B12" s="812"/>
      <c r="C12" s="112">
        <v>4</v>
      </c>
      <c r="D12" s="514" t="s">
        <v>819</v>
      </c>
      <c r="E12" s="781"/>
      <c r="F12" s="782"/>
      <c r="G12" s="514" t="s">
        <v>894</v>
      </c>
      <c r="H12" s="781"/>
      <c r="I12" s="782"/>
      <c r="J12" s="391">
        <v>278.12</v>
      </c>
      <c r="K12" s="14">
        <v>5.3315183483637453E-3</v>
      </c>
      <c r="L12" s="391">
        <v>0.75200000000000955</v>
      </c>
      <c r="M12" s="350">
        <v>209.14624000000265</v>
      </c>
      <c r="N12" s="4"/>
      <c r="O12" s="789" t="s">
        <v>610</v>
      </c>
      <c r="P12" s="818"/>
      <c r="R12" s="188"/>
      <c r="S12" s="188"/>
      <c r="T12" s="188"/>
      <c r="U12" s="188"/>
      <c r="V12" s="188"/>
      <c r="W12" s="188"/>
    </row>
    <row r="13" spans="1:23" ht="15.75" customHeight="1" thickBot="1">
      <c r="A13" s="805"/>
      <c r="B13" s="812"/>
      <c r="C13" s="113">
        <v>5</v>
      </c>
      <c r="D13" s="514" t="s">
        <v>387</v>
      </c>
      <c r="E13" s="781"/>
      <c r="F13" s="782"/>
      <c r="G13" s="514" t="s">
        <v>784</v>
      </c>
      <c r="H13" s="781"/>
      <c r="I13" s="782"/>
      <c r="J13" s="391">
        <v>432.07</v>
      </c>
      <c r="K13" s="14">
        <v>6.0930301679297206E-3</v>
      </c>
      <c r="L13" s="391">
        <v>0.40999999999999093</v>
      </c>
      <c r="M13" s="350">
        <v>177.14869999999607</v>
      </c>
      <c r="N13" s="4"/>
      <c r="O13" s="789" t="s">
        <v>610</v>
      </c>
      <c r="P13" s="818"/>
      <c r="R13" s="188"/>
      <c r="S13" s="188"/>
      <c r="T13" s="188"/>
      <c r="U13" s="188"/>
      <c r="V13" s="188"/>
      <c r="W13" s="188"/>
    </row>
    <row r="14" spans="1:23" ht="15.75" customHeight="1" thickTop="1" thickBot="1">
      <c r="A14" s="805"/>
      <c r="B14" s="812"/>
      <c r="C14" s="820"/>
      <c r="D14" s="820"/>
      <c r="E14" s="820"/>
      <c r="F14" s="820"/>
      <c r="G14" s="820"/>
      <c r="H14" s="820"/>
      <c r="I14" s="820"/>
      <c r="J14" s="254" t="s">
        <v>886</v>
      </c>
      <c r="K14" s="253">
        <v>9.7329448435714214E-3</v>
      </c>
      <c r="L14" s="254" t="s">
        <v>887</v>
      </c>
      <c r="M14" s="255">
        <v>1124.2353799999987</v>
      </c>
      <c r="N14" s="819"/>
      <c r="O14" s="819"/>
      <c r="P14" s="819"/>
      <c r="R14" s="188"/>
      <c r="S14" s="188"/>
      <c r="T14" s="188"/>
      <c r="U14" s="188"/>
      <c r="V14" s="188"/>
      <c r="W14" s="188"/>
    </row>
    <row r="15" spans="1:23" ht="15.75" customHeight="1" thickTop="1">
      <c r="A15" s="500"/>
      <c r="B15" s="111"/>
      <c r="C15" s="109"/>
      <c r="D15" s="500"/>
      <c r="E15" s="500"/>
      <c r="F15" s="500"/>
      <c r="G15" s="500"/>
      <c r="H15" s="500"/>
      <c r="I15" s="500"/>
      <c r="J15" s="500"/>
      <c r="K15" s="500"/>
      <c r="L15" s="500"/>
      <c r="M15" s="500"/>
      <c r="N15" s="500"/>
      <c r="O15" s="500"/>
      <c r="P15" s="500"/>
      <c r="R15" s="188"/>
      <c r="S15" s="188"/>
      <c r="T15" s="188"/>
      <c r="U15" s="188"/>
      <c r="V15" s="188"/>
      <c r="W15" s="188"/>
    </row>
    <row r="16" spans="1:23" ht="15.75" customHeight="1">
      <c r="A16" s="804" t="s">
        <v>877</v>
      </c>
      <c r="B16" s="805"/>
      <c r="C16" s="117" t="s">
        <v>878</v>
      </c>
      <c r="D16" s="806" t="s">
        <v>12</v>
      </c>
      <c r="E16" s="807"/>
      <c r="F16" s="808"/>
      <c r="G16" s="115" t="s">
        <v>879</v>
      </c>
      <c r="H16" s="116"/>
      <c r="I16" s="117"/>
      <c r="J16" s="114" t="s">
        <v>880</v>
      </c>
      <c r="K16" s="114" t="s">
        <v>904</v>
      </c>
      <c r="L16" s="114" t="s">
        <v>882</v>
      </c>
      <c r="M16" s="118" t="s">
        <v>11</v>
      </c>
      <c r="N16" s="390" t="s">
        <v>883</v>
      </c>
      <c r="O16" s="809" t="s">
        <v>884</v>
      </c>
      <c r="P16" s="810"/>
      <c r="R16" s="188"/>
      <c r="S16" s="188"/>
      <c r="T16" s="188"/>
      <c r="U16" s="188"/>
      <c r="V16" s="188"/>
      <c r="W16" s="188"/>
    </row>
    <row r="17" spans="1:23" ht="15.75" customHeight="1">
      <c r="A17" s="805">
        <v>5</v>
      </c>
      <c r="B17" s="811" t="s">
        <v>212</v>
      </c>
      <c r="C17" s="112">
        <v>1</v>
      </c>
      <c r="D17" s="514" t="s">
        <v>590</v>
      </c>
      <c r="E17" s="781"/>
      <c r="F17" s="782"/>
      <c r="G17" s="514" t="s">
        <v>611</v>
      </c>
      <c r="H17" s="781"/>
      <c r="I17" s="782"/>
      <c r="J17" s="391">
        <v>290.60000000000002</v>
      </c>
      <c r="K17" s="14">
        <v>3.7237469398273403E-2</v>
      </c>
      <c r="L17" s="391">
        <v>2.3119999999999989</v>
      </c>
      <c r="M17" s="350">
        <v>671.86719999999968</v>
      </c>
      <c r="N17" s="4"/>
      <c r="O17" s="789" t="s">
        <v>908</v>
      </c>
      <c r="P17" s="818"/>
      <c r="R17" s="188"/>
      <c r="S17" s="188"/>
      <c r="T17" s="188"/>
      <c r="U17" s="188"/>
      <c r="V17" s="188"/>
      <c r="W17" s="188"/>
    </row>
    <row r="18" spans="1:23" ht="15.75" customHeight="1">
      <c r="A18" s="805"/>
      <c r="B18" s="812"/>
      <c r="C18" s="112">
        <v>2</v>
      </c>
      <c r="D18" s="514" t="s">
        <v>612</v>
      </c>
      <c r="E18" s="781"/>
      <c r="F18" s="782"/>
      <c r="G18" s="514" t="s">
        <v>786</v>
      </c>
      <c r="H18" s="781"/>
      <c r="I18" s="782"/>
      <c r="J18" s="391">
        <v>919.94</v>
      </c>
      <c r="K18" s="14">
        <v>4.7986762272476516E-2</v>
      </c>
      <c r="L18" s="391">
        <v>0.26099999999999979</v>
      </c>
      <c r="M18" s="350">
        <v>240.10433999999975</v>
      </c>
      <c r="N18" s="4"/>
      <c r="O18" s="789" t="s">
        <v>723</v>
      </c>
      <c r="P18" s="790"/>
      <c r="R18" s="188"/>
      <c r="S18" s="188"/>
      <c r="T18" s="188"/>
      <c r="U18" s="188"/>
      <c r="V18" s="188"/>
      <c r="W18" s="188"/>
    </row>
    <row r="19" spans="1:23" ht="15.75" customHeight="1">
      <c r="A19" s="805"/>
      <c r="B19" s="812"/>
      <c r="C19" s="112">
        <v>3</v>
      </c>
      <c r="D19" s="514" t="s">
        <v>404</v>
      </c>
      <c r="E19" s="781"/>
      <c r="F19" s="782"/>
      <c r="G19" s="514" t="s">
        <v>433</v>
      </c>
      <c r="H19" s="781"/>
      <c r="I19" s="782"/>
      <c r="J19" s="391">
        <v>420.33</v>
      </c>
      <c r="K19" s="14">
        <v>7.5398678855006984E-3</v>
      </c>
      <c r="L19" s="391">
        <v>0.56499999999999484</v>
      </c>
      <c r="M19" s="350">
        <v>237.48644999999783</v>
      </c>
      <c r="N19" s="4"/>
      <c r="O19" s="789" t="s">
        <v>723</v>
      </c>
      <c r="P19" s="790"/>
      <c r="R19" s="188"/>
      <c r="S19" s="188"/>
      <c r="T19" s="188"/>
      <c r="U19" s="188"/>
      <c r="V19" s="188"/>
      <c r="W19" s="188"/>
    </row>
    <row r="20" spans="1:23" ht="15.75" customHeight="1">
      <c r="A20" s="805"/>
      <c r="B20" s="812"/>
      <c r="C20" s="112">
        <v>4</v>
      </c>
      <c r="D20" s="514" t="s">
        <v>361</v>
      </c>
      <c r="E20" s="781"/>
      <c r="F20" s="782"/>
      <c r="G20" s="514" t="s">
        <v>360</v>
      </c>
      <c r="H20" s="781"/>
      <c r="I20" s="782"/>
      <c r="J20" s="391">
        <v>581.91999999999996</v>
      </c>
      <c r="K20" s="14">
        <v>1.4584654407102075E-2</v>
      </c>
      <c r="L20" s="391">
        <v>0.34499999999999958</v>
      </c>
      <c r="M20" s="350">
        <v>200.76239999999976</v>
      </c>
      <c r="N20" s="4"/>
      <c r="O20" s="789" t="s">
        <v>908</v>
      </c>
      <c r="P20" s="818"/>
      <c r="R20" s="188"/>
      <c r="S20" s="188"/>
      <c r="T20" s="188"/>
      <c r="U20" s="188"/>
      <c r="V20" s="188"/>
      <c r="W20" s="188"/>
    </row>
    <row r="21" spans="1:23" ht="15.75" customHeight="1" thickBot="1">
      <c r="A21" s="805"/>
      <c r="B21" s="812"/>
      <c r="C21" s="113">
        <v>5</v>
      </c>
      <c r="D21" s="514" t="s">
        <v>349</v>
      </c>
      <c r="E21" s="781"/>
      <c r="F21" s="782"/>
      <c r="G21" s="514" t="s">
        <v>348</v>
      </c>
      <c r="H21" s="781"/>
      <c r="I21" s="782"/>
      <c r="J21" s="391">
        <v>330.54</v>
      </c>
      <c r="K21" s="14">
        <v>7.624120971265011E-3</v>
      </c>
      <c r="L21" s="391">
        <v>0.54099999999999393</v>
      </c>
      <c r="M21" s="350">
        <v>178.82213999999803</v>
      </c>
      <c r="N21" s="4"/>
      <c r="O21" s="789" t="s">
        <v>689</v>
      </c>
      <c r="P21" s="818"/>
      <c r="R21" s="188"/>
      <c r="S21" s="188"/>
      <c r="T21" s="188"/>
      <c r="U21" s="188"/>
      <c r="V21" s="188"/>
      <c r="W21" s="188"/>
    </row>
    <row r="22" spans="1:23" ht="15.75" customHeight="1" thickTop="1" thickBot="1">
      <c r="A22" s="805"/>
      <c r="B22" s="812"/>
      <c r="C22" s="813"/>
      <c r="D22" s="813"/>
      <c r="E22" s="813"/>
      <c r="F22" s="813"/>
      <c r="G22" s="813"/>
      <c r="H22" s="813"/>
      <c r="I22" s="814"/>
      <c r="J22" s="119" t="s">
        <v>886</v>
      </c>
      <c r="K22" s="253">
        <v>1.3237518470522487E-2</v>
      </c>
      <c r="L22" s="119" t="s">
        <v>887</v>
      </c>
      <c r="M22" s="255">
        <v>1529.0425299999949</v>
      </c>
      <c r="N22" s="815"/>
      <c r="O22" s="816"/>
      <c r="P22" s="817"/>
      <c r="R22" s="188"/>
      <c r="S22" s="188"/>
      <c r="T22" s="188"/>
      <c r="U22" s="188"/>
      <c r="V22" s="188"/>
      <c r="W22" s="188"/>
    </row>
    <row r="23" spans="1:23" ht="15.75" customHeight="1" thickTop="1">
      <c r="A23" s="500"/>
      <c r="B23" s="111"/>
      <c r="C23" s="109"/>
      <c r="D23" s="500"/>
      <c r="E23" s="500"/>
      <c r="F23" s="500"/>
      <c r="G23" s="500"/>
      <c r="H23" s="500"/>
      <c r="I23" s="500"/>
      <c r="J23" s="500"/>
      <c r="K23" s="500"/>
      <c r="L23" s="500"/>
      <c r="M23" s="500"/>
      <c r="N23" s="500"/>
      <c r="O23" s="500"/>
      <c r="P23" s="500"/>
      <c r="R23" s="188"/>
      <c r="S23" s="188"/>
      <c r="T23" s="188"/>
      <c r="U23" s="188"/>
      <c r="V23" s="188"/>
      <c r="W23" s="188"/>
    </row>
    <row r="24" spans="1:23" ht="15.75" customHeight="1">
      <c r="A24" s="804" t="s">
        <v>877</v>
      </c>
      <c r="B24" s="805"/>
      <c r="C24" s="117" t="s">
        <v>878</v>
      </c>
      <c r="D24" s="806" t="s">
        <v>12</v>
      </c>
      <c r="E24" s="807"/>
      <c r="F24" s="808"/>
      <c r="G24" s="115" t="s">
        <v>879</v>
      </c>
      <c r="H24" s="116"/>
      <c r="I24" s="117"/>
      <c r="J24" s="114" t="s">
        <v>880</v>
      </c>
      <c r="K24" s="114" t="s">
        <v>904</v>
      </c>
      <c r="L24" s="114" t="s">
        <v>882</v>
      </c>
      <c r="M24" s="118" t="s">
        <v>11</v>
      </c>
      <c r="N24" s="390" t="s">
        <v>883</v>
      </c>
      <c r="O24" s="809" t="s">
        <v>884</v>
      </c>
      <c r="P24" s="810"/>
      <c r="R24" s="188"/>
      <c r="S24" s="188"/>
      <c r="T24" s="188"/>
      <c r="U24" s="188"/>
      <c r="V24" s="188"/>
      <c r="W24" s="188"/>
    </row>
    <row r="25" spans="1:23" ht="15.75" customHeight="1">
      <c r="A25" s="805">
        <v>6</v>
      </c>
      <c r="B25" s="811" t="s">
        <v>213</v>
      </c>
      <c r="C25" s="112">
        <v>1</v>
      </c>
      <c r="D25" s="514" t="s">
        <v>356</v>
      </c>
      <c r="E25" s="781"/>
      <c r="F25" s="782"/>
      <c r="G25" s="514" t="s">
        <v>358</v>
      </c>
      <c r="H25" s="781"/>
      <c r="I25" s="782"/>
      <c r="J25" s="391">
        <v>510.06</v>
      </c>
      <c r="K25" s="14">
        <v>9.3660857614709051E-3</v>
      </c>
      <c r="L25" s="391">
        <v>0.81100000000000416</v>
      </c>
      <c r="M25" s="350">
        <v>413.6586600000021</v>
      </c>
      <c r="N25" s="4"/>
      <c r="O25" s="789" t="s">
        <v>909</v>
      </c>
      <c r="P25" s="818"/>
      <c r="R25" s="188"/>
      <c r="S25" s="188"/>
      <c r="T25" s="188"/>
      <c r="U25" s="188"/>
      <c r="V25" s="188"/>
      <c r="W25" s="188"/>
    </row>
    <row r="26" spans="1:23" ht="15.75" customHeight="1">
      <c r="A26" s="805"/>
      <c r="B26" s="812"/>
      <c r="C26" s="112">
        <v>2</v>
      </c>
      <c r="D26" s="514" t="s">
        <v>393</v>
      </c>
      <c r="E26" s="781"/>
      <c r="F26" s="782"/>
      <c r="G26" s="514" t="s">
        <v>432</v>
      </c>
      <c r="H26" s="781"/>
      <c r="I26" s="782"/>
      <c r="J26" s="391">
        <v>930.36</v>
      </c>
      <c r="K26" s="14">
        <v>2.0904229460379179E-2</v>
      </c>
      <c r="L26" s="391">
        <v>0.21499999999999986</v>
      </c>
      <c r="M26" s="350">
        <v>200.02739999999986</v>
      </c>
      <c r="N26" s="4"/>
      <c r="O26" s="789" t="s">
        <v>910</v>
      </c>
      <c r="P26" s="818"/>
      <c r="R26" s="188"/>
      <c r="S26" s="188"/>
      <c r="T26" s="188"/>
      <c r="U26" s="188"/>
      <c r="V26" s="188"/>
      <c r="W26" s="188"/>
    </row>
    <row r="27" spans="1:23" ht="15.75" customHeight="1">
      <c r="A27" s="805"/>
      <c r="B27" s="812"/>
      <c r="C27" s="112">
        <v>3</v>
      </c>
      <c r="D27" s="514" t="s">
        <v>353</v>
      </c>
      <c r="E27" s="781"/>
      <c r="F27" s="782"/>
      <c r="G27" s="514" t="s">
        <v>352</v>
      </c>
      <c r="H27" s="781"/>
      <c r="I27" s="782"/>
      <c r="J27" s="391">
        <v>758.19</v>
      </c>
      <c r="K27" s="14">
        <v>1.1176157530601461E-2</v>
      </c>
      <c r="L27" s="391">
        <v>0.25200000000000172</v>
      </c>
      <c r="M27" s="350">
        <v>191.06388000000132</v>
      </c>
      <c r="N27" s="4"/>
      <c r="O27" s="789" t="s">
        <v>910</v>
      </c>
      <c r="P27" s="818"/>
      <c r="R27" s="188"/>
      <c r="S27" s="188"/>
      <c r="T27" s="188"/>
      <c r="U27" s="188"/>
      <c r="V27" s="188"/>
      <c r="W27" s="188"/>
    </row>
    <row r="28" spans="1:23" ht="15.75" customHeight="1">
      <c r="A28" s="805"/>
      <c r="B28" s="812"/>
      <c r="C28" s="112">
        <v>4</v>
      </c>
      <c r="D28" s="514" t="s">
        <v>438</v>
      </c>
      <c r="E28" s="781"/>
      <c r="F28" s="782"/>
      <c r="G28" s="514" t="s">
        <v>439</v>
      </c>
      <c r="H28" s="781"/>
      <c r="I28" s="782"/>
      <c r="J28" s="391">
        <v>444.88</v>
      </c>
      <c r="K28" s="14">
        <v>1.4433551198257039E-2</v>
      </c>
      <c r="L28" s="391">
        <v>0.42399999999999877</v>
      </c>
      <c r="M28" s="350">
        <v>188.62911999999943</v>
      </c>
      <c r="N28" s="4"/>
      <c r="O28" s="789" t="s">
        <v>909</v>
      </c>
      <c r="P28" s="818"/>
      <c r="R28" s="188"/>
      <c r="S28" s="188"/>
      <c r="T28" s="188"/>
      <c r="U28" s="188"/>
      <c r="V28" s="188"/>
      <c r="W28" s="188"/>
    </row>
    <row r="29" spans="1:23" ht="15.75" customHeight="1" thickBot="1">
      <c r="A29" s="805"/>
      <c r="B29" s="812"/>
      <c r="C29" s="113">
        <v>5</v>
      </c>
      <c r="D29" s="514" t="s">
        <v>438</v>
      </c>
      <c r="E29" s="781"/>
      <c r="F29" s="782"/>
      <c r="G29" s="514" t="s">
        <v>439</v>
      </c>
      <c r="H29" s="781"/>
      <c r="I29" s="782"/>
      <c r="J29" s="391">
        <v>444.88</v>
      </c>
      <c r="K29" s="14">
        <v>2.2635872687578985E-2</v>
      </c>
      <c r="L29" s="391">
        <v>0.39399999999999979</v>
      </c>
      <c r="M29" s="350">
        <v>175.2827199999999</v>
      </c>
      <c r="N29" s="4"/>
      <c r="O29" s="789" t="s">
        <v>909</v>
      </c>
      <c r="P29" s="818"/>
      <c r="R29" s="188"/>
      <c r="S29" s="188"/>
      <c r="T29" s="188"/>
      <c r="U29" s="188"/>
      <c r="V29" s="188"/>
      <c r="W29" s="188"/>
    </row>
    <row r="30" spans="1:23" ht="15.75" customHeight="1" thickTop="1" thickBot="1">
      <c r="A30" s="805"/>
      <c r="B30" s="812"/>
      <c r="C30" s="813"/>
      <c r="D30" s="813"/>
      <c r="E30" s="813"/>
      <c r="F30" s="813"/>
      <c r="G30" s="813"/>
      <c r="H30" s="813"/>
      <c r="I30" s="814"/>
      <c r="J30" s="119" t="s">
        <v>886</v>
      </c>
      <c r="K30" s="253">
        <v>1.0117561542610443E-2</v>
      </c>
      <c r="L30" s="119" t="s">
        <v>887</v>
      </c>
      <c r="M30" s="255">
        <v>1168.6617800000026</v>
      </c>
      <c r="N30" s="815"/>
      <c r="O30" s="816"/>
      <c r="P30" s="817"/>
      <c r="R30" s="188"/>
      <c r="S30" s="188"/>
      <c r="T30" s="188"/>
      <c r="U30" s="188"/>
      <c r="V30" s="188"/>
      <c r="W30" s="188"/>
    </row>
    <row r="31" spans="1:23" ht="15.75" customHeight="1" thickTop="1">
      <c r="A31" s="500"/>
      <c r="B31" s="111"/>
      <c r="C31" s="109"/>
      <c r="D31" s="500"/>
      <c r="E31" s="500"/>
      <c r="F31" s="500"/>
      <c r="G31" s="500"/>
      <c r="H31" s="500"/>
      <c r="I31" s="500"/>
      <c r="J31" s="500"/>
      <c r="K31" s="500"/>
      <c r="L31" s="500"/>
      <c r="M31" s="500"/>
      <c r="N31" s="500"/>
      <c r="O31" s="500"/>
      <c r="P31" s="500"/>
      <c r="R31" s="188"/>
      <c r="S31" s="188"/>
      <c r="T31" s="188"/>
      <c r="U31" s="188"/>
      <c r="V31" s="188"/>
      <c r="W31" s="188"/>
    </row>
    <row r="32" spans="1:23" ht="15.75" customHeight="1">
      <c r="A32" s="804" t="s">
        <v>877</v>
      </c>
      <c r="B32" s="805"/>
      <c r="C32" s="117" t="s">
        <v>878</v>
      </c>
      <c r="D32" s="806" t="s">
        <v>12</v>
      </c>
      <c r="E32" s="807"/>
      <c r="F32" s="808"/>
      <c r="G32" s="115" t="s">
        <v>879</v>
      </c>
      <c r="H32" s="116"/>
      <c r="I32" s="117"/>
      <c r="J32" s="114" t="s">
        <v>880</v>
      </c>
      <c r="K32" s="114" t="s">
        <v>904</v>
      </c>
      <c r="L32" s="114" t="s">
        <v>882</v>
      </c>
      <c r="M32" s="118" t="s">
        <v>11</v>
      </c>
      <c r="N32" s="118" t="s">
        <v>13</v>
      </c>
      <c r="O32" s="809" t="s">
        <v>884</v>
      </c>
      <c r="P32" s="810"/>
      <c r="R32" s="188"/>
      <c r="S32" s="188"/>
      <c r="T32" s="188"/>
      <c r="U32" s="188"/>
      <c r="V32" s="188"/>
      <c r="W32" s="188"/>
    </row>
    <row r="33" spans="1:23" ht="15.75" customHeight="1">
      <c r="A33" s="805">
        <v>7</v>
      </c>
      <c r="B33" s="811" t="s">
        <v>902</v>
      </c>
      <c r="C33" s="112">
        <v>1</v>
      </c>
      <c r="D33" s="514" t="s">
        <v>625</v>
      </c>
      <c r="E33" s="781"/>
      <c r="F33" s="782"/>
      <c r="G33" s="514" t="s">
        <v>624</v>
      </c>
      <c r="H33" s="781"/>
      <c r="I33" s="782"/>
      <c r="J33" s="391">
        <v>1223.46</v>
      </c>
      <c r="K33" s="14">
        <v>0.10677083333333333</v>
      </c>
      <c r="L33" s="391">
        <v>0.16400000000000001</v>
      </c>
      <c r="M33" s="350">
        <v>200.64744000000002</v>
      </c>
      <c r="N33" s="4"/>
      <c r="O33" s="789" t="s">
        <v>903</v>
      </c>
      <c r="P33" s="818"/>
      <c r="R33" s="188"/>
      <c r="S33" s="188"/>
      <c r="T33" s="188"/>
      <c r="U33" s="188"/>
      <c r="V33" s="188"/>
      <c r="W33" s="188"/>
    </row>
    <row r="34" spans="1:23" ht="15.75" customHeight="1">
      <c r="A34" s="805"/>
      <c r="B34" s="812"/>
      <c r="C34" s="112">
        <v>2</v>
      </c>
      <c r="D34" s="514" t="s">
        <v>614</v>
      </c>
      <c r="E34" s="781"/>
      <c r="F34" s="782"/>
      <c r="G34" s="514" t="s">
        <v>613</v>
      </c>
      <c r="H34" s="781"/>
      <c r="I34" s="782"/>
      <c r="J34" s="391">
        <v>1682.05</v>
      </c>
      <c r="K34" s="14">
        <v>2.9866117404737411E-2</v>
      </c>
      <c r="L34" s="391">
        <v>0.1160000000000001</v>
      </c>
      <c r="M34" s="350">
        <v>195.11780000000016</v>
      </c>
      <c r="N34" s="4"/>
      <c r="O34" s="789" t="s">
        <v>903</v>
      </c>
      <c r="P34" s="818"/>
      <c r="R34" s="188"/>
      <c r="S34" s="188"/>
      <c r="T34" s="188"/>
      <c r="U34" s="188"/>
      <c r="V34" s="188"/>
      <c r="W34" s="188"/>
    </row>
    <row r="35" spans="1:23" ht="15.75" customHeight="1">
      <c r="A35" s="805"/>
      <c r="B35" s="812"/>
      <c r="C35" s="112">
        <v>3</v>
      </c>
      <c r="D35" s="514" t="s">
        <v>350</v>
      </c>
      <c r="E35" s="781"/>
      <c r="F35" s="782"/>
      <c r="G35" s="514" t="s">
        <v>911</v>
      </c>
      <c r="H35" s="781"/>
      <c r="I35" s="782"/>
      <c r="J35" s="391">
        <v>1760</v>
      </c>
      <c r="K35" s="14">
        <v>5.5099648300117286E-2</v>
      </c>
      <c r="L35" s="391">
        <v>9.4000000000000083E-2</v>
      </c>
      <c r="M35" s="350">
        <v>165.44000000000014</v>
      </c>
      <c r="N35" s="4"/>
      <c r="O35" s="789" t="s">
        <v>903</v>
      </c>
      <c r="P35" s="818"/>
      <c r="R35" s="188"/>
      <c r="S35" s="188"/>
      <c r="T35" s="188"/>
      <c r="U35" s="188"/>
      <c r="V35" s="188"/>
      <c r="W35" s="188"/>
    </row>
    <row r="36" spans="1:23" ht="15.75" customHeight="1">
      <c r="A36" s="805"/>
      <c r="B36" s="812"/>
      <c r="C36" s="112">
        <v>4</v>
      </c>
      <c r="D36" s="514">
        <v>0</v>
      </c>
      <c r="E36" s="781"/>
      <c r="F36" s="782"/>
      <c r="G36" s="514">
        <v>0</v>
      </c>
      <c r="H36" s="781"/>
      <c r="I36" s="782"/>
      <c r="J36" s="391">
        <v>0</v>
      </c>
      <c r="K36" s="14">
        <v>0</v>
      </c>
      <c r="L36" s="391">
        <v>0</v>
      </c>
      <c r="M36" s="350">
        <v>0</v>
      </c>
      <c r="N36" s="4"/>
      <c r="O36" s="789"/>
      <c r="P36" s="818"/>
      <c r="R36" s="188"/>
      <c r="S36" s="188"/>
      <c r="T36" s="188"/>
      <c r="U36" s="188"/>
      <c r="V36" s="188"/>
      <c r="W36" s="188"/>
    </row>
    <row r="37" spans="1:23" ht="15.75" customHeight="1" thickBot="1">
      <c r="A37" s="805"/>
      <c r="B37" s="812"/>
      <c r="C37" s="113">
        <v>5</v>
      </c>
      <c r="D37" s="514">
        <v>0</v>
      </c>
      <c r="E37" s="781"/>
      <c r="F37" s="782"/>
      <c r="G37" s="514">
        <v>0</v>
      </c>
      <c r="H37" s="781"/>
      <c r="I37" s="782"/>
      <c r="J37" s="391">
        <v>0</v>
      </c>
      <c r="K37" s="14">
        <v>0</v>
      </c>
      <c r="L37" s="391">
        <v>0</v>
      </c>
      <c r="M37" s="350">
        <v>0</v>
      </c>
      <c r="N37" s="4"/>
      <c r="O37" s="789"/>
      <c r="P37" s="818"/>
      <c r="R37" s="188"/>
      <c r="S37" s="188"/>
      <c r="T37" s="188"/>
      <c r="U37" s="188"/>
      <c r="V37" s="188"/>
      <c r="W37" s="188"/>
    </row>
    <row r="38" spans="1:23" ht="15.75" customHeight="1" thickTop="1" thickBot="1">
      <c r="A38" s="805"/>
      <c r="B38" s="812"/>
      <c r="C38" s="813"/>
      <c r="D38" s="813"/>
      <c r="E38" s="813"/>
      <c r="F38" s="813"/>
      <c r="G38" s="813"/>
      <c r="H38" s="813"/>
      <c r="I38" s="814"/>
      <c r="J38" s="119" t="s">
        <v>886</v>
      </c>
      <c r="K38" s="253">
        <v>4.8585729857063128E-3</v>
      </c>
      <c r="L38" s="119" t="s">
        <v>887</v>
      </c>
      <c r="M38" s="255">
        <v>561.20524000000034</v>
      </c>
      <c r="N38" s="815"/>
      <c r="O38" s="816"/>
      <c r="P38" s="817"/>
      <c r="R38" s="188"/>
      <c r="S38" s="188"/>
      <c r="T38" s="188"/>
      <c r="U38" s="188"/>
      <c r="V38" s="188"/>
      <c r="W38" s="188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sqref="A1:Q2"/>
    </sheetView>
  </sheetViews>
  <sheetFormatPr defaultColWidth="12.5703125" defaultRowHeight="15.75" customHeight="1"/>
  <cols>
    <col min="1" max="1" width="5.42578125" style="120" customWidth="1"/>
    <col min="2" max="2" width="7.85546875" style="181" customWidth="1"/>
    <col min="3" max="3" width="4" style="165" customWidth="1"/>
    <col min="4" max="17" width="8.5703125" style="120" customWidth="1"/>
    <col min="18" max="16384" width="12.5703125" style="120"/>
  </cols>
  <sheetData>
    <row r="1" spans="1:17" ht="15.75" customHeight="1">
      <c r="A1" s="541" t="s">
        <v>204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</row>
    <row r="2" spans="1:17" s="121" customFormat="1" ht="15.75" customHeight="1">
      <c r="A2" s="541"/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</row>
    <row r="3" spans="1:17" ht="15.75" customHeight="1">
      <c r="A3" s="669" t="s">
        <v>215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  <c r="M3" s="669"/>
      <c r="N3" s="669"/>
      <c r="O3" s="669"/>
      <c r="P3" s="669"/>
      <c r="Q3" s="669"/>
    </row>
    <row r="4" spans="1:17" s="121" customFormat="1" ht="15.75" customHeight="1">
      <c r="A4" s="830"/>
      <c r="B4" s="830"/>
      <c r="C4" s="830"/>
      <c r="D4" s="830"/>
      <c r="E4" s="830"/>
      <c r="F4" s="830"/>
      <c r="G4" s="830"/>
      <c r="H4" s="830"/>
      <c r="I4" s="830"/>
      <c r="J4" s="830"/>
      <c r="K4" s="830"/>
      <c r="L4" s="830"/>
      <c r="M4" s="830"/>
      <c r="N4" s="830"/>
      <c r="O4" s="830"/>
      <c r="P4" s="830"/>
      <c r="Q4" s="830"/>
    </row>
    <row r="5" spans="1:17" ht="15.75" customHeight="1">
      <c r="A5" s="561" t="s">
        <v>190</v>
      </c>
      <c r="B5" s="798">
        <v>1</v>
      </c>
      <c r="C5" s="798"/>
      <c r="D5" s="798">
        <v>2</v>
      </c>
      <c r="E5" s="798"/>
      <c r="F5" s="798">
        <v>3</v>
      </c>
      <c r="G5" s="798"/>
      <c r="H5" s="798">
        <v>4</v>
      </c>
      <c r="I5" s="798"/>
      <c r="J5" s="798">
        <v>5</v>
      </c>
      <c r="K5" s="798"/>
      <c r="L5" s="798">
        <v>6</v>
      </c>
      <c r="M5" s="798"/>
      <c r="N5" s="798">
        <v>7</v>
      </c>
      <c r="O5" s="798"/>
      <c r="P5" s="802">
        <v>8</v>
      </c>
      <c r="Q5" s="802"/>
    </row>
    <row r="6" spans="1:17" ht="15.75" customHeight="1">
      <c r="A6" s="561"/>
      <c r="B6" s="561" t="s">
        <v>323</v>
      </c>
      <c r="C6" s="561"/>
      <c r="D6" s="561" t="s">
        <v>216</v>
      </c>
      <c r="E6" s="561"/>
      <c r="F6" s="561" t="s">
        <v>164</v>
      </c>
      <c r="G6" s="561"/>
      <c r="H6" s="561" t="s">
        <v>692</v>
      </c>
      <c r="I6" s="561"/>
      <c r="J6" s="561" t="s">
        <v>188</v>
      </c>
      <c r="K6" s="561"/>
      <c r="L6" s="561" t="s">
        <v>165</v>
      </c>
      <c r="M6" s="561"/>
      <c r="N6" s="561" t="s">
        <v>189</v>
      </c>
      <c r="O6" s="561"/>
      <c r="P6" s="803" t="s">
        <v>217</v>
      </c>
      <c r="Q6" s="803"/>
    </row>
    <row r="8" spans="1:17" s="158" customFormat="1" ht="15.75" customHeight="1">
      <c r="A8" s="168" t="s">
        <v>192</v>
      </c>
      <c r="B8" s="185" t="s">
        <v>18</v>
      </c>
      <c r="C8" s="828" t="s">
        <v>12</v>
      </c>
      <c r="D8" s="828"/>
      <c r="E8" s="828"/>
      <c r="F8" s="828" t="s">
        <v>53</v>
      </c>
      <c r="G8" s="828"/>
      <c r="H8" s="828"/>
      <c r="I8" s="185" t="s">
        <v>54</v>
      </c>
      <c r="J8" s="186" t="s">
        <v>19</v>
      </c>
      <c r="K8" s="185" t="s">
        <v>57</v>
      </c>
      <c r="L8" s="185" t="s">
        <v>2</v>
      </c>
      <c r="M8" s="831" t="s">
        <v>50</v>
      </c>
      <c r="N8" s="832"/>
      <c r="O8" s="832"/>
      <c r="P8" s="832"/>
      <c r="Q8" s="832"/>
    </row>
    <row r="9" spans="1:17" ht="15.75" customHeight="1">
      <c r="A9" s="828" t="s">
        <v>191</v>
      </c>
      <c r="B9" s="160">
        <v>1</v>
      </c>
      <c r="C9" s="687"/>
      <c r="D9" s="654"/>
      <c r="E9" s="654"/>
      <c r="F9" s="687"/>
      <c r="G9" s="654"/>
      <c r="H9" s="654"/>
      <c r="I9" s="169"/>
      <c r="J9" s="183"/>
      <c r="K9" s="183"/>
      <c r="L9" s="184">
        <f>K9-J9</f>
        <v>0</v>
      </c>
      <c r="M9" s="687"/>
      <c r="N9" s="687"/>
      <c r="O9" s="687"/>
      <c r="P9" s="687"/>
      <c r="Q9" s="687"/>
    </row>
    <row r="10" spans="1:17" ht="15.75" customHeight="1">
      <c r="A10" s="829"/>
      <c r="B10" s="160">
        <v>2</v>
      </c>
      <c r="C10" s="687"/>
      <c r="D10" s="654"/>
      <c r="E10" s="654"/>
      <c r="F10" s="687"/>
      <c r="G10" s="654"/>
      <c r="H10" s="654"/>
      <c r="I10" s="169"/>
      <c r="J10" s="183"/>
      <c r="K10" s="183"/>
      <c r="L10" s="184">
        <f>K10-J10</f>
        <v>0</v>
      </c>
      <c r="M10" s="687"/>
      <c r="N10" s="687"/>
      <c r="O10" s="687"/>
      <c r="P10" s="687"/>
      <c r="Q10" s="687"/>
    </row>
    <row r="11" spans="1:17" ht="15.75" customHeight="1">
      <c r="A11" s="829"/>
      <c r="B11" s="160">
        <v>3</v>
      </c>
      <c r="C11" s="687"/>
      <c r="D11" s="654"/>
      <c r="E11" s="654"/>
      <c r="F11" s="687"/>
      <c r="G11" s="654"/>
      <c r="H11" s="654"/>
      <c r="I11" s="169"/>
      <c r="J11" s="183"/>
      <c r="K11" s="183"/>
      <c r="L11" s="184">
        <f>K11-J11</f>
        <v>0</v>
      </c>
      <c r="M11" s="687"/>
      <c r="N11" s="687"/>
      <c r="O11" s="687"/>
      <c r="P11" s="687"/>
      <c r="Q11" s="687"/>
    </row>
    <row r="12" spans="1:17" ht="15.75" customHeight="1">
      <c r="A12" s="829"/>
      <c r="B12" s="160">
        <v>4</v>
      </c>
      <c r="C12" s="687"/>
      <c r="D12" s="654"/>
      <c r="E12" s="654"/>
      <c r="F12" s="687"/>
      <c r="G12" s="654"/>
      <c r="H12" s="654"/>
      <c r="I12" s="169"/>
      <c r="J12" s="183"/>
      <c r="K12" s="183"/>
      <c r="L12" s="184">
        <f>K12-J12</f>
        <v>0</v>
      </c>
      <c r="M12" s="687"/>
      <c r="N12" s="687"/>
      <c r="O12" s="687"/>
      <c r="P12" s="687"/>
      <c r="Q12" s="687"/>
    </row>
    <row r="13" spans="1:17" ht="15.75" customHeight="1">
      <c r="A13" s="829"/>
      <c r="B13" s="160">
        <v>5</v>
      </c>
      <c r="C13" s="687"/>
      <c r="D13" s="654"/>
      <c r="E13" s="654"/>
      <c r="F13" s="687"/>
      <c r="G13" s="654"/>
      <c r="H13" s="654"/>
      <c r="I13" s="169"/>
      <c r="J13" s="183"/>
      <c r="K13" s="183"/>
      <c r="L13" s="184">
        <f>K13-J13</f>
        <v>0</v>
      </c>
      <c r="M13" s="687"/>
      <c r="N13" s="687"/>
      <c r="O13" s="687"/>
      <c r="P13" s="687"/>
      <c r="Q13" s="687"/>
    </row>
    <row r="14" spans="1:17" ht="15.75" customHeight="1">
      <c r="A14" s="826"/>
      <c r="B14" s="826"/>
      <c r="C14" s="826"/>
      <c r="D14" s="826"/>
      <c r="E14" s="826"/>
      <c r="F14" s="826"/>
      <c r="G14" s="826"/>
      <c r="H14" s="826"/>
      <c r="I14" s="826"/>
      <c r="J14" s="826"/>
      <c r="K14" s="826"/>
      <c r="L14" s="826"/>
      <c r="M14" s="826"/>
      <c r="N14" s="826"/>
      <c r="O14" s="827"/>
    </row>
    <row r="15" spans="1:17" s="158" customFormat="1" ht="15.75" customHeight="1">
      <c r="A15" s="168" t="s">
        <v>192</v>
      </c>
      <c r="B15" s="168" t="s">
        <v>18</v>
      </c>
      <c r="C15" s="825" t="s">
        <v>12</v>
      </c>
      <c r="D15" s="825"/>
      <c r="E15" s="825"/>
      <c r="F15" s="825" t="s">
        <v>53</v>
      </c>
      <c r="G15" s="825"/>
      <c r="H15" s="825"/>
      <c r="I15" s="168" t="s">
        <v>54</v>
      </c>
      <c r="J15" s="182" t="s">
        <v>19</v>
      </c>
      <c r="K15" s="168" t="s">
        <v>57</v>
      </c>
      <c r="L15" s="168" t="s">
        <v>2</v>
      </c>
      <c r="M15" s="825" t="s">
        <v>50</v>
      </c>
      <c r="N15" s="825"/>
      <c r="O15" s="825"/>
      <c r="P15" s="825"/>
      <c r="Q15" s="825"/>
    </row>
    <row r="16" spans="1:17" ht="15.75" customHeight="1">
      <c r="A16" s="825" t="s">
        <v>193</v>
      </c>
      <c r="B16" s="160">
        <v>1</v>
      </c>
      <c r="C16" s="687"/>
      <c r="D16" s="654"/>
      <c r="E16" s="654"/>
      <c r="F16" s="687"/>
      <c r="G16" s="654"/>
      <c r="H16" s="654"/>
      <c r="I16" s="169"/>
      <c r="J16" s="183"/>
      <c r="K16" s="183"/>
      <c r="L16" s="184">
        <f>K16-J16</f>
        <v>0</v>
      </c>
      <c r="M16" s="687"/>
      <c r="N16" s="687"/>
      <c r="O16" s="687"/>
      <c r="P16" s="687"/>
      <c r="Q16" s="687"/>
    </row>
    <row r="17" spans="1:17" ht="15.75" customHeight="1">
      <c r="A17" s="825"/>
      <c r="B17" s="160">
        <v>2</v>
      </c>
      <c r="C17" s="687"/>
      <c r="D17" s="654"/>
      <c r="E17" s="654"/>
      <c r="F17" s="687"/>
      <c r="G17" s="654"/>
      <c r="H17" s="654"/>
      <c r="I17" s="169"/>
      <c r="J17" s="183"/>
      <c r="K17" s="183"/>
      <c r="L17" s="184">
        <f>K17-J17</f>
        <v>0</v>
      </c>
      <c r="M17" s="687"/>
      <c r="N17" s="687"/>
      <c r="O17" s="687"/>
      <c r="P17" s="687"/>
      <c r="Q17" s="687"/>
    </row>
    <row r="18" spans="1:17" ht="15.75" customHeight="1">
      <c r="A18" s="825"/>
      <c r="B18" s="160">
        <v>3</v>
      </c>
      <c r="C18" s="687"/>
      <c r="D18" s="654"/>
      <c r="E18" s="654"/>
      <c r="F18" s="687"/>
      <c r="G18" s="654"/>
      <c r="H18" s="654"/>
      <c r="I18" s="169"/>
      <c r="J18" s="183"/>
      <c r="K18" s="183"/>
      <c r="L18" s="184">
        <f>K18-J18</f>
        <v>0</v>
      </c>
      <c r="M18" s="687"/>
      <c r="N18" s="687"/>
      <c r="O18" s="687"/>
      <c r="P18" s="687"/>
      <c r="Q18" s="687"/>
    </row>
    <row r="19" spans="1:17" ht="15.75" customHeight="1">
      <c r="A19" s="825"/>
      <c r="B19" s="160">
        <v>4</v>
      </c>
      <c r="C19" s="687"/>
      <c r="D19" s="654"/>
      <c r="E19" s="654"/>
      <c r="F19" s="687"/>
      <c r="G19" s="654"/>
      <c r="H19" s="654"/>
      <c r="I19" s="169"/>
      <c r="J19" s="183"/>
      <c r="K19" s="183"/>
      <c r="L19" s="184">
        <f>K19-J19</f>
        <v>0</v>
      </c>
      <c r="M19" s="687"/>
      <c r="N19" s="687"/>
      <c r="O19" s="687"/>
      <c r="P19" s="687"/>
      <c r="Q19" s="687"/>
    </row>
    <row r="20" spans="1:17" ht="15.75" customHeight="1">
      <c r="A20" s="825"/>
      <c r="B20" s="160">
        <v>5</v>
      </c>
      <c r="C20" s="687"/>
      <c r="D20" s="654"/>
      <c r="E20" s="654"/>
      <c r="F20" s="687"/>
      <c r="G20" s="654"/>
      <c r="H20" s="654"/>
      <c r="I20" s="169"/>
      <c r="J20" s="183"/>
      <c r="K20" s="183"/>
      <c r="L20" s="184">
        <f>K20-J20</f>
        <v>0</v>
      </c>
      <c r="M20" s="687"/>
      <c r="N20" s="687"/>
      <c r="O20" s="687"/>
      <c r="P20" s="687"/>
      <c r="Q20" s="68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G39" sqref="G39"/>
      <selection pane="topRight" activeCell="G39" sqref="G39"/>
      <selection pane="bottomLeft" activeCell="G39" sqref="G39"/>
      <selection pane="bottomRight" activeCell="E7" sqref="E7"/>
    </sheetView>
  </sheetViews>
  <sheetFormatPr defaultColWidth="8.85546875" defaultRowHeight="16.5"/>
  <cols>
    <col min="1" max="1" width="8.85546875" style="399"/>
    <col min="2" max="2" width="12.42578125" style="399" customWidth="1"/>
    <col min="3" max="3" width="8.85546875" style="399"/>
    <col min="4" max="4" width="11.5703125" style="399" customWidth="1"/>
    <col min="5" max="5" width="39.28515625" style="399" bestFit="1" customWidth="1"/>
    <col min="6" max="6" width="11.42578125" style="399" bestFit="1" customWidth="1"/>
    <col min="7" max="7" width="14.140625" style="399" customWidth="1"/>
    <col min="8" max="8" width="14" style="399" customWidth="1"/>
    <col min="9" max="9" width="16.85546875" style="399" customWidth="1"/>
    <col min="10" max="10" width="14" style="399" customWidth="1"/>
    <col min="11" max="11" width="11.5703125" style="399" bestFit="1" customWidth="1"/>
    <col min="12" max="12" width="13.42578125" style="399" bestFit="1" customWidth="1"/>
    <col min="13" max="13" width="19.140625" style="399" bestFit="1" customWidth="1"/>
    <col min="14" max="14" width="15.28515625" style="399" bestFit="1" customWidth="1"/>
    <col min="15" max="15" width="12.5703125" style="399" bestFit="1" customWidth="1"/>
    <col min="16" max="16" width="9.7109375" style="399" bestFit="1" customWidth="1"/>
    <col min="17" max="17" width="12.140625" style="399" bestFit="1" customWidth="1"/>
    <col min="18" max="18" width="10.7109375" style="399" customWidth="1"/>
    <col min="19" max="19" width="13.42578125" style="399" bestFit="1" customWidth="1"/>
    <col min="20" max="20" width="12.42578125" style="399" bestFit="1" customWidth="1"/>
    <col min="21" max="21" width="25.28515625" style="399" bestFit="1" customWidth="1"/>
    <col min="22" max="23" width="88.28515625" style="399" customWidth="1"/>
    <col min="24" max="24" width="7.42578125" style="399" bestFit="1" customWidth="1"/>
    <col min="25" max="25" width="69.5703125" style="399" bestFit="1" customWidth="1"/>
    <col min="26" max="26" width="11.42578125" style="399" bestFit="1" customWidth="1"/>
    <col min="27" max="27" width="21.5703125" style="399" customWidth="1"/>
    <col min="28" max="28" width="19.42578125" style="399" bestFit="1" customWidth="1"/>
    <col min="29" max="34" width="14.42578125" style="399" customWidth="1"/>
    <col min="35" max="35" width="11.42578125" style="399" bestFit="1" customWidth="1"/>
    <col min="36" max="16384" width="8.85546875" style="399"/>
  </cols>
  <sheetData>
    <row r="2" spans="2:35" ht="41.1" customHeight="1">
      <c r="B2" s="844" t="s">
        <v>724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  <c r="Q2" s="845"/>
      <c r="R2" s="845"/>
      <c r="S2" s="845"/>
      <c r="T2" s="845"/>
      <c r="U2" s="845"/>
      <c r="V2" s="845"/>
      <c r="W2" s="845"/>
      <c r="X2" s="845"/>
      <c r="Y2" s="845"/>
      <c r="AA2" s="400"/>
      <c r="AB2" s="400"/>
    </row>
    <row r="3" spans="2:35" ht="17.100000000000001" customHeight="1">
      <c r="B3" s="846" t="s">
        <v>725</v>
      </c>
      <c r="C3" s="847"/>
      <c r="D3" s="840" t="s">
        <v>168</v>
      </c>
      <c r="E3" s="840"/>
      <c r="F3" s="840"/>
      <c r="G3" s="840" t="s">
        <v>182</v>
      </c>
      <c r="H3" s="840"/>
      <c r="I3" s="840"/>
      <c r="J3" s="840"/>
      <c r="K3" s="840"/>
      <c r="L3" s="840"/>
      <c r="M3" s="840"/>
      <c r="N3" s="840"/>
      <c r="O3" s="840"/>
      <c r="P3" s="840"/>
      <c r="Q3" s="840"/>
      <c r="R3" s="840"/>
      <c r="S3" s="840"/>
      <c r="T3" s="840" t="s">
        <v>169</v>
      </c>
      <c r="U3" s="852" t="s">
        <v>726</v>
      </c>
      <c r="V3" s="855" t="s">
        <v>727</v>
      </c>
      <c r="W3" s="855" t="s">
        <v>728</v>
      </c>
      <c r="X3" s="858" t="s">
        <v>729</v>
      </c>
      <c r="Y3" s="842" t="s">
        <v>170</v>
      </c>
      <c r="AA3" s="840" t="s">
        <v>730</v>
      </c>
      <c r="AB3" s="840"/>
      <c r="AC3" s="840"/>
      <c r="AD3" s="840"/>
      <c r="AE3" s="840"/>
      <c r="AF3" s="840"/>
      <c r="AG3" s="840"/>
      <c r="AH3" s="840"/>
      <c r="AI3" s="840"/>
    </row>
    <row r="4" spans="2:35" ht="17.100000000000001" customHeight="1">
      <c r="B4" s="848"/>
      <c r="C4" s="849"/>
      <c r="D4" s="841" t="s">
        <v>167</v>
      </c>
      <c r="E4" s="840" t="s">
        <v>171</v>
      </c>
      <c r="F4" s="840"/>
      <c r="G4" s="840" t="s">
        <v>183</v>
      </c>
      <c r="H4" s="840"/>
      <c r="I4" s="840"/>
      <c r="J4" s="840"/>
      <c r="K4" s="840"/>
      <c r="L4" s="840"/>
      <c r="M4" s="840"/>
      <c r="N4" s="840"/>
      <c r="O4" s="840" t="s">
        <v>172</v>
      </c>
      <c r="P4" s="840"/>
      <c r="Q4" s="840"/>
      <c r="R4" s="840"/>
      <c r="S4" s="840"/>
      <c r="T4" s="840"/>
      <c r="U4" s="853"/>
      <c r="V4" s="856"/>
      <c r="W4" s="856"/>
      <c r="X4" s="859"/>
      <c r="Y4" s="842"/>
      <c r="AA4" s="840"/>
      <c r="AB4" s="840"/>
      <c r="AC4" s="840"/>
      <c r="AD4" s="840"/>
      <c r="AE4" s="840"/>
      <c r="AF4" s="840"/>
      <c r="AG4" s="840"/>
      <c r="AH4" s="840"/>
      <c r="AI4" s="840"/>
    </row>
    <row r="5" spans="2:35" ht="17.100000000000001" customHeight="1">
      <c r="B5" s="848"/>
      <c r="C5" s="849"/>
      <c r="D5" s="841"/>
      <c r="E5" s="841" t="s">
        <v>173</v>
      </c>
      <c r="F5" s="842" t="s">
        <v>731</v>
      </c>
      <c r="G5" s="843" t="s">
        <v>184</v>
      </c>
      <c r="H5" s="843"/>
      <c r="I5" s="843"/>
      <c r="J5" s="843"/>
      <c r="K5" s="843"/>
      <c r="L5" s="843"/>
      <c r="M5" s="843"/>
      <c r="N5" s="843"/>
      <c r="O5" s="843" t="s">
        <v>166</v>
      </c>
      <c r="P5" s="843"/>
      <c r="Q5" s="843" t="s">
        <v>174</v>
      </c>
      <c r="R5" s="843"/>
      <c r="S5" s="843"/>
      <c r="T5" s="840"/>
      <c r="U5" s="853"/>
      <c r="V5" s="856"/>
      <c r="W5" s="856"/>
      <c r="X5" s="859"/>
      <c r="Y5" s="842"/>
      <c r="AA5" s="840"/>
      <c r="AB5" s="840"/>
      <c r="AC5" s="840"/>
      <c r="AD5" s="840"/>
      <c r="AE5" s="840"/>
      <c r="AF5" s="840"/>
      <c r="AG5" s="840"/>
      <c r="AH5" s="840"/>
      <c r="AI5" s="840"/>
    </row>
    <row r="6" spans="2:35" ht="38.450000000000003" customHeight="1">
      <c r="B6" s="850"/>
      <c r="C6" s="851"/>
      <c r="D6" s="841"/>
      <c r="E6" s="841"/>
      <c r="F6" s="842"/>
      <c r="G6" s="401" t="s">
        <v>175</v>
      </c>
      <c r="H6" s="401" t="s">
        <v>732</v>
      </c>
      <c r="I6" s="401" t="s">
        <v>733</v>
      </c>
      <c r="J6" s="401" t="s">
        <v>176</v>
      </c>
      <c r="K6" s="401" t="s">
        <v>734</v>
      </c>
      <c r="L6" s="401" t="s">
        <v>177</v>
      </c>
      <c r="M6" s="401" t="s">
        <v>185</v>
      </c>
      <c r="N6" s="401" t="s">
        <v>178</v>
      </c>
      <c r="O6" s="402" t="s">
        <v>179</v>
      </c>
      <c r="P6" s="402" t="s">
        <v>180</v>
      </c>
      <c r="Q6" s="402" t="s">
        <v>179</v>
      </c>
      <c r="R6" s="402" t="s">
        <v>180</v>
      </c>
      <c r="S6" s="401" t="s">
        <v>181</v>
      </c>
      <c r="T6" s="840"/>
      <c r="U6" s="854"/>
      <c r="V6" s="857"/>
      <c r="W6" s="857"/>
      <c r="X6" s="860"/>
      <c r="Y6" s="842"/>
      <c r="AA6" s="228" t="s">
        <v>735</v>
      </c>
      <c r="AB6" s="228" t="s">
        <v>736</v>
      </c>
      <c r="AC6" s="389" t="s">
        <v>737</v>
      </c>
      <c r="AD6" s="389" t="s">
        <v>738</v>
      </c>
      <c r="AE6" s="389" t="s">
        <v>739</v>
      </c>
      <c r="AF6" s="389" t="s">
        <v>740</v>
      </c>
      <c r="AG6" s="389" t="s">
        <v>741</v>
      </c>
      <c r="AH6" s="389" t="s">
        <v>742</v>
      </c>
      <c r="AI6" s="389" t="s">
        <v>743</v>
      </c>
    </row>
    <row r="7" spans="2:35" s="415" customFormat="1" ht="27" customHeight="1">
      <c r="B7" s="833" t="s">
        <v>813</v>
      </c>
      <c r="C7" s="834"/>
      <c r="D7" s="403">
        <v>1</v>
      </c>
      <c r="E7" s="404" t="s">
        <v>433</v>
      </c>
      <c r="F7" s="405">
        <v>1050.825</v>
      </c>
      <c r="G7" s="405">
        <v>516.49499999999989</v>
      </c>
      <c r="H7" s="405">
        <v>521.29999999999995</v>
      </c>
      <c r="I7" s="406">
        <v>1.0093030910270189</v>
      </c>
      <c r="J7" s="405">
        <v>0.3</v>
      </c>
      <c r="K7" s="406">
        <v>5.8083814944965596E-4</v>
      </c>
      <c r="L7" s="405">
        <v>420.33</v>
      </c>
      <c r="M7" s="406">
        <v>1.0098839291764683</v>
      </c>
      <c r="N7" s="407">
        <v>2019.6856500000267</v>
      </c>
      <c r="O7" s="405">
        <v>2.5</v>
      </c>
      <c r="P7" s="406">
        <v>4.8403179120804661E-3</v>
      </c>
      <c r="Q7" s="408">
        <v>5.1050000000000182</v>
      </c>
      <c r="R7" s="406">
        <v>9.8839291764683482E-3</v>
      </c>
      <c r="S7" s="405">
        <v>2145.7846500000078</v>
      </c>
      <c r="T7" s="416" t="s">
        <v>347</v>
      </c>
      <c r="U7" s="409" t="s">
        <v>212</v>
      </c>
      <c r="V7" s="476" t="s">
        <v>912</v>
      </c>
      <c r="W7" s="476" t="s">
        <v>774</v>
      </c>
      <c r="X7" s="410">
        <v>1</v>
      </c>
      <c r="Y7" s="411" t="s">
        <v>404</v>
      </c>
      <c r="Z7" s="412" t="s">
        <v>744</v>
      </c>
      <c r="AA7" s="413">
        <f>SUM(X7:X26)</f>
        <v>20</v>
      </c>
      <c r="AB7" s="414">
        <f>SUMIF($U$7:$U$26,TRIM(AB6),$X$7:$X$26)</f>
        <v>0</v>
      </c>
      <c r="AC7" s="414">
        <f>SUMIF($U$7:$U$26,TRIM(AC6),$X$7:$X$26)</f>
        <v>0</v>
      </c>
      <c r="AD7" s="414">
        <f t="shared" ref="AD7:AI7" ca="1" si="0">SUMIF($U$7:$U$9710,TRIM(AD6),$X$7:$X$26)</f>
        <v>2</v>
      </c>
      <c r="AE7" s="414">
        <f t="shared" ca="1" si="0"/>
        <v>4</v>
      </c>
      <c r="AF7" s="414">
        <f t="shared" ca="1" si="0"/>
        <v>6</v>
      </c>
      <c r="AG7" s="414">
        <f t="shared" ca="1" si="0"/>
        <v>1</v>
      </c>
      <c r="AH7" s="414">
        <f t="shared" ca="1" si="0"/>
        <v>0</v>
      </c>
      <c r="AI7" s="414">
        <f t="shared" ca="1" si="0"/>
        <v>0</v>
      </c>
    </row>
    <row r="8" spans="2:35" s="415" customFormat="1" ht="27" customHeight="1">
      <c r="B8" s="835"/>
      <c r="C8" s="836"/>
      <c r="D8" s="403">
        <v>2</v>
      </c>
      <c r="E8" s="404" t="s">
        <v>892</v>
      </c>
      <c r="F8" s="405">
        <v>920.50200000000007</v>
      </c>
      <c r="G8" s="405">
        <v>104.05799999999999</v>
      </c>
      <c r="H8" s="405">
        <v>107.39999999999999</v>
      </c>
      <c r="I8" s="406">
        <v>1.0321167041457648</v>
      </c>
      <c r="J8" s="405">
        <v>0</v>
      </c>
      <c r="K8" s="406">
        <v>0</v>
      </c>
      <c r="L8" s="405">
        <v>418.41</v>
      </c>
      <c r="M8" s="406">
        <v>1.0321167041457648</v>
      </c>
      <c r="N8" s="407">
        <v>1398.3262199999995</v>
      </c>
      <c r="O8" s="405">
        <v>2.2000000000000002</v>
      </c>
      <c r="P8" s="406">
        <v>2.1142055392185131E-2</v>
      </c>
      <c r="Q8" s="408">
        <v>3.3419999999999987</v>
      </c>
      <c r="R8" s="406">
        <v>3.2116704145764854E-2</v>
      </c>
      <c r="S8" s="405">
        <v>1398.3262199999995</v>
      </c>
      <c r="T8" s="416" t="s">
        <v>345</v>
      </c>
      <c r="U8" s="409" t="s">
        <v>795</v>
      </c>
      <c r="V8" s="476"/>
      <c r="W8" s="476"/>
      <c r="X8" s="410">
        <v>1</v>
      </c>
      <c r="Y8" s="411" t="s">
        <v>390</v>
      </c>
      <c r="AA8" s="413"/>
      <c r="AB8" s="417">
        <f>SUMIF($U$7:$U$26,TRIM(AB6),$F$7:$F$26)</f>
        <v>0</v>
      </c>
      <c r="AC8" s="417">
        <f>SUMIF($U$7:$U$26,TRIM(AC6),$F$7:$F$26)</f>
        <v>0</v>
      </c>
      <c r="AD8" s="417">
        <f t="shared" ref="AD8:AI8" ca="1" si="1">SUMIF($U$7:$U$176,TRIM(AD6),$F$7:$F$26)</f>
        <v>1561.2310000000002</v>
      </c>
      <c r="AE8" s="417">
        <f t="shared" ca="1" si="1"/>
        <v>2937.7860000000005</v>
      </c>
      <c r="AF8" s="417">
        <f t="shared" ca="1" si="1"/>
        <v>5031.1379999999999</v>
      </c>
      <c r="AG8" s="417">
        <f t="shared" ca="1" si="1"/>
        <v>765.08999999999992</v>
      </c>
      <c r="AH8" s="417">
        <f t="shared" ca="1" si="1"/>
        <v>0</v>
      </c>
      <c r="AI8" s="417">
        <f t="shared" ca="1" si="1"/>
        <v>0</v>
      </c>
    </row>
    <row r="9" spans="2:35" s="415" customFormat="1" ht="27" customHeight="1">
      <c r="B9" s="835"/>
      <c r="C9" s="836"/>
      <c r="D9" s="403">
        <v>3</v>
      </c>
      <c r="E9" s="404" t="s">
        <v>360</v>
      </c>
      <c r="F9" s="405">
        <v>872.88</v>
      </c>
      <c r="G9" s="405">
        <v>143.01299999999998</v>
      </c>
      <c r="H9" s="405">
        <v>145.30000000000001</v>
      </c>
      <c r="I9" s="406">
        <v>1.0159915532154422</v>
      </c>
      <c r="J9" s="405">
        <v>1.2</v>
      </c>
      <c r="K9" s="406">
        <v>8.3908455874640783E-3</v>
      </c>
      <c r="L9" s="405">
        <v>581.91999999999996</v>
      </c>
      <c r="M9" s="406">
        <v>1.0243823988029062</v>
      </c>
      <c r="N9" s="407">
        <v>1330.85104000002</v>
      </c>
      <c r="O9" s="405">
        <v>1.5</v>
      </c>
      <c r="P9" s="406">
        <v>1.0488556984330098E-2</v>
      </c>
      <c r="Q9" s="408">
        <v>3.4870000000000232</v>
      </c>
      <c r="R9" s="406">
        <v>2.4382398802906196E-2</v>
      </c>
      <c r="S9" s="405">
        <v>2029.1550400000133</v>
      </c>
      <c r="T9" s="403" t="s">
        <v>347</v>
      </c>
      <c r="U9" s="409" t="s">
        <v>212</v>
      </c>
      <c r="V9" s="476" t="s">
        <v>799</v>
      </c>
      <c r="W9" s="476" t="s">
        <v>800</v>
      </c>
      <c r="X9" s="410">
        <v>1</v>
      </c>
      <c r="Y9" s="411" t="s">
        <v>361</v>
      </c>
    </row>
    <row r="10" spans="2:35" s="415" customFormat="1" ht="27" customHeight="1">
      <c r="B10" s="835"/>
      <c r="C10" s="836"/>
      <c r="D10" s="403">
        <v>4</v>
      </c>
      <c r="E10" s="404" t="s">
        <v>913</v>
      </c>
      <c r="F10" s="405">
        <v>841.06000000000017</v>
      </c>
      <c r="G10" s="405">
        <v>169.82214754098359</v>
      </c>
      <c r="H10" s="405">
        <v>173.29999999999998</v>
      </c>
      <c r="I10" s="406">
        <v>1.0204793809840207</v>
      </c>
      <c r="J10" s="405">
        <v>0.6</v>
      </c>
      <c r="K10" s="406">
        <v>3.5331080703428302E-3</v>
      </c>
      <c r="L10" s="405">
        <v>382.3</v>
      </c>
      <c r="M10" s="406">
        <v>1.0240124890543636</v>
      </c>
      <c r="N10" s="407">
        <v>1329.5829950819659</v>
      </c>
      <c r="O10" s="405">
        <v>2.2000000000000002</v>
      </c>
      <c r="P10" s="406">
        <v>1.2954729591257047E-2</v>
      </c>
      <c r="Q10" s="408">
        <v>4.077852459016384</v>
      </c>
      <c r="R10" s="406">
        <v>2.4012489054363571E-2</v>
      </c>
      <c r="S10" s="405">
        <v>1558.9629950819638</v>
      </c>
      <c r="T10" s="409" t="s">
        <v>345</v>
      </c>
      <c r="U10" s="409" t="s">
        <v>795</v>
      </c>
      <c r="V10" s="476" t="s">
        <v>777</v>
      </c>
      <c r="W10" s="476" t="s">
        <v>778</v>
      </c>
      <c r="X10" s="410">
        <v>1</v>
      </c>
      <c r="Y10" s="411" t="s">
        <v>375</v>
      </c>
    </row>
    <row r="11" spans="2:35" s="415" customFormat="1" ht="27" customHeight="1">
      <c r="B11" s="835"/>
      <c r="C11" s="836"/>
      <c r="D11" s="403">
        <v>5</v>
      </c>
      <c r="E11" s="404" t="s">
        <v>796</v>
      </c>
      <c r="F11" s="405">
        <v>821.04000000000008</v>
      </c>
      <c r="G11" s="405">
        <v>298.62</v>
      </c>
      <c r="H11" s="405">
        <v>303.2</v>
      </c>
      <c r="I11" s="406">
        <v>1.0153372178688633</v>
      </c>
      <c r="J11" s="405">
        <v>0</v>
      </c>
      <c r="K11" s="406">
        <v>0</v>
      </c>
      <c r="L11" s="405">
        <v>273.68</v>
      </c>
      <c r="M11" s="406">
        <v>1.0153372178688633</v>
      </c>
      <c r="N11" s="407">
        <v>1253.4543999999958</v>
      </c>
      <c r="O11" s="405">
        <v>3</v>
      </c>
      <c r="P11" s="406">
        <v>1.0046212577858147E-2</v>
      </c>
      <c r="Q11" s="408">
        <v>4.5799999999999841</v>
      </c>
      <c r="R11" s="406">
        <v>1.5337217868863384E-2</v>
      </c>
      <c r="S11" s="405">
        <v>1253.4543999999958</v>
      </c>
      <c r="T11" s="409" t="s">
        <v>347</v>
      </c>
      <c r="U11" s="409" t="s">
        <v>212</v>
      </c>
      <c r="V11" s="476" t="s">
        <v>912</v>
      </c>
      <c r="W11" s="476" t="s">
        <v>774</v>
      </c>
      <c r="X11" s="410">
        <v>1</v>
      </c>
      <c r="Y11" s="411" t="s">
        <v>357</v>
      </c>
    </row>
    <row r="12" spans="2:35" s="415" customFormat="1" ht="27" customHeight="1">
      <c r="B12" s="835"/>
      <c r="C12" s="836"/>
      <c r="D12" s="403">
        <v>6</v>
      </c>
      <c r="E12" s="404" t="s">
        <v>434</v>
      </c>
      <c r="F12" s="405">
        <v>815.87200000000007</v>
      </c>
      <c r="G12" s="405">
        <v>1130.0210000000002</v>
      </c>
      <c r="H12" s="405">
        <v>1142.3</v>
      </c>
      <c r="I12" s="406">
        <v>1.010866169743748</v>
      </c>
      <c r="J12" s="405">
        <v>0</v>
      </c>
      <c r="K12" s="406">
        <v>0</v>
      </c>
      <c r="L12" s="405">
        <v>127.48</v>
      </c>
      <c r="M12" s="406">
        <v>1.010866169743748</v>
      </c>
      <c r="N12" s="407">
        <v>1565.3269199999706</v>
      </c>
      <c r="O12" s="405">
        <v>6.4</v>
      </c>
      <c r="P12" s="406">
        <v>5.6636115612010741E-3</v>
      </c>
      <c r="Q12" s="408">
        <v>12.278999999999769</v>
      </c>
      <c r="R12" s="406">
        <v>1.0866169743747919E-2</v>
      </c>
      <c r="S12" s="405">
        <v>1565.3269199999706</v>
      </c>
      <c r="T12" s="409" t="s">
        <v>354</v>
      </c>
      <c r="U12" s="409" t="s">
        <v>431</v>
      </c>
      <c r="V12" s="476" t="s">
        <v>914</v>
      </c>
      <c r="W12" s="476" t="s">
        <v>915</v>
      </c>
      <c r="X12" s="410">
        <v>1</v>
      </c>
      <c r="Y12" s="411" t="s">
        <v>353</v>
      </c>
    </row>
    <row r="13" spans="2:35" s="415" customFormat="1" ht="27" customHeight="1">
      <c r="B13" s="835"/>
      <c r="C13" s="836"/>
      <c r="D13" s="403">
        <v>7</v>
      </c>
      <c r="E13" s="404" t="s">
        <v>709</v>
      </c>
      <c r="F13" s="405">
        <v>812.51099999999997</v>
      </c>
      <c r="G13" s="405">
        <v>266.45000000000005</v>
      </c>
      <c r="H13" s="405">
        <v>271.5</v>
      </c>
      <c r="I13" s="406">
        <v>1.0189528992306247</v>
      </c>
      <c r="J13" s="405">
        <v>0</v>
      </c>
      <c r="K13" s="406">
        <v>0</v>
      </c>
      <c r="L13" s="405">
        <v>300.93</v>
      </c>
      <c r="M13" s="406">
        <v>1.0189528992306247</v>
      </c>
      <c r="N13" s="407">
        <v>1519.6964999999864</v>
      </c>
      <c r="O13" s="405">
        <v>2.6999999999999997</v>
      </c>
      <c r="P13" s="406">
        <v>1.0133233252017261E-2</v>
      </c>
      <c r="Q13" s="408">
        <v>5.0499999999999545</v>
      </c>
      <c r="R13" s="406">
        <v>1.8952899230624709E-2</v>
      </c>
      <c r="S13" s="405">
        <v>1519.6964999999864</v>
      </c>
      <c r="T13" s="403" t="s">
        <v>347</v>
      </c>
      <c r="U13" s="409" t="s">
        <v>212</v>
      </c>
      <c r="V13" s="476" t="s">
        <v>916</v>
      </c>
      <c r="W13" s="476" t="s">
        <v>917</v>
      </c>
      <c r="X13" s="410">
        <v>1</v>
      </c>
      <c r="Y13" s="411" t="s">
        <v>707</v>
      </c>
      <c r="AB13" s="415">
        <v>1</v>
      </c>
      <c r="AC13" s="418" t="s">
        <v>703</v>
      </c>
    </row>
    <row r="14" spans="2:35" s="415" customFormat="1" ht="27" customHeight="1">
      <c r="B14" s="835"/>
      <c r="C14" s="836"/>
      <c r="D14" s="403">
        <v>8</v>
      </c>
      <c r="E14" s="404" t="s">
        <v>894</v>
      </c>
      <c r="F14" s="405">
        <v>806.548</v>
      </c>
      <c r="G14" s="405">
        <v>509.07600000000002</v>
      </c>
      <c r="H14" s="405">
        <v>514.6</v>
      </c>
      <c r="I14" s="406">
        <v>1.0108510320659392</v>
      </c>
      <c r="J14" s="405">
        <v>0</v>
      </c>
      <c r="K14" s="406">
        <v>0</v>
      </c>
      <c r="L14" s="405">
        <v>278.12</v>
      </c>
      <c r="M14" s="406">
        <v>1.0108510320659392</v>
      </c>
      <c r="N14" s="407">
        <v>1536.3348800000003</v>
      </c>
      <c r="O14" s="405">
        <v>2.9000000000000004</v>
      </c>
      <c r="P14" s="406">
        <v>5.6965954002938662E-3</v>
      </c>
      <c r="Q14" s="408">
        <v>5.5240000000000009</v>
      </c>
      <c r="R14" s="406">
        <v>1.0851032065939075E-2</v>
      </c>
      <c r="S14" s="405">
        <v>1536.3348800000003</v>
      </c>
      <c r="T14" s="409" t="s">
        <v>345</v>
      </c>
      <c r="U14" s="409" t="s">
        <v>795</v>
      </c>
      <c r="V14" s="476" t="s">
        <v>918</v>
      </c>
      <c r="W14" s="476" t="s">
        <v>919</v>
      </c>
      <c r="X14" s="410">
        <v>1</v>
      </c>
      <c r="Y14" s="411" t="s">
        <v>819</v>
      </c>
      <c r="AB14" s="415">
        <v>2</v>
      </c>
      <c r="AC14" s="418" t="s">
        <v>355</v>
      </c>
    </row>
    <row r="15" spans="2:35" s="415" customFormat="1" ht="27" customHeight="1">
      <c r="B15" s="835"/>
      <c r="C15" s="836"/>
      <c r="D15" s="403">
        <v>9</v>
      </c>
      <c r="E15" s="404" t="s">
        <v>906</v>
      </c>
      <c r="F15" s="405">
        <v>780.69599999999991</v>
      </c>
      <c r="G15" s="405">
        <v>948.51</v>
      </c>
      <c r="H15" s="405">
        <v>954.4</v>
      </c>
      <c r="I15" s="406">
        <v>1.0062097394861413</v>
      </c>
      <c r="J15" s="405">
        <v>0.5</v>
      </c>
      <c r="K15" s="406">
        <v>5.2714257097974718E-4</v>
      </c>
      <c r="L15" s="405">
        <v>278.82</v>
      </c>
      <c r="M15" s="406">
        <v>1.0067368820571212</v>
      </c>
      <c r="N15" s="407">
        <v>1642.2497999999962</v>
      </c>
      <c r="O15" s="405">
        <v>2.8000000000000003</v>
      </c>
      <c r="P15" s="406">
        <v>2.9519983974865844E-3</v>
      </c>
      <c r="Q15" s="408">
        <v>6.3899999999999864</v>
      </c>
      <c r="R15" s="406">
        <v>6.7368820571211546E-3</v>
      </c>
      <c r="S15" s="405">
        <v>1781.659799999996</v>
      </c>
      <c r="T15" s="409" t="s">
        <v>345</v>
      </c>
      <c r="U15" s="409" t="s">
        <v>795</v>
      </c>
      <c r="V15" s="476" t="s">
        <v>912</v>
      </c>
      <c r="W15" s="476" t="s">
        <v>774</v>
      </c>
      <c r="X15" s="410">
        <v>1</v>
      </c>
      <c r="Y15" s="411" t="s">
        <v>818</v>
      </c>
      <c r="AB15" s="415">
        <v>3</v>
      </c>
      <c r="AC15" s="418" t="s">
        <v>431</v>
      </c>
    </row>
    <row r="16" spans="2:35" s="415" customFormat="1" ht="27" customHeight="1">
      <c r="B16" s="835"/>
      <c r="C16" s="836"/>
      <c r="D16" s="403">
        <v>10</v>
      </c>
      <c r="E16" s="404" t="s">
        <v>358</v>
      </c>
      <c r="F16" s="405">
        <v>765.08999999999992</v>
      </c>
      <c r="G16" s="405">
        <v>600.28700000000003</v>
      </c>
      <c r="H16" s="405">
        <v>605.80000000000007</v>
      </c>
      <c r="I16" s="406">
        <v>1.0091839403485334</v>
      </c>
      <c r="J16" s="405">
        <v>0.2</v>
      </c>
      <c r="K16" s="406">
        <v>3.3317396512001757E-4</v>
      </c>
      <c r="L16" s="405">
        <v>510.06</v>
      </c>
      <c r="M16" s="406">
        <v>1.0095171143136534</v>
      </c>
      <c r="N16" s="407">
        <v>2811.9607800000172</v>
      </c>
      <c r="O16" s="405">
        <v>1.5</v>
      </c>
      <c r="P16" s="406">
        <v>2.4988047384001317E-3</v>
      </c>
      <c r="Q16" s="408">
        <v>5.7130000000000791</v>
      </c>
      <c r="R16" s="406">
        <v>9.5171143136534332E-3</v>
      </c>
      <c r="S16" s="405">
        <v>2913.9727800000405</v>
      </c>
      <c r="T16" s="409" t="s">
        <v>347</v>
      </c>
      <c r="U16" s="409" t="s">
        <v>213</v>
      </c>
      <c r="V16" s="476" t="s">
        <v>781</v>
      </c>
      <c r="W16" s="476" t="s">
        <v>782</v>
      </c>
      <c r="X16" s="410">
        <v>1</v>
      </c>
      <c r="Y16" s="411" t="s">
        <v>356</v>
      </c>
      <c r="AB16" s="415">
        <v>4</v>
      </c>
      <c r="AC16" s="418" t="s">
        <v>745</v>
      </c>
    </row>
    <row r="17" spans="2:29" s="415" customFormat="1" ht="27" customHeight="1">
      <c r="B17" s="835"/>
      <c r="C17" s="836"/>
      <c r="D17" s="403">
        <v>11</v>
      </c>
      <c r="E17" s="404" t="s">
        <v>348</v>
      </c>
      <c r="F17" s="405">
        <v>760.24200000000008</v>
      </c>
      <c r="G17" s="405">
        <v>489.428</v>
      </c>
      <c r="H17" s="405">
        <v>493.6</v>
      </c>
      <c r="I17" s="406">
        <v>1.0085242364556177</v>
      </c>
      <c r="J17" s="405">
        <v>0.9</v>
      </c>
      <c r="K17" s="406">
        <v>1.8388813063412801E-3</v>
      </c>
      <c r="L17" s="405">
        <v>330.54</v>
      </c>
      <c r="M17" s="406">
        <v>1.010363117761959</v>
      </c>
      <c r="N17" s="407">
        <v>1379.0128800000084</v>
      </c>
      <c r="O17" s="405">
        <v>2.2999999999999998</v>
      </c>
      <c r="P17" s="406">
        <v>4.6993633384277153E-3</v>
      </c>
      <c r="Q17" s="408">
        <v>5.0720000000000027</v>
      </c>
      <c r="R17" s="406">
        <v>1.0363117761958864E-2</v>
      </c>
      <c r="S17" s="405">
        <v>1676.498880000001</v>
      </c>
      <c r="T17" s="409" t="s">
        <v>347</v>
      </c>
      <c r="U17" s="409" t="s">
        <v>212</v>
      </c>
      <c r="V17" s="476" t="s">
        <v>912</v>
      </c>
      <c r="W17" s="476" t="s">
        <v>774</v>
      </c>
      <c r="X17" s="410">
        <v>1</v>
      </c>
      <c r="Y17" s="411" t="s">
        <v>349</v>
      </c>
      <c r="AB17" s="415">
        <v>5</v>
      </c>
      <c r="AC17" s="418" t="s">
        <v>212</v>
      </c>
    </row>
    <row r="18" spans="2:29" s="415" customFormat="1" ht="27" customHeight="1">
      <c r="B18" s="835"/>
      <c r="C18" s="836"/>
      <c r="D18" s="403">
        <v>12</v>
      </c>
      <c r="E18" s="404" t="s">
        <v>920</v>
      </c>
      <c r="F18" s="405">
        <v>750.95</v>
      </c>
      <c r="G18" s="405">
        <v>216.58999999999997</v>
      </c>
      <c r="H18" s="405">
        <v>223.30000000000004</v>
      </c>
      <c r="I18" s="406">
        <v>1.0309801929913665</v>
      </c>
      <c r="J18" s="405">
        <v>0</v>
      </c>
      <c r="K18" s="406">
        <v>0</v>
      </c>
      <c r="L18" s="405">
        <v>163.25</v>
      </c>
      <c r="M18" s="406">
        <v>1.0309801929913665</v>
      </c>
      <c r="N18" s="407">
        <v>1095.4075000000105</v>
      </c>
      <c r="O18" s="405">
        <v>4.5999999999999996</v>
      </c>
      <c r="P18" s="406">
        <v>2.1238284315988735E-2</v>
      </c>
      <c r="Q18" s="408">
        <v>6.7100000000000648</v>
      </c>
      <c r="R18" s="406">
        <v>3.0980192991366479E-2</v>
      </c>
      <c r="S18" s="405">
        <v>1095.4075000000105</v>
      </c>
      <c r="T18" s="403" t="s">
        <v>345</v>
      </c>
      <c r="U18" s="409" t="s">
        <v>692</v>
      </c>
      <c r="V18" s="476" t="s">
        <v>921</v>
      </c>
      <c r="W18" s="476" t="s">
        <v>922</v>
      </c>
      <c r="X18" s="410">
        <v>1</v>
      </c>
      <c r="Y18" s="411" t="s">
        <v>687</v>
      </c>
      <c r="AB18" s="415">
        <v>6</v>
      </c>
      <c r="AC18" s="418" t="s">
        <v>213</v>
      </c>
    </row>
    <row r="19" spans="2:29" s="415" customFormat="1" ht="27" customHeight="1">
      <c r="B19" s="835"/>
      <c r="C19" s="836"/>
      <c r="D19" s="403">
        <v>13</v>
      </c>
      <c r="E19" s="404" t="s">
        <v>708</v>
      </c>
      <c r="F19" s="405">
        <v>745.35900000000015</v>
      </c>
      <c r="G19" s="405">
        <v>391.87200000000001</v>
      </c>
      <c r="H19" s="405">
        <v>402.7</v>
      </c>
      <c r="I19" s="406">
        <v>1.0276314715008983</v>
      </c>
      <c r="J19" s="405">
        <v>0</v>
      </c>
      <c r="K19" s="406">
        <v>0</v>
      </c>
      <c r="L19" s="405">
        <v>122.19</v>
      </c>
      <c r="M19" s="406">
        <v>1.0276314715008983</v>
      </c>
      <c r="N19" s="407">
        <v>1323.0733199999968</v>
      </c>
      <c r="O19" s="405">
        <v>6.1</v>
      </c>
      <c r="P19" s="406">
        <v>1.5566307365670421E-2</v>
      </c>
      <c r="Q19" s="408">
        <v>10.827999999999975</v>
      </c>
      <c r="R19" s="406">
        <v>2.7631471500898185E-2</v>
      </c>
      <c r="S19" s="405">
        <v>1323.0733199999968</v>
      </c>
      <c r="T19" s="409" t="s">
        <v>354</v>
      </c>
      <c r="U19" s="409" t="s">
        <v>431</v>
      </c>
      <c r="V19" s="476" t="s">
        <v>923</v>
      </c>
      <c r="W19" s="476" t="s">
        <v>924</v>
      </c>
      <c r="X19" s="410">
        <v>1</v>
      </c>
      <c r="Y19" s="411" t="s">
        <v>706</v>
      </c>
      <c r="AB19" s="415">
        <v>7</v>
      </c>
      <c r="AC19" s="418" t="s">
        <v>747</v>
      </c>
    </row>
    <row r="20" spans="2:29" s="415" customFormat="1" ht="27" customHeight="1">
      <c r="B20" s="835"/>
      <c r="C20" s="836"/>
      <c r="D20" s="403">
        <v>14</v>
      </c>
      <c r="E20" s="404" t="s">
        <v>925</v>
      </c>
      <c r="F20" s="405">
        <v>736.42600000000004</v>
      </c>
      <c r="G20" s="405">
        <v>105.768</v>
      </c>
      <c r="H20" s="405">
        <v>109.89999999999999</v>
      </c>
      <c r="I20" s="406">
        <v>1.0390666364117691</v>
      </c>
      <c r="J20" s="405">
        <v>0</v>
      </c>
      <c r="K20" s="406">
        <v>0</v>
      </c>
      <c r="L20" s="405">
        <v>253.94</v>
      </c>
      <c r="M20" s="406">
        <v>1.0390666364117691</v>
      </c>
      <c r="N20" s="407">
        <v>1049.2800799999977</v>
      </c>
      <c r="O20" s="405">
        <v>2.9000000000000004</v>
      </c>
      <c r="P20" s="406">
        <v>2.7418500869828305E-2</v>
      </c>
      <c r="Q20" s="408">
        <v>4.1319999999999908</v>
      </c>
      <c r="R20" s="406">
        <v>3.9066636411769065E-2</v>
      </c>
      <c r="S20" s="405">
        <v>1049.2800799999977</v>
      </c>
      <c r="T20" s="409" t="s">
        <v>345</v>
      </c>
      <c r="U20" s="409" t="s">
        <v>692</v>
      </c>
      <c r="V20" s="476" t="s">
        <v>926</v>
      </c>
      <c r="W20" s="476" t="s">
        <v>927</v>
      </c>
      <c r="X20" s="410">
        <v>1</v>
      </c>
      <c r="Y20" s="411" t="s">
        <v>417</v>
      </c>
      <c r="AB20" s="415">
        <v>8</v>
      </c>
      <c r="AC20" s="419" t="s">
        <v>748</v>
      </c>
    </row>
    <row r="21" spans="2:29" s="415" customFormat="1" ht="27" customHeight="1">
      <c r="B21" s="835"/>
      <c r="C21" s="836"/>
      <c r="D21" s="403">
        <v>15</v>
      </c>
      <c r="E21" s="404" t="s">
        <v>437</v>
      </c>
      <c r="F21" s="405">
        <v>735.87800000000016</v>
      </c>
      <c r="G21" s="405">
        <v>339.404</v>
      </c>
      <c r="H21" s="405">
        <v>343</v>
      </c>
      <c r="I21" s="406">
        <v>1.0105950430755088</v>
      </c>
      <c r="J21" s="405">
        <v>1.1000000000000001</v>
      </c>
      <c r="K21" s="406">
        <v>3.2409753568019236E-3</v>
      </c>
      <c r="L21" s="405">
        <v>334.49</v>
      </c>
      <c r="M21" s="406">
        <v>1.0138360184323107</v>
      </c>
      <c r="N21" s="407">
        <v>1202.8260400000013</v>
      </c>
      <c r="O21" s="405">
        <v>2.2000000000000002</v>
      </c>
      <c r="P21" s="406">
        <v>6.4819507136038472E-3</v>
      </c>
      <c r="Q21" s="408">
        <v>4.6960000000000264</v>
      </c>
      <c r="R21" s="406">
        <v>1.3836018432310835E-2</v>
      </c>
      <c r="S21" s="405">
        <v>1570.7650400000089</v>
      </c>
      <c r="T21" s="409" t="s">
        <v>345</v>
      </c>
      <c r="U21" s="409" t="s">
        <v>795</v>
      </c>
      <c r="V21" s="476" t="s">
        <v>918</v>
      </c>
      <c r="W21" s="476" t="s">
        <v>919</v>
      </c>
      <c r="X21" s="410">
        <v>1</v>
      </c>
      <c r="Y21" s="411" t="s">
        <v>396</v>
      </c>
      <c r="AC21" s="418"/>
    </row>
    <row r="22" spans="2:29" s="415" customFormat="1" ht="27" customHeight="1">
      <c r="B22" s="835"/>
      <c r="C22" s="836"/>
      <c r="D22" s="403">
        <v>16</v>
      </c>
      <c r="E22" s="404" t="s">
        <v>928</v>
      </c>
      <c r="F22" s="405">
        <v>731.85000000000014</v>
      </c>
      <c r="G22" s="405">
        <v>1227.74</v>
      </c>
      <c r="H22" s="405">
        <v>1234.5999999999999</v>
      </c>
      <c r="I22" s="406">
        <v>1.0055875022398879</v>
      </c>
      <c r="J22" s="405">
        <v>0</v>
      </c>
      <c r="K22" s="406">
        <v>0</v>
      </c>
      <c r="L22" s="405">
        <v>178.5</v>
      </c>
      <c r="M22" s="406">
        <v>1.0055875022398879</v>
      </c>
      <c r="N22" s="407">
        <v>1224.509999999982</v>
      </c>
      <c r="O22" s="405">
        <v>4.1000000000000005</v>
      </c>
      <c r="P22" s="406">
        <v>3.3394692687376808E-3</v>
      </c>
      <c r="Q22" s="408">
        <v>6.8599999999999</v>
      </c>
      <c r="R22" s="406">
        <v>5.5875022398878425E-3</v>
      </c>
      <c r="S22" s="405">
        <v>1224.509999999982</v>
      </c>
      <c r="T22" s="409" t="s">
        <v>345</v>
      </c>
      <c r="U22" s="409" t="s">
        <v>692</v>
      </c>
      <c r="V22" s="476" t="s">
        <v>926</v>
      </c>
      <c r="W22" s="476" t="s">
        <v>927</v>
      </c>
      <c r="X22" s="410">
        <v>1</v>
      </c>
      <c r="Y22" s="411" t="s">
        <v>929</v>
      </c>
      <c r="AC22" s="418"/>
    </row>
    <row r="23" spans="2:29" s="415" customFormat="1" ht="27" customHeight="1">
      <c r="B23" s="835"/>
      <c r="C23" s="836"/>
      <c r="D23" s="403">
        <v>17</v>
      </c>
      <c r="E23" s="404" t="s">
        <v>930</v>
      </c>
      <c r="F23" s="405">
        <v>718.56</v>
      </c>
      <c r="G23" s="405">
        <v>142.19400000000002</v>
      </c>
      <c r="H23" s="405">
        <v>145.80000000000001</v>
      </c>
      <c r="I23" s="406">
        <v>1.0253597198194015</v>
      </c>
      <c r="J23" s="405">
        <v>0</v>
      </c>
      <c r="K23" s="406">
        <v>0</v>
      </c>
      <c r="L23" s="405">
        <v>359.28</v>
      </c>
      <c r="M23" s="406">
        <v>1.0253597198194015</v>
      </c>
      <c r="N23" s="407">
        <v>1295.5636799999979</v>
      </c>
      <c r="O23" s="405">
        <v>2</v>
      </c>
      <c r="P23" s="406">
        <v>1.4065291081198923E-2</v>
      </c>
      <c r="Q23" s="408">
        <v>3.6059999999999945</v>
      </c>
      <c r="R23" s="406">
        <v>2.5359719819401622E-2</v>
      </c>
      <c r="S23" s="405">
        <v>1295.5636799999979</v>
      </c>
      <c r="T23" s="409" t="s">
        <v>345</v>
      </c>
      <c r="U23" s="409" t="s">
        <v>692</v>
      </c>
      <c r="V23" s="476" t="s">
        <v>926</v>
      </c>
      <c r="W23" s="476" t="s">
        <v>927</v>
      </c>
      <c r="X23" s="410">
        <v>1</v>
      </c>
      <c r="Y23" s="411" t="s">
        <v>816</v>
      </c>
      <c r="AB23" s="420">
        <v>1</v>
      </c>
      <c r="AC23" s="418" t="s">
        <v>354</v>
      </c>
    </row>
    <row r="24" spans="2:29" s="415" customFormat="1" ht="27" customHeight="1">
      <c r="B24" s="835"/>
      <c r="C24" s="836"/>
      <c r="D24" s="403">
        <v>18</v>
      </c>
      <c r="E24" s="404" t="s">
        <v>931</v>
      </c>
      <c r="F24" s="405">
        <v>714</v>
      </c>
      <c r="G24" s="405">
        <v>568.20000000000005</v>
      </c>
      <c r="H24" s="405">
        <v>574.79999999999995</v>
      </c>
      <c r="I24" s="406">
        <v>1.0116156282998943</v>
      </c>
      <c r="J24" s="405">
        <v>0</v>
      </c>
      <c r="K24" s="406">
        <v>0</v>
      </c>
      <c r="L24" s="405">
        <v>178.5</v>
      </c>
      <c r="M24" s="406">
        <v>1.0116156282998943</v>
      </c>
      <c r="N24" s="407">
        <v>1178.0999999999838</v>
      </c>
      <c r="O24" s="405">
        <v>4</v>
      </c>
      <c r="P24" s="406">
        <v>7.0397747272087285E-3</v>
      </c>
      <c r="Q24" s="408">
        <v>6.5999999999999091</v>
      </c>
      <c r="R24" s="406">
        <v>1.1615628299894242E-2</v>
      </c>
      <c r="S24" s="405">
        <v>1178.0999999999838</v>
      </c>
      <c r="T24" s="409" t="s">
        <v>345</v>
      </c>
      <c r="U24" s="409" t="s">
        <v>795</v>
      </c>
      <c r="V24" s="476" t="s">
        <v>926</v>
      </c>
      <c r="W24" s="476" t="s">
        <v>927</v>
      </c>
      <c r="X24" s="410">
        <v>1</v>
      </c>
      <c r="Y24" s="411" t="s">
        <v>368</v>
      </c>
      <c r="AB24" s="415">
        <v>2</v>
      </c>
      <c r="AC24" s="418" t="s">
        <v>435</v>
      </c>
    </row>
    <row r="25" spans="2:29" s="415" customFormat="1" ht="27" customHeight="1">
      <c r="B25" s="835"/>
      <c r="C25" s="836"/>
      <c r="D25" s="403">
        <v>19</v>
      </c>
      <c r="E25" s="404" t="s">
        <v>798</v>
      </c>
      <c r="F25" s="405">
        <v>713.98900000000003</v>
      </c>
      <c r="G25" s="405">
        <v>147.78399999999999</v>
      </c>
      <c r="H25" s="405">
        <v>151.79999999999998</v>
      </c>
      <c r="I25" s="406">
        <v>1.027174795647702</v>
      </c>
      <c r="J25" s="405">
        <v>0</v>
      </c>
      <c r="K25" s="406">
        <v>0</v>
      </c>
      <c r="L25" s="405">
        <v>310.43</v>
      </c>
      <c r="M25" s="406">
        <v>1.027174795647702</v>
      </c>
      <c r="N25" s="407">
        <v>1246.6868799999972</v>
      </c>
      <c r="O25" s="405">
        <v>2.2999999999999998</v>
      </c>
      <c r="P25" s="406">
        <v>1.5563254479510636E-2</v>
      </c>
      <c r="Q25" s="408">
        <v>4.0159999999999911</v>
      </c>
      <c r="R25" s="406">
        <v>2.7174795647701994E-2</v>
      </c>
      <c r="S25" s="405">
        <v>1246.6868799999972</v>
      </c>
      <c r="T25" s="409" t="s">
        <v>345</v>
      </c>
      <c r="U25" s="409" t="s">
        <v>795</v>
      </c>
      <c r="V25" s="476" t="s">
        <v>918</v>
      </c>
      <c r="W25" s="476" t="s">
        <v>919</v>
      </c>
      <c r="X25" s="410">
        <v>1</v>
      </c>
      <c r="Y25" s="411" t="s">
        <v>346</v>
      </c>
      <c r="AB25" s="421">
        <v>3</v>
      </c>
      <c r="AC25" s="418" t="s">
        <v>345</v>
      </c>
    </row>
    <row r="26" spans="2:29" s="415" customFormat="1" ht="27" customHeight="1">
      <c r="B26" s="837"/>
      <c r="C26" s="838"/>
      <c r="D26" s="403">
        <v>20</v>
      </c>
      <c r="E26" s="404" t="s">
        <v>797</v>
      </c>
      <c r="F26" s="405">
        <v>713.6400000000001</v>
      </c>
      <c r="G26" s="405">
        <v>264.846</v>
      </c>
      <c r="H26" s="405">
        <v>269.2</v>
      </c>
      <c r="I26" s="406">
        <v>1.016439742340832</v>
      </c>
      <c r="J26" s="405">
        <v>0</v>
      </c>
      <c r="K26" s="406">
        <v>0</v>
      </c>
      <c r="L26" s="405">
        <v>297.35000000000002</v>
      </c>
      <c r="M26" s="406">
        <v>1.016439742340832</v>
      </c>
      <c r="N26" s="407">
        <v>1294.6618999999957</v>
      </c>
      <c r="O26" s="405">
        <v>2.4000000000000004</v>
      </c>
      <c r="P26" s="406">
        <v>9.0618699168573454E-3</v>
      </c>
      <c r="Q26" s="408">
        <v>4.353999999999985</v>
      </c>
      <c r="R26" s="406">
        <v>1.6439742340831974E-2</v>
      </c>
      <c r="S26" s="405">
        <v>1294.6618999999957</v>
      </c>
      <c r="T26" s="409" t="s">
        <v>347</v>
      </c>
      <c r="U26" s="409" t="s">
        <v>212</v>
      </c>
      <c r="V26" s="476" t="s">
        <v>912</v>
      </c>
      <c r="W26" s="476" t="s">
        <v>774</v>
      </c>
      <c r="X26" s="410">
        <v>1</v>
      </c>
      <c r="Y26" s="411" t="s">
        <v>393</v>
      </c>
      <c r="AB26" s="421">
        <v>4</v>
      </c>
      <c r="AC26" s="418" t="s">
        <v>347</v>
      </c>
    </row>
    <row r="27" spans="2:29" ht="29.45" customHeight="1">
      <c r="C27" s="839"/>
      <c r="AB27" s="415"/>
      <c r="AC27" s="418"/>
    </row>
    <row r="28" spans="2:29">
      <c r="C28" s="839"/>
    </row>
    <row r="29" spans="2:29">
      <c r="C29" s="839"/>
    </row>
    <row r="30" spans="2:29">
      <c r="C30" s="839"/>
    </row>
    <row r="31" spans="2:29">
      <c r="C31" s="839"/>
    </row>
    <row r="32" spans="2:29">
      <c r="C32" s="839"/>
    </row>
    <row r="33" spans="3:3">
      <c r="C33" s="839"/>
    </row>
    <row r="34" spans="3:3">
      <c r="C34" s="839"/>
    </row>
    <row r="35" spans="3:3">
      <c r="C35" s="839"/>
    </row>
    <row r="36" spans="3:3">
      <c r="C36" s="839"/>
    </row>
    <row r="67" ht="14.1" customHeight="1"/>
    <row r="77" ht="14.1" customHeight="1"/>
    <row r="87" ht="14.1" customHeight="1"/>
    <row r="112" spans="26:26">
      <c r="Z112" s="422" t="s">
        <v>749</v>
      </c>
    </row>
    <row r="113" spans="26:26">
      <c r="Z113" s="415" t="s">
        <v>750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G39" sqref="G39"/>
      <selection pane="topRight" activeCell="G39" sqref="G39"/>
      <selection pane="bottomLeft" activeCell="G39" sqref="G39"/>
      <selection pane="bottomRight" activeCell="E7" sqref="E7"/>
    </sheetView>
  </sheetViews>
  <sheetFormatPr defaultColWidth="8.85546875" defaultRowHeight="16.5"/>
  <cols>
    <col min="1" max="1" width="8.85546875" style="399"/>
    <col min="2" max="2" width="12.42578125" style="399" customWidth="1"/>
    <col min="3" max="3" width="8.85546875" style="399"/>
    <col min="4" max="4" width="11.5703125" style="399" customWidth="1"/>
    <col min="5" max="5" width="39.28515625" style="399" bestFit="1" customWidth="1"/>
    <col min="6" max="6" width="13.42578125" style="399" bestFit="1" customWidth="1"/>
    <col min="7" max="7" width="14.140625" style="399" customWidth="1"/>
    <col min="8" max="8" width="14" style="399" customWidth="1"/>
    <col min="9" max="9" width="16.85546875" style="399" customWidth="1"/>
    <col min="10" max="10" width="14" style="399" customWidth="1"/>
    <col min="11" max="11" width="11.7109375" style="399" bestFit="1" customWidth="1"/>
    <col min="12" max="12" width="13.42578125" style="399" bestFit="1" customWidth="1"/>
    <col min="13" max="13" width="19.28515625" style="399" bestFit="1" customWidth="1"/>
    <col min="14" max="14" width="15.42578125" style="399" bestFit="1" customWidth="1"/>
    <col min="15" max="15" width="12.7109375" style="399" bestFit="1" customWidth="1"/>
    <col min="16" max="16" width="9.85546875" style="399" bestFit="1" customWidth="1"/>
    <col min="17" max="17" width="12.28515625" style="399" bestFit="1" customWidth="1"/>
    <col min="18" max="18" width="10.7109375" style="399" customWidth="1"/>
    <col min="19" max="19" width="10.7109375" style="399" bestFit="1" customWidth="1"/>
    <col min="20" max="20" width="12.42578125" style="399" bestFit="1" customWidth="1"/>
    <col min="21" max="21" width="25.28515625" style="399" bestFit="1" customWidth="1"/>
    <col min="22" max="23" width="88.28515625" style="399" customWidth="1"/>
    <col min="24" max="24" width="7.42578125" style="399" bestFit="1" customWidth="1"/>
    <col min="25" max="25" width="69.5703125" style="399" bestFit="1" customWidth="1"/>
    <col min="26" max="26" width="11.42578125" style="399" bestFit="1" customWidth="1"/>
    <col min="27" max="27" width="21.5703125" style="399" customWidth="1"/>
    <col min="28" max="28" width="19.42578125" style="399" bestFit="1" customWidth="1"/>
    <col min="29" max="34" width="14.42578125" style="399" customWidth="1"/>
    <col min="35" max="35" width="11.42578125" style="399" bestFit="1" customWidth="1"/>
    <col min="36" max="16384" width="8.85546875" style="399"/>
  </cols>
  <sheetData>
    <row r="2" spans="2:35" ht="41.1" customHeight="1">
      <c r="B2" s="844" t="s">
        <v>751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  <c r="Q2" s="845"/>
      <c r="R2" s="845"/>
      <c r="S2" s="845"/>
      <c r="T2" s="845"/>
      <c r="U2" s="845"/>
      <c r="V2" s="845"/>
      <c r="W2" s="845"/>
      <c r="X2" s="845"/>
      <c r="Y2" s="845"/>
      <c r="AA2" s="400"/>
      <c r="AB2" s="400"/>
    </row>
    <row r="3" spans="2:35" ht="17.100000000000001" customHeight="1">
      <c r="B3" s="846" t="s">
        <v>725</v>
      </c>
      <c r="C3" s="847"/>
      <c r="D3" s="840" t="s">
        <v>168</v>
      </c>
      <c r="E3" s="840"/>
      <c r="F3" s="840"/>
      <c r="G3" s="840" t="s">
        <v>182</v>
      </c>
      <c r="H3" s="840"/>
      <c r="I3" s="840"/>
      <c r="J3" s="840"/>
      <c r="K3" s="840"/>
      <c r="L3" s="840"/>
      <c r="M3" s="840"/>
      <c r="N3" s="840"/>
      <c r="O3" s="840"/>
      <c r="P3" s="840"/>
      <c r="Q3" s="840"/>
      <c r="R3" s="840"/>
      <c r="S3" s="840"/>
      <c r="T3" s="840" t="s">
        <v>169</v>
      </c>
      <c r="U3" s="852" t="s">
        <v>726</v>
      </c>
      <c r="V3" s="861" t="s">
        <v>752</v>
      </c>
      <c r="W3" s="861" t="s">
        <v>728</v>
      </c>
      <c r="X3" s="858" t="s">
        <v>753</v>
      </c>
      <c r="Y3" s="842" t="s">
        <v>170</v>
      </c>
      <c r="AA3" s="840" t="s">
        <v>754</v>
      </c>
      <c r="AB3" s="840"/>
      <c r="AC3" s="840"/>
      <c r="AD3" s="840"/>
      <c r="AE3" s="840"/>
      <c r="AF3" s="840"/>
      <c r="AG3" s="840"/>
      <c r="AH3" s="840"/>
      <c r="AI3" s="840"/>
    </row>
    <row r="4" spans="2:35" ht="17.100000000000001" customHeight="1">
      <c r="B4" s="848"/>
      <c r="C4" s="849"/>
      <c r="D4" s="841" t="s">
        <v>167</v>
      </c>
      <c r="E4" s="840" t="s">
        <v>171</v>
      </c>
      <c r="F4" s="840"/>
      <c r="G4" s="840" t="s">
        <v>183</v>
      </c>
      <c r="H4" s="840"/>
      <c r="I4" s="840"/>
      <c r="J4" s="840"/>
      <c r="K4" s="840"/>
      <c r="L4" s="840"/>
      <c r="M4" s="840"/>
      <c r="N4" s="840"/>
      <c r="O4" s="840" t="s">
        <v>172</v>
      </c>
      <c r="P4" s="840"/>
      <c r="Q4" s="840"/>
      <c r="R4" s="840"/>
      <c r="S4" s="840"/>
      <c r="T4" s="840"/>
      <c r="U4" s="853"/>
      <c r="V4" s="859"/>
      <c r="W4" s="862"/>
      <c r="X4" s="859"/>
      <c r="Y4" s="842"/>
      <c r="AA4" s="840"/>
      <c r="AB4" s="840"/>
      <c r="AC4" s="840"/>
      <c r="AD4" s="840"/>
      <c r="AE4" s="840"/>
      <c r="AF4" s="840"/>
      <c r="AG4" s="840"/>
      <c r="AH4" s="840"/>
      <c r="AI4" s="840"/>
    </row>
    <row r="5" spans="2:35" ht="17.100000000000001" customHeight="1">
      <c r="B5" s="848"/>
      <c r="C5" s="849"/>
      <c r="D5" s="841"/>
      <c r="E5" s="841" t="s">
        <v>173</v>
      </c>
      <c r="F5" s="842" t="s">
        <v>814</v>
      </c>
      <c r="G5" s="843" t="s">
        <v>184</v>
      </c>
      <c r="H5" s="843"/>
      <c r="I5" s="843"/>
      <c r="J5" s="843"/>
      <c r="K5" s="843"/>
      <c r="L5" s="843"/>
      <c r="M5" s="843"/>
      <c r="N5" s="843"/>
      <c r="O5" s="843" t="s">
        <v>166</v>
      </c>
      <c r="P5" s="843"/>
      <c r="Q5" s="843" t="s">
        <v>174</v>
      </c>
      <c r="R5" s="843"/>
      <c r="S5" s="843"/>
      <c r="T5" s="840"/>
      <c r="U5" s="853"/>
      <c r="V5" s="859"/>
      <c r="W5" s="862"/>
      <c r="X5" s="859"/>
      <c r="Y5" s="842"/>
      <c r="AA5" s="840"/>
      <c r="AB5" s="840"/>
      <c r="AC5" s="840"/>
      <c r="AD5" s="840"/>
      <c r="AE5" s="840"/>
      <c r="AF5" s="840"/>
      <c r="AG5" s="840"/>
      <c r="AH5" s="840"/>
      <c r="AI5" s="840"/>
    </row>
    <row r="6" spans="2:35" ht="38.450000000000003" customHeight="1">
      <c r="B6" s="850"/>
      <c r="C6" s="851"/>
      <c r="D6" s="841"/>
      <c r="E6" s="841"/>
      <c r="F6" s="842"/>
      <c r="G6" s="401" t="s">
        <v>175</v>
      </c>
      <c r="H6" s="401" t="s">
        <v>755</v>
      </c>
      <c r="I6" s="401" t="s">
        <v>756</v>
      </c>
      <c r="J6" s="401" t="s">
        <v>176</v>
      </c>
      <c r="K6" s="401" t="s">
        <v>757</v>
      </c>
      <c r="L6" s="401" t="s">
        <v>177</v>
      </c>
      <c r="M6" s="401" t="s">
        <v>185</v>
      </c>
      <c r="N6" s="401" t="s">
        <v>178</v>
      </c>
      <c r="O6" s="402" t="s">
        <v>179</v>
      </c>
      <c r="P6" s="402" t="s">
        <v>180</v>
      </c>
      <c r="Q6" s="402" t="s">
        <v>179</v>
      </c>
      <c r="R6" s="402" t="s">
        <v>180</v>
      </c>
      <c r="S6" s="401" t="s">
        <v>181</v>
      </c>
      <c r="T6" s="840"/>
      <c r="U6" s="854"/>
      <c r="V6" s="860"/>
      <c r="W6" s="863"/>
      <c r="X6" s="860"/>
      <c r="Y6" s="842"/>
      <c r="AA6" s="228" t="s">
        <v>758</v>
      </c>
      <c r="AB6" s="228" t="s">
        <v>703</v>
      </c>
      <c r="AC6" s="389" t="s">
        <v>759</v>
      </c>
      <c r="AD6" s="389" t="s">
        <v>705</v>
      </c>
      <c r="AE6" s="389" t="s">
        <v>760</v>
      </c>
      <c r="AF6" s="389" t="s">
        <v>761</v>
      </c>
      <c r="AG6" s="389" t="s">
        <v>762</v>
      </c>
      <c r="AH6" s="389" t="s">
        <v>711</v>
      </c>
      <c r="AI6" s="389" t="s">
        <v>763</v>
      </c>
    </row>
    <row r="7" spans="2:35" s="415" customFormat="1" ht="27" customHeight="1">
      <c r="B7" s="833" t="s">
        <v>813</v>
      </c>
      <c r="C7" s="834"/>
      <c r="D7" s="403">
        <v>1</v>
      </c>
      <c r="E7" s="404" t="s">
        <v>611</v>
      </c>
      <c r="F7" s="405">
        <v>4640.3007999999727</v>
      </c>
      <c r="G7" s="405">
        <v>399.93200000000007</v>
      </c>
      <c r="H7" s="405">
        <v>409.09999999999997</v>
      </c>
      <c r="I7" s="406">
        <v>1.0229238970625003</v>
      </c>
      <c r="J7" s="405">
        <v>6.8000000000000007</v>
      </c>
      <c r="K7" s="406">
        <v>1.7002890491383534E-2</v>
      </c>
      <c r="L7" s="405">
        <v>290.60000000000002</v>
      </c>
      <c r="M7" s="406">
        <v>1.039926787553884</v>
      </c>
      <c r="N7" s="407">
        <v>2664.2207999999691</v>
      </c>
      <c r="O7" s="405">
        <v>1.3</v>
      </c>
      <c r="P7" s="406">
        <v>3.2505525939409696E-3</v>
      </c>
      <c r="Q7" s="405">
        <v>377.78000000000003</v>
      </c>
      <c r="R7" s="408">
        <v>15.967999999999904</v>
      </c>
      <c r="S7" s="406">
        <v>3.9926787553883916E-2</v>
      </c>
      <c r="T7" s="409" t="s">
        <v>347</v>
      </c>
      <c r="U7" s="409" t="s">
        <v>212</v>
      </c>
      <c r="V7" s="476" t="s">
        <v>932</v>
      </c>
      <c r="W7" s="476" t="s">
        <v>933</v>
      </c>
      <c r="X7" s="410">
        <v>1</v>
      </c>
      <c r="Y7" s="411" t="s">
        <v>590</v>
      </c>
      <c r="Z7" s="412" t="s">
        <v>744</v>
      </c>
      <c r="AA7" s="413">
        <f>SUM(X7:X26)</f>
        <v>20</v>
      </c>
      <c r="AB7" s="414">
        <f>SUMIF($U$7:$U$26,TRIM(AB6),$X$7:$X$26)</f>
        <v>0</v>
      </c>
      <c r="AC7" s="414">
        <f>SUMIF($U$7:$U$26,TRIM(AC6),$X$7:$X$26)</f>
        <v>0</v>
      </c>
      <c r="AD7" s="414">
        <f t="shared" ref="AD7:AI7" ca="1" si="0">SUMIF($U$7:$U$9710,TRIM(AD6),$X$7:$X$26)</f>
        <v>1</v>
      </c>
      <c r="AE7" s="414">
        <f t="shared" ca="1" si="0"/>
        <v>1</v>
      </c>
      <c r="AF7" s="414">
        <f t="shared" ca="1" si="0"/>
        <v>6</v>
      </c>
      <c r="AG7" s="414">
        <f t="shared" ca="1" si="0"/>
        <v>3</v>
      </c>
      <c r="AH7" s="414">
        <f t="shared" ca="1" si="0"/>
        <v>1</v>
      </c>
      <c r="AI7" s="414">
        <f t="shared" ca="1" si="0"/>
        <v>0</v>
      </c>
    </row>
    <row r="8" spans="2:35" s="415" customFormat="1" ht="27" customHeight="1">
      <c r="B8" s="835"/>
      <c r="C8" s="836"/>
      <c r="D8" s="403">
        <v>2</v>
      </c>
      <c r="E8" s="404" t="s">
        <v>358</v>
      </c>
      <c r="F8" s="405">
        <v>2913.9727800000405</v>
      </c>
      <c r="G8" s="405">
        <v>600.28700000000003</v>
      </c>
      <c r="H8" s="405">
        <v>605.80000000000007</v>
      </c>
      <c r="I8" s="406">
        <v>1.0091839403485334</v>
      </c>
      <c r="J8" s="405">
        <v>0.2</v>
      </c>
      <c r="K8" s="406">
        <v>3.3317396512001757E-4</v>
      </c>
      <c r="L8" s="405">
        <v>510.06</v>
      </c>
      <c r="M8" s="406">
        <v>1.0095171143136534</v>
      </c>
      <c r="N8" s="407">
        <v>2811.9607800000172</v>
      </c>
      <c r="O8" s="405">
        <v>1.5</v>
      </c>
      <c r="P8" s="406">
        <v>2.4988047384001317E-3</v>
      </c>
      <c r="Q8" s="405">
        <v>765.08999999999992</v>
      </c>
      <c r="R8" s="408">
        <v>5.7130000000000791</v>
      </c>
      <c r="S8" s="406">
        <v>9.5171143136534332E-3</v>
      </c>
      <c r="T8" s="416" t="s">
        <v>347</v>
      </c>
      <c r="U8" s="409" t="s">
        <v>213</v>
      </c>
      <c r="V8" s="476" t="s">
        <v>934</v>
      </c>
      <c r="W8" s="477" t="s">
        <v>935</v>
      </c>
      <c r="X8" s="410">
        <v>1</v>
      </c>
      <c r="Y8" s="411" t="s">
        <v>356</v>
      </c>
      <c r="AA8" s="413"/>
      <c r="AB8" s="417">
        <f>SUMIF($U$7:$U$26,TRIM(AB6),$F$7:$F$26)</f>
        <v>0</v>
      </c>
      <c r="AC8" s="417">
        <f>SUMIF($U$7:$U$26,TRIM(AC6),$F$7:$F$26)</f>
        <v>0</v>
      </c>
      <c r="AD8" s="417">
        <f t="shared" ref="AD8:AI8" ca="1" si="1">SUMIF($U$7:$U$176,TRIM(AD6),$F$7:$F$26)</f>
        <v>1469.4198399999916</v>
      </c>
      <c r="AE8" s="417">
        <f t="shared" ca="1" si="1"/>
        <v>1558.9629950819638</v>
      </c>
      <c r="AF8" s="417">
        <f t="shared" ca="1" si="1"/>
        <v>13582.200909999989</v>
      </c>
      <c r="AG8" s="417">
        <f t="shared" ca="1" si="1"/>
        <v>6241.1418200000462</v>
      </c>
      <c r="AH8" s="417">
        <f t="shared" ca="1" si="1"/>
        <v>1468.1520000000035</v>
      </c>
      <c r="AI8" s="417">
        <f t="shared" ca="1" si="1"/>
        <v>0</v>
      </c>
    </row>
    <row r="9" spans="2:35" s="415" customFormat="1" ht="27" customHeight="1">
      <c r="B9" s="835"/>
      <c r="C9" s="836"/>
      <c r="D9" s="403">
        <v>3</v>
      </c>
      <c r="E9" s="404" t="s">
        <v>433</v>
      </c>
      <c r="F9" s="405">
        <v>2145.7846500000078</v>
      </c>
      <c r="G9" s="405">
        <v>516.49499999999989</v>
      </c>
      <c r="H9" s="405">
        <v>521.29999999999995</v>
      </c>
      <c r="I9" s="406">
        <v>1.0093030910270189</v>
      </c>
      <c r="J9" s="405">
        <v>0.3</v>
      </c>
      <c r="K9" s="406">
        <v>5.8083814944965596E-4</v>
      </c>
      <c r="L9" s="405">
        <v>420.33</v>
      </c>
      <c r="M9" s="406">
        <v>1.0098839291764683</v>
      </c>
      <c r="N9" s="407">
        <v>2019.6856500000267</v>
      </c>
      <c r="O9" s="405">
        <v>2.5</v>
      </c>
      <c r="P9" s="406">
        <v>4.8403179120804661E-3</v>
      </c>
      <c r="Q9" s="405">
        <v>1050.825</v>
      </c>
      <c r="R9" s="408">
        <v>5.1050000000000182</v>
      </c>
      <c r="S9" s="406">
        <v>9.8839291764683482E-3</v>
      </c>
      <c r="T9" s="403" t="s">
        <v>347</v>
      </c>
      <c r="U9" s="409" t="s">
        <v>212</v>
      </c>
      <c r="V9" s="476" t="s">
        <v>932</v>
      </c>
      <c r="W9" s="476" t="s">
        <v>919</v>
      </c>
      <c r="X9" s="410">
        <v>1</v>
      </c>
      <c r="Y9" s="411" t="s">
        <v>404</v>
      </c>
    </row>
    <row r="10" spans="2:35" s="415" customFormat="1" ht="27" customHeight="1">
      <c r="B10" s="835"/>
      <c r="C10" s="836"/>
      <c r="D10" s="403">
        <v>4</v>
      </c>
      <c r="E10" s="404" t="s">
        <v>360</v>
      </c>
      <c r="F10" s="405">
        <v>2029.1550400000133</v>
      </c>
      <c r="G10" s="405">
        <v>143.01299999999998</v>
      </c>
      <c r="H10" s="405">
        <v>145.30000000000001</v>
      </c>
      <c r="I10" s="406">
        <v>1.0159915532154422</v>
      </c>
      <c r="J10" s="405">
        <v>1.2</v>
      </c>
      <c r="K10" s="406">
        <v>8.3908455874640783E-3</v>
      </c>
      <c r="L10" s="405">
        <v>581.91999999999996</v>
      </c>
      <c r="M10" s="406">
        <v>1.0243823988029062</v>
      </c>
      <c r="N10" s="407">
        <v>1330.85104000002</v>
      </c>
      <c r="O10" s="405">
        <v>1.5</v>
      </c>
      <c r="P10" s="406">
        <v>1.0488556984330098E-2</v>
      </c>
      <c r="Q10" s="405">
        <v>872.88</v>
      </c>
      <c r="R10" s="408">
        <v>3.4870000000000232</v>
      </c>
      <c r="S10" s="406">
        <v>2.4382398802906196E-2</v>
      </c>
      <c r="T10" s="409" t="s">
        <v>347</v>
      </c>
      <c r="U10" s="409" t="s">
        <v>212</v>
      </c>
      <c r="V10" s="476" t="s">
        <v>932</v>
      </c>
      <c r="W10" s="476" t="s">
        <v>919</v>
      </c>
      <c r="X10" s="410">
        <v>1</v>
      </c>
      <c r="Y10" s="411" t="s">
        <v>361</v>
      </c>
    </row>
    <row r="11" spans="2:35" s="415" customFormat="1" ht="27" customHeight="1">
      <c r="B11" s="835"/>
      <c r="C11" s="836"/>
      <c r="D11" s="403">
        <v>5</v>
      </c>
      <c r="E11" s="404" t="s">
        <v>906</v>
      </c>
      <c r="F11" s="405">
        <v>1781.659799999996</v>
      </c>
      <c r="G11" s="405">
        <v>948.51</v>
      </c>
      <c r="H11" s="405">
        <v>954.4</v>
      </c>
      <c r="I11" s="406">
        <v>1.0062097394861413</v>
      </c>
      <c r="J11" s="405">
        <v>0.5</v>
      </c>
      <c r="K11" s="406">
        <v>5.2714257097974718E-4</v>
      </c>
      <c r="L11" s="405">
        <v>278.82</v>
      </c>
      <c r="M11" s="406">
        <v>1.0067368820571212</v>
      </c>
      <c r="N11" s="407">
        <v>1642.2497999999962</v>
      </c>
      <c r="O11" s="405">
        <v>2.8000000000000003</v>
      </c>
      <c r="P11" s="406">
        <v>2.9519983974865844E-3</v>
      </c>
      <c r="Q11" s="405">
        <v>780.69599999999991</v>
      </c>
      <c r="R11" s="408">
        <v>6.3899999999999864</v>
      </c>
      <c r="S11" s="406">
        <v>6.7368820571211546E-3</v>
      </c>
      <c r="T11" s="409" t="s">
        <v>345</v>
      </c>
      <c r="U11" s="409" t="s">
        <v>795</v>
      </c>
      <c r="V11" s="476" t="s">
        <v>936</v>
      </c>
      <c r="W11" s="476" t="s">
        <v>937</v>
      </c>
      <c r="X11" s="410">
        <v>1</v>
      </c>
      <c r="Y11" s="411" t="s">
        <v>818</v>
      </c>
    </row>
    <row r="12" spans="2:35" s="415" customFormat="1" ht="27" customHeight="1">
      <c r="B12" s="835"/>
      <c r="C12" s="836"/>
      <c r="D12" s="403">
        <v>6</v>
      </c>
      <c r="E12" s="404" t="s">
        <v>439</v>
      </c>
      <c r="F12" s="405">
        <v>1687.874720000005</v>
      </c>
      <c r="G12" s="405">
        <v>171.30600000000001</v>
      </c>
      <c r="H12" s="405">
        <v>175.10000000000002</v>
      </c>
      <c r="I12" s="406">
        <v>1.0221475021306903</v>
      </c>
      <c r="J12" s="405">
        <v>0</v>
      </c>
      <c r="K12" s="406">
        <v>0</v>
      </c>
      <c r="L12" s="405">
        <v>444.88</v>
      </c>
      <c r="M12" s="406">
        <v>1.0221475021306903</v>
      </c>
      <c r="N12" s="407">
        <v>1687.874720000005</v>
      </c>
      <c r="O12" s="405">
        <v>1.4</v>
      </c>
      <c r="P12" s="406">
        <v>8.1725100113247632E-3</v>
      </c>
      <c r="Q12" s="405">
        <v>622.83199999999999</v>
      </c>
      <c r="R12" s="408">
        <v>3.7940000000000111</v>
      </c>
      <c r="S12" s="406">
        <v>2.2147502130690173E-2</v>
      </c>
      <c r="T12" s="409" t="s">
        <v>347</v>
      </c>
      <c r="U12" s="409" t="s">
        <v>213</v>
      </c>
      <c r="V12" s="476" t="s">
        <v>934</v>
      </c>
      <c r="W12" s="477" t="s">
        <v>935</v>
      </c>
      <c r="X12" s="410">
        <v>1</v>
      </c>
      <c r="Y12" s="411" t="s">
        <v>438</v>
      </c>
    </row>
    <row r="13" spans="2:35" s="415" customFormat="1" ht="27" customHeight="1">
      <c r="B13" s="835"/>
      <c r="C13" s="836"/>
      <c r="D13" s="403">
        <v>7</v>
      </c>
      <c r="E13" s="404" t="s">
        <v>348</v>
      </c>
      <c r="F13" s="405">
        <v>1676.498880000001</v>
      </c>
      <c r="G13" s="405">
        <v>489.428</v>
      </c>
      <c r="H13" s="405">
        <v>493.6</v>
      </c>
      <c r="I13" s="406">
        <v>1.0085242364556177</v>
      </c>
      <c r="J13" s="405">
        <v>0.9</v>
      </c>
      <c r="K13" s="406">
        <v>1.8388813063412801E-3</v>
      </c>
      <c r="L13" s="405">
        <v>330.54</v>
      </c>
      <c r="M13" s="406">
        <v>1.010363117761959</v>
      </c>
      <c r="N13" s="407">
        <v>1379.0128800000084</v>
      </c>
      <c r="O13" s="405">
        <v>2.2999999999999998</v>
      </c>
      <c r="P13" s="406">
        <v>4.6993633384277153E-3</v>
      </c>
      <c r="Q13" s="405">
        <v>760.24200000000008</v>
      </c>
      <c r="R13" s="408">
        <v>5.0720000000000027</v>
      </c>
      <c r="S13" s="406">
        <v>1.0363117761958864E-2</v>
      </c>
      <c r="T13" s="403" t="s">
        <v>347</v>
      </c>
      <c r="U13" s="409" t="s">
        <v>212</v>
      </c>
      <c r="V13" s="476" t="s">
        <v>932</v>
      </c>
      <c r="W13" s="476" t="s">
        <v>919</v>
      </c>
      <c r="X13" s="410">
        <v>1</v>
      </c>
      <c r="Y13" s="411" t="s">
        <v>349</v>
      </c>
      <c r="AB13" s="415">
        <v>1</v>
      </c>
      <c r="AC13" s="418" t="s">
        <v>703</v>
      </c>
    </row>
    <row r="14" spans="2:35" s="415" customFormat="1" ht="27" customHeight="1">
      <c r="B14" s="835"/>
      <c r="C14" s="836"/>
      <c r="D14" s="403">
        <v>8</v>
      </c>
      <c r="E14" s="404" t="s">
        <v>432</v>
      </c>
      <c r="F14" s="405">
        <v>1639.2943200000004</v>
      </c>
      <c r="G14" s="405">
        <v>78.738</v>
      </c>
      <c r="H14" s="405">
        <v>80.5</v>
      </c>
      <c r="I14" s="406">
        <v>1.0223780131575606</v>
      </c>
      <c r="J14" s="405">
        <v>0</v>
      </c>
      <c r="K14" s="406">
        <v>0</v>
      </c>
      <c r="L14" s="405">
        <v>930.36</v>
      </c>
      <c r="M14" s="406">
        <v>1.0223780131575606</v>
      </c>
      <c r="N14" s="407">
        <v>1639.2943200000004</v>
      </c>
      <c r="O14" s="405">
        <v>0.6</v>
      </c>
      <c r="P14" s="406">
        <v>7.6202087937209473E-3</v>
      </c>
      <c r="Q14" s="405">
        <v>558.21600000000001</v>
      </c>
      <c r="R14" s="408">
        <v>1.7620000000000005</v>
      </c>
      <c r="S14" s="406">
        <v>2.2378013157560522E-2</v>
      </c>
      <c r="T14" s="409" t="s">
        <v>347</v>
      </c>
      <c r="U14" s="409" t="s">
        <v>213</v>
      </c>
      <c r="V14" s="476" t="s">
        <v>783</v>
      </c>
      <c r="W14" s="476" t="s">
        <v>774</v>
      </c>
      <c r="X14" s="410">
        <v>1</v>
      </c>
      <c r="Y14" s="411" t="s">
        <v>393</v>
      </c>
      <c r="AB14" s="415">
        <v>2</v>
      </c>
      <c r="AC14" s="418" t="s">
        <v>355</v>
      </c>
    </row>
    <row r="15" spans="2:35" s="415" customFormat="1" ht="27" customHeight="1">
      <c r="B15" s="835"/>
      <c r="C15" s="836"/>
      <c r="D15" s="403">
        <v>9</v>
      </c>
      <c r="E15" s="404" t="s">
        <v>897</v>
      </c>
      <c r="F15" s="405">
        <v>1614.5280000000103</v>
      </c>
      <c r="G15" s="405">
        <v>390</v>
      </c>
      <c r="H15" s="405">
        <v>389.8</v>
      </c>
      <c r="I15" s="406">
        <v>0.99948717948717947</v>
      </c>
      <c r="J15" s="405">
        <v>3.8000000000000003</v>
      </c>
      <c r="K15" s="406">
        <v>9.743589743589744E-3</v>
      </c>
      <c r="L15" s="405">
        <v>448.48</v>
      </c>
      <c r="M15" s="406">
        <v>1.0092307692307694</v>
      </c>
      <c r="N15" s="407">
        <v>-89.69599999999491</v>
      </c>
      <c r="O15" s="405">
        <v>0.9</v>
      </c>
      <c r="P15" s="406">
        <v>2.3076923076923079E-3</v>
      </c>
      <c r="Q15" s="405">
        <v>403.63200000000006</v>
      </c>
      <c r="R15" s="408">
        <v>3.6000000000000227</v>
      </c>
      <c r="S15" s="406">
        <v>9.2307692307692889E-3</v>
      </c>
      <c r="T15" s="409" t="s">
        <v>345</v>
      </c>
      <c r="U15" s="409" t="s">
        <v>795</v>
      </c>
      <c r="V15" s="476" t="s">
        <v>799</v>
      </c>
      <c r="W15" s="476" t="s">
        <v>800</v>
      </c>
      <c r="X15" s="410">
        <v>1</v>
      </c>
      <c r="Y15" s="411" t="s">
        <v>822</v>
      </c>
      <c r="AB15" s="415">
        <v>3</v>
      </c>
      <c r="AC15" s="418" t="s">
        <v>431</v>
      </c>
    </row>
    <row r="16" spans="2:35" s="415" customFormat="1" ht="27" customHeight="1">
      <c r="B16" s="835"/>
      <c r="C16" s="836"/>
      <c r="D16" s="403">
        <v>10</v>
      </c>
      <c r="E16" s="404" t="s">
        <v>437</v>
      </c>
      <c r="F16" s="405">
        <v>1570.7650400000089</v>
      </c>
      <c r="G16" s="405">
        <v>339.404</v>
      </c>
      <c r="H16" s="405">
        <v>343</v>
      </c>
      <c r="I16" s="406">
        <v>1.0105950430755088</v>
      </c>
      <c r="J16" s="405">
        <v>1.1000000000000001</v>
      </c>
      <c r="K16" s="406">
        <v>3.2409753568019236E-3</v>
      </c>
      <c r="L16" s="405">
        <v>334.49</v>
      </c>
      <c r="M16" s="406">
        <v>1.0138360184323107</v>
      </c>
      <c r="N16" s="407">
        <v>1202.8260400000013</v>
      </c>
      <c r="O16" s="405">
        <v>2.2000000000000002</v>
      </c>
      <c r="P16" s="406">
        <v>6.4819507136038472E-3</v>
      </c>
      <c r="Q16" s="405">
        <v>735.87800000000016</v>
      </c>
      <c r="R16" s="408">
        <v>4.6960000000000264</v>
      </c>
      <c r="S16" s="406">
        <v>1.3836018432310835E-2</v>
      </c>
      <c r="T16" s="409" t="s">
        <v>347</v>
      </c>
      <c r="U16" s="409" t="s">
        <v>212</v>
      </c>
      <c r="V16" s="476" t="s">
        <v>779</v>
      </c>
      <c r="W16" s="477" t="s">
        <v>774</v>
      </c>
      <c r="X16" s="410">
        <v>1</v>
      </c>
      <c r="Y16" s="411" t="s">
        <v>396</v>
      </c>
      <c r="AB16" s="415">
        <v>4</v>
      </c>
      <c r="AC16" s="418" t="s">
        <v>745</v>
      </c>
    </row>
    <row r="17" spans="2:29" s="415" customFormat="1" ht="27" customHeight="1">
      <c r="B17" s="835"/>
      <c r="C17" s="836"/>
      <c r="D17" s="403">
        <v>11</v>
      </c>
      <c r="E17" s="404" t="s">
        <v>434</v>
      </c>
      <c r="F17" s="405">
        <v>1565.3269199999706</v>
      </c>
      <c r="G17" s="405">
        <v>1130.0210000000002</v>
      </c>
      <c r="H17" s="405">
        <v>1142.3</v>
      </c>
      <c r="I17" s="406">
        <v>1.010866169743748</v>
      </c>
      <c r="J17" s="405">
        <v>0</v>
      </c>
      <c r="K17" s="406">
        <v>0</v>
      </c>
      <c r="L17" s="405">
        <v>127.48</v>
      </c>
      <c r="M17" s="406">
        <v>1.010866169743748</v>
      </c>
      <c r="N17" s="407">
        <v>1565.3269199999706</v>
      </c>
      <c r="O17" s="405">
        <v>6.4</v>
      </c>
      <c r="P17" s="406">
        <v>5.6636115612010741E-3</v>
      </c>
      <c r="Q17" s="405">
        <v>815.87200000000007</v>
      </c>
      <c r="R17" s="408">
        <v>12.278999999999769</v>
      </c>
      <c r="S17" s="406">
        <v>1.0866169743747919E-2</v>
      </c>
      <c r="T17" s="409" t="s">
        <v>345</v>
      </c>
      <c r="U17" s="409" t="s">
        <v>795</v>
      </c>
      <c r="V17" s="476" t="s">
        <v>775</v>
      </c>
      <c r="W17" s="476" t="s">
        <v>776</v>
      </c>
      <c r="X17" s="410">
        <v>1</v>
      </c>
      <c r="Y17" s="411" t="s">
        <v>353</v>
      </c>
      <c r="AB17" s="415">
        <v>5</v>
      </c>
      <c r="AC17" s="418" t="s">
        <v>212</v>
      </c>
    </row>
    <row r="18" spans="2:29" s="415" customFormat="1" ht="27" customHeight="1">
      <c r="B18" s="835"/>
      <c r="C18" s="836"/>
      <c r="D18" s="403">
        <v>12</v>
      </c>
      <c r="E18" s="404" t="s">
        <v>913</v>
      </c>
      <c r="F18" s="405">
        <v>1558.9629950819638</v>
      </c>
      <c r="G18" s="405">
        <v>169.82214754098359</v>
      </c>
      <c r="H18" s="405">
        <v>173.29999999999998</v>
      </c>
      <c r="I18" s="406">
        <v>1.0204793809840207</v>
      </c>
      <c r="J18" s="405">
        <v>0.6</v>
      </c>
      <c r="K18" s="406">
        <v>3.5331080703428302E-3</v>
      </c>
      <c r="L18" s="405">
        <v>382.3</v>
      </c>
      <c r="M18" s="406">
        <v>1.0240124890543636</v>
      </c>
      <c r="N18" s="407">
        <v>1329.5829950819659</v>
      </c>
      <c r="O18" s="405">
        <v>2.2000000000000002</v>
      </c>
      <c r="P18" s="406">
        <v>1.2954729591257047E-2</v>
      </c>
      <c r="Q18" s="405">
        <v>841.06000000000017</v>
      </c>
      <c r="R18" s="408">
        <v>4.077852459016384</v>
      </c>
      <c r="S18" s="406">
        <v>2.4012489054363571E-2</v>
      </c>
      <c r="T18" s="403" t="s">
        <v>345</v>
      </c>
      <c r="U18" s="409" t="s">
        <v>692</v>
      </c>
      <c r="V18" s="476" t="s">
        <v>777</v>
      </c>
      <c r="W18" s="476" t="s">
        <v>778</v>
      </c>
      <c r="X18" s="410">
        <v>1</v>
      </c>
      <c r="Y18" s="411" t="s">
        <v>375</v>
      </c>
      <c r="AB18" s="415">
        <v>6</v>
      </c>
      <c r="AC18" s="418" t="s">
        <v>213</v>
      </c>
    </row>
    <row r="19" spans="2:29" s="415" customFormat="1" ht="27" customHeight="1">
      <c r="B19" s="835"/>
      <c r="C19" s="836"/>
      <c r="D19" s="403">
        <v>13</v>
      </c>
      <c r="E19" s="404" t="s">
        <v>784</v>
      </c>
      <c r="F19" s="405">
        <v>1555.4520000000343</v>
      </c>
      <c r="G19" s="405">
        <v>430.2</v>
      </c>
      <c r="H19" s="405">
        <v>431.80000000000007</v>
      </c>
      <c r="I19" s="406">
        <v>1.0037192003719202</v>
      </c>
      <c r="J19" s="405">
        <v>1.9999999999999998</v>
      </c>
      <c r="K19" s="406">
        <v>4.6490004649000459E-3</v>
      </c>
      <c r="L19" s="405">
        <v>432.07</v>
      </c>
      <c r="M19" s="406">
        <v>1.0083682008368202</v>
      </c>
      <c r="N19" s="407">
        <v>691.31200000003435</v>
      </c>
      <c r="O19" s="405">
        <v>1.5000000000000002</v>
      </c>
      <c r="P19" s="406">
        <v>3.4867503486750353E-3</v>
      </c>
      <c r="Q19" s="405">
        <v>648.1049999999999</v>
      </c>
      <c r="R19" s="408">
        <v>3.6000000000000796</v>
      </c>
      <c r="S19" s="406">
        <v>8.3682008368202686E-3</v>
      </c>
      <c r="T19" s="409" t="s">
        <v>345</v>
      </c>
      <c r="U19" s="409" t="s">
        <v>795</v>
      </c>
      <c r="V19" s="409" t="s">
        <v>799</v>
      </c>
      <c r="W19" s="409" t="s">
        <v>774</v>
      </c>
      <c r="X19" s="410">
        <v>1</v>
      </c>
      <c r="Y19" s="411" t="s">
        <v>387</v>
      </c>
      <c r="AB19" s="415">
        <v>7</v>
      </c>
      <c r="AC19" s="418" t="s">
        <v>747</v>
      </c>
    </row>
    <row r="20" spans="2:29" s="415" customFormat="1" ht="27" customHeight="1">
      <c r="B20" s="835"/>
      <c r="C20" s="836"/>
      <c r="D20" s="403">
        <v>14</v>
      </c>
      <c r="E20" s="404" t="s">
        <v>894</v>
      </c>
      <c r="F20" s="405">
        <v>1536.3348800000003</v>
      </c>
      <c r="G20" s="405">
        <v>509.07600000000002</v>
      </c>
      <c r="H20" s="405">
        <v>514.6</v>
      </c>
      <c r="I20" s="406">
        <v>1.0108510320659392</v>
      </c>
      <c r="J20" s="405">
        <v>0</v>
      </c>
      <c r="K20" s="406">
        <v>0</v>
      </c>
      <c r="L20" s="405">
        <v>278.12</v>
      </c>
      <c r="M20" s="406">
        <v>1.0108510320659392</v>
      </c>
      <c r="N20" s="407">
        <v>1536.3348800000003</v>
      </c>
      <c r="O20" s="405">
        <v>2.9000000000000004</v>
      </c>
      <c r="P20" s="406">
        <v>5.6965954002938662E-3</v>
      </c>
      <c r="Q20" s="405">
        <v>806.548</v>
      </c>
      <c r="R20" s="408">
        <v>5.5240000000000009</v>
      </c>
      <c r="S20" s="406">
        <v>1.0851032065939075E-2</v>
      </c>
      <c r="T20" s="409" t="s">
        <v>345</v>
      </c>
      <c r="U20" s="409" t="s">
        <v>795</v>
      </c>
      <c r="V20" s="476" t="s">
        <v>779</v>
      </c>
      <c r="W20" s="476" t="s">
        <v>780</v>
      </c>
      <c r="X20" s="410">
        <v>1</v>
      </c>
      <c r="Y20" s="411" t="s">
        <v>819</v>
      </c>
      <c r="AB20" s="415">
        <v>8</v>
      </c>
      <c r="AC20" s="419" t="s">
        <v>748</v>
      </c>
    </row>
    <row r="21" spans="2:29" s="415" customFormat="1" ht="27" customHeight="1">
      <c r="B21" s="835"/>
      <c r="C21" s="836"/>
      <c r="D21" s="403">
        <v>15</v>
      </c>
      <c r="E21" s="404" t="s">
        <v>436</v>
      </c>
      <c r="F21" s="405">
        <v>1524.3281999999904</v>
      </c>
      <c r="G21" s="405">
        <v>2936.5680000000002</v>
      </c>
      <c r="H21" s="405">
        <v>2955.9</v>
      </c>
      <c r="I21" s="406">
        <v>1.0065831950767017</v>
      </c>
      <c r="J21" s="405">
        <v>0</v>
      </c>
      <c r="K21" s="406">
        <v>0</v>
      </c>
      <c r="L21" s="405">
        <v>78.849999999999994</v>
      </c>
      <c r="M21" s="406">
        <v>1.0065831950767017</v>
      </c>
      <c r="N21" s="407">
        <v>1524.3281999999904</v>
      </c>
      <c r="O21" s="405">
        <v>7.0000000000000009</v>
      </c>
      <c r="P21" s="406">
        <v>2.3837350267386964E-3</v>
      </c>
      <c r="Q21" s="405">
        <v>551.95000000000005</v>
      </c>
      <c r="R21" s="408">
        <v>19.33199999999988</v>
      </c>
      <c r="S21" s="406">
        <v>6.5831950767017413E-3</v>
      </c>
      <c r="T21" s="403" t="s">
        <v>345</v>
      </c>
      <c r="U21" s="409" t="s">
        <v>795</v>
      </c>
      <c r="V21" s="476" t="s">
        <v>775</v>
      </c>
      <c r="W21" s="477" t="s">
        <v>776</v>
      </c>
      <c r="X21" s="410">
        <v>1</v>
      </c>
      <c r="Y21" s="411" t="s">
        <v>349</v>
      </c>
      <c r="AC21" s="418"/>
    </row>
    <row r="22" spans="2:29" s="415" customFormat="1" ht="27" customHeight="1">
      <c r="B22" s="835"/>
      <c r="C22" s="836"/>
      <c r="D22" s="403">
        <v>16</v>
      </c>
      <c r="E22" s="404" t="s">
        <v>709</v>
      </c>
      <c r="F22" s="405">
        <v>1519.6964999999864</v>
      </c>
      <c r="G22" s="405">
        <v>266.45000000000005</v>
      </c>
      <c r="H22" s="405">
        <v>271.5</v>
      </c>
      <c r="I22" s="406">
        <v>1.0189528992306247</v>
      </c>
      <c r="J22" s="405">
        <v>0</v>
      </c>
      <c r="K22" s="406">
        <v>0</v>
      </c>
      <c r="L22" s="405">
        <v>300.93</v>
      </c>
      <c r="M22" s="406">
        <v>1.0189528992306247</v>
      </c>
      <c r="N22" s="407">
        <v>1519.6964999999864</v>
      </c>
      <c r="O22" s="405">
        <v>2.6999999999999997</v>
      </c>
      <c r="P22" s="406">
        <v>1.0133233252017261E-2</v>
      </c>
      <c r="Q22" s="405">
        <v>812.51099999999997</v>
      </c>
      <c r="R22" s="408">
        <v>5.0499999999999545</v>
      </c>
      <c r="S22" s="406">
        <v>1.8952899230624709E-2</v>
      </c>
      <c r="T22" s="409" t="s">
        <v>347</v>
      </c>
      <c r="U22" s="409" t="s">
        <v>212</v>
      </c>
      <c r="V22" s="476" t="s">
        <v>779</v>
      </c>
      <c r="W22" s="476" t="s">
        <v>780</v>
      </c>
      <c r="X22" s="410">
        <v>1</v>
      </c>
      <c r="Y22" s="411" t="s">
        <v>707</v>
      </c>
      <c r="AC22" s="418"/>
    </row>
    <row r="23" spans="2:29" s="415" customFormat="1" ht="27" customHeight="1">
      <c r="B23" s="835"/>
      <c r="C23" s="836"/>
      <c r="D23" s="403">
        <v>17</v>
      </c>
      <c r="E23" s="404" t="s">
        <v>722</v>
      </c>
      <c r="F23" s="405">
        <v>1503.2575999999885</v>
      </c>
      <c r="G23" s="405">
        <v>489.84</v>
      </c>
      <c r="H23" s="405">
        <v>493.19999999999993</v>
      </c>
      <c r="I23" s="406">
        <v>1.006859382655561</v>
      </c>
      <c r="J23" s="405">
        <v>0.8</v>
      </c>
      <c r="K23" s="406">
        <v>1.6331863465621429E-3</v>
      </c>
      <c r="L23" s="405">
        <v>361.36</v>
      </c>
      <c r="M23" s="406">
        <v>1.0084925690021231</v>
      </c>
      <c r="N23" s="407">
        <v>1214.1695999999845</v>
      </c>
      <c r="O23" s="405">
        <v>1.8</v>
      </c>
      <c r="P23" s="406">
        <v>3.6746692797648213E-3</v>
      </c>
      <c r="Q23" s="405">
        <v>650.44800000000009</v>
      </c>
      <c r="R23" s="408">
        <v>4.1599999999999682</v>
      </c>
      <c r="S23" s="406">
        <v>8.4925690021230779E-3</v>
      </c>
      <c r="T23" s="409" t="s">
        <v>345</v>
      </c>
      <c r="U23" s="409" t="s">
        <v>795</v>
      </c>
      <c r="V23" s="476" t="s">
        <v>938</v>
      </c>
      <c r="W23" s="476" t="s">
        <v>785</v>
      </c>
      <c r="X23" s="410">
        <v>1</v>
      </c>
      <c r="Y23" s="411" t="s">
        <v>706</v>
      </c>
      <c r="AB23" s="420">
        <v>1</v>
      </c>
      <c r="AC23" s="418" t="s">
        <v>354</v>
      </c>
    </row>
    <row r="24" spans="2:29" s="415" customFormat="1" ht="27" customHeight="1">
      <c r="B24" s="835"/>
      <c r="C24" s="836"/>
      <c r="D24" s="403">
        <v>18</v>
      </c>
      <c r="E24" s="404" t="s">
        <v>344</v>
      </c>
      <c r="F24" s="405">
        <v>1469.4198399999916</v>
      </c>
      <c r="G24" s="405">
        <v>45.864000000000004</v>
      </c>
      <c r="H24" s="405">
        <v>47.599999999999994</v>
      </c>
      <c r="I24" s="406">
        <v>1.0378510378510377</v>
      </c>
      <c r="J24" s="405">
        <v>0</v>
      </c>
      <c r="K24" s="406">
        <v>0</v>
      </c>
      <c r="L24" s="405">
        <v>846.44</v>
      </c>
      <c r="M24" s="406">
        <v>1.0378510378510377</v>
      </c>
      <c r="N24" s="407">
        <v>1469.4198399999916</v>
      </c>
      <c r="O24" s="405">
        <v>0.30000000000000004</v>
      </c>
      <c r="P24" s="406">
        <v>6.5410779696493983E-3</v>
      </c>
      <c r="Q24" s="405">
        <v>253.93200000000002</v>
      </c>
      <c r="R24" s="408">
        <v>1.73599999999999</v>
      </c>
      <c r="S24" s="406">
        <v>3.7851037851037626E-2</v>
      </c>
      <c r="T24" s="409" t="s">
        <v>354</v>
      </c>
      <c r="U24" s="409" t="s">
        <v>431</v>
      </c>
      <c r="V24" s="476" t="s">
        <v>939</v>
      </c>
      <c r="W24" s="476" t="s">
        <v>940</v>
      </c>
      <c r="X24" s="410">
        <v>1</v>
      </c>
      <c r="Y24" s="411" t="s">
        <v>346</v>
      </c>
      <c r="AB24" s="415">
        <v>2</v>
      </c>
      <c r="AC24" s="418" t="s">
        <v>435</v>
      </c>
    </row>
    <row r="25" spans="2:29" s="415" customFormat="1" ht="27" customHeight="1">
      <c r="B25" s="835"/>
      <c r="C25" s="836"/>
      <c r="D25" s="403">
        <v>19</v>
      </c>
      <c r="E25" s="404" t="s">
        <v>624</v>
      </c>
      <c r="F25" s="405">
        <v>1468.1520000000035</v>
      </c>
      <c r="G25" s="405">
        <v>8.1999999999999993</v>
      </c>
      <c r="H25" s="405">
        <v>9.0000000000000018</v>
      </c>
      <c r="I25" s="406">
        <v>1.0975609756097564</v>
      </c>
      <c r="J25" s="405">
        <v>0.4</v>
      </c>
      <c r="K25" s="406">
        <v>4.8780487804878057E-2</v>
      </c>
      <c r="L25" s="405">
        <v>1223.46</v>
      </c>
      <c r="M25" s="406">
        <v>1.1463414634146345</v>
      </c>
      <c r="N25" s="407">
        <v>978.7680000000031</v>
      </c>
      <c r="O25" s="405">
        <v>0.5</v>
      </c>
      <c r="P25" s="406">
        <v>6.0975609756097567E-2</v>
      </c>
      <c r="Q25" s="405">
        <v>611.73</v>
      </c>
      <c r="R25" s="408">
        <v>1.2000000000000028</v>
      </c>
      <c r="S25" s="406">
        <v>0.1463414634146345</v>
      </c>
      <c r="T25" s="409" t="s">
        <v>347</v>
      </c>
      <c r="U25" s="409" t="s">
        <v>747</v>
      </c>
      <c r="V25" s="476" t="s">
        <v>941</v>
      </c>
      <c r="W25" s="476" t="s">
        <v>942</v>
      </c>
      <c r="X25" s="410">
        <v>1</v>
      </c>
      <c r="Y25" s="411" t="s">
        <v>625</v>
      </c>
      <c r="AB25" s="421">
        <v>3</v>
      </c>
      <c r="AC25" s="418" t="s">
        <v>345</v>
      </c>
    </row>
    <row r="26" spans="2:29" s="415" customFormat="1" ht="27" customHeight="1">
      <c r="B26" s="837"/>
      <c r="C26" s="838"/>
      <c r="D26" s="403">
        <v>20</v>
      </c>
      <c r="E26" s="404" t="s">
        <v>943</v>
      </c>
      <c r="F26" s="405">
        <v>1465.9769999999905</v>
      </c>
      <c r="G26" s="405">
        <v>1414.1000000000001</v>
      </c>
      <c r="H26" s="405">
        <v>1427.5</v>
      </c>
      <c r="I26" s="406">
        <v>1.0094759917969025</v>
      </c>
      <c r="J26" s="405">
        <v>0.7</v>
      </c>
      <c r="K26" s="406">
        <v>4.9501449685312201E-4</v>
      </c>
      <c r="L26" s="405">
        <v>103.97</v>
      </c>
      <c r="M26" s="406">
        <v>1.0099710062937557</v>
      </c>
      <c r="N26" s="407">
        <v>1393.1979999999858</v>
      </c>
      <c r="O26" s="405">
        <v>5.8</v>
      </c>
      <c r="P26" s="406">
        <v>4.1015486882115832E-3</v>
      </c>
      <c r="Q26" s="405">
        <v>603.02599999999995</v>
      </c>
      <c r="R26" s="408">
        <v>14.099999999999909</v>
      </c>
      <c r="S26" s="406">
        <v>9.9710062937556805E-3</v>
      </c>
      <c r="T26" s="409" t="s">
        <v>345</v>
      </c>
      <c r="U26" s="409" t="s">
        <v>795</v>
      </c>
      <c r="V26" s="476" t="s">
        <v>775</v>
      </c>
      <c r="W26" s="477" t="s">
        <v>776</v>
      </c>
      <c r="X26" s="410">
        <v>1</v>
      </c>
      <c r="Y26" s="411" t="s">
        <v>819</v>
      </c>
      <c r="AB26" s="421">
        <v>4</v>
      </c>
      <c r="AC26" s="418" t="s">
        <v>347</v>
      </c>
    </row>
    <row r="27" spans="2:29" ht="29.45" customHeight="1">
      <c r="C27" s="839"/>
      <c r="AB27" s="415"/>
      <c r="AC27" s="418"/>
    </row>
    <row r="28" spans="2:29">
      <c r="C28" s="839"/>
    </row>
    <row r="29" spans="2:29">
      <c r="C29" s="839"/>
    </row>
    <row r="30" spans="2:29">
      <c r="C30" s="839"/>
    </row>
    <row r="31" spans="2:29">
      <c r="C31" s="839"/>
    </row>
    <row r="32" spans="2:29">
      <c r="C32" s="839"/>
    </row>
    <row r="33" spans="3:3">
      <c r="C33" s="839"/>
    </row>
    <row r="34" spans="3:3">
      <c r="C34" s="839"/>
    </row>
    <row r="35" spans="3:3">
      <c r="C35" s="839"/>
    </row>
    <row r="36" spans="3:3">
      <c r="C36" s="839"/>
    </row>
    <row r="67" ht="14.1" customHeight="1"/>
    <row r="77" ht="14.1" customHeight="1"/>
    <row r="87" ht="14.1" customHeight="1"/>
    <row r="112" spans="26:26">
      <c r="Z112" s="422" t="s">
        <v>749</v>
      </c>
    </row>
    <row r="113" spans="26:26">
      <c r="Z113" s="415" t="s">
        <v>750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7"/>
  <sheetViews>
    <sheetView zoomScale="75" zoomScaleNormal="75" workbookViewId="0">
      <selection activeCell="O31" sqref="O31:O37"/>
    </sheetView>
  </sheetViews>
  <sheetFormatPr defaultColWidth="8.28515625" defaultRowHeight="15"/>
  <cols>
    <col min="1" max="1" width="18.42578125" style="423" customWidth="1"/>
    <col min="2" max="2" width="21.140625" style="423" bestFit="1" customWidth="1"/>
    <col min="3" max="6" width="14.28515625" style="423" customWidth="1"/>
    <col min="7" max="10" width="18.42578125" style="423" customWidth="1"/>
    <col min="11" max="11" width="17.140625" style="423" bestFit="1" customWidth="1"/>
    <col min="12" max="12" width="16" style="423" customWidth="1"/>
    <col min="13" max="13" width="23.28515625" style="423" bestFit="1" customWidth="1"/>
    <col min="14" max="15" width="13.28515625" style="423" bestFit="1" customWidth="1"/>
    <col min="16" max="16" width="8.28515625" style="423"/>
    <col min="17" max="17" width="12.85546875" style="423" bestFit="1" customWidth="1"/>
    <col min="18" max="16384" width="8.28515625" style="423"/>
  </cols>
  <sheetData>
    <row r="1" spans="1:18" ht="27" customHeight="1">
      <c r="A1" s="868" t="s">
        <v>944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  <c r="O1" s="868"/>
    </row>
    <row r="2" spans="1:18" ht="16.5" customHeight="1">
      <c r="A2" s="869" t="s">
        <v>945</v>
      </c>
      <c r="B2" s="869" t="s">
        <v>946</v>
      </c>
      <c r="C2" s="869" t="s">
        <v>947</v>
      </c>
      <c r="D2" s="869" t="s">
        <v>948</v>
      </c>
      <c r="E2" s="869" t="s">
        <v>949</v>
      </c>
      <c r="F2" s="869" t="s">
        <v>950</v>
      </c>
      <c r="G2" s="869" t="s">
        <v>951</v>
      </c>
      <c r="H2" s="869"/>
      <c r="I2" s="869" t="s">
        <v>952</v>
      </c>
      <c r="J2" s="869"/>
      <c r="K2" s="869" t="s">
        <v>953</v>
      </c>
      <c r="L2" s="869"/>
      <c r="M2" s="870" t="s">
        <v>954</v>
      </c>
      <c r="N2" s="871"/>
      <c r="O2" s="872"/>
    </row>
    <row r="3" spans="1:18" ht="37.5" customHeight="1">
      <c r="A3" s="869"/>
      <c r="B3" s="869"/>
      <c r="C3" s="869"/>
      <c r="D3" s="869"/>
      <c r="E3" s="869"/>
      <c r="F3" s="869"/>
      <c r="G3" s="504" t="s">
        <v>955</v>
      </c>
      <c r="H3" s="504" t="s">
        <v>956</v>
      </c>
      <c r="I3" s="504" t="s">
        <v>955</v>
      </c>
      <c r="J3" s="504" t="s">
        <v>956</v>
      </c>
      <c r="K3" s="504" t="s">
        <v>957</v>
      </c>
      <c r="L3" s="504" t="s">
        <v>958</v>
      </c>
      <c r="M3" s="504" t="s">
        <v>959</v>
      </c>
      <c r="N3" s="424" t="s">
        <v>960</v>
      </c>
      <c r="O3" s="424" t="s">
        <v>961</v>
      </c>
    </row>
    <row r="4" spans="1:18" ht="18.75">
      <c r="A4" s="425">
        <v>45931</v>
      </c>
      <c r="B4" s="478">
        <v>7858716</v>
      </c>
      <c r="C4" s="478">
        <v>19155</v>
      </c>
      <c r="D4" s="479">
        <v>2.4374210748931507E-3</v>
      </c>
      <c r="E4" s="480">
        <v>16064.767273946745</v>
      </c>
      <c r="F4" s="429">
        <v>2.0441974584584485E-3</v>
      </c>
      <c r="G4" s="478">
        <v>1572.9810000000002</v>
      </c>
      <c r="H4" s="430">
        <v>8.2118559122944412E-2</v>
      </c>
      <c r="I4" s="431">
        <v>3164.1586400000028</v>
      </c>
      <c r="J4" s="430">
        <v>0.19696261925508998</v>
      </c>
      <c r="K4" s="481">
        <v>3298.2579999999998</v>
      </c>
      <c r="L4" s="482">
        <v>0.17218783607413207</v>
      </c>
      <c r="M4" s="866">
        <f>SUM(B4:B9)</f>
        <v>41892440</v>
      </c>
      <c r="N4" s="867">
        <f>SUM(C4:C9)</f>
        <v>101802</v>
      </c>
      <c r="O4" s="867">
        <f>SUM(E4:E9)</f>
        <v>97122.054239748715</v>
      </c>
    </row>
    <row r="5" spans="1:18" ht="18.75">
      <c r="A5" s="434">
        <f t="shared" ref="A5:A32" si="0">A4+1</f>
        <v>45932</v>
      </c>
      <c r="B5" s="478">
        <v>7240224</v>
      </c>
      <c r="C5" s="478">
        <v>17961</v>
      </c>
      <c r="D5" s="479">
        <v>2.4807243532796773E-3</v>
      </c>
      <c r="E5" s="480">
        <v>15980.217919981822</v>
      </c>
      <c r="F5" s="429">
        <v>2.207144132554714E-3</v>
      </c>
      <c r="G5" s="478">
        <v>1479.836</v>
      </c>
      <c r="H5" s="430">
        <v>8.2391626301430876E-2</v>
      </c>
      <c r="I5" s="431">
        <v>2778.1950899999952</v>
      </c>
      <c r="J5" s="430">
        <v>0.17385214043458774</v>
      </c>
      <c r="K5" s="481">
        <v>3165.1520000000005</v>
      </c>
      <c r="L5" s="482">
        <v>0.17622359556817552</v>
      </c>
      <c r="M5" s="864"/>
      <c r="N5" s="865"/>
      <c r="O5" s="865"/>
    </row>
    <row r="6" spans="1:18" ht="18.75">
      <c r="A6" s="434">
        <f t="shared" si="0"/>
        <v>45933</v>
      </c>
      <c r="B6" s="478">
        <v>6162506</v>
      </c>
      <c r="C6" s="478">
        <v>15275</v>
      </c>
      <c r="D6" s="479">
        <v>2.4786994122196391E-3</v>
      </c>
      <c r="E6" s="480">
        <v>15825.743018117333</v>
      </c>
      <c r="F6" s="429">
        <v>2.5680693889981337E-3</v>
      </c>
      <c r="G6" s="478">
        <v>1500.74</v>
      </c>
      <c r="H6" s="430">
        <v>9.8248117839607199E-2</v>
      </c>
      <c r="I6" s="431">
        <v>2745.8555300000016</v>
      </c>
      <c r="J6" s="430">
        <v>0.17350563110095635</v>
      </c>
      <c r="K6" s="481">
        <v>2972.306</v>
      </c>
      <c r="L6" s="482">
        <v>0.19458631751227495</v>
      </c>
      <c r="M6" s="864"/>
      <c r="N6" s="865"/>
      <c r="O6" s="865"/>
    </row>
    <row r="7" spans="1:18" ht="18.75">
      <c r="A7" s="434">
        <f t="shared" si="0"/>
        <v>45934</v>
      </c>
      <c r="B7" s="478">
        <v>6257631</v>
      </c>
      <c r="C7" s="478">
        <v>15390</v>
      </c>
      <c r="D7" s="479">
        <v>2.4593971744259128E-3</v>
      </c>
      <c r="E7" s="480">
        <v>16465.144022298155</v>
      </c>
      <c r="F7" s="429">
        <v>2.6312104408678229E-3</v>
      </c>
      <c r="G7" s="478">
        <v>1425.0879999999997</v>
      </c>
      <c r="H7" s="430">
        <v>9.2598310591293032E-2</v>
      </c>
      <c r="I7" s="431">
        <v>2707.5051200000012</v>
      </c>
      <c r="J7" s="430">
        <v>0.16443859320837545</v>
      </c>
      <c r="K7" s="481">
        <v>2898.2880000000005</v>
      </c>
      <c r="L7" s="482">
        <v>0.18832280701754389</v>
      </c>
      <c r="M7" s="864"/>
      <c r="N7" s="865"/>
      <c r="O7" s="865"/>
    </row>
    <row r="8" spans="1:18" ht="18.75">
      <c r="A8" s="434">
        <f t="shared" si="0"/>
        <v>45935</v>
      </c>
      <c r="B8" s="478">
        <v>6624573</v>
      </c>
      <c r="C8" s="478">
        <v>16567</v>
      </c>
      <c r="D8" s="479">
        <v>2.500840431526681E-3</v>
      </c>
      <c r="E8" s="480">
        <v>16768.397062643504</v>
      </c>
      <c r="F8" s="429">
        <v>2.5312419476158695E-3</v>
      </c>
      <c r="G8" s="478">
        <v>1463.2809999999999</v>
      </c>
      <c r="H8" s="430">
        <v>8.8325043761694935E-2</v>
      </c>
      <c r="I8" s="431">
        <v>3350.9429299999979</v>
      </c>
      <c r="J8" s="430">
        <v>0.19983680714868093</v>
      </c>
      <c r="K8" s="481">
        <v>3012.2499999999995</v>
      </c>
      <c r="L8" s="482">
        <v>0.1818222973380817</v>
      </c>
      <c r="M8" s="864"/>
      <c r="N8" s="865"/>
      <c r="O8" s="865"/>
      <c r="P8" s="435"/>
      <c r="Q8" s="435"/>
    </row>
    <row r="9" spans="1:18" ht="18.75">
      <c r="A9" s="436">
        <f t="shared" si="0"/>
        <v>45936</v>
      </c>
      <c r="B9" s="478">
        <v>7748790</v>
      </c>
      <c r="C9" s="478">
        <v>17454</v>
      </c>
      <c r="D9" s="479">
        <v>2.2524807098914796E-3</v>
      </c>
      <c r="E9" s="480">
        <v>16017.784942761149</v>
      </c>
      <c r="F9" s="429">
        <v>2.067133699940397E-3</v>
      </c>
      <c r="G9" s="478">
        <v>1415.6179999999999</v>
      </c>
      <c r="H9" s="430">
        <v>8.1105649134868799E-2</v>
      </c>
      <c r="I9" s="431">
        <v>3058.773969999992</v>
      </c>
      <c r="J9" s="430">
        <v>0.19096110860087001</v>
      </c>
      <c r="K9" s="481">
        <v>2462.91</v>
      </c>
      <c r="L9" s="482">
        <v>0.14110862839463734</v>
      </c>
      <c r="M9" s="864"/>
      <c r="N9" s="865"/>
      <c r="O9" s="865"/>
    </row>
    <row r="10" spans="1:18" ht="18.75">
      <c r="A10" s="434">
        <f t="shared" si="0"/>
        <v>45937</v>
      </c>
      <c r="B10" s="478">
        <v>8050194</v>
      </c>
      <c r="C10" s="478">
        <v>20015</v>
      </c>
      <c r="D10" s="479">
        <v>2.4862754860317652E-3</v>
      </c>
      <c r="E10" s="480">
        <v>17496.583527098843</v>
      </c>
      <c r="F10" s="429">
        <v>2.1734362584428205E-3</v>
      </c>
      <c r="G10" s="478">
        <v>1504.4750000000001</v>
      </c>
      <c r="H10" s="430">
        <v>7.5167374469148146E-2</v>
      </c>
      <c r="I10" s="431">
        <v>3523.7583700000023</v>
      </c>
      <c r="J10" s="430">
        <v>0.20139693926773639</v>
      </c>
      <c r="K10" s="481">
        <v>3415.7939999999999</v>
      </c>
      <c r="L10" s="482">
        <v>0.17066170372220835</v>
      </c>
      <c r="M10" s="864">
        <f>SUM(B10:B16)</f>
        <v>50896038</v>
      </c>
      <c r="N10" s="865">
        <f>SUM(C10:C16)</f>
        <v>125923.71199999998</v>
      </c>
      <c r="O10" s="865">
        <f>SUM(E10:E16)</f>
        <v>119028.51714747345</v>
      </c>
    </row>
    <row r="11" spans="1:18" ht="18.75">
      <c r="A11" s="434">
        <f t="shared" si="0"/>
        <v>45938</v>
      </c>
      <c r="B11" s="478">
        <v>7653723</v>
      </c>
      <c r="C11" s="478">
        <v>18985</v>
      </c>
      <c r="D11" s="479">
        <v>2.4804921735474355E-3</v>
      </c>
      <c r="E11" s="480">
        <v>18798.015923619263</v>
      </c>
      <c r="F11" s="429">
        <v>2.4560617001189175E-3</v>
      </c>
      <c r="G11" s="478">
        <v>1587.3520000000003</v>
      </c>
      <c r="H11" s="430">
        <v>8.3610850671582845E-2</v>
      </c>
      <c r="I11" s="431">
        <v>4865.2372000000023</v>
      </c>
      <c r="J11" s="430">
        <v>0.25881652722120246</v>
      </c>
      <c r="K11" s="481">
        <v>2415.9830000000006</v>
      </c>
      <c r="L11" s="482">
        <v>0.12725746642085861</v>
      </c>
      <c r="M11" s="864"/>
      <c r="N11" s="865"/>
      <c r="O11" s="865"/>
    </row>
    <row r="12" spans="1:18" ht="18.75">
      <c r="A12" s="434">
        <f>A11+1</f>
        <v>45939</v>
      </c>
      <c r="B12" s="478">
        <v>6660783</v>
      </c>
      <c r="C12" s="478">
        <v>16450</v>
      </c>
      <c r="D12" s="479">
        <v>2.4696796157448755E-3</v>
      </c>
      <c r="E12" s="480">
        <v>16431.806976812626</v>
      </c>
      <c r="F12" s="429">
        <v>2.4669482517014332E-3</v>
      </c>
      <c r="G12" s="478">
        <v>1461.7060000000001</v>
      </c>
      <c r="H12" s="430">
        <v>8.8857507598784205E-2</v>
      </c>
      <c r="I12" s="431">
        <v>2391.7048700000032</v>
      </c>
      <c r="J12" s="430">
        <v>0.14555336935097909</v>
      </c>
      <c r="K12" s="481">
        <v>2833.5929999999994</v>
      </c>
      <c r="L12" s="482">
        <v>0.17225489361702123</v>
      </c>
      <c r="M12" s="864"/>
      <c r="N12" s="865"/>
      <c r="O12" s="865"/>
    </row>
    <row r="13" spans="1:18" ht="18.75">
      <c r="A13" s="434">
        <f t="shared" si="0"/>
        <v>45940</v>
      </c>
      <c r="B13" s="478">
        <v>6259506</v>
      </c>
      <c r="C13" s="478">
        <v>15461</v>
      </c>
      <c r="D13" s="479">
        <v>2.4700032238965824E-3</v>
      </c>
      <c r="E13" s="480">
        <v>16465.520899955962</v>
      </c>
      <c r="F13" s="429">
        <v>2.6304824853520328E-3</v>
      </c>
      <c r="G13" s="478">
        <v>1288.8240000000001</v>
      </c>
      <c r="H13" s="430">
        <v>8.335967919280772E-2</v>
      </c>
      <c r="I13" s="431">
        <v>2824.4216299999971</v>
      </c>
      <c r="J13" s="430">
        <v>0.17153551637759309</v>
      </c>
      <c r="K13" s="481">
        <v>2189.0690000000004</v>
      </c>
      <c r="L13" s="482">
        <v>0.14158650798784039</v>
      </c>
      <c r="M13" s="864"/>
      <c r="N13" s="865"/>
      <c r="O13" s="865"/>
    </row>
    <row r="14" spans="1:18" ht="18.75">
      <c r="A14" s="434">
        <f t="shared" si="0"/>
        <v>45941</v>
      </c>
      <c r="B14" s="478">
        <v>6689233</v>
      </c>
      <c r="C14" s="478">
        <v>16344</v>
      </c>
      <c r="D14" s="479">
        <v>2.4433294519715489E-3</v>
      </c>
      <c r="E14" s="480">
        <v>15522.436968824022</v>
      </c>
      <c r="F14" s="429">
        <v>2.3205107325195611E-3</v>
      </c>
      <c r="G14" s="478">
        <v>1331.741</v>
      </c>
      <c r="H14" s="430">
        <v>8.1481950562897698E-2</v>
      </c>
      <c r="I14" s="431">
        <v>2606.0130600000107</v>
      </c>
      <c r="J14" s="430">
        <v>0.16788685083624738</v>
      </c>
      <c r="K14" s="481">
        <v>2560.347999999999</v>
      </c>
      <c r="L14" s="482">
        <v>0.15665369554576597</v>
      </c>
      <c r="M14" s="864"/>
      <c r="N14" s="865"/>
      <c r="O14" s="865"/>
    </row>
    <row r="15" spans="1:18" ht="18.75">
      <c r="A15" s="434">
        <f t="shared" si="0"/>
        <v>45942</v>
      </c>
      <c r="B15" s="478">
        <v>7867103</v>
      </c>
      <c r="C15" s="478">
        <v>19446</v>
      </c>
      <c r="D15" s="479">
        <v>2.4718120507637945E-3</v>
      </c>
      <c r="E15" s="480">
        <v>17083.656952877162</v>
      </c>
      <c r="F15" s="429">
        <v>2.1715308612175487E-3</v>
      </c>
      <c r="G15" s="478">
        <v>1573.9400000000003</v>
      </c>
      <c r="H15" s="430">
        <v>8.0939010593438249E-2</v>
      </c>
      <c r="I15" s="431">
        <v>3118.5607599999944</v>
      </c>
      <c r="J15" s="430">
        <v>0.18254644006269272</v>
      </c>
      <c r="K15" s="481">
        <v>2746.3709999999996</v>
      </c>
      <c r="L15" s="482">
        <v>0.14123063869176178</v>
      </c>
      <c r="M15" s="864"/>
      <c r="N15" s="865"/>
      <c r="O15" s="865"/>
      <c r="P15" s="437"/>
      <c r="Q15" s="437"/>
      <c r="R15" s="437"/>
    </row>
    <row r="16" spans="1:18" ht="18.75">
      <c r="A16" s="436">
        <f t="shared" si="0"/>
        <v>45943</v>
      </c>
      <c r="B16" s="478">
        <v>7715496</v>
      </c>
      <c r="C16" s="478">
        <v>19222.711999999989</v>
      </c>
      <c r="D16" s="479">
        <v>2.4914421574452231E-3</v>
      </c>
      <c r="E16" s="480">
        <v>17230.495898285579</v>
      </c>
      <c r="F16" s="429">
        <v>2.2332324322746817E-3</v>
      </c>
      <c r="G16" s="478">
        <v>1501.3350000000003</v>
      </c>
      <c r="H16" s="430">
        <v>7.8102142923433551E-2</v>
      </c>
      <c r="I16" s="431">
        <v>3120.6318599999918</v>
      </c>
      <c r="J16" s="430">
        <v>0.18111097198952308</v>
      </c>
      <c r="K16" s="481">
        <v>2718.933</v>
      </c>
      <c r="L16" s="482">
        <v>0.14144377754814208</v>
      </c>
      <c r="M16" s="864"/>
      <c r="N16" s="865"/>
      <c r="O16" s="865"/>
    </row>
    <row r="17" spans="1:17" ht="18.75">
      <c r="A17" s="434">
        <f t="shared" si="0"/>
        <v>45944</v>
      </c>
      <c r="B17" s="426">
        <v>7917911</v>
      </c>
      <c r="C17" s="426">
        <v>19786</v>
      </c>
      <c r="D17" s="427">
        <v>2.4988914374005971E-3</v>
      </c>
      <c r="E17" s="428">
        <v>17952.404986953832</v>
      </c>
      <c r="F17" s="429">
        <v>2.2673158345621505E-3</v>
      </c>
      <c r="G17" s="426">
        <v>1413.962</v>
      </c>
      <c r="H17" s="430">
        <v>7.1462751440412406E-2</v>
      </c>
      <c r="I17" s="431">
        <v>3237.5148895081857</v>
      </c>
      <c r="J17" s="430">
        <v>0.18033878423870872</v>
      </c>
      <c r="K17" s="432">
        <v>2339.6779999999994</v>
      </c>
      <c r="L17" s="433">
        <v>0.11824916607702413</v>
      </c>
      <c r="M17" s="864">
        <f>SUM(B17:B23)</f>
        <v>51190043</v>
      </c>
      <c r="N17" s="865">
        <f>SUM(C17:C23)</f>
        <v>126488</v>
      </c>
      <c r="O17" s="865">
        <f>SUM(E17:E23)</f>
        <v>115508.24525041386</v>
      </c>
      <c r="P17" s="438"/>
      <c r="Q17" s="438"/>
    </row>
    <row r="18" spans="1:17" ht="18.75">
      <c r="A18" s="434">
        <f t="shared" si="0"/>
        <v>45945</v>
      </c>
      <c r="B18" s="426">
        <v>7086135</v>
      </c>
      <c r="C18" s="426">
        <v>17506</v>
      </c>
      <c r="D18" s="427">
        <v>2.470458155256709E-3</v>
      </c>
      <c r="E18" s="428">
        <v>16240.654065798346</v>
      </c>
      <c r="F18" s="429">
        <v>2.2918917104738121E-3</v>
      </c>
      <c r="G18" s="426">
        <v>1397.2619999999997</v>
      </c>
      <c r="H18" s="430">
        <v>7.9816177310636338E-2</v>
      </c>
      <c r="I18" s="431">
        <v>3032.5863200000031</v>
      </c>
      <c r="J18" s="430">
        <v>0.18672809036591775</v>
      </c>
      <c r="K18" s="432">
        <v>2372.4879999999994</v>
      </c>
      <c r="L18" s="433">
        <v>0.1355242773906089</v>
      </c>
      <c r="M18" s="864"/>
      <c r="N18" s="865"/>
      <c r="O18" s="865"/>
    </row>
    <row r="19" spans="1:17" ht="18.75">
      <c r="A19" s="434">
        <f>A18+1</f>
        <v>45946</v>
      </c>
      <c r="B19" s="426">
        <v>7387104</v>
      </c>
      <c r="C19" s="426">
        <v>18327</v>
      </c>
      <c r="D19" s="427">
        <v>2.4809451714772122E-3</v>
      </c>
      <c r="E19" s="428">
        <v>16729.279944430604</v>
      </c>
      <c r="F19" s="429">
        <v>2.2646601353427005E-3</v>
      </c>
      <c r="G19" s="426">
        <v>1513.5360000000001</v>
      </c>
      <c r="H19" s="430">
        <v>8.258503846783434E-2</v>
      </c>
      <c r="I19" s="431">
        <v>2780.6442699999961</v>
      </c>
      <c r="J19" s="430">
        <v>0.1662142231606154</v>
      </c>
      <c r="K19" s="432">
        <v>2782.9950000000003</v>
      </c>
      <c r="L19" s="433">
        <v>0.1518521853003765</v>
      </c>
      <c r="M19" s="864"/>
      <c r="N19" s="865"/>
      <c r="O19" s="865"/>
    </row>
    <row r="20" spans="1:17" ht="18.75">
      <c r="A20" s="434">
        <f t="shared" si="0"/>
        <v>45947</v>
      </c>
      <c r="B20" s="426">
        <v>6524343</v>
      </c>
      <c r="C20" s="426">
        <v>16040</v>
      </c>
      <c r="D20" s="427">
        <v>2.458485091908871E-3</v>
      </c>
      <c r="E20" s="428">
        <v>16396</v>
      </c>
      <c r="F20" s="429">
        <v>2.5130499730011131E-3</v>
      </c>
      <c r="G20" s="426">
        <v>1367.357</v>
      </c>
      <c r="H20" s="430">
        <v>8.5246695760598498E-2</v>
      </c>
      <c r="I20" s="431">
        <v>2660.9253999999901</v>
      </c>
      <c r="J20" s="430">
        <v>0.16229113198340997</v>
      </c>
      <c r="K20" s="432">
        <v>2768.6269999999995</v>
      </c>
      <c r="L20" s="433">
        <v>0.17260766832917704</v>
      </c>
      <c r="M20" s="864"/>
      <c r="N20" s="865"/>
      <c r="O20" s="865"/>
    </row>
    <row r="21" spans="1:17" ht="18.75">
      <c r="A21" s="434">
        <f t="shared" si="0"/>
        <v>45948</v>
      </c>
      <c r="B21" s="426">
        <v>6552897</v>
      </c>
      <c r="C21" s="426">
        <v>16183</v>
      </c>
      <c r="D21" s="427">
        <v>2.46959474565219E-3</v>
      </c>
      <c r="E21" s="428">
        <v>15371.752922394284</v>
      </c>
      <c r="F21" s="429">
        <v>2.3457949853926108E-3</v>
      </c>
      <c r="G21" s="426">
        <v>1499.5210000000002</v>
      </c>
      <c r="H21" s="430">
        <v>9.2660260767472052E-2</v>
      </c>
      <c r="I21" s="431">
        <v>2799.0053399999983</v>
      </c>
      <c r="J21" s="430">
        <v>0.18208758325293384</v>
      </c>
      <c r="K21" s="432">
        <v>2846.9790000000003</v>
      </c>
      <c r="L21" s="433">
        <v>0.17592405610826178</v>
      </c>
      <c r="M21" s="864"/>
      <c r="N21" s="865"/>
      <c r="O21" s="865"/>
    </row>
    <row r="22" spans="1:17" ht="18.75">
      <c r="A22" s="434">
        <f t="shared" si="0"/>
        <v>45949</v>
      </c>
      <c r="B22" s="426">
        <v>7868086</v>
      </c>
      <c r="C22" s="426">
        <v>19399</v>
      </c>
      <c r="D22" s="427">
        <v>2.4655297362026801E-3</v>
      </c>
      <c r="E22" s="428">
        <v>16409.076665418397</v>
      </c>
      <c r="F22" s="429">
        <v>2.0855232982225154E-3</v>
      </c>
      <c r="G22" s="426">
        <v>1449.171</v>
      </c>
      <c r="H22" s="430">
        <v>7.4703386772514049E-2</v>
      </c>
      <c r="I22" s="431">
        <v>3053.4582000000046</v>
      </c>
      <c r="J22" s="430">
        <v>0.18608348673481853</v>
      </c>
      <c r="K22" s="432">
        <v>3021.3710000000001</v>
      </c>
      <c r="L22" s="433">
        <v>0.15574880148461262</v>
      </c>
      <c r="M22" s="864"/>
      <c r="N22" s="865"/>
      <c r="O22" s="865"/>
    </row>
    <row r="23" spans="1:17" ht="18.75">
      <c r="A23" s="436">
        <f t="shared" si="0"/>
        <v>45950</v>
      </c>
      <c r="B23" s="426">
        <v>7853567</v>
      </c>
      <c r="C23" s="426">
        <v>19247</v>
      </c>
      <c r="D23" s="427">
        <v>2.4507335329284133E-3</v>
      </c>
      <c r="E23" s="428">
        <v>16409.076665418397</v>
      </c>
      <c r="F23" s="429">
        <v>2.0893788345370196E-3</v>
      </c>
      <c r="G23" s="426">
        <v>1449.171</v>
      </c>
      <c r="H23" s="430">
        <v>7.5293344417311794E-2</v>
      </c>
      <c r="I23" s="431">
        <v>3053.4582000000046</v>
      </c>
      <c r="J23" s="430">
        <v>0.18608348673481853</v>
      </c>
      <c r="K23" s="432">
        <v>3021.3710000000001</v>
      </c>
      <c r="L23" s="433">
        <v>0.15697880189120383</v>
      </c>
      <c r="M23" s="864"/>
      <c r="N23" s="865"/>
      <c r="O23" s="865"/>
    </row>
    <row r="24" spans="1:17" ht="18.75">
      <c r="A24" s="434">
        <f t="shared" si="0"/>
        <v>45951</v>
      </c>
      <c r="B24" s="478">
        <v>7817095</v>
      </c>
      <c r="C24" s="478">
        <v>19377.170000000006</v>
      </c>
      <c r="D24" s="479">
        <v>2.4788198173362362E-3</v>
      </c>
      <c r="E24" s="480">
        <v>17102.347135423544</v>
      </c>
      <c r="F24" s="429">
        <v>2.187813648858501E-3</v>
      </c>
      <c r="G24" s="478">
        <v>1503.1689999999996</v>
      </c>
      <c r="H24" s="430">
        <v>7.7574227815516886E-2</v>
      </c>
      <c r="I24" s="431">
        <v>2772.009620000003</v>
      </c>
      <c r="J24" s="430">
        <v>0.1620835782392949</v>
      </c>
      <c r="K24" s="481">
        <v>3021.2289999999998</v>
      </c>
      <c r="L24" s="482">
        <v>0.155916937303022</v>
      </c>
      <c r="M24" s="864">
        <f>SUM(B24:B30)</f>
        <v>49497330</v>
      </c>
      <c r="N24" s="865">
        <f>SUM(C24:C30)</f>
        <v>121653.17465</v>
      </c>
      <c r="O24" s="865">
        <f>SUM(E24:E30)</f>
        <v>118133.70914207518</v>
      </c>
    </row>
    <row r="25" spans="1:17" ht="18.75">
      <c r="A25" s="434">
        <f t="shared" si="0"/>
        <v>45952</v>
      </c>
      <c r="B25" s="478">
        <v>7419770</v>
      </c>
      <c r="C25" s="478">
        <v>18313</v>
      </c>
      <c r="D25" s="479">
        <v>2.4681358047486646E-3</v>
      </c>
      <c r="E25" s="480">
        <v>16339.497014171407</v>
      </c>
      <c r="F25" s="429">
        <v>2.2021568073095805E-3</v>
      </c>
      <c r="G25" s="478">
        <v>1406.7330000000002</v>
      </c>
      <c r="H25" s="430">
        <v>7.6816086932779998E-2</v>
      </c>
      <c r="I25" s="431">
        <v>2846.0046400000065</v>
      </c>
      <c r="J25" s="430">
        <v>0.17417945225190459</v>
      </c>
      <c r="K25" s="481">
        <v>2672.8330000000001</v>
      </c>
      <c r="L25" s="482">
        <v>0.14595276579479058</v>
      </c>
      <c r="M25" s="864"/>
      <c r="N25" s="865"/>
      <c r="O25" s="865"/>
    </row>
    <row r="26" spans="1:17" ht="18.75">
      <c r="A26" s="434">
        <f>A25+1</f>
        <v>45953</v>
      </c>
      <c r="B26" s="478">
        <v>6310328</v>
      </c>
      <c r="C26" s="478">
        <v>15716</v>
      </c>
      <c r="D26" s="479">
        <v>2.4905203025896595E-3</v>
      </c>
      <c r="E26" s="480">
        <v>15808.669827730622</v>
      </c>
      <c r="F26" s="429">
        <v>2.5052057242873306E-3</v>
      </c>
      <c r="G26" s="478">
        <v>1390.857</v>
      </c>
      <c r="H26" s="430">
        <v>8.849942733519979E-2</v>
      </c>
      <c r="I26" s="431">
        <v>2513.377090000005</v>
      </c>
      <c r="J26" s="430">
        <v>0.15898725935759561</v>
      </c>
      <c r="K26" s="481">
        <v>2833.8619999999992</v>
      </c>
      <c r="L26" s="482">
        <v>0.18031700178162377</v>
      </c>
      <c r="M26" s="864"/>
      <c r="N26" s="865"/>
      <c r="O26" s="865"/>
    </row>
    <row r="27" spans="1:17" ht="18.75">
      <c r="A27" s="434">
        <f t="shared" si="0"/>
        <v>45954</v>
      </c>
      <c r="B27" s="478">
        <v>6007757</v>
      </c>
      <c r="C27" s="478">
        <v>14719.004649999999</v>
      </c>
      <c r="D27" s="479">
        <v>2.4499999999999999E-3</v>
      </c>
      <c r="E27" s="480">
        <v>16752.74134494277</v>
      </c>
      <c r="F27" s="429">
        <v>2.7885184678645906E-3</v>
      </c>
      <c r="G27" s="478">
        <v>1336.3530000000001</v>
      </c>
      <c r="H27" s="430">
        <v>9.0790989729050739E-2</v>
      </c>
      <c r="I27" s="431">
        <v>2486.0328599999989</v>
      </c>
      <c r="J27" s="430">
        <v>0.14839558546341847</v>
      </c>
      <c r="K27" s="481">
        <v>2232.5630000000001</v>
      </c>
      <c r="L27" s="482">
        <v>0.15167893842604366</v>
      </c>
      <c r="M27" s="864"/>
      <c r="N27" s="865"/>
      <c r="O27" s="865"/>
    </row>
    <row r="28" spans="1:17" ht="18.75">
      <c r="A28" s="434">
        <f t="shared" si="0"/>
        <v>45955</v>
      </c>
      <c r="B28" s="478">
        <v>6324783</v>
      </c>
      <c r="C28" s="478">
        <v>15356</v>
      </c>
      <c r="D28" s="479">
        <v>2.4279093844010143E-3</v>
      </c>
      <c r="E28" s="480">
        <v>15980.429411972606</v>
      </c>
      <c r="F28" s="429">
        <v>2.5266367892736565E-3</v>
      </c>
      <c r="G28" s="478">
        <v>1283.5229999999997</v>
      </c>
      <c r="H28" s="430">
        <v>8.3584462099505055E-2</v>
      </c>
      <c r="I28" s="431">
        <v>2270.7910599999991</v>
      </c>
      <c r="J28" s="430">
        <v>0.14209825039486818</v>
      </c>
      <c r="K28" s="481">
        <v>2399.7070000000003</v>
      </c>
      <c r="L28" s="482">
        <v>0.15627162021359731</v>
      </c>
      <c r="M28" s="864"/>
      <c r="N28" s="865"/>
      <c r="O28" s="865"/>
    </row>
    <row r="29" spans="1:17" ht="18.75">
      <c r="A29" s="434">
        <f t="shared" si="0"/>
        <v>45956</v>
      </c>
      <c r="B29" s="478">
        <v>7684569</v>
      </c>
      <c r="C29" s="478">
        <v>18829</v>
      </c>
      <c r="D29" s="479">
        <v>2.4502350099270369E-3</v>
      </c>
      <c r="E29" s="480">
        <v>19132.442880408689</v>
      </c>
      <c r="F29" s="429">
        <v>2.489722309788446E-3</v>
      </c>
      <c r="G29" s="478">
        <v>1442.7050000000002</v>
      </c>
      <c r="H29" s="430">
        <v>7.6621435020447187E-2</v>
      </c>
      <c r="I29" s="431">
        <v>2706.9131199999993</v>
      </c>
      <c r="J29" s="430">
        <v>0.14148287999186107</v>
      </c>
      <c r="K29" s="481">
        <v>2332.1729999999998</v>
      </c>
      <c r="L29" s="482">
        <v>0.12386069361091931</v>
      </c>
      <c r="M29" s="864"/>
      <c r="N29" s="865"/>
      <c r="O29" s="865"/>
    </row>
    <row r="30" spans="1:17" ht="18.75">
      <c r="A30" s="505">
        <f t="shared" si="0"/>
        <v>45957</v>
      </c>
      <c r="B30" s="506">
        <v>7933028</v>
      </c>
      <c r="C30" s="506">
        <v>19343</v>
      </c>
      <c r="D30" s="507">
        <v>2.4382871206303572E-3</v>
      </c>
      <c r="E30" s="508">
        <v>17017.581527425536</v>
      </c>
      <c r="F30" s="509">
        <v>2.145155863237283E-3</v>
      </c>
      <c r="G30" s="506">
        <v>1677.278</v>
      </c>
      <c r="H30" s="510">
        <v>8.6712402419479917E-2</v>
      </c>
      <c r="I30" s="511">
        <v>2719.1978800000034</v>
      </c>
      <c r="J30" s="510">
        <v>0.15978756297525259</v>
      </c>
      <c r="K30" s="512">
        <v>2846.5960000000009</v>
      </c>
      <c r="L30" s="513">
        <v>0.14716414206689762</v>
      </c>
      <c r="M30" s="864"/>
      <c r="N30" s="865"/>
      <c r="O30" s="865"/>
    </row>
    <row r="31" spans="1:17" ht="18.75">
      <c r="A31" s="434">
        <f t="shared" si="0"/>
        <v>45958</v>
      </c>
      <c r="B31" s="426">
        <v>8874807</v>
      </c>
      <c r="C31" s="426">
        <v>21899</v>
      </c>
      <c r="D31" s="427">
        <f t="shared" ref="D31:D39" si="1">C31/B31</f>
        <v>2.4675466181968801E-3</v>
      </c>
      <c r="E31" s="428">
        <v>19287.058307551641</v>
      </c>
      <c r="F31" s="429">
        <f>E31/B31</f>
        <v>2.1732369287074797E-3</v>
      </c>
      <c r="G31" s="426">
        <v>1654.0460000000003</v>
      </c>
      <c r="H31" s="430">
        <f t="shared" ref="H31:H39" si="2">G31/C31</f>
        <v>7.5530663500616477E-2</v>
      </c>
      <c r="I31" s="431">
        <v>2713.0277200000005</v>
      </c>
      <c r="J31" s="430">
        <f t="shared" ref="J31:J39" si="3">I31/E31</f>
        <v>0.14066570841120668</v>
      </c>
      <c r="K31" s="432">
        <v>2706.0520000000001</v>
      </c>
      <c r="L31" s="433">
        <f t="shared" ref="L31:L39" si="4">K31/C31</f>
        <v>0.12356966071510116</v>
      </c>
      <c r="M31" s="864">
        <f>SUM(B31:B37)</f>
        <v>52649495</v>
      </c>
      <c r="N31" s="865">
        <f>SUM(C31:C37)</f>
        <v>129274</v>
      </c>
      <c r="O31" s="865">
        <f>SUM(E31:E37)</f>
        <v>118981.92926777399</v>
      </c>
    </row>
    <row r="32" spans="1:17" ht="18.75">
      <c r="A32" s="434">
        <f t="shared" si="0"/>
        <v>45959</v>
      </c>
      <c r="B32" s="426">
        <v>8157355</v>
      </c>
      <c r="C32" s="426">
        <v>19907</v>
      </c>
      <c r="D32" s="427">
        <f t="shared" si="1"/>
        <v>2.4403743615424361E-3</v>
      </c>
      <c r="E32" s="428">
        <v>18476.672715869157</v>
      </c>
      <c r="F32" s="429">
        <f t="shared" ref="F32:F39" si="5">E32/B32</f>
        <v>2.2650323194061258E-3</v>
      </c>
      <c r="G32" s="426">
        <v>1504.5309999999999</v>
      </c>
      <c r="H32" s="430">
        <f t="shared" si="2"/>
        <v>7.55779876425378E-2</v>
      </c>
      <c r="I32" s="431">
        <v>2453.6157999999996</v>
      </c>
      <c r="J32" s="430">
        <f t="shared" si="3"/>
        <v>0.13279532726109552</v>
      </c>
      <c r="K32" s="432">
        <v>2807.1920000000005</v>
      </c>
      <c r="L32" s="433">
        <f t="shared" si="4"/>
        <v>0.1410153212437836</v>
      </c>
      <c r="M32" s="864"/>
      <c r="N32" s="865"/>
      <c r="O32" s="865"/>
    </row>
    <row r="33" spans="1:15" ht="18.75">
      <c r="A33" s="434">
        <f>A32+1</f>
        <v>45960</v>
      </c>
      <c r="B33" s="426">
        <v>7556926</v>
      </c>
      <c r="C33" s="426">
        <v>18659</v>
      </c>
      <c r="D33" s="427">
        <f t="shared" si="1"/>
        <v>2.469125673587382E-3</v>
      </c>
      <c r="E33" s="428">
        <v>16639.613695241827</v>
      </c>
      <c r="F33" s="429">
        <f t="shared" si="5"/>
        <v>2.2019024263624956E-3</v>
      </c>
      <c r="G33" s="426">
        <v>1663.9600000000003</v>
      </c>
      <c r="H33" s="430">
        <f t="shared" si="2"/>
        <v>8.9177340693499127E-2</v>
      </c>
      <c r="I33" s="431">
        <v>2440.3796600000032</v>
      </c>
      <c r="J33" s="430">
        <f t="shared" si="3"/>
        <v>0.14666083628478951</v>
      </c>
      <c r="K33" s="432">
        <v>2757.3480000000009</v>
      </c>
      <c r="L33" s="433">
        <f t="shared" si="4"/>
        <v>0.14777576504635836</v>
      </c>
      <c r="M33" s="864"/>
      <c r="N33" s="865"/>
      <c r="O33" s="865"/>
    </row>
    <row r="34" spans="1:15" ht="18.75">
      <c r="A34" s="434">
        <f t="shared" ref="A34:A37" si="6">A33+1</f>
        <v>45961</v>
      </c>
      <c r="B34" s="426">
        <v>6398548</v>
      </c>
      <c r="C34" s="426">
        <v>15802</v>
      </c>
      <c r="D34" s="427">
        <f t="shared" si="1"/>
        <v>2.4696227956717679E-3</v>
      </c>
      <c r="E34" s="428">
        <v>16577.67065205464</v>
      </c>
      <c r="F34" s="429">
        <f t="shared" si="5"/>
        <v>2.590848838213707E-3</v>
      </c>
      <c r="G34" s="426">
        <v>1403.1010000000001</v>
      </c>
      <c r="H34" s="430">
        <f t="shared" si="2"/>
        <v>8.8792621187191501E-2</v>
      </c>
      <c r="I34" s="431">
        <v>2081.9323200000003</v>
      </c>
      <c r="J34" s="430">
        <f t="shared" si="3"/>
        <v>0.12558654129987587</v>
      </c>
      <c r="K34" s="432">
        <v>2538.4559999999997</v>
      </c>
      <c r="L34" s="433">
        <f t="shared" si="4"/>
        <v>0.16064143779268444</v>
      </c>
      <c r="M34" s="864"/>
      <c r="N34" s="865"/>
      <c r="O34" s="865"/>
    </row>
    <row r="35" spans="1:15" ht="18.75">
      <c r="A35" s="434">
        <f t="shared" si="6"/>
        <v>45962</v>
      </c>
      <c r="B35" s="426">
        <v>6412266</v>
      </c>
      <c r="C35" s="426">
        <v>15645</v>
      </c>
      <c r="D35" s="427">
        <f t="shared" si="1"/>
        <v>2.4398551151808114E-3</v>
      </c>
      <c r="E35" s="428">
        <v>16537.339887973139</v>
      </c>
      <c r="F35" s="429">
        <f t="shared" si="5"/>
        <v>2.5790165111636261E-3</v>
      </c>
      <c r="G35" s="426">
        <v>1438.319</v>
      </c>
      <c r="H35" s="430">
        <f t="shared" si="2"/>
        <v>9.1934739533397244E-2</v>
      </c>
      <c r="I35" s="431">
        <v>2179.3240500000015</v>
      </c>
      <c r="J35" s="430">
        <f t="shared" si="3"/>
        <v>0.13178201964542832</v>
      </c>
      <c r="K35" s="432">
        <v>2168.4447000000005</v>
      </c>
      <c r="L35" s="433">
        <f t="shared" si="4"/>
        <v>0.13860304889741135</v>
      </c>
      <c r="M35" s="864"/>
      <c r="N35" s="865"/>
      <c r="O35" s="865"/>
    </row>
    <row r="36" spans="1:15" ht="18.75">
      <c r="A36" s="434">
        <f t="shared" si="6"/>
        <v>45963</v>
      </c>
      <c r="B36" s="426">
        <v>7718290</v>
      </c>
      <c r="C36" s="426">
        <v>18780</v>
      </c>
      <c r="D36" s="427">
        <f t="shared" si="1"/>
        <v>2.4331814430398444E-3</v>
      </c>
      <c r="E36" s="428">
        <v>15439.885608296649</v>
      </c>
      <c r="F36" s="429">
        <f t="shared" si="5"/>
        <v>2.0004282824688693E-3</v>
      </c>
      <c r="G36" s="426">
        <v>1567.0319999999999</v>
      </c>
      <c r="H36" s="430">
        <f t="shared" si="2"/>
        <v>8.3441533546325872E-2</v>
      </c>
      <c r="I36" s="431">
        <v>2507.9259199999938</v>
      </c>
      <c r="J36" s="430">
        <f t="shared" si="3"/>
        <v>0.16243163865491048</v>
      </c>
      <c r="K36" s="432">
        <v>3205.7310000000002</v>
      </c>
      <c r="L36" s="433">
        <f t="shared" si="4"/>
        <v>0.17069920127795529</v>
      </c>
      <c r="M36" s="864"/>
      <c r="N36" s="865"/>
      <c r="O36" s="865"/>
    </row>
    <row r="37" spans="1:15" ht="19.5" thickBot="1">
      <c r="A37" s="434">
        <f t="shared" si="6"/>
        <v>45964</v>
      </c>
      <c r="B37" s="441">
        <v>7531303</v>
      </c>
      <c r="C37" s="441">
        <v>18582</v>
      </c>
      <c r="D37" s="442">
        <f t="shared" si="1"/>
        <v>2.4673021388198031E-3</v>
      </c>
      <c r="E37" s="443">
        <v>16023.688400786916</v>
      </c>
      <c r="F37" s="444">
        <f t="shared" si="5"/>
        <v>2.1276117028868596E-3</v>
      </c>
      <c r="G37" s="441">
        <v>1546.1680000000001</v>
      </c>
      <c r="H37" s="445">
        <f t="shared" si="2"/>
        <v>8.3207835539769681E-2</v>
      </c>
      <c r="I37" s="446">
        <v>2374.3680100000042</v>
      </c>
      <c r="J37" s="445">
        <f t="shared" si="3"/>
        <v>0.14817861846860428</v>
      </c>
      <c r="K37" s="447">
        <v>2793.6050000000009</v>
      </c>
      <c r="L37" s="448">
        <f t="shared" si="4"/>
        <v>0.15033930685609734</v>
      </c>
      <c r="M37" s="864"/>
      <c r="N37" s="865"/>
      <c r="O37" s="865"/>
    </row>
    <row r="38" spans="1:15" ht="18.75">
      <c r="A38" s="449" t="s">
        <v>962</v>
      </c>
      <c r="B38" s="450">
        <f>AVERAGE(B4:B32)</f>
        <v>7258897</v>
      </c>
      <c r="C38" s="450">
        <f>AVERAGE(C4:C33)</f>
        <v>17877.729555000002</v>
      </c>
      <c r="D38" s="451">
        <f t="shared" si="1"/>
        <v>2.4628713639276052E-3</v>
      </c>
      <c r="E38" s="452">
        <f>AVERAGE(E4:E33)</f>
        <v>16806.529016612461</v>
      </c>
      <c r="F38" s="453">
        <f t="shared" si="5"/>
        <v>2.3153006602259904E-3</v>
      </c>
      <c r="G38" s="450">
        <f>AVERAGE(G4:G33)</f>
        <v>1468.6684</v>
      </c>
      <c r="H38" s="454">
        <f t="shared" si="2"/>
        <v>8.2150722522214586E-2</v>
      </c>
      <c r="I38" s="455">
        <f>AVERAGE(I4:I33)</f>
        <v>2893.1567033169404</v>
      </c>
      <c r="J38" s="454">
        <f t="shared" si="3"/>
        <v>0.17214480756003761</v>
      </c>
      <c r="K38" s="456">
        <f>AVERAGE(K4:K33)</f>
        <v>2748.4106333333325</v>
      </c>
      <c r="L38" s="457">
        <f t="shared" si="4"/>
        <v>0.1537337627173504</v>
      </c>
      <c r="M38" s="457"/>
      <c r="N38" s="458"/>
      <c r="O38" s="459"/>
    </row>
    <row r="39" spans="1:15" ht="18.75">
      <c r="A39" s="434" t="s">
        <v>963</v>
      </c>
      <c r="B39" s="426">
        <f>SUM(B4:B37)</f>
        <v>246125346</v>
      </c>
      <c r="C39" s="426">
        <f>SUM(C4:C37)</f>
        <v>605140.88665</v>
      </c>
      <c r="D39" s="427">
        <f t="shared" si="1"/>
        <v>2.458669521382816E-3</v>
      </c>
      <c r="E39" s="426">
        <f>SUM(E4:E37)</f>
        <v>568774.45504748519</v>
      </c>
      <c r="F39" s="460">
        <f t="shared" si="5"/>
        <v>2.3109137855614643E-3</v>
      </c>
      <c r="G39" s="426">
        <f>SUM(G4:G37)</f>
        <v>50014.672000000006</v>
      </c>
      <c r="H39" s="461">
        <f t="shared" si="2"/>
        <v>8.2649632677897988E-2</v>
      </c>
      <c r="I39" s="426">
        <f>SUM(I4:I37)</f>
        <v>95938.251399508212</v>
      </c>
      <c r="J39" s="461">
        <f t="shared" si="3"/>
        <v>0.16867538713829655</v>
      </c>
      <c r="K39" s="426">
        <f>SUM(K4:K37)</f>
        <v>93158.555699999983</v>
      </c>
      <c r="L39" s="433">
        <f t="shared" si="4"/>
        <v>0.15394523449855871</v>
      </c>
      <c r="M39" s="433"/>
      <c r="N39" s="439"/>
      <c r="O39" s="440"/>
    </row>
    <row r="40" spans="1:15" ht="18.75">
      <c r="A40" s="462"/>
      <c r="B40" s="462"/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2"/>
    </row>
    <row r="41" spans="1:15" ht="18.75">
      <c r="A41" s="462"/>
      <c r="B41" s="462"/>
      <c r="C41" s="462"/>
      <c r="D41" s="462"/>
      <c r="E41" s="462"/>
      <c r="F41" s="462"/>
      <c r="G41" s="462"/>
      <c r="H41" s="462"/>
      <c r="I41" s="462"/>
      <c r="J41" s="462"/>
      <c r="K41" s="462"/>
      <c r="L41" s="462"/>
      <c r="M41" s="462"/>
    </row>
    <row r="42" spans="1:15" ht="18.75">
      <c r="A42" s="462"/>
      <c r="B42" s="462"/>
      <c r="C42" s="462"/>
      <c r="D42" s="462"/>
      <c r="E42" s="462"/>
      <c r="F42" s="462"/>
      <c r="G42" s="462"/>
      <c r="H42" s="462"/>
      <c r="I42" s="462"/>
      <c r="J42" s="462"/>
      <c r="K42" s="462"/>
      <c r="L42" s="462"/>
      <c r="M42" s="462"/>
    </row>
    <row r="43" spans="1:15" ht="18.75">
      <c r="A43" s="462"/>
      <c r="B43" s="462"/>
      <c r="C43" s="462"/>
      <c r="D43" s="462"/>
      <c r="E43" s="462"/>
      <c r="F43" s="462"/>
      <c r="G43" s="462"/>
      <c r="H43" s="462"/>
      <c r="I43" s="462"/>
      <c r="J43" s="462"/>
      <c r="K43" s="462"/>
      <c r="L43" s="462"/>
      <c r="M43" s="462"/>
    </row>
    <row r="44" spans="1:15" ht="18.75">
      <c r="A44" s="462"/>
      <c r="B44" s="462"/>
      <c r="C44" s="462"/>
      <c r="D44" s="462"/>
      <c r="E44" s="462"/>
      <c r="F44" s="462"/>
      <c r="G44" s="462"/>
      <c r="H44" s="462"/>
      <c r="I44" s="462"/>
      <c r="J44" s="462"/>
      <c r="K44" s="462"/>
      <c r="L44" s="462"/>
      <c r="M44" s="462"/>
    </row>
    <row r="45" spans="1:15" ht="18.75">
      <c r="A45" s="462"/>
      <c r="B45" s="462"/>
      <c r="C45" s="462"/>
      <c r="D45" s="462"/>
      <c r="E45" s="462"/>
      <c r="F45" s="462"/>
      <c r="G45" s="462"/>
      <c r="H45" s="462"/>
      <c r="I45" s="462"/>
      <c r="J45" s="462"/>
      <c r="K45" s="462"/>
      <c r="L45" s="462"/>
      <c r="M45" s="462"/>
    </row>
    <row r="46" spans="1:15" ht="18.75">
      <c r="A46" s="462"/>
      <c r="B46" s="462"/>
      <c r="C46" s="462"/>
      <c r="D46" s="462"/>
      <c r="E46" s="462"/>
      <c r="F46" s="462"/>
      <c r="G46" s="462"/>
      <c r="H46" s="462"/>
      <c r="I46" s="462"/>
      <c r="J46" s="462"/>
      <c r="K46" s="462"/>
      <c r="L46" s="462"/>
      <c r="M46" s="462"/>
    </row>
    <row r="47" spans="1:15" ht="18.75">
      <c r="A47" s="462"/>
      <c r="B47" s="462"/>
      <c r="C47" s="462"/>
      <c r="D47" s="462"/>
      <c r="E47" s="462"/>
      <c r="F47" s="462"/>
      <c r="G47" s="462"/>
      <c r="H47" s="462"/>
      <c r="I47" s="462"/>
      <c r="J47" s="462"/>
      <c r="K47" s="462"/>
      <c r="L47" s="462"/>
      <c r="M47" s="462"/>
    </row>
    <row r="48" spans="1:15" ht="18.75">
      <c r="A48" s="462"/>
      <c r="B48" s="462"/>
      <c r="C48" s="462"/>
      <c r="D48" s="462"/>
      <c r="E48" s="462"/>
      <c r="F48" s="462"/>
      <c r="G48" s="462"/>
      <c r="H48" s="462"/>
      <c r="I48" s="462"/>
      <c r="J48" s="462"/>
      <c r="K48" s="462"/>
      <c r="L48" s="462"/>
      <c r="M48" s="462"/>
    </row>
    <row r="49" spans="1:13" ht="18.75">
      <c r="A49" s="462"/>
      <c r="B49" s="462"/>
      <c r="C49" s="462"/>
      <c r="D49" s="462"/>
      <c r="E49" s="462"/>
      <c r="F49" s="462"/>
      <c r="G49" s="462"/>
      <c r="H49" s="462"/>
      <c r="I49" s="462"/>
      <c r="J49" s="462"/>
      <c r="K49" s="462"/>
      <c r="L49" s="462"/>
      <c r="M49" s="462"/>
    </row>
    <row r="50" spans="1:13" ht="18.75">
      <c r="A50" s="462"/>
      <c r="B50" s="462"/>
      <c r="C50" s="462"/>
      <c r="D50" s="462"/>
      <c r="E50" s="462"/>
      <c r="F50" s="462"/>
      <c r="G50" s="462"/>
      <c r="H50" s="462"/>
      <c r="I50" s="462"/>
      <c r="J50" s="462"/>
      <c r="K50" s="462"/>
      <c r="L50" s="462"/>
      <c r="M50" s="462"/>
    </row>
    <row r="51" spans="1:13" ht="18.75">
      <c r="A51" s="462"/>
      <c r="B51" s="462"/>
      <c r="C51" s="462"/>
      <c r="D51" s="462"/>
      <c r="E51" s="462"/>
      <c r="F51" s="462"/>
      <c r="G51" s="462"/>
      <c r="H51" s="462"/>
      <c r="I51" s="462"/>
      <c r="J51" s="462"/>
      <c r="K51" s="462"/>
      <c r="L51" s="462"/>
      <c r="M51" s="462"/>
    </row>
    <row r="52" spans="1:13" ht="18.75">
      <c r="A52" s="462"/>
      <c r="B52" s="462"/>
      <c r="C52" s="462"/>
      <c r="D52" s="462"/>
      <c r="E52" s="462"/>
      <c r="F52" s="462"/>
      <c r="G52" s="462"/>
      <c r="H52" s="462"/>
      <c r="I52" s="462"/>
      <c r="J52" s="462"/>
      <c r="K52" s="462"/>
      <c r="L52" s="462"/>
      <c r="M52" s="462"/>
    </row>
    <row r="53" spans="1:13" ht="18.75">
      <c r="A53" s="462"/>
      <c r="B53" s="462"/>
      <c r="C53" s="462"/>
      <c r="D53" s="462"/>
      <c r="E53" s="462"/>
      <c r="F53" s="462"/>
      <c r="G53" s="462"/>
      <c r="H53" s="462"/>
      <c r="I53" s="462"/>
      <c r="J53" s="462"/>
      <c r="K53" s="462"/>
      <c r="L53" s="462"/>
      <c r="M53" s="462"/>
    </row>
    <row r="54" spans="1:13" ht="18.75">
      <c r="A54" s="462"/>
      <c r="B54" s="462"/>
      <c r="C54" s="462"/>
      <c r="D54" s="462"/>
      <c r="E54" s="462"/>
      <c r="F54" s="462"/>
      <c r="G54" s="462"/>
      <c r="H54" s="462"/>
      <c r="I54" s="462"/>
      <c r="J54" s="462"/>
      <c r="K54" s="462"/>
      <c r="L54" s="462"/>
      <c r="M54" s="462"/>
    </row>
    <row r="55" spans="1:13" ht="18.75">
      <c r="A55" s="462"/>
      <c r="B55" s="462"/>
      <c r="C55" s="462"/>
      <c r="D55" s="462"/>
      <c r="E55" s="462"/>
      <c r="F55" s="462"/>
      <c r="G55" s="462"/>
      <c r="H55" s="462"/>
      <c r="I55" s="462"/>
      <c r="J55" s="462"/>
      <c r="K55" s="462"/>
      <c r="L55" s="462"/>
      <c r="M55" s="462"/>
    </row>
    <row r="56" spans="1:13" ht="18.75">
      <c r="A56" s="462"/>
      <c r="B56" s="462"/>
      <c r="C56" s="462"/>
      <c r="D56" s="462"/>
      <c r="E56" s="462"/>
      <c r="F56" s="462"/>
      <c r="G56" s="462"/>
      <c r="H56" s="462"/>
      <c r="I56" s="462"/>
      <c r="J56" s="462"/>
      <c r="K56" s="462"/>
      <c r="L56" s="462"/>
      <c r="M56" s="462"/>
    </row>
    <row r="57" spans="1:13" ht="18.75">
      <c r="A57" s="462"/>
      <c r="B57" s="462"/>
      <c r="C57" s="462"/>
      <c r="D57" s="462"/>
      <c r="E57" s="462"/>
      <c r="F57" s="462"/>
      <c r="G57" s="462"/>
      <c r="H57" s="462"/>
      <c r="I57" s="462"/>
      <c r="J57" s="462"/>
      <c r="K57" s="462"/>
      <c r="L57" s="462"/>
      <c r="M57" s="462"/>
    </row>
    <row r="58" spans="1:13" ht="18.75">
      <c r="A58" s="462"/>
      <c r="B58" s="462"/>
      <c r="C58" s="462"/>
      <c r="D58" s="462"/>
      <c r="E58" s="462"/>
      <c r="F58" s="462"/>
      <c r="G58" s="462"/>
      <c r="H58" s="462"/>
      <c r="I58" s="462"/>
      <c r="J58" s="462"/>
      <c r="K58" s="462"/>
      <c r="L58" s="462"/>
      <c r="M58" s="462"/>
    </row>
    <row r="59" spans="1:13" ht="18.75">
      <c r="A59" s="462"/>
      <c r="B59" s="462"/>
      <c r="C59" s="462"/>
      <c r="D59" s="462"/>
      <c r="E59" s="462"/>
      <c r="F59" s="462"/>
      <c r="G59" s="462"/>
      <c r="H59" s="462"/>
      <c r="I59" s="462"/>
      <c r="J59" s="462"/>
      <c r="K59" s="462"/>
      <c r="L59" s="462"/>
      <c r="M59" s="462"/>
    </row>
    <row r="60" spans="1:13" ht="18.75">
      <c r="A60" s="462"/>
      <c r="B60" s="462"/>
      <c r="C60" s="462"/>
      <c r="D60" s="462"/>
      <c r="E60" s="462"/>
      <c r="F60" s="462"/>
      <c r="G60" s="462"/>
      <c r="H60" s="462"/>
      <c r="I60" s="462"/>
      <c r="J60" s="462"/>
      <c r="K60" s="462"/>
      <c r="L60" s="462"/>
      <c r="M60" s="462"/>
    </row>
    <row r="61" spans="1:13" ht="18.75">
      <c r="A61" s="462"/>
      <c r="B61" s="462"/>
      <c r="C61" s="462"/>
      <c r="D61" s="462"/>
      <c r="E61" s="462"/>
      <c r="F61" s="462"/>
      <c r="G61" s="462"/>
      <c r="H61" s="462"/>
      <c r="I61" s="462"/>
      <c r="J61" s="462"/>
      <c r="K61" s="462"/>
      <c r="L61" s="462"/>
      <c r="M61" s="462"/>
    </row>
    <row r="62" spans="1:13" ht="18.75">
      <c r="A62" s="462"/>
      <c r="B62" s="462"/>
      <c r="C62" s="462"/>
      <c r="D62" s="462"/>
      <c r="E62" s="462"/>
      <c r="F62" s="462"/>
      <c r="G62" s="462"/>
      <c r="H62" s="462"/>
      <c r="I62" s="462"/>
      <c r="J62" s="462"/>
      <c r="K62" s="462"/>
      <c r="L62" s="462"/>
      <c r="M62" s="462"/>
    </row>
    <row r="63" spans="1:13" ht="18.75">
      <c r="A63" s="462"/>
      <c r="B63" s="462"/>
      <c r="C63" s="462"/>
      <c r="D63" s="462"/>
      <c r="E63" s="462"/>
      <c r="F63" s="462"/>
      <c r="G63" s="462"/>
      <c r="H63" s="462"/>
      <c r="I63" s="462"/>
      <c r="J63" s="462"/>
      <c r="K63" s="462"/>
      <c r="L63" s="462"/>
      <c r="M63" s="462"/>
    </row>
    <row r="64" spans="1:13" ht="18.75">
      <c r="A64" s="462"/>
      <c r="B64" s="462"/>
      <c r="C64" s="462"/>
      <c r="D64" s="462"/>
      <c r="E64" s="462"/>
      <c r="F64" s="462"/>
      <c r="G64" s="462"/>
      <c r="H64" s="462"/>
      <c r="I64" s="462"/>
      <c r="J64" s="462"/>
      <c r="K64" s="462"/>
      <c r="L64" s="462"/>
      <c r="M64" s="462"/>
    </row>
    <row r="65" spans="1:13" ht="18.75">
      <c r="A65" s="462"/>
      <c r="B65" s="462"/>
      <c r="C65" s="462"/>
      <c r="D65" s="462"/>
      <c r="E65" s="462"/>
      <c r="F65" s="462"/>
      <c r="G65" s="462"/>
      <c r="H65" s="462"/>
      <c r="I65" s="462"/>
      <c r="J65" s="462"/>
      <c r="K65" s="462"/>
      <c r="L65" s="462"/>
      <c r="M65" s="462"/>
    </row>
    <row r="66" spans="1:13" ht="18.75">
      <c r="A66" s="462"/>
      <c r="B66" s="462"/>
      <c r="C66" s="462"/>
      <c r="D66" s="462"/>
      <c r="E66" s="462"/>
      <c r="F66" s="462"/>
      <c r="G66" s="462"/>
      <c r="H66" s="462"/>
      <c r="I66" s="462"/>
      <c r="J66" s="462"/>
      <c r="K66" s="462"/>
      <c r="L66" s="462"/>
      <c r="M66" s="462"/>
    </row>
    <row r="67" spans="1:13" ht="18.75">
      <c r="A67" s="462"/>
      <c r="B67" s="462"/>
      <c r="C67" s="462"/>
      <c r="D67" s="462"/>
      <c r="E67" s="462"/>
      <c r="F67" s="462"/>
      <c r="G67" s="462"/>
      <c r="H67" s="462"/>
      <c r="I67" s="462"/>
      <c r="J67" s="462"/>
      <c r="K67" s="462"/>
      <c r="L67" s="462"/>
      <c r="M67" s="462"/>
    </row>
  </sheetData>
  <mergeCells count="26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31:M37"/>
    <mergeCell ref="N31:N37"/>
    <mergeCell ref="O31:O37"/>
    <mergeCell ref="M4:M9"/>
    <mergeCell ref="N4:N9"/>
    <mergeCell ref="O4:O9"/>
    <mergeCell ref="M10:M16"/>
    <mergeCell ref="N10:N16"/>
    <mergeCell ref="O10:O16"/>
    <mergeCell ref="M17:M23"/>
    <mergeCell ref="N17:N23"/>
    <mergeCell ref="O17:O23"/>
    <mergeCell ref="M24:M30"/>
    <mergeCell ref="N24:N30"/>
    <mergeCell ref="O24:O30"/>
  </mergeCells>
  <phoneticPr fontId="11" type="noConversion"/>
  <conditionalFormatting sqref="D31:D33">
    <cfRule type="cellIs" dxfId="63" priority="63" operator="greaterThan">
      <formula>0.0025</formula>
    </cfRule>
  </conditionalFormatting>
  <conditionalFormatting sqref="H31:H33 J31:J33">
    <cfRule type="cellIs" dxfId="62" priority="64" operator="greaterThan">
      <formula>0.16</formula>
    </cfRule>
  </conditionalFormatting>
  <conditionalFormatting sqref="L31:L33">
    <cfRule type="cellIs" dxfId="61" priority="62" operator="greaterThan">
      <formula>0.15</formula>
    </cfRule>
  </conditionalFormatting>
  <conditionalFormatting sqref="D23">
    <cfRule type="cellIs" dxfId="60" priority="53" operator="greaterThan">
      <formula>0.0025</formula>
    </cfRule>
  </conditionalFormatting>
  <conditionalFormatting sqref="H23">
    <cfRule type="cellIs" dxfId="59" priority="52" operator="greaterThan">
      <formula>0.16</formula>
    </cfRule>
  </conditionalFormatting>
  <conditionalFormatting sqref="J23">
    <cfRule type="cellIs" dxfId="58" priority="51" operator="greaterThan">
      <formula>0.16</formula>
    </cfRule>
  </conditionalFormatting>
  <conditionalFormatting sqref="D4:D8">
    <cfRule type="cellIs" dxfId="57" priority="46" operator="greaterThan">
      <formula>0.0025</formula>
    </cfRule>
  </conditionalFormatting>
  <conditionalFormatting sqref="H4:H8">
    <cfRule type="cellIs" dxfId="56" priority="45" operator="greaterThan">
      <formula>0.16</formula>
    </cfRule>
  </conditionalFormatting>
  <conditionalFormatting sqref="J4:J8">
    <cfRule type="cellIs" dxfId="55" priority="44" operator="greaterThan">
      <formula>0.16</formula>
    </cfRule>
  </conditionalFormatting>
  <conditionalFormatting sqref="L4:L8">
    <cfRule type="cellIs" dxfId="54" priority="43" operator="greaterThan">
      <formula>0.15</formula>
    </cfRule>
  </conditionalFormatting>
  <conditionalFormatting sqref="D5:D7">
    <cfRule type="cellIs" dxfId="53" priority="42" operator="greaterThan">
      <formula>0.0025</formula>
    </cfRule>
  </conditionalFormatting>
  <conditionalFormatting sqref="J5:J7">
    <cfRule type="cellIs" dxfId="52" priority="40" operator="greaterThan">
      <formula>0.16</formula>
    </cfRule>
  </conditionalFormatting>
  <conditionalFormatting sqref="L5:L7">
    <cfRule type="cellIs" dxfId="51" priority="39" operator="greaterThan">
      <formula>0.15</formula>
    </cfRule>
  </conditionalFormatting>
  <conditionalFormatting sqref="D8">
    <cfRule type="cellIs" dxfId="50" priority="38" operator="greaterThan">
      <formula>0.0025</formula>
    </cfRule>
  </conditionalFormatting>
  <conditionalFormatting sqref="J8">
    <cfRule type="cellIs" dxfId="49" priority="36" operator="greaterThan">
      <formula>0.16</formula>
    </cfRule>
  </conditionalFormatting>
  <conditionalFormatting sqref="L8">
    <cfRule type="cellIs" dxfId="48" priority="35" operator="greaterThan">
      <formula>0.15</formula>
    </cfRule>
  </conditionalFormatting>
  <conditionalFormatting sqref="D17:D18">
    <cfRule type="cellIs" dxfId="47" priority="61" operator="greaterThan">
      <formula>0.0025</formula>
    </cfRule>
  </conditionalFormatting>
  <conditionalFormatting sqref="H17:H18">
    <cfRule type="cellIs" dxfId="46" priority="60" operator="greaterThan">
      <formula>0.16</formula>
    </cfRule>
  </conditionalFormatting>
  <conditionalFormatting sqref="J17:J18">
    <cfRule type="cellIs" dxfId="45" priority="59" operator="greaterThan">
      <formula>0.16</formula>
    </cfRule>
  </conditionalFormatting>
  <conditionalFormatting sqref="L17:L18">
    <cfRule type="cellIs" dxfId="44" priority="58" operator="greaterThan">
      <formula>0.15</formula>
    </cfRule>
  </conditionalFormatting>
  <conditionalFormatting sqref="D19:D22">
    <cfRule type="cellIs" dxfId="43" priority="57" operator="greaterThan">
      <formula>0.0025</formula>
    </cfRule>
  </conditionalFormatting>
  <conditionalFormatting sqref="H19:H22">
    <cfRule type="cellIs" dxfId="42" priority="56" operator="greaterThan">
      <formula>0.16</formula>
    </cfRule>
  </conditionalFormatting>
  <conditionalFormatting sqref="J19:J22">
    <cfRule type="cellIs" dxfId="41" priority="55" operator="greaterThan">
      <formula>0.16</formula>
    </cfRule>
  </conditionalFormatting>
  <conditionalFormatting sqref="L19:L22">
    <cfRule type="cellIs" dxfId="40" priority="54" operator="greaterThan">
      <formula>0.15</formula>
    </cfRule>
  </conditionalFormatting>
  <conditionalFormatting sqref="L23">
    <cfRule type="cellIs" dxfId="39" priority="50" operator="greaterThan">
      <formula>0.15</formula>
    </cfRule>
  </conditionalFormatting>
  <conditionalFormatting sqref="J38:J39 H38:H39">
    <cfRule type="cellIs" dxfId="38" priority="49" operator="greaterThan">
      <formula>0.16</formula>
    </cfRule>
  </conditionalFormatting>
  <conditionalFormatting sqref="L38:M39">
    <cfRule type="cellIs" dxfId="37" priority="47" operator="greaterThan">
      <formula>0.15</formula>
    </cfRule>
  </conditionalFormatting>
  <conditionalFormatting sqref="D38:D39">
    <cfRule type="cellIs" dxfId="36" priority="48" operator="greaterThan">
      <formula>0.0025</formula>
    </cfRule>
  </conditionalFormatting>
  <conditionalFormatting sqref="L10:L16">
    <cfRule type="cellIs" dxfId="35" priority="19" operator="greaterThan">
      <formula>0.15</formula>
    </cfRule>
  </conditionalFormatting>
  <conditionalFormatting sqref="L34">
    <cfRule type="cellIs" dxfId="34" priority="16" operator="greaterThan">
      <formula>0.15</formula>
    </cfRule>
  </conditionalFormatting>
  <conditionalFormatting sqref="H5:H7">
    <cfRule type="cellIs" dxfId="33" priority="41" operator="greaterThan">
      <formula>0.16</formula>
    </cfRule>
  </conditionalFormatting>
  <conditionalFormatting sqref="H8">
    <cfRule type="cellIs" dxfId="32" priority="37" operator="greaterThan">
      <formula>0.16</formula>
    </cfRule>
  </conditionalFormatting>
  <conditionalFormatting sqref="D9">
    <cfRule type="cellIs" dxfId="31" priority="34" operator="greaterThan">
      <formula>0.0025</formula>
    </cfRule>
  </conditionalFormatting>
  <conditionalFormatting sqref="H9">
    <cfRule type="cellIs" dxfId="30" priority="33" operator="greaterThan">
      <formula>0.16</formula>
    </cfRule>
  </conditionalFormatting>
  <conditionalFormatting sqref="J9">
    <cfRule type="cellIs" dxfId="29" priority="32" operator="greaterThan">
      <formula>0.16</formula>
    </cfRule>
  </conditionalFormatting>
  <conditionalFormatting sqref="L9">
    <cfRule type="cellIs" dxfId="28" priority="31" operator="greaterThan">
      <formula>0.15</formula>
    </cfRule>
  </conditionalFormatting>
  <conditionalFormatting sqref="D9">
    <cfRule type="cellIs" dxfId="27" priority="30" operator="greaterThan">
      <formula>0.0025</formula>
    </cfRule>
  </conditionalFormatting>
  <conditionalFormatting sqref="H9">
    <cfRule type="cellIs" dxfId="26" priority="29" operator="greaterThan">
      <formula>0.16</formula>
    </cfRule>
  </conditionalFormatting>
  <conditionalFormatting sqref="J9">
    <cfRule type="cellIs" dxfId="25" priority="28" operator="greaterThan">
      <formula>0.16</formula>
    </cfRule>
  </conditionalFormatting>
  <conditionalFormatting sqref="L9">
    <cfRule type="cellIs" dxfId="24" priority="27" operator="greaterThan">
      <formula>0.15</formula>
    </cfRule>
  </conditionalFormatting>
  <conditionalFormatting sqref="D10:D16">
    <cfRule type="cellIs" dxfId="23" priority="26" operator="greaterThan">
      <formula>0.0025</formula>
    </cfRule>
  </conditionalFormatting>
  <conditionalFormatting sqref="H10:H16">
    <cfRule type="cellIs" dxfId="22" priority="25" operator="greaterThan">
      <formula>0.16</formula>
    </cfRule>
  </conditionalFormatting>
  <conditionalFormatting sqref="J10:J16">
    <cfRule type="cellIs" dxfId="21" priority="24" operator="greaterThan">
      <formula>0.16</formula>
    </cfRule>
  </conditionalFormatting>
  <conditionalFormatting sqref="L10:L16">
    <cfRule type="cellIs" dxfId="20" priority="23" operator="greaterThan">
      <formula>0.15</formula>
    </cfRule>
  </conditionalFormatting>
  <conditionalFormatting sqref="D10:D16">
    <cfRule type="cellIs" dxfId="19" priority="22" operator="greaterThan">
      <formula>0.0025</formula>
    </cfRule>
  </conditionalFormatting>
  <conditionalFormatting sqref="H10:H16">
    <cfRule type="cellIs" dxfId="18" priority="21" operator="greaterThan">
      <formula>0.16</formula>
    </cfRule>
  </conditionalFormatting>
  <conditionalFormatting sqref="J10:J16">
    <cfRule type="cellIs" dxfId="17" priority="20" operator="greaterThan">
      <formula>0.16</formula>
    </cfRule>
  </conditionalFormatting>
  <conditionalFormatting sqref="D34">
    <cfRule type="cellIs" dxfId="16" priority="17" operator="greaterThan">
      <formula>0.0025</formula>
    </cfRule>
  </conditionalFormatting>
  <conditionalFormatting sqref="H34 J34">
    <cfRule type="cellIs" dxfId="15" priority="18" operator="greaterThan">
      <formula>0.16</formula>
    </cfRule>
  </conditionalFormatting>
  <conditionalFormatting sqref="L24:L25">
    <cfRule type="cellIs" dxfId="14" priority="15" operator="greaterThan">
      <formula>0.15</formula>
    </cfRule>
  </conditionalFormatting>
  <conditionalFormatting sqref="L26:L29">
    <cfRule type="cellIs" dxfId="13" priority="14" operator="greaterThan">
      <formula>0.15</formula>
    </cfRule>
  </conditionalFormatting>
  <conditionalFormatting sqref="L30">
    <cfRule type="cellIs" dxfId="12" priority="13" operator="greaterThan">
      <formula>0.15</formula>
    </cfRule>
  </conditionalFormatting>
  <conditionalFormatting sqref="D24:D30">
    <cfRule type="cellIs" dxfId="11" priority="12" operator="greaterThan">
      <formula>0.0025</formula>
    </cfRule>
  </conditionalFormatting>
  <conditionalFormatting sqref="H24:H30">
    <cfRule type="cellIs" dxfId="10" priority="11" operator="greaterThan">
      <formula>0.16</formula>
    </cfRule>
  </conditionalFormatting>
  <conditionalFormatting sqref="J24:J30">
    <cfRule type="cellIs" dxfId="9" priority="10" operator="greaterThan">
      <formula>0.16</formula>
    </cfRule>
  </conditionalFormatting>
  <conditionalFormatting sqref="D24:D30">
    <cfRule type="cellIs" dxfId="8" priority="9" operator="greaterThan">
      <formula>0.0025</formula>
    </cfRule>
  </conditionalFormatting>
  <conditionalFormatting sqref="H24:H30">
    <cfRule type="cellIs" dxfId="7" priority="8" operator="greaterThan">
      <formula>0.16</formula>
    </cfRule>
  </conditionalFormatting>
  <conditionalFormatting sqref="J24:J30">
    <cfRule type="cellIs" dxfId="6" priority="7" operator="greaterThan">
      <formula>0.16</formula>
    </cfRule>
  </conditionalFormatting>
  <conditionalFormatting sqref="L36:L37">
    <cfRule type="cellIs" dxfId="5" priority="4" operator="greaterThan">
      <formula>0.15</formula>
    </cfRule>
  </conditionalFormatting>
  <conditionalFormatting sqref="D36:D37">
    <cfRule type="cellIs" dxfId="4" priority="5" operator="greaterThan">
      <formula>0.0025</formula>
    </cfRule>
  </conditionalFormatting>
  <conditionalFormatting sqref="H36:H37 J36:J37">
    <cfRule type="cellIs" dxfId="3" priority="6" operator="greaterThan">
      <formula>0.16</formula>
    </cfRule>
  </conditionalFormatting>
  <conditionalFormatting sqref="L35">
    <cfRule type="cellIs" dxfId="2" priority="1" operator="greaterThan">
      <formula>0.15</formula>
    </cfRule>
  </conditionalFormatting>
  <conditionalFormatting sqref="D35">
    <cfRule type="cellIs" dxfId="1" priority="2" operator="greaterThan">
      <formula>0.0025</formula>
    </cfRule>
  </conditionalFormatting>
  <conditionalFormatting sqref="H35 J35">
    <cfRule type="cellIs" dxfId="0" priority="3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14"/>
    <col min="3" max="3" width="14" style="214" bestFit="1" customWidth="1"/>
    <col min="4" max="4" width="0.28515625" style="214" customWidth="1"/>
    <col min="5" max="5" width="8.7109375" style="214"/>
    <col min="6" max="6" width="16.28515625" style="214" bestFit="1" customWidth="1"/>
    <col min="7" max="16384" width="8.7109375" style="214"/>
  </cols>
  <sheetData>
    <row r="2" spans="2:7" ht="15.75">
      <c r="B2" s="873" t="s">
        <v>252</v>
      </c>
      <c r="C2" s="873"/>
      <c r="D2" s="873"/>
      <c r="E2" s="873"/>
      <c r="F2" s="873"/>
    </row>
    <row r="3" spans="2:7" ht="15">
      <c r="B3" s="215" t="s">
        <v>253</v>
      </c>
      <c r="C3" s="215" t="s">
        <v>254</v>
      </c>
      <c r="D3" s="216"/>
      <c r="E3" s="215" t="s">
        <v>255</v>
      </c>
      <c r="F3" s="215" t="s">
        <v>256</v>
      </c>
      <c r="G3" s="216"/>
    </row>
    <row r="4" spans="2:7" ht="15">
      <c r="B4" s="217" t="s">
        <v>257</v>
      </c>
      <c r="C4" s="217" t="s">
        <v>258</v>
      </c>
      <c r="D4" s="216"/>
      <c r="E4" s="217" t="s">
        <v>259</v>
      </c>
      <c r="F4" s="217" t="s">
        <v>260</v>
      </c>
      <c r="G4" s="216"/>
    </row>
    <row r="5" spans="2:7" ht="15">
      <c r="B5" s="217" t="s">
        <v>261</v>
      </c>
      <c r="C5" s="217" t="s">
        <v>262</v>
      </c>
      <c r="D5" s="216"/>
      <c r="E5" s="217" t="s">
        <v>263</v>
      </c>
      <c r="F5" s="217" t="s">
        <v>264</v>
      </c>
      <c r="G5" s="216"/>
    </row>
    <row r="6" spans="2:7" ht="15">
      <c r="B6" s="217" t="s">
        <v>265</v>
      </c>
      <c r="C6" s="217" t="s">
        <v>266</v>
      </c>
      <c r="D6" s="216"/>
      <c r="E6" s="218" t="s">
        <v>267</v>
      </c>
      <c r="F6" s="218" t="s">
        <v>136</v>
      </c>
      <c r="G6" s="216"/>
    </row>
    <row r="7" spans="2:7" ht="15">
      <c r="B7" s="218" t="s">
        <v>268</v>
      </c>
      <c r="C7" s="218" t="s">
        <v>269</v>
      </c>
      <c r="D7" s="216"/>
      <c r="E7" s="217" t="s">
        <v>270</v>
      </c>
      <c r="F7" s="217" t="s">
        <v>271</v>
      </c>
      <c r="G7" s="216"/>
    </row>
    <row r="8" spans="2:7" ht="15">
      <c r="B8" s="217" t="s">
        <v>272</v>
      </c>
      <c r="C8" s="217" t="s">
        <v>273</v>
      </c>
      <c r="D8" s="216"/>
      <c r="E8" s="217" t="s">
        <v>274</v>
      </c>
      <c r="F8" s="217" t="s">
        <v>275</v>
      </c>
      <c r="G8" s="216"/>
    </row>
    <row r="9" spans="2:7" ht="15">
      <c r="B9" s="217" t="s">
        <v>276</v>
      </c>
      <c r="C9" s="217" t="s">
        <v>277</v>
      </c>
      <c r="D9" s="216"/>
      <c r="E9" s="218" t="s">
        <v>278</v>
      </c>
      <c r="F9" s="218" t="s">
        <v>135</v>
      </c>
      <c r="G9" s="216"/>
    </row>
    <row r="10" spans="2:7" ht="15">
      <c r="B10" s="217" t="s">
        <v>279</v>
      </c>
      <c r="C10" s="217" t="s">
        <v>280</v>
      </c>
      <c r="D10" s="216"/>
      <c r="E10" s="217" t="s">
        <v>281</v>
      </c>
      <c r="F10" s="217" t="s">
        <v>282</v>
      </c>
      <c r="G10" s="216"/>
    </row>
    <row r="11" spans="2:7" ht="15">
      <c r="B11" s="217" t="s">
        <v>283</v>
      </c>
      <c r="C11" s="217" t="s">
        <v>284</v>
      </c>
      <c r="D11" s="216"/>
      <c r="E11" s="217" t="s">
        <v>285</v>
      </c>
      <c r="F11" s="217" t="s">
        <v>275</v>
      </c>
      <c r="G11" s="216"/>
    </row>
    <row r="12" spans="2:7" ht="15">
      <c r="B12" s="217" t="s">
        <v>286</v>
      </c>
      <c r="C12" s="217" t="s">
        <v>287</v>
      </c>
      <c r="D12" s="216"/>
      <c r="E12" s="217" t="s">
        <v>288</v>
      </c>
      <c r="F12" s="217" t="s">
        <v>289</v>
      </c>
      <c r="G12" s="216"/>
    </row>
    <row r="13" spans="2:7" ht="15">
      <c r="B13" s="218" t="s">
        <v>290</v>
      </c>
      <c r="C13" s="218" t="s">
        <v>131</v>
      </c>
      <c r="D13" s="216"/>
      <c r="E13" s="217" t="s">
        <v>291</v>
      </c>
      <c r="F13" s="217" t="s">
        <v>292</v>
      </c>
      <c r="G13" s="216"/>
    </row>
    <row r="14" spans="2:7" ht="15">
      <c r="B14" s="217" t="s">
        <v>293</v>
      </c>
      <c r="C14" s="217" t="s">
        <v>294</v>
      </c>
      <c r="D14" s="216"/>
      <c r="E14" s="218" t="s">
        <v>295</v>
      </c>
      <c r="F14" s="218" t="s">
        <v>296</v>
      </c>
      <c r="G14" s="216"/>
    </row>
    <row r="15" spans="2:7" ht="15">
      <c r="B15" s="218" t="s">
        <v>297</v>
      </c>
      <c r="C15" s="218" t="s">
        <v>298</v>
      </c>
      <c r="D15" s="216"/>
      <c r="E15" s="217" t="s">
        <v>299</v>
      </c>
      <c r="F15" s="217" t="s">
        <v>296</v>
      </c>
      <c r="G15" s="216"/>
    </row>
    <row r="16" spans="2:7" ht="15">
      <c r="B16" s="217" t="s">
        <v>300</v>
      </c>
      <c r="C16" s="217" t="s">
        <v>301</v>
      </c>
      <c r="D16" s="216"/>
      <c r="E16" s="218" t="s">
        <v>302</v>
      </c>
      <c r="F16" s="218" t="s">
        <v>303</v>
      </c>
      <c r="G16" s="216"/>
    </row>
    <row r="17" spans="2:7" ht="15">
      <c r="B17" s="217" t="s">
        <v>304</v>
      </c>
      <c r="C17" s="217" t="s">
        <v>305</v>
      </c>
      <c r="D17" s="216"/>
      <c r="E17" s="217" t="s">
        <v>306</v>
      </c>
      <c r="F17" s="217" t="s">
        <v>307</v>
      </c>
      <c r="G17" s="216"/>
    </row>
    <row r="18" spans="2:7" ht="15">
      <c r="B18" s="217" t="s">
        <v>308</v>
      </c>
      <c r="C18" s="217" t="s">
        <v>309</v>
      </c>
      <c r="D18" s="216"/>
      <c r="E18" s="217" t="s">
        <v>310</v>
      </c>
      <c r="F18" s="217" t="s">
        <v>311</v>
      </c>
      <c r="G18" s="216"/>
    </row>
    <row r="19" spans="2:7" ht="15">
      <c r="B19" s="217" t="s">
        <v>312</v>
      </c>
      <c r="C19" s="217" t="s">
        <v>313</v>
      </c>
      <c r="D19" s="216"/>
      <c r="E19" s="217" t="s">
        <v>314</v>
      </c>
      <c r="F19" s="217" t="s">
        <v>315</v>
      </c>
      <c r="G19" s="216"/>
    </row>
    <row r="20" spans="2:7" ht="15">
      <c r="B20" s="217" t="s">
        <v>316</v>
      </c>
      <c r="C20" s="217" t="s">
        <v>317</v>
      </c>
      <c r="D20" s="216"/>
      <c r="G20" s="216"/>
    </row>
    <row r="21" spans="2:7" ht="15">
      <c r="D21" s="216"/>
      <c r="G21" s="216"/>
    </row>
    <row r="22" spans="2:7" ht="15">
      <c r="D22" s="216"/>
      <c r="G22" s="216"/>
    </row>
    <row r="23" spans="2:7" ht="15">
      <c r="D23" s="216"/>
      <c r="G23" s="216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BD298D-BB33-4A10-9655-B42DC9919B58}"/>
</file>

<file path=customXml/itemProps2.xml><?xml version="1.0" encoding="utf-8"?>
<ds:datastoreItem xmlns:ds="http://schemas.openxmlformats.org/officeDocument/2006/customXml" ds:itemID="{A6C80310-91D9-470C-B516-50B6E81FBE2B}"/>
</file>

<file path=customXml/itemProps3.xml><?xml version="1.0" encoding="utf-8"?>
<ds:datastoreItem xmlns:ds="http://schemas.openxmlformats.org/officeDocument/2006/customXml" ds:itemID="{F7F58C73-88EE-4249-AE42-CB4FCCB0D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8-3(月超用)</vt:lpstr>
      <vt:lpstr>生產管理報表 8-4(月超用)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8-3(月超用)'!Print_Area</vt:lpstr>
      <vt:lpstr>'生產管理報表 8-4(月超用)'!Print_Area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2025-11-05T00:28:18Z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