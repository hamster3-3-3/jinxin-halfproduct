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"/>
    </mc:Choice>
  </mc:AlternateContent>
  <xr:revisionPtr revIDLastSave="0" documentId="11_4517C3E36D65CDD51BF54ADD36B61296B60BF863" xr6:coauthVersionLast="47" xr6:coauthVersionMax="47" xr10:uidLastSave="{00000000-0000-0000-0000-000000000000}"/>
  <bookViews>
    <workbookView xWindow="0" yWindow="0" windowWidth="28800" windowHeight="12390" tabRatio="924" firstSheet="25" activeTab="25" xr2:uid="{00000000-000D-0000-FFFF-FFFF00000000}"/>
  </bookViews>
  <sheets>
    <sheet name="填寫舉例" sheetId="1" state="hidden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7-1 (週)" sheetId="41" r:id="rId23"/>
    <sheet name="生產管理報表 8-1" sheetId="19" r:id="rId24"/>
    <sheet name="生產管理報表 8-2" sheetId="20" r:id="rId25"/>
    <sheet name="生產管理報表 9" sheetId="21" r:id="rId26"/>
    <sheet name="報廢－原因別分析" sheetId="29" r:id="rId27"/>
    <sheet name="超用－原因別分析" sheetId="43" r:id="rId28"/>
    <sheet name="鮮食品群番" sheetId="38" state="hidden" r:id="rId29"/>
  </sheets>
  <externalReferences>
    <externalReference r:id="rId30"/>
    <externalReference r:id="rId31"/>
    <externalReference r:id="rId32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6" hidden="1">'報廢－原因別分析'!$U$7:$U$118</definedName>
    <definedName name="_xlnm._FilterDatabase" localSheetId="27" hidden="1">'超用－原因別分析'!$U$7:$U$118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2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6" i="6" l="1"/>
  <c r="AI46" i="6"/>
  <c r="AG46" i="6"/>
  <c r="AE46" i="6"/>
  <c r="AA46" i="6"/>
  <c r="Y46" i="6"/>
  <c r="W46" i="6"/>
  <c r="U46" i="6"/>
  <c r="Q46" i="6"/>
  <c r="O46" i="6"/>
  <c r="K46" i="6"/>
  <c r="I46" i="6"/>
  <c r="AK46" i="7"/>
  <c r="AI46" i="7"/>
  <c r="AG46" i="7"/>
  <c r="AE46" i="7"/>
  <c r="AA46" i="7"/>
  <c r="Y46" i="7"/>
  <c r="W46" i="7"/>
  <c r="U46" i="7"/>
  <c r="K170" i="33" l="1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M54" i="41" l="1"/>
  <c r="K54" i="41"/>
  <c r="I54" i="41"/>
  <c r="G54" i="41"/>
  <c r="M53" i="41"/>
  <c r="K53" i="41"/>
  <c r="I53" i="41"/>
  <c r="G53" i="41"/>
  <c r="M49" i="41"/>
  <c r="K49" i="41"/>
  <c r="I49" i="41"/>
  <c r="G49" i="41"/>
  <c r="C49" i="41"/>
  <c r="M48" i="41"/>
  <c r="K48" i="41"/>
  <c r="I48" i="41"/>
  <c r="G48" i="41"/>
  <c r="C48" i="41"/>
  <c r="K166" i="8" l="1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R35" i="5"/>
  <c r="R34" i="5"/>
  <c r="R33" i="5"/>
  <c r="R32" i="5"/>
  <c r="R31" i="5"/>
  <c r="R30" i="5"/>
  <c r="M316" i="43" l="1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316" i="29"/>
  <c r="K316" i="29"/>
  <c r="I316" i="29"/>
  <c r="M315" i="29"/>
  <c r="K315" i="29"/>
  <c r="I315" i="29"/>
  <c r="M314" i="29"/>
  <c r="K314" i="29"/>
  <c r="I314" i="29"/>
  <c r="M313" i="29"/>
  <c r="K313" i="29"/>
  <c r="I313" i="29"/>
  <c r="M312" i="29"/>
  <c r="K312" i="29"/>
  <c r="I312" i="29"/>
  <c r="M311" i="29"/>
  <c r="K311" i="29"/>
  <c r="I311" i="29"/>
  <c r="M310" i="29"/>
  <c r="K310" i="29"/>
  <c r="I310" i="29"/>
  <c r="M309" i="29"/>
  <c r="K309" i="29"/>
  <c r="I309" i="29"/>
  <c r="M308" i="29"/>
  <c r="K308" i="29"/>
  <c r="I308" i="29"/>
  <c r="M307" i="29"/>
  <c r="K307" i="29"/>
  <c r="I307" i="29"/>
  <c r="M306" i="29"/>
  <c r="K306" i="29"/>
  <c r="I306" i="29"/>
  <c r="M305" i="29"/>
  <c r="K305" i="29"/>
  <c r="I305" i="29"/>
  <c r="M304" i="29"/>
  <c r="K304" i="29"/>
  <c r="I304" i="29"/>
  <c r="M303" i="29"/>
  <c r="K303" i="29"/>
  <c r="I303" i="29"/>
  <c r="M302" i="29"/>
  <c r="K302" i="29"/>
  <c r="I302" i="29"/>
  <c r="M301" i="29"/>
  <c r="K301" i="29"/>
  <c r="I301" i="29"/>
  <c r="M300" i="29"/>
  <c r="K300" i="29"/>
  <c r="I300" i="29"/>
  <c r="M299" i="29"/>
  <c r="K299" i="29"/>
  <c r="I299" i="29"/>
  <c r="M298" i="29"/>
  <c r="K298" i="29"/>
  <c r="I298" i="29"/>
  <c r="M297" i="29"/>
  <c r="K297" i="29"/>
  <c r="I297" i="29"/>
  <c r="M296" i="29"/>
  <c r="K296" i="29"/>
  <c r="I296" i="29"/>
  <c r="M295" i="29"/>
  <c r="K295" i="29"/>
  <c r="I295" i="29"/>
  <c r="M294" i="29"/>
  <c r="K294" i="29"/>
  <c r="I294" i="29"/>
  <c r="M293" i="29"/>
  <c r="K293" i="29"/>
  <c r="I293" i="29"/>
  <c r="M292" i="29"/>
  <c r="K292" i="29"/>
  <c r="I292" i="29"/>
  <c r="M291" i="29"/>
  <c r="K291" i="29"/>
  <c r="I291" i="29"/>
  <c r="M290" i="29"/>
  <c r="K290" i="29"/>
  <c r="I290" i="29"/>
  <c r="M289" i="29"/>
  <c r="K289" i="29"/>
  <c r="I289" i="29"/>
  <c r="M288" i="29"/>
  <c r="K288" i="29"/>
  <c r="I288" i="29"/>
  <c r="M287" i="29"/>
  <c r="K287" i="29"/>
  <c r="I287" i="29"/>
  <c r="M286" i="29"/>
  <c r="K286" i="29"/>
  <c r="I286" i="29"/>
  <c r="M285" i="29"/>
  <c r="K285" i="29"/>
  <c r="I285" i="29"/>
  <c r="M284" i="29"/>
  <c r="K284" i="29"/>
  <c r="I284" i="29"/>
  <c r="M283" i="29"/>
  <c r="K283" i="29"/>
  <c r="I283" i="29"/>
  <c r="M282" i="29"/>
  <c r="K282" i="29"/>
  <c r="I282" i="29"/>
  <c r="M281" i="29"/>
  <c r="K281" i="29"/>
  <c r="I281" i="29"/>
  <c r="M280" i="29"/>
  <c r="K280" i="29"/>
  <c r="I280" i="29"/>
  <c r="M279" i="29"/>
  <c r="K279" i="29"/>
  <c r="I279" i="29"/>
  <c r="M278" i="29"/>
  <c r="K278" i="29"/>
  <c r="I278" i="29"/>
  <c r="M277" i="29"/>
  <c r="K277" i="29"/>
  <c r="I277" i="29"/>
  <c r="M276" i="29"/>
  <c r="K276" i="29"/>
  <c r="I276" i="29"/>
  <c r="M275" i="29"/>
  <c r="K275" i="29"/>
  <c r="I275" i="29"/>
  <c r="M274" i="29"/>
  <c r="K274" i="29"/>
  <c r="I274" i="29"/>
  <c r="M273" i="29"/>
  <c r="K273" i="29"/>
  <c r="I273" i="29"/>
  <c r="M272" i="29"/>
  <c r="K272" i="29"/>
  <c r="I272" i="29"/>
  <c r="M271" i="29"/>
  <c r="K271" i="29"/>
  <c r="I271" i="29"/>
  <c r="M270" i="29"/>
  <c r="K270" i="29"/>
  <c r="I270" i="29"/>
  <c r="M269" i="29"/>
  <c r="K269" i="29"/>
  <c r="I269" i="29"/>
  <c r="M268" i="29"/>
  <c r="K268" i="29"/>
  <c r="I268" i="29"/>
  <c r="M267" i="29"/>
  <c r="K267" i="29"/>
  <c r="I267" i="29"/>
  <c r="M266" i="29"/>
  <c r="K266" i="29"/>
  <c r="I266" i="29"/>
  <c r="M265" i="29"/>
  <c r="K265" i="29"/>
  <c r="I265" i="29"/>
  <c r="M264" i="29"/>
  <c r="K264" i="29"/>
  <c r="I264" i="29"/>
  <c r="M263" i="29"/>
  <c r="K263" i="29"/>
  <c r="I263" i="29"/>
  <c r="M262" i="29"/>
  <c r="K262" i="29"/>
  <c r="I262" i="29"/>
  <c r="M261" i="29"/>
  <c r="K261" i="29"/>
  <c r="I261" i="29"/>
  <c r="M260" i="29"/>
  <c r="K260" i="29"/>
  <c r="I260" i="29"/>
  <c r="M259" i="29"/>
  <c r="K259" i="29"/>
  <c r="I259" i="29"/>
  <c r="M258" i="29"/>
  <c r="K258" i="29"/>
  <c r="I258" i="29"/>
  <c r="M257" i="29"/>
  <c r="K257" i="29"/>
  <c r="I257" i="29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35" i="5" l="1"/>
  <c r="I34" i="5"/>
  <c r="I33" i="5"/>
  <c r="I32" i="5"/>
  <c r="I31" i="5"/>
  <c r="I30" i="5"/>
  <c r="I29" i="5"/>
  <c r="I28" i="5"/>
  <c r="I27" i="5"/>
  <c r="I26" i="5"/>
  <c r="I25" i="5"/>
  <c r="I24" i="5"/>
  <c r="I23" i="5"/>
  <c r="AV72" i="37"/>
  <c r="AU72" i="37"/>
  <c r="AT72" i="37"/>
  <c r="AV71" i="37"/>
  <c r="AU71" i="37"/>
  <c r="AT71" i="37"/>
  <c r="AV70" i="37"/>
  <c r="AU70" i="37"/>
  <c r="AT70" i="37"/>
  <c r="AV69" i="37"/>
  <c r="AU69" i="37"/>
  <c r="AT69" i="37"/>
  <c r="AV68" i="37"/>
  <c r="AU68" i="37"/>
  <c r="AT68" i="37"/>
  <c r="AV67" i="37"/>
  <c r="AU67" i="37"/>
  <c r="AT67" i="37"/>
  <c r="AQ72" i="37"/>
  <c r="AP72" i="37"/>
  <c r="AO72" i="37"/>
  <c r="AQ71" i="37"/>
  <c r="AP71" i="37"/>
  <c r="AO71" i="37"/>
  <c r="AQ70" i="37"/>
  <c r="AP70" i="37"/>
  <c r="AO70" i="37"/>
  <c r="AQ69" i="37"/>
  <c r="AP69" i="37"/>
  <c r="AO69" i="37"/>
  <c r="AQ68" i="37"/>
  <c r="AP68" i="37"/>
  <c r="AO68" i="37"/>
  <c r="AQ67" i="37"/>
  <c r="AP67" i="37"/>
  <c r="AO67" i="37"/>
  <c r="AL72" i="37"/>
  <c r="AK72" i="37"/>
  <c r="AJ72" i="37"/>
  <c r="AL71" i="37"/>
  <c r="AK71" i="37"/>
  <c r="AJ71" i="37"/>
  <c r="AL70" i="37"/>
  <c r="AK70" i="37"/>
  <c r="AJ70" i="37"/>
  <c r="AL69" i="37"/>
  <c r="AK69" i="37"/>
  <c r="AJ69" i="37"/>
  <c r="AL68" i="37"/>
  <c r="AK68" i="37"/>
  <c r="AJ68" i="37"/>
  <c r="AL67" i="37"/>
  <c r="AK67" i="37"/>
  <c r="AJ67" i="37"/>
  <c r="AG72" i="37"/>
  <c r="AF72" i="37"/>
  <c r="AE72" i="37"/>
  <c r="AG71" i="37"/>
  <c r="AF71" i="37"/>
  <c r="AE71" i="37"/>
  <c r="AG70" i="37"/>
  <c r="AF70" i="37"/>
  <c r="AE70" i="37"/>
  <c r="AG69" i="37"/>
  <c r="AF69" i="37"/>
  <c r="AE69" i="37"/>
  <c r="AG68" i="37"/>
  <c r="AF68" i="37"/>
  <c r="AE68" i="37"/>
  <c r="AG67" i="37"/>
  <c r="AF67" i="37"/>
  <c r="AE67" i="37"/>
  <c r="AB72" i="37"/>
  <c r="AA72" i="37"/>
  <c r="Z72" i="37"/>
  <c r="AB71" i="37"/>
  <c r="AA71" i="37"/>
  <c r="Z71" i="37"/>
  <c r="AB70" i="37"/>
  <c r="AA70" i="37"/>
  <c r="Z70" i="37"/>
  <c r="AB69" i="37"/>
  <c r="AA69" i="37"/>
  <c r="Z69" i="37"/>
  <c r="AB68" i="37"/>
  <c r="AA68" i="37"/>
  <c r="Z68" i="37"/>
  <c r="AB67" i="37"/>
  <c r="AA67" i="37"/>
  <c r="Z67" i="37"/>
  <c r="W72" i="37"/>
  <c r="V72" i="37"/>
  <c r="U72" i="37"/>
  <c r="W71" i="37"/>
  <c r="V71" i="37"/>
  <c r="U71" i="37"/>
  <c r="W70" i="37"/>
  <c r="V70" i="37"/>
  <c r="U70" i="37"/>
  <c r="W69" i="37"/>
  <c r="V69" i="37"/>
  <c r="U69" i="37"/>
  <c r="W68" i="37"/>
  <c r="V68" i="37"/>
  <c r="U68" i="37"/>
  <c r="W67" i="37"/>
  <c r="V67" i="37"/>
  <c r="U67" i="37"/>
  <c r="R72" i="37"/>
  <c r="Q72" i="37"/>
  <c r="P72" i="37"/>
  <c r="R71" i="37"/>
  <c r="Q71" i="37"/>
  <c r="P71" i="37"/>
  <c r="R70" i="37"/>
  <c r="Q70" i="37"/>
  <c r="P70" i="37"/>
  <c r="R69" i="37"/>
  <c r="Q69" i="37"/>
  <c r="P69" i="37"/>
  <c r="R68" i="37"/>
  <c r="Q68" i="37"/>
  <c r="P68" i="37"/>
  <c r="R67" i="37"/>
  <c r="Q67" i="37"/>
  <c r="P67" i="37"/>
  <c r="AV71" i="36"/>
  <c r="AU71" i="36"/>
  <c r="AT71" i="36"/>
  <c r="AV70" i="36"/>
  <c r="AU70" i="36"/>
  <c r="AT70" i="36"/>
  <c r="AV69" i="36"/>
  <c r="AU69" i="36"/>
  <c r="AT69" i="36"/>
  <c r="AV68" i="36"/>
  <c r="AU68" i="36"/>
  <c r="AT68" i="36"/>
  <c r="AV67" i="36"/>
  <c r="AU67" i="36"/>
  <c r="AT67" i="36"/>
  <c r="AQ71" i="36"/>
  <c r="AP71" i="36"/>
  <c r="AO71" i="36"/>
  <c r="AQ70" i="36"/>
  <c r="AP70" i="36"/>
  <c r="AO70" i="36"/>
  <c r="AQ69" i="36"/>
  <c r="AP69" i="36"/>
  <c r="AO69" i="36"/>
  <c r="AQ68" i="36"/>
  <c r="AP68" i="36"/>
  <c r="AO68" i="36"/>
  <c r="AQ67" i="36"/>
  <c r="AP67" i="36"/>
  <c r="AO67" i="36"/>
  <c r="AL71" i="36"/>
  <c r="AK71" i="36"/>
  <c r="AJ71" i="36"/>
  <c r="AL70" i="36"/>
  <c r="AK70" i="36"/>
  <c r="AJ70" i="36"/>
  <c r="AL69" i="36"/>
  <c r="AK69" i="36"/>
  <c r="AJ69" i="36"/>
  <c r="AL68" i="36"/>
  <c r="AK68" i="36"/>
  <c r="AJ68" i="36"/>
  <c r="AL67" i="36"/>
  <c r="AK67" i="36"/>
  <c r="AJ67" i="36"/>
  <c r="AG71" i="36"/>
  <c r="AF71" i="36"/>
  <c r="AE71" i="36"/>
  <c r="AG70" i="36"/>
  <c r="AF70" i="36"/>
  <c r="AE70" i="36"/>
  <c r="AG69" i="36"/>
  <c r="AF69" i="36"/>
  <c r="AE69" i="36"/>
  <c r="AG68" i="36"/>
  <c r="AF68" i="36"/>
  <c r="AE68" i="36"/>
  <c r="AG67" i="36"/>
  <c r="AF67" i="36"/>
  <c r="AE67" i="36"/>
  <c r="AB71" i="36"/>
  <c r="AA71" i="36"/>
  <c r="Z71" i="36"/>
  <c r="AB70" i="36"/>
  <c r="AA70" i="36"/>
  <c r="Z70" i="36"/>
  <c r="AB69" i="36"/>
  <c r="AA69" i="36"/>
  <c r="Z69" i="36"/>
  <c r="AB68" i="36"/>
  <c r="AA68" i="36"/>
  <c r="Z68" i="36"/>
  <c r="AB67" i="36"/>
  <c r="AA67" i="36"/>
  <c r="Z67" i="36"/>
  <c r="W71" i="36"/>
  <c r="V71" i="36"/>
  <c r="U71" i="36"/>
  <c r="W70" i="36"/>
  <c r="V70" i="36"/>
  <c r="U70" i="36"/>
  <c r="W69" i="36"/>
  <c r="V69" i="36"/>
  <c r="U69" i="36"/>
  <c r="W68" i="36"/>
  <c r="V68" i="36"/>
  <c r="U68" i="36"/>
  <c r="W67" i="36"/>
  <c r="V67" i="36"/>
  <c r="U67" i="36"/>
  <c r="R71" i="36"/>
  <c r="Q71" i="36"/>
  <c r="P71" i="36"/>
  <c r="R70" i="36"/>
  <c r="Q70" i="36"/>
  <c r="P70" i="36"/>
  <c r="R69" i="36"/>
  <c r="Q69" i="36"/>
  <c r="P69" i="36"/>
  <c r="R68" i="36"/>
  <c r="Q68" i="36"/>
  <c r="P68" i="36"/>
  <c r="R67" i="36"/>
  <c r="Q67" i="36"/>
  <c r="P67" i="36"/>
  <c r="R76" i="34"/>
  <c r="Q76" i="34"/>
  <c r="P76" i="34"/>
  <c r="R75" i="34"/>
  <c r="Q75" i="34"/>
  <c r="P75" i="34"/>
  <c r="R74" i="34"/>
  <c r="Q74" i="34"/>
  <c r="P74" i="34"/>
  <c r="R73" i="34"/>
  <c r="Q73" i="34"/>
  <c r="P73" i="34"/>
  <c r="R72" i="34"/>
  <c r="Q72" i="34"/>
  <c r="P72" i="34"/>
  <c r="R71" i="34"/>
  <c r="Q71" i="34"/>
  <c r="P71" i="34"/>
  <c r="R70" i="34"/>
  <c r="Q70" i="34"/>
  <c r="P70" i="34"/>
  <c r="R69" i="34"/>
  <c r="Q69" i="34"/>
  <c r="P69" i="34"/>
  <c r="R68" i="34"/>
  <c r="Q68" i="34"/>
  <c r="P68" i="34"/>
  <c r="R67" i="34"/>
  <c r="Q67" i="34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74" i="30"/>
  <c r="J74" i="30"/>
  <c r="I74" i="30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R29" i="5"/>
  <c r="R28" i="5"/>
  <c r="R27" i="5"/>
  <c r="R26" i="5"/>
  <c r="R25" i="5"/>
  <c r="R24" i="5"/>
  <c r="R23" i="5"/>
  <c r="M41" i="41" l="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56" i="43" l="1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256" i="29"/>
  <c r="K256" i="29"/>
  <c r="I256" i="29"/>
  <c r="M255" i="29"/>
  <c r="K255" i="29"/>
  <c r="I255" i="29"/>
  <c r="M254" i="29"/>
  <c r="K254" i="29"/>
  <c r="I254" i="29"/>
  <c r="M253" i="29"/>
  <c r="K253" i="29"/>
  <c r="I253" i="29"/>
  <c r="M252" i="29"/>
  <c r="K252" i="29"/>
  <c r="I252" i="29"/>
  <c r="M251" i="29"/>
  <c r="K251" i="29"/>
  <c r="I251" i="29"/>
  <c r="M250" i="29"/>
  <c r="K250" i="29"/>
  <c r="I250" i="29"/>
  <c r="M249" i="29"/>
  <c r="K249" i="29"/>
  <c r="I249" i="29"/>
  <c r="M248" i="29"/>
  <c r="K248" i="29"/>
  <c r="I248" i="29"/>
  <c r="M247" i="29"/>
  <c r="K247" i="29"/>
  <c r="I247" i="29"/>
  <c r="M246" i="29"/>
  <c r="K246" i="29"/>
  <c r="I246" i="29"/>
  <c r="M245" i="29"/>
  <c r="K245" i="29"/>
  <c r="I245" i="29"/>
  <c r="M244" i="29"/>
  <c r="K244" i="29"/>
  <c r="I244" i="29"/>
  <c r="M243" i="29"/>
  <c r="K243" i="29"/>
  <c r="I243" i="29"/>
  <c r="M242" i="29"/>
  <c r="K242" i="29"/>
  <c r="I242" i="29"/>
  <c r="M241" i="29"/>
  <c r="K241" i="29"/>
  <c r="I241" i="29"/>
  <c r="M240" i="29"/>
  <c r="K240" i="29"/>
  <c r="I240" i="29"/>
  <c r="M239" i="29"/>
  <c r="K239" i="29"/>
  <c r="I239" i="29"/>
  <c r="M238" i="29"/>
  <c r="K238" i="29"/>
  <c r="I238" i="29"/>
  <c r="M237" i="29"/>
  <c r="K237" i="29"/>
  <c r="I237" i="29"/>
  <c r="M236" i="29"/>
  <c r="K236" i="29"/>
  <c r="I236" i="29"/>
  <c r="M235" i="29"/>
  <c r="K235" i="29"/>
  <c r="I235" i="29"/>
  <c r="M234" i="29"/>
  <c r="K234" i="29"/>
  <c r="I234" i="29"/>
  <c r="M233" i="29"/>
  <c r="K233" i="29"/>
  <c r="I233" i="29"/>
  <c r="M232" i="29"/>
  <c r="K232" i="29"/>
  <c r="I232" i="29"/>
  <c r="M231" i="29"/>
  <c r="K231" i="29"/>
  <c r="I231" i="29"/>
  <c r="M230" i="29"/>
  <c r="K230" i="29"/>
  <c r="I230" i="29"/>
  <c r="M229" i="29"/>
  <c r="K229" i="29"/>
  <c r="I229" i="29"/>
  <c r="M228" i="29"/>
  <c r="K228" i="29"/>
  <c r="I228" i="29"/>
  <c r="M227" i="29"/>
  <c r="K227" i="29"/>
  <c r="I227" i="29"/>
  <c r="M226" i="29"/>
  <c r="K226" i="29"/>
  <c r="I226" i="29"/>
  <c r="M225" i="29"/>
  <c r="K225" i="29"/>
  <c r="I225" i="29"/>
  <c r="M224" i="29"/>
  <c r="K224" i="29"/>
  <c r="I224" i="29"/>
  <c r="M223" i="29"/>
  <c r="K223" i="29"/>
  <c r="I223" i="29"/>
  <c r="M222" i="29"/>
  <c r="K222" i="29"/>
  <c r="I222" i="29"/>
  <c r="M221" i="29"/>
  <c r="K221" i="29"/>
  <c r="I221" i="29"/>
  <c r="M220" i="29"/>
  <c r="K220" i="29"/>
  <c r="I220" i="29"/>
  <c r="M219" i="29"/>
  <c r="K219" i="29"/>
  <c r="I219" i="29"/>
  <c r="M218" i="29"/>
  <c r="K218" i="29"/>
  <c r="I218" i="29"/>
  <c r="M217" i="29"/>
  <c r="K217" i="29"/>
  <c r="I217" i="29"/>
  <c r="M216" i="29"/>
  <c r="K216" i="29"/>
  <c r="I216" i="29"/>
  <c r="M215" i="29"/>
  <c r="K215" i="29"/>
  <c r="I215" i="29"/>
  <c r="M214" i="29"/>
  <c r="K214" i="29"/>
  <c r="I214" i="29"/>
  <c r="M213" i="29"/>
  <c r="K213" i="29"/>
  <c r="I213" i="29"/>
  <c r="M212" i="29"/>
  <c r="K212" i="29"/>
  <c r="I212" i="29"/>
  <c r="M211" i="29"/>
  <c r="K211" i="29"/>
  <c r="I211" i="29"/>
  <c r="M210" i="29"/>
  <c r="K210" i="29"/>
  <c r="I210" i="29"/>
  <c r="M209" i="29"/>
  <c r="K209" i="29"/>
  <c r="I209" i="29"/>
  <c r="M208" i="29"/>
  <c r="K208" i="29"/>
  <c r="I208" i="29"/>
  <c r="M207" i="29"/>
  <c r="K207" i="29"/>
  <c r="I207" i="29"/>
  <c r="M206" i="29"/>
  <c r="K206" i="29"/>
  <c r="I206" i="29"/>
  <c r="M205" i="29"/>
  <c r="K205" i="29"/>
  <c r="I205" i="29"/>
  <c r="M204" i="29"/>
  <c r="K204" i="29"/>
  <c r="I204" i="29"/>
  <c r="M203" i="29"/>
  <c r="K203" i="29"/>
  <c r="I203" i="29"/>
  <c r="M202" i="29"/>
  <c r="K202" i="29"/>
  <c r="I202" i="29"/>
  <c r="M201" i="29"/>
  <c r="K201" i="29"/>
  <c r="I201" i="29"/>
  <c r="M200" i="29"/>
  <c r="K200" i="29"/>
  <c r="I200" i="29"/>
  <c r="M199" i="29"/>
  <c r="K199" i="29"/>
  <c r="I199" i="29"/>
  <c r="M198" i="29"/>
  <c r="K198" i="29"/>
  <c r="I198" i="29"/>
  <c r="M197" i="29"/>
  <c r="K197" i="29"/>
  <c r="I197" i="29"/>
  <c r="M196" i="29"/>
  <c r="K196" i="29"/>
  <c r="I196" i="29"/>
  <c r="M195" i="29"/>
  <c r="K195" i="29"/>
  <c r="I195" i="29"/>
  <c r="M194" i="29"/>
  <c r="K194" i="29"/>
  <c r="I194" i="29"/>
  <c r="M193" i="29"/>
  <c r="K193" i="29"/>
  <c r="I193" i="29"/>
  <c r="M192" i="29"/>
  <c r="K192" i="29"/>
  <c r="I192" i="29"/>
  <c r="M191" i="29"/>
  <c r="K191" i="29"/>
  <c r="I191" i="29"/>
  <c r="M190" i="29"/>
  <c r="K190" i="29"/>
  <c r="I190" i="29"/>
  <c r="M189" i="29"/>
  <c r="K189" i="29"/>
  <c r="I189" i="29"/>
  <c r="M188" i="29"/>
  <c r="K188" i="29"/>
  <c r="I188" i="29"/>
  <c r="M187" i="29"/>
  <c r="K187" i="29"/>
  <c r="I187" i="29"/>
  <c r="B25" i="6" l="1"/>
  <c r="B25" i="7"/>
  <c r="B23" i="3"/>
  <c r="B23" i="5"/>
  <c r="B21" i="13" l="1"/>
  <c r="B18" i="13"/>
  <c r="B17" i="13"/>
  <c r="B23" i="13" l="1"/>
  <c r="B22" i="13"/>
  <c r="B20" i="13"/>
  <c r="H22" i="13"/>
  <c r="H18" i="13"/>
  <c r="H23" i="13" l="1"/>
  <c r="H21" i="13"/>
  <c r="H20" i="13"/>
  <c r="H17" i="13"/>
  <c r="J93" i="33" l="1"/>
  <c r="J82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93" i="30" l="1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M28" i="41" l="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86" i="29"/>
  <c r="K186" i="29"/>
  <c r="I186" i="29"/>
  <c r="M185" i="29"/>
  <c r="K185" i="29"/>
  <c r="I185" i="29"/>
  <c r="M184" i="29"/>
  <c r="K184" i="29"/>
  <c r="I184" i="29"/>
  <c r="M183" i="29"/>
  <c r="K183" i="29"/>
  <c r="I183" i="29"/>
  <c r="M182" i="29"/>
  <c r="K182" i="29"/>
  <c r="I182" i="29"/>
  <c r="M181" i="29"/>
  <c r="K181" i="29"/>
  <c r="I181" i="29"/>
  <c r="M180" i="29"/>
  <c r="K180" i="29"/>
  <c r="I180" i="29"/>
  <c r="M179" i="29"/>
  <c r="K179" i="29"/>
  <c r="I179" i="29"/>
  <c r="M178" i="29"/>
  <c r="K178" i="29"/>
  <c r="I178" i="29"/>
  <c r="M177" i="29"/>
  <c r="K177" i="29"/>
  <c r="I177" i="29"/>
  <c r="M176" i="29"/>
  <c r="K176" i="29"/>
  <c r="I176" i="29"/>
  <c r="M175" i="29"/>
  <c r="K175" i="29"/>
  <c r="I175" i="29"/>
  <c r="M174" i="29"/>
  <c r="K174" i="29"/>
  <c r="I174" i="29"/>
  <c r="M173" i="29"/>
  <c r="K173" i="29"/>
  <c r="I173" i="29"/>
  <c r="M172" i="29"/>
  <c r="K172" i="29"/>
  <c r="I172" i="29"/>
  <c r="M171" i="29"/>
  <c r="K171" i="29"/>
  <c r="I171" i="29"/>
  <c r="M170" i="29"/>
  <c r="K170" i="29"/>
  <c r="I170" i="29"/>
  <c r="M169" i="29"/>
  <c r="K169" i="29"/>
  <c r="I169" i="29"/>
  <c r="M168" i="29"/>
  <c r="K168" i="29"/>
  <c r="I168" i="29"/>
  <c r="M167" i="29"/>
  <c r="K167" i="29"/>
  <c r="I167" i="29"/>
  <c r="M166" i="29"/>
  <c r="K166" i="29"/>
  <c r="I166" i="29"/>
  <c r="M165" i="29"/>
  <c r="K165" i="29"/>
  <c r="I165" i="29"/>
  <c r="M164" i="29"/>
  <c r="K164" i="29"/>
  <c r="I164" i="29"/>
  <c r="M163" i="29"/>
  <c r="K163" i="29"/>
  <c r="I163" i="29"/>
  <c r="M162" i="29"/>
  <c r="K162" i="29"/>
  <c r="I162" i="29"/>
  <c r="M161" i="29"/>
  <c r="K161" i="29"/>
  <c r="I161" i="29"/>
  <c r="M160" i="29"/>
  <c r="K160" i="29"/>
  <c r="I160" i="29"/>
  <c r="M159" i="29"/>
  <c r="K159" i="29"/>
  <c r="I159" i="29"/>
  <c r="M158" i="29"/>
  <c r="K158" i="29"/>
  <c r="I158" i="29"/>
  <c r="M157" i="29"/>
  <c r="K157" i="29"/>
  <c r="I157" i="29"/>
  <c r="M156" i="29"/>
  <c r="K156" i="29"/>
  <c r="I156" i="29"/>
  <c r="M155" i="29"/>
  <c r="K155" i="29"/>
  <c r="I155" i="29"/>
  <c r="M154" i="29"/>
  <c r="K154" i="29"/>
  <c r="I154" i="29"/>
  <c r="M153" i="29"/>
  <c r="K153" i="29"/>
  <c r="I153" i="29"/>
  <c r="M152" i="29"/>
  <c r="K152" i="29"/>
  <c r="I152" i="29"/>
  <c r="M151" i="29"/>
  <c r="K151" i="29"/>
  <c r="I151" i="29"/>
  <c r="M150" i="29"/>
  <c r="K150" i="29"/>
  <c r="I150" i="29"/>
  <c r="M149" i="29"/>
  <c r="K149" i="29"/>
  <c r="I149" i="29"/>
  <c r="M148" i="29"/>
  <c r="K148" i="29"/>
  <c r="I148" i="29"/>
  <c r="M147" i="29"/>
  <c r="K147" i="29"/>
  <c r="I147" i="29"/>
  <c r="M146" i="29"/>
  <c r="K146" i="29"/>
  <c r="I146" i="29"/>
  <c r="M145" i="29"/>
  <c r="K145" i="29"/>
  <c r="I145" i="29"/>
  <c r="M144" i="29"/>
  <c r="K144" i="29"/>
  <c r="I144" i="29"/>
  <c r="M143" i="29"/>
  <c r="K143" i="29"/>
  <c r="I143" i="29"/>
  <c r="M142" i="29"/>
  <c r="K142" i="29"/>
  <c r="I142" i="29"/>
  <c r="M141" i="29"/>
  <c r="K141" i="29"/>
  <c r="I141" i="29"/>
  <c r="M140" i="29"/>
  <c r="K140" i="29"/>
  <c r="I140" i="29"/>
  <c r="M139" i="29"/>
  <c r="K139" i="29"/>
  <c r="I139" i="29"/>
  <c r="M138" i="29"/>
  <c r="K138" i="29"/>
  <c r="I138" i="29"/>
  <c r="M137" i="29"/>
  <c r="K137" i="29"/>
  <c r="I137" i="29"/>
  <c r="M136" i="29"/>
  <c r="K136" i="29"/>
  <c r="I136" i="29"/>
  <c r="M135" i="29"/>
  <c r="K135" i="29"/>
  <c r="I135" i="29"/>
  <c r="M134" i="29"/>
  <c r="K134" i="29"/>
  <c r="I134" i="29"/>
  <c r="M133" i="29"/>
  <c r="K133" i="29"/>
  <c r="I133" i="29"/>
  <c r="M132" i="29"/>
  <c r="K132" i="29"/>
  <c r="I132" i="29"/>
  <c r="M131" i="29"/>
  <c r="K131" i="29"/>
  <c r="I131" i="29"/>
  <c r="M130" i="29"/>
  <c r="K130" i="29"/>
  <c r="I130" i="29"/>
  <c r="M129" i="29"/>
  <c r="K129" i="29"/>
  <c r="I129" i="29"/>
  <c r="M128" i="29"/>
  <c r="K128" i="29"/>
  <c r="I128" i="29"/>
  <c r="M127" i="29"/>
  <c r="K127" i="29"/>
  <c r="I127" i="29"/>
  <c r="M126" i="29"/>
  <c r="K126" i="29"/>
  <c r="I126" i="29"/>
  <c r="M125" i="29"/>
  <c r="K125" i="29"/>
  <c r="I125" i="29"/>
  <c r="M124" i="29"/>
  <c r="K124" i="29"/>
  <c r="I124" i="29"/>
  <c r="M123" i="29"/>
  <c r="K123" i="29"/>
  <c r="I123" i="29"/>
  <c r="M122" i="29"/>
  <c r="K122" i="29"/>
  <c r="I122" i="29"/>
  <c r="M121" i="29"/>
  <c r="K121" i="29"/>
  <c r="I121" i="29"/>
  <c r="M120" i="29"/>
  <c r="K120" i="29"/>
  <c r="I120" i="29"/>
  <c r="M119" i="29"/>
  <c r="K119" i="29"/>
  <c r="I119" i="29"/>
  <c r="M118" i="29"/>
  <c r="K118" i="29"/>
  <c r="I118" i="29"/>
  <c r="M117" i="29"/>
  <c r="K117" i="29"/>
  <c r="I117" i="29"/>
  <c r="R22" i="5"/>
  <c r="R21" i="5"/>
  <c r="R20" i="5"/>
  <c r="R19" i="5"/>
  <c r="R18" i="5"/>
  <c r="R17" i="5"/>
  <c r="R16" i="5"/>
  <c r="I16" i="5" l="1"/>
  <c r="I17" i="5"/>
  <c r="I18" i="5"/>
  <c r="I19" i="5"/>
  <c r="I20" i="5"/>
  <c r="I21" i="5"/>
  <c r="I22" i="5"/>
  <c r="M116" i="43" l="1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M116" i="29"/>
  <c r="K116" i="29"/>
  <c r="I116" i="29"/>
  <c r="M115" i="29"/>
  <c r="K115" i="29"/>
  <c r="I115" i="29"/>
  <c r="M114" i="29"/>
  <c r="K114" i="29"/>
  <c r="I114" i="29"/>
  <c r="M113" i="29"/>
  <c r="K113" i="29"/>
  <c r="I113" i="29"/>
  <c r="M112" i="29"/>
  <c r="K112" i="29"/>
  <c r="I112" i="29"/>
  <c r="M111" i="29"/>
  <c r="K111" i="29"/>
  <c r="I111" i="29"/>
  <c r="M110" i="29"/>
  <c r="K110" i="29"/>
  <c r="I110" i="29"/>
  <c r="M109" i="29"/>
  <c r="K109" i="29"/>
  <c r="I109" i="29"/>
  <c r="M108" i="29"/>
  <c r="K108" i="29"/>
  <c r="I108" i="29"/>
  <c r="M107" i="29"/>
  <c r="K107" i="29"/>
  <c r="I107" i="29"/>
  <c r="M106" i="29"/>
  <c r="K106" i="29"/>
  <c r="I106" i="29"/>
  <c r="M105" i="29"/>
  <c r="K105" i="29"/>
  <c r="I105" i="29"/>
  <c r="M104" i="29"/>
  <c r="K104" i="29"/>
  <c r="I104" i="29"/>
  <c r="M103" i="29"/>
  <c r="K103" i="29"/>
  <c r="I103" i="29"/>
  <c r="M102" i="29"/>
  <c r="K102" i="29"/>
  <c r="I102" i="29"/>
  <c r="M101" i="29"/>
  <c r="K101" i="29"/>
  <c r="I101" i="29"/>
  <c r="M100" i="29"/>
  <c r="K100" i="29"/>
  <c r="I100" i="29"/>
  <c r="M99" i="29"/>
  <c r="K99" i="29"/>
  <c r="I99" i="29"/>
  <c r="M98" i="29"/>
  <c r="K98" i="29"/>
  <c r="I98" i="29"/>
  <c r="M97" i="29"/>
  <c r="K97" i="29"/>
  <c r="I97" i="29"/>
  <c r="M96" i="29"/>
  <c r="K96" i="29"/>
  <c r="I96" i="29"/>
  <c r="M95" i="29"/>
  <c r="K95" i="29"/>
  <c r="I95" i="29"/>
  <c r="M94" i="29"/>
  <c r="K94" i="29"/>
  <c r="I94" i="29"/>
  <c r="M93" i="29"/>
  <c r="K93" i="29"/>
  <c r="I93" i="29"/>
  <c r="M92" i="29"/>
  <c r="K92" i="29"/>
  <c r="I92" i="29"/>
  <c r="M91" i="29"/>
  <c r="K91" i="29"/>
  <c r="I91" i="29"/>
  <c r="M90" i="29"/>
  <c r="K90" i="29"/>
  <c r="I90" i="29"/>
  <c r="M89" i="29"/>
  <c r="K89" i="29"/>
  <c r="I89" i="29"/>
  <c r="M88" i="29"/>
  <c r="K88" i="29"/>
  <c r="I88" i="29"/>
  <c r="M87" i="29"/>
  <c r="K87" i="29"/>
  <c r="I87" i="29"/>
  <c r="M86" i="29"/>
  <c r="K86" i="29"/>
  <c r="I86" i="29"/>
  <c r="M85" i="29"/>
  <c r="K85" i="29"/>
  <c r="I85" i="29"/>
  <c r="M84" i="29"/>
  <c r="K84" i="29"/>
  <c r="I84" i="29"/>
  <c r="M83" i="29"/>
  <c r="K83" i="29"/>
  <c r="I83" i="29"/>
  <c r="M82" i="29"/>
  <c r="K82" i="29"/>
  <c r="I82" i="29"/>
  <c r="M81" i="29"/>
  <c r="K81" i="29"/>
  <c r="I81" i="29"/>
  <c r="M80" i="29"/>
  <c r="K80" i="29"/>
  <c r="I80" i="29"/>
  <c r="M79" i="29"/>
  <c r="K79" i="29"/>
  <c r="I79" i="29"/>
  <c r="M78" i="29"/>
  <c r="K78" i="29"/>
  <c r="I78" i="29"/>
  <c r="M77" i="29"/>
  <c r="K77" i="29"/>
  <c r="I77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X27" i="34" l="1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R27" i="31"/>
  <c r="Q27" i="31"/>
  <c r="P27" i="31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AM7" i="8" l="1"/>
  <c r="AN7" i="8"/>
  <c r="AR7" i="8"/>
  <c r="AS7" i="8"/>
  <c r="AW7" i="8"/>
  <c r="AM8" i="8"/>
  <c r="AR8" i="8"/>
  <c r="AW8" i="8"/>
  <c r="AM9" i="8"/>
  <c r="AR9" i="8"/>
  <c r="AW9" i="8"/>
  <c r="AM10" i="8"/>
  <c r="AR10" i="8"/>
  <c r="AW10" i="8"/>
  <c r="AM11" i="8"/>
  <c r="AR11" i="8"/>
  <c r="AW11" i="8"/>
  <c r="AM12" i="8"/>
  <c r="AR12" i="8"/>
  <c r="AW12" i="8"/>
  <c r="AM13" i="8"/>
  <c r="AR13" i="8"/>
  <c r="AW13" i="8"/>
  <c r="AM14" i="8"/>
  <c r="AR14" i="8"/>
  <c r="AW14" i="8"/>
  <c r="AM15" i="8"/>
  <c r="AR15" i="8"/>
  <c r="AW15" i="8"/>
  <c r="AM16" i="8"/>
  <c r="AR16" i="8"/>
  <c r="AW16" i="8"/>
  <c r="AM17" i="8"/>
  <c r="AR17" i="8"/>
  <c r="AW17" i="8"/>
  <c r="AM18" i="8"/>
  <c r="AR18" i="8"/>
  <c r="AW18" i="8"/>
  <c r="AM19" i="8"/>
  <c r="AR19" i="8"/>
  <c r="AW19" i="8"/>
  <c r="AM20" i="8"/>
  <c r="AR20" i="8"/>
  <c r="AW20" i="8"/>
  <c r="AM21" i="8"/>
  <c r="AR21" i="8"/>
  <c r="AW21" i="8"/>
  <c r="AM22" i="8"/>
  <c r="AR22" i="8"/>
  <c r="AW22" i="8"/>
  <c r="AM23" i="8"/>
  <c r="AR23" i="8"/>
  <c r="AW23" i="8"/>
  <c r="AM24" i="8"/>
  <c r="AR24" i="8"/>
  <c r="AW24" i="8"/>
  <c r="AM25" i="8"/>
  <c r="AR25" i="8"/>
  <c r="AW25" i="8"/>
  <c r="AM26" i="8"/>
  <c r="AR26" i="8"/>
  <c r="AW26" i="8"/>
  <c r="AM27" i="8"/>
  <c r="AR27" i="8"/>
  <c r="AW27" i="8"/>
  <c r="AM28" i="8"/>
  <c r="AR28" i="8"/>
  <c r="AW28" i="8"/>
  <c r="AM29" i="8"/>
  <c r="AR29" i="8"/>
  <c r="AW29" i="8"/>
  <c r="AM30" i="8"/>
  <c r="AR30" i="8"/>
  <c r="AW30" i="8"/>
  <c r="AM31" i="8"/>
  <c r="AR31" i="8"/>
  <c r="AW31" i="8"/>
  <c r="AM32" i="8"/>
  <c r="AR32" i="8"/>
  <c r="AW32" i="8"/>
  <c r="AM33" i="8"/>
  <c r="AR33" i="8"/>
  <c r="AW33" i="8"/>
  <c r="AM34" i="8"/>
  <c r="AR34" i="8"/>
  <c r="AW34" i="8"/>
  <c r="AM35" i="8"/>
  <c r="AR35" i="8"/>
  <c r="AW35" i="8"/>
  <c r="AM36" i="8"/>
  <c r="AR36" i="8"/>
  <c r="AW36" i="8"/>
  <c r="R15" i="5" l="1"/>
  <c r="R14" i="5"/>
  <c r="R13" i="5"/>
  <c r="R12" i="5"/>
  <c r="R11" i="5"/>
  <c r="R10" i="5"/>
  <c r="R9" i="5"/>
  <c r="R8" i="5"/>
  <c r="R7" i="5"/>
  <c r="R6" i="5"/>
  <c r="AH8" i="43" l="1"/>
  <c r="AG8" i="43"/>
  <c r="AF8" i="43"/>
  <c r="AE8" i="43"/>
  <c r="AD8" i="43"/>
  <c r="AC8" i="43"/>
  <c r="AB8" i="43"/>
  <c r="AA8" i="43"/>
  <c r="AH8" i="29"/>
  <c r="AG8" i="29"/>
  <c r="AF8" i="29"/>
  <c r="AE8" i="29"/>
  <c r="AD8" i="29"/>
  <c r="AC8" i="29"/>
  <c r="AB8" i="29"/>
  <c r="AA8" i="29"/>
  <c r="AW175" i="8" l="1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AW165" i="8"/>
  <c r="AR165" i="8"/>
  <c r="AM165" i="8"/>
  <c r="AH165" i="8"/>
  <c r="AC165" i="8"/>
  <c r="X165" i="8"/>
  <c r="S165" i="8"/>
  <c r="AW164" i="8"/>
  <c r="AR164" i="8"/>
  <c r="AM164" i="8"/>
  <c r="AH164" i="8"/>
  <c r="AC164" i="8"/>
  <c r="X164" i="8"/>
  <c r="S164" i="8"/>
  <c r="AW163" i="8"/>
  <c r="AR163" i="8"/>
  <c r="AM163" i="8"/>
  <c r="AH163" i="8"/>
  <c r="AC163" i="8"/>
  <c r="X163" i="8"/>
  <c r="S163" i="8"/>
  <c r="AW162" i="8"/>
  <c r="AR162" i="8"/>
  <c r="AM162" i="8"/>
  <c r="AH162" i="8"/>
  <c r="AC162" i="8"/>
  <c r="X162" i="8"/>
  <c r="S162" i="8"/>
  <c r="AW161" i="8"/>
  <c r="AR161" i="8"/>
  <c r="AM161" i="8"/>
  <c r="AH161" i="8"/>
  <c r="AC161" i="8"/>
  <c r="X161" i="8"/>
  <c r="S16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AW131" i="8"/>
  <c r="AR131" i="8"/>
  <c r="AM131" i="8"/>
  <c r="AH131" i="8"/>
  <c r="AC131" i="8"/>
  <c r="X131" i="8"/>
  <c r="S131" i="8"/>
  <c r="AW130" i="8"/>
  <c r="AR130" i="8"/>
  <c r="AM130" i="8"/>
  <c r="AH130" i="8"/>
  <c r="AC130" i="8"/>
  <c r="X130" i="8"/>
  <c r="S130" i="8"/>
  <c r="AW129" i="8"/>
  <c r="AR129" i="8"/>
  <c r="AM129" i="8"/>
  <c r="AH129" i="8"/>
  <c r="AC129" i="8"/>
  <c r="X129" i="8"/>
  <c r="S129" i="8"/>
  <c r="AW128" i="8"/>
  <c r="AR128" i="8"/>
  <c r="AM128" i="8"/>
  <c r="AH128" i="8"/>
  <c r="AC128" i="8"/>
  <c r="X128" i="8"/>
  <c r="S128" i="8"/>
  <c r="AW127" i="8"/>
  <c r="AR127" i="8"/>
  <c r="AM127" i="8"/>
  <c r="AH127" i="8"/>
  <c r="AC127" i="8"/>
  <c r="X127" i="8"/>
  <c r="S127" i="8"/>
  <c r="AW126" i="8"/>
  <c r="AR126" i="8"/>
  <c r="AM126" i="8"/>
  <c r="AH126" i="8"/>
  <c r="AC126" i="8"/>
  <c r="X126" i="8"/>
  <c r="S12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AW97" i="8"/>
  <c r="AR97" i="8"/>
  <c r="AM97" i="8"/>
  <c r="AH97" i="8"/>
  <c r="AC97" i="8"/>
  <c r="X97" i="8"/>
  <c r="S97" i="8"/>
  <c r="AW96" i="8"/>
  <c r="AR96" i="8"/>
  <c r="AM96" i="8"/>
  <c r="AH96" i="8"/>
  <c r="AC96" i="8"/>
  <c r="X96" i="8"/>
  <c r="S96" i="8"/>
  <c r="AW95" i="8"/>
  <c r="AR95" i="8"/>
  <c r="AM95" i="8"/>
  <c r="AH95" i="8"/>
  <c r="AC95" i="8"/>
  <c r="X95" i="8"/>
  <c r="S95" i="8"/>
  <c r="AW94" i="8"/>
  <c r="AR94" i="8"/>
  <c r="AM94" i="8"/>
  <c r="AH94" i="8"/>
  <c r="AC94" i="8"/>
  <c r="X94" i="8"/>
  <c r="S94" i="8"/>
  <c r="AW93" i="8"/>
  <c r="AR93" i="8"/>
  <c r="AM93" i="8"/>
  <c r="AH93" i="8"/>
  <c r="AC93" i="8"/>
  <c r="X93" i="8"/>
  <c r="S93" i="8"/>
  <c r="AW92" i="8"/>
  <c r="AR92" i="8"/>
  <c r="AM92" i="8"/>
  <c r="AH92" i="8"/>
  <c r="AC92" i="8"/>
  <c r="X92" i="8"/>
  <c r="S92" i="8"/>
  <c r="AW91" i="8"/>
  <c r="AR91" i="8"/>
  <c r="AM91" i="8"/>
  <c r="AH91" i="8"/>
  <c r="AC91" i="8"/>
  <c r="X91" i="8"/>
  <c r="S91" i="8"/>
  <c r="K19" i="34" l="1"/>
  <c r="J19" i="34"/>
  <c r="I19" i="34"/>
  <c r="K18" i="34"/>
  <c r="J18" i="34"/>
  <c r="I18" i="34"/>
  <c r="K17" i="34"/>
  <c r="J17" i="34"/>
  <c r="I17" i="34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AW70" i="8" l="1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AW59" i="8"/>
  <c r="AR59" i="8"/>
  <c r="AM59" i="8"/>
  <c r="AH59" i="8"/>
  <c r="AC59" i="8"/>
  <c r="X59" i="8"/>
  <c r="S59" i="8"/>
  <c r="AW58" i="8"/>
  <c r="AR58" i="8"/>
  <c r="AM58" i="8"/>
  <c r="AH58" i="8"/>
  <c r="AC58" i="8"/>
  <c r="X58" i="8"/>
  <c r="S58" i="8"/>
  <c r="AW57" i="8"/>
  <c r="AR57" i="8"/>
  <c r="AM57" i="8"/>
  <c r="AH57" i="8"/>
  <c r="AC57" i="8"/>
  <c r="X57" i="8"/>
  <c r="S57" i="8"/>
  <c r="AW56" i="8"/>
  <c r="AR56" i="8"/>
  <c r="AM56" i="8"/>
  <c r="AH56" i="8"/>
  <c r="AC56" i="8"/>
  <c r="X56" i="8"/>
  <c r="S56" i="8"/>
  <c r="AH35" i="8" l="1"/>
  <c r="AC35" i="8"/>
  <c r="X35" i="8"/>
  <c r="AH34" i="8"/>
  <c r="AC34" i="8"/>
  <c r="X34" i="8"/>
  <c r="AH33" i="8"/>
  <c r="AC33" i="8"/>
  <c r="X33" i="8"/>
  <c r="AH32" i="8"/>
  <c r="AC32" i="8"/>
  <c r="X32" i="8"/>
  <c r="AH31" i="8"/>
  <c r="AC31" i="8"/>
  <c r="X31" i="8"/>
  <c r="AH30" i="8"/>
  <c r="AC30" i="8"/>
  <c r="X30" i="8"/>
  <c r="AC29" i="8"/>
  <c r="X29" i="8"/>
  <c r="I29" i="8"/>
  <c r="AC28" i="8"/>
  <c r="X28" i="8"/>
  <c r="J28" i="8"/>
  <c r="AC27" i="8"/>
  <c r="X27" i="8"/>
  <c r="J27" i="8"/>
  <c r="I27" i="8"/>
  <c r="AC26" i="8"/>
  <c r="X26" i="8"/>
  <c r="J26" i="8"/>
  <c r="AC25" i="8"/>
  <c r="X25" i="8"/>
  <c r="I25" i="8"/>
  <c r="AC24" i="8"/>
  <c r="X24" i="8"/>
  <c r="J24" i="8"/>
  <c r="AC23" i="8"/>
  <c r="X23" i="8"/>
  <c r="I23" i="8"/>
  <c r="AC22" i="8"/>
  <c r="X22" i="8"/>
  <c r="J22" i="8"/>
  <c r="AC21" i="8"/>
  <c r="X21" i="8"/>
  <c r="I21" i="8"/>
  <c r="J21" i="8" l="1"/>
  <c r="I24" i="8"/>
  <c r="J25" i="8"/>
  <c r="I28" i="8"/>
  <c r="J29" i="8"/>
  <c r="J23" i="8"/>
  <c r="S22" i="8"/>
  <c r="K22" i="8"/>
  <c r="S26" i="8"/>
  <c r="K26" i="8"/>
  <c r="S21" i="8"/>
  <c r="K21" i="8"/>
  <c r="S25" i="8"/>
  <c r="K25" i="8"/>
  <c r="S29" i="8"/>
  <c r="K29" i="8"/>
  <c r="I22" i="8"/>
  <c r="S24" i="8"/>
  <c r="K24" i="8"/>
  <c r="I26" i="8"/>
  <c r="S28" i="8"/>
  <c r="K28" i="8"/>
  <c r="S23" i="8"/>
  <c r="K23" i="8"/>
  <c r="S27" i="8"/>
  <c r="K27" i="8"/>
  <c r="R5" i="5" l="1"/>
  <c r="G21" i="34" l="1"/>
  <c r="F21" i="34"/>
  <c r="E21" i="34"/>
  <c r="G20" i="34"/>
  <c r="F20" i="34"/>
  <c r="E20" i="34"/>
  <c r="G36" i="33"/>
  <c r="F36" i="33"/>
  <c r="E36" i="33"/>
  <c r="G35" i="33"/>
  <c r="F35" i="33"/>
  <c r="E35" i="33"/>
  <c r="G34" i="33"/>
  <c r="F34" i="33"/>
  <c r="E34" i="33"/>
  <c r="G33" i="33"/>
  <c r="F33" i="33"/>
  <c r="E33" i="33"/>
  <c r="AH22" i="8" l="1"/>
  <c r="AH25" i="8"/>
  <c r="AH24" i="8"/>
  <c r="AH27" i="8"/>
  <c r="AH29" i="8"/>
  <c r="AH28" i="8"/>
  <c r="AH23" i="8"/>
  <c r="AH26" i="8"/>
  <c r="AH21" i="8"/>
  <c r="AG14" i="35"/>
  <c r="AF14" i="35"/>
  <c r="AE14" i="35"/>
  <c r="AG13" i="35"/>
  <c r="AF13" i="35"/>
  <c r="AE13" i="35"/>
  <c r="AG12" i="35"/>
  <c r="AF12" i="35"/>
  <c r="AE12" i="35"/>
  <c r="AG11" i="35"/>
  <c r="AF11" i="35"/>
  <c r="AE11" i="35"/>
  <c r="AG10" i="35"/>
  <c r="AF10" i="35"/>
  <c r="AE10" i="35"/>
  <c r="AG9" i="35"/>
  <c r="AF9" i="35"/>
  <c r="AE9" i="35"/>
  <c r="AG8" i="35"/>
  <c r="AF8" i="35"/>
  <c r="AE8" i="35"/>
  <c r="AG7" i="35"/>
  <c r="AF7" i="35"/>
  <c r="AE7" i="35"/>
  <c r="AI7" i="8"/>
  <c r="X7" i="8"/>
  <c r="Y7" i="8"/>
  <c r="AC7" i="8"/>
  <c r="AD7" i="8"/>
  <c r="AX7" i="8"/>
  <c r="X8" i="8"/>
  <c r="AC8" i="8"/>
  <c r="AH8" i="8"/>
  <c r="X9" i="8"/>
  <c r="AC9" i="8"/>
  <c r="X10" i="8"/>
  <c r="AC10" i="8"/>
  <c r="AH10" i="8"/>
  <c r="X11" i="8"/>
  <c r="AC11" i="8"/>
  <c r="X12" i="8"/>
  <c r="AC12" i="8"/>
  <c r="AH12" i="8"/>
  <c r="X13" i="8"/>
  <c r="AC13" i="8"/>
  <c r="X14" i="8"/>
  <c r="AC14" i="8"/>
  <c r="AH14" i="8"/>
  <c r="X15" i="8"/>
  <c r="AC15" i="8"/>
  <c r="X16" i="8"/>
  <c r="AC16" i="8"/>
  <c r="AH16" i="8"/>
  <c r="X17" i="8"/>
  <c r="AC17" i="8"/>
  <c r="X18" i="8"/>
  <c r="AC18" i="8"/>
  <c r="AH18" i="8"/>
  <c r="X19" i="8"/>
  <c r="AC19" i="8"/>
  <c r="X20" i="8"/>
  <c r="AC20" i="8"/>
  <c r="AH20" i="8"/>
  <c r="X36" i="8"/>
  <c r="AC36" i="8"/>
  <c r="K20" i="8"/>
  <c r="J20" i="8"/>
  <c r="I20" i="8"/>
  <c r="K19" i="8"/>
  <c r="J19" i="8"/>
  <c r="I19" i="8"/>
  <c r="K18" i="8"/>
  <c r="J18" i="8"/>
  <c r="I18" i="8"/>
  <c r="K17" i="8"/>
  <c r="J17" i="8"/>
  <c r="I17" i="8"/>
  <c r="S32" i="8" l="1"/>
  <c r="S30" i="8"/>
  <c r="S31" i="8"/>
  <c r="S35" i="8"/>
  <c r="S33" i="8"/>
  <c r="S34" i="8"/>
  <c r="AH7" i="8"/>
  <c r="AH36" i="8"/>
  <c r="AH19" i="8"/>
  <c r="AH17" i="8"/>
  <c r="AH15" i="8"/>
  <c r="AH13" i="8"/>
  <c r="AH11" i="8"/>
  <c r="AH9" i="8"/>
  <c r="AW35" i="33" l="1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AW29" i="33"/>
  <c r="AR29" i="33"/>
  <c r="AM29" i="33"/>
  <c r="AH29" i="33"/>
  <c r="AC29" i="33"/>
  <c r="X29" i="33"/>
  <c r="S29" i="33"/>
  <c r="AW28" i="33"/>
  <c r="AR28" i="33"/>
  <c r="AM28" i="33"/>
  <c r="AH28" i="33"/>
  <c r="AC28" i="33"/>
  <c r="X28" i="33"/>
  <c r="S28" i="33"/>
  <c r="AW27" i="33"/>
  <c r="AR27" i="33"/>
  <c r="AM27" i="33"/>
  <c r="AH27" i="33"/>
  <c r="AC27" i="33"/>
  <c r="X27" i="33"/>
  <c r="S27" i="33"/>
  <c r="AW26" i="33"/>
  <c r="AR26" i="33"/>
  <c r="AM26" i="33"/>
  <c r="AH26" i="33"/>
  <c r="AC26" i="33"/>
  <c r="X26" i="33"/>
  <c r="S26" i="33"/>
  <c r="AW25" i="33"/>
  <c r="AR25" i="33"/>
  <c r="AM25" i="33"/>
  <c r="AH25" i="33"/>
  <c r="AC25" i="33"/>
  <c r="X25" i="33"/>
  <c r="S25" i="33"/>
  <c r="AW24" i="33"/>
  <c r="AR24" i="33"/>
  <c r="AM24" i="33"/>
  <c r="AH24" i="33"/>
  <c r="AC24" i="33"/>
  <c r="X24" i="33"/>
  <c r="S24" i="33"/>
  <c r="AW23" i="33"/>
  <c r="AR23" i="33"/>
  <c r="AM23" i="33"/>
  <c r="AH23" i="33"/>
  <c r="AC23" i="33"/>
  <c r="X23" i="33"/>
  <c r="S23" i="33"/>
  <c r="AW22" i="33"/>
  <c r="AR22" i="33"/>
  <c r="AM22" i="33"/>
  <c r="AH22" i="33"/>
  <c r="AC22" i="33"/>
  <c r="X22" i="33"/>
  <c r="S22" i="33"/>
  <c r="AW21" i="33"/>
  <c r="AR21" i="33"/>
  <c r="AM21" i="33"/>
  <c r="AH21" i="33"/>
  <c r="AC21" i="33"/>
  <c r="X21" i="33"/>
  <c r="S21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36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AR36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AW133" i="33"/>
  <c r="AR133" i="33"/>
  <c r="AM133" i="33"/>
  <c r="AH133" i="33"/>
  <c r="AC133" i="33"/>
  <c r="X133" i="33"/>
  <c r="S133" i="33"/>
  <c r="AW132" i="33"/>
  <c r="AR132" i="33"/>
  <c r="AM132" i="33"/>
  <c r="AH132" i="33"/>
  <c r="AC132" i="33"/>
  <c r="X132" i="33"/>
  <c r="S132" i="33"/>
  <c r="AW131" i="33"/>
  <c r="AR131" i="33"/>
  <c r="AM131" i="33"/>
  <c r="AH131" i="33"/>
  <c r="AC131" i="33"/>
  <c r="X131" i="33"/>
  <c r="S131" i="33"/>
  <c r="AW130" i="33"/>
  <c r="AR130" i="33"/>
  <c r="AM130" i="33"/>
  <c r="AH130" i="33"/>
  <c r="AC130" i="33"/>
  <c r="X130" i="33"/>
  <c r="S130" i="33"/>
  <c r="AW129" i="33"/>
  <c r="AR129" i="33"/>
  <c r="AM129" i="33"/>
  <c r="AH129" i="33"/>
  <c r="AC129" i="33"/>
  <c r="X129" i="33"/>
  <c r="S129" i="33"/>
  <c r="AW128" i="33"/>
  <c r="AR128" i="33"/>
  <c r="AM128" i="33"/>
  <c r="AH128" i="33"/>
  <c r="AC128" i="33"/>
  <c r="X128" i="33"/>
  <c r="S128" i="33"/>
  <c r="AW127" i="33"/>
  <c r="AR127" i="33"/>
  <c r="AM127" i="33"/>
  <c r="AH127" i="33"/>
  <c r="AC127" i="33"/>
  <c r="X127" i="33"/>
  <c r="S127" i="33"/>
  <c r="AW126" i="33"/>
  <c r="AR126" i="33"/>
  <c r="AM126" i="33"/>
  <c r="AH126" i="33"/>
  <c r="AC126" i="33"/>
  <c r="X126" i="33"/>
  <c r="S12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AW98" i="33"/>
  <c r="AR98" i="33"/>
  <c r="AM98" i="33"/>
  <c r="AH98" i="33"/>
  <c r="AC98" i="33"/>
  <c r="X98" i="33"/>
  <c r="S98" i="33"/>
  <c r="AW97" i="33"/>
  <c r="AR97" i="33"/>
  <c r="AM97" i="33"/>
  <c r="AH97" i="33"/>
  <c r="AC97" i="33"/>
  <c r="X97" i="33"/>
  <c r="S97" i="33"/>
  <c r="AW96" i="33"/>
  <c r="AR96" i="33"/>
  <c r="AM96" i="33"/>
  <c r="AH96" i="33"/>
  <c r="AC96" i="33"/>
  <c r="X96" i="33"/>
  <c r="S96" i="33"/>
  <c r="AW95" i="33"/>
  <c r="AR95" i="33"/>
  <c r="AM95" i="33"/>
  <c r="AH95" i="33"/>
  <c r="AC95" i="33"/>
  <c r="X95" i="33"/>
  <c r="S95" i="33"/>
  <c r="AW94" i="33"/>
  <c r="AR94" i="33"/>
  <c r="AM94" i="33"/>
  <c r="AH94" i="33"/>
  <c r="AC94" i="33"/>
  <c r="X94" i="33"/>
  <c r="S94" i="33"/>
  <c r="AW93" i="33"/>
  <c r="AR93" i="33"/>
  <c r="AM93" i="33"/>
  <c r="AH93" i="33"/>
  <c r="AC93" i="33"/>
  <c r="X93" i="33"/>
  <c r="S93" i="33"/>
  <c r="AW92" i="33"/>
  <c r="AR92" i="33"/>
  <c r="AM92" i="33"/>
  <c r="AH92" i="33"/>
  <c r="AC92" i="33"/>
  <c r="X92" i="33"/>
  <c r="S92" i="33"/>
  <c r="AW91" i="33"/>
  <c r="AR91" i="33"/>
  <c r="AM91" i="33"/>
  <c r="AH91" i="33"/>
  <c r="AC91" i="33"/>
  <c r="X91" i="33"/>
  <c r="S9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AW64" i="33"/>
  <c r="AR64" i="33"/>
  <c r="AM64" i="33"/>
  <c r="AH64" i="33"/>
  <c r="AC64" i="33"/>
  <c r="X64" i="33"/>
  <c r="S64" i="33"/>
  <c r="AW63" i="33"/>
  <c r="AR63" i="33"/>
  <c r="AM63" i="33"/>
  <c r="AH63" i="33"/>
  <c r="AC63" i="33"/>
  <c r="X63" i="33"/>
  <c r="S63" i="33"/>
  <c r="AW62" i="33"/>
  <c r="AR62" i="33"/>
  <c r="AM62" i="33"/>
  <c r="AH62" i="33"/>
  <c r="AC62" i="33"/>
  <c r="X62" i="33"/>
  <c r="S62" i="33"/>
  <c r="AW61" i="33"/>
  <c r="AR61" i="33"/>
  <c r="AM61" i="33"/>
  <c r="AH61" i="33"/>
  <c r="AC61" i="33"/>
  <c r="X61" i="33"/>
  <c r="S61" i="33"/>
  <c r="AW60" i="33"/>
  <c r="AR60" i="33"/>
  <c r="AM60" i="33"/>
  <c r="AH60" i="33"/>
  <c r="AC60" i="33"/>
  <c r="X60" i="33"/>
  <c r="S60" i="33"/>
  <c r="AW59" i="33"/>
  <c r="AR59" i="33"/>
  <c r="AM59" i="33"/>
  <c r="AH59" i="33"/>
  <c r="AC59" i="33"/>
  <c r="X59" i="33"/>
  <c r="S59" i="33"/>
  <c r="AW58" i="33"/>
  <c r="AR58" i="33"/>
  <c r="AM58" i="33"/>
  <c r="AH58" i="33"/>
  <c r="AC58" i="33"/>
  <c r="X58" i="33"/>
  <c r="S58" i="33"/>
  <c r="AW57" i="33"/>
  <c r="AR57" i="33"/>
  <c r="AM57" i="33"/>
  <c r="AH57" i="33"/>
  <c r="AC57" i="33"/>
  <c r="X57" i="33"/>
  <c r="S57" i="33"/>
  <c r="AW56" i="33"/>
  <c r="AR56" i="33"/>
  <c r="AM56" i="33"/>
  <c r="AH56" i="33"/>
  <c r="AC56" i="33"/>
  <c r="X56" i="33"/>
  <c r="S56" i="33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AW91" i="37"/>
  <c r="AR91" i="37"/>
  <c r="AM91" i="37"/>
  <c r="AH91" i="37"/>
  <c r="AC91" i="37"/>
  <c r="X91" i="37"/>
  <c r="S91" i="37"/>
  <c r="AW90" i="37"/>
  <c r="AR90" i="37"/>
  <c r="AM90" i="37"/>
  <c r="AH90" i="37"/>
  <c r="AC90" i="37"/>
  <c r="X90" i="37"/>
  <c r="S90" i="37"/>
  <c r="AW89" i="37"/>
  <c r="AR89" i="37"/>
  <c r="AM89" i="37"/>
  <c r="AH89" i="37"/>
  <c r="AC89" i="37"/>
  <c r="X89" i="37"/>
  <c r="S89" i="37"/>
  <c r="AW88" i="37"/>
  <c r="AR88" i="37"/>
  <c r="AM88" i="37"/>
  <c r="AH88" i="37"/>
  <c r="AC88" i="37"/>
  <c r="X88" i="37"/>
  <c r="S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AW71" i="37"/>
  <c r="AR71" i="37"/>
  <c r="AM71" i="37"/>
  <c r="AH71" i="37"/>
  <c r="AC71" i="37"/>
  <c r="X71" i="37"/>
  <c r="S71" i="37"/>
  <c r="AW70" i="37"/>
  <c r="AR70" i="37"/>
  <c r="AM70" i="37"/>
  <c r="AH70" i="37"/>
  <c r="AC70" i="37"/>
  <c r="X70" i="37"/>
  <c r="S70" i="37"/>
  <c r="AW69" i="37"/>
  <c r="AR69" i="37"/>
  <c r="AM69" i="37"/>
  <c r="AH69" i="37"/>
  <c r="AC69" i="37"/>
  <c r="X69" i="37"/>
  <c r="S69" i="37"/>
  <c r="AW68" i="37"/>
  <c r="AR68" i="37"/>
  <c r="AM68" i="37"/>
  <c r="AH68" i="37"/>
  <c r="AC68" i="37"/>
  <c r="X68" i="37"/>
  <c r="S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AW61" i="37"/>
  <c r="AR61" i="37"/>
  <c r="AM61" i="37"/>
  <c r="AH61" i="37"/>
  <c r="AC61" i="37"/>
  <c r="X61" i="37"/>
  <c r="S61" i="37"/>
  <c r="AW60" i="37"/>
  <c r="AR60" i="37"/>
  <c r="AM60" i="37"/>
  <c r="AH60" i="37"/>
  <c r="AC60" i="37"/>
  <c r="X60" i="37"/>
  <c r="S60" i="37"/>
  <c r="AW59" i="37"/>
  <c r="AR59" i="37"/>
  <c r="AM59" i="37"/>
  <c r="AH59" i="37"/>
  <c r="AC59" i="37"/>
  <c r="X59" i="37"/>
  <c r="S59" i="37"/>
  <c r="AW58" i="37"/>
  <c r="AR58" i="37"/>
  <c r="AM58" i="37"/>
  <c r="AH58" i="37"/>
  <c r="AC58" i="37"/>
  <c r="X58" i="37"/>
  <c r="S58" i="37"/>
  <c r="AW57" i="37"/>
  <c r="AR57" i="37"/>
  <c r="AM57" i="37"/>
  <c r="AH57" i="37"/>
  <c r="AC57" i="37"/>
  <c r="X57" i="37"/>
  <c r="S57" i="37"/>
  <c r="AW56" i="37"/>
  <c r="AR56" i="37"/>
  <c r="AM56" i="37"/>
  <c r="AH56" i="37"/>
  <c r="AC56" i="37"/>
  <c r="X56" i="37"/>
  <c r="S56" i="37"/>
  <c r="AW55" i="37"/>
  <c r="AR55" i="37"/>
  <c r="AM55" i="37"/>
  <c r="AH55" i="37"/>
  <c r="AC55" i="37"/>
  <c r="X55" i="37"/>
  <c r="S55" i="37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P42" i="37"/>
  <c r="P62" i="37" s="1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AW31" i="37"/>
  <c r="AR31" i="37"/>
  <c r="AM31" i="37"/>
  <c r="AH31" i="37"/>
  <c r="AC31" i="37"/>
  <c r="X31" i="37"/>
  <c r="S31" i="37"/>
  <c r="AW30" i="37"/>
  <c r="AR30" i="37"/>
  <c r="AM30" i="37"/>
  <c r="AH30" i="37"/>
  <c r="AC30" i="37"/>
  <c r="X30" i="37"/>
  <c r="S30" i="37"/>
  <c r="AW29" i="37"/>
  <c r="AR29" i="37"/>
  <c r="AM29" i="37"/>
  <c r="AH29" i="37"/>
  <c r="AC29" i="37"/>
  <c r="X29" i="37"/>
  <c r="S29" i="37"/>
  <c r="AW28" i="37"/>
  <c r="AR28" i="37"/>
  <c r="AM28" i="37"/>
  <c r="AH28" i="37"/>
  <c r="AC28" i="37"/>
  <c r="X28" i="37"/>
  <c r="S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U22" i="37"/>
  <c r="Z22" i="37" s="1"/>
  <c r="AE22" i="37" s="1"/>
  <c r="AJ22" i="37" s="1"/>
  <c r="AO22" i="37" s="1"/>
  <c r="AT22" i="37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AW92" i="35"/>
  <c r="AR92" i="35"/>
  <c r="AM92" i="35"/>
  <c r="AH92" i="35"/>
  <c r="AC92" i="35"/>
  <c r="X92" i="35"/>
  <c r="S92" i="35"/>
  <c r="AW91" i="35"/>
  <c r="AR91" i="35"/>
  <c r="AM91" i="35"/>
  <c r="AH91" i="35"/>
  <c r="AC91" i="35"/>
  <c r="X91" i="35"/>
  <c r="S91" i="35"/>
  <c r="AW90" i="35"/>
  <c r="AR90" i="35"/>
  <c r="AM90" i="35"/>
  <c r="AH90" i="35"/>
  <c r="AC90" i="35"/>
  <c r="X90" i="35"/>
  <c r="S90" i="35"/>
  <c r="AW89" i="35"/>
  <c r="AR89" i="35"/>
  <c r="AM89" i="35"/>
  <c r="AH89" i="35"/>
  <c r="AC89" i="35"/>
  <c r="X89" i="35"/>
  <c r="S89" i="35"/>
  <c r="AW88" i="35"/>
  <c r="AR88" i="35"/>
  <c r="AM88" i="35"/>
  <c r="AH88" i="35"/>
  <c r="AC88" i="35"/>
  <c r="X88" i="35"/>
  <c r="S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AW73" i="35"/>
  <c r="AR73" i="35"/>
  <c r="AM73" i="35"/>
  <c r="AH73" i="35"/>
  <c r="AC73" i="35"/>
  <c r="X73" i="35"/>
  <c r="S73" i="35"/>
  <c r="AW72" i="35"/>
  <c r="AR72" i="35"/>
  <c r="AM72" i="35"/>
  <c r="AH72" i="35"/>
  <c r="AC72" i="35"/>
  <c r="X72" i="35"/>
  <c r="S72" i="35"/>
  <c r="AW71" i="35"/>
  <c r="AR71" i="35"/>
  <c r="AM71" i="35"/>
  <c r="AH71" i="35"/>
  <c r="AC71" i="35"/>
  <c r="X71" i="35"/>
  <c r="S71" i="35"/>
  <c r="AW70" i="35"/>
  <c r="AR70" i="35"/>
  <c r="AM70" i="35"/>
  <c r="AH70" i="35"/>
  <c r="AC70" i="35"/>
  <c r="X70" i="35"/>
  <c r="S70" i="35"/>
  <c r="AW69" i="35"/>
  <c r="AR69" i="35"/>
  <c r="AM69" i="35"/>
  <c r="AH69" i="35"/>
  <c r="AC69" i="35"/>
  <c r="X69" i="35"/>
  <c r="S69" i="35"/>
  <c r="AW68" i="35"/>
  <c r="AR68" i="35"/>
  <c r="AM68" i="35"/>
  <c r="AH68" i="35"/>
  <c r="AC68" i="35"/>
  <c r="X68" i="35"/>
  <c r="S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P42" i="35"/>
  <c r="P62" i="35" s="1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AW32" i="35"/>
  <c r="AR32" i="35"/>
  <c r="AM32" i="35"/>
  <c r="AH32" i="35"/>
  <c r="AC32" i="35"/>
  <c r="X32" i="35"/>
  <c r="S32" i="35"/>
  <c r="AW31" i="35"/>
  <c r="AR31" i="35"/>
  <c r="AM31" i="35"/>
  <c r="AH31" i="35"/>
  <c r="AC31" i="35"/>
  <c r="X31" i="35"/>
  <c r="S31" i="35"/>
  <c r="AW30" i="35"/>
  <c r="AR30" i="35"/>
  <c r="AM30" i="35"/>
  <c r="AH30" i="35"/>
  <c r="AC30" i="35"/>
  <c r="X30" i="35"/>
  <c r="S30" i="35"/>
  <c r="AW29" i="35"/>
  <c r="AR29" i="35"/>
  <c r="AM29" i="35"/>
  <c r="AH29" i="35"/>
  <c r="AC29" i="35"/>
  <c r="X29" i="35"/>
  <c r="S29" i="35"/>
  <c r="AW28" i="35"/>
  <c r="AR28" i="35"/>
  <c r="AM28" i="35"/>
  <c r="AH28" i="35"/>
  <c r="AC28" i="35"/>
  <c r="X28" i="35"/>
  <c r="S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U22" i="35"/>
  <c r="Z22" i="35" s="1"/>
  <c r="AE22" i="35" s="1"/>
  <c r="AJ22" i="35" s="1"/>
  <c r="AO22" i="35" s="1"/>
  <c r="AT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AW93" i="34"/>
  <c r="AR93" i="34"/>
  <c r="AM93" i="34"/>
  <c r="AH93" i="34"/>
  <c r="AC93" i="34"/>
  <c r="X93" i="34"/>
  <c r="S93" i="34"/>
  <c r="AW92" i="34"/>
  <c r="AR92" i="34"/>
  <c r="AM92" i="34"/>
  <c r="AH92" i="34"/>
  <c r="AC92" i="34"/>
  <c r="X92" i="34"/>
  <c r="S92" i="34"/>
  <c r="AW91" i="34"/>
  <c r="AR91" i="34"/>
  <c r="AM91" i="34"/>
  <c r="AH91" i="34"/>
  <c r="AC91" i="34"/>
  <c r="X91" i="34"/>
  <c r="S91" i="34"/>
  <c r="AW90" i="34"/>
  <c r="AR90" i="34"/>
  <c r="AM90" i="34"/>
  <c r="AH90" i="34"/>
  <c r="AC90" i="34"/>
  <c r="X90" i="34"/>
  <c r="S90" i="34"/>
  <c r="AW89" i="34"/>
  <c r="AR89" i="34"/>
  <c r="AM89" i="34"/>
  <c r="AH89" i="34"/>
  <c r="AC89" i="34"/>
  <c r="X89" i="34"/>
  <c r="S89" i="34"/>
  <c r="AW88" i="34"/>
  <c r="AR88" i="34"/>
  <c r="AM88" i="34"/>
  <c r="AH88" i="34"/>
  <c r="AC88" i="34"/>
  <c r="X88" i="34"/>
  <c r="S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AW73" i="34"/>
  <c r="AR73" i="34"/>
  <c r="AM73" i="34"/>
  <c r="AH73" i="34"/>
  <c r="AC73" i="34"/>
  <c r="X73" i="34"/>
  <c r="S73" i="34"/>
  <c r="AW72" i="34"/>
  <c r="AR72" i="34"/>
  <c r="AM72" i="34"/>
  <c r="AH72" i="34"/>
  <c r="AC72" i="34"/>
  <c r="X72" i="34"/>
  <c r="S72" i="34"/>
  <c r="AW71" i="34"/>
  <c r="AR71" i="34"/>
  <c r="AM71" i="34"/>
  <c r="AH71" i="34"/>
  <c r="AC71" i="34"/>
  <c r="X71" i="34"/>
  <c r="S71" i="34"/>
  <c r="AW70" i="34"/>
  <c r="AR70" i="34"/>
  <c r="AM70" i="34"/>
  <c r="AH70" i="34"/>
  <c r="AC70" i="34"/>
  <c r="X70" i="34"/>
  <c r="S70" i="34"/>
  <c r="AW69" i="34"/>
  <c r="AR69" i="34"/>
  <c r="AM69" i="34"/>
  <c r="AH69" i="34"/>
  <c r="AC69" i="34"/>
  <c r="X69" i="34"/>
  <c r="S69" i="34"/>
  <c r="AW68" i="34"/>
  <c r="AR68" i="34"/>
  <c r="AM68" i="34"/>
  <c r="AH68" i="34"/>
  <c r="AC68" i="34"/>
  <c r="X68" i="34"/>
  <c r="S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P42" i="34"/>
  <c r="P62" i="34" s="1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AW32" i="34"/>
  <c r="AR32" i="34"/>
  <c r="AM32" i="34"/>
  <c r="AH32" i="34"/>
  <c r="AC32" i="34"/>
  <c r="X32" i="34"/>
  <c r="S32" i="34"/>
  <c r="AW31" i="34"/>
  <c r="AR31" i="34"/>
  <c r="AM31" i="34"/>
  <c r="AH31" i="34"/>
  <c r="AC31" i="34"/>
  <c r="X31" i="34"/>
  <c r="S31" i="34"/>
  <c r="AW30" i="34"/>
  <c r="AR30" i="34"/>
  <c r="AM30" i="34"/>
  <c r="AH30" i="34"/>
  <c r="AC30" i="34"/>
  <c r="X30" i="34"/>
  <c r="S30" i="34"/>
  <c r="AW29" i="34"/>
  <c r="AR29" i="34"/>
  <c r="AM29" i="34"/>
  <c r="AH29" i="34"/>
  <c r="AC29" i="34"/>
  <c r="X29" i="34"/>
  <c r="S29" i="34"/>
  <c r="AW28" i="34"/>
  <c r="AR28" i="34"/>
  <c r="AM28" i="34"/>
  <c r="AH28" i="34"/>
  <c r="AC28" i="34"/>
  <c r="X28" i="34"/>
  <c r="S28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U22" i="34"/>
  <c r="Z22" i="34" s="1"/>
  <c r="AE22" i="34" s="1"/>
  <c r="AJ22" i="34" s="1"/>
  <c r="AO22" i="34" s="1"/>
  <c r="AT22" i="34" s="1"/>
  <c r="AW176" i="33"/>
  <c r="AR176" i="33"/>
  <c r="AM176" i="33"/>
  <c r="AH176" i="33"/>
  <c r="AC176" i="33"/>
  <c r="X176" i="33"/>
  <c r="S176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AW141" i="33"/>
  <c r="AR141" i="33"/>
  <c r="AM141" i="33"/>
  <c r="AH141" i="33"/>
  <c r="AC141" i="33"/>
  <c r="X141" i="33"/>
  <c r="S141" i="33"/>
  <c r="AW125" i="33"/>
  <c r="AR125" i="33"/>
  <c r="AM125" i="33"/>
  <c r="AH125" i="33"/>
  <c r="AC125" i="33"/>
  <c r="X125" i="33"/>
  <c r="S125" i="33"/>
  <c r="AW124" i="33"/>
  <c r="AR124" i="33"/>
  <c r="AM124" i="33"/>
  <c r="AH124" i="33"/>
  <c r="AC124" i="33"/>
  <c r="X124" i="33"/>
  <c r="S124" i="33"/>
  <c r="AW123" i="33"/>
  <c r="AR123" i="33"/>
  <c r="AM123" i="33"/>
  <c r="AH123" i="33"/>
  <c r="AC123" i="33"/>
  <c r="X123" i="33"/>
  <c r="S123" i="33"/>
  <c r="AW122" i="33"/>
  <c r="AR122" i="33"/>
  <c r="AM122" i="33"/>
  <c r="AH122" i="33"/>
  <c r="AC122" i="33"/>
  <c r="X122" i="33"/>
  <c r="S122" i="33"/>
  <c r="AW121" i="33"/>
  <c r="AR121" i="33"/>
  <c r="AM121" i="33"/>
  <c r="AH121" i="33"/>
  <c r="AC121" i="33"/>
  <c r="X121" i="33"/>
  <c r="S121" i="33"/>
  <c r="AW120" i="33"/>
  <c r="AR120" i="33"/>
  <c r="AM120" i="33"/>
  <c r="AH120" i="33"/>
  <c r="AC120" i="33"/>
  <c r="X120" i="33"/>
  <c r="S120" i="33"/>
  <c r="AW119" i="33"/>
  <c r="AR119" i="33"/>
  <c r="AM119" i="33"/>
  <c r="AH119" i="33"/>
  <c r="AC119" i="33"/>
  <c r="X119" i="33"/>
  <c r="S119" i="33"/>
  <c r="AW118" i="33"/>
  <c r="AR118" i="33"/>
  <c r="AM118" i="33"/>
  <c r="AH118" i="33"/>
  <c r="AC118" i="33"/>
  <c r="X118" i="33"/>
  <c r="S118" i="33"/>
  <c r="AW117" i="33"/>
  <c r="AR117" i="33"/>
  <c r="AM117" i="33"/>
  <c r="AH117" i="33"/>
  <c r="AC117" i="33"/>
  <c r="X117" i="33"/>
  <c r="S117" i="33"/>
  <c r="AW116" i="33"/>
  <c r="AR116" i="33"/>
  <c r="AM116" i="33"/>
  <c r="AH116" i="33"/>
  <c r="AC116" i="33"/>
  <c r="X116" i="33"/>
  <c r="S116" i="33"/>
  <c r="AW115" i="33"/>
  <c r="AR115" i="33"/>
  <c r="AM115" i="33"/>
  <c r="AH115" i="33"/>
  <c r="AC115" i="33"/>
  <c r="X115" i="33"/>
  <c r="S115" i="33"/>
  <c r="AW114" i="33"/>
  <c r="AR114" i="33"/>
  <c r="AM114" i="33"/>
  <c r="AH114" i="33"/>
  <c r="AC114" i="33"/>
  <c r="X114" i="33"/>
  <c r="S114" i="33"/>
  <c r="AW113" i="33"/>
  <c r="AR113" i="33"/>
  <c r="AM113" i="33"/>
  <c r="AH113" i="33"/>
  <c r="AC113" i="33"/>
  <c r="X113" i="33"/>
  <c r="S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AW106" i="33"/>
  <c r="AR106" i="33"/>
  <c r="AM106" i="33"/>
  <c r="AH106" i="33"/>
  <c r="AC106" i="33"/>
  <c r="X106" i="33"/>
  <c r="S106" i="33"/>
  <c r="AW90" i="33"/>
  <c r="AR90" i="33"/>
  <c r="AM90" i="33"/>
  <c r="AH90" i="33"/>
  <c r="AC90" i="33"/>
  <c r="X90" i="33"/>
  <c r="S90" i="33"/>
  <c r="AW89" i="33"/>
  <c r="AR89" i="33"/>
  <c r="AM89" i="33"/>
  <c r="AH89" i="33"/>
  <c r="AC89" i="33"/>
  <c r="X89" i="33"/>
  <c r="S89" i="33"/>
  <c r="AW88" i="33"/>
  <c r="AR88" i="33"/>
  <c r="AM88" i="33"/>
  <c r="AH88" i="33"/>
  <c r="AC88" i="33"/>
  <c r="X88" i="33"/>
  <c r="S88" i="33"/>
  <c r="AW87" i="33"/>
  <c r="AR87" i="33"/>
  <c r="AM87" i="33"/>
  <c r="AH87" i="33"/>
  <c r="AC87" i="33"/>
  <c r="X87" i="33"/>
  <c r="S87" i="33"/>
  <c r="AW86" i="33"/>
  <c r="AR86" i="33"/>
  <c r="AM86" i="33"/>
  <c r="AH86" i="33"/>
  <c r="AC86" i="33"/>
  <c r="X86" i="33"/>
  <c r="S86" i="33"/>
  <c r="AW85" i="33"/>
  <c r="AR85" i="33"/>
  <c r="AM85" i="33"/>
  <c r="AH85" i="33"/>
  <c r="AC85" i="33"/>
  <c r="X85" i="33"/>
  <c r="S85" i="33"/>
  <c r="AW84" i="33"/>
  <c r="AR84" i="33"/>
  <c r="AM84" i="33"/>
  <c r="AH84" i="33"/>
  <c r="AC84" i="33"/>
  <c r="X84" i="33"/>
  <c r="S84" i="33"/>
  <c r="AW83" i="33"/>
  <c r="AR83" i="33"/>
  <c r="AM83" i="33"/>
  <c r="AH83" i="33"/>
  <c r="AC83" i="33"/>
  <c r="X83" i="33"/>
  <c r="S83" i="33"/>
  <c r="AW82" i="33"/>
  <c r="AR82" i="33"/>
  <c r="AM82" i="33"/>
  <c r="AH82" i="33"/>
  <c r="AC82" i="33"/>
  <c r="X82" i="33"/>
  <c r="S82" i="33"/>
  <c r="AW81" i="33"/>
  <c r="AR81" i="33"/>
  <c r="AM81" i="33"/>
  <c r="AH81" i="33"/>
  <c r="AC81" i="33"/>
  <c r="X81" i="33"/>
  <c r="S81" i="33"/>
  <c r="AW80" i="33"/>
  <c r="AR80" i="33"/>
  <c r="AM80" i="33"/>
  <c r="AH80" i="33"/>
  <c r="AC80" i="33"/>
  <c r="X80" i="33"/>
  <c r="S80" i="33"/>
  <c r="AW79" i="33"/>
  <c r="AR79" i="33"/>
  <c r="AM79" i="33"/>
  <c r="AH79" i="33"/>
  <c r="AC79" i="33"/>
  <c r="X79" i="33"/>
  <c r="S79" i="33"/>
  <c r="AW78" i="33"/>
  <c r="AR78" i="33"/>
  <c r="AM78" i="33"/>
  <c r="AH78" i="33"/>
  <c r="AC78" i="33"/>
  <c r="X78" i="33"/>
  <c r="S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P72" i="33"/>
  <c r="P107" i="33" s="1"/>
  <c r="AW71" i="33"/>
  <c r="AR71" i="33"/>
  <c r="AM71" i="33"/>
  <c r="AH71" i="33"/>
  <c r="AC71" i="33"/>
  <c r="X71" i="33"/>
  <c r="S71" i="33"/>
  <c r="AW55" i="33"/>
  <c r="AR55" i="33"/>
  <c r="AM55" i="33"/>
  <c r="AH55" i="33"/>
  <c r="AC55" i="33"/>
  <c r="X55" i="33"/>
  <c r="S55" i="33"/>
  <c r="AW54" i="33"/>
  <c r="AR54" i="33"/>
  <c r="AM54" i="33"/>
  <c r="AH54" i="33"/>
  <c r="AC54" i="33"/>
  <c r="X54" i="33"/>
  <c r="S54" i="33"/>
  <c r="AW53" i="33"/>
  <c r="AR53" i="33"/>
  <c r="AM53" i="33"/>
  <c r="AH53" i="33"/>
  <c r="AC53" i="33"/>
  <c r="X53" i="33"/>
  <c r="S53" i="33"/>
  <c r="AW52" i="33"/>
  <c r="AR52" i="33"/>
  <c r="AM52" i="33"/>
  <c r="AH52" i="33"/>
  <c r="AC52" i="33"/>
  <c r="X52" i="33"/>
  <c r="S52" i="33"/>
  <c r="AW51" i="33"/>
  <c r="AR51" i="33"/>
  <c r="AM51" i="33"/>
  <c r="AH51" i="33"/>
  <c r="AC51" i="33"/>
  <c r="X51" i="33"/>
  <c r="S51" i="33"/>
  <c r="AW50" i="33"/>
  <c r="AR50" i="33"/>
  <c r="AM50" i="33"/>
  <c r="AH50" i="33"/>
  <c r="AC50" i="33"/>
  <c r="X50" i="33"/>
  <c r="S50" i="33"/>
  <c r="AW49" i="33"/>
  <c r="AR49" i="33"/>
  <c r="AM49" i="33"/>
  <c r="AH49" i="33"/>
  <c r="AC49" i="33"/>
  <c r="X49" i="33"/>
  <c r="S49" i="33"/>
  <c r="AW48" i="33"/>
  <c r="AR48" i="33"/>
  <c r="AM48" i="33"/>
  <c r="AH48" i="33"/>
  <c r="AC48" i="33"/>
  <c r="X48" i="33"/>
  <c r="S48" i="33"/>
  <c r="AW47" i="33"/>
  <c r="AR47" i="33"/>
  <c r="AM47" i="33"/>
  <c r="AH47" i="33"/>
  <c r="AC47" i="33"/>
  <c r="X47" i="33"/>
  <c r="S47" i="33"/>
  <c r="AW46" i="33"/>
  <c r="AR46" i="33"/>
  <c r="AM46" i="33"/>
  <c r="AH46" i="33"/>
  <c r="AC46" i="33"/>
  <c r="X46" i="33"/>
  <c r="S46" i="33"/>
  <c r="AW45" i="33"/>
  <c r="AR45" i="33"/>
  <c r="AM45" i="33"/>
  <c r="AH45" i="33"/>
  <c r="AC45" i="33"/>
  <c r="X45" i="33"/>
  <c r="S45" i="33"/>
  <c r="AW44" i="33"/>
  <c r="AR44" i="33"/>
  <c r="AM44" i="33"/>
  <c r="AH44" i="33"/>
  <c r="AC44" i="33"/>
  <c r="X44" i="33"/>
  <c r="S44" i="33"/>
  <c r="AW43" i="33"/>
  <c r="AR43" i="33"/>
  <c r="AM43" i="33"/>
  <c r="AH43" i="33"/>
  <c r="AC43" i="33"/>
  <c r="X43" i="33"/>
  <c r="S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U37" i="33"/>
  <c r="Z37" i="33" s="1"/>
  <c r="AE37" i="33" s="1"/>
  <c r="AJ37" i="33" s="1"/>
  <c r="AO37" i="33" s="1"/>
  <c r="AT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AW61" i="31"/>
  <c r="AR61" i="31"/>
  <c r="AM61" i="31"/>
  <c r="AH61" i="31"/>
  <c r="AC61" i="31"/>
  <c r="X61" i="31"/>
  <c r="S61" i="31"/>
  <c r="AW60" i="31"/>
  <c r="AR60" i="31"/>
  <c r="AM60" i="31"/>
  <c r="AH60" i="31"/>
  <c r="AC60" i="31"/>
  <c r="X60" i="31"/>
  <c r="S60" i="31"/>
  <c r="AW59" i="31"/>
  <c r="AR59" i="31"/>
  <c r="AM59" i="31"/>
  <c r="AH59" i="31"/>
  <c r="AC59" i="31"/>
  <c r="X59" i="31"/>
  <c r="S59" i="31"/>
  <c r="AW58" i="31"/>
  <c r="AR58" i="31"/>
  <c r="AM58" i="31"/>
  <c r="AH58" i="31"/>
  <c r="AC58" i="31"/>
  <c r="X58" i="31"/>
  <c r="S58" i="31"/>
  <c r="AW57" i="31"/>
  <c r="AR57" i="31"/>
  <c r="AM57" i="31"/>
  <c r="AH57" i="31"/>
  <c r="AC57" i="31"/>
  <c r="X57" i="31"/>
  <c r="S57" i="31"/>
  <c r="AW56" i="31"/>
  <c r="AR56" i="31"/>
  <c r="AM56" i="31"/>
  <c r="AH56" i="31"/>
  <c r="AC56" i="31"/>
  <c r="X56" i="31"/>
  <c r="S56" i="31"/>
  <c r="AW55" i="31"/>
  <c r="AR55" i="31"/>
  <c r="AM55" i="31"/>
  <c r="AH55" i="31"/>
  <c r="AC55" i="31"/>
  <c r="X55" i="31"/>
  <c r="S55" i="31"/>
  <c r="AW54" i="31"/>
  <c r="AR54" i="31"/>
  <c r="AM54" i="31"/>
  <c r="AH54" i="31"/>
  <c r="AC54" i="31"/>
  <c r="X54" i="31"/>
  <c r="S54" i="31"/>
  <c r="AW53" i="31"/>
  <c r="AR53" i="31"/>
  <c r="AM53" i="31"/>
  <c r="AH53" i="31"/>
  <c r="AC53" i="31"/>
  <c r="X53" i="31"/>
  <c r="S53" i="31"/>
  <c r="AW52" i="31"/>
  <c r="AR52" i="31"/>
  <c r="AM52" i="31"/>
  <c r="AH52" i="31"/>
  <c r="AC52" i="31"/>
  <c r="X52" i="31"/>
  <c r="S52" i="31"/>
  <c r="AW51" i="31"/>
  <c r="AR51" i="31"/>
  <c r="AM51" i="31"/>
  <c r="AH51" i="31"/>
  <c r="AC51" i="31"/>
  <c r="X51" i="31"/>
  <c r="S51" i="31"/>
  <c r="AW50" i="31"/>
  <c r="AR50" i="31"/>
  <c r="AM50" i="31"/>
  <c r="AH50" i="31"/>
  <c r="AC50" i="31"/>
  <c r="X50" i="31"/>
  <c r="S50" i="31"/>
  <c r="AW49" i="31"/>
  <c r="AR49" i="31"/>
  <c r="AM49" i="31"/>
  <c r="AH49" i="31"/>
  <c r="AC49" i="31"/>
  <c r="X49" i="31"/>
  <c r="S49" i="31"/>
  <c r="AW48" i="31"/>
  <c r="AR48" i="31"/>
  <c r="AM48" i="31"/>
  <c r="AH48" i="31"/>
  <c r="AC48" i="31"/>
  <c r="X48" i="31"/>
  <c r="S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T47" i="31"/>
  <c r="S47" i="31"/>
  <c r="P42" i="31"/>
  <c r="P62" i="31" s="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U22" i="31"/>
  <c r="Z22" i="31" s="1"/>
  <c r="AE22" i="31" s="1"/>
  <c r="AJ22" i="31" s="1"/>
  <c r="AO22" i="31" s="1"/>
  <c r="AT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AW95" i="32"/>
  <c r="AR95" i="32"/>
  <c r="AM95" i="32"/>
  <c r="AH95" i="32"/>
  <c r="AC95" i="32"/>
  <c r="X95" i="32"/>
  <c r="S95" i="32"/>
  <c r="AW94" i="32"/>
  <c r="AR94" i="32"/>
  <c r="AM94" i="32"/>
  <c r="AH94" i="32"/>
  <c r="AC94" i="32"/>
  <c r="X94" i="32"/>
  <c r="S94" i="32"/>
  <c r="AW93" i="32"/>
  <c r="AR93" i="32"/>
  <c r="AM93" i="32"/>
  <c r="AH93" i="32"/>
  <c r="AC93" i="32"/>
  <c r="X93" i="32"/>
  <c r="S93" i="32"/>
  <c r="AW92" i="32"/>
  <c r="AR92" i="32"/>
  <c r="AM92" i="32"/>
  <c r="AH92" i="32"/>
  <c r="AC92" i="32"/>
  <c r="X92" i="32"/>
  <c r="S92" i="32"/>
  <c r="AW91" i="32"/>
  <c r="AR91" i="32"/>
  <c r="AM91" i="32"/>
  <c r="AH91" i="32"/>
  <c r="AC91" i="32"/>
  <c r="X91" i="32"/>
  <c r="S91" i="32"/>
  <c r="AW90" i="32"/>
  <c r="AR90" i="32"/>
  <c r="AM90" i="32"/>
  <c r="AH90" i="32"/>
  <c r="AC90" i="32"/>
  <c r="X90" i="32"/>
  <c r="S90" i="32"/>
  <c r="AW89" i="32"/>
  <c r="AR89" i="32"/>
  <c r="AM89" i="32"/>
  <c r="AH89" i="32"/>
  <c r="AC89" i="32"/>
  <c r="X89" i="32"/>
  <c r="S89" i="32"/>
  <c r="AW88" i="32"/>
  <c r="AR88" i="32"/>
  <c r="AM88" i="32"/>
  <c r="AH88" i="32"/>
  <c r="AC88" i="32"/>
  <c r="X88" i="32"/>
  <c r="S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AW75" i="32"/>
  <c r="AR75" i="32"/>
  <c r="AM75" i="32"/>
  <c r="AH75" i="32"/>
  <c r="AC75" i="32"/>
  <c r="X75" i="32"/>
  <c r="S75" i="32"/>
  <c r="AW74" i="32"/>
  <c r="AR74" i="32"/>
  <c r="AM74" i="32"/>
  <c r="AH74" i="32"/>
  <c r="AC74" i="32"/>
  <c r="X74" i="32"/>
  <c r="S74" i="32"/>
  <c r="AW73" i="32"/>
  <c r="AR73" i="32"/>
  <c r="AM73" i="32"/>
  <c r="AH73" i="32"/>
  <c r="AC73" i="32"/>
  <c r="X73" i="32"/>
  <c r="S73" i="32"/>
  <c r="AW72" i="32"/>
  <c r="AR72" i="32"/>
  <c r="AM72" i="32"/>
  <c r="AH72" i="32"/>
  <c r="AC72" i="32"/>
  <c r="X72" i="32"/>
  <c r="S72" i="32"/>
  <c r="AW71" i="32"/>
  <c r="AR71" i="32"/>
  <c r="AM71" i="32"/>
  <c r="AH71" i="32"/>
  <c r="AC71" i="32"/>
  <c r="X71" i="32"/>
  <c r="S71" i="32"/>
  <c r="AW70" i="32"/>
  <c r="AR70" i="32"/>
  <c r="AM70" i="32"/>
  <c r="AH70" i="32"/>
  <c r="AC70" i="32"/>
  <c r="X70" i="32"/>
  <c r="S70" i="32"/>
  <c r="AW69" i="32"/>
  <c r="AR69" i="32"/>
  <c r="AM69" i="32"/>
  <c r="AH69" i="32"/>
  <c r="AC69" i="32"/>
  <c r="X69" i="32"/>
  <c r="S69" i="32"/>
  <c r="AW68" i="32"/>
  <c r="AR68" i="32"/>
  <c r="AM68" i="32"/>
  <c r="AH68" i="32"/>
  <c r="AC68" i="32"/>
  <c r="X68" i="32"/>
  <c r="S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P42" i="32"/>
  <c r="P62" i="32" s="1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AW35" i="32"/>
  <c r="AR35" i="32"/>
  <c r="AM35" i="32"/>
  <c r="AH35" i="32"/>
  <c r="AC35" i="32"/>
  <c r="X35" i="32"/>
  <c r="S35" i="32"/>
  <c r="AW34" i="32"/>
  <c r="AR34" i="32"/>
  <c r="AM34" i="32"/>
  <c r="AH34" i="32"/>
  <c r="AC34" i="32"/>
  <c r="X34" i="32"/>
  <c r="S34" i="32"/>
  <c r="AW33" i="32"/>
  <c r="AR33" i="32"/>
  <c r="AM33" i="32"/>
  <c r="AH33" i="32"/>
  <c r="AC33" i="32"/>
  <c r="X33" i="32"/>
  <c r="S33" i="32"/>
  <c r="AW32" i="32"/>
  <c r="AR32" i="32"/>
  <c r="AM32" i="32"/>
  <c r="AH32" i="32"/>
  <c r="AC32" i="32"/>
  <c r="X32" i="32"/>
  <c r="S32" i="32"/>
  <c r="AW31" i="32"/>
  <c r="AR31" i="32"/>
  <c r="AM31" i="32"/>
  <c r="AH31" i="32"/>
  <c r="AC31" i="32"/>
  <c r="X31" i="32"/>
  <c r="S31" i="32"/>
  <c r="AW30" i="32"/>
  <c r="AR30" i="32"/>
  <c r="AM30" i="32"/>
  <c r="AH30" i="32"/>
  <c r="AC30" i="32"/>
  <c r="X30" i="32"/>
  <c r="S30" i="32"/>
  <c r="AW29" i="32"/>
  <c r="AR29" i="32"/>
  <c r="AM29" i="32"/>
  <c r="AH29" i="32"/>
  <c r="AC29" i="32"/>
  <c r="X29" i="32"/>
  <c r="S29" i="32"/>
  <c r="AW28" i="32"/>
  <c r="AR28" i="32"/>
  <c r="AM28" i="32"/>
  <c r="AH28" i="32"/>
  <c r="AC28" i="32"/>
  <c r="X28" i="32"/>
  <c r="S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U22" i="32"/>
  <c r="Z22" i="32" s="1"/>
  <c r="AE22" i="32" s="1"/>
  <c r="AJ22" i="32" s="1"/>
  <c r="AO22" i="32" s="1"/>
  <c r="AT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AW92" i="30"/>
  <c r="AR92" i="30"/>
  <c r="AM92" i="30"/>
  <c r="AH92" i="30"/>
  <c r="AC92" i="30"/>
  <c r="X92" i="30"/>
  <c r="S92" i="30"/>
  <c r="AW91" i="30"/>
  <c r="AR91" i="30"/>
  <c r="AM91" i="30"/>
  <c r="AH91" i="30"/>
  <c r="AC91" i="30"/>
  <c r="X91" i="30"/>
  <c r="S91" i="30"/>
  <c r="AW90" i="30"/>
  <c r="AR90" i="30"/>
  <c r="AM90" i="30"/>
  <c r="AH90" i="30"/>
  <c r="AC90" i="30"/>
  <c r="X90" i="30"/>
  <c r="S90" i="30"/>
  <c r="AW89" i="30"/>
  <c r="AR89" i="30"/>
  <c r="AM89" i="30"/>
  <c r="AH89" i="30"/>
  <c r="AC89" i="30"/>
  <c r="X89" i="30"/>
  <c r="S89" i="30"/>
  <c r="AW88" i="30"/>
  <c r="AR88" i="30"/>
  <c r="AM88" i="30"/>
  <c r="AH88" i="30"/>
  <c r="AC88" i="30"/>
  <c r="X88" i="30"/>
  <c r="S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P42" i="30"/>
  <c r="P62" i="30" s="1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AW31" i="30"/>
  <c r="AR31" i="30"/>
  <c r="AM31" i="30"/>
  <c r="AH31" i="30"/>
  <c r="AC31" i="30"/>
  <c r="X31" i="30"/>
  <c r="S31" i="30"/>
  <c r="AW30" i="30"/>
  <c r="AR30" i="30"/>
  <c r="AM30" i="30"/>
  <c r="AH30" i="30"/>
  <c r="AC30" i="30"/>
  <c r="X30" i="30"/>
  <c r="S30" i="30"/>
  <c r="AW29" i="30"/>
  <c r="AR29" i="30"/>
  <c r="AM29" i="30"/>
  <c r="AH29" i="30"/>
  <c r="AC29" i="30"/>
  <c r="X29" i="30"/>
  <c r="S29" i="30"/>
  <c r="AW28" i="30"/>
  <c r="AR28" i="30"/>
  <c r="AM28" i="30"/>
  <c r="AH28" i="30"/>
  <c r="AC28" i="30"/>
  <c r="X28" i="30"/>
  <c r="S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U22" i="30"/>
  <c r="Z22" i="30" s="1"/>
  <c r="AE22" i="30" s="1"/>
  <c r="AJ22" i="30" s="1"/>
  <c r="AO22" i="30" s="1"/>
  <c r="AT22" i="30" s="1"/>
  <c r="AW176" i="8"/>
  <c r="AR176" i="8"/>
  <c r="AM176" i="8"/>
  <c r="AH176" i="8"/>
  <c r="AC176" i="8"/>
  <c r="X176" i="8"/>
  <c r="S176" i="8"/>
  <c r="AW160" i="8"/>
  <c r="AR160" i="8"/>
  <c r="AM160" i="8"/>
  <c r="AH160" i="8"/>
  <c r="AC160" i="8"/>
  <c r="X160" i="8"/>
  <c r="S160" i="8"/>
  <c r="AW159" i="8"/>
  <c r="AR159" i="8"/>
  <c r="AM159" i="8"/>
  <c r="AH159" i="8"/>
  <c r="AC159" i="8"/>
  <c r="X159" i="8"/>
  <c r="S159" i="8"/>
  <c r="AW158" i="8"/>
  <c r="AR158" i="8"/>
  <c r="AM158" i="8"/>
  <c r="AH158" i="8"/>
  <c r="AC158" i="8"/>
  <c r="X158" i="8"/>
  <c r="S158" i="8"/>
  <c r="AW157" i="8"/>
  <c r="AR157" i="8"/>
  <c r="AM157" i="8"/>
  <c r="AH157" i="8"/>
  <c r="AC157" i="8"/>
  <c r="X157" i="8"/>
  <c r="S157" i="8"/>
  <c r="AW156" i="8"/>
  <c r="AR156" i="8"/>
  <c r="AM156" i="8"/>
  <c r="AH156" i="8"/>
  <c r="AC156" i="8"/>
  <c r="X156" i="8"/>
  <c r="S156" i="8"/>
  <c r="AW155" i="8"/>
  <c r="AR155" i="8"/>
  <c r="AM155" i="8"/>
  <c r="AH155" i="8"/>
  <c r="AC155" i="8"/>
  <c r="X155" i="8"/>
  <c r="S155" i="8"/>
  <c r="AW154" i="8"/>
  <c r="AR154" i="8"/>
  <c r="AM154" i="8"/>
  <c r="AH154" i="8"/>
  <c r="AC154" i="8"/>
  <c r="X154" i="8"/>
  <c r="S154" i="8"/>
  <c r="AW153" i="8"/>
  <c r="AR153" i="8"/>
  <c r="AM153" i="8"/>
  <c r="AH153" i="8"/>
  <c r="AC153" i="8"/>
  <c r="X153" i="8"/>
  <c r="S153" i="8"/>
  <c r="AW152" i="8"/>
  <c r="AR152" i="8"/>
  <c r="AM152" i="8"/>
  <c r="AH152" i="8"/>
  <c r="AC152" i="8"/>
  <c r="X152" i="8"/>
  <c r="S152" i="8"/>
  <c r="AW151" i="8"/>
  <c r="AR151" i="8"/>
  <c r="AM151" i="8"/>
  <c r="AH151" i="8"/>
  <c r="AC151" i="8"/>
  <c r="X151" i="8"/>
  <c r="S151" i="8"/>
  <c r="AW150" i="8"/>
  <c r="AR150" i="8"/>
  <c r="AM150" i="8"/>
  <c r="AH150" i="8"/>
  <c r="AC150" i="8"/>
  <c r="X150" i="8"/>
  <c r="S150" i="8"/>
  <c r="AW149" i="8"/>
  <c r="AR149" i="8"/>
  <c r="AM149" i="8"/>
  <c r="AH149" i="8"/>
  <c r="AC149" i="8"/>
  <c r="X149" i="8"/>
  <c r="S149" i="8"/>
  <c r="AW148" i="8"/>
  <c r="AR148" i="8"/>
  <c r="AM148" i="8"/>
  <c r="AH148" i="8"/>
  <c r="AC148" i="8"/>
  <c r="X148" i="8"/>
  <c r="S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AW141" i="8"/>
  <c r="AR141" i="8"/>
  <c r="AM141" i="8"/>
  <c r="AH141" i="8"/>
  <c r="AC141" i="8"/>
  <c r="X141" i="8"/>
  <c r="S141" i="8"/>
  <c r="AW125" i="8"/>
  <c r="AR125" i="8"/>
  <c r="AM125" i="8"/>
  <c r="AH125" i="8"/>
  <c r="AC125" i="8"/>
  <c r="X125" i="8"/>
  <c r="S125" i="8"/>
  <c r="AW124" i="8"/>
  <c r="AR124" i="8"/>
  <c r="AM124" i="8"/>
  <c r="AH124" i="8"/>
  <c r="AC124" i="8"/>
  <c r="X124" i="8"/>
  <c r="S124" i="8"/>
  <c r="AW123" i="8"/>
  <c r="AR123" i="8"/>
  <c r="AM123" i="8"/>
  <c r="AH123" i="8"/>
  <c r="AC123" i="8"/>
  <c r="X123" i="8"/>
  <c r="S123" i="8"/>
  <c r="AW122" i="8"/>
  <c r="AR122" i="8"/>
  <c r="AM122" i="8"/>
  <c r="AH122" i="8"/>
  <c r="AC122" i="8"/>
  <c r="X122" i="8"/>
  <c r="S122" i="8"/>
  <c r="AW121" i="8"/>
  <c r="AR121" i="8"/>
  <c r="AM121" i="8"/>
  <c r="AH121" i="8"/>
  <c r="AC121" i="8"/>
  <c r="X121" i="8"/>
  <c r="S121" i="8"/>
  <c r="AW120" i="8"/>
  <c r="AR120" i="8"/>
  <c r="AM120" i="8"/>
  <c r="AH120" i="8"/>
  <c r="AC120" i="8"/>
  <c r="X120" i="8"/>
  <c r="S120" i="8"/>
  <c r="AW119" i="8"/>
  <c r="AR119" i="8"/>
  <c r="AM119" i="8"/>
  <c r="AH119" i="8"/>
  <c r="AC119" i="8"/>
  <c r="X119" i="8"/>
  <c r="S119" i="8"/>
  <c r="AW118" i="8"/>
  <c r="AR118" i="8"/>
  <c r="AM118" i="8"/>
  <c r="AH118" i="8"/>
  <c r="AC118" i="8"/>
  <c r="X118" i="8"/>
  <c r="S118" i="8"/>
  <c r="AW117" i="8"/>
  <c r="AR117" i="8"/>
  <c r="AM117" i="8"/>
  <c r="AH117" i="8"/>
  <c r="AC117" i="8"/>
  <c r="X117" i="8"/>
  <c r="S117" i="8"/>
  <c r="AW116" i="8"/>
  <c r="AR116" i="8"/>
  <c r="AM116" i="8"/>
  <c r="AH116" i="8"/>
  <c r="AC116" i="8"/>
  <c r="X116" i="8"/>
  <c r="S116" i="8"/>
  <c r="AW115" i="8"/>
  <c r="AR115" i="8"/>
  <c r="AM115" i="8"/>
  <c r="AH115" i="8"/>
  <c r="AC115" i="8"/>
  <c r="X115" i="8"/>
  <c r="S115" i="8"/>
  <c r="AW114" i="8"/>
  <c r="AR114" i="8"/>
  <c r="AM114" i="8"/>
  <c r="AH114" i="8"/>
  <c r="AC114" i="8"/>
  <c r="X114" i="8"/>
  <c r="S114" i="8"/>
  <c r="AW113" i="8"/>
  <c r="AR113" i="8"/>
  <c r="AM113" i="8"/>
  <c r="AH113" i="8"/>
  <c r="AC113" i="8"/>
  <c r="X113" i="8"/>
  <c r="S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AW106" i="8"/>
  <c r="AR106" i="8"/>
  <c r="AM106" i="8"/>
  <c r="AH106" i="8"/>
  <c r="AC106" i="8"/>
  <c r="X106" i="8"/>
  <c r="S106" i="8"/>
  <c r="AW90" i="8"/>
  <c r="AR90" i="8"/>
  <c r="AM90" i="8"/>
  <c r="AH90" i="8"/>
  <c r="AC90" i="8"/>
  <c r="X90" i="8"/>
  <c r="S90" i="8"/>
  <c r="AW89" i="8"/>
  <c r="AR89" i="8"/>
  <c r="AM89" i="8"/>
  <c r="AH89" i="8"/>
  <c r="AC89" i="8"/>
  <c r="X89" i="8"/>
  <c r="S89" i="8"/>
  <c r="AW88" i="8"/>
  <c r="AR88" i="8"/>
  <c r="AM88" i="8"/>
  <c r="AH88" i="8"/>
  <c r="AC88" i="8"/>
  <c r="X88" i="8"/>
  <c r="S88" i="8"/>
  <c r="AW87" i="8"/>
  <c r="AR87" i="8"/>
  <c r="AM87" i="8"/>
  <c r="AH87" i="8"/>
  <c r="AC87" i="8"/>
  <c r="X87" i="8"/>
  <c r="S87" i="8"/>
  <c r="AW86" i="8"/>
  <c r="AR86" i="8"/>
  <c r="AM86" i="8"/>
  <c r="AH86" i="8"/>
  <c r="AC86" i="8"/>
  <c r="X86" i="8"/>
  <c r="S86" i="8"/>
  <c r="AW85" i="8"/>
  <c r="AR85" i="8"/>
  <c r="AM85" i="8"/>
  <c r="AH85" i="8"/>
  <c r="AC85" i="8"/>
  <c r="X85" i="8"/>
  <c r="S85" i="8"/>
  <c r="AW84" i="8"/>
  <c r="AR84" i="8"/>
  <c r="AM84" i="8"/>
  <c r="AH84" i="8"/>
  <c r="AC84" i="8"/>
  <c r="X84" i="8"/>
  <c r="S84" i="8"/>
  <c r="AW83" i="8"/>
  <c r="AR83" i="8"/>
  <c r="AM83" i="8"/>
  <c r="AH83" i="8"/>
  <c r="AC83" i="8"/>
  <c r="X83" i="8"/>
  <c r="S83" i="8"/>
  <c r="AW82" i="8"/>
  <c r="AR82" i="8"/>
  <c r="AM82" i="8"/>
  <c r="AH82" i="8"/>
  <c r="AC82" i="8"/>
  <c r="X82" i="8"/>
  <c r="S82" i="8"/>
  <c r="AW81" i="8"/>
  <c r="AR81" i="8"/>
  <c r="AM81" i="8"/>
  <c r="AH81" i="8"/>
  <c r="AC81" i="8"/>
  <c r="X81" i="8"/>
  <c r="S81" i="8"/>
  <c r="AW80" i="8"/>
  <c r="AR80" i="8"/>
  <c r="AM80" i="8"/>
  <c r="AH80" i="8"/>
  <c r="AC80" i="8"/>
  <c r="X80" i="8"/>
  <c r="S80" i="8"/>
  <c r="AW79" i="8"/>
  <c r="AR79" i="8"/>
  <c r="AM79" i="8"/>
  <c r="AH79" i="8"/>
  <c r="AC79" i="8"/>
  <c r="X79" i="8"/>
  <c r="S79" i="8"/>
  <c r="AW78" i="8"/>
  <c r="AR78" i="8"/>
  <c r="AM78" i="8"/>
  <c r="AH78" i="8"/>
  <c r="AC78" i="8"/>
  <c r="X78" i="8"/>
  <c r="S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P72" i="8"/>
  <c r="P107" i="8" s="1"/>
  <c r="AW71" i="8"/>
  <c r="AR71" i="8"/>
  <c r="AM71" i="8"/>
  <c r="AH71" i="8"/>
  <c r="AC71" i="8"/>
  <c r="X71" i="8"/>
  <c r="S71" i="8"/>
  <c r="AW55" i="8"/>
  <c r="AR55" i="8"/>
  <c r="AM55" i="8"/>
  <c r="AH55" i="8"/>
  <c r="AC55" i="8"/>
  <c r="X55" i="8"/>
  <c r="S55" i="8"/>
  <c r="AW54" i="8"/>
  <c r="AR54" i="8"/>
  <c r="AM54" i="8"/>
  <c r="AH54" i="8"/>
  <c r="AC54" i="8"/>
  <c r="X54" i="8"/>
  <c r="S54" i="8"/>
  <c r="AW53" i="8"/>
  <c r="AR53" i="8"/>
  <c r="AM53" i="8"/>
  <c r="AH53" i="8"/>
  <c r="AC53" i="8"/>
  <c r="X53" i="8"/>
  <c r="S53" i="8"/>
  <c r="AW52" i="8"/>
  <c r="AR52" i="8"/>
  <c r="AM52" i="8"/>
  <c r="AH52" i="8"/>
  <c r="AC52" i="8"/>
  <c r="X52" i="8"/>
  <c r="S52" i="8"/>
  <c r="AW51" i="8"/>
  <c r="AR51" i="8"/>
  <c r="AM51" i="8"/>
  <c r="AH51" i="8"/>
  <c r="AC51" i="8"/>
  <c r="X51" i="8"/>
  <c r="S51" i="8"/>
  <c r="AW50" i="8"/>
  <c r="AR50" i="8"/>
  <c r="AM50" i="8"/>
  <c r="AH50" i="8"/>
  <c r="AC50" i="8"/>
  <c r="X50" i="8"/>
  <c r="S50" i="8"/>
  <c r="AW49" i="8"/>
  <c r="AR49" i="8"/>
  <c r="AM49" i="8"/>
  <c r="AH49" i="8"/>
  <c r="AC49" i="8"/>
  <c r="X49" i="8"/>
  <c r="S49" i="8"/>
  <c r="AW48" i="8"/>
  <c r="AR48" i="8"/>
  <c r="AM48" i="8"/>
  <c r="AH48" i="8"/>
  <c r="AC48" i="8"/>
  <c r="X48" i="8"/>
  <c r="S48" i="8"/>
  <c r="AW47" i="8"/>
  <c r="AR47" i="8"/>
  <c r="AM47" i="8"/>
  <c r="AH47" i="8"/>
  <c r="AC47" i="8"/>
  <c r="X47" i="8"/>
  <c r="S47" i="8"/>
  <c r="AW46" i="8"/>
  <c r="AR46" i="8"/>
  <c r="AM46" i="8"/>
  <c r="AH46" i="8"/>
  <c r="AC46" i="8"/>
  <c r="X46" i="8"/>
  <c r="S46" i="8"/>
  <c r="AW45" i="8"/>
  <c r="AR45" i="8"/>
  <c r="AM45" i="8"/>
  <c r="AH45" i="8"/>
  <c r="AC45" i="8"/>
  <c r="X45" i="8"/>
  <c r="S45" i="8"/>
  <c r="AW44" i="8"/>
  <c r="AR44" i="8"/>
  <c r="AM44" i="8"/>
  <c r="AH44" i="8"/>
  <c r="AC44" i="8"/>
  <c r="X44" i="8"/>
  <c r="S44" i="8"/>
  <c r="AW43" i="8"/>
  <c r="AR43" i="8"/>
  <c r="AM43" i="8"/>
  <c r="AH43" i="8"/>
  <c r="AC43" i="8"/>
  <c r="X43" i="8"/>
  <c r="S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U37" i="8"/>
  <c r="Z37" i="8" s="1"/>
  <c r="AE37" i="8" s="1"/>
  <c r="AJ37" i="8" s="1"/>
  <c r="AO37" i="8" s="1"/>
  <c r="AT37" i="8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AW90" i="36"/>
  <c r="AR90" i="36"/>
  <c r="AM90" i="36"/>
  <c r="AH90" i="36"/>
  <c r="AC90" i="36"/>
  <c r="X90" i="36"/>
  <c r="S90" i="36"/>
  <c r="AW89" i="36"/>
  <c r="AR89" i="36"/>
  <c r="AM89" i="36"/>
  <c r="AH89" i="36"/>
  <c r="AC89" i="36"/>
  <c r="X89" i="36"/>
  <c r="S89" i="36"/>
  <c r="AW88" i="36"/>
  <c r="AR88" i="36"/>
  <c r="AM88" i="36"/>
  <c r="AH88" i="36"/>
  <c r="AC88" i="36"/>
  <c r="X88" i="36"/>
  <c r="S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AW69" i="36"/>
  <c r="AR69" i="36"/>
  <c r="AM69" i="36"/>
  <c r="AH69" i="36"/>
  <c r="AC69" i="36"/>
  <c r="X69" i="36"/>
  <c r="S69" i="36"/>
  <c r="AW68" i="36"/>
  <c r="AR68" i="36"/>
  <c r="AM68" i="36"/>
  <c r="AH68" i="36"/>
  <c r="AC68" i="36"/>
  <c r="X68" i="36"/>
  <c r="S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P42" i="36"/>
  <c r="P62" i="36" s="1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AW29" i="36"/>
  <c r="AR29" i="36"/>
  <c r="AM29" i="36"/>
  <c r="AH29" i="36"/>
  <c r="AC29" i="36"/>
  <c r="X29" i="36"/>
  <c r="S29" i="36"/>
  <c r="AW28" i="36"/>
  <c r="AR28" i="36"/>
  <c r="AM28" i="36"/>
  <c r="AH28" i="36"/>
  <c r="AC28" i="36"/>
  <c r="X28" i="36"/>
  <c r="S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U22" i="36"/>
  <c r="Z22" i="36" s="1"/>
  <c r="AE22" i="36" s="1"/>
  <c r="AJ22" i="36" s="1"/>
  <c r="AO22" i="36" s="1"/>
  <c r="AT22" i="36" s="1"/>
  <c r="U62" i="37" l="1"/>
  <c r="Z62" i="37" s="1"/>
  <c r="AE62" i="37" s="1"/>
  <c r="AJ62" i="37" s="1"/>
  <c r="AO62" i="37" s="1"/>
  <c r="AT62" i="37" s="1"/>
  <c r="P82" i="37"/>
  <c r="U82" i="37" s="1"/>
  <c r="Z82" i="37" s="1"/>
  <c r="AE82" i="37" s="1"/>
  <c r="AJ82" i="37" s="1"/>
  <c r="AO82" i="37" s="1"/>
  <c r="AT82" i="37" s="1"/>
  <c r="U42" i="37"/>
  <c r="Z42" i="37" s="1"/>
  <c r="AE42" i="37" s="1"/>
  <c r="AJ42" i="37" s="1"/>
  <c r="AO42" i="37" s="1"/>
  <c r="AT42" i="37" s="1"/>
  <c r="U62" i="35"/>
  <c r="Z62" i="35" s="1"/>
  <c r="AE62" i="35" s="1"/>
  <c r="AJ62" i="35" s="1"/>
  <c r="AO62" i="35" s="1"/>
  <c r="AT62" i="35" s="1"/>
  <c r="P82" i="35"/>
  <c r="U82" i="35" s="1"/>
  <c r="Z82" i="35" s="1"/>
  <c r="AE82" i="35" s="1"/>
  <c r="AJ82" i="35" s="1"/>
  <c r="AO82" i="35" s="1"/>
  <c r="AT82" i="35" s="1"/>
  <c r="U42" i="35"/>
  <c r="Z42" i="35" s="1"/>
  <c r="AE42" i="35" s="1"/>
  <c r="AJ42" i="35" s="1"/>
  <c r="AO42" i="35" s="1"/>
  <c r="AT42" i="35" s="1"/>
  <c r="U62" i="34"/>
  <c r="Z62" i="34" s="1"/>
  <c r="AE62" i="34" s="1"/>
  <c r="AJ62" i="34" s="1"/>
  <c r="AO62" i="34" s="1"/>
  <c r="AT62" i="34" s="1"/>
  <c r="P82" i="34"/>
  <c r="U82" i="34" s="1"/>
  <c r="Z82" i="34" s="1"/>
  <c r="AE82" i="34" s="1"/>
  <c r="AJ82" i="34" s="1"/>
  <c r="AO82" i="34" s="1"/>
  <c r="AT82" i="34" s="1"/>
  <c r="U42" i="34"/>
  <c r="Z42" i="34" s="1"/>
  <c r="AE42" i="34" s="1"/>
  <c r="AJ42" i="34" s="1"/>
  <c r="AO42" i="34" s="1"/>
  <c r="AT42" i="34" s="1"/>
  <c r="U107" i="33"/>
  <c r="Z107" i="33" s="1"/>
  <c r="AE107" i="33" s="1"/>
  <c r="AJ107" i="33" s="1"/>
  <c r="AO107" i="33" s="1"/>
  <c r="AT107" i="33" s="1"/>
  <c r="P142" i="33"/>
  <c r="U142" i="33" s="1"/>
  <c r="Z142" i="33" s="1"/>
  <c r="AE142" i="33" s="1"/>
  <c r="AJ142" i="33" s="1"/>
  <c r="AO142" i="33" s="1"/>
  <c r="AT142" i="33" s="1"/>
  <c r="U72" i="33"/>
  <c r="Z72" i="33" s="1"/>
  <c r="AE72" i="33" s="1"/>
  <c r="AJ72" i="33" s="1"/>
  <c r="AO72" i="33" s="1"/>
  <c r="AT72" i="33" s="1"/>
  <c r="U62" i="31"/>
  <c r="Z62" i="31" s="1"/>
  <c r="AE62" i="31" s="1"/>
  <c r="AJ62" i="31" s="1"/>
  <c r="AO62" i="31" s="1"/>
  <c r="AT62" i="31" s="1"/>
  <c r="P82" i="31"/>
  <c r="U82" i="31" s="1"/>
  <c r="Z82" i="31" s="1"/>
  <c r="AE82" i="31" s="1"/>
  <c r="AJ82" i="31" s="1"/>
  <c r="AO82" i="31" s="1"/>
  <c r="AT82" i="31" s="1"/>
  <c r="U42" i="31"/>
  <c r="Z42" i="31" s="1"/>
  <c r="AE42" i="31" s="1"/>
  <c r="AJ42" i="31" s="1"/>
  <c r="AO42" i="31" s="1"/>
  <c r="AT42" i="31" s="1"/>
  <c r="U62" i="32"/>
  <c r="Z62" i="32" s="1"/>
  <c r="AE62" i="32" s="1"/>
  <c r="AJ62" i="32" s="1"/>
  <c r="AO62" i="32" s="1"/>
  <c r="AT62" i="32" s="1"/>
  <c r="P82" i="32"/>
  <c r="U82" i="32" s="1"/>
  <c r="Z82" i="32" s="1"/>
  <c r="AE82" i="32" s="1"/>
  <c r="AJ82" i="32" s="1"/>
  <c r="AO82" i="32" s="1"/>
  <c r="AT82" i="32" s="1"/>
  <c r="U42" i="32"/>
  <c r="Z42" i="32" s="1"/>
  <c r="AE42" i="32" s="1"/>
  <c r="AJ42" i="32" s="1"/>
  <c r="AO42" i="32" s="1"/>
  <c r="AT42" i="32" s="1"/>
  <c r="U62" i="30"/>
  <c r="Z62" i="30" s="1"/>
  <c r="AE62" i="30" s="1"/>
  <c r="AJ62" i="30" s="1"/>
  <c r="AO62" i="30" s="1"/>
  <c r="AT62" i="30" s="1"/>
  <c r="P82" i="30"/>
  <c r="U82" i="30" s="1"/>
  <c r="Z82" i="30" s="1"/>
  <c r="AE82" i="30" s="1"/>
  <c r="AJ82" i="30" s="1"/>
  <c r="AO82" i="30" s="1"/>
  <c r="AT82" i="30" s="1"/>
  <c r="U42" i="30"/>
  <c r="Z42" i="30" s="1"/>
  <c r="AE42" i="30" s="1"/>
  <c r="AJ42" i="30" s="1"/>
  <c r="AO42" i="30" s="1"/>
  <c r="AT42" i="30" s="1"/>
  <c r="U107" i="8"/>
  <c r="Z107" i="8" s="1"/>
  <c r="AE107" i="8" s="1"/>
  <c r="AJ107" i="8" s="1"/>
  <c r="AO107" i="8" s="1"/>
  <c r="AT107" i="8" s="1"/>
  <c r="P142" i="8"/>
  <c r="U142" i="8" s="1"/>
  <c r="Z142" i="8" s="1"/>
  <c r="AE142" i="8" s="1"/>
  <c r="AJ142" i="8" s="1"/>
  <c r="AO142" i="8" s="1"/>
  <c r="AT142" i="8" s="1"/>
  <c r="U72" i="8"/>
  <c r="Z72" i="8" s="1"/>
  <c r="AE72" i="8" s="1"/>
  <c r="AJ72" i="8" s="1"/>
  <c r="AO72" i="8" s="1"/>
  <c r="AT72" i="8" s="1"/>
  <c r="U62" i="36"/>
  <c r="Z62" i="36" s="1"/>
  <c r="AE62" i="36" s="1"/>
  <c r="AJ62" i="36" s="1"/>
  <c r="AO62" i="36" s="1"/>
  <c r="AT62" i="36" s="1"/>
  <c r="P82" i="36"/>
  <c r="U82" i="36" s="1"/>
  <c r="Z82" i="36" s="1"/>
  <c r="AE82" i="36" s="1"/>
  <c r="AJ82" i="36" s="1"/>
  <c r="AO82" i="36" s="1"/>
  <c r="AT82" i="36" s="1"/>
  <c r="U42" i="36"/>
  <c r="Z42" i="36" s="1"/>
  <c r="AE42" i="36" s="1"/>
  <c r="AJ42" i="36" s="1"/>
  <c r="AO42" i="36" s="1"/>
  <c r="AT42" i="36" s="1"/>
  <c r="G14" i="40" l="1"/>
  <c r="AA7" i="43"/>
  <c r="AH23" i="43"/>
  <c r="AG23" i="43"/>
  <c r="AF23" i="43"/>
  <c r="AE23" i="43"/>
  <c r="AD23" i="43"/>
  <c r="AC23" i="43"/>
  <c r="AB23" i="43"/>
  <c r="AA23" i="43"/>
  <c r="AH22" i="43"/>
  <c r="AG22" i="43"/>
  <c r="AF22" i="43"/>
  <c r="AE22" i="43"/>
  <c r="AD22" i="43"/>
  <c r="AC22" i="43"/>
  <c r="AB22" i="43"/>
  <c r="AA22" i="43"/>
  <c r="Z22" i="43"/>
  <c r="AH19" i="43"/>
  <c r="AG19" i="43"/>
  <c r="AF19" i="43"/>
  <c r="AE19" i="43"/>
  <c r="AD19" i="43"/>
  <c r="AC19" i="43"/>
  <c r="AB19" i="43"/>
  <c r="AA19" i="43"/>
  <c r="AH18" i="43"/>
  <c r="AG18" i="43"/>
  <c r="AF18" i="43"/>
  <c r="AE18" i="43"/>
  <c r="AD18" i="43"/>
  <c r="AC18" i="43"/>
  <c r="AB18" i="43"/>
  <c r="AA18" i="43"/>
  <c r="Z18" i="43"/>
  <c r="AH16" i="43"/>
  <c r="AG16" i="43"/>
  <c r="AF16" i="43"/>
  <c r="AE16" i="43"/>
  <c r="AD16" i="43"/>
  <c r="AC16" i="43"/>
  <c r="AB16" i="43"/>
  <c r="AA16" i="43"/>
  <c r="AH15" i="43"/>
  <c r="AG15" i="43"/>
  <c r="AF15" i="43"/>
  <c r="AE15" i="43"/>
  <c r="AD15" i="43"/>
  <c r="AC15" i="43"/>
  <c r="AB15" i="43"/>
  <c r="AA15" i="43"/>
  <c r="Z15" i="43"/>
  <c r="AH13" i="43"/>
  <c r="AG13" i="43"/>
  <c r="AF13" i="43"/>
  <c r="AE13" i="43"/>
  <c r="AD13" i="43"/>
  <c r="AC13" i="43"/>
  <c r="AB13" i="43"/>
  <c r="AA13" i="43"/>
  <c r="AH12" i="43"/>
  <c r="AG12" i="43"/>
  <c r="AF12" i="43"/>
  <c r="AE12" i="43"/>
  <c r="AD12" i="43"/>
  <c r="AC12" i="43"/>
  <c r="AB12" i="43"/>
  <c r="AA12" i="43"/>
  <c r="Z12" i="43"/>
  <c r="AH10" i="43"/>
  <c r="AG10" i="43"/>
  <c r="AF10" i="43"/>
  <c r="AE10" i="43"/>
  <c r="AD10" i="43"/>
  <c r="AC10" i="43"/>
  <c r="AB10" i="43"/>
  <c r="AA10" i="43"/>
  <c r="AH9" i="43"/>
  <c r="AG9" i="43"/>
  <c r="AF9" i="43"/>
  <c r="AE9" i="43"/>
  <c r="AD9" i="43"/>
  <c r="AC9" i="43"/>
  <c r="AB9" i="43"/>
  <c r="AA9" i="43"/>
  <c r="Z9" i="43"/>
  <c r="AH7" i="43"/>
  <c r="AG7" i="43"/>
  <c r="AF7" i="43"/>
  <c r="AE7" i="43"/>
  <c r="AD7" i="43"/>
  <c r="AC7" i="43"/>
  <c r="AB7" i="43"/>
  <c r="Z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AA7" i="29"/>
  <c r="Z18" i="29"/>
  <c r="Z15" i="29"/>
  <c r="Z12" i="29"/>
  <c r="Z9" i="29"/>
  <c r="AH7" i="29"/>
  <c r="AG7" i="29"/>
  <c r="AF7" i="29"/>
  <c r="AE7" i="29"/>
  <c r="AD7" i="29"/>
  <c r="AC7" i="29"/>
  <c r="AB7" i="29"/>
  <c r="Z7" i="29"/>
  <c r="C10" i="41"/>
  <c r="C9" i="41"/>
  <c r="AA22" i="29" l="1"/>
  <c r="C10" i="40"/>
  <c r="C9" i="40"/>
  <c r="J24" i="39"/>
  <c r="D24" i="39"/>
  <c r="G5" i="5" l="1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5" i="5"/>
  <c r="J5" i="5" l="1"/>
  <c r="L20" i="21"/>
  <c r="AC7" i="6"/>
  <c r="S7" i="6"/>
  <c r="M7" i="6"/>
  <c r="F7" i="6" l="1"/>
  <c r="I7" i="37"/>
  <c r="J7" i="37"/>
  <c r="K7" i="37"/>
  <c r="I8" i="37"/>
  <c r="J8" i="37"/>
  <c r="K8" i="37"/>
  <c r="I9" i="37"/>
  <c r="J9" i="37"/>
  <c r="K9" i="37"/>
  <c r="I10" i="37"/>
  <c r="J10" i="37"/>
  <c r="K10" i="37"/>
  <c r="I11" i="37"/>
  <c r="J11" i="37"/>
  <c r="K11" i="37"/>
  <c r="L7" i="37" l="1"/>
  <c r="T7" i="6"/>
  <c r="L7" i="6"/>
  <c r="J7" i="6"/>
  <c r="H5" i="3"/>
  <c r="AB22" i="29"/>
  <c r="B6" i="13" l="1"/>
  <c r="E6" i="13" s="1"/>
  <c r="E6" i="39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X21" i="37"/>
  <c r="S21" i="37"/>
  <c r="X20" i="37"/>
  <c r="S20" i="37"/>
  <c r="X19" i="37"/>
  <c r="S19" i="37"/>
  <c r="X18" i="37"/>
  <c r="S18" i="37"/>
  <c r="M18" i="37"/>
  <c r="X17" i="37"/>
  <c r="S17" i="37"/>
  <c r="X16" i="37"/>
  <c r="S16" i="37"/>
  <c r="M16" i="37"/>
  <c r="X15" i="37"/>
  <c r="S15" i="37"/>
  <c r="M15" i="37"/>
  <c r="X14" i="37"/>
  <c r="S14" i="37"/>
  <c r="M14" i="37"/>
  <c r="X13" i="37"/>
  <c r="S13" i="37"/>
  <c r="M13" i="37"/>
  <c r="X12" i="37"/>
  <c r="S12" i="37"/>
  <c r="M12" i="37"/>
  <c r="X11" i="37"/>
  <c r="S11" i="37"/>
  <c r="M11" i="37"/>
  <c r="X10" i="37"/>
  <c r="S10" i="37"/>
  <c r="M10" i="37"/>
  <c r="X9" i="37"/>
  <c r="S9" i="37"/>
  <c r="M9" i="37"/>
  <c r="X8" i="37"/>
  <c r="S8" i="37"/>
  <c r="M21" i="37"/>
  <c r="AX7" i="37"/>
  <c r="AS7" i="37"/>
  <c r="AN7" i="37"/>
  <c r="AI7" i="37"/>
  <c r="AD7" i="37"/>
  <c r="Y7" i="37"/>
  <c r="X7" i="37"/>
  <c r="T7" i="37"/>
  <c r="S7" i="37"/>
  <c r="M7" i="37"/>
  <c r="M19" i="37"/>
  <c r="H7" i="37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X7" i="36"/>
  <c r="T7" i="36"/>
  <c r="S7" i="36"/>
  <c r="K7" i="36"/>
  <c r="J7" i="36"/>
  <c r="I7" i="36"/>
  <c r="H7" i="36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34" i="35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X21" i="35"/>
  <c r="S21" i="35"/>
  <c r="X20" i="35"/>
  <c r="S20" i="35"/>
  <c r="X19" i="35"/>
  <c r="S19" i="35"/>
  <c r="X18" i="35"/>
  <c r="S18" i="35"/>
  <c r="X17" i="35"/>
  <c r="S17" i="35"/>
  <c r="X16" i="35"/>
  <c r="S16" i="35"/>
  <c r="X15" i="35"/>
  <c r="S15" i="35"/>
  <c r="X14" i="35"/>
  <c r="S14" i="35"/>
  <c r="K14" i="35"/>
  <c r="J14" i="35"/>
  <c r="I14" i="35"/>
  <c r="X13" i="35"/>
  <c r="S13" i="35"/>
  <c r="K13" i="35"/>
  <c r="J13" i="35"/>
  <c r="I13" i="35"/>
  <c r="X12" i="35"/>
  <c r="S12" i="35"/>
  <c r="K12" i="35"/>
  <c r="J12" i="35"/>
  <c r="I12" i="35"/>
  <c r="X11" i="35"/>
  <c r="S11" i="35"/>
  <c r="K11" i="35"/>
  <c r="J11" i="35"/>
  <c r="I11" i="35"/>
  <c r="X10" i="35"/>
  <c r="S10" i="35"/>
  <c r="K10" i="35"/>
  <c r="J10" i="35"/>
  <c r="I10" i="35"/>
  <c r="X9" i="35"/>
  <c r="S9" i="35"/>
  <c r="K9" i="35"/>
  <c r="J9" i="35"/>
  <c r="I9" i="35"/>
  <c r="X8" i="35"/>
  <c r="S8" i="35"/>
  <c r="K8" i="35"/>
  <c r="J8" i="35"/>
  <c r="I8" i="35"/>
  <c r="AX7" i="35"/>
  <c r="AS7" i="35"/>
  <c r="AN7" i="35"/>
  <c r="AI7" i="35"/>
  <c r="AD7" i="35"/>
  <c r="Y7" i="35"/>
  <c r="X7" i="35"/>
  <c r="T7" i="35"/>
  <c r="S7" i="35"/>
  <c r="K7" i="35"/>
  <c r="J7" i="35"/>
  <c r="I7" i="35"/>
  <c r="H7" i="35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X21" i="34"/>
  <c r="S21" i="34"/>
  <c r="X20" i="34"/>
  <c r="S20" i="34"/>
  <c r="X19" i="34"/>
  <c r="S19" i="34"/>
  <c r="X18" i="34"/>
  <c r="S18" i="34"/>
  <c r="X17" i="34"/>
  <c r="S17" i="34"/>
  <c r="X16" i="34"/>
  <c r="S16" i="34"/>
  <c r="K16" i="34"/>
  <c r="J16" i="34"/>
  <c r="I16" i="34"/>
  <c r="X15" i="34"/>
  <c r="S15" i="34"/>
  <c r="K15" i="34"/>
  <c r="J15" i="34"/>
  <c r="I15" i="34"/>
  <c r="X14" i="34"/>
  <c r="S14" i="34"/>
  <c r="K14" i="34"/>
  <c r="J14" i="34"/>
  <c r="I14" i="34"/>
  <c r="X13" i="34"/>
  <c r="S13" i="34"/>
  <c r="K13" i="34"/>
  <c r="J13" i="34"/>
  <c r="I13" i="34"/>
  <c r="X12" i="34"/>
  <c r="S12" i="34"/>
  <c r="K12" i="34"/>
  <c r="J12" i="34"/>
  <c r="I12" i="34"/>
  <c r="X11" i="34"/>
  <c r="S11" i="34"/>
  <c r="K11" i="34"/>
  <c r="J11" i="34"/>
  <c r="I11" i="34"/>
  <c r="X10" i="34"/>
  <c r="S10" i="34"/>
  <c r="K10" i="34"/>
  <c r="J10" i="34"/>
  <c r="I10" i="34"/>
  <c r="X9" i="34"/>
  <c r="S9" i="34"/>
  <c r="K9" i="34"/>
  <c r="J9" i="34"/>
  <c r="I9" i="34"/>
  <c r="X8" i="34"/>
  <c r="S8" i="34"/>
  <c r="K8" i="34"/>
  <c r="J8" i="34"/>
  <c r="I8" i="34"/>
  <c r="AX7" i="34"/>
  <c r="AS7" i="34"/>
  <c r="AN7" i="34"/>
  <c r="AI7" i="34"/>
  <c r="AD7" i="34"/>
  <c r="Y7" i="34"/>
  <c r="X7" i="34"/>
  <c r="T7" i="34"/>
  <c r="S7" i="34"/>
  <c r="K7" i="34"/>
  <c r="J7" i="34"/>
  <c r="I7" i="34"/>
  <c r="H7" i="34"/>
  <c r="K147" i="33"/>
  <c r="L147" i="33" s="1"/>
  <c r="B32" i="39" s="1"/>
  <c r="J147" i="33"/>
  <c r="I147" i="33"/>
  <c r="H147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H112" i="33"/>
  <c r="M86" i="33"/>
  <c r="M85" i="33"/>
  <c r="M84" i="33"/>
  <c r="M83" i="33"/>
  <c r="M82" i="33"/>
  <c r="M81" i="33"/>
  <c r="M80" i="33"/>
  <c r="M79" i="33"/>
  <c r="M78" i="33"/>
  <c r="L77" i="33"/>
  <c r="H77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H42" i="33"/>
  <c r="X36" i="33"/>
  <c r="S36" i="33"/>
  <c r="X20" i="33"/>
  <c r="S20" i="33"/>
  <c r="X19" i="33"/>
  <c r="S19" i="33"/>
  <c r="X18" i="33"/>
  <c r="S18" i="33"/>
  <c r="X17" i="33"/>
  <c r="S17" i="33"/>
  <c r="X16" i="33"/>
  <c r="S16" i="33"/>
  <c r="K16" i="33"/>
  <c r="J16" i="33"/>
  <c r="I16" i="33"/>
  <c r="X15" i="33"/>
  <c r="S15" i="33"/>
  <c r="K15" i="33"/>
  <c r="J15" i="33"/>
  <c r="I15" i="33"/>
  <c r="X14" i="33"/>
  <c r="S14" i="33"/>
  <c r="K14" i="33"/>
  <c r="J14" i="33"/>
  <c r="I14" i="33"/>
  <c r="X13" i="33"/>
  <c r="S13" i="33"/>
  <c r="K13" i="33"/>
  <c r="J13" i="33"/>
  <c r="I13" i="33"/>
  <c r="X12" i="33"/>
  <c r="S12" i="33"/>
  <c r="K12" i="33"/>
  <c r="J12" i="33"/>
  <c r="I12" i="33"/>
  <c r="X11" i="33"/>
  <c r="S11" i="33"/>
  <c r="K11" i="33"/>
  <c r="J11" i="33"/>
  <c r="I11" i="33"/>
  <c r="X10" i="33"/>
  <c r="S10" i="33"/>
  <c r="K10" i="33"/>
  <c r="J10" i="33"/>
  <c r="I10" i="33"/>
  <c r="X9" i="33"/>
  <c r="S9" i="33"/>
  <c r="K9" i="33"/>
  <c r="J9" i="33"/>
  <c r="I9" i="33"/>
  <c r="X8" i="33"/>
  <c r="S8" i="33"/>
  <c r="K8" i="33"/>
  <c r="J8" i="33"/>
  <c r="I8" i="33"/>
  <c r="AX7" i="33"/>
  <c r="AS7" i="33"/>
  <c r="AN7" i="33"/>
  <c r="AI7" i="33"/>
  <c r="AD7" i="33"/>
  <c r="Y7" i="33"/>
  <c r="X7" i="33"/>
  <c r="T7" i="33"/>
  <c r="S7" i="33"/>
  <c r="K7" i="33"/>
  <c r="J7" i="33"/>
  <c r="I7" i="33"/>
  <c r="H7" i="33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I7" i="32"/>
  <c r="I8" i="32"/>
  <c r="I9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X21" i="32"/>
  <c r="S21" i="32"/>
  <c r="X20" i="32"/>
  <c r="S20" i="32"/>
  <c r="X19" i="32"/>
  <c r="S19" i="32"/>
  <c r="X18" i="32"/>
  <c r="S18" i="32"/>
  <c r="X17" i="32"/>
  <c r="S17" i="32"/>
  <c r="X16" i="32"/>
  <c r="S16" i="32"/>
  <c r="K16" i="32"/>
  <c r="J16" i="32"/>
  <c r="I16" i="32"/>
  <c r="X15" i="32"/>
  <c r="S15" i="32"/>
  <c r="K15" i="32"/>
  <c r="J15" i="32"/>
  <c r="I15" i="32"/>
  <c r="X14" i="32"/>
  <c r="S14" i="32"/>
  <c r="K14" i="32"/>
  <c r="J14" i="32"/>
  <c r="I14" i="32"/>
  <c r="X13" i="32"/>
  <c r="S13" i="32"/>
  <c r="K13" i="32"/>
  <c r="J13" i="32"/>
  <c r="I13" i="32"/>
  <c r="X12" i="32"/>
  <c r="S12" i="32"/>
  <c r="K12" i="32"/>
  <c r="J12" i="32"/>
  <c r="I12" i="32"/>
  <c r="X11" i="32"/>
  <c r="S11" i="32"/>
  <c r="K11" i="32"/>
  <c r="J11" i="32"/>
  <c r="I11" i="32"/>
  <c r="X10" i="32"/>
  <c r="S10" i="32"/>
  <c r="K10" i="32"/>
  <c r="J10" i="32"/>
  <c r="I10" i="32"/>
  <c r="X9" i="32"/>
  <c r="S9" i="32"/>
  <c r="K9" i="32"/>
  <c r="J9" i="32"/>
  <c r="X8" i="32"/>
  <c r="S8" i="32"/>
  <c r="K8" i="32"/>
  <c r="J8" i="32"/>
  <c r="AX7" i="32"/>
  <c r="AS7" i="32"/>
  <c r="AN7" i="32"/>
  <c r="AI7" i="32"/>
  <c r="AD7" i="32"/>
  <c r="Y7" i="32"/>
  <c r="X7" i="32"/>
  <c r="T7" i="32"/>
  <c r="S7" i="32"/>
  <c r="K7" i="32"/>
  <c r="J7" i="32"/>
  <c r="H7" i="32"/>
  <c r="K87" i="31"/>
  <c r="M96" i="31" s="1"/>
  <c r="J87" i="31"/>
  <c r="I87" i="31"/>
  <c r="H87" i="31"/>
  <c r="K67" i="31"/>
  <c r="M76" i="31" s="1"/>
  <c r="J67" i="31"/>
  <c r="I67" i="31"/>
  <c r="H67" i="31"/>
  <c r="K47" i="31"/>
  <c r="M49" i="31" s="1"/>
  <c r="J47" i="31"/>
  <c r="I47" i="31"/>
  <c r="H47" i="31"/>
  <c r="K27" i="31"/>
  <c r="M28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X15" i="31"/>
  <c r="S15" i="31"/>
  <c r="X14" i="31"/>
  <c r="S14" i="31"/>
  <c r="X13" i="31"/>
  <c r="S13" i="31"/>
  <c r="X12" i="31"/>
  <c r="S12" i="31"/>
  <c r="X11" i="31"/>
  <c r="S11" i="31"/>
  <c r="X10" i="31"/>
  <c r="S10" i="31"/>
  <c r="X9" i="31"/>
  <c r="S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L7" i="31" s="1"/>
  <c r="J7" i="31"/>
  <c r="I7" i="31"/>
  <c r="H7" i="31"/>
  <c r="I7" i="30"/>
  <c r="J7" i="30"/>
  <c r="K7" i="30"/>
  <c r="I8" i="30"/>
  <c r="J8" i="30"/>
  <c r="K8" i="30"/>
  <c r="I9" i="30"/>
  <c r="J9" i="30"/>
  <c r="K9" i="30"/>
  <c r="I10" i="30"/>
  <c r="J10" i="30"/>
  <c r="K10" i="30"/>
  <c r="I11" i="30"/>
  <c r="J11" i="30"/>
  <c r="K11" i="30"/>
  <c r="I12" i="30"/>
  <c r="J12" i="30"/>
  <c r="K12" i="30"/>
  <c r="I13" i="30"/>
  <c r="J13" i="30"/>
  <c r="K13" i="30"/>
  <c r="M96" i="30"/>
  <c r="M95" i="30"/>
  <c r="M94" i="30"/>
  <c r="M93" i="30"/>
  <c r="M92" i="30"/>
  <c r="M91" i="30"/>
  <c r="M90" i="30"/>
  <c r="M89" i="30"/>
  <c r="M88" i="30"/>
  <c r="H87" i="30"/>
  <c r="M76" i="30"/>
  <c r="M75" i="30"/>
  <c r="M74" i="30"/>
  <c r="M73" i="30"/>
  <c r="M72" i="30"/>
  <c r="M71" i="30"/>
  <c r="M70" i="30"/>
  <c r="M69" i="30"/>
  <c r="M68" i="30"/>
  <c r="H67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K27" i="30"/>
  <c r="J27" i="30"/>
  <c r="I27" i="30"/>
  <c r="H27" i="30"/>
  <c r="X21" i="30"/>
  <c r="S21" i="30"/>
  <c r="X20" i="30"/>
  <c r="S20" i="30"/>
  <c r="X19" i="30"/>
  <c r="S19" i="30"/>
  <c r="X18" i="30"/>
  <c r="S18" i="30"/>
  <c r="X17" i="30"/>
  <c r="S17" i="30"/>
  <c r="X16" i="30"/>
  <c r="S16" i="30"/>
  <c r="X15" i="30"/>
  <c r="S15" i="30"/>
  <c r="X14" i="30"/>
  <c r="S14" i="30"/>
  <c r="X13" i="30"/>
  <c r="S13" i="30"/>
  <c r="X12" i="30"/>
  <c r="S12" i="30"/>
  <c r="X11" i="30"/>
  <c r="S11" i="30"/>
  <c r="X10" i="30"/>
  <c r="S10" i="30"/>
  <c r="X9" i="30"/>
  <c r="S9" i="30"/>
  <c r="X8" i="30"/>
  <c r="S8" i="30"/>
  <c r="AX7" i="30"/>
  <c r="AS7" i="30"/>
  <c r="AN7" i="30"/>
  <c r="AI7" i="30"/>
  <c r="AD7" i="30"/>
  <c r="Y7" i="30"/>
  <c r="X7" i="30"/>
  <c r="T7" i="30"/>
  <c r="S7" i="30"/>
  <c r="H7" i="30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M34" i="30" l="1"/>
  <c r="M49" i="35"/>
  <c r="M68" i="37"/>
  <c r="M88" i="34"/>
  <c r="M36" i="36"/>
  <c r="M77" i="37"/>
  <c r="M41" i="37"/>
  <c r="M32" i="31"/>
  <c r="M34" i="31"/>
  <c r="M95" i="37"/>
  <c r="M57" i="37"/>
  <c r="M96" i="37"/>
  <c r="M54" i="37"/>
  <c r="M78" i="8"/>
  <c r="M73" i="36"/>
  <c r="M151" i="33"/>
  <c r="M148" i="33"/>
  <c r="M152" i="33"/>
  <c r="M156" i="33"/>
  <c r="M153" i="33"/>
  <c r="M149" i="33"/>
  <c r="M150" i="33"/>
  <c r="M154" i="33"/>
  <c r="M155" i="33"/>
  <c r="M74" i="37"/>
  <c r="M78" i="37"/>
  <c r="M75" i="37"/>
  <c r="M80" i="37"/>
  <c r="M76" i="37"/>
  <c r="M81" i="37"/>
  <c r="M73" i="37"/>
  <c r="M93" i="37"/>
  <c r="M94" i="37"/>
  <c r="M97" i="37"/>
  <c r="M88" i="37"/>
  <c r="M92" i="37"/>
  <c r="M91" i="37"/>
  <c r="M90" i="37"/>
  <c r="M89" i="37"/>
  <c r="M95" i="36"/>
  <c r="M90" i="36"/>
  <c r="M92" i="36"/>
  <c r="M96" i="36"/>
  <c r="M89" i="36"/>
  <c r="M93" i="36"/>
  <c r="M88" i="36"/>
  <c r="M94" i="36"/>
  <c r="M91" i="36"/>
  <c r="M95" i="35"/>
  <c r="M88" i="35"/>
  <c r="M94" i="35"/>
  <c r="M96" i="35"/>
  <c r="M91" i="35"/>
  <c r="M90" i="35"/>
  <c r="M89" i="35"/>
  <c r="M93" i="35"/>
  <c r="M92" i="35"/>
  <c r="M95" i="34"/>
  <c r="M96" i="34"/>
  <c r="M89" i="34"/>
  <c r="M93" i="34"/>
  <c r="M92" i="34"/>
  <c r="M91" i="34"/>
  <c r="M90" i="34"/>
  <c r="M94" i="34"/>
  <c r="M89" i="31"/>
  <c r="M93" i="31"/>
  <c r="M90" i="31"/>
  <c r="M94" i="31"/>
  <c r="M91" i="31"/>
  <c r="M95" i="31"/>
  <c r="M88" i="31"/>
  <c r="M92" i="31"/>
  <c r="M88" i="32"/>
  <c r="M92" i="32"/>
  <c r="M96" i="32"/>
  <c r="M91" i="32"/>
  <c r="M95" i="32"/>
  <c r="M90" i="32"/>
  <c r="M94" i="32"/>
  <c r="M89" i="32"/>
  <c r="M93" i="32"/>
  <c r="M150" i="8"/>
  <c r="M154" i="8"/>
  <c r="M149" i="8"/>
  <c r="M153" i="8"/>
  <c r="M148" i="8"/>
  <c r="M152" i="8"/>
  <c r="M156" i="8"/>
  <c r="M151" i="8"/>
  <c r="M155" i="8"/>
  <c r="M55" i="37"/>
  <c r="M52" i="37"/>
  <c r="M56" i="37"/>
  <c r="M53" i="37"/>
  <c r="M69" i="37"/>
  <c r="M72" i="37"/>
  <c r="M71" i="37"/>
  <c r="M70" i="37"/>
  <c r="M68" i="36"/>
  <c r="M72" i="36"/>
  <c r="M74" i="36"/>
  <c r="M71" i="36"/>
  <c r="M75" i="36"/>
  <c r="M70" i="36"/>
  <c r="M69" i="36"/>
  <c r="M76" i="36"/>
  <c r="M69" i="31"/>
  <c r="M70" i="35"/>
  <c r="M71" i="35"/>
  <c r="M75" i="35"/>
  <c r="M74" i="35"/>
  <c r="M69" i="35"/>
  <c r="M73" i="35"/>
  <c r="M68" i="35"/>
  <c r="M72" i="35"/>
  <c r="M76" i="35"/>
  <c r="M68" i="34"/>
  <c r="M72" i="34"/>
  <c r="M76" i="34"/>
  <c r="M71" i="34"/>
  <c r="M75" i="34"/>
  <c r="M70" i="34"/>
  <c r="M74" i="34"/>
  <c r="M69" i="34"/>
  <c r="M73" i="34"/>
  <c r="L112" i="33"/>
  <c r="M113" i="33"/>
  <c r="M117" i="33"/>
  <c r="M121" i="33"/>
  <c r="M116" i="33"/>
  <c r="M120" i="33"/>
  <c r="M115" i="33"/>
  <c r="M119" i="33"/>
  <c r="M114" i="33"/>
  <c r="M118" i="33"/>
  <c r="M71" i="31"/>
  <c r="M73" i="31"/>
  <c r="M70" i="31"/>
  <c r="M74" i="31"/>
  <c r="M75" i="31"/>
  <c r="M68" i="31"/>
  <c r="M72" i="31"/>
  <c r="M68" i="32"/>
  <c r="M70" i="32"/>
  <c r="M72" i="32"/>
  <c r="M71" i="32"/>
  <c r="M75" i="32"/>
  <c r="M74" i="32"/>
  <c r="M69" i="32"/>
  <c r="M73" i="32"/>
  <c r="M76" i="32"/>
  <c r="M113" i="8"/>
  <c r="M117" i="8"/>
  <c r="M116" i="8"/>
  <c r="M120" i="8"/>
  <c r="M115" i="8"/>
  <c r="M119" i="8"/>
  <c r="M114" i="8"/>
  <c r="M118" i="8"/>
  <c r="M121" i="8"/>
  <c r="M51" i="37"/>
  <c r="M48" i="37"/>
  <c r="M49" i="37"/>
  <c r="M50" i="37"/>
  <c r="M49" i="36"/>
  <c r="M48" i="36"/>
  <c r="M52" i="36"/>
  <c r="M56" i="36"/>
  <c r="M53" i="36"/>
  <c r="M50" i="36"/>
  <c r="M54" i="36"/>
  <c r="M51" i="36"/>
  <c r="M55" i="36"/>
  <c r="M53" i="35"/>
  <c r="M48" i="35"/>
  <c r="M52" i="35"/>
  <c r="M56" i="35"/>
  <c r="M50" i="35"/>
  <c r="M54" i="35"/>
  <c r="M51" i="35"/>
  <c r="M55" i="35"/>
  <c r="M48" i="34"/>
  <c r="M52" i="34"/>
  <c r="M56" i="34"/>
  <c r="M49" i="34"/>
  <c r="M53" i="34"/>
  <c r="M50" i="34"/>
  <c r="M54" i="34"/>
  <c r="M51" i="34"/>
  <c r="M55" i="34"/>
  <c r="M52" i="31"/>
  <c r="M53" i="31"/>
  <c r="M55" i="31"/>
  <c r="M50" i="31"/>
  <c r="M56" i="31"/>
  <c r="M51" i="31"/>
  <c r="M54" i="31"/>
  <c r="M48" i="31"/>
  <c r="M56" i="32"/>
  <c r="M51" i="32"/>
  <c r="M55" i="32"/>
  <c r="M48" i="32"/>
  <c r="M52" i="32"/>
  <c r="M49" i="32"/>
  <c r="M53" i="32"/>
  <c r="M50" i="32"/>
  <c r="M54" i="32"/>
  <c r="M49" i="30"/>
  <c r="M56" i="30"/>
  <c r="M53" i="30"/>
  <c r="M54" i="30"/>
  <c r="M55" i="30"/>
  <c r="M50" i="30"/>
  <c r="M51" i="30"/>
  <c r="M48" i="30"/>
  <c r="M52" i="30"/>
  <c r="M82" i="8"/>
  <c r="M86" i="8"/>
  <c r="M83" i="8"/>
  <c r="M79" i="8"/>
  <c r="M84" i="8"/>
  <c r="M80" i="8"/>
  <c r="M85" i="8"/>
  <c r="M81" i="8"/>
  <c r="L7" i="30"/>
  <c r="M35" i="36"/>
  <c r="M34" i="37"/>
  <c r="L7" i="32"/>
  <c r="M35" i="37"/>
  <c r="M38" i="37"/>
  <c r="M34" i="36"/>
  <c r="L27" i="30"/>
  <c r="L7" i="8"/>
  <c r="M101" i="34"/>
  <c r="L87" i="34"/>
  <c r="B33" i="39" s="1"/>
  <c r="M101" i="30"/>
  <c r="L87" i="30"/>
  <c r="B29" i="39" s="1"/>
  <c r="M41" i="31"/>
  <c r="L27" i="31"/>
  <c r="M61" i="36"/>
  <c r="L47" i="36"/>
  <c r="M39" i="37"/>
  <c r="L27" i="37"/>
  <c r="M58" i="31"/>
  <c r="L47" i="31"/>
  <c r="M99" i="32"/>
  <c r="L87" i="32"/>
  <c r="B30" i="39" s="1"/>
  <c r="M35" i="30"/>
  <c r="M29" i="31"/>
  <c r="L42" i="33"/>
  <c r="D32" i="39" s="1"/>
  <c r="L42" i="8"/>
  <c r="L112" i="8"/>
  <c r="M131" i="8"/>
  <c r="M139" i="8"/>
  <c r="M136" i="8"/>
  <c r="M133" i="8"/>
  <c r="M130" i="8"/>
  <c r="M127" i="8"/>
  <c r="M129" i="8"/>
  <c r="M132" i="8"/>
  <c r="M140" i="8"/>
  <c r="M134" i="8"/>
  <c r="M128" i="8"/>
  <c r="M138" i="8"/>
  <c r="M135" i="8"/>
  <c r="M126" i="8"/>
  <c r="M137" i="8"/>
  <c r="M36" i="30"/>
  <c r="M81" i="30"/>
  <c r="L67" i="30"/>
  <c r="M30" i="31"/>
  <c r="M79" i="34"/>
  <c r="L67" i="34"/>
  <c r="M101" i="36"/>
  <c r="L87" i="36"/>
  <c r="B35" i="39" s="1"/>
  <c r="M36" i="37"/>
  <c r="M31" i="31"/>
  <c r="M98" i="31"/>
  <c r="L87" i="31"/>
  <c r="B31" i="39" s="1"/>
  <c r="L27" i="32"/>
  <c r="M80" i="35"/>
  <c r="L67" i="35"/>
  <c r="M37" i="37"/>
  <c r="L7" i="33"/>
  <c r="L7" i="34"/>
  <c r="M33" i="31"/>
  <c r="M81" i="32"/>
  <c r="L67" i="32"/>
  <c r="L7" i="35"/>
  <c r="L7" i="36"/>
  <c r="M40" i="37"/>
  <c r="M79" i="36"/>
  <c r="L67" i="36"/>
  <c r="M79" i="37"/>
  <c r="L67" i="37"/>
  <c r="M101" i="37"/>
  <c r="L87" i="37"/>
  <c r="B36" i="39" s="1"/>
  <c r="L27" i="34"/>
  <c r="M35" i="31"/>
  <c r="M81" i="31"/>
  <c r="L67" i="31"/>
  <c r="M61" i="34"/>
  <c r="L47" i="34"/>
  <c r="L27" i="35"/>
  <c r="M61" i="30"/>
  <c r="L47" i="30"/>
  <c r="L77" i="8"/>
  <c r="M104" i="8"/>
  <c r="M102" i="8"/>
  <c r="M101" i="8"/>
  <c r="M98" i="8"/>
  <c r="M95" i="8"/>
  <c r="M92" i="8"/>
  <c r="M105" i="8"/>
  <c r="M96" i="8"/>
  <c r="M93" i="8"/>
  <c r="M91" i="8"/>
  <c r="M100" i="8"/>
  <c r="M97" i="8"/>
  <c r="M94" i="8"/>
  <c r="M99" i="8"/>
  <c r="M103" i="8"/>
  <c r="M157" i="8"/>
  <c r="L147" i="8"/>
  <c r="B28" i="39" s="1"/>
  <c r="M166" i="8"/>
  <c r="M175" i="8"/>
  <c r="M163" i="8"/>
  <c r="M174" i="8"/>
  <c r="M171" i="8"/>
  <c r="M168" i="8"/>
  <c r="M165" i="8"/>
  <c r="M162" i="8"/>
  <c r="M172" i="8"/>
  <c r="M169" i="8"/>
  <c r="M173" i="8"/>
  <c r="M170" i="8"/>
  <c r="M167" i="8"/>
  <c r="M164" i="8"/>
  <c r="M161" i="8"/>
  <c r="M36" i="31"/>
  <c r="M61" i="35"/>
  <c r="L47" i="35"/>
  <c r="M57" i="32"/>
  <c r="L47" i="32"/>
  <c r="M101" i="35"/>
  <c r="L87" i="35"/>
  <c r="B34" i="39" s="1"/>
  <c r="L27" i="36"/>
  <c r="M61" i="37"/>
  <c r="L47" i="37"/>
  <c r="M32" i="37"/>
  <c r="M28" i="37"/>
  <c r="M30" i="37"/>
  <c r="M29" i="37"/>
  <c r="M33" i="37"/>
  <c r="M27" i="37"/>
  <c r="M31" i="37"/>
  <c r="M28" i="36"/>
  <c r="M27" i="36"/>
  <c r="M31" i="36"/>
  <c r="M30" i="36"/>
  <c r="M29" i="36"/>
  <c r="M32" i="36"/>
  <c r="M33" i="36"/>
  <c r="M35" i="35"/>
  <c r="M36" i="35"/>
  <c r="M30" i="35"/>
  <c r="M34" i="35"/>
  <c r="M29" i="35"/>
  <c r="M33" i="35"/>
  <c r="M28" i="35"/>
  <c r="M32" i="35"/>
  <c r="M31" i="35"/>
  <c r="M30" i="34"/>
  <c r="M28" i="34"/>
  <c r="M34" i="34"/>
  <c r="M29" i="34"/>
  <c r="M33" i="34"/>
  <c r="M39" i="34"/>
  <c r="M32" i="34"/>
  <c r="M36" i="34"/>
  <c r="M31" i="34"/>
  <c r="M35" i="34"/>
  <c r="M40" i="34"/>
  <c r="M55" i="33"/>
  <c r="M44" i="33"/>
  <c r="M49" i="33"/>
  <c r="M46" i="33"/>
  <c r="M51" i="33"/>
  <c r="M45" i="33"/>
  <c r="M50" i="33"/>
  <c r="M43" i="33"/>
  <c r="M48" i="33"/>
  <c r="M47" i="33"/>
  <c r="M29" i="32"/>
  <c r="M33" i="32"/>
  <c r="M28" i="32"/>
  <c r="M32" i="32"/>
  <c r="M36" i="32"/>
  <c r="M39" i="32"/>
  <c r="M31" i="32"/>
  <c r="M35" i="32"/>
  <c r="M30" i="32"/>
  <c r="M34" i="32"/>
  <c r="M41" i="30"/>
  <c r="M30" i="30"/>
  <c r="M29" i="30"/>
  <c r="M33" i="30"/>
  <c r="M28" i="30"/>
  <c r="M32" i="30"/>
  <c r="M31" i="30"/>
  <c r="M43" i="8"/>
  <c r="M47" i="8"/>
  <c r="M70" i="8"/>
  <c r="M67" i="8"/>
  <c r="M64" i="8"/>
  <c r="M62" i="8"/>
  <c r="M58" i="8"/>
  <c r="M56" i="8"/>
  <c r="M69" i="8"/>
  <c r="M65" i="8"/>
  <c r="M60" i="8"/>
  <c r="M68" i="8"/>
  <c r="M66" i="8"/>
  <c r="M63" i="8"/>
  <c r="M61" i="8"/>
  <c r="M59" i="8"/>
  <c r="M57" i="8"/>
  <c r="M46" i="8"/>
  <c r="M50" i="8"/>
  <c r="M45" i="8"/>
  <c r="M49" i="8"/>
  <c r="M44" i="8"/>
  <c r="M48" i="8"/>
  <c r="M51" i="8"/>
  <c r="M35" i="8"/>
  <c r="M33" i="8"/>
  <c r="M31" i="8"/>
  <c r="M29" i="8"/>
  <c r="M27" i="8"/>
  <c r="M25" i="8"/>
  <c r="M23" i="8"/>
  <c r="M21" i="8"/>
  <c r="M34" i="8"/>
  <c r="M32" i="8"/>
  <c r="M30" i="8"/>
  <c r="M28" i="8"/>
  <c r="M26" i="8"/>
  <c r="M24" i="8"/>
  <c r="M22" i="8"/>
  <c r="M71" i="33"/>
  <c r="M70" i="33"/>
  <c r="M67" i="33"/>
  <c r="M64" i="33"/>
  <c r="M61" i="33"/>
  <c r="M58" i="33"/>
  <c r="M68" i="33"/>
  <c r="M65" i="33"/>
  <c r="M62" i="33"/>
  <c r="M59" i="33"/>
  <c r="M56" i="33"/>
  <c r="M69" i="33"/>
  <c r="M66" i="33"/>
  <c r="M57" i="33"/>
  <c r="M60" i="33"/>
  <c r="M63" i="33"/>
  <c r="M67" i="34"/>
  <c r="M106" i="33"/>
  <c r="M105" i="33"/>
  <c r="M102" i="33"/>
  <c r="M99" i="33"/>
  <c r="M96" i="33"/>
  <c r="M93" i="33"/>
  <c r="M103" i="33"/>
  <c r="M100" i="33"/>
  <c r="M97" i="33"/>
  <c r="M94" i="33"/>
  <c r="M91" i="33"/>
  <c r="M98" i="33"/>
  <c r="M104" i="33"/>
  <c r="M101" i="33"/>
  <c r="M92" i="33"/>
  <c r="M95" i="33"/>
  <c r="M67" i="37"/>
  <c r="M98" i="30"/>
  <c r="M176" i="33"/>
  <c r="M174" i="33"/>
  <c r="M175" i="33"/>
  <c r="M172" i="33"/>
  <c r="M169" i="33"/>
  <c r="M166" i="33"/>
  <c r="M163" i="33"/>
  <c r="M173" i="33"/>
  <c r="M170" i="33"/>
  <c r="M167" i="33"/>
  <c r="M164" i="33"/>
  <c r="M161" i="33"/>
  <c r="M171" i="33"/>
  <c r="M168" i="33"/>
  <c r="M165" i="33"/>
  <c r="M162" i="33"/>
  <c r="M20" i="32"/>
  <c r="M27" i="34"/>
  <c r="M58" i="30"/>
  <c r="M80" i="34"/>
  <c r="M141" i="33"/>
  <c r="M134" i="33"/>
  <c r="M131" i="33"/>
  <c r="M140" i="33"/>
  <c r="M137" i="33"/>
  <c r="M128" i="33"/>
  <c r="M132" i="33"/>
  <c r="M138" i="33"/>
  <c r="M135" i="33"/>
  <c r="M129" i="33"/>
  <c r="M126" i="33"/>
  <c r="M136" i="33"/>
  <c r="M133" i="33"/>
  <c r="M139" i="33"/>
  <c r="M127" i="33"/>
  <c r="M130" i="33"/>
  <c r="M21" i="36"/>
  <c r="M125" i="33"/>
  <c r="M78" i="32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19" i="8"/>
  <c r="M12" i="30"/>
  <c r="M20" i="31"/>
  <c r="M16" i="30"/>
  <c r="M7" i="34"/>
  <c r="M19" i="34"/>
  <c r="M11" i="34"/>
  <c r="M15" i="34"/>
  <c r="M21" i="34"/>
  <c r="M8" i="31"/>
  <c r="M36" i="33"/>
  <c r="M12" i="31"/>
  <c r="M16" i="31"/>
  <c r="M21" i="31"/>
  <c r="M8" i="32"/>
  <c r="M9" i="32"/>
  <c r="M13" i="32"/>
  <c r="M11" i="33"/>
  <c r="M15" i="33"/>
  <c r="M13" i="34"/>
  <c r="M16" i="34"/>
  <c r="M8" i="35"/>
  <c r="M12" i="35"/>
  <c r="M16" i="35"/>
  <c r="M20" i="30"/>
  <c r="M9" i="31"/>
  <c r="M13" i="31"/>
  <c r="M10" i="32"/>
  <c r="M14" i="32"/>
  <c r="M14" i="8"/>
  <c r="M8" i="33"/>
  <c r="M12" i="33"/>
  <c r="M16" i="33"/>
  <c r="M14" i="34"/>
  <c r="M18" i="34"/>
  <c r="M8" i="36"/>
  <c r="M12" i="36"/>
  <c r="M16" i="36"/>
  <c r="M21" i="30"/>
  <c r="M10" i="31"/>
  <c r="M14" i="31"/>
  <c r="M11" i="32"/>
  <c r="M15" i="32"/>
  <c r="M17" i="32"/>
  <c r="M9" i="33"/>
  <c r="M13" i="33"/>
  <c r="M9" i="34"/>
  <c r="M12" i="34"/>
  <c r="M10" i="35"/>
  <c r="M14" i="35"/>
  <c r="M11" i="31"/>
  <c r="M15" i="31"/>
  <c r="M17" i="31"/>
  <c r="M12" i="32"/>
  <c r="M16" i="32"/>
  <c r="M21" i="32"/>
  <c r="M12" i="8"/>
  <c r="M10" i="33"/>
  <c r="M14" i="33"/>
  <c r="M10" i="34"/>
  <c r="M10" i="36"/>
  <c r="M14" i="36"/>
  <c r="M38" i="35"/>
  <c r="M78" i="35"/>
  <c r="M41" i="34"/>
  <c r="M57" i="34"/>
  <c r="M81" i="34"/>
  <c r="M97" i="34"/>
  <c r="M37" i="34"/>
  <c r="M60" i="34"/>
  <c r="M77" i="34"/>
  <c r="M100" i="34"/>
  <c r="M38" i="34"/>
  <c r="M78" i="34"/>
  <c r="M160" i="33"/>
  <c r="M88" i="33"/>
  <c r="M90" i="33"/>
  <c r="M158" i="33"/>
  <c r="M58" i="32"/>
  <c r="M38" i="32"/>
  <c r="M98" i="32"/>
  <c r="M57" i="30"/>
  <c r="M78" i="30"/>
  <c r="M38" i="30"/>
  <c r="M97" i="30"/>
  <c r="M53" i="8"/>
  <c r="M77" i="8"/>
  <c r="M88" i="8"/>
  <c r="M125" i="8"/>
  <c r="M160" i="8"/>
  <c r="M71" i="8"/>
  <c r="M52" i="8"/>
  <c r="M106" i="8"/>
  <c r="M87" i="8"/>
  <c r="M124" i="8"/>
  <c r="M141" i="8"/>
  <c r="M159" i="8"/>
  <c r="M55" i="8"/>
  <c r="M90" i="8"/>
  <c r="M123" i="8"/>
  <c r="M147" i="8"/>
  <c r="M158" i="8"/>
  <c r="M54" i="8"/>
  <c r="M42" i="8"/>
  <c r="M89" i="8"/>
  <c r="M112" i="8"/>
  <c r="M122" i="8"/>
  <c r="M176" i="8"/>
  <c r="M38" i="36"/>
  <c r="M78" i="36"/>
  <c r="M8" i="37"/>
  <c r="M20" i="37"/>
  <c r="M58" i="37"/>
  <c r="M98" i="37"/>
  <c r="M17" i="37"/>
  <c r="M59" i="37"/>
  <c r="M99" i="37"/>
  <c r="M60" i="37"/>
  <c r="M100" i="37"/>
  <c r="M47" i="37"/>
  <c r="M87" i="37"/>
  <c r="M9" i="36"/>
  <c r="M11" i="36"/>
  <c r="M13" i="36"/>
  <c r="M15" i="36"/>
  <c r="M18" i="36"/>
  <c r="M37" i="36"/>
  <c r="M77" i="36"/>
  <c r="M19" i="36"/>
  <c r="M39" i="36"/>
  <c r="M40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M60" i="36"/>
  <c r="M100" i="36"/>
  <c r="M47" i="36"/>
  <c r="M87" i="36"/>
  <c r="M17" i="35"/>
  <c r="M9" i="35"/>
  <c r="M11" i="35"/>
  <c r="M13" i="35"/>
  <c r="M15" i="35"/>
  <c r="M18" i="35"/>
  <c r="M37" i="35"/>
  <c r="M77" i="35"/>
  <c r="M7" i="35"/>
  <c r="M27" i="35"/>
  <c r="M41" i="35"/>
  <c r="M67" i="35"/>
  <c r="M81" i="35"/>
  <c r="M79" i="35"/>
  <c r="M20" i="35"/>
  <c r="M19" i="35"/>
  <c r="M57" i="35"/>
  <c r="M97" i="35"/>
  <c r="M39" i="35"/>
  <c r="M40" i="35"/>
  <c r="M58" i="35"/>
  <c r="M98" i="35"/>
  <c r="M21" i="35"/>
  <c r="M59" i="35"/>
  <c r="M99" i="35"/>
  <c r="M60" i="35"/>
  <c r="M100" i="35"/>
  <c r="M47" i="35"/>
  <c r="M87" i="35"/>
  <c r="M8" i="34"/>
  <c r="M20" i="34"/>
  <c r="M58" i="34"/>
  <c r="M98" i="34"/>
  <c r="M17" i="34"/>
  <c r="M59" i="34"/>
  <c r="M99" i="34"/>
  <c r="M47" i="34"/>
  <c r="M87" i="34"/>
  <c r="M18" i="33"/>
  <c r="M52" i="33"/>
  <c r="M122" i="33"/>
  <c r="M53" i="33"/>
  <c r="M123" i="33"/>
  <c r="M19" i="33"/>
  <c r="M54" i="33"/>
  <c r="M124" i="33"/>
  <c r="M7" i="33"/>
  <c r="M42" i="33"/>
  <c r="M112" i="33"/>
  <c r="M20" i="33"/>
  <c r="M87" i="33"/>
  <c r="M157" i="33"/>
  <c r="M17" i="33"/>
  <c r="M89" i="33"/>
  <c r="M159" i="33"/>
  <c r="M77" i="33"/>
  <c r="M147" i="33"/>
  <c r="M20" i="8"/>
  <c r="M13" i="8"/>
  <c r="M7" i="8"/>
  <c r="M18" i="8"/>
  <c r="M16" i="8"/>
  <c r="M17" i="8"/>
  <c r="M15" i="8"/>
  <c r="M10" i="8"/>
  <c r="M9" i="8"/>
  <c r="M11" i="8"/>
  <c r="M36" i="8"/>
  <c r="M8" i="8"/>
  <c r="M60" i="32"/>
  <c r="M100" i="32"/>
  <c r="M47" i="32"/>
  <c r="M61" i="32"/>
  <c r="M87" i="32"/>
  <c r="M101" i="32"/>
  <c r="M18" i="32"/>
  <c r="M37" i="32"/>
  <c r="M77" i="32"/>
  <c r="M19" i="32"/>
  <c r="M79" i="32"/>
  <c r="M40" i="32"/>
  <c r="M80" i="32"/>
  <c r="M59" i="32"/>
  <c r="M27" i="32"/>
  <c r="M41" i="32"/>
  <c r="M67" i="32"/>
  <c r="M7" i="32"/>
  <c r="M97" i="32"/>
  <c r="M60" i="31"/>
  <c r="M101" i="31"/>
  <c r="M18" i="31"/>
  <c r="M47" i="31"/>
  <c r="M61" i="31"/>
  <c r="M87" i="31"/>
  <c r="M37" i="31"/>
  <c r="M77" i="31"/>
  <c r="M100" i="31"/>
  <c r="M38" i="31"/>
  <c r="M78" i="31"/>
  <c r="M19" i="31"/>
  <c r="M39" i="31"/>
  <c r="M79" i="31"/>
  <c r="M40" i="31"/>
  <c r="M80" i="31"/>
  <c r="M7" i="31"/>
  <c r="M27" i="31"/>
  <c r="M67" i="31"/>
  <c r="M59" i="31"/>
  <c r="M99" i="31"/>
  <c r="M57" i="31"/>
  <c r="M97" i="31"/>
  <c r="M8" i="30"/>
  <c r="M14" i="30"/>
  <c r="M10" i="30"/>
  <c r="M9" i="30"/>
  <c r="M11" i="30"/>
  <c r="M13" i="30"/>
  <c r="M15" i="30"/>
  <c r="M18" i="30"/>
  <c r="M37" i="30"/>
  <c r="M77" i="30"/>
  <c r="M19" i="30"/>
  <c r="M39" i="30"/>
  <c r="M79" i="30"/>
  <c r="M40" i="30"/>
  <c r="M80" i="30"/>
  <c r="M7" i="30"/>
  <c r="M27" i="30"/>
  <c r="M67" i="30"/>
  <c r="M17" i="30"/>
  <c r="M99" i="30"/>
  <c r="M60" i="30"/>
  <c r="M100" i="30"/>
  <c r="M59" i="30"/>
  <c r="M47" i="30"/>
  <c r="M87" i="30"/>
  <c r="AH23" i="29"/>
  <c r="AH22" i="29"/>
  <c r="D29" i="39" l="1"/>
  <c r="D35" i="39"/>
  <c r="D30" i="39"/>
  <c r="D34" i="39"/>
  <c r="D33" i="39"/>
  <c r="D31" i="39"/>
  <c r="D28" i="39"/>
  <c r="C1" i="37"/>
  <c r="D36" i="39"/>
  <c r="C1" i="35"/>
  <c r="C1" i="33"/>
  <c r="C1" i="30"/>
  <c r="C1" i="31"/>
  <c r="C1" i="34"/>
  <c r="C1" i="36"/>
  <c r="C1" i="32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E36" i="39" l="1"/>
  <c r="B36" i="13"/>
  <c r="E36" i="13" s="1"/>
  <c r="E35" i="39"/>
  <c r="B35" i="13"/>
  <c r="E35" i="13" s="1"/>
  <c r="E34" i="39"/>
  <c r="B34" i="13"/>
  <c r="E34" i="13" s="1"/>
  <c r="E33" i="39"/>
  <c r="B33" i="13"/>
  <c r="E33" i="13" s="1"/>
  <c r="E32" i="39"/>
  <c r="B32" i="13"/>
  <c r="E32" i="13" s="1"/>
  <c r="E31" i="39"/>
  <c r="B31" i="13"/>
  <c r="E31" i="13" s="1"/>
  <c r="E30" i="39"/>
  <c r="B30" i="13"/>
  <c r="E30" i="13" s="1"/>
  <c r="E29" i="39"/>
  <c r="B29" i="13"/>
  <c r="E29" i="13" s="1"/>
  <c r="G14" i="4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S7" i="8" l="1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36" i="8"/>
  <c r="C1" i="8" l="1"/>
  <c r="E28" i="39" l="1"/>
  <c r="B28" i="13"/>
  <c r="E28" i="13" s="1"/>
  <c r="S5" i="3"/>
  <c r="M5" i="3"/>
  <c r="J5" i="3"/>
  <c r="G5" i="3"/>
  <c r="V5" i="3" l="1"/>
  <c r="P5" i="3"/>
  <c r="B8" i="25"/>
  <c r="A8" i="25"/>
  <c r="C21" i="13"/>
  <c r="E21" i="13" s="1"/>
  <c r="L19" i="21" l="1"/>
  <c r="L18" i="21"/>
  <c r="L17" i="21"/>
  <c r="L16" i="21"/>
  <c r="L10" i="21"/>
  <c r="L11" i="21"/>
  <c r="L12" i="21"/>
  <c r="L13" i="21"/>
  <c r="L9" i="21"/>
  <c r="C17" i="13"/>
  <c r="E17" i="13" s="1"/>
  <c r="C18" i="13"/>
  <c r="E18" i="13" s="1"/>
  <c r="C20" i="13"/>
  <c r="E20" i="13" s="1"/>
  <c r="C22" i="13"/>
  <c r="E22" i="13" s="1"/>
  <c r="C23" i="13"/>
  <c r="E23" i="13" s="1"/>
  <c r="D24" i="13"/>
  <c r="J24" i="13"/>
  <c r="D6" i="13"/>
  <c r="H147" i="8"/>
  <c r="H112" i="8"/>
  <c r="H77" i="8"/>
  <c r="H42" i="8"/>
  <c r="T7" i="8"/>
  <c r="H7" i="8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F26" i="7" s="1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AC46" i="7" s="1"/>
  <c r="S7" i="7"/>
  <c r="S46" i="7" s="1"/>
  <c r="M7" i="7"/>
  <c r="M46" i="7" s="1"/>
  <c r="B15" i="13" s="1"/>
  <c r="B7" i="7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46" i="6" s="1"/>
  <c r="H16" i="13" s="1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M8" i="6"/>
  <c r="M9" i="6"/>
  <c r="F9" i="6" s="1"/>
  <c r="M10" i="6"/>
  <c r="F10" i="6" s="1"/>
  <c r="M11" i="6"/>
  <c r="F11" i="6" s="1"/>
  <c r="M12" i="6"/>
  <c r="F12" i="6" s="1"/>
  <c r="M13" i="6"/>
  <c r="F13" i="6" s="1"/>
  <c r="M14" i="6"/>
  <c r="M15" i="6"/>
  <c r="M16" i="6"/>
  <c r="F16" i="6" s="1"/>
  <c r="M17" i="6"/>
  <c r="F17" i="6" s="1"/>
  <c r="M18" i="6"/>
  <c r="F18" i="6" s="1"/>
  <c r="M19" i="6"/>
  <c r="M20" i="6"/>
  <c r="M21" i="6"/>
  <c r="F21" i="6" s="1"/>
  <c r="M22" i="6"/>
  <c r="F22" i="6" s="1"/>
  <c r="M23" i="6"/>
  <c r="F23" i="6" s="1"/>
  <c r="M24" i="6"/>
  <c r="F24" i="6" s="1"/>
  <c r="M25" i="6"/>
  <c r="M26" i="6"/>
  <c r="M27" i="6"/>
  <c r="M28" i="6"/>
  <c r="F28" i="6" s="1"/>
  <c r="M29" i="6"/>
  <c r="F29" i="6" s="1"/>
  <c r="M30" i="6"/>
  <c r="F30" i="6" s="1"/>
  <c r="M31" i="6"/>
  <c r="M32" i="6"/>
  <c r="M33" i="6"/>
  <c r="F33" i="6" s="1"/>
  <c r="M34" i="6"/>
  <c r="F34" i="6" s="1"/>
  <c r="M35" i="6"/>
  <c r="F35" i="6" s="1"/>
  <c r="M36" i="6"/>
  <c r="F36" i="6" s="1"/>
  <c r="M37" i="6"/>
  <c r="F37" i="6" s="1"/>
  <c r="M38" i="6"/>
  <c r="M39" i="6"/>
  <c r="M40" i="6"/>
  <c r="F40" i="6" s="1"/>
  <c r="M41" i="6"/>
  <c r="F41" i="6" s="1"/>
  <c r="M42" i="6"/>
  <c r="F42" i="6" s="1"/>
  <c r="M43" i="6"/>
  <c r="M44" i="6"/>
  <c r="M45" i="6"/>
  <c r="F45" i="6" s="1"/>
  <c r="B32" i="6"/>
  <c r="B18" i="6"/>
  <c r="B7" i="6"/>
  <c r="V37" i="5"/>
  <c r="V30" i="5"/>
  <c r="I11" i="39" s="1"/>
  <c r="V23" i="5"/>
  <c r="V16" i="5"/>
  <c r="V9" i="5"/>
  <c r="W5" i="5"/>
  <c r="S37" i="5"/>
  <c r="S30" i="5"/>
  <c r="S23" i="5"/>
  <c r="S16" i="5"/>
  <c r="S9" i="5"/>
  <c r="T5" i="5"/>
  <c r="I10" i="13" s="1"/>
  <c r="K10" i="13" s="1"/>
  <c r="P37" i="5"/>
  <c r="P30" i="5"/>
  <c r="I9" i="39" s="1"/>
  <c r="P23" i="5"/>
  <c r="P16" i="5"/>
  <c r="P9" i="5"/>
  <c r="Q5" i="5"/>
  <c r="M37" i="5"/>
  <c r="M30" i="5"/>
  <c r="I8" i="39" s="1"/>
  <c r="M23" i="5"/>
  <c r="M16" i="5"/>
  <c r="M9" i="5"/>
  <c r="N5" i="5"/>
  <c r="J37" i="5"/>
  <c r="J30" i="5"/>
  <c r="I7" i="39" s="1"/>
  <c r="J23" i="5"/>
  <c r="J16" i="5"/>
  <c r="J9" i="5"/>
  <c r="K5" i="5"/>
  <c r="H5" i="5"/>
  <c r="G9" i="5"/>
  <c r="G16" i="5"/>
  <c r="G23" i="5"/>
  <c r="G30" i="5"/>
  <c r="I6" i="39" s="1"/>
  <c r="G37" i="5"/>
  <c r="B30" i="5"/>
  <c r="B16" i="5"/>
  <c r="B5" i="5"/>
  <c r="T5" i="3"/>
  <c r="B10" i="13" s="1"/>
  <c r="V37" i="3"/>
  <c r="S37" i="3"/>
  <c r="S30" i="3"/>
  <c r="B10" i="39" s="1"/>
  <c r="S23" i="3"/>
  <c r="S16" i="3"/>
  <c r="S9" i="3"/>
  <c r="O4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M30" i="3"/>
  <c r="B8" i="39" s="1"/>
  <c r="M23" i="3"/>
  <c r="M16" i="3"/>
  <c r="M9" i="3"/>
  <c r="N5" i="3"/>
  <c r="B8" i="13" s="1"/>
  <c r="J37" i="3"/>
  <c r="J30" i="3"/>
  <c r="B7" i="39" s="1"/>
  <c r="J23" i="3"/>
  <c r="J16" i="3"/>
  <c r="J9" i="3"/>
  <c r="K5" i="3"/>
  <c r="E7" i="39" s="1"/>
  <c r="G9" i="3"/>
  <c r="G16" i="3"/>
  <c r="G23" i="3"/>
  <c r="G30" i="3"/>
  <c r="B6" i="39" s="1"/>
  <c r="G37" i="3"/>
  <c r="B30" i="3"/>
  <c r="B16" i="3"/>
  <c r="B5" i="3"/>
  <c r="M46" i="6" l="1"/>
  <c r="AC46" i="6"/>
  <c r="F44" i="6"/>
  <c r="F32" i="6"/>
  <c r="F20" i="6"/>
  <c r="F8" i="6"/>
  <c r="F43" i="6"/>
  <c r="F31" i="6"/>
  <c r="F19" i="6"/>
  <c r="F39" i="6"/>
  <c r="F27" i="6"/>
  <c r="F15" i="6"/>
  <c r="F38" i="6"/>
  <c r="AD38" i="6" s="1"/>
  <c r="F26" i="6"/>
  <c r="AD26" i="6" s="1"/>
  <c r="F14" i="6"/>
  <c r="K7" i="39"/>
  <c r="I7" i="13"/>
  <c r="K7" i="13" s="1"/>
  <c r="K6" i="39"/>
  <c r="I6" i="13"/>
  <c r="K6" i="13" s="1"/>
  <c r="K11" i="39"/>
  <c r="I11" i="13"/>
  <c r="K11" i="13" s="1"/>
  <c r="K9" i="39"/>
  <c r="I9" i="13"/>
  <c r="K9" i="13" s="1"/>
  <c r="K8" i="39"/>
  <c r="I8" i="13"/>
  <c r="K8" i="13" s="1"/>
  <c r="D10" i="13"/>
  <c r="E10" i="13"/>
  <c r="D8" i="13"/>
  <c r="E8" i="13"/>
  <c r="D8" i="39"/>
  <c r="P23" i="3"/>
  <c r="C16" i="39"/>
  <c r="E16" i="39" s="1"/>
  <c r="B19" i="13"/>
  <c r="C19" i="13" s="1"/>
  <c r="E19" i="13" s="1"/>
  <c r="AH26" i="7"/>
  <c r="AB26" i="7"/>
  <c r="R26" i="7"/>
  <c r="F25" i="6"/>
  <c r="T25" i="6" s="1"/>
  <c r="C20" i="39"/>
  <c r="E20" i="39" s="1"/>
  <c r="I21" i="39"/>
  <c r="K21" i="39" s="1"/>
  <c r="I19" i="39"/>
  <c r="K19" i="39" s="1"/>
  <c r="I15" i="39"/>
  <c r="I16" i="39"/>
  <c r="K16" i="39" s="1"/>
  <c r="D7" i="39"/>
  <c r="I23" i="39"/>
  <c r="K23" i="39" s="1"/>
  <c r="I17" i="39"/>
  <c r="K17" i="39" s="1"/>
  <c r="I20" i="39"/>
  <c r="K20" i="39" s="1"/>
  <c r="I18" i="39"/>
  <c r="K18" i="39" s="1"/>
  <c r="I22" i="39"/>
  <c r="K22" i="39" s="1"/>
  <c r="D10" i="39"/>
  <c r="Q5" i="3"/>
  <c r="E8" i="39"/>
  <c r="W5" i="3"/>
  <c r="E10" i="39"/>
  <c r="P37" i="3"/>
  <c r="P16" i="3"/>
  <c r="P9" i="3"/>
  <c r="P30" i="3"/>
  <c r="B9" i="39" s="1"/>
  <c r="T44" i="6"/>
  <c r="T20" i="6"/>
  <c r="N8" i="6"/>
  <c r="T17" i="6"/>
  <c r="T40" i="6"/>
  <c r="AD28" i="6"/>
  <c r="AD16" i="6"/>
  <c r="F41" i="7"/>
  <c r="F44" i="7"/>
  <c r="V9" i="3"/>
  <c r="T39" i="6"/>
  <c r="T27" i="6"/>
  <c r="AD15" i="6"/>
  <c r="F38" i="7"/>
  <c r="F45" i="7"/>
  <c r="V16" i="3"/>
  <c r="F40" i="7"/>
  <c r="V23" i="3"/>
  <c r="T13" i="6"/>
  <c r="AD36" i="6"/>
  <c r="F42" i="7"/>
  <c r="V30" i="3"/>
  <c r="B11" i="39" s="1"/>
  <c r="N24" i="6"/>
  <c r="T12" i="6"/>
  <c r="N31" i="6"/>
  <c r="T41" i="6"/>
  <c r="T35" i="6"/>
  <c r="T23" i="6"/>
  <c r="T11" i="6"/>
  <c r="T37" i="6"/>
  <c r="AD43" i="6"/>
  <c r="T42" i="6"/>
  <c r="AD34" i="6"/>
  <c r="N10" i="6"/>
  <c r="F16" i="7"/>
  <c r="X16" i="7" s="1"/>
  <c r="F39" i="7"/>
  <c r="F43" i="7"/>
  <c r="T30" i="6"/>
  <c r="N45" i="6"/>
  <c r="T21" i="6"/>
  <c r="T9" i="6"/>
  <c r="F9" i="7"/>
  <c r="F8" i="7"/>
  <c r="F10" i="7"/>
  <c r="F11" i="7"/>
  <c r="F15" i="7"/>
  <c r="F17" i="7"/>
  <c r="F19" i="7"/>
  <c r="F23" i="7"/>
  <c r="F25" i="7"/>
  <c r="T26" i="7"/>
  <c r="AJ26" i="7"/>
  <c r="F27" i="7"/>
  <c r="F34" i="7"/>
  <c r="F14" i="7"/>
  <c r="F18" i="7"/>
  <c r="F22" i="7"/>
  <c r="N26" i="7"/>
  <c r="V26" i="7"/>
  <c r="AD26" i="7"/>
  <c r="AL26" i="7"/>
  <c r="F30" i="7"/>
  <c r="F31" i="7"/>
  <c r="F33" i="7"/>
  <c r="F37" i="7"/>
  <c r="F13" i="7"/>
  <c r="F21" i="7"/>
  <c r="J26" i="7"/>
  <c r="P26" i="7"/>
  <c r="X26" i="7"/>
  <c r="AF26" i="7"/>
  <c r="F29" i="7"/>
  <c r="F32" i="7"/>
  <c r="F36" i="7"/>
  <c r="F12" i="7"/>
  <c r="F20" i="7"/>
  <c r="F24" i="7"/>
  <c r="L26" i="7"/>
  <c r="Z26" i="7"/>
  <c r="F28" i="7"/>
  <c r="T34" i="7"/>
  <c r="F35" i="7"/>
  <c r="F7" i="7"/>
  <c r="AD7" i="6"/>
  <c r="N38" i="7" l="1"/>
  <c r="AB38" i="7"/>
  <c r="R38" i="7"/>
  <c r="T26" i="6"/>
  <c r="AD43" i="7"/>
  <c r="AB43" i="7"/>
  <c r="R43" i="7"/>
  <c r="AD42" i="7"/>
  <c r="R42" i="7"/>
  <c r="AB42" i="7"/>
  <c r="AB39" i="7"/>
  <c r="R39" i="7"/>
  <c r="AB44" i="7"/>
  <c r="R44" i="7"/>
  <c r="T41" i="7"/>
  <c r="AB41" i="7"/>
  <c r="R41" i="7"/>
  <c r="AD45" i="7"/>
  <c r="R45" i="7"/>
  <c r="AB45" i="7"/>
  <c r="R40" i="7"/>
  <c r="AB40" i="7"/>
  <c r="T33" i="7"/>
  <c r="AB33" i="7"/>
  <c r="R33" i="7"/>
  <c r="N35" i="7"/>
  <c r="R35" i="7"/>
  <c r="AB35" i="7"/>
  <c r="AD36" i="7"/>
  <c r="R36" i="7"/>
  <c r="AB36" i="7"/>
  <c r="R32" i="7"/>
  <c r="AB32" i="7"/>
  <c r="N34" i="7"/>
  <c r="AB34" i="7"/>
  <c r="R34" i="7"/>
  <c r="AB37" i="7"/>
  <c r="R37" i="7"/>
  <c r="B16" i="13"/>
  <c r="C16" i="13" s="1"/>
  <c r="E16" i="13" s="1"/>
  <c r="AB12" i="7"/>
  <c r="R12" i="7"/>
  <c r="T21" i="7"/>
  <c r="AB21" i="7"/>
  <c r="R21" i="7"/>
  <c r="R18" i="7"/>
  <c r="AB18" i="7"/>
  <c r="N19" i="7"/>
  <c r="AB19" i="7"/>
  <c r="R19" i="7"/>
  <c r="AD10" i="7"/>
  <c r="R10" i="7"/>
  <c r="AB10" i="7"/>
  <c r="T14" i="7"/>
  <c r="R14" i="7"/>
  <c r="AB14" i="7"/>
  <c r="AD17" i="7"/>
  <c r="AB17" i="7"/>
  <c r="R17" i="7"/>
  <c r="AD8" i="7"/>
  <c r="AB8" i="7"/>
  <c r="R8" i="7"/>
  <c r="AH16" i="7"/>
  <c r="AB16" i="7"/>
  <c r="R16" i="7"/>
  <c r="T13" i="7"/>
  <c r="AB13" i="7"/>
  <c r="R13" i="7"/>
  <c r="T24" i="7"/>
  <c r="AB24" i="7"/>
  <c r="R24" i="7"/>
  <c r="AD15" i="7"/>
  <c r="R15" i="7"/>
  <c r="AB15" i="7"/>
  <c r="AD9" i="7"/>
  <c r="AB9" i="7"/>
  <c r="R9" i="7"/>
  <c r="AB20" i="7"/>
  <c r="R20" i="7"/>
  <c r="R22" i="7"/>
  <c r="AB22" i="7"/>
  <c r="N23" i="7"/>
  <c r="R23" i="7"/>
  <c r="AB23" i="7"/>
  <c r="T11" i="7"/>
  <c r="AB11" i="7"/>
  <c r="R11" i="7"/>
  <c r="C17" i="39"/>
  <c r="E17" i="39" s="1"/>
  <c r="C19" i="39"/>
  <c r="E19" i="39" s="1"/>
  <c r="D6" i="39"/>
  <c r="C22" i="39"/>
  <c r="E22" i="39" s="1"/>
  <c r="C18" i="39"/>
  <c r="E18" i="39" s="1"/>
  <c r="C23" i="39"/>
  <c r="E23" i="39" s="1"/>
  <c r="C21" i="39"/>
  <c r="E21" i="39" s="1"/>
  <c r="C15" i="39"/>
  <c r="E15" i="39" s="1"/>
  <c r="B9" i="13"/>
  <c r="E9" i="39"/>
  <c r="E11" i="39"/>
  <c r="B11" i="13"/>
  <c r="AD30" i="7"/>
  <c r="R30" i="7"/>
  <c r="AB30" i="7"/>
  <c r="T25" i="7"/>
  <c r="R25" i="7"/>
  <c r="AB25" i="7"/>
  <c r="N28" i="7"/>
  <c r="AB28" i="7"/>
  <c r="R28" i="7"/>
  <c r="AD29" i="7"/>
  <c r="R29" i="7"/>
  <c r="AB29" i="7"/>
  <c r="AB27" i="7"/>
  <c r="R27" i="7"/>
  <c r="C15" i="13"/>
  <c r="AD31" i="7"/>
  <c r="AB31" i="7"/>
  <c r="R31" i="7"/>
  <c r="H19" i="13"/>
  <c r="H15" i="13"/>
  <c r="AD21" i="7"/>
  <c r="T45" i="7"/>
  <c r="T17" i="7"/>
  <c r="AD24" i="6"/>
  <c r="N23" i="6"/>
  <c r="D9" i="39"/>
  <c r="K15" i="39"/>
  <c r="I24" i="39"/>
  <c r="D11" i="39"/>
  <c r="T38" i="6"/>
  <c r="T34" i="6"/>
  <c r="AD44" i="6"/>
  <c r="AD19" i="7"/>
  <c r="N40" i="6"/>
  <c r="T24" i="6"/>
  <c r="N25" i="6"/>
  <c r="AD40" i="6"/>
  <c r="T19" i="7"/>
  <c r="AD17" i="6"/>
  <c r="T15" i="6"/>
  <c r="AD12" i="6"/>
  <c r="AD8" i="6"/>
  <c r="T10" i="6"/>
  <c r="T8" i="6"/>
  <c r="AD10" i="6"/>
  <c r="J16" i="7"/>
  <c r="AL16" i="7"/>
  <c r="AD16" i="7"/>
  <c r="V16" i="7"/>
  <c r="AJ16" i="7"/>
  <c r="N16" i="7"/>
  <c r="AD41" i="7"/>
  <c r="N45" i="7"/>
  <c r="T43" i="7"/>
  <c r="P16" i="7"/>
  <c r="Z16" i="7"/>
  <c r="L16" i="7"/>
  <c r="N43" i="7"/>
  <c r="T15" i="7"/>
  <c r="AF16" i="7"/>
  <c r="T42" i="7"/>
  <c r="AL29" i="6"/>
  <c r="AH29" i="6"/>
  <c r="L29" i="6"/>
  <c r="AF29" i="6"/>
  <c r="J29" i="6"/>
  <c r="V29" i="6"/>
  <c r="Z29" i="6"/>
  <c r="X29" i="6"/>
  <c r="AJ29" i="6"/>
  <c r="P29" i="6"/>
  <c r="X22" i="6"/>
  <c r="Z22" i="6"/>
  <c r="V22" i="6"/>
  <c r="AL22" i="6"/>
  <c r="AJ22" i="6"/>
  <c r="P22" i="6"/>
  <c r="AH22" i="6"/>
  <c r="L22" i="6"/>
  <c r="AF22" i="6"/>
  <c r="J22" i="6"/>
  <c r="T22" i="6"/>
  <c r="N21" i="7"/>
  <c r="V33" i="6"/>
  <c r="AL33" i="6"/>
  <c r="AJ33" i="6"/>
  <c r="P33" i="6"/>
  <c r="AH33" i="6"/>
  <c r="L33" i="6"/>
  <c r="AF33" i="6"/>
  <c r="J33" i="6"/>
  <c r="Z33" i="6"/>
  <c r="X33" i="6"/>
  <c r="P39" i="7"/>
  <c r="AL39" i="7"/>
  <c r="AJ39" i="7"/>
  <c r="L39" i="7"/>
  <c r="AH39" i="7"/>
  <c r="J39" i="7"/>
  <c r="AF39" i="7"/>
  <c r="G39" i="7"/>
  <c r="V39" i="7"/>
  <c r="Z39" i="7"/>
  <c r="X39" i="7"/>
  <c r="N22" i="6"/>
  <c r="Z12" i="6"/>
  <c r="X12" i="6"/>
  <c r="AF12" i="6"/>
  <c r="V12" i="6"/>
  <c r="AL12" i="6"/>
  <c r="AJ12" i="6"/>
  <c r="P12" i="6"/>
  <c r="AH12" i="6"/>
  <c r="L12" i="6"/>
  <c r="J12" i="6"/>
  <c r="AH40" i="7"/>
  <c r="J40" i="7"/>
  <c r="AF40" i="7"/>
  <c r="Z40" i="7"/>
  <c r="AL40" i="7"/>
  <c r="X40" i="7"/>
  <c r="V40" i="7"/>
  <c r="AJ40" i="7"/>
  <c r="L40" i="7"/>
  <c r="P40" i="7"/>
  <c r="AF39" i="6"/>
  <c r="J39" i="6"/>
  <c r="Z39" i="6"/>
  <c r="AJ39" i="6"/>
  <c r="X39" i="6"/>
  <c r="P39" i="6"/>
  <c r="V39" i="6"/>
  <c r="AL39" i="6"/>
  <c r="G39" i="6"/>
  <c r="AH39" i="6"/>
  <c r="L39" i="6"/>
  <c r="AD39" i="6"/>
  <c r="AH41" i="6"/>
  <c r="L41" i="6"/>
  <c r="V41" i="6"/>
  <c r="AF41" i="6"/>
  <c r="J41" i="6"/>
  <c r="Z41" i="6"/>
  <c r="X41" i="6"/>
  <c r="AL41" i="6"/>
  <c r="AJ41" i="6"/>
  <c r="P41" i="6"/>
  <c r="N20" i="6"/>
  <c r="AJ18" i="6"/>
  <c r="P18" i="6"/>
  <c r="AH18" i="6"/>
  <c r="L18" i="6"/>
  <c r="AF18" i="6"/>
  <c r="J18" i="6"/>
  <c r="Z18" i="6"/>
  <c r="V18" i="6"/>
  <c r="X18" i="6"/>
  <c r="AL18" i="6"/>
  <c r="G18" i="6"/>
  <c r="AD29" i="6"/>
  <c r="N33" i="6"/>
  <c r="N39" i="7"/>
  <c r="X34" i="6"/>
  <c r="V34" i="6"/>
  <c r="AL34" i="6"/>
  <c r="AJ34" i="6"/>
  <c r="P34" i="6"/>
  <c r="Z34" i="6"/>
  <c r="AH34" i="6"/>
  <c r="L34" i="6"/>
  <c r="AF34" i="6"/>
  <c r="J34" i="6"/>
  <c r="N12" i="6"/>
  <c r="N40" i="7"/>
  <c r="AF14" i="6"/>
  <c r="J14" i="6"/>
  <c r="L14" i="6"/>
  <c r="Z14" i="6"/>
  <c r="X14" i="6"/>
  <c r="AH14" i="6"/>
  <c r="V14" i="6"/>
  <c r="AL14" i="6"/>
  <c r="AJ14" i="6"/>
  <c r="P14" i="6"/>
  <c r="AD14" i="6"/>
  <c r="N39" i="6"/>
  <c r="N41" i="6"/>
  <c r="V32" i="6"/>
  <c r="AL32" i="6"/>
  <c r="AJ32" i="6"/>
  <c r="P32" i="6"/>
  <c r="AH32" i="6"/>
  <c r="L32" i="6"/>
  <c r="AF32" i="6"/>
  <c r="J32" i="6"/>
  <c r="G32" i="6"/>
  <c r="X32" i="6"/>
  <c r="Z32" i="6"/>
  <c r="AD32" i="6"/>
  <c r="Z38" i="7"/>
  <c r="X38" i="7"/>
  <c r="V38" i="7"/>
  <c r="AL38" i="7"/>
  <c r="P38" i="7"/>
  <c r="AJ38" i="7"/>
  <c r="AH38" i="7"/>
  <c r="L38" i="7"/>
  <c r="AF38" i="7"/>
  <c r="J38" i="7"/>
  <c r="AD23" i="7"/>
  <c r="AL45" i="6"/>
  <c r="V45" i="6"/>
  <c r="Z45" i="6"/>
  <c r="AJ45" i="6"/>
  <c r="P45" i="6"/>
  <c r="AH45" i="6"/>
  <c r="L45" i="6"/>
  <c r="AF45" i="6"/>
  <c r="J45" i="6"/>
  <c r="X45" i="6"/>
  <c r="N34" i="6"/>
  <c r="AL31" i="6"/>
  <c r="AJ31" i="6"/>
  <c r="P31" i="6"/>
  <c r="AH31" i="6"/>
  <c r="L31" i="6"/>
  <c r="AF31" i="6"/>
  <c r="J31" i="6"/>
  <c r="X31" i="6"/>
  <c r="Z31" i="6"/>
  <c r="V31" i="6"/>
  <c r="Z24" i="6"/>
  <c r="X24" i="6"/>
  <c r="J24" i="6"/>
  <c r="V24" i="6"/>
  <c r="AL24" i="6"/>
  <c r="AJ24" i="6"/>
  <c r="P24" i="6"/>
  <c r="AH24" i="6"/>
  <c r="L24" i="6"/>
  <c r="AF24" i="6"/>
  <c r="T29" i="6"/>
  <c r="N14" i="6"/>
  <c r="T32" i="6"/>
  <c r="AD18" i="6"/>
  <c r="N32" i="6"/>
  <c r="N21" i="6"/>
  <c r="N27" i="6"/>
  <c r="AD20" i="6"/>
  <c r="AD21" i="6"/>
  <c r="AL19" i="6"/>
  <c r="AJ19" i="6"/>
  <c r="P19" i="6"/>
  <c r="AH19" i="6"/>
  <c r="L19" i="6"/>
  <c r="AF19" i="6"/>
  <c r="J19" i="6"/>
  <c r="Z19" i="6"/>
  <c r="X19" i="6"/>
  <c r="V19" i="6"/>
  <c r="AF26" i="6"/>
  <c r="J26" i="6"/>
  <c r="AH26" i="6"/>
  <c r="Z26" i="6"/>
  <c r="X26" i="6"/>
  <c r="V26" i="6"/>
  <c r="L26" i="6"/>
  <c r="AL26" i="6"/>
  <c r="AJ26" i="6"/>
  <c r="P26" i="6"/>
  <c r="AF44" i="7"/>
  <c r="J44" i="7"/>
  <c r="Z44" i="7"/>
  <c r="X44" i="7"/>
  <c r="AL44" i="7"/>
  <c r="AJ44" i="7"/>
  <c r="V44" i="7"/>
  <c r="AH44" i="7"/>
  <c r="L44" i="7"/>
  <c r="P44" i="7"/>
  <c r="AL44" i="6"/>
  <c r="V44" i="6"/>
  <c r="AJ44" i="6"/>
  <c r="P44" i="6"/>
  <c r="AH44" i="6"/>
  <c r="L44" i="6"/>
  <c r="AF44" i="6"/>
  <c r="J44" i="6"/>
  <c r="Z44" i="6"/>
  <c r="X44" i="6"/>
  <c r="AD27" i="6"/>
  <c r="AJ30" i="6"/>
  <c r="P30" i="6"/>
  <c r="AH30" i="6"/>
  <c r="L30" i="6"/>
  <c r="V30" i="6"/>
  <c r="AF30" i="6"/>
  <c r="J30" i="6"/>
  <c r="Z30" i="6"/>
  <c r="X30" i="6"/>
  <c r="AL30" i="6"/>
  <c r="AD33" i="6"/>
  <c r="G11" i="6"/>
  <c r="X11" i="6"/>
  <c r="J11" i="6"/>
  <c r="V11" i="6"/>
  <c r="AL11" i="6"/>
  <c r="AJ11" i="6"/>
  <c r="P11" i="6"/>
  <c r="AF11" i="6"/>
  <c r="AH11" i="6"/>
  <c r="L11" i="6"/>
  <c r="Z11" i="6"/>
  <c r="Z36" i="6"/>
  <c r="J36" i="6"/>
  <c r="X36" i="6"/>
  <c r="V36" i="6"/>
  <c r="AL36" i="6"/>
  <c r="AJ36" i="6"/>
  <c r="P36" i="6"/>
  <c r="AF36" i="6"/>
  <c r="AH36" i="6"/>
  <c r="L36" i="6"/>
  <c r="Z13" i="6"/>
  <c r="X13" i="6"/>
  <c r="V13" i="6"/>
  <c r="AL13" i="6"/>
  <c r="AJ13" i="6"/>
  <c r="P13" i="6"/>
  <c r="L13" i="6"/>
  <c r="AF13" i="6"/>
  <c r="J13" i="6"/>
  <c r="AH13" i="6"/>
  <c r="N19" i="6"/>
  <c r="N26" i="6"/>
  <c r="T45" i="6"/>
  <c r="N44" i="7"/>
  <c r="AD19" i="6"/>
  <c r="N44" i="6"/>
  <c r="N18" i="6"/>
  <c r="N30" i="6"/>
  <c r="AD45" i="6"/>
  <c r="AJ42" i="6"/>
  <c r="P42" i="6"/>
  <c r="V42" i="6"/>
  <c r="AH42" i="6"/>
  <c r="L42" i="6"/>
  <c r="AF42" i="6"/>
  <c r="J42" i="6"/>
  <c r="AL42" i="6"/>
  <c r="Z42" i="6"/>
  <c r="X42" i="6"/>
  <c r="N11" i="6"/>
  <c r="T38" i="7"/>
  <c r="N36" i="6"/>
  <c r="N13" i="6"/>
  <c r="AF38" i="6"/>
  <c r="J38" i="6"/>
  <c r="Z38" i="6"/>
  <c r="X38" i="6"/>
  <c r="V38" i="6"/>
  <c r="AL38" i="6"/>
  <c r="L38" i="6"/>
  <c r="AJ38" i="6"/>
  <c r="P38" i="6"/>
  <c r="AH38" i="6"/>
  <c r="T33" i="6"/>
  <c r="AD30" i="6"/>
  <c r="AH16" i="6"/>
  <c r="L16" i="6"/>
  <c r="AF16" i="6"/>
  <c r="J16" i="6"/>
  <c r="AJ16" i="6"/>
  <c r="Z16" i="6"/>
  <c r="P16" i="6"/>
  <c r="X16" i="6"/>
  <c r="AL16" i="6"/>
  <c r="V16" i="6"/>
  <c r="T43" i="6"/>
  <c r="AD31" i="6"/>
  <c r="T23" i="7"/>
  <c r="N42" i="6"/>
  <c r="X23" i="6"/>
  <c r="V23" i="6"/>
  <c r="J23" i="6"/>
  <c r="AL23" i="6"/>
  <c r="AJ23" i="6"/>
  <c r="P23" i="6"/>
  <c r="AF23" i="6"/>
  <c r="AH23" i="6"/>
  <c r="L23" i="6"/>
  <c r="Z23" i="6"/>
  <c r="AD11" i="6"/>
  <c r="Z25" i="6"/>
  <c r="AH25" i="6"/>
  <c r="X25" i="6"/>
  <c r="V25" i="6"/>
  <c r="G25" i="6"/>
  <c r="AL25" i="6"/>
  <c r="L25" i="6"/>
  <c r="AJ25" i="6"/>
  <c r="P25" i="6"/>
  <c r="AF25" i="6"/>
  <c r="J25" i="6"/>
  <c r="AD39" i="7"/>
  <c r="N38" i="6"/>
  <c r="T44" i="7"/>
  <c r="N16" i="6"/>
  <c r="T31" i="6"/>
  <c r="AD41" i="6"/>
  <c r="V21" i="6"/>
  <c r="AL21" i="6"/>
  <c r="AJ21" i="6"/>
  <c r="P21" i="6"/>
  <c r="AH21" i="6"/>
  <c r="L21" i="6"/>
  <c r="AF21" i="6"/>
  <c r="J21" i="6"/>
  <c r="X21" i="6"/>
  <c r="Z21" i="6"/>
  <c r="N29" i="6"/>
  <c r="T39" i="7"/>
  <c r="AJ43" i="6"/>
  <c r="P43" i="6"/>
  <c r="AH43" i="6"/>
  <c r="L43" i="6"/>
  <c r="AF43" i="6"/>
  <c r="J43" i="6"/>
  <c r="X43" i="6"/>
  <c r="Z43" i="6"/>
  <c r="AL43" i="6"/>
  <c r="V43" i="6"/>
  <c r="AD23" i="6"/>
  <c r="V42" i="7"/>
  <c r="P42" i="7"/>
  <c r="AL42" i="7"/>
  <c r="Z42" i="7"/>
  <c r="AJ42" i="7"/>
  <c r="L42" i="7"/>
  <c r="AH42" i="7"/>
  <c r="J42" i="7"/>
  <c r="AF42" i="7"/>
  <c r="X42" i="7"/>
  <c r="AD13" i="6"/>
  <c r="Z41" i="7"/>
  <c r="X41" i="7"/>
  <c r="AH41" i="7"/>
  <c r="J41" i="7"/>
  <c r="V41" i="7"/>
  <c r="AF41" i="7"/>
  <c r="P41" i="7"/>
  <c r="AL41" i="7"/>
  <c r="AJ41" i="7"/>
  <c r="L41" i="7"/>
  <c r="AH28" i="6"/>
  <c r="L28" i="6"/>
  <c r="AF28" i="6"/>
  <c r="J28" i="6"/>
  <c r="P28" i="6"/>
  <c r="Z28" i="6"/>
  <c r="X28" i="6"/>
  <c r="AJ28" i="6"/>
  <c r="V28" i="6"/>
  <c r="AL28" i="6"/>
  <c r="T19" i="6"/>
  <c r="AD38" i="7"/>
  <c r="AF27" i="6"/>
  <c r="J27" i="6"/>
  <c r="Z27" i="6"/>
  <c r="X27" i="6"/>
  <c r="AJ27" i="6"/>
  <c r="V27" i="6"/>
  <c r="P27" i="6"/>
  <c r="AL27" i="6"/>
  <c r="AH27" i="6"/>
  <c r="L27" i="6"/>
  <c r="AD22" i="6"/>
  <c r="T18" i="6"/>
  <c r="T16" i="7"/>
  <c r="V9" i="6"/>
  <c r="AL9" i="6"/>
  <c r="Z9" i="6"/>
  <c r="AJ9" i="6"/>
  <c r="P9" i="6"/>
  <c r="AH9" i="6"/>
  <c r="L9" i="6"/>
  <c r="AD9" i="6"/>
  <c r="AF9" i="6"/>
  <c r="J9" i="6"/>
  <c r="X9" i="6"/>
  <c r="AD42" i="6"/>
  <c r="T14" i="6"/>
  <c r="N43" i="6"/>
  <c r="J35" i="6"/>
  <c r="X35" i="6"/>
  <c r="V35" i="6"/>
  <c r="AF35" i="6"/>
  <c r="AL35" i="6"/>
  <c r="AJ35" i="6"/>
  <c r="P35" i="6"/>
  <c r="AH35" i="6"/>
  <c r="L35" i="6"/>
  <c r="Z35" i="6"/>
  <c r="AD35" i="6"/>
  <c r="N42" i="7"/>
  <c r="Z37" i="6"/>
  <c r="X37" i="6"/>
  <c r="V37" i="6"/>
  <c r="AL37" i="6"/>
  <c r="AJ37" i="6"/>
  <c r="P37" i="6"/>
  <c r="AH37" i="6"/>
  <c r="AF37" i="6"/>
  <c r="J37" i="6"/>
  <c r="L37" i="6"/>
  <c r="AD25" i="6"/>
  <c r="AF15" i="6"/>
  <c r="J15" i="6"/>
  <c r="P15" i="6"/>
  <c r="Z15" i="6"/>
  <c r="X15" i="6"/>
  <c r="AJ15" i="6"/>
  <c r="V15" i="6"/>
  <c r="AL15" i="6"/>
  <c r="AH15" i="6"/>
  <c r="L15" i="6"/>
  <c r="N41" i="7"/>
  <c r="N28" i="6"/>
  <c r="AH17" i="6"/>
  <c r="L17" i="6"/>
  <c r="AF17" i="6"/>
  <c r="J17" i="6"/>
  <c r="Z17" i="6"/>
  <c r="AL17" i="6"/>
  <c r="X17" i="6"/>
  <c r="AJ17" i="6"/>
  <c r="P17" i="6"/>
  <c r="V17" i="6"/>
  <c r="T16" i="6"/>
  <c r="T28" i="6"/>
  <c r="V20" i="6"/>
  <c r="AL20" i="6"/>
  <c r="X20" i="6"/>
  <c r="AJ20" i="6"/>
  <c r="P20" i="6"/>
  <c r="AH20" i="6"/>
  <c r="L20" i="6"/>
  <c r="AF20" i="6"/>
  <c r="J20" i="6"/>
  <c r="Z20" i="6"/>
  <c r="N9" i="6"/>
  <c r="P43" i="7"/>
  <c r="AL43" i="7"/>
  <c r="AJ43" i="7"/>
  <c r="L43" i="7"/>
  <c r="AH43" i="7"/>
  <c r="J43" i="7"/>
  <c r="AF43" i="7"/>
  <c r="V43" i="7"/>
  <c r="Z43" i="7"/>
  <c r="X43" i="7"/>
  <c r="X10" i="6"/>
  <c r="V10" i="6"/>
  <c r="AL10" i="6"/>
  <c r="Z10" i="6"/>
  <c r="AJ10" i="6"/>
  <c r="P10" i="6"/>
  <c r="AH10" i="6"/>
  <c r="L10" i="6"/>
  <c r="AF10" i="6"/>
  <c r="J10" i="6"/>
  <c r="AD40" i="7"/>
  <c r="N35" i="6"/>
  <c r="T36" i="6"/>
  <c r="N37" i="6"/>
  <c r="AD37" i="6"/>
  <c r="Z45" i="7"/>
  <c r="X45" i="7"/>
  <c r="AF45" i="7"/>
  <c r="V45" i="7"/>
  <c r="P45" i="7"/>
  <c r="AL45" i="7"/>
  <c r="AJ45" i="7"/>
  <c r="L45" i="7"/>
  <c r="AH45" i="7"/>
  <c r="J45" i="7"/>
  <c r="N15" i="6"/>
  <c r="T40" i="7"/>
  <c r="AH40" i="6"/>
  <c r="L40" i="6"/>
  <c r="AF40" i="6"/>
  <c r="J40" i="6"/>
  <c r="Z40" i="6"/>
  <c r="AJ40" i="6"/>
  <c r="P40" i="6"/>
  <c r="X40" i="6"/>
  <c r="V40" i="6"/>
  <c r="AL40" i="6"/>
  <c r="N17" i="6"/>
  <c r="V8" i="6"/>
  <c r="AL8" i="6"/>
  <c r="AJ8" i="6"/>
  <c r="P8" i="6"/>
  <c r="AH8" i="6"/>
  <c r="L8" i="6"/>
  <c r="X8" i="6"/>
  <c r="AF8" i="6"/>
  <c r="J8" i="6"/>
  <c r="Z8" i="6"/>
  <c r="AD44" i="7"/>
  <c r="AD35" i="7"/>
  <c r="AD28" i="7"/>
  <c r="T35" i="7"/>
  <c r="T28" i="7"/>
  <c r="AD13" i="7"/>
  <c r="N14" i="7"/>
  <c r="N17" i="7"/>
  <c r="N15" i="7"/>
  <c r="AD34" i="7"/>
  <c r="AD11" i="7"/>
  <c r="N13" i="7"/>
  <c r="AD14" i="7"/>
  <c r="N11" i="7"/>
  <c r="AL20" i="7"/>
  <c r="V20" i="7"/>
  <c r="AJ20" i="7"/>
  <c r="L20" i="7"/>
  <c r="AH20" i="7"/>
  <c r="Z20" i="7"/>
  <c r="J20" i="7"/>
  <c r="AF20" i="7"/>
  <c r="X20" i="7"/>
  <c r="P20" i="7"/>
  <c r="AL12" i="7"/>
  <c r="V12" i="7"/>
  <c r="AJ12" i="7"/>
  <c r="L12" i="7"/>
  <c r="AH12" i="7"/>
  <c r="Z12" i="7"/>
  <c r="J12" i="7"/>
  <c r="X12" i="7"/>
  <c r="AF12" i="7"/>
  <c r="P12" i="7"/>
  <c r="AF32" i="7"/>
  <c r="X32" i="7"/>
  <c r="P32" i="7"/>
  <c r="G32" i="7"/>
  <c r="AL32" i="7"/>
  <c r="V32" i="7"/>
  <c r="AJ32" i="7"/>
  <c r="L32" i="7"/>
  <c r="AH32" i="7"/>
  <c r="Z32" i="7"/>
  <c r="J32" i="7"/>
  <c r="AF37" i="7"/>
  <c r="X37" i="7"/>
  <c r="J37" i="7"/>
  <c r="AL37" i="7"/>
  <c r="V37" i="7"/>
  <c r="P37" i="7"/>
  <c r="AJ37" i="7"/>
  <c r="AH37" i="7"/>
  <c r="Z37" i="7"/>
  <c r="L37" i="7"/>
  <c r="AD37" i="7"/>
  <c r="T36" i="7"/>
  <c r="T32" i="7"/>
  <c r="AF30" i="7"/>
  <c r="X30" i="7"/>
  <c r="J30" i="7"/>
  <c r="AL30" i="7"/>
  <c r="V30" i="7"/>
  <c r="P30" i="7"/>
  <c r="AJ30" i="7"/>
  <c r="T30" i="7"/>
  <c r="AH30" i="7"/>
  <c r="Z30" i="7"/>
  <c r="L30" i="7"/>
  <c r="AH22" i="7"/>
  <c r="Z22" i="7"/>
  <c r="J22" i="7"/>
  <c r="AF22" i="7"/>
  <c r="X22" i="7"/>
  <c r="P22" i="7"/>
  <c r="AL22" i="7"/>
  <c r="V22" i="7"/>
  <c r="AJ22" i="7"/>
  <c r="L22" i="7"/>
  <c r="AH18" i="7"/>
  <c r="Z18" i="7"/>
  <c r="J18" i="7"/>
  <c r="AF18" i="7"/>
  <c r="X18" i="7"/>
  <c r="P18" i="7"/>
  <c r="G18" i="7"/>
  <c r="AL18" i="7"/>
  <c r="V18" i="7"/>
  <c r="AJ18" i="7"/>
  <c r="L18" i="7"/>
  <c r="AJ27" i="7"/>
  <c r="L27" i="7"/>
  <c r="AH27" i="7"/>
  <c r="Z27" i="7"/>
  <c r="J27" i="7"/>
  <c r="AF27" i="7"/>
  <c r="X27" i="7"/>
  <c r="P27" i="7"/>
  <c r="AL27" i="7"/>
  <c r="V27" i="7"/>
  <c r="AH25" i="7"/>
  <c r="L25" i="7"/>
  <c r="AF25" i="7"/>
  <c r="Z25" i="7"/>
  <c r="J25" i="7"/>
  <c r="AL25" i="7"/>
  <c r="X25" i="7"/>
  <c r="P25" i="7"/>
  <c r="G25" i="7"/>
  <c r="AJ25" i="7"/>
  <c r="V25" i="7"/>
  <c r="T9" i="7"/>
  <c r="T37" i="7"/>
  <c r="T8" i="7"/>
  <c r="T27" i="7"/>
  <c r="AD24" i="7"/>
  <c r="AD20" i="7"/>
  <c r="AD12" i="7"/>
  <c r="AD32" i="7"/>
  <c r="T20" i="7"/>
  <c r="T12" i="7"/>
  <c r="AD33" i="7"/>
  <c r="N30" i="7"/>
  <c r="N22" i="7"/>
  <c r="N18" i="7"/>
  <c r="N27" i="7"/>
  <c r="N25" i="7"/>
  <c r="T22" i="7"/>
  <c r="T18" i="7"/>
  <c r="AL24" i="7"/>
  <c r="V24" i="7"/>
  <c r="AJ24" i="7"/>
  <c r="L24" i="7"/>
  <c r="AH24" i="7"/>
  <c r="Z24" i="7"/>
  <c r="J24" i="7"/>
  <c r="AF24" i="7"/>
  <c r="X24" i="7"/>
  <c r="P24" i="7"/>
  <c r="AF36" i="7"/>
  <c r="X36" i="7"/>
  <c r="P36" i="7"/>
  <c r="AL36" i="7"/>
  <c r="V36" i="7"/>
  <c r="AJ36" i="7"/>
  <c r="L36" i="7"/>
  <c r="AH36" i="7"/>
  <c r="Z36" i="7"/>
  <c r="J36" i="7"/>
  <c r="AF29" i="7"/>
  <c r="X29" i="7"/>
  <c r="P29" i="7"/>
  <c r="AL29" i="7"/>
  <c r="V29" i="7"/>
  <c r="AJ29" i="7"/>
  <c r="L29" i="7"/>
  <c r="AH29" i="7"/>
  <c r="Z29" i="7"/>
  <c r="J29" i="7"/>
  <c r="AH33" i="7"/>
  <c r="Z33" i="7"/>
  <c r="J33" i="7"/>
  <c r="AF33" i="7"/>
  <c r="X33" i="7"/>
  <c r="P33" i="7"/>
  <c r="AL33" i="7"/>
  <c r="V33" i="7"/>
  <c r="AJ33" i="7"/>
  <c r="L33" i="7"/>
  <c r="AH31" i="7"/>
  <c r="Z31" i="7"/>
  <c r="J31" i="7"/>
  <c r="AF31" i="7"/>
  <c r="X31" i="7"/>
  <c r="P31" i="7"/>
  <c r="AL31" i="7"/>
  <c r="V31" i="7"/>
  <c r="AJ31" i="7"/>
  <c r="L31" i="7"/>
  <c r="T29" i="7"/>
  <c r="T31" i="7"/>
  <c r="AL10" i="7"/>
  <c r="V10" i="7"/>
  <c r="AJ10" i="7"/>
  <c r="L10" i="7"/>
  <c r="AH10" i="7"/>
  <c r="Z10" i="7"/>
  <c r="J10" i="7"/>
  <c r="AF10" i="7"/>
  <c r="X10" i="7"/>
  <c r="P10" i="7"/>
  <c r="T10" i="7"/>
  <c r="AH8" i="7"/>
  <c r="Z8" i="7"/>
  <c r="J8" i="7"/>
  <c r="AF8" i="7"/>
  <c r="X8" i="7"/>
  <c r="P8" i="7"/>
  <c r="AL8" i="7"/>
  <c r="V8" i="7"/>
  <c r="AJ8" i="7"/>
  <c r="L8" i="7"/>
  <c r="AJ9" i="7"/>
  <c r="L9" i="7"/>
  <c r="AH9" i="7"/>
  <c r="Z9" i="7"/>
  <c r="J9" i="7"/>
  <c r="AF9" i="7"/>
  <c r="X9" i="7"/>
  <c r="P9" i="7"/>
  <c r="AL9" i="7"/>
  <c r="V9" i="7"/>
  <c r="AL35" i="7"/>
  <c r="V35" i="7"/>
  <c r="AJ35" i="7"/>
  <c r="L35" i="7"/>
  <c r="AH35" i="7"/>
  <c r="Z35" i="7"/>
  <c r="J35" i="7"/>
  <c r="AF35" i="7"/>
  <c r="X35" i="7"/>
  <c r="P35" i="7"/>
  <c r="AL28" i="7"/>
  <c r="V28" i="7"/>
  <c r="AJ28" i="7"/>
  <c r="L28" i="7"/>
  <c r="AH28" i="7"/>
  <c r="Z28" i="7"/>
  <c r="J28" i="7"/>
  <c r="AF28" i="7"/>
  <c r="X28" i="7"/>
  <c r="P28" i="7"/>
  <c r="N24" i="7"/>
  <c r="N20" i="7"/>
  <c r="N12" i="7"/>
  <c r="N36" i="7"/>
  <c r="N32" i="7"/>
  <c r="N29" i="7"/>
  <c r="AF21" i="7"/>
  <c r="X21" i="7"/>
  <c r="P21" i="7"/>
  <c r="AL21" i="7"/>
  <c r="V21" i="7"/>
  <c r="AJ21" i="7"/>
  <c r="L21" i="7"/>
  <c r="AH21" i="7"/>
  <c r="Z21" i="7"/>
  <c r="J21" i="7"/>
  <c r="AF13" i="7"/>
  <c r="X13" i="7"/>
  <c r="P13" i="7"/>
  <c r="AL13" i="7"/>
  <c r="V13" i="7"/>
  <c r="AJ13" i="7"/>
  <c r="L13" i="7"/>
  <c r="AH13" i="7"/>
  <c r="Z13" i="7"/>
  <c r="J13" i="7"/>
  <c r="N37" i="7"/>
  <c r="N33" i="7"/>
  <c r="N31" i="7"/>
  <c r="AD22" i="7"/>
  <c r="AD18" i="7"/>
  <c r="AH14" i="7"/>
  <c r="Z14" i="7"/>
  <c r="J14" i="7"/>
  <c r="AF14" i="7"/>
  <c r="X14" i="7"/>
  <c r="P14" i="7"/>
  <c r="AL14" i="7"/>
  <c r="V14" i="7"/>
  <c r="AJ14" i="7"/>
  <c r="L14" i="7"/>
  <c r="AJ34" i="7"/>
  <c r="L34" i="7"/>
  <c r="AH34" i="7"/>
  <c r="Z34" i="7"/>
  <c r="J34" i="7"/>
  <c r="AF34" i="7"/>
  <c r="X34" i="7"/>
  <c r="P34" i="7"/>
  <c r="AL34" i="7"/>
  <c r="V34" i="7"/>
  <c r="AD27" i="7"/>
  <c r="AJ23" i="7"/>
  <c r="L23" i="7"/>
  <c r="AH23" i="7"/>
  <c r="Z23" i="7"/>
  <c r="J23" i="7"/>
  <c r="AF23" i="7"/>
  <c r="X23" i="7"/>
  <c r="P23" i="7"/>
  <c r="AL23" i="7"/>
  <c r="V23" i="7"/>
  <c r="AJ19" i="7"/>
  <c r="L19" i="7"/>
  <c r="AH19" i="7"/>
  <c r="Z19" i="7"/>
  <c r="J19" i="7"/>
  <c r="AF19" i="7"/>
  <c r="X19" i="7"/>
  <c r="P19" i="7"/>
  <c r="AL19" i="7"/>
  <c r="V19" i="7"/>
  <c r="AJ17" i="7"/>
  <c r="L17" i="7"/>
  <c r="AH17" i="7"/>
  <c r="Z17" i="7"/>
  <c r="J17" i="7"/>
  <c r="AF17" i="7"/>
  <c r="X17" i="7"/>
  <c r="P17" i="7"/>
  <c r="AL17" i="7"/>
  <c r="V17" i="7"/>
  <c r="AH15" i="7"/>
  <c r="L15" i="7"/>
  <c r="AF15" i="7"/>
  <c r="Z15" i="7"/>
  <c r="J15" i="7"/>
  <c r="AL15" i="7"/>
  <c r="X15" i="7"/>
  <c r="P15" i="7"/>
  <c r="AJ15" i="7"/>
  <c r="V15" i="7"/>
  <c r="AJ11" i="7"/>
  <c r="V11" i="7"/>
  <c r="AL11" i="7"/>
  <c r="L11" i="7"/>
  <c r="AH11" i="7"/>
  <c r="Z11" i="7"/>
  <c r="J11" i="7"/>
  <c r="AF11" i="7"/>
  <c r="X11" i="7"/>
  <c r="P11" i="7"/>
  <c r="G11" i="7"/>
  <c r="N10" i="7"/>
  <c r="AD25" i="7"/>
  <c r="N8" i="7"/>
  <c r="N9" i="7"/>
  <c r="AD7" i="7"/>
  <c r="V7" i="7"/>
  <c r="N7" i="7"/>
  <c r="T7" i="7"/>
  <c r="AB7" i="7"/>
  <c r="Z7" i="7"/>
  <c r="R7" i="7"/>
  <c r="X7" i="7"/>
  <c r="P7" i="7"/>
  <c r="L7" i="7"/>
  <c r="J7" i="7"/>
  <c r="G7" i="7"/>
  <c r="AL7" i="7"/>
  <c r="AJ7" i="7"/>
  <c r="AH7" i="7"/>
  <c r="AF7" i="7"/>
  <c r="H7" i="7"/>
  <c r="G7" i="6"/>
  <c r="AH7" i="6"/>
  <c r="V7" i="6"/>
  <c r="AF7" i="6"/>
  <c r="P7" i="6"/>
  <c r="AL7" i="6"/>
  <c r="Z7" i="6"/>
  <c r="H7" i="6"/>
  <c r="AJ7" i="6"/>
  <c r="X7" i="6"/>
  <c r="N7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9" i="13" l="1"/>
  <c r="E9" i="13"/>
  <c r="D11" i="13"/>
  <c r="E11" i="13"/>
  <c r="C24" i="39"/>
  <c r="E15" i="13"/>
  <c r="C24" i="13"/>
  <c r="B7" i="13"/>
  <c r="E7" i="13" s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I21" i="13"/>
  <c r="K21" i="13" s="1"/>
  <c r="I18" i="13"/>
  <c r="K18" i="13" s="1"/>
  <c r="I15" i="13"/>
  <c r="I17" i="13"/>
  <c r="K17" i="13" s="1"/>
  <c r="I19" i="13"/>
  <c r="K19" i="13" s="1"/>
  <c r="I22" i="13"/>
  <c r="K22" i="13" s="1"/>
  <c r="I16" i="13"/>
  <c r="K16" i="13" s="1"/>
  <c r="D7" i="13"/>
  <c r="I20" i="13"/>
  <c r="K20" i="13" s="1"/>
  <c r="I23" i="13"/>
  <c r="K23" i="13" s="1"/>
  <c r="X28" i="1"/>
  <c r="V28" i="1" s="1"/>
  <c r="D9" i="1"/>
  <c r="D11" i="1"/>
  <c r="O14" i="1"/>
  <c r="X42" i="1"/>
  <c r="V42" i="1" s="1"/>
  <c r="U14" i="1"/>
  <c r="K15" i="13" l="1"/>
  <c r="I2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<sst xmlns="http://schemas.openxmlformats.org/spreadsheetml/2006/main" count="8094" uniqueCount="667">
  <si>
    <t>月別</t>
    <phoneticPr fontId="6"/>
  </si>
  <si>
    <t>工廠名</t>
    <phoneticPr fontId="6"/>
  </si>
  <si>
    <t>・・・・・・・・</t>
  </si>
  <si>
    <t>（１）收支狀況</t>
    <phoneticPr fontId="6"/>
  </si>
  <si>
    <t>※單位：千元</t>
    <phoneticPr fontId="6"/>
  </si>
  <si>
    <t>（２）ＫＰＩ達成進度</t>
    <phoneticPr fontId="6"/>
  </si>
  <si>
    <t>（３）業績構成比</t>
    <phoneticPr fontId="6"/>
  </si>
  <si>
    <t>（４）訂單數量構成比</t>
    <phoneticPr fontId="6"/>
  </si>
  <si>
    <t>當月</t>
    <phoneticPr fontId="6"/>
  </si>
  <si>
    <t>前月</t>
  </si>
  <si>
    <t>差異</t>
  </si>
  <si>
    <t>累計</t>
  </si>
  <si>
    <t>KPI</t>
    <phoneticPr fontId="6"/>
  </si>
  <si>
    <t>前月</t>
    <phoneticPr fontId="6"/>
  </si>
  <si>
    <t>※補充</t>
    <phoneticPr fontId="6"/>
  </si>
  <si>
    <t>比例</t>
    <phoneticPr fontId="6"/>
  </si>
  <si>
    <t>差異</t>
    <phoneticPr fontId="6"/>
  </si>
  <si>
    <t>業績金額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</si>
  <si>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</si>
  <si>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6"/>
  </si>
  <si>
    <t>飯糰</t>
    <phoneticPr fontId="6"/>
  </si>
  <si>
    <t>訂單數量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</si>
  <si>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6"/>
  </si>
  <si>
    <t>達成率</t>
  </si>
  <si>
    <t>大口飯糰</t>
    <phoneticPr fontId="6"/>
  </si>
  <si>
    <t>材料費</t>
  </si>
  <si>
    <t>半成品報廢</t>
    <phoneticPr fontId="6"/>
  </si>
  <si>
    <t>報廢率</t>
    <phoneticPr fontId="6"/>
  </si>
  <si>
    <t>便當</t>
    <phoneticPr fontId="6"/>
  </si>
  <si>
    <t>材料費率</t>
  </si>
  <si>
    <t>半成品超用</t>
    <phoneticPr fontId="6"/>
  </si>
  <si>
    <t>超用率</t>
    <phoneticPr fontId="6"/>
  </si>
  <si>
    <t>調理麵</t>
    <phoneticPr fontId="6"/>
  </si>
  <si>
    <t>勞務成本</t>
    <phoneticPr fontId="6"/>
  </si>
  <si>
    <t>固定產線</t>
    <phoneticPr fontId="6"/>
  </si>
  <si>
    <t>導入率</t>
  </si>
  <si>
    <t>調理麵包</t>
    <phoneticPr fontId="6"/>
  </si>
  <si>
    <t>-</t>
  </si>
  <si>
    <t>-%</t>
  </si>
  <si>
    <t>勞務費率</t>
    <phoneticPr fontId="6"/>
  </si>
  <si>
    <t>教育訓練</t>
    <phoneticPr fontId="6"/>
  </si>
  <si>
    <t>實施率</t>
    <phoneticPr fontId="6"/>
  </si>
  <si>
    <t>袋裝調理麵包</t>
    <phoneticPr fontId="6"/>
  </si>
  <si>
    <t>義大利麵</t>
    <phoneticPr fontId="6"/>
  </si>
  <si>
    <t>（５）品群別人時生產性</t>
    <phoneticPr fontId="6"/>
  </si>
  <si>
    <t>調理包</t>
    <phoneticPr fontId="6"/>
  </si>
  <si>
    <t>（７）原因別分析</t>
    <phoneticPr fontId="6"/>
  </si>
  <si>
    <t>合計</t>
  </si>
  <si>
    <t>作業原因</t>
    <phoneticPr fontId="6"/>
  </si>
  <si>
    <t>規格原因</t>
    <phoneticPr fontId="6"/>
  </si>
  <si>
    <t>金額</t>
  </si>
  <si>
    <t>（６）人時生產性前幾名品項</t>
    <phoneticPr fontId="6"/>
  </si>
  <si>
    <t>排名</t>
    <phoneticPr fontId="6"/>
  </si>
  <si>
    <t>商品名</t>
  </si>
  <si>
    <t>人數</t>
    <phoneticPr fontId="6"/>
  </si>
  <si>
    <t>產能</t>
    <phoneticPr fontId="6"/>
  </si>
  <si>
    <t>人時生產性</t>
    <phoneticPr fontId="6"/>
  </si>
  <si>
    <t>前月比</t>
  </si>
  <si>
    <t>主要原因&amp;對策</t>
    <phoneticPr fontId="6"/>
  </si>
  <si>
    <t>（８）報廢原因別前幾名品項</t>
    <phoneticPr fontId="6"/>
  </si>
  <si>
    <t>手巻明太子</t>
  </si>
  <si>
    <t>減少暫時停止生產,人時UP</t>
    <phoneticPr fontId="6"/>
  </si>
  <si>
    <t>半成品名</t>
    <phoneticPr fontId="6"/>
  </si>
  <si>
    <t>單價</t>
    <phoneticPr fontId="6"/>
  </si>
  <si>
    <t>數量</t>
    <phoneticPr fontId="6"/>
  </si>
  <si>
    <t>明太子海苔便當</t>
    <phoneticPr fontId="6"/>
  </si>
  <si>
    <t>油炸白身魚</t>
    <phoneticPr fontId="6"/>
  </si>
  <si>
    <t>油調過多報廢。變更條件。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</si>
  <si>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6"/>
  </si>
  <si>
    <t>手巻卵黄雞絞肉</t>
    <phoneticPr fontId="6"/>
  </si>
  <si>
    <t>6/30新商品</t>
  </si>
  <si>
    <t>因組裝2食材,人員增加,產速減少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</si>
  <si>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6"/>
  </si>
  <si>
    <t>前幾名合計比例</t>
    <phoneticPr fontId="6"/>
  </si>
  <si>
    <t>前幾名合計金額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</si>
  <si>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6"/>
  </si>
  <si>
    <t>海老炒飯</t>
  </si>
  <si>
    <t>川燙蝦子拌醬</t>
    <phoneticPr fontId="6"/>
  </si>
  <si>
    <t>蝦子入數不足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</si>
  <si>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</si>
  <si>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6"/>
  </si>
  <si>
    <t>直巻明太子美奶茲</t>
    <phoneticPr fontId="6"/>
  </si>
  <si>
    <t>透由調整速度提升。</t>
    <phoneticPr fontId="6"/>
  </si>
  <si>
    <t>特製醬汁炙燒牛五花便當</t>
    <phoneticPr fontId="6"/>
  </si>
  <si>
    <t>牛五花醬汁</t>
    <phoneticPr fontId="6"/>
  </si>
  <si>
    <t>難度有差異。調理指導。</t>
    <phoneticPr fontId="6"/>
  </si>
  <si>
    <t>大口飯糰燒肉美奶滋</t>
    <phoneticPr fontId="6"/>
  </si>
  <si>
    <t>因摺疊增員。實施教育訓練。</t>
    <phoneticPr fontId="6"/>
  </si>
  <si>
    <t>牛五花燒成</t>
    <phoneticPr fontId="6"/>
  </si>
  <si>
    <t>因原料變更。</t>
    <phoneticPr fontId="6"/>
  </si>
  <si>
    <t>指導鋪開炒柴魚片</t>
    <phoneticPr fontId="6"/>
  </si>
  <si>
    <t>（９）歩留</t>
  </si>
  <si>
    <t>肉狀態不良，已連動開發</t>
    <phoneticPr fontId="6"/>
  </si>
  <si>
    <t>No.</t>
  </si>
  <si>
    <t>規格</t>
  </si>
  <si>
    <t>實績</t>
    <phoneticPr fontId="6"/>
  </si>
  <si>
    <t>主要原因&amp;對策</t>
  </si>
  <si>
    <t>燒成過多，調整調理條件。</t>
    <phoneticPr fontId="6"/>
  </si>
  <si>
    <t>大口飯糰三種起司午餐肉</t>
    <phoneticPr fontId="6"/>
  </si>
  <si>
    <t>３種起司燒成</t>
    <phoneticPr fontId="6"/>
  </si>
  <si>
    <t>與燒成範本不同。</t>
    <phoneticPr fontId="6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</si>
  <si>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9" type="noConversion"/>
  </si>
  <si>
    <t>工廠</t>
    <phoneticPr fontId="6"/>
  </si>
  <si>
    <t>晉欣廠</t>
    <phoneticPr fontId="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</si>
  <si>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6"/>
  </si>
  <si>
    <t>項目</t>
    <phoneticPr fontId="9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</si>
  <si>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</si>
  <si>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個／MH</t>
    <phoneticPr fontId="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</si>
  <si>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</si>
  <si>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半成品-報廢(%)</t>
    <phoneticPr fontId="6"/>
  </si>
  <si>
    <t>半成品-超用(%)</t>
    <phoneticPr fontId="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</si>
  <si>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</si>
  <si>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6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</si>
  <si>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9" type="noConversion"/>
  </si>
  <si>
    <t>18℃-飯A15:A23糰(061,063)</t>
  </si>
  <si>
    <t>18℃-壽司手卷(071,072,075,076)</t>
    <phoneticPr fontId="9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</si>
  <si>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9" type="noConversion"/>
  </si>
  <si>
    <t>4℃-飯糰(065)</t>
  </si>
  <si>
    <t>4℃-壽司手卷(077)</t>
    <phoneticPr fontId="9" type="noConversion"/>
  </si>
  <si>
    <t>4℃-壽司手卷(077)</t>
  </si>
  <si>
    <t>主食(091,092,093,094,095)</t>
    <phoneticPr fontId="9" type="noConversion"/>
  </si>
  <si>
    <t>主食(091,092,093,094,095)</t>
  </si>
  <si>
    <t>便當(083)</t>
    <phoneticPr fontId="9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</si>
  <si>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</si>
  <si>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9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</si>
  <si>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</si>
  <si>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9" type="noConversion"/>
  </si>
  <si>
    <t>季節調理麵(111,112)</t>
  </si>
  <si>
    <t>微波小吃(153,154,155)</t>
    <phoneticPr fontId="9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</si>
  <si>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</si>
  <si>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</si>
  <si>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品群</t>
    <phoneticPr fontId="6"/>
  </si>
  <si>
    <t>18℃-壽司手卷(071,072,075,076)</t>
  </si>
  <si>
    <t>週別</t>
    <phoneticPr fontId="9" type="noConversion"/>
  </si>
  <si>
    <t>W5</t>
    <phoneticPr fontId="9" type="noConversion"/>
  </si>
  <si>
    <t>當週</t>
    <phoneticPr fontId="6"/>
  </si>
  <si>
    <t>前週</t>
    <phoneticPr fontId="9" type="noConversion"/>
  </si>
  <si>
    <t>當週</t>
  </si>
  <si>
    <t>前週</t>
  </si>
  <si>
    <t>前週</t>
    <phoneticPr fontId="6"/>
  </si>
  <si>
    <t>18℃-飯糰(061,063)</t>
  </si>
  <si>
    <t>累計</t>
    <phoneticPr fontId="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</si>
  <si>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</si>
  <si>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</si>
  <si>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9" type="noConversion"/>
  </si>
  <si>
    <t>日期</t>
    <phoneticPr fontId="9" type="noConversion"/>
  </si>
  <si>
    <t>營業額(元)</t>
    <phoneticPr fontId="9" type="noConversion"/>
  </si>
  <si>
    <t>訂單數量(個)</t>
    <phoneticPr fontId="9" type="noConversion"/>
  </si>
  <si>
    <t>材料費(元)</t>
    <phoneticPr fontId="9" type="noConversion"/>
  </si>
  <si>
    <t>材料費率（材料費／營業額）</t>
    <phoneticPr fontId="9" type="noConversion"/>
  </si>
  <si>
    <t>勞務成本（全廠人事成本）</t>
    <phoneticPr fontId="9" type="noConversion"/>
  </si>
  <si>
    <t>勞務費率（勞務成本／營業額）</t>
    <phoneticPr fontId="9" type="noConversion"/>
  </si>
  <si>
    <t>日</t>
    <phoneticPr fontId="9" type="noConversion"/>
  </si>
  <si>
    <t>週累積</t>
    <phoneticPr fontId="9" type="noConversion"/>
  </si>
  <si>
    <t>月累積</t>
    <phoneticPr fontId="9" type="noConversion"/>
  </si>
  <si>
    <t>八</t>
    <phoneticPr fontId="9" type="noConversion"/>
  </si>
  <si>
    <t>五</t>
    <phoneticPr fontId="9" type="noConversion"/>
  </si>
  <si>
    <t>六</t>
    <phoneticPr fontId="9" type="noConversion"/>
  </si>
  <si>
    <t>一</t>
    <phoneticPr fontId="9" type="noConversion"/>
  </si>
  <si>
    <t>二</t>
    <phoneticPr fontId="9" type="noConversion"/>
  </si>
  <si>
    <t>三</t>
    <phoneticPr fontId="9" type="noConversion"/>
  </si>
  <si>
    <t>四</t>
    <phoneticPr fontId="9" type="noConversion"/>
  </si>
  <si>
    <t>KPI</t>
    <phoneticPr fontId="9" type="noConversion"/>
  </si>
  <si>
    <t>（２）ＫＰＩ達成進度</t>
    <phoneticPr fontId="9" type="noConversion"/>
  </si>
  <si>
    <t xml:space="preserve">人時生產性(個/人) </t>
  </si>
  <si>
    <t xml:space="preserve">人時生產性達成率(%) </t>
  </si>
  <si>
    <t xml:space="preserve">半成品報廢(%) </t>
    <phoneticPr fontId="9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</si>
  <si>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</si>
  <si>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</si>
  <si>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</si>
  <si>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9" type="noConversion"/>
  </si>
  <si>
    <t>月平均</t>
    <phoneticPr fontId="9" type="noConversion"/>
  </si>
  <si>
    <t>（3）業績構成比</t>
    <phoneticPr fontId="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</si>
  <si>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9" type="noConversion"/>
  </si>
  <si>
    <t>營業額</t>
    <phoneticPr fontId="9" type="noConversion"/>
  </si>
  <si>
    <t>品類業績</t>
    <phoneticPr fontId="9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</si>
  <si>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</si>
  <si>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</si>
  <si>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</si>
  <si>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9" type="noConversion"/>
  </si>
  <si>
    <t>主食</t>
    <phoneticPr fontId="9" type="noConversion"/>
  </si>
  <si>
    <t>便當</t>
    <phoneticPr fontId="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</si>
  <si>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</si>
  <si>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</si>
  <si>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t>微波小吃</t>
    <phoneticPr fontId="9" type="noConversion"/>
  </si>
  <si>
    <t>一配</t>
    <phoneticPr fontId="9" type="noConversion"/>
  </si>
  <si>
    <t>二配</t>
    <phoneticPr fontId="9" type="noConversion"/>
  </si>
  <si>
    <t>合計</t>
    <phoneticPr fontId="9" type="noConversion"/>
  </si>
  <si>
    <t>業績(元)</t>
    <phoneticPr fontId="9" type="noConversion"/>
  </si>
  <si>
    <t>比例(%)</t>
    <phoneticPr fontId="9" type="noConversion"/>
  </si>
  <si>
    <t>（4）訂單數量構成比</t>
    <phoneticPr fontId="9" type="noConversion"/>
  </si>
  <si>
    <t>訂單量</t>
    <phoneticPr fontId="9" type="noConversion"/>
  </si>
  <si>
    <t>品類訂單量</t>
    <phoneticPr fontId="9" type="noConversion"/>
  </si>
  <si>
    <t>訂單數</t>
    <phoneticPr fontId="9" type="noConversion"/>
  </si>
  <si>
    <t>月平均人時性</t>
    <phoneticPr fontId="9" type="noConversion"/>
  </si>
  <si>
    <t>產線配置圖－每週更新</t>
    <phoneticPr fontId="9" type="noConversion"/>
  </si>
  <si>
    <t>資料繳交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</si>
  <si>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</si>
  <si>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</si>
  <si>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</si>
  <si>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</si>
  <si>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</si>
  <si>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</si>
  <si>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</si>
  <si>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</si>
  <si>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</si>
  <si>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</si>
  <si>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</si>
  <si>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</si>
  <si>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</si>
  <si>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18℃-飯糰</t>
  </si>
  <si>
    <t>經典肉鬆飯糰</t>
  </si>
  <si>
    <t>蔬食鮪魚飯糰</t>
  </si>
  <si>
    <t>北海道秋鮭親子飯糰</t>
  </si>
  <si>
    <t>熟成紅鮭飯糰</t>
  </si>
  <si>
    <t>鮪魚飯糰</t>
  </si>
  <si>
    <t>贅沢鮭魚肚飯糰</t>
  </si>
  <si>
    <t>海老天婦羅飯糰</t>
  </si>
  <si>
    <t>壹號醬炙烤牛飯糰</t>
  </si>
  <si>
    <t>明太子龍蝦風味沙拉飯糰</t>
  </si>
  <si>
    <t>鹽蔥燒肉飯糰</t>
  </si>
  <si>
    <t>泰式酸辣雞絲飯糰(區)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</si>
  <si>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</si>
  <si>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</si>
  <si>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</si>
  <si>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</si>
  <si>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</si>
  <si>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</si>
  <si>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</si>
  <si>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二配大飯糰椒香鮪魚</t>
  </si>
  <si>
    <t>二配油蔥G絲飯糰</t>
  </si>
  <si>
    <t>胡麻鮮蔬雞絲飯糰(區)</t>
  </si>
  <si>
    <t>哇沙米魚卵沙拉飯糰</t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</si>
  <si>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</si>
  <si>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</si>
  <si>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</si>
  <si>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</si>
  <si>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</si>
  <si>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</si>
  <si>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</si>
  <si>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</si>
  <si>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</si>
  <si>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新之助の豆皮壽司喔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</si>
  <si>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</si>
  <si>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麻油雞飯糰</t>
  </si>
  <si>
    <t>鮭魚炙燒明太子烤飯糰</t>
  </si>
  <si>
    <t>淡麗清酒蒸蛤蜊烤飯糰</t>
  </si>
  <si>
    <t>大口金黃薯牛堡飯糰</t>
  </si>
  <si>
    <t>大口日式塔塔醬蝦排飯糰</t>
  </si>
  <si>
    <t>大口麻婆豆腐飯糰</t>
  </si>
  <si>
    <t>大口歐風焙煎咖哩漢堡排飯糰</t>
  </si>
  <si>
    <t>大口蒜味香腸燒肉雙拼飯糰</t>
  </si>
  <si>
    <t>大口花椒香麻雞飯糰</t>
  </si>
  <si>
    <t>大口義式香草雞腿排飯糰</t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</si>
  <si>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</si>
  <si>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</si>
  <si>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日式明太子炙烤牛飯卷</t>
  </si>
  <si>
    <t>鮪魚蛋蛋稻荷壽司組</t>
  </si>
  <si>
    <t>(隨)優質池上飯</t>
  </si>
  <si>
    <t>優質池上飯</t>
  </si>
  <si>
    <t>日式中濃醬炭火漢堡排飯</t>
  </si>
  <si>
    <t>蒜蒜燒豚飯</t>
  </si>
  <si>
    <t>壽喜燒牛丼</t>
  </si>
  <si>
    <t>二配薯勾以蛋包飯</t>
  </si>
  <si>
    <t>二配鐵板蘑菇肉醬起司焗飯</t>
  </si>
  <si>
    <t>二配粗飽系雞排炒飯</t>
  </si>
  <si>
    <t>二配三杯海瓜子好下飯</t>
  </si>
  <si>
    <t>二配哞哞培根奶香海陸焗飯</t>
  </si>
  <si>
    <t>二配黃金雞排蘑菇白醬歐姆蛋飯</t>
  </si>
  <si>
    <t>二配里肌豬排可可咖哩歐姆蛋飯</t>
  </si>
  <si>
    <t>二配香拌海鮮醬肉絲蛋炒飯</t>
  </si>
  <si>
    <t>二配香辣醬蒜味香腸蛋炒飯</t>
  </si>
  <si>
    <t>紅燒纖牛若風味燴飯</t>
  </si>
  <si>
    <t>極上炙烤親子丼</t>
  </si>
  <si>
    <t>鐵板滑蛋炸豬排丼</t>
  </si>
  <si>
    <t>二配煸椒烘蛋飯</t>
  </si>
  <si>
    <t>二配黑胡椒素豬若飯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</si>
  <si>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</si>
  <si>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</si>
  <si>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</si>
  <si>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</si>
  <si>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二配極旨黑咖哩漢堡排飯</t>
  </si>
  <si>
    <t>二配美味蟹煲</t>
  </si>
  <si>
    <t>多穀紫米飯</t>
  </si>
  <si>
    <t>柚見極炙烤牛</t>
  </si>
  <si>
    <t>姨次滿足熟成牛豚雙拼</t>
  </si>
  <si>
    <t>壹號醬雞豚雙拼</t>
  </si>
  <si>
    <t>嘉義劉里長雞肉飯</t>
  </si>
  <si>
    <t>金門高粱香腸腿排便當</t>
  </si>
  <si>
    <t>韓味豬肉時蔬拌拌餐盒</t>
  </si>
  <si>
    <t>嫩烤香料雞胸排蔬滿盒</t>
  </si>
  <si>
    <t>新招牌腿排便當</t>
  </si>
  <si>
    <t>經典滷肉飯</t>
  </si>
  <si>
    <t>一口滷魂便當</t>
  </si>
  <si>
    <t>壹號醬醬燒蔥鹽雞豚飯</t>
  </si>
  <si>
    <t>悟家厚切排骨便當</t>
  </si>
  <si>
    <t>美式雞丁餐盒</t>
  </si>
  <si>
    <t>健身G肉餐盒</t>
  </si>
  <si>
    <t>烤蛋白餐盒</t>
  </si>
  <si>
    <t>熱食義麵</t>
    <phoneticPr fontId="9" type="noConversion"/>
  </si>
  <si>
    <t>沙茶豬肉炒麵</t>
  </si>
  <si>
    <t>秘傳醬汁日式炒麵</t>
  </si>
  <si>
    <t>青花椒麻雞肉拌麵</t>
  </si>
  <si>
    <t>府城鹽水意麵</t>
  </si>
  <si>
    <t>辣腐乳麻醬豬肉拌麵</t>
  </si>
  <si>
    <t>滿滿杏鮑菇三杯拌麵</t>
  </si>
  <si>
    <t>老北京風味炸醬麵</t>
  </si>
  <si>
    <t>鍋燒意麵</t>
  </si>
  <si>
    <t>炙烤燒肉拌麵</t>
  </si>
  <si>
    <t>春日部防衛隊的咖哩炒麵</t>
  </si>
  <si>
    <t>蕃茄起司手工千層麵(區)</t>
  </si>
  <si>
    <t>季節調理麵</t>
    <phoneticPr fontId="9" type="noConversion"/>
  </si>
  <si>
    <t>柚香海藻冷麵</t>
  </si>
  <si>
    <t>金門高粱酒雞絲涼麵</t>
  </si>
  <si>
    <t>椒麻香蔥雞涼拌麵</t>
  </si>
  <si>
    <t>台式麻醬涼麵</t>
  </si>
  <si>
    <t>日式蕎麥沾麵</t>
  </si>
  <si>
    <t>大滿足香辣涼麵</t>
  </si>
  <si>
    <t>大滿足麻醬涼麵</t>
  </si>
  <si>
    <t>日式擔擔冷麵</t>
  </si>
  <si>
    <t>日式胡麻雞絲冷麵</t>
  </si>
  <si>
    <t>糖燻豬耳絲</t>
  </si>
  <si>
    <t>韓式蒜味炸雞</t>
  </si>
  <si>
    <t>香辣醬粉絲煲</t>
  </si>
  <si>
    <t>摩登燒</t>
  </si>
  <si>
    <t>古早味炒炊粉</t>
  </si>
  <si>
    <t>燻之味-糖燻雞胗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</si>
  <si>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</si>
  <si>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9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</si>
  <si>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</si>
  <si>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</si>
  <si>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</si>
  <si>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</si>
  <si>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</si>
  <si>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</si>
  <si>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</si>
  <si>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</si>
  <si>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</si>
  <si>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</si>
  <si>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</si>
  <si>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</si>
  <si>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－</t>
    <phoneticPr fontId="9" type="noConversion"/>
  </si>
  <si>
    <t>▲</t>
  </si>
  <si>
    <r>
      <t>鹽</t>
    </r>
    <r>
      <rPr>
        <sz val="10"/>
        <color theme="1"/>
        <rFont val="細明體"/>
        <family val="3"/>
        <charset val="136"/>
      </rPr>
      <t>蔥</t>
    </r>
    <r>
      <rPr>
        <sz val="10"/>
        <color theme="1"/>
        <rFont val="Meiryo UI"/>
        <family val="2"/>
      </rPr>
      <t>燒肉飯</t>
    </r>
    <r>
      <rPr>
        <sz val="10"/>
        <color theme="1"/>
        <rFont val="細明體"/>
        <family val="3"/>
        <charset val="136"/>
      </rPr>
      <t>糰下架</t>
    </r>
    <phoneticPr fontId="9" type="noConversion"/>
  </si>
  <si>
    <t>▼1</t>
    <phoneticPr fontId="6"/>
  </si>
  <si>
    <t>▼2</t>
    <phoneticPr fontId="6"/>
  </si>
  <si>
    <t>▼3</t>
    <phoneticPr fontId="6"/>
  </si>
  <si>
    <t>雙料作業需較多人力，以致尾數幾名為雙料飯糰居多。</t>
    <phoneticPr fontId="9" type="noConversion"/>
  </si>
  <si>
    <t>▼4</t>
    <phoneticPr fontId="6"/>
  </si>
  <si>
    <t>▼5</t>
    <phoneticPr fontId="6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</si>
  <si>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9" type="noConversion"/>
  </si>
  <si>
    <t>▼</t>
    <phoneticPr fontId="9" type="noConversion"/>
  </si>
  <si>
    <t>新品上市一周，熟悉度增加，作業順暢</t>
    <phoneticPr fontId="9" type="noConversion"/>
  </si>
  <si>
    <t>訂單量減少</t>
    <phoneticPr fontId="9" type="noConversion"/>
  </si>
  <si>
    <t>4℃-飯糰</t>
  </si>
  <si>
    <t>鮭魚炙燒明太子烤飯糰</t>
    <phoneticPr fontId="9" type="noConversion"/>
  </si>
  <si>
    <t>▲</t>
    <phoneticPr fontId="9" type="noConversion"/>
  </si>
  <si>
    <t>烤飯糰包裝作業產力/產能平均，差別在於訂單量，訂單量越少，人時生產性越低</t>
    <phoneticPr fontId="9" type="noConversion"/>
  </si>
  <si>
    <t>淡麗清酒蒸蛤蜊烤飯糰</t>
    <phoneticPr fontId="9" type="noConversion"/>
  </si>
  <si>
    <t>糖燻野郎起司炙燒牛烤飯糰</t>
    <phoneticPr fontId="9" type="noConversion"/>
  </si>
  <si>
    <t>大口義式香草雞腿排飯糰</t>
    <phoneticPr fontId="9" type="noConversion"/>
  </si>
  <si>
    <t>－</t>
  </si>
  <si>
    <t>大口花椒香麻雞飯糰</t>
    <phoneticPr fontId="9" type="noConversion"/>
  </si>
  <si>
    <t>麻油雞飯糰</t>
    <phoneticPr fontId="9" type="noConversion"/>
  </si>
  <si>
    <t>大口蒜味香腸燒肉雙拼飯糰</t>
    <phoneticPr fontId="9" type="noConversion"/>
  </si>
  <si>
    <t>大口金黃薯牛堡飯糰</t>
    <phoneticPr fontId="9" type="noConversion"/>
  </si>
  <si>
    <t>大口日式塔塔醬蝦排飯糰</t>
    <phoneticPr fontId="9" type="noConversion"/>
  </si>
  <si>
    <t>大口歐風焙煎咖哩漢堡排飯糰</t>
    <phoneticPr fontId="9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</si>
  <si>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9" type="noConversion"/>
  </si>
  <si>
    <r>
      <t>賣相需求，將肉片鋪平，</t>
    </r>
    <r>
      <rPr>
        <sz val="6"/>
        <color theme="1"/>
        <rFont val="細明體"/>
        <family val="3"/>
        <charset val="136"/>
      </rPr>
      <t>減少露白飯，</t>
    </r>
    <r>
      <rPr>
        <sz val="6"/>
        <color theme="1"/>
        <rFont val="Meiryo UI"/>
        <family val="2"/>
      </rPr>
      <t>較費時</t>
    </r>
    <r>
      <rPr>
        <sz val="6"/>
        <color theme="1"/>
        <rFont val="細明體"/>
        <family val="3"/>
        <charset val="136"/>
      </rPr>
      <t>費工</t>
    </r>
    <phoneticPr fontId="9" type="noConversion"/>
  </si>
  <si>
    <t>產品下架</t>
    <phoneticPr fontId="9" type="noConversion"/>
  </si>
  <si>
    <t>訓練人員雙手放料，尚未熟悉</t>
    <phoneticPr fontId="9" type="noConversion"/>
  </si>
  <si>
    <t>熱食義麵</t>
  </si>
  <si>
    <t>調理製程，生產組裝工序少，人時性高</t>
    <phoneticPr fontId="9" type="noConversion"/>
  </si>
  <si>
    <t>商品下架</t>
    <phoneticPr fontId="9" type="noConversion"/>
  </si>
  <si>
    <t>人員鋪麵技能練習</t>
    <phoneticPr fontId="9" type="noConversion"/>
  </si>
  <si>
    <t>賣相要求，肉片需鋪平，人時性較低。</t>
    <phoneticPr fontId="9" type="noConversion"/>
  </si>
  <si>
    <t>季節調理麵</t>
  </si>
  <si>
    <t>2段式作業，人數需求多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</si>
  <si>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9" type="noConversion"/>
  </si>
  <si>
    <t>業績金額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</si>
  <si>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</si>
  <si>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</si>
  <si>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</si>
  <si>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</si>
  <si>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</si>
  <si>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</si>
  <si>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</si>
  <si>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</si>
  <si>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</si>
  <si>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</si>
  <si>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</si>
  <si>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</si>
  <si>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</si>
  <si>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原因別分析(8/26-8/31)</t>
    </r>
    <phoneticPr fontId="9" type="noConversion"/>
  </si>
  <si>
    <t>（８）報廢原因別前幾名品項</t>
    <phoneticPr fontId="9" type="noConversion"/>
  </si>
  <si>
    <t>類型</t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</si>
  <si>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</si>
  <si>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</si>
  <si>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t>前週比</t>
  </si>
  <si>
    <t>展開量高於１０5％</t>
    <phoneticPr fontId="9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</si>
  <si>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9" type="noConversion"/>
  </si>
  <si>
    <t>炙烤牛五花(飯卷)</t>
  </si>
  <si>
    <t>反應調配課級，追蹤三天備料狀況</t>
    <phoneticPr fontId="9" type="noConversion"/>
  </si>
  <si>
    <t>二配炒洋菇片</t>
  </si>
  <si>
    <t>二配炒解凍11N培根片</t>
  </si>
  <si>
    <t>二配烤鹹蛋黃碎</t>
  </si>
  <si>
    <t>自製蒜味奶油</t>
  </si>
  <si>
    <t>製程不穩</t>
    <phoneticPr fontId="9" type="noConversion"/>
  </si>
  <si>
    <t>二配川燙醃嫩化淨零碳排牛肉片</t>
  </si>
  <si>
    <t>確認備料是否正確，重新計算製成率範圍，調整出料率</t>
  </si>
  <si>
    <t>炒咖哩洋蔥蕃茄丁</t>
  </si>
  <si>
    <t>(V)煮素三杯湯凍</t>
  </si>
  <si>
    <t>(V)川燙切片高麗菜</t>
  </si>
  <si>
    <t>炒扁魚紅K白菜</t>
  </si>
  <si>
    <t>確認備料是否正確，重新計算製成率範圍，調整出料率</t>
    <phoneticPr fontId="9" type="noConversion"/>
  </si>
  <si>
    <t>抓樣不穩</t>
  </si>
  <si>
    <t>共用類</t>
  </si>
  <si>
    <t>切-炙燒炭火燒肉片</t>
  </si>
  <si>
    <t>二配北海道秋鮭親子飯糰</t>
  </si>
  <si>
    <t>二配113年拌鮭魚沙拉</t>
  </si>
  <si>
    <t>連續式生產用量較難掌握</t>
    <phoneticPr fontId="9" type="noConversion"/>
  </si>
  <si>
    <t>(V)炒三杯杏鮑菇片</t>
  </si>
  <si>
    <t>增加線上抽秤頻率</t>
    <phoneticPr fontId="9" type="noConversion"/>
  </si>
  <si>
    <t>川燙毛豆玉米</t>
  </si>
  <si>
    <t>小黃瓜絲</t>
  </si>
  <si>
    <t>原物料規格</t>
  </si>
  <si>
    <t>蒸鼎泰豐香辣醬</t>
  </si>
  <si>
    <t>不拆包加熱</t>
    <phoneticPr fontId="9" type="noConversion"/>
  </si>
  <si>
    <t>川燙青花菜</t>
  </si>
  <si>
    <t>原物料青花菜大小差異</t>
    <phoneticPr fontId="9" type="noConversion"/>
  </si>
  <si>
    <t>炙烤雞腿丁(113年)</t>
  </si>
  <si>
    <t>腿肉丁大小差異</t>
    <phoneticPr fontId="9" type="noConversion"/>
  </si>
  <si>
    <t>二配辛口咖哩豬肉(112年)</t>
  </si>
  <si>
    <t>二配果香甘口咖哩腿丁</t>
  </si>
  <si>
    <t>研發設定</t>
  </si>
  <si>
    <t>18切烤千層麵</t>
  </si>
  <si>
    <t>製程報廢</t>
    <phoneticPr fontId="9" type="noConversion"/>
  </si>
  <si>
    <t>切-鹽烤牛肉</t>
  </si>
  <si>
    <t>調整分切長度，減少使用片數。降低超用，調整出料率</t>
    <phoneticPr fontId="9" type="noConversion"/>
  </si>
  <si>
    <t>切-究極燒肉片</t>
  </si>
  <si>
    <t>切-蒸滷牛腱</t>
  </si>
  <si>
    <t>其他原因</t>
    <phoneticPr fontId="9" type="noConversion"/>
  </si>
  <si>
    <t>二配海鮮醬炒飯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</si>
  <si>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9" type="noConversion"/>
  </si>
  <si>
    <t>原料原因</t>
    <phoneticPr fontId="6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</si>
  <si>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</si>
  <si>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</si>
  <si>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</si>
  <si>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</si>
  <si>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9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</si>
  <si>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9" type="noConversion"/>
  </si>
  <si>
    <t>次數</t>
    <phoneticPr fontId="9" type="noConversion"/>
  </si>
  <si>
    <t>備註-商品名稱</t>
  </si>
  <si>
    <t>分析原因（件）</t>
    <phoneticPr fontId="9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</si>
  <si>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</si>
  <si>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</si>
  <si>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</si>
  <si>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</si>
  <si>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</si>
  <si>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9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</si>
  <si>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</si>
  <si>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</si>
  <si>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</si>
  <si>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</si>
  <si>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</si>
  <si>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9" type="noConversion"/>
  </si>
  <si>
    <t>補單
(kg)</t>
  </si>
  <si>
    <t>補單占比</t>
    <phoneticPr fontId="9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</si>
  <si>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</si>
  <si>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</si>
  <si>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</si>
  <si>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</si>
  <si>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</si>
  <si>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</si>
  <si>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9" type="noConversion"/>
  </si>
  <si>
    <t>展開量105%</t>
    <phoneticPr fontId="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</si>
  <si>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9" type="noConversion"/>
  </si>
  <si>
    <t>抓樣不穩</t>
    <phoneticPr fontId="9" type="noConversion"/>
  </si>
  <si>
    <t>原物料規格</t>
    <phoneticPr fontId="9" type="noConversion"/>
  </si>
  <si>
    <t>研發設定</t>
    <phoneticPr fontId="9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</si>
  <si>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9" type="noConversion"/>
  </si>
  <si>
    <t>二配蒸海鮮醬(料)</t>
  </si>
  <si>
    <t>生產課</t>
  </si>
  <si>
    <t>w1</t>
    <phoneticPr fontId="9" type="noConversion"/>
  </si>
  <si>
    <t>炒辣腐乳五花肉片</t>
  </si>
  <si>
    <t>其他</t>
  </si>
  <si>
    <t>113年拌鮭魚沙拉</t>
  </si>
  <si>
    <t>w2</t>
  </si>
  <si>
    <t>切蒸前腿肉</t>
  </si>
  <si>
    <t>其他原因</t>
  </si>
  <si>
    <t>蒸手撕雞</t>
  </si>
  <si>
    <t>w3</t>
  </si>
  <si>
    <t>果香壹號醬</t>
  </si>
  <si>
    <t>調配課</t>
  </si>
  <si>
    <t>調理多產</t>
  </si>
  <si>
    <t>w4</t>
  </si>
  <si>
    <t>切-開丼碳香燒肉片</t>
  </si>
  <si>
    <t>w5</t>
  </si>
  <si>
    <t>二配三杯海瓜子</t>
  </si>
  <si>
    <t>製程不穩</t>
  </si>
  <si>
    <t>月合計</t>
    <phoneticPr fontId="9" type="noConversion"/>
  </si>
  <si>
    <t>二配(V)炒素雞肉絲</t>
  </si>
  <si>
    <t>炒老北京風味肉燥</t>
  </si>
  <si>
    <t>二配蒸鼎泰豐香辣醬</t>
  </si>
  <si>
    <t>二配川燙辣椒圓片</t>
  </si>
  <si>
    <t>二配(V)川燙切片高麗菜</t>
  </si>
  <si>
    <t>切烤雞胸肉</t>
  </si>
  <si>
    <t>粉絲煲湯凍</t>
  </si>
  <si>
    <t>二配濃辛辣咖哩醬</t>
  </si>
  <si>
    <t>二配油亮蒜味香腸片</t>
  </si>
  <si>
    <t>煮辣腐乳醬</t>
  </si>
  <si>
    <t>(V)川燙油菜(調理麵)</t>
  </si>
  <si>
    <t>二配拌海鮮總匯沙拉</t>
  </si>
  <si>
    <t>準備課</t>
  </si>
  <si>
    <t>二配雙饗雙手卷</t>
  </si>
  <si>
    <t>(V)114蔬食鮪魚</t>
  </si>
  <si>
    <t>拌細卷鮪魚沙拉</t>
  </si>
  <si>
    <t>炒辣椒圓片(111)</t>
  </si>
  <si>
    <t>川味秋木耳</t>
  </si>
  <si>
    <t>(V)炒辣椒圓片</t>
  </si>
  <si>
    <t>切-烤台式肉片</t>
  </si>
  <si>
    <t>二配歐姆蛋(111年版)</t>
  </si>
  <si>
    <t>雞肉飯醬汁(113年)</t>
  </si>
  <si>
    <t>二配蘑菇湯凍</t>
  </si>
  <si>
    <t>二配鼎泰豐-煮麻婆豆腐(113年)</t>
  </si>
  <si>
    <t>二配(V)川燙油菜</t>
  </si>
  <si>
    <t>二配焗飯-奶香白醬(114年)</t>
  </si>
  <si>
    <t>二配歐姆蛋-黑咖哩醬</t>
  </si>
  <si>
    <t>薑炒筍尾</t>
  </si>
  <si>
    <t>二配180切-蒸家常豆腐</t>
  </si>
  <si>
    <t>清炒高麗菜</t>
  </si>
  <si>
    <t>烤和牛(飯糰)</t>
  </si>
  <si>
    <t>霜降和牛飯糰</t>
  </si>
  <si>
    <t>日式烤洋蔥絲(114年)</t>
  </si>
  <si>
    <t>炒秘傳油麵</t>
  </si>
  <si>
    <t>112年炒金鉤蝦肉燥</t>
  </si>
  <si>
    <t>哇沙米香鬆</t>
  </si>
  <si>
    <t>二配蒸-全熟雞肉絲CL(升)</t>
  </si>
  <si>
    <t>二配雞肉飯飯糰</t>
  </si>
  <si>
    <t>二配蒸蛤蜊-肉</t>
  </si>
  <si>
    <t>蒸-醬香雞肉絲CL(全)</t>
  </si>
  <si>
    <t>川燙小黃瓜絲</t>
  </si>
  <si>
    <t>二配果香甘口咖哩醬</t>
  </si>
  <si>
    <t>炒秘傳前腿肉片</t>
  </si>
  <si>
    <t>炒擔擔肉燥</t>
  </si>
  <si>
    <t>拌紅蔥手撕雞</t>
  </si>
  <si>
    <t>二配洋蔥壹號醬</t>
  </si>
  <si>
    <t>二配壹號醬炙烤牛飯糰</t>
  </si>
  <si>
    <t>炒韓式洋蔥高麗菜</t>
  </si>
  <si>
    <t>占比</t>
    <phoneticPr fontId="9" type="noConversion"/>
  </si>
  <si>
    <t>炙烤銀鮭魚肚</t>
  </si>
  <si>
    <t>金額</t>
    <phoneticPr fontId="9" type="noConversion"/>
  </si>
  <si>
    <t>烤BBQ雞丁(112年)</t>
  </si>
  <si>
    <t>二配112炒高級芝麻肉鬆</t>
  </si>
  <si>
    <t>二配經典肉鬆飯糰</t>
  </si>
  <si>
    <t>二配川燙青紅辣椒圓片</t>
  </si>
  <si>
    <t>二配油亮後腿肉絲</t>
  </si>
  <si>
    <t>炒沙茶醬</t>
  </si>
  <si>
    <t>二配烤韓式雞肉</t>
  </si>
  <si>
    <t>112年拌鹽烤豬肉片</t>
  </si>
  <si>
    <t>拌明太子醬</t>
  </si>
  <si>
    <t>展開量高於１０5％</t>
  </si>
  <si>
    <t>炒咖哩腿肉丁</t>
  </si>
  <si>
    <t>二配拌韓式炸雞</t>
  </si>
  <si>
    <t>清洗蔥花</t>
  </si>
  <si>
    <t>日式牛培根</t>
  </si>
  <si>
    <t>60切-烤蔬菜焗蛋</t>
  </si>
  <si>
    <t>113年炒沙茶豬肉片</t>
  </si>
  <si>
    <t>二配炙燒韓式牛五花</t>
  </si>
  <si>
    <t>蒸全熟雞肉片CL</t>
  </si>
  <si>
    <t>炒調味鮮蔬</t>
  </si>
  <si>
    <t>二配雞排蛋炒飯</t>
  </si>
  <si>
    <t>煮意麵肉燥</t>
  </si>
  <si>
    <t>煮老北京風味炸醬湯凍</t>
  </si>
  <si>
    <t>辣炒酸菜絲</t>
  </si>
  <si>
    <t>煮浪花涼麵(112年)</t>
  </si>
  <si>
    <t>親子丼-滑蛋(114年)</t>
  </si>
  <si>
    <t>113年煮義式洋蔥</t>
  </si>
  <si>
    <t>拌鮭魚碎肉</t>
  </si>
  <si>
    <t>(SOHOT)蒜炒紅K高麗菜</t>
  </si>
  <si>
    <t>拌焦糖鮭魚沙拉</t>
  </si>
  <si>
    <t>拌魚卵沙拉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</si>
  <si>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</si>
  <si>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t>清洗紅藻</t>
  </si>
  <si>
    <t>柴魚片</t>
  </si>
  <si>
    <t>二配蒸珍珍蟹味絲CL</t>
  </si>
  <si>
    <t>炙燒韓式牛五花</t>
  </si>
  <si>
    <t>解凍-醬油漬鮭魚卵</t>
  </si>
  <si>
    <t>二配解凍-醬油漬鮭魚卵</t>
  </si>
  <si>
    <t>二配拌雙魚沙拉</t>
  </si>
  <si>
    <t>二配海饌雙手卷</t>
  </si>
  <si>
    <t>二配112年拌鮪魚沙拉</t>
  </si>
  <si>
    <t>二配鮪魚飯糰</t>
  </si>
  <si>
    <t>川燙青紅辣椒圓片</t>
  </si>
  <si>
    <t>蒸珍珍蟹味絲CL</t>
  </si>
  <si>
    <t>展開量105%</t>
  </si>
  <si>
    <t>炒解凍11N培根片</t>
  </si>
  <si>
    <t>摩登燒(區)</t>
  </si>
  <si>
    <t>針辣椒絲</t>
  </si>
  <si>
    <t>拌胡麻雞絲</t>
  </si>
  <si>
    <t>鮮食品群番</t>
    <phoneticPr fontId="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</si>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</sst>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0,000&quot;個&quot;"/>
  </numFmts>
  <fonts count="8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theme="1"/>
      <name val="Meiryo UI"/>
      <family val="2"/>
    </font>
    <font>
      <sz val="8.5"/>
      <color theme="1"/>
      <name val="細明體"/>
      <family val="3"/>
      <charset val="136"/>
    </font>
    <font>
      <sz val="6"/>
      <color theme="1"/>
      <name val="Meiryo UI"/>
      <family val="2"/>
    </font>
    <font>
      <sz val="6"/>
      <color theme="1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5">
    <xf numFmtId="0" fontId="0" fillId="0" borderId="0"/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0" fillId="0" borderId="0"/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76" fillId="0" borderId="0" applyFont="0" applyFill="0" applyBorder="0" applyAlignment="0" applyProtection="0">
      <alignment vertical="center"/>
    </xf>
  </cellStyleXfs>
  <cellXfs count="558">
    <xf numFmtId="0" fontId="0" fillId="0" borderId="0" xfId="0"/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3" fontId="3" fillId="0" borderId="1" xfId="0" applyNumberFormat="1" applyFont="1" applyBorder="1" applyAlignment="1">
      <alignment shrinkToFit="1"/>
    </xf>
    <xf numFmtId="3" fontId="3" fillId="3" borderId="1" xfId="0" applyNumberFormat="1" applyFont="1" applyFill="1" applyBorder="1" applyAlignment="1">
      <alignment shrinkToFit="1"/>
    </xf>
    <xf numFmtId="4" fontId="3" fillId="0" borderId="1" xfId="0" applyNumberFormat="1" applyFont="1" applyBorder="1" applyAlignment="1">
      <alignment horizontal="right" shrinkToFit="1"/>
    </xf>
    <xf numFmtId="10" fontId="3" fillId="2" borderId="1" xfId="0" applyNumberFormat="1" applyFont="1" applyFill="1" applyBorder="1" applyAlignment="1">
      <alignment horizontal="right" shrinkToFit="1"/>
    </xf>
    <xf numFmtId="10" fontId="3" fillId="3" borderId="1" xfId="0" applyNumberFormat="1" applyFont="1" applyFill="1" applyBorder="1" applyAlignment="1">
      <alignment shrinkToFit="1"/>
    </xf>
    <xf numFmtId="10" fontId="3" fillId="0" borderId="1" xfId="0" applyNumberFormat="1" applyFont="1" applyBorder="1" applyAlignment="1">
      <alignment shrinkToFit="1"/>
    </xf>
    <xf numFmtId="10" fontId="4" fillId="0" borderId="0" xfId="0" applyNumberFormat="1" applyFont="1" applyAlignment="1">
      <alignment shrinkToFit="1"/>
    </xf>
    <xf numFmtId="0" fontId="3" fillId="3" borderId="1" xfId="0" applyFont="1" applyFill="1" applyBorder="1" applyAlignment="1">
      <alignment shrinkToFit="1"/>
    </xf>
    <xf numFmtId="4" fontId="3" fillId="0" borderId="1" xfId="0" applyNumberFormat="1" applyFont="1" applyBorder="1" applyAlignment="1">
      <alignment shrinkToFit="1"/>
    </xf>
    <xf numFmtId="0" fontId="4" fillId="2" borderId="5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2" borderId="6" xfId="0" applyFont="1" applyFill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3" fillId="0" borderId="3" xfId="0" applyFont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4" fillId="0" borderId="8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8" xfId="0" applyFont="1" applyBorder="1" applyAlignment="1">
      <alignment shrinkToFit="1"/>
    </xf>
    <xf numFmtId="10" fontId="3" fillId="0" borderId="5" xfId="0" applyNumberFormat="1" applyFont="1" applyBorder="1" applyAlignment="1">
      <alignment shrinkToFit="1"/>
    </xf>
    <xf numFmtId="0" fontId="3" fillId="3" borderId="5" xfId="0" applyFont="1" applyFill="1" applyBorder="1" applyAlignment="1">
      <alignment shrinkToFit="1"/>
    </xf>
    <xf numFmtId="0" fontId="3" fillId="2" borderId="15" xfId="0" applyFont="1" applyFill="1" applyBorder="1" applyAlignment="1">
      <alignment shrinkToFit="1"/>
    </xf>
    <xf numFmtId="10" fontId="3" fillId="3" borderId="17" xfId="0" applyNumberFormat="1" applyFont="1" applyFill="1" applyBorder="1" applyAlignment="1">
      <alignment shrinkToFit="1"/>
    </xf>
    <xf numFmtId="0" fontId="3" fillId="3" borderId="18" xfId="0" applyFont="1" applyFill="1" applyBorder="1" applyAlignment="1">
      <alignment shrinkToFit="1"/>
    </xf>
    <xf numFmtId="0" fontId="3" fillId="0" borderId="6" xfId="0" applyFont="1" applyBorder="1" applyAlignment="1">
      <alignment shrinkToFit="1"/>
    </xf>
    <xf numFmtId="10" fontId="3" fillId="0" borderId="6" xfId="0" applyNumberFormat="1" applyFont="1" applyBorder="1" applyAlignment="1">
      <alignment shrinkToFit="1"/>
    </xf>
    <xf numFmtId="0" fontId="3" fillId="3" borderId="6" xfId="0" applyFont="1" applyFill="1" applyBorder="1" applyAlignment="1">
      <alignment shrinkToFit="1"/>
    </xf>
    <xf numFmtId="10" fontId="3" fillId="0" borderId="0" xfId="0" applyNumberFormat="1" applyFont="1" applyAlignment="1">
      <alignment shrinkToFit="1"/>
    </xf>
    <xf numFmtId="10" fontId="3" fillId="2" borderId="1" xfId="0" applyNumberFormat="1" applyFont="1" applyFill="1" applyBorder="1" applyAlignment="1">
      <alignment shrinkToFit="1"/>
    </xf>
    <xf numFmtId="0" fontId="3" fillId="3" borderId="7" xfId="0" applyFont="1" applyFill="1" applyBorder="1" applyAlignment="1">
      <alignment shrinkToFit="1"/>
    </xf>
    <xf numFmtId="10" fontId="3" fillId="3" borderId="5" xfId="0" applyNumberFormat="1" applyFont="1" applyFill="1" applyBorder="1" applyAlignment="1">
      <alignment shrinkToFit="1"/>
    </xf>
    <xf numFmtId="0" fontId="3" fillId="0" borderId="11" xfId="0" applyFont="1" applyBorder="1" applyAlignment="1">
      <alignment shrinkToFit="1"/>
    </xf>
    <xf numFmtId="10" fontId="3" fillId="0" borderId="14" xfId="0" applyNumberFormat="1" applyFont="1" applyBorder="1" applyAlignment="1">
      <alignment shrinkToFit="1"/>
    </xf>
    <xf numFmtId="10" fontId="3" fillId="3" borderId="14" xfId="0" applyNumberFormat="1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7" fillId="0" borderId="1" xfId="0" applyFont="1" applyBorder="1" applyAlignment="1">
      <alignment shrinkToFit="1"/>
    </xf>
    <xf numFmtId="0" fontId="7" fillId="2" borderId="1" xfId="0" applyFont="1" applyFill="1" applyBorder="1" applyAlignment="1">
      <alignment horizontal="left" shrinkToFit="1"/>
    </xf>
    <xf numFmtId="0" fontId="8" fillId="2" borderId="1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3" fillId="2" borderId="22" xfId="0" applyFont="1" applyFill="1" applyBorder="1" applyAlignment="1">
      <alignment shrinkToFit="1"/>
    </xf>
    <xf numFmtId="0" fontId="3" fillId="2" borderId="23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16" xfId="0" applyFont="1" applyFill="1" applyBorder="1" applyAlignment="1">
      <alignment shrinkToFit="1"/>
    </xf>
    <xf numFmtId="0" fontId="7" fillId="4" borderId="0" xfId="0" applyFont="1" applyFill="1"/>
    <xf numFmtId="0" fontId="8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3" fillId="4" borderId="0" xfId="0" applyFont="1" applyFill="1"/>
    <xf numFmtId="10" fontId="3" fillId="4" borderId="0" xfId="0" applyNumberFormat="1" applyFont="1" applyFill="1" applyAlignment="1">
      <alignment shrinkToFit="1"/>
    </xf>
    <xf numFmtId="0" fontId="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3" fillId="2" borderId="24" xfId="0" applyFont="1" applyFill="1" applyBorder="1" applyAlignment="1">
      <alignment shrinkToFit="1"/>
    </xf>
    <xf numFmtId="0" fontId="8" fillId="0" borderId="11" xfId="0" applyFont="1" applyBorder="1" applyAlignment="1">
      <alignment horizontal="right" shrinkToFit="1"/>
    </xf>
    <xf numFmtId="0" fontId="8" fillId="0" borderId="3" xfId="0" applyFont="1" applyBorder="1" applyAlignment="1">
      <alignment horizontal="right" shrinkToFit="1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0" fontId="10" fillId="0" borderId="0" xfId="0" applyFont="1"/>
    <xf numFmtId="0" fontId="14" fillId="0" borderId="0" xfId="0" applyFont="1" applyAlignment="1">
      <alignment horizontal="left" vertical="center"/>
    </xf>
    <xf numFmtId="0" fontId="22" fillId="0" borderId="0" xfId="0" applyFont="1"/>
    <xf numFmtId="176" fontId="23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6" fontId="23" fillId="0" borderId="0" xfId="0" applyNumberFormat="1" applyFont="1" applyAlignment="1">
      <alignment horizontal="center" vertical="center"/>
    </xf>
    <xf numFmtId="179" fontId="22" fillId="0" borderId="0" xfId="0" applyNumberFormat="1" applyFont="1" applyAlignment="1">
      <alignment horizontal="center"/>
    </xf>
    <xf numFmtId="176" fontId="22" fillId="0" borderId="0" xfId="0" applyNumberFormat="1" applyFont="1"/>
    <xf numFmtId="177" fontId="22" fillId="0" borderId="0" xfId="0" applyNumberFormat="1" applyFont="1"/>
    <xf numFmtId="178" fontId="22" fillId="0" borderId="0" xfId="0" applyNumberFormat="1" applyFont="1"/>
    <xf numFmtId="10" fontId="22" fillId="0" borderId="0" xfId="0" applyNumberFormat="1" applyFont="1"/>
    <xf numFmtId="176" fontId="23" fillId="6" borderId="0" xfId="0" applyNumberFormat="1" applyFont="1" applyFill="1" applyAlignment="1">
      <alignment horizontal="center" vertical="center"/>
    </xf>
    <xf numFmtId="176" fontId="23" fillId="8" borderId="0" xfId="0" applyNumberFormat="1" applyFont="1" applyFill="1" applyAlignment="1">
      <alignment horizontal="center" vertical="center"/>
    </xf>
    <xf numFmtId="180" fontId="22" fillId="0" borderId="0" xfId="0" applyNumberFormat="1" applyFont="1"/>
    <xf numFmtId="180" fontId="10" fillId="0" borderId="0" xfId="0" applyNumberFormat="1" applyFont="1"/>
    <xf numFmtId="176" fontId="13" fillId="0" borderId="0" xfId="0" applyNumberFormat="1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2" fontId="22" fillId="0" borderId="0" xfId="0" applyNumberFormat="1" applyFont="1"/>
    <xf numFmtId="182" fontId="23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0" fontId="22" fillId="0" borderId="22" xfId="0" applyNumberFormat="1" applyFont="1" applyBorder="1"/>
    <xf numFmtId="182" fontId="22" fillId="0" borderId="0" xfId="0" applyNumberFormat="1" applyFont="1" applyAlignment="1">
      <alignment horizontal="center"/>
    </xf>
    <xf numFmtId="0" fontId="27" fillId="0" borderId="0" xfId="0" applyFont="1"/>
    <xf numFmtId="177" fontId="22" fillId="0" borderId="0" xfId="0" applyNumberFormat="1" applyFont="1" applyAlignment="1">
      <alignment horizontal="center"/>
    </xf>
    <xf numFmtId="177" fontId="13" fillId="0" borderId="22" xfId="0" applyNumberFormat="1" applyFont="1" applyBorder="1" applyAlignment="1">
      <alignment horizontal="center" vertical="center"/>
    </xf>
    <xf numFmtId="177" fontId="22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3" fillId="0" borderId="3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shrinkToFit="1"/>
    </xf>
    <xf numFmtId="0" fontId="22" fillId="0" borderId="0" xfId="0" applyFont="1" applyAlignment="1">
      <alignment shrinkToFit="1"/>
    </xf>
    <xf numFmtId="0" fontId="22" fillId="4" borderId="0" xfId="0" applyFont="1" applyFill="1" applyAlignment="1">
      <alignment shrinkToFit="1"/>
    </xf>
    <xf numFmtId="0" fontId="24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2" fillId="0" borderId="22" xfId="0" applyFont="1" applyBorder="1" applyAlignment="1">
      <alignment shrinkToFit="1"/>
    </xf>
    <xf numFmtId="0" fontId="22" fillId="0" borderId="0" xfId="0" applyFont="1" applyAlignment="1">
      <alignment horizontal="center" shrinkToFit="1"/>
    </xf>
    <xf numFmtId="0" fontId="24" fillId="0" borderId="0" xfId="0" applyFont="1" applyAlignment="1">
      <alignment horizontal="center" shrinkToFit="1"/>
    </xf>
    <xf numFmtId="0" fontId="22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4" fontId="24" fillId="0" borderId="22" xfId="0" applyNumberFormat="1" applyFont="1" applyBorder="1" applyAlignment="1">
      <alignment shrinkToFit="1"/>
    </xf>
    <xf numFmtId="0" fontId="24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24" fillId="0" borderId="22" xfId="0" applyNumberFormat="1" applyFont="1" applyBorder="1" applyAlignment="1">
      <alignment shrinkToFit="1"/>
    </xf>
    <xf numFmtId="10" fontId="24" fillId="0" borderId="22" xfId="0" applyNumberFormat="1" applyFont="1" applyBorder="1" applyAlignment="1">
      <alignment shrinkToFit="1"/>
    </xf>
    <xf numFmtId="4" fontId="24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3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3" fillId="0" borderId="0" xfId="0" applyFont="1" applyAlignment="1">
      <alignment horizontal="right" shrinkToFit="1"/>
    </xf>
    <xf numFmtId="0" fontId="7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22" fillId="4" borderId="0" xfId="0" applyFont="1" applyFill="1" applyAlignment="1">
      <alignment horizontal="center" vertical="center" shrinkToFit="1"/>
    </xf>
    <xf numFmtId="0" fontId="22" fillId="4" borderId="0" xfId="0" applyFont="1" applyFill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shrinkToFit="1"/>
    </xf>
    <xf numFmtId="0" fontId="22" fillId="4" borderId="22" xfId="0" applyFont="1" applyFill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2" fillId="0" borderId="0" xfId="0" applyFont="1" applyAlignment="1">
      <alignment vertical="center" shrinkToFit="1"/>
    </xf>
    <xf numFmtId="0" fontId="45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right" shrinkToFit="1"/>
    </xf>
    <xf numFmtId="0" fontId="24" fillId="5" borderId="22" xfId="0" applyFont="1" applyFill="1" applyBorder="1" applyAlignment="1">
      <alignment horizontal="center" vertical="center" shrinkToFit="1"/>
    </xf>
    <xf numFmtId="0" fontId="24" fillId="5" borderId="22" xfId="0" applyFont="1" applyFill="1" applyBorder="1" applyAlignment="1">
      <alignment horizontal="center" shrinkToFit="1"/>
    </xf>
    <xf numFmtId="0" fontId="45" fillId="5" borderId="22" xfId="0" applyFont="1" applyFill="1" applyBorder="1" applyAlignment="1">
      <alignment horizontal="center" shrinkToFit="1"/>
    </xf>
    <xf numFmtId="0" fontId="22" fillId="5" borderId="22" xfId="0" applyFont="1" applyFill="1" applyBorder="1" applyAlignment="1">
      <alignment horizont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24" fillId="0" borderId="3" xfId="0" applyFont="1" applyBorder="1" applyAlignment="1">
      <alignment vertical="center" shrinkToFit="1"/>
    </xf>
    <xf numFmtId="0" fontId="24" fillId="0" borderId="1" xfId="0" applyFont="1" applyBorder="1" applyAlignment="1">
      <alignment shrinkToFit="1"/>
    </xf>
    <xf numFmtId="0" fontId="24" fillId="0" borderId="8" xfId="0" applyFont="1" applyBorder="1" applyAlignment="1">
      <alignment vertical="center" shrinkToFit="1"/>
    </xf>
    <xf numFmtId="0" fontId="24" fillId="0" borderId="5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22" fillId="0" borderId="0" xfId="0" applyFont="1" applyAlignment="1">
      <alignment horizontal="center" vertical="center" wrapText="1" shrinkToFit="1"/>
    </xf>
    <xf numFmtId="10" fontId="24" fillId="2" borderId="22" xfId="0" applyNumberFormat="1" applyFont="1" applyFill="1" applyBorder="1" applyAlignment="1">
      <alignment horizontal="center" vertical="center" shrinkToFit="1"/>
    </xf>
    <xf numFmtId="10" fontId="24" fillId="3" borderId="22" xfId="0" applyNumberFormat="1" applyFont="1" applyFill="1" applyBorder="1" applyAlignment="1">
      <alignment shrinkToFit="1"/>
    </xf>
    <xf numFmtId="0" fontId="24" fillId="2" borderId="23" xfId="0" applyFont="1" applyFill="1" applyBorder="1" applyAlignment="1">
      <alignment horizontal="center" vertical="center" shrinkToFit="1"/>
    </xf>
    <xf numFmtId="10" fontId="24" fillId="2" borderId="23" xfId="0" applyNumberFormat="1" applyFont="1" applyFill="1" applyBorder="1" applyAlignment="1">
      <alignment horizontal="center" vertical="center" shrinkToFit="1"/>
    </xf>
    <xf numFmtId="0" fontId="33" fillId="0" borderId="34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2" fillId="0" borderId="0" xfId="11" applyFont="1" applyAlignment="1">
      <alignment shrinkToFit="1"/>
    </xf>
    <xf numFmtId="0" fontId="22" fillId="4" borderId="0" xfId="11" applyFont="1" applyFill="1" applyAlignment="1">
      <alignment shrinkToFit="1"/>
    </xf>
    <xf numFmtId="0" fontId="46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4" fillId="0" borderId="22" xfId="11" applyNumberFormat="1" applyFont="1" applyBorder="1" applyAlignment="1">
      <alignment shrinkToFit="1"/>
    </xf>
    <xf numFmtId="10" fontId="24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27" fillId="0" borderId="22" xfId="11" applyFont="1" applyBorder="1"/>
    <xf numFmtId="1" fontId="27" fillId="0" borderId="22" xfId="11" applyNumberFormat="1" applyFont="1" applyBorder="1"/>
    <xf numFmtId="185" fontId="27" fillId="0" borderId="22" xfId="13" applyNumberFormat="1" applyFont="1" applyFill="1" applyBorder="1" applyAlignment="1"/>
    <xf numFmtId="0" fontId="27" fillId="0" borderId="0" xfId="11" applyFont="1" applyAlignment="1">
      <alignment horizontal="center"/>
    </xf>
    <xf numFmtId="9" fontId="67" fillId="0" borderId="0" xfId="13" applyFont="1" applyFill="1" applyAlignment="1"/>
    <xf numFmtId="0" fontId="27" fillId="0" borderId="0" xfId="11" applyFont="1" applyAlignment="1">
      <alignment horizontal="center" vertical="center"/>
    </xf>
    <xf numFmtId="1" fontId="34" fillId="0" borderId="22" xfId="11" applyNumberFormat="1" applyFont="1" applyBorder="1"/>
    <xf numFmtId="0" fontId="34" fillId="0" borderId="22" xfId="11" applyFont="1" applyBorder="1"/>
    <xf numFmtId="185" fontId="34" fillId="0" borderId="22" xfId="13" applyNumberFormat="1" applyFont="1" applyFill="1" applyBorder="1" applyAlignment="1"/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/>
    </xf>
    <xf numFmtId="185" fontId="34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" fillId="0" borderId="0" xfId="5"/>
    <xf numFmtId="0" fontId="69" fillId="9" borderId="30" xfId="5" applyFont="1" applyFill="1" applyBorder="1"/>
    <xf numFmtId="0" fontId="69" fillId="0" borderId="0" xfId="5" applyFont="1"/>
    <xf numFmtId="0" fontId="69" fillId="0" borderId="22" xfId="5" applyFont="1" applyBorder="1"/>
    <xf numFmtId="0" fontId="69" fillId="9" borderId="22" xfId="5" applyFont="1" applyFill="1" applyBorder="1"/>
    <xf numFmtId="185" fontId="22" fillId="0" borderId="0" xfId="0" applyNumberFormat="1" applyFont="1"/>
    <xf numFmtId="0" fontId="24" fillId="0" borderId="22" xfId="11" applyFont="1" applyBorder="1" applyAlignment="1">
      <alignment horizontal="center" vertical="center" shrinkToFit="1"/>
    </xf>
    <xf numFmtId="0" fontId="34" fillId="5" borderId="23" xfId="5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63" fillId="2" borderId="22" xfId="0" applyFont="1" applyFill="1" applyBorder="1" applyAlignment="1">
      <alignment horizontal="center" vertical="center" shrinkToFit="1"/>
    </xf>
    <xf numFmtId="0" fontId="27" fillId="0" borderId="41" xfId="11" applyFont="1" applyBorder="1"/>
    <xf numFmtId="1" fontId="27" fillId="0" borderId="41" xfId="11" applyNumberFormat="1" applyFont="1" applyBorder="1"/>
    <xf numFmtId="0" fontId="72" fillId="0" borderId="0" xfId="11" applyFont="1"/>
    <xf numFmtId="1" fontId="67" fillId="0" borderId="41" xfId="11" applyNumberFormat="1" applyFont="1" applyBorder="1"/>
    <xf numFmtId="0" fontId="27" fillId="5" borderId="23" xfId="11" applyFont="1" applyFill="1" applyBorder="1" applyAlignment="1">
      <alignment horizontal="center" vertical="center"/>
    </xf>
    <xf numFmtId="3" fontId="24" fillId="5" borderId="22" xfId="0" applyNumberFormat="1" applyFont="1" applyFill="1" applyBorder="1" applyAlignment="1">
      <alignment shrinkToFit="1"/>
    </xf>
    <xf numFmtId="10" fontId="24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4" fillId="0" borderId="22" xfId="0" applyNumberFormat="1" applyFont="1" applyBorder="1"/>
    <xf numFmtId="186" fontId="22" fillId="0" borderId="0" xfId="0" applyNumberFormat="1" applyFont="1"/>
    <xf numFmtId="180" fontId="22" fillId="10" borderId="0" xfId="0" applyNumberFormat="1" applyFont="1" applyFill="1"/>
    <xf numFmtId="187" fontId="22" fillId="10" borderId="0" xfId="0" applyNumberFormat="1" applyFont="1" applyFill="1"/>
    <xf numFmtId="186" fontId="22" fillId="10" borderId="0" xfId="0" applyNumberFormat="1" applyFont="1" applyFill="1"/>
    <xf numFmtId="185" fontId="22" fillId="10" borderId="0" xfId="0" applyNumberFormat="1" applyFont="1" applyFill="1"/>
    <xf numFmtId="186" fontId="74" fillId="10" borderId="22" xfId="0" applyNumberFormat="1" applyFont="1" applyFill="1" applyBorder="1"/>
    <xf numFmtId="188" fontId="24" fillId="0" borderId="22" xfId="14" applyNumberFormat="1" applyFont="1" applyFill="1" applyBorder="1" applyAlignment="1">
      <alignment shrinkToFit="1"/>
    </xf>
    <xf numFmtId="189" fontId="24" fillId="5" borderId="22" xfId="0" applyNumberFormat="1" applyFont="1" applyFill="1" applyBorder="1" applyAlignment="1">
      <alignment shrinkToFit="1"/>
    </xf>
    <xf numFmtId="3" fontId="24" fillId="5" borderId="22" xfId="0" applyNumberFormat="1" applyFont="1" applyFill="1" applyBorder="1" applyAlignment="1">
      <alignment horizontal="right" shrinkToFit="1"/>
    </xf>
    <xf numFmtId="188" fontId="24" fillId="5" borderId="22" xfId="14" applyNumberFormat="1" applyFont="1" applyFill="1" applyBorder="1" applyAlignment="1">
      <alignment shrinkToFit="1"/>
    </xf>
    <xf numFmtId="1" fontId="24" fillId="0" borderId="22" xfId="0" applyNumberFormat="1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horizontal="center" shrinkToFit="1"/>
    </xf>
    <xf numFmtId="1" fontId="24" fillId="0" borderId="22" xfId="0" applyNumberFormat="1" applyFont="1" applyBorder="1" applyAlignment="1">
      <alignment horizontal="center" shrinkToFit="1"/>
    </xf>
    <xf numFmtId="0" fontId="81" fillId="0" borderId="22" xfId="0" applyFont="1" applyBorder="1" applyAlignment="1">
      <alignment horizontal="center" vertical="center" shrinkToFit="1"/>
    </xf>
    <xf numFmtId="190" fontId="24" fillId="5" borderId="22" xfId="14" applyNumberFormat="1" applyFont="1" applyFill="1" applyBorder="1" applyAlignment="1">
      <alignment shrinkToFit="1"/>
    </xf>
    <xf numFmtId="191" fontId="24" fillId="0" borderId="22" xfId="0" applyNumberFormat="1" applyFont="1" applyBorder="1" applyAlignment="1">
      <alignment shrinkToFit="1"/>
    </xf>
    <xf numFmtId="1" fontId="34" fillId="0" borderId="22" xfId="13" applyNumberFormat="1" applyFont="1" applyFill="1" applyBorder="1" applyAlignment="1"/>
    <xf numFmtId="1" fontId="27" fillId="0" borderId="22" xfId="13" applyNumberFormat="1" applyFont="1" applyFill="1" applyBorder="1" applyAlignment="1"/>
    <xf numFmtId="10" fontId="24" fillId="3" borderId="22" xfId="0" applyNumberFormat="1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183" fontId="24" fillId="3" borderId="18" xfId="0" applyNumberFormat="1" applyFont="1" applyFill="1" applyBorder="1" applyAlignment="1">
      <alignment shrinkToFit="1"/>
    </xf>
    <xf numFmtId="189" fontId="22" fillId="10" borderId="0" xfId="0" applyNumberFormat="1" applyFont="1" applyFill="1"/>
    <xf numFmtId="189" fontId="24" fillId="0" borderId="22" xfId="0" applyNumberFormat="1" applyFont="1" applyBorder="1" applyAlignment="1">
      <alignment shrinkToFit="1"/>
    </xf>
    <xf numFmtId="185" fontId="24" fillId="5" borderId="22" xfId="0" applyNumberFormat="1" applyFont="1" applyFill="1" applyBorder="1" applyAlignment="1">
      <alignment shrinkToFit="1"/>
    </xf>
    <xf numFmtId="185" fontId="24" fillId="0" borderId="22" xfId="0" applyNumberFormat="1" applyFont="1" applyBorder="1" applyAlignment="1">
      <alignment shrinkToFit="1"/>
    </xf>
    <xf numFmtId="183" fontId="34" fillId="0" borderId="22" xfId="11" applyNumberFormat="1" applyFont="1" applyBorder="1"/>
    <xf numFmtId="183" fontId="27" fillId="0" borderId="22" xfId="11" applyNumberFormat="1" applyFont="1" applyBorder="1"/>
    <xf numFmtId="183" fontId="22" fillId="0" borderId="0" xfId="0" applyNumberFormat="1" applyFont="1" applyAlignment="1">
      <alignment shrinkToFit="1"/>
    </xf>
    <xf numFmtId="9" fontId="24" fillId="5" borderId="22" xfId="0" applyNumberFormat="1" applyFont="1" applyFill="1" applyBorder="1" applyAlignment="1">
      <alignment shrinkToFit="1"/>
    </xf>
    <xf numFmtId="9" fontId="24" fillId="0" borderId="22" xfId="0" applyNumberFormat="1" applyFont="1" applyBorder="1" applyAlignment="1">
      <alignment shrinkToFit="1"/>
    </xf>
    <xf numFmtId="3" fontId="46" fillId="5" borderId="22" xfId="0" applyNumberFormat="1" applyFont="1" applyFill="1" applyBorder="1" applyAlignment="1">
      <alignment shrinkToFit="1"/>
    </xf>
    <xf numFmtId="10" fontId="46" fillId="5" borderId="22" xfId="0" applyNumberFormat="1" applyFont="1" applyFill="1" applyBorder="1" applyAlignment="1">
      <alignment shrinkToFit="1"/>
    </xf>
    <xf numFmtId="9" fontId="46" fillId="5" borderId="22" xfId="0" applyNumberFormat="1" applyFont="1" applyFill="1" applyBorder="1" applyAlignment="1">
      <alignment shrinkToFit="1"/>
    </xf>
    <xf numFmtId="189" fontId="46" fillId="5" borderId="22" xfId="0" applyNumberFormat="1" applyFont="1" applyFill="1" applyBorder="1" applyAlignment="1">
      <alignment shrinkToFit="1"/>
    </xf>
    <xf numFmtId="185" fontId="46" fillId="5" borderId="22" xfId="0" applyNumberFormat="1" applyFont="1" applyFill="1" applyBorder="1" applyAlignment="1">
      <alignment shrinkToFit="1"/>
    </xf>
    <xf numFmtId="190" fontId="46" fillId="5" borderId="22" xfId="14" applyNumberFormat="1" applyFont="1" applyFill="1" applyBorder="1" applyAlignment="1">
      <alignment shrinkToFit="1"/>
    </xf>
    <xf numFmtId="191" fontId="24" fillId="0" borderId="22" xfId="0" applyNumberFormat="1" applyFont="1" applyBorder="1" applyAlignment="1">
      <alignment horizontal="right" shrinkToFit="1"/>
    </xf>
    <xf numFmtId="191" fontId="46" fillId="5" borderId="22" xfId="0" applyNumberFormat="1" applyFont="1" applyFill="1" applyBorder="1" applyAlignment="1">
      <alignment horizontal="right" shrinkToFit="1"/>
    </xf>
    <xf numFmtId="190" fontId="24" fillId="0" borderId="22" xfId="14" applyNumberFormat="1" applyFont="1" applyFill="1" applyBorder="1" applyAlignment="1">
      <alignment horizontal="right" shrinkToFit="1"/>
    </xf>
    <xf numFmtId="183" fontId="24" fillId="3" borderId="22" xfId="0" applyNumberFormat="1" applyFont="1" applyFill="1" applyBorder="1" applyAlignment="1">
      <alignment shrinkToFit="1"/>
    </xf>
    <xf numFmtId="0" fontId="46" fillId="0" borderId="45" xfId="11" applyFont="1" applyBorder="1" applyAlignment="1">
      <alignment shrinkToFit="1"/>
    </xf>
    <xf numFmtId="0" fontId="22" fillId="0" borderId="46" xfId="11" applyFont="1" applyBorder="1" applyAlignment="1">
      <alignment shrinkToFit="1"/>
    </xf>
    <xf numFmtId="0" fontId="24" fillId="0" borderId="48" xfId="11" applyFont="1" applyBorder="1" applyAlignment="1">
      <alignment horizontal="center" vertical="center" shrinkToFit="1"/>
    </xf>
    <xf numFmtId="0" fontId="45" fillId="0" borderId="49" xfId="11" applyFont="1" applyBorder="1" applyAlignment="1">
      <alignment horizontal="center" shrinkToFit="1"/>
    </xf>
    <xf numFmtId="3" fontId="34" fillId="8" borderId="6" xfId="11" applyNumberFormat="1" applyFont="1" applyFill="1" applyBorder="1" applyAlignment="1">
      <alignment shrinkToFit="1"/>
    </xf>
    <xf numFmtId="3" fontId="24" fillId="8" borderId="22" xfId="11" applyNumberFormat="1" applyFont="1" applyFill="1" applyBorder="1" applyAlignment="1">
      <alignment shrinkToFit="1"/>
    </xf>
    <xf numFmtId="10" fontId="24" fillId="0" borderId="48" xfId="11" applyNumberFormat="1" applyFont="1" applyBorder="1" applyAlignment="1">
      <alignment shrinkToFit="1"/>
    </xf>
    <xf numFmtId="0" fontId="45" fillId="0" borderId="50" xfId="11" applyFont="1" applyBorder="1" applyAlignment="1">
      <alignment horizontal="center" shrinkToFit="1"/>
    </xf>
    <xf numFmtId="3" fontId="34" fillId="8" borderId="1" xfId="11" applyNumberFormat="1" applyFont="1" applyFill="1" applyBorder="1" applyAlignment="1">
      <alignment shrinkToFit="1"/>
    </xf>
    <xf numFmtId="0" fontId="22" fillId="0" borderId="45" xfId="11" applyFont="1" applyBorder="1" applyAlignment="1">
      <alignment shrinkToFit="1"/>
    </xf>
    <xf numFmtId="0" fontId="22" fillId="0" borderId="51" xfId="11" applyFont="1" applyBorder="1" applyAlignment="1">
      <alignment shrinkToFit="1"/>
    </xf>
    <xf numFmtId="0" fontId="22" fillId="0" borderId="52" xfId="11" applyFont="1" applyBorder="1" applyAlignment="1">
      <alignment shrinkToFit="1"/>
    </xf>
    <xf numFmtId="0" fontId="45" fillId="0" borderId="53" xfId="11" applyFont="1" applyBorder="1" applyAlignment="1">
      <alignment horizontal="center" shrinkToFit="1"/>
    </xf>
    <xf numFmtId="3" fontId="24" fillId="8" borderId="54" xfId="11" applyNumberFormat="1" applyFont="1" applyFill="1" applyBorder="1" applyAlignment="1">
      <alignment shrinkToFit="1"/>
    </xf>
    <xf numFmtId="10" fontId="24" fillId="0" borderId="54" xfId="11" applyNumberFormat="1" applyFont="1" applyBorder="1" applyAlignment="1">
      <alignment shrinkToFit="1"/>
    </xf>
    <xf numFmtId="10" fontId="24" fillId="0" borderId="55" xfId="11" applyNumberFormat="1" applyFont="1" applyBorder="1" applyAlignment="1">
      <alignment shrinkToFit="1"/>
    </xf>
    <xf numFmtId="0" fontId="45" fillId="2" borderId="22" xfId="0" applyFont="1" applyFill="1" applyBorder="1" applyAlignment="1">
      <alignment horizontal="center" shrinkToFit="1"/>
    </xf>
    <xf numFmtId="3" fontId="24" fillId="11" borderId="22" xfId="0" applyNumberFormat="1" applyFont="1" applyFill="1" applyBorder="1" applyAlignment="1">
      <alignment shrinkToFit="1"/>
    </xf>
    <xf numFmtId="10" fontId="24" fillId="11" borderId="22" xfId="0" applyNumberFormat="1" applyFont="1" applyFill="1" applyBorder="1" applyAlignment="1">
      <alignment shrinkToFit="1"/>
    </xf>
    <xf numFmtId="0" fontId="24" fillId="11" borderId="22" xfId="0" applyFont="1" applyFill="1" applyBorder="1" applyAlignment="1">
      <alignment shrinkToFit="1"/>
    </xf>
    <xf numFmtId="183" fontId="24" fillId="0" borderId="22" xfId="0" applyNumberFormat="1" applyFont="1" applyBorder="1" applyAlignment="1">
      <alignment shrinkToFit="1"/>
    </xf>
    <xf numFmtId="3" fontId="24" fillId="0" borderId="22" xfId="0" applyNumberFormat="1" applyFont="1" applyBorder="1" applyAlignment="1">
      <alignment horizontal="right" shrinkToFit="1"/>
    </xf>
    <xf numFmtId="0" fontId="53" fillId="0" borderId="32" xfId="0" applyFont="1" applyBorder="1" applyAlignment="1">
      <alignment vertical="top" wrapText="1"/>
    </xf>
    <xf numFmtId="0" fontId="72" fillId="0" borderId="22" xfId="11" applyFont="1" applyBorder="1"/>
    <xf numFmtId="0" fontId="24" fillId="2" borderId="22" xfId="0" applyFont="1" applyFill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56" fillId="0" borderId="27" xfId="0" applyFont="1" applyBorder="1" applyAlignment="1">
      <alignment horizontal="left" shrinkToFit="1"/>
    </xf>
    <xf numFmtId="0" fontId="56" fillId="0" borderId="28" xfId="0" applyFont="1" applyBorder="1" applyAlignment="1">
      <alignment horizontal="left" shrinkToFit="1"/>
    </xf>
    <xf numFmtId="0" fontId="56" fillId="0" borderId="25" xfId="0" applyFont="1" applyBorder="1" applyAlignment="1">
      <alignment horizontal="left" shrinkToFit="1"/>
    </xf>
    <xf numFmtId="0" fontId="82" fillId="0" borderId="35" xfId="0" applyFont="1" applyBorder="1" applyAlignment="1">
      <alignment wrapText="1"/>
    </xf>
    <xf numFmtId="0" fontId="82" fillId="0" borderId="36" xfId="0" applyFont="1" applyBorder="1" applyAlignment="1">
      <alignment wrapText="1"/>
    </xf>
    <xf numFmtId="182" fontId="74" fillId="0" borderId="0" xfId="0" applyNumberFormat="1" applyFont="1"/>
    <xf numFmtId="186" fontId="74" fillId="0" borderId="0" xfId="0" applyNumberFormat="1" applyFont="1"/>
    <xf numFmtId="192" fontId="22" fillId="0" borderId="0" xfId="0" applyNumberFormat="1" applyFont="1"/>
    <xf numFmtId="192" fontId="22" fillId="10" borderId="22" xfId="0" applyNumberFormat="1" applyFont="1" applyFill="1" applyBorder="1"/>
    <xf numFmtId="192" fontId="22" fillId="0" borderId="22" xfId="0" applyNumberFormat="1" applyFont="1" applyBorder="1"/>
    <xf numFmtId="192" fontId="13" fillId="0" borderId="22" xfId="0" applyNumberFormat="1" applyFont="1" applyBorder="1" applyAlignment="1">
      <alignment horizontal="center" vertical="center"/>
    </xf>
    <xf numFmtId="192" fontId="22" fillId="10" borderId="0" xfId="0" applyNumberFormat="1" applyFont="1" applyFill="1"/>
    <xf numFmtId="10" fontId="74" fillId="0" borderId="0" xfId="0" applyNumberFormat="1" applyFont="1"/>
    <xf numFmtId="0" fontId="3" fillId="0" borderId="4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3" fillId="0" borderId="9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7" fillId="0" borderId="19" xfId="0" applyFont="1" applyBorder="1" applyAlignment="1">
      <alignment shrinkToFit="1"/>
    </xf>
    <xf numFmtId="0" fontId="5" fillId="0" borderId="21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7" fillId="0" borderId="12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1" xfId="0" applyFont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4" fillId="0" borderId="4" xfId="0" applyFont="1" applyBorder="1" applyAlignment="1">
      <alignment shrinkToFit="1"/>
    </xf>
    <xf numFmtId="0" fontId="3" fillId="0" borderId="19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0" borderId="9" xfId="0" applyFont="1" applyBorder="1" applyAlignment="1">
      <alignment shrinkToFit="1"/>
    </xf>
    <xf numFmtId="0" fontId="42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187" fontId="22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/>
    </xf>
    <xf numFmtId="10" fontId="22" fillId="0" borderId="0" xfId="0" applyNumberFormat="1" applyFont="1" applyAlignment="1">
      <alignment horizontal="center" vertical="center"/>
    </xf>
    <xf numFmtId="187" fontId="22" fillId="0" borderId="0" xfId="0" applyNumberFormat="1" applyFont="1" applyAlignment="1">
      <alignment horizontal="center" vertical="center"/>
    </xf>
    <xf numFmtId="192" fontId="22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 vertical="center"/>
    </xf>
    <xf numFmtId="17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92" fontId="22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177" fontId="23" fillId="8" borderId="0" xfId="0" applyNumberFormat="1" applyFont="1" applyFill="1" applyAlignment="1">
      <alignment horizontal="center" vertical="center"/>
    </xf>
    <xf numFmtId="178" fontId="23" fillId="6" borderId="0" xfId="0" applyNumberFormat="1" applyFont="1" applyFill="1" applyAlignment="1">
      <alignment horizontal="center" vertical="center"/>
    </xf>
    <xf numFmtId="176" fontId="23" fillId="5" borderId="0" xfId="0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178" fontId="23" fillId="0" borderId="0" xfId="0" applyNumberFormat="1" applyFont="1" applyAlignment="1">
      <alignment horizontal="center" vertical="center"/>
    </xf>
    <xf numFmtId="185" fontId="22" fillId="0" borderId="0" xfId="0" applyNumberFormat="1" applyFont="1" applyAlignment="1">
      <alignment horizontal="center"/>
    </xf>
    <xf numFmtId="10" fontId="11" fillId="5" borderId="0" xfId="0" applyNumberFormat="1" applyFont="1" applyFill="1" applyAlignment="1">
      <alignment horizontal="center" vertical="center"/>
    </xf>
    <xf numFmtId="189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/>
    </xf>
    <xf numFmtId="186" fontId="22" fillId="0" borderId="0" xfId="0" applyNumberFormat="1" applyFont="1" applyAlignment="1">
      <alignment horizontal="right"/>
    </xf>
    <xf numFmtId="186" fontId="75" fillId="0" borderId="0" xfId="0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182" fontId="23" fillId="0" borderId="22" xfId="0" applyNumberFormat="1" applyFont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182" fontId="2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77" fontId="18" fillId="0" borderId="22" xfId="0" applyNumberFormat="1" applyFont="1" applyBorder="1" applyAlignment="1">
      <alignment horizontal="center" vertical="center" shrinkToFit="1"/>
    </xf>
    <xf numFmtId="177" fontId="24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/>
    </xf>
    <xf numFmtId="177" fontId="19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3" fillId="5" borderId="22" xfId="0" applyNumberFormat="1" applyFont="1" applyFill="1" applyBorder="1" applyAlignment="1">
      <alignment horizontal="center" vertical="center"/>
    </xf>
    <xf numFmtId="0" fontId="73" fillId="5" borderId="22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45" fillId="2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22" fillId="0" borderId="22" xfId="0" applyFont="1" applyBorder="1" applyAlignment="1">
      <alignment horizontal="center" vertical="center" shrinkToFit="1"/>
    </xf>
    <xf numFmtId="0" fontId="45" fillId="2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18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83" fillId="0" borderId="31" xfId="0" applyFont="1" applyBorder="1" applyAlignment="1">
      <alignment horizontal="left" vertical="top" wrapText="1"/>
    </xf>
    <xf numFmtId="0" fontId="83" fillId="0" borderId="32" xfId="0" applyFont="1" applyBorder="1" applyAlignment="1">
      <alignment horizontal="left" vertical="top" wrapText="1"/>
    </xf>
    <xf numFmtId="0" fontId="83" fillId="0" borderId="33" xfId="0" applyFont="1" applyBorder="1" applyAlignment="1">
      <alignment horizontal="left" vertical="top" wrapText="1"/>
    </xf>
    <xf numFmtId="0" fontId="83" fillId="0" borderId="34" xfId="0" applyFont="1" applyBorder="1" applyAlignment="1">
      <alignment horizontal="left" vertical="top" wrapText="1"/>
    </xf>
    <xf numFmtId="0" fontId="83" fillId="0" borderId="35" xfId="0" applyFont="1" applyBorder="1" applyAlignment="1">
      <alignment horizontal="left" vertical="top" wrapText="1"/>
    </xf>
    <xf numFmtId="0" fontId="83" fillId="0" borderId="36" xfId="0" applyFont="1" applyBorder="1" applyAlignment="1">
      <alignment horizontal="left" vertical="top" wrapText="1"/>
    </xf>
    <xf numFmtId="0" fontId="56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55" fillId="0" borderId="0" xfId="0" applyFont="1" applyAlignment="1">
      <alignment horizontal="left" vertical="center" shrinkToFit="1"/>
    </xf>
    <xf numFmtId="0" fontId="18" fillId="0" borderId="22" xfId="0" applyFont="1" applyBorder="1" applyAlignment="1">
      <alignment shrinkToFit="1"/>
    </xf>
    <xf numFmtId="0" fontId="18" fillId="0" borderId="31" xfId="0" applyFont="1" applyBorder="1" applyAlignment="1">
      <alignment horizontal="left" wrapText="1"/>
    </xf>
    <xf numFmtId="0" fontId="18" fillId="0" borderId="32" xfId="0" applyFont="1" applyBorder="1" applyAlignment="1">
      <alignment horizontal="left" wrapText="1"/>
    </xf>
    <xf numFmtId="0" fontId="18" fillId="0" borderId="33" xfId="0" applyFont="1" applyBorder="1" applyAlignment="1">
      <alignment horizontal="left" wrapText="1"/>
    </xf>
    <xf numFmtId="0" fontId="18" fillId="0" borderId="34" xfId="0" applyFont="1" applyBorder="1" applyAlignment="1">
      <alignment horizontal="left" wrapText="1"/>
    </xf>
    <xf numFmtId="0" fontId="18" fillId="0" borderId="35" xfId="0" applyFont="1" applyBorder="1" applyAlignment="1">
      <alignment horizontal="left" wrapText="1"/>
    </xf>
    <xf numFmtId="0" fontId="18" fillId="0" borderId="36" xfId="0" applyFont="1" applyBorder="1" applyAlignment="1">
      <alignment horizontal="left" wrapText="1"/>
    </xf>
    <xf numFmtId="0" fontId="56" fillId="0" borderId="27" xfId="0" applyFont="1" applyBorder="1" applyAlignment="1">
      <alignment horizontal="left" shrinkToFit="1"/>
    </xf>
    <xf numFmtId="0" fontId="56" fillId="0" borderId="28" xfId="0" applyFont="1" applyBorder="1" applyAlignment="1">
      <alignment horizontal="left" shrinkToFit="1"/>
    </xf>
    <xf numFmtId="0" fontId="56" fillId="0" borderId="25" xfId="0" applyFont="1" applyBorder="1" applyAlignment="1">
      <alignment horizontal="left" shrinkToFit="1"/>
    </xf>
    <xf numFmtId="0" fontId="84" fillId="0" borderId="31" xfId="0" applyFont="1" applyBorder="1" applyAlignment="1">
      <alignment horizontal="center" vertical="center" wrapText="1" shrinkToFit="1"/>
    </xf>
    <xf numFmtId="0" fontId="84" fillId="0" borderId="32" xfId="0" applyFont="1" applyBorder="1" applyAlignment="1">
      <alignment horizontal="center" vertical="center" wrapText="1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29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shrinkToFit="1"/>
    </xf>
    <xf numFmtId="0" fontId="45" fillId="2" borderId="23" xfId="0" applyFont="1" applyFill="1" applyBorder="1" applyAlignment="1">
      <alignment horizontal="center" vertical="center" shrinkToFit="1"/>
    </xf>
    <xf numFmtId="0" fontId="45" fillId="2" borderId="29" xfId="0" applyFont="1" applyFill="1" applyBorder="1" applyAlignment="1">
      <alignment horizontal="center" vertical="center" shrinkToFit="1"/>
    </xf>
    <xf numFmtId="0" fontId="45" fillId="2" borderId="30" xfId="0" applyFont="1" applyFill="1" applyBorder="1" applyAlignment="1">
      <alignment horizontal="center" vertical="center" shrinkToFit="1"/>
    </xf>
    <xf numFmtId="0" fontId="53" fillId="0" borderId="27" xfId="0" applyFont="1" applyBorder="1" applyAlignment="1">
      <alignment shrinkToFit="1"/>
    </xf>
    <xf numFmtId="0" fontId="45" fillId="0" borderId="25" xfId="0" applyFont="1" applyBorder="1" applyAlignment="1">
      <alignment shrinkToFit="1"/>
    </xf>
    <xf numFmtId="0" fontId="53" fillId="0" borderId="27" xfId="0" applyFont="1" applyBorder="1" applyAlignment="1">
      <alignment vertical="center" shrinkToFit="1"/>
    </xf>
    <xf numFmtId="0" fontId="45" fillId="0" borderId="25" xfId="0" applyFont="1" applyBorder="1" applyAlignment="1">
      <alignment vertical="center" shrinkToFit="1"/>
    </xf>
    <xf numFmtId="0" fontId="45" fillId="0" borderId="27" xfId="0" applyFont="1" applyBorder="1" applyAlignment="1">
      <alignment shrinkToFit="1"/>
    </xf>
    <xf numFmtId="0" fontId="45" fillId="2" borderId="27" xfId="0" applyFont="1" applyFill="1" applyBorder="1" applyAlignment="1">
      <alignment horizontal="center" vertical="center" shrinkToFit="1"/>
    </xf>
    <xf numFmtId="0" fontId="45" fillId="2" borderId="25" xfId="0" applyFont="1" applyFill="1" applyBorder="1" applyAlignment="1">
      <alignment horizontal="center" vertical="center" shrinkToFit="1"/>
    </xf>
    <xf numFmtId="0" fontId="45" fillId="2" borderId="28" xfId="0" applyFont="1" applyFill="1" applyBorder="1" applyAlignment="1">
      <alignment horizontal="center" vertical="center" shrinkToFit="1"/>
    </xf>
    <xf numFmtId="0" fontId="24" fillId="0" borderId="27" xfId="0" applyFont="1" applyBorder="1" applyAlignment="1">
      <alignment shrinkToFit="1"/>
    </xf>
    <xf numFmtId="0" fontId="45" fillId="2" borderId="27" xfId="0" applyFont="1" applyFill="1" applyBorder="1" applyAlignment="1">
      <alignment horizontal="center" shrinkToFit="1"/>
    </xf>
    <xf numFmtId="0" fontId="45" fillId="2" borderId="25" xfId="0" applyFont="1" applyFill="1" applyBorder="1" applyAlignment="1">
      <alignment horizontal="center" shrinkToFit="1"/>
    </xf>
    <xf numFmtId="0" fontId="45" fillId="2" borderId="28" xfId="0" applyFont="1" applyFill="1" applyBorder="1" applyAlignment="1">
      <alignment horizontal="center" shrinkToFit="1"/>
    </xf>
    <xf numFmtId="0" fontId="45" fillId="0" borderId="28" xfId="0" applyFont="1" applyBorder="1" applyAlignment="1">
      <alignment shrinkToFit="1"/>
    </xf>
    <xf numFmtId="0" fontId="24" fillId="0" borderId="28" xfId="0" applyFont="1" applyBorder="1" applyAlignment="1">
      <alignment shrinkToFit="1"/>
    </xf>
    <xf numFmtId="0" fontId="61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24" fillId="0" borderId="22" xfId="11" applyFont="1" applyBorder="1" applyAlignment="1">
      <alignment horizontal="center" vertical="center" shrinkToFit="1"/>
    </xf>
    <xf numFmtId="0" fontId="24" fillId="0" borderId="37" xfId="11" applyFont="1" applyBorder="1" applyAlignment="1">
      <alignment horizontal="center" vertical="center" shrinkToFit="1"/>
    </xf>
    <xf numFmtId="0" fontId="24" fillId="0" borderId="0" xfId="11" applyFont="1" applyAlignment="1">
      <alignment horizontal="center" vertical="center" shrinkToFit="1"/>
    </xf>
    <xf numFmtId="0" fontId="22" fillId="0" borderId="22" xfId="11" applyFont="1" applyBorder="1" applyAlignment="1">
      <alignment horizontal="center" vertical="center" shrinkToFit="1"/>
    </xf>
    <xf numFmtId="0" fontId="22" fillId="0" borderId="22" xfId="11" applyFont="1" applyBorder="1" applyAlignment="1">
      <alignment horizontal="center" shrinkToFit="1"/>
    </xf>
    <xf numFmtId="0" fontId="22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54" fillId="0" borderId="42" xfId="11" applyFont="1" applyBorder="1" applyAlignment="1">
      <alignment horizontal="left" vertical="center" shrinkToFit="1"/>
    </xf>
    <xf numFmtId="0" fontId="54" fillId="0" borderId="43" xfId="11" applyFont="1" applyBorder="1" applyAlignment="1">
      <alignment horizontal="left" vertical="center" shrinkToFit="1"/>
    </xf>
    <xf numFmtId="0" fontId="54" fillId="0" borderId="44" xfId="11" applyFont="1" applyBorder="1" applyAlignment="1">
      <alignment horizontal="left" vertical="center" shrinkToFit="1"/>
    </xf>
    <xf numFmtId="0" fontId="54" fillId="0" borderId="45" xfId="11" applyFont="1" applyBorder="1" applyAlignment="1">
      <alignment horizontal="left" vertical="center" shrinkToFit="1"/>
    </xf>
    <xf numFmtId="0" fontId="54" fillId="0" borderId="46" xfId="11" applyFont="1" applyBorder="1" applyAlignment="1">
      <alignment horizontal="left" vertical="center" shrinkToFit="1"/>
    </xf>
    <xf numFmtId="0" fontId="46" fillId="0" borderId="47" xfId="11" applyFont="1" applyBorder="1" applyAlignment="1">
      <alignment horizontal="center" vertical="center"/>
    </xf>
    <xf numFmtId="0" fontId="24" fillId="0" borderId="52" xfId="11" applyFont="1" applyBorder="1" applyAlignment="1">
      <alignment horizontal="center" vertical="center" shrinkToFit="1"/>
    </xf>
    <xf numFmtId="0" fontId="22" fillId="0" borderId="48" xfId="11" applyFont="1" applyBorder="1" applyAlignment="1">
      <alignment horizontal="center" vertical="center" shrinkToFit="1"/>
    </xf>
    <xf numFmtId="0" fontId="61" fillId="0" borderId="48" xfId="11" applyFont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shrinkToFit="1"/>
    </xf>
    <xf numFmtId="0" fontId="3" fillId="0" borderId="3" xfId="0" applyFont="1" applyBorder="1" applyAlignment="1">
      <alignment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0" borderId="56" xfId="0" applyFont="1" applyBorder="1" applyAlignment="1">
      <alignment horizontal="center" shrinkToFit="1"/>
    </xf>
    <xf numFmtId="0" fontId="7" fillId="0" borderId="57" xfId="0" applyFont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63" fillId="0" borderId="22" xfId="0" applyFont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24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3" fillId="2" borderId="0" xfId="0" applyFont="1" applyFill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39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shrinkToFit="1"/>
    </xf>
    <xf numFmtId="0" fontId="24" fillId="0" borderId="0" xfId="0" applyFont="1" applyAlignment="1">
      <alignment horizontal="center" shrinkToFit="1"/>
    </xf>
    <xf numFmtId="0" fontId="24" fillId="0" borderId="38" xfId="0" applyFont="1" applyBorder="1" applyAlignment="1">
      <alignment horizontal="center" shrinkToFit="1"/>
    </xf>
    <xf numFmtId="0" fontId="24" fillId="2" borderId="23" xfId="0" applyFont="1" applyFill="1" applyBorder="1" applyAlignment="1">
      <alignment horizontal="center" vertical="center" shrinkToFit="1"/>
    </xf>
    <xf numFmtId="0" fontId="24" fillId="2" borderId="29" xfId="0" applyFont="1" applyFill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4" fillId="2" borderId="33" xfId="0" applyFont="1" applyFill="1" applyBorder="1" applyAlignment="1">
      <alignment horizontal="center" vertical="center" shrinkToFit="1"/>
    </xf>
    <xf numFmtId="0" fontId="24" fillId="2" borderId="0" xfId="0" applyFont="1" applyFill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179" fontId="27" fillId="0" borderId="22" xfId="11" applyNumberFormat="1" applyFont="1" applyBorder="1" applyAlignment="1">
      <alignment horizontal="center" vertical="center"/>
    </xf>
    <xf numFmtId="179" fontId="27" fillId="0" borderId="27" xfId="11" applyNumberFormat="1" applyFont="1" applyBorder="1" applyAlignment="1">
      <alignment horizontal="center" vertical="center"/>
    </xf>
    <xf numFmtId="0" fontId="27" fillId="0" borderId="27" xfId="11" applyFont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27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/>
    </xf>
    <xf numFmtId="0" fontId="36" fillId="5" borderId="27" xfId="12" applyFont="1" applyFill="1" applyBorder="1" applyAlignment="1">
      <alignment horizontal="center"/>
    </xf>
    <xf numFmtId="0" fontId="36" fillId="5" borderId="28" xfId="12" applyFont="1" applyFill="1" applyBorder="1" applyAlignment="1">
      <alignment horizontal="center"/>
    </xf>
    <xf numFmtId="0" fontId="36" fillId="5" borderId="25" xfId="12" applyFont="1" applyFill="1" applyBorder="1" applyAlignment="1">
      <alignment horizontal="center"/>
    </xf>
    <xf numFmtId="0" fontId="35" fillId="5" borderId="22" xfId="5" applyFont="1" applyFill="1" applyBorder="1" applyAlignment="1">
      <alignment horizontal="center"/>
    </xf>
  </cellXfs>
  <cellStyles count="15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3 2" xfId="6" xr:uid="{00000000-0005-0000-0000-000005000000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" xfId="14" builtinId="3"/>
    <cellStyle name="千分位 2" xfId="2" xr:uid="{00000000-0005-0000-0000-00000A000000}"/>
    <cellStyle name="百分比 2" xfId="8" xr:uid="{00000000-0005-0000-0000-00000B000000}"/>
    <cellStyle name="百分比 2 2" xfId="10" xr:uid="{00000000-0005-0000-0000-00000C000000}"/>
    <cellStyle name="百分比 3" xfId="3" xr:uid="{00000000-0005-0000-0000-00000D000000}"/>
    <cellStyle name="百分比 4" xfId="13" xr:uid="{00000000-0005-0000-0000-00000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0801-0811-&#29983;&#29986;JOH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.248.120.128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4&#24180;08&#26376;\4&#24230;\&#26185;&#27427;&#22235;&#24230;&#24037;&#20316;&#26085;&#22577;&#34920;114%2008&#2637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0819-0825-&#29983;&#29986;&#23436;&#251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27">
          <cell r="P27">
            <v>13</v>
          </cell>
          <cell r="Q27">
            <v>1310.0000000000011</v>
          </cell>
          <cell r="R27">
            <v>100.76923076923086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總表"/>
      <sheetName val="ST總表"/>
      <sheetName val="商品廠價總表"/>
      <sheetName val="晉欣4度C0801"/>
      <sheetName val="晉欣4度C0802"/>
      <sheetName val="晉欣4度C0803"/>
      <sheetName val="晉欣4度C0804"/>
      <sheetName val="晉欣4度C0805"/>
      <sheetName val="晉欣4度C0806"/>
      <sheetName val="晉欣4度C0807"/>
      <sheetName val="晉欣4度C0808"/>
      <sheetName val="晉欣4度C0809"/>
      <sheetName val="晉欣4度C0810"/>
      <sheetName val="晉欣4度C0811"/>
    </sheetNames>
    <sheetDataSet>
      <sheetData sheetId="0"/>
      <sheetData sheetId="1"/>
      <sheetData sheetId="2"/>
      <sheetData sheetId="3">
        <row r="1">
          <cell r="E1">
            <v>117639</v>
          </cell>
        </row>
        <row r="5">
          <cell r="D5" t="str">
            <v>柚香海藻冷麵</v>
          </cell>
          <cell r="E5">
            <v>0</v>
          </cell>
          <cell r="F5">
            <v>38.1</v>
          </cell>
          <cell r="G5">
            <v>273</v>
          </cell>
          <cell r="H5">
            <v>10401.300000000001</v>
          </cell>
          <cell r="I5">
            <v>0</v>
          </cell>
          <cell r="J5">
            <v>19</v>
          </cell>
          <cell r="K5">
            <v>2250</v>
          </cell>
          <cell r="L5">
            <v>118.42105263157895</v>
          </cell>
          <cell r="M5">
            <v>19</v>
          </cell>
          <cell r="N5">
            <v>1638.0000000000059</v>
          </cell>
          <cell r="O5">
            <v>86.210526315789778</v>
          </cell>
          <cell r="P5">
            <v>0</v>
          </cell>
          <cell r="Q5">
            <v>-32.210526315789167</v>
          </cell>
          <cell r="R5">
            <v>0.72800000000000253</v>
          </cell>
          <cell r="S5">
            <v>0.89408135365520836</v>
          </cell>
          <cell r="T5">
            <v>0.29166666666666669</v>
          </cell>
          <cell r="U5">
            <v>0.2986111111111111</v>
          </cell>
          <cell r="V5">
            <v>5</v>
          </cell>
          <cell r="W5">
            <v>9.9999999999999645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-611.99999999999409</v>
          </cell>
          <cell r="AC5">
            <v>0.72800000000000264</v>
          </cell>
          <cell r="AD5">
            <v>0.92360204823168235</v>
          </cell>
        </row>
        <row r="6">
          <cell r="D6" t="str">
            <v>金門高粱酒雞絲涼麵</v>
          </cell>
          <cell r="E6">
            <v>0</v>
          </cell>
          <cell r="F6">
            <v>43.62</v>
          </cell>
          <cell r="G6">
            <v>2266</v>
          </cell>
          <cell r="H6">
            <v>98842.92</v>
          </cell>
          <cell r="I6">
            <v>0</v>
          </cell>
          <cell r="J6">
            <v>18</v>
          </cell>
          <cell r="K6">
            <v>2250</v>
          </cell>
          <cell r="L6">
            <v>125</v>
          </cell>
          <cell r="M6">
            <v>18</v>
          </cell>
          <cell r="N6">
            <v>2192.9032258064508</v>
          </cell>
          <cell r="O6">
            <v>121.82795698924727</v>
          </cell>
          <cell r="P6">
            <v>0</v>
          </cell>
          <cell r="Q6">
            <v>-3.1720430107527307</v>
          </cell>
          <cell r="R6">
            <v>0.97462365591397815</v>
          </cell>
          <cell r="S6">
            <v>0</v>
          </cell>
          <cell r="T6">
            <v>0.3034722222222222</v>
          </cell>
          <cell r="U6">
            <v>0.34652777777777777</v>
          </cell>
          <cell r="V6">
            <v>7</v>
          </cell>
          <cell r="W6">
            <v>62.000000000000021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-57.096774193549209</v>
          </cell>
          <cell r="AC6">
            <v>0.97462365591397815</v>
          </cell>
          <cell r="AD6">
            <v>0</v>
          </cell>
        </row>
        <row r="7">
          <cell r="D7" t="str">
            <v>椒麻香蔥雞涼拌麵</v>
          </cell>
          <cell r="E7">
            <v>0</v>
          </cell>
          <cell r="F7">
            <v>37.94</v>
          </cell>
          <cell r="G7">
            <v>2309</v>
          </cell>
          <cell r="H7">
            <v>87603.459999999992</v>
          </cell>
          <cell r="I7">
            <v>0</v>
          </cell>
          <cell r="J7">
            <v>21</v>
          </cell>
          <cell r="K7">
            <v>2400</v>
          </cell>
          <cell r="L7">
            <v>114.28571428571429</v>
          </cell>
          <cell r="M7">
            <v>21</v>
          </cell>
          <cell r="N7">
            <v>2164.6874999999995</v>
          </cell>
          <cell r="O7">
            <v>103.08035714285712</v>
          </cell>
          <cell r="P7">
            <v>0</v>
          </cell>
          <cell r="Q7">
            <v>-11.205357142857167</v>
          </cell>
          <cell r="R7">
            <v>0.9019531249999998</v>
          </cell>
          <cell r="S7">
            <v>0</v>
          </cell>
          <cell r="T7">
            <v>0.3520833333333333</v>
          </cell>
          <cell r="U7">
            <v>0.39652777777777776</v>
          </cell>
          <cell r="V7">
            <v>8</v>
          </cell>
          <cell r="W7">
            <v>64.000000000000014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-235.31250000000045</v>
          </cell>
          <cell r="AC7">
            <v>0.9019531249999998</v>
          </cell>
          <cell r="AD7">
            <v>0</v>
          </cell>
        </row>
        <row r="8">
          <cell r="D8" t="str">
            <v>台式麻醬涼麵</v>
          </cell>
          <cell r="E8">
            <v>0</v>
          </cell>
          <cell r="F8">
            <v>31.266131815044861</v>
          </cell>
          <cell r="G8">
            <v>2157</v>
          </cell>
          <cell r="H8">
            <v>67441.046325051764</v>
          </cell>
          <cell r="I8">
            <v>0</v>
          </cell>
          <cell r="J8">
            <v>18</v>
          </cell>
          <cell r="K8">
            <v>2571</v>
          </cell>
          <cell r="L8">
            <v>142.83333333333334</v>
          </cell>
          <cell r="M8">
            <v>20</v>
          </cell>
          <cell r="N8">
            <v>2353.0909090909104</v>
          </cell>
          <cell r="O8">
            <v>117.65454545454551</v>
          </cell>
          <cell r="P8">
            <v>2</v>
          </cell>
          <cell r="Q8">
            <v>-25.17878787878783</v>
          </cell>
          <cell r="R8">
            <v>0.82371910469926846</v>
          </cell>
          <cell r="S8">
            <v>0</v>
          </cell>
          <cell r="T8">
            <v>0.41249999999999998</v>
          </cell>
          <cell r="U8">
            <v>0.4506944444444444</v>
          </cell>
          <cell r="V8">
            <v>23</v>
          </cell>
          <cell r="W8">
            <v>54.999999999999964</v>
          </cell>
          <cell r="X8">
            <v>0.39999999999999997</v>
          </cell>
          <cell r="Y8">
            <v>0.40972222222222227</v>
          </cell>
          <cell r="Z8">
            <v>0</v>
          </cell>
          <cell r="AA8">
            <v>0</v>
          </cell>
          <cell r="AB8">
            <v>-217.90909090908963</v>
          </cell>
          <cell r="AC8">
            <v>0.91524344966585391</v>
          </cell>
          <cell r="AD8">
            <v>0</v>
          </cell>
        </row>
        <row r="9">
          <cell r="D9" t="str">
            <v>日式蕎麥沾麵</v>
          </cell>
          <cell r="E9">
            <v>0</v>
          </cell>
          <cell r="F9">
            <v>36.86</v>
          </cell>
          <cell r="G9">
            <v>1746</v>
          </cell>
          <cell r="H9">
            <v>64357.56</v>
          </cell>
          <cell r="I9">
            <v>0</v>
          </cell>
          <cell r="J9">
            <v>20</v>
          </cell>
          <cell r="K9">
            <v>2250</v>
          </cell>
          <cell r="L9">
            <v>112.5</v>
          </cell>
          <cell r="M9">
            <v>20</v>
          </cell>
          <cell r="N9">
            <v>2328</v>
          </cell>
          <cell r="O9">
            <v>116.4</v>
          </cell>
          <cell r="P9">
            <v>0</v>
          </cell>
          <cell r="Q9">
            <v>3.9000000000000057</v>
          </cell>
          <cell r="R9">
            <v>1.0346666666666666</v>
          </cell>
          <cell r="S9">
            <v>0</v>
          </cell>
          <cell r="T9">
            <v>0.49097222222222214</v>
          </cell>
          <cell r="U9">
            <v>0.52222222222222214</v>
          </cell>
          <cell r="V9">
            <v>5</v>
          </cell>
          <cell r="W9">
            <v>45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78</v>
          </cell>
          <cell r="AC9">
            <v>1.0346666666666666</v>
          </cell>
          <cell r="AD9">
            <v>0</v>
          </cell>
        </row>
        <row r="10">
          <cell r="D10" t="str">
            <v>大滿足香辣涼麵</v>
          </cell>
          <cell r="E10">
            <v>0</v>
          </cell>
          <cell r="F10">
            <v>38.630952380952372</v>
          </cell>
          <cell r="G10">
            <v>2817</v>
          </cell>
          <cell r="H10">
            <v>108823.39285714284</v>
          </cell>
          <cell r="I10">
            <v>0</v>
          </cell>
          <cell r="J10">
            <v>19</v>
          </cell>
          <cell r="K10">
            <v>2571</v>
          </cell>
          <cell r="L10">
            <v>135.31578947368422</v>
          </cell>
          <cell r="M10">
            <v>20</v>
          </cell>
          <cell r="N10">
            <v>2414.5714285714262</v>
          </cell>
          <cell r="O10">
            <v>120.72857142857131</v>
          </cell>
          <cell r="P10">
            <v>1</v>
          </cell>
          <cell r="Q10">
            <v>-14.587218045112905</v>
          </cell>
          <cell r="R10">
            <v>0.89219869978329636</v>
          </cell>
          <cell r="S10">
            <v>0</v>
          </cell>
          <cell r="T10">
            <v>0.5263888888888888</v>
          </cell>
          <cell r="U10">
            <v>0.57499999999999996</v>
          </cell>
          <cell r="V10">
            <v>6</v>
          </cell>
          <cell r="W10">
            <v>70.000000000000071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-156.42857142857383</v>
          </cell>
          <cell r="AC10">
            <v>0.9391565260876803</v>
          </cell>
          <cell r="AD10">
            <v>0</v>
          </cell>
        </row>
        <row r="11">
          <cell r="D11" t="str">
            <v>大滿足麻醬涼麵</v>
          </cell>
          <cell r="E11">
            <v>0</v>
          </cell>
          <cell r="F11">
            <v>38</v>
          </cell>
          <cell r="G11">
            <v>3601</v>
          </cell>
          <cell r="H11">
            <v>136838</v>
          </cell>
          <cell r="I11">
            <v>0</v>
          </cell>
          <cell r="J11">
            <v>19</v>
          </cell>
          <cell r="K11">
            <v>2571</v>
          </cell>
          <cell r="L11">
            <v>135.31578947368422</v>
          </cell>
          <cell r="M11">
            <v>20</v>
          </cell>
          <cell r="N11">
            <v>2483.4482758620684</v>
          </cell>
          <cell r="O11">
            <v>124.17241379310342</v>
          </cell>
          <cell r="P11">
            <v>1</v>
          </cell>
          <cell r="Q11">
            <v>-11.143375680580803</v>
          </cell>
          <cell r="R11">
            <v>0.91764911010072525</v>
          </cell>
          <cell r="S11">
            <v>0</v>
          </cell>
          <cell r="T11">
            <v>0.59097222222222223</v>
          </cell>
          <cell r="U11">
            <v>0.65138888888888891</v>
          </cell>
          <cell r="V11">
            <v>23</v>
          </cell>
          <cell r="W11">
            <v>87.000000000000014</v>
          </cell>
          <cell r="X11">
            <v>0.57847222222222217</v>
          </cell>
          <cell r="Y11">
            <v>0.58819444444444446</v>
          </cell>
          <cell r="Z11">
            <v>0</v>
          </cell>
          <cell r="AA11">
            <v>0</v>
          </cell>
          <cell r="AB11">
            <v>-87.551724137931615</v>
          </cell>
          <cell r="AC11">
            <v>0.96594643168497407</v>
          </cell>
          <cell r="AD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 t="str">
            <v/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D16">
            <v>0</v>
          </cell>
          <cell r="E16">
            <v>0</v>
          </cell>
          <cell r="F16" t="str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</row>
        <row r="17">
          <cell r="D17" t="str">
            <v>平均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19.142857142857142</v>
          </cell>
          <cell r="K17">
            <v>2409</v>
          </cell>
          <cell r="L17">
            <v>126.23881131399928</v>
          </cell>
          <cell r="M17">
            <v>19.714285714285715</v>
          </cell>
          <cell r="N17">
            <v>2224.9573341901228</v>
          </cell>
          <cell r="O17">
            <v>112.86776730344491</v>
          </cell>
          <cell r="P17">
            <v>0.57142857142857295</v>
          </cell>
          <cell r="Q17">
            <v>-13.371044010554371</v>
          </cell>
          <cell r="R17">
            <v>0.89408135365520836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-184.04266580987724</v>
          </cell>
          <cell r="AC17">
            <v>0.92360204823168235</v>
          </cell>
          <cell r="AD17">
            <v>0</v>
          </cell>
        </row>
        <row r="18">
          <cell r="D18" t="str">
            <v>沙茶豬肉炒麵</v>
          </cell>
          <cell r="E18">
            <v>0</v>
          </cell>
          <cell r="F18">
            <v>49.52122153209109</v>
          </cell>
          <cell r="G18">
            <v>1965</v>
          </cell>
          <cell r="H18">
            <v>97309.200310558997</v>
          </cell>
          <cell r="I18">
            <v>0</v>
          </cell>
          <cell r="J18">
            <v>19</v>
          </cell>
          <cell r="K18">
            <v>1636</v>
          </cell>
          <cell r="L18">
            <v>86.10526315789474</v>
          </cell>
          <cell r="M18">
            <v>19</v>
          </cell>
          <cell r="N18">
            <v>1420.4819277108436</v>
          </cell>
          <cell r="O18">
            <v>74.762206721623343</v>
          </cell>
          <cell r="P18">
            <v>0</v>
          </cell>
          <cell r="Q18">
            <v>-11.343056436271397</v>
          </cell>
          <cell r="R18">
            <v>0.86826523698706815</v>
          </cell>
          <cell r="S18">
            <v>0.82447715276562583</v>
          </cell>
          <cell r="T18">
            <v>0.16666666666666666</v>
          </cell>
          <cell r="U18">
            <v>0.22430555555555554</v>
          </cell>
          <cell r="V18">
            <v>5</v>
          </cell>
          <cell r="W18">
            <v>82.999999999999986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-215.51807228915641</v>
          </cell>
          <cell r="AC18">
            <v>0.86826523698706826</v>
          </cell>
          <cell r="AD18">
            <v>0.82465059029730037</v>
          </cell>
        </row>
        <row r="19">
          <cell r="D19" t="str">
            <v>秘傳醬汁日式炒麵</v>
          </cell>
          <cell r="E19">
            <v>0</v>
          </cell>
          <cell r="F19">
            <v>49.91</v>
          </cell>
          <cell r="G19">
            <v>806</v>
          </cell>
          <cell r="H19">
            <v>40227.46</v>
          </cell>
          <cell r="I19">
            <v>0</v>
          </cell>
          <cell r="J19">
            <v>19</v>
          </cell>
          <cell r="K19">
            <v>1565</v>
          </cell>
          <cell r="L19">
            <v>82.368421052631575</v>
          </cell>
          <cell r="M19">
            <v>19</v>
          </cell>
          <cell r="N19">
            <v>1239.9999999999993</v>
          </cell>
          <cell r="O19">
            <v>65.263157894736807</v>
          </cell>
          <cell r="P19">
            <v>0</v>
          </cell>
          <cell r="Q19">
            <v>-17.105263157894768</v>
          </cell>
          <cell r="R19">
            <v>0.79233226837060666</v>
          </cell>
          <cell r="S19">
            <v>0</v>
          </cell>
          <cell r="T19">
            <v>0.23958333333333331</v>
          </cell>
          <cell r="U19">
            <v>0.26666666666666666</v>
          </cell>
          <cell r="V19">
            <v>22</v>
          </cell>
          <cell r="W19">
            <v>39.000000000000021</v>
          </cell>
          <cell r="X19">
            <v>0.22777777777777777</v>
          </cell>
          <cell r="Y19">
            <v>0.23680555555555557</v>
          </cell>
          <cell r="Z19">
            <v>0</v>
          </cell>
          <cell r="AA19">
            <v>0</v>
          </cell>
          <cell r="AB19">
            <v>-325.00000000000068</v>
          </cell>
          <cell r="AC19">
            <v>0.79233226837060655</v>
          </cell>
          <cell r="AD19">
            <v>0</v>
          </cell>
        </row>
        <row r="20">
          <cell r="D20" t="str">
            <v>青花椒麻雞肉拌麵</v>
          </cell>
          <cell r="E20">
            <v>0</v>
          </cell>
          <cell r="F20">
            <v>49.91</v>
          </cell>
          <cell r="G20">
            <v>2934</v>
          </cell>
          <cell r="H20">
            <v>146435.94</v>
          </cell>
          <cell r="I20">
            <v>0</v>
          </cell>
          <cell r="J20">
            <v>18</v>
          </cell>
          <cell r="K20">
            <v>1636</v>
          </cell>
          <cell r="L20">
            <v>90.888888888888886</v>
          </cell>
          <cell r="M20">
            <v>18</v>
          </cell>
          <cell r="N20">
            <v>1313.7313432835822</v>
          </cell>
          <cell r="O20">
            <v>72.985074626865682</v>
          </cell>
          <cell r="P20">
            <v>0</v>
          </cell>
          <cell r="Q20">
            <v>-17.903814262023204</v>
          </cell>
          <cell r="R20">
            <v>0.80301426851074709</v>
          </cell>
          <cell r="S20">
            <v>0</v>
          </cell>
          <cell r="T20">
            <v>0.2722222222222222</v>
          </cell>
          <cell r="U20">
            <v>0.36527777777777776</v>
          </cell>
          <cell r="V20">
            <v>8</v>
          </cell>
          <cell r="W20">
            <v>134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-322.26865671641781</v>
          </cell>
          <cell r="AC20">
            <v>0.80301426851074709</v>
          </cell>
          <cell r="AD20">
            <v>0</v>
          </cell>
        </row>
        <row r="21">
          <cell r="D21" t="str">
            <v>府城鹽水意麵</v>
          </cell>
          <cell r="E21">
            <v>0</v>
          </cell>
          <cell r="F21">
            <v>44.3</v>
          </cell>
          <cell r="G21">
            <v>3273</v>
          </cell>
          <cell r="H21">
            <v>144993.9</v>
          </cell>
          <cell r="I21">
            <v>0</v>
          </cell>
          <cell r="J21">
            <v>18</v>
          </cell>
          <cell r="K21">
            <v>1636</v>
          </cell>
          <cell r="L21">
            <v>90.888888888888886</v>
          </cell>
          <cell r="M21">
            <v>18</v>
          </cell>
          <cell r="N21">
            <v>1363.7500000000002</v>
          </cell>
          <cell r="O21">
            <v>75.7638888888889</v>
          </cell>
          <cell r="P21">
            <v>0</v>
          </cell>
          <cell r="Q21">
            <v>-15.124999999999986</v>
          </cell>
          <cell r="R21">
            <v>0.83358801955990236</v>
          </cell>
          <cell r="S21">
            <v>0</v>
          </cell>
          <cell r="T21">
            <v>0.38124999999999998</v>
          </cell>
          <cell r="U21">
            <v>0.48124999999999996</v>
          </cell>
          <cell r="V21">
            <v>23</v>
          </cell>
          <cell r="W21">
            <v>143.99999999999997</v>
          </cell>
          <cell r="X21">
            <v>0.36874999999999997</v>
          </cell>
          <cell r="Y21">
            <v>0.37847222222222227</v>
          </cell>
          <cell r="Z21">
            <v>0</v>
          </cell>
          <cell r="AA21">
            <v>0</v>
          </cell>
          <cell r="AB21">
            <v>-272.24999999999977</v>
          </cell>
          <cell r="AC21">
            <v>0.83358801955990236</v>
          </cell>
          <cell r="AD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e">
            <v>#DIV/0!</v>
          </cell>
          <cell r="AD22">
            <v>0</v>
          </cell>
        </row>
        <row r="23">
          <cell r="D23">
            <v>0</v>
          </cell>
          <cell r="E23">
            <v>0</v>
          </cell>
          <cell r="F23" t="str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e">
            <v>#DIV/0!</v>
          </cell>
          <cell r="AD23">
            <v>0</v>
          </cell>
        </row>
        <row r="24">
          <cell r="D24">
            <v>0</v>
          </cell>
          <cell r="E24">
            <v>0</v>
          </cell>
          <cell r="F24" t="str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e">
            <v>#DIV/0!</v>
          </cell>
          <cell r="AD24">
            <v>0</v>
          </cell>
        </row>
        <row r="25">
          <cell r="D25">
            <v>0</v>
          </cell>
          <cell r="E25">
            <v>0</v>
          </cell>
          <cell r="F25" t="str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e">
            <v>#DIV/0!</v>
          </cell>
          <cell r="AD25">
            <v>0</v>
          </cell>
        </row>
        <row r="26">
          <cell r="D26">
            <v>0</v>
          </cell>
          <cell r="E26">
            <v>0</v>
          </cell>
          <cell r="F26" t="str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e">
            <v>#DIV/0!</v>
          </cell>
          <cell r="AD26">
            <v>0</v>
          </cell>
        </row>
        <row r="27">
          <cell r="D27">
            <v>0</v>
          </cell>
          <cell r="E27">
            <v>0</v>
          </cell>
          <cell r="F27" t="str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e">
            <v>#DIV/0!</v>
          </cell>
          <cell r="AD27">
            <v>0</v>
          </cell>
        </row>
        <row r="28">
          <cell r="D28">
            <v>0</v>
          </cell>
          <cell r="E28">
            <v>0</v>
          </cell>
          <cell r="F28" t="str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e">
            <v>#DIV/0!</v>
          </cell>
          <cell r="AD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e">
            <v>#DIV/0!</v>
          </cell>
          <cell r="AD29">
            <v>0</v>
          </cell>
        </row>
        <row r="30">
          <cell r="D30" t="str">
            <v>平均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18.5</v>
          </cell>
          <cell r="K30">
            <v>1618.25</v>
          </cell>
          <cell r="L30">
            <v>87.562865497076018</v>
          </cell>
          <cell r="M30">
            <v>18.5</v>
          </cell>
          <cell r="N30">
            <v>1334.4908177486063</v>
          </cell>
          <cell r="O30">
            <v>72.19358203302869</v>
          </cell>
          <cell r="P30">
            <v>0</v>
          </cell>
          <cell r="Q30">
            <v>-15.369283464047328</v>
          </cell>
          <cell r="R30">
            <v>0.82447715276562583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-283.75918225139367</v>
          </cell>
          <cell r="AC30">
            <v>0.82465059029730037</v>
          </cell>
          <cell r="AD30">
            <v>0</v>
          </cell>
        </row>
        <row r="31">
          <cell r="D31" t="str">
            <v>辣腐乳麻醬豬肉拌麵</v>
          </cell>
          <cell r="E31">
            <v>0</v>
          </cell>
          <cell r="F31">
            <v>49.91</v>
          </cell>
          <cell r="G31">
            <v>1503</v>
          </cell>
          <cell r="H31">
            <v>75014.73</v>
          </cell>
          <cell r="I31">
            <v>0</v>
          </cell>
          <cell r="J31">
            <v>19</v>
          </cell>
          <cell r="K31">
            <v>1636</v>
          </cell>
          <cell r="L31">
            <v>86.10526315789474</v>
          </cell>
          <cell r="M31">
            <v>19</v>
          </cell>
          <cell r="N31">
            <v>1270.1408450704228</v>
          </cell>
          <cell r="O31">
            <v>66.849518161601196</v>
          </cell>
          <cell r="P31">
            <v>0</v>
          </cell>
          <cell r="Q31">
            <v>-19.255744996293544</v>
          </cell>
          <cell r="R31">
            <v>0.77636970970074737</v>
          </cell>
          <cell r="S31">
            <v>0.88224613890409087</v>
          </cell>
          <cell r="T31">
            <v>0.16666666666666666</v>
          </cell>
          <cell r="U31">
            <v>0.2159722222222222</v>
          </cell>
          <cell r="V31">
            <v>5</v>
          </cell>
          <cell r="W31">
            <v>70.999999999999986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-365.85915492957724</v>
          </cell>
          <cell r="AC31">
            <v>0.77636970970074737</v>
          </cell>
          <cell r="AD31">
            <v>0.85306555888971836</v>
          </cell>
        </row>
        <row r="32">
          <cell r="D32" t="str">
            <v>滿滿杏鮑菇三杯拌麵</v>
          </cell>
          <cell r="E32">
            <v>0</v>
          </cell>
          <cell r="F32">
            <v>46.6</v>
          </cell>
          <cell r="G32">
            <v>2754</v>
          </cell>
          <cell r="H32">
            <v>128336.40000000001</v>
          </cell>
          <cell r="I32">
            <v>0</v>
          </cell>
          <cell r="J32">
            <v>19</v>
          </cell>
          <cell r="K32">
            <v>1636</v>
          </cell>
          <cell r="L32">
            <v>86.10526315789474</v>
          </cell>
          <cell r="M32">
            <v>18</v>
          </cell>
          <cell r="N32">
            <v>1354.4262295081962</v>
          </cell>
          <cell r="O32">
            <v>75.24590163934424</v>
          </cell>
          <cell r="P32">
            <v>-1</v>
          </cell>
          <cell r="Q32">
            <v>-10.8593615185505</v>
          </cell>
          <cell r="R32">
            <v>0.87388272075033036</v>
          </cell>
          <cell r="S32">
            <v>0</v>
          </cell>
          <cell r="T32">
            <v>0.22152777777777777</v>
          </cell>
          <cell r="U32">
            <v>0.30625000000000002</v>
          </cell>
          <cell r="V32">
            <v>8</v>
          </cell>
          <cell r="W32">
            <v>122.00000000000004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-281.57377049180377</v>
          </cell>
          <cell r="AC32">
            <v>0.82788889334241822</v>
          </cell>
          <cell r="AD32">
            <v>0</v>
          </cell>
        </row>
        <row r="33">
          <cell r="D33" t="str">
            <v>老北京風味炸醬麵</v>
          </cell>
          <cell r="E33">
            <v>0</v>
          </cell>
          <cell r="F33">
            <v>47.66</v>
          </cell>
          <cell r="G33">
            <v>989</v>
          </cell>
          <cell r="H33">
            <v>47135.74</v>
          </cell>
          <cell r="I33">
            <v>0</v>
          </cell>
          <cell r="J33">
            <v>17</v>
          </cell>
          <cell r="K33">
            <v>1500</v>
          </cell>
          <cell r="L33">
            <v>88.235294117647058</v>
          </cell>
          <cell r="M33">
            <v>17</v>
          </cell>
          <cell r="N33">
            <v>1318.6666666666667</v>
          </cell>
          <cell r="O33">
            <v>77.568627450980401</v>
          </cell>
          <cell r="P33">
            <v>0</v>
          </cell>
          <cell r="Q33">
            <v>-10.666666666666657</v>
          </cell>
          <cell r="R33">
            <v>0.87911111111111118</v>
          </cell>
          <cell r="S33">
            <v>0</v>
          </cell>
          <cell r="T33">
            <v>0.3215277777777778</v>
          </cell>
          <cell r="U33">
            <v>0.3527777777777778</v>
          </cell>
          <cell r="V33">
            <v>22</v>
          </cell>
          <cell r="W33">
            <v>45</v>
          </cell>
          <cell r="X33">
            <v>0.30972222222222223</v>
          </cell>
          <cell r="Y33">
            <v>0.31875000000000003</v>
          </cell>
          <cell r="Z33">
            <v>0</v>
          </cell>
          <cell r="AA33">
            <v>0</v>
          </cell>
          <cell r="AB33">
            <v>-181.33333333333326</v>
          </cell>
          <cell r="AC33">
            <v>0.87911111111111118</v>
          </cell>
          <cell r="AD33">
            <v>0</v>
          </cell>
        </row>
        <row r="34">
          <cell r="D34" t="str">
            <v>多穀紫米飯</v>
          </cell>
          <cell r="E34">
            <v>0</v>
          </cell>
          <cell r="F34">
            <v>11.6</v>
          </cell>
          <cell r="G34">
            <v>2587</v>
          </cell>
          <cell r="H34">
            <v>30009.200000000001</v>
          </cell>
          <cell r="I34">
            <v>0</v>
          </cell>
          <cell r="J34">
            <v>8</v>
          </cell>
          <cell r="K34">
            <v>1600</v>
          </cell>
          <cell r="L34">
            <v>200</v>
          </cell>
          <cell r="M34">
            <v>8</v>
          </cell>
          <cell r="N34">
            <v>1492.4999999999995</v>
          </cell>
          <cell r="O34">
            <v>186.56249999999994</v>
          </cell>
          <cell r="P34">
            <v>0</v>
          </cell>
          <cell r="Q34">
            <v>-13.437500000000057</v>
          </cell>
          <cell r="R34">
            <v>0.93281249999999971</v>
          </cell>
          <cell r="S34">
            <v>0</v>
          </cell>
          <cell r="T34">
            <v>0.35833333333333334</v>
          </cell>
          <cell r="U34">
            <v>0.43055555555555558</v>
          </cell>
          <cell r="V34">
            <v>8</v>
          </cell>
          <cell r="W34">
            <v>104.00000000000003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-107.50000000000045</v>
          </cell>
          <cell r="AC34">
            <v>0.93281249999999971</v>
          </cell>
          <cell r="AD34">
            <v>0</v>
          </cell>
        </row>
        <row r="35">
          <cell r="D35">
            <v>0</v>
          </cell>
          <cell r="E35">
            <v>0</v>
          </cell>
          <cell r="F35" t="str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e">
            <v>#DIV/0!</v>
          </cell>
          <cell r="AD35">
            <v>0</v>
          </cell>
        </row>
        <row r="36">
          <cell r="D36">
            <v>0</v>
          </cell>
          <cell r="E36">
            <v>0</v>
          </cell>
          <cell r="F36" t="str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e">
            <v>#DIV/0!</v>
          </cell>
          <cell r="AD36">
            <v>0</v>
          </cell>
        </row>
        <row r="37">
          <cell r="D37">
            <v>0</v>
          </cell>
          <cell r="E37">
            <v>0</v>
          </cell>
          <cell r="F37" t="str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/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e">
            <v>#DIV/0!</v>
          </cell>
          <cell r="AD37">
            <v>0</v>
          </cell>
        </row>
        <row r="38">
          <cell r="D38">
            <v>0</v>
          </cell>
          <cell r="E38">
            <v>0</v>
          </cell>
          <cell r="F38" t="str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e">
            <v>#DIV/0!</v>
          </cell>
          <cell r="AD38">
            <v>0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</row>
        <row r="43">
          <cell r="D43" t="str">
            <v>平均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15.75</v>
          </cell>
          <cell r="K43">
            <v>1593</v>
          </cell>
          <cell r="L43">
            <v>115.11145510835914</v>
          </cell>
          <cell r="M43">
            <v>15.5</v>
          </cell>
          <cell r="N43">
            <v>1358.9334353113213</v>
          </cell>
          <cell r="O43">
            <v>101.55663681298144</v>
          </cell>
          <cell r="P43">
            <v>-0.25</v>
          </cell>
          <cell r="Q43">
            <v>-234.06656468867868</v>
          </cell>
          <cell r="R43">
            <v>0.88224613890409087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-234.06656468867868</v>
          </cell>
          <cell r="AC43">
            <v>0.85306555888971836</v>
          </cell>
          <cell r="AD43">
            <v>0</v>
          </cell>
        </row>
        <row r="44">
          <cell r="D44" t="str">
            <v>糖燻豬耳絲</v>
          </cell>
          <cell r="E44">
            <v>0</v>
          </cell>
          <cell r="F44">
            <v>28.26</v>
          </cell>
          <cell r="G44">
            <v>2003</v>
          </cell>
          <cell r="H44">
            <v>56604.780000000006</v>
          </cell>
          <cell r="I44">
            <v>0</v>
          </cell>
          <cell r="J44">
            <v>5</v>
          </cell>
          <cell r="K44">
            <v>1500</v>
          </cell>
          <cell r="L44">
            <v>300</v>
          </cell>
          <cell r="M44">
            <v>6</v>
          </cell>
          <cell r="N44">
            <v>1178.2352941176471</v>
          </cell>
          <cell r="O44">
            <v>196.37254901960785</v>
          </cell>
          <cell r="P44">
            <v>1</v>
          </cell>
          <cell r="Q44">
            <v>-103.62745098039215</v>
          </cell>
          <cell r="R44">
            <v>0.65457516339869282</v>
          </cell>
          <cell r="S44">
            <v>0.84478261028032886</v>
          </cell>
          <cell r="T44">
            <v>0.16666666666666666</v>
          </cell>
          <cell r="U44">
            <v>0.23749999999999999</v>
          </cell>
          <cell r="V44">
            <v>5</v>
          </cell>
          <cell r="W44">
            <v>102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-321.76470588235293</v>
          </cell>
          <cell r="AC44">
            <v>0.7854901960784314</v>
          </cell>
          <cell r="AD44">
            <v>0.85517936094527569</v>
          </cell>
        </row>
        <row r="45">
          <cell r="D45" t="str">
            <v>(隨)優質池上飯</v>
          </cell>
          <cell r="E45">
            <v>0</v>
          </cell>
          <cell r="F45">
            <v>10.09</v>
          </cell>
          <cell r="G45">
            <v>42</v>
          </cell>
          <cell r="H45">
            <v>423.78</v>
          </cell>
          <cell r="I45">
            <v>0</v>
          </cell>
          <cell r="J45">
            <v>5</v>
          </cell>
          <cell r="K45">
            <v>1600</v>
          </cell>
          <cell r="L45">
            <v>320</v>
          </cell>
          <cell r="M45">
            <v>5</v>
          </cell>
          <cell r="N45">
            <v>840.00000000000296</v>
          </cell>
          <cell r="O45">
            <v>168.0000000000006</v>
          </cell>
          <cell r="P45">
            <v>0</v>
          </cell>
          <cell r="Q45">
            <v>-151.9999999999994</v>
          </cell>
          <cell r="R45">
            <v>0.52500000000000191</v>
          </cell>
          <cell r="S45">
            <v>0</v>
          </cell>
          <cell r="T45">
            <v>0.24305555555555555</v>
          </cell>
          <cell r="U45">
            <v>0.24513888888888888</v>
          </cell>
          <cell r="V45">
            <v>8</v>
          </cell>
          <cell r="W45">
            <v>2.9999999999999893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-759.99999999999704</v>
          </cell>
          <cell r="AC45">
            <v>0.5250000000000018</v>
          </cell>
          <cell r="AD45">
            <v>0</v>
          </cell>
        </row>
        <row r="46">
          <cell r="D46" t="str">
            <v>優質池上飯</v>
          </cell>
          <cell r="E46">
            <v>0</v>
          </cell>
          <cell r="F46">
            <v>10.09</v>
          </cell>
          <cell r="G46">
            <v>6614.28</v>
          </cell>
          <cell r="H46">
            <v>66738.085200000001</v>
          </cell>
          <cell r="I46">
            <v>0</v>
          </cell>
          <cell r="J46">
            <v>5</v>
          </cell>
          <cell r="K46">
            <v>1600</v>
          </cell>
          <cell r="L46">
            <v>320</v>
          </cell>
          <cell r="M46">
            <v>5</v>
          </cell>
          <cell r="N46">
            <v>1526.3723076923077</v>
          </cell>
          <cell r="O46">
            <v>305.27446153846154</v>
          </cell>
          <cell r="P46">
            <v>0</v>
          </cell>
          <cell r="Q46">
            <v>-14.725538461538463</v>
          </cell>
          <cell r="R46">
            <v>0.95398269230769228</v>
          </cell>
          <cell r="S46">
            <v>0</v>
          </cell>
          <cell r="T46">
            <v>0.24652777777777776</v>
          </cell>
          <cell r="U46">
            <v>0.42708333333333331</v>
          </cell>
          <cell r="V46">
            <v>2</v>
          </cell>
          <cell r="W46">
            <v>260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-73.627692307692314</v>
          </cell>
          <cell r="AC46">
            <v>0.95398269230769228</v>
          </cell>
          <cell r="AD46">
            <v>0</v>
          </cell>
        </row>
        <row r="47">
          <cell r="D47" t="str">
            <v>優質池上飯</v>
          </cell>
          <cell r="E47">
            <v>0</v>
          </cell>
          <cell r="F47">
            <v>10.09</v>
          </cell>
          <cell r="G47">
            <v>4989.72</v>
          </cell>
          <cell r="H47">
            <v>50346.274799999999</v>
          </cell>
          <cell r="I47">
            <v>0</v>
          </cell>
          <cell r="J47">
            <v>5</v>
          </cell>
          <cell r="K47">
            <v>1600</v>
          </cell>
          <cell r="L47">
            <v>320</v>
          </cell>
          <cell r="M47">
            <v>5</v>
          </cell>
          <cell r="N47">
            <v>1527.4653061224487</v>
          </cell>
          <cell r="O47">
            <v>305.49306122448974</v>
          </cell>
          <cell r="P47">
            <v>0</v>
          </cell>
          <cell r="Q47">
            <v>-14.506938775510264</v>
          </cell>
          <cell r="R47">
            <v>0.95466581632653047</v>
          </cell>
          <cell r="S47">
            <v>0</v>
          </cell>
          <cell r="T47">
            <v>0.46527777777777773</v>
          </cell>
          <cell r="U47">
            <v>0.60138888888888886</v>
          </cell>
          <cell r="V47">
            <v>5</v>
          </cell>
          <cell r="W47">
            <v>196.00000000000003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-72.534693877551263</v>
          </cell>
          <cell r="AC47">
            <v>0.95466581632653047</v>
          </cell>
          <cell r="AD47">
            <v>0</v>
          </cell>
        </row>
        <row r="48">
          <cell r="D48" t="str">
            <v>鮭魚炙燒明太子烤飯糰</v>
          </cell>
          <cell r="E48">
            <v>0</v>
          </cell>
          <cell r="F48">
            <v>24.94</v>
          </cell>
          <cell r="G48">
            <v>547</v>
          </cell>
          <cell r="H48">
            <v>13642.18</v>
          </cell>
          <cell r="I48">
            <v>0</v>
          </cell>
          <cell r="J48">
            <v>4</v>
          </cell>
          <cell r="K48">
            <v>2000</v>
          </cell>
          <cell r="L48">
            <v>500</v>
          </cell>
          <cell r="M48">
            <v>4</v>
          </cell>
          <cell r="N48">
            <v>1823.3333333333399</v>
          </cell>
          <cell r="O48">
            <v>455.83333333333496</v>
          </cell>
          <cell r="P48">
            <v>0</v>
          </cell>
          <cell r="Q48">
            <v>-44.166666666665037</v>
          </cell>
          <cell r="R48">
            <v>0.91166666666666996</v>
          </cell>
          <cell r="S48">
            <v>0</v>
          </cell>
          <cell r="T48">
            <v>0.61666666666666659</v>
          </cell>
          <cell r="U48">
            <v>0.62916666666666654</v>
          </cell>
          <cell r="V48">
            <v>22</v>
          </cell>
          <cell r="W48">
            <v>17.999999999999936</v>
          </cell>
          <cell r="X48">
            <v>0.60486111111111118</v>
          </cell>
          <cell r="Y48">
            <v>0.61388888888888882</v>
          </cell>
          <cell r="Z48">
            <v>0</v>
          </cell>
          <cell r="AA48">
            <v>0</v>
          </cell>
          <cell r="AB48">
            <v>-176.66666666666015</v>
          </cell>
          <cell r="AC48">
            <v>0.91166666666666996</v>
          </cell>
          <cell r="AD48">
            <v>0</v>
          </cell>
        </row>
        <row r="49">
          <cell r="D49" t="str">
            <v>淡麗清酒蒸蛤蜊烤飯糰</v>
          </cell>
          <cell r="E49">
            <v>0</v>
          </cell>
          <cell r="F49">
            <v>24.73</v>
          </cell>
          <cell r="G49">
            <v>542</v>
          </cell>
          <cell r="H49">
            <v>13403.66</v>
          </cell>
          <cell r="I49">
            <v>0</v>
          </cell>
          <cell r="J49">
            <v>4</v>
          </cell>
          <cell r="K49">
            <v>2000</v>
          </cell>
          <cell r="L49">
            <v>500</v>
          </cell>
          <cell r="M49">
            <v>4</v>
          </cell>
          <cell r="N49">
            <v>1912.9411764705951</v>
          </cell>
          <cell r="O49">
            <v>478.23529411764878</v>
          </cell>
          <cell r="P49">
            <v>0</v>
          </cell>
          <cell r="Q49">
            <v>-21.764705882351222</v>
          </cell>
          <cell r="R49">
            <v>0.95647058823529751</v>
          </cell>
          <cell r="S49">
            <v>0</v>
          </cell>
          <cell r="T49">
            <v>0.63263888888888875</v>
          </cell>
          <cell r="U49">
            <v>0.64444444444444426</v>
          </cell>
          <cell r="V49">
            <v>5</v>
          </cell>
          <cell r="W49">
            <v>16.99999999999994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-87.05882352940489</v>
          </cell>
          <cell r="AC49">
            <v>0.95647058823529751</v>
          </cell>
          <cell r="AD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e">
            <v>#DIV/0!</v>
          </cell>
          <cell r="AD50">
            <v>0</v>
          </cell>
        </row>
        <row r="51">
          <cell r="D51">
            <v>0</v>
          </cell>
          <cell r="E51">
            <v>0</v>
          </cell>
          <cell r="F51" t="str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/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e">
            <v>#DIV/0!</v>
          </cell>
          <cell r="AD51">
            <v>0</v>
          </cell>
        </row>
        <row r="52">
          <cell r="D52">
            <v>0</v>
          </cell>
          <cell r="E52">
            <v>0</v>
          </cell>
          <cell r="F52" t="str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e">
            <v>#DIV/0!</v>
          </cell>
          <cell r="AD52">
            <v>0</v>
          </cell>
        </row>
        <row r="53">
          <cell r="D53">
            <v>0</v>
          </cell>
          <cell r="E53">
            <v>0</v>
          </cell>
          <cell r="F53" t="str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</row>
        <row r="54">
          <cell r="D54">
            <v>0</v>
          </cell>
          <cell r="E54">
            <v>0</v>
          </cell>
          <cell r="F54" t="str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</row>
        <row r="55">
          <cell r="D55">
            <v>0</v>
          </cell>
          <cell r="E55">
            <v>0</v>
          </cell>
          <cell r="F55" t="str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D56" t="str">
            <v>平均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4.666666666666667</v>
          </cell>
          <cell r="K56">
            <v>1716.6666666666667</v>
          </cell>
          <cell r="L56">
            <v>376.66666666666669</v>
          </cell>
          <cell r="M56">
            <v>4.833333333333333</v>
          </cell>
          <cell r="N56">
            <v>1468.0579029560568</v>
          </cell>
          <cell r="O56">
            <v>318.20144987225723</v>
          </cell>
          <cell r="P56">
            <v>0.16666666666666607</v>
          </cell>
          <cell r="Q56">
            <v>-248.60876371060999</v>
          </cell>
          <cell r="R56">
            <v>0.84478261028032886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-248.60876371060999</v>
          </cell>
          <cell r="AC56">
            <v>0.85517936094527569</v>
          </cell>
          <cell r="AD56">
            <v>0</v>
          </cell>
        </row>
        <row r="57">
          <cell r="D57" t="str">
            <v>韓式蒜味炸雞</v>
          </cell>
          <cell r="E57">
            <v>0</v>
          </cell>
          <cell r="F57">
            <v>28</v>
          </cell>
          <cell r="G57">
            <v>2936</v>
          </cell>
          <cell r="H57">
            <v>82208</v>
          </cell>
          <cell r="I57">
            <v>0</v>
          </cell>
          <cell r="J57">
            <v>15</v>
          </cell>
          <cell r="K57">
            <v>1500</v>
          </cell>
          <cell r="L57">
            <v>100</v>
          </cell>
          <cell r="M57">
            <v>15</v>
          </cell>
          <cell r="N57">
            <v>1314.6268656716418</v>
          </cell>
          <cell r="O57">
            <v>87.641791044776113</v>
          </cell>
          <cell r="P57">
            <v>0</v>
          </cell>
          <cell r="Q57">
            <v>-12.358208955223887</v>
          </cell>
          <cell r="R57">
            <v>0.87641791044776118</v>
          </cell>
          <cell r="S57">
            <v>0.92525377262631781</v>
          </cell>
          <cell r="T57">
            <v>0.29166666666666669</v>
          </cell>
          <cell r="U57">
            <v>0.38472222222222224</v>
          </cell>
          <cell r="V57">
            <v>5</v>
          </cell>
          <cell r="W57">
            <v>134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-185.37313432835822</v>
          </cell>
          <cell r="AC57">
            <v>0.87641791044776118</v>
          </cell>
          <cell r="AD57">
            <v>0.95938052213847191</v>
          </cell>
        </row>
        <row r="58">
          <cell r="D58" t="str">
            <v>香辣醬粉絲煲</v>
          </cell>
          <cell r="E58">
            <v>0</v>
          </cell>
          <cell r="F58">
            <v>29.113149847094796</v>
          </cell>
          <cell r="G58">
            <v>2361</v>
          </cell>
          <cell r="H58">
            <v>68736.146788990809</v>
          </cell>
          <cell r="I58">
            <v>0</v>
          </cell>
          <cell r="J58">
            <v>18</v>
          </cell>
          <cell r="K58">
            <v>1500</v>
          </cell>
          <cell r="L58">
            <v>83.333333333333329</v>
          </cell>
          <cell r="M58">
            <v>18</v>
          </cell>
          <cell r="N58">
            <v>1210.7692307692309</v>
          </cell>
          <cell r="O58">
            <v>67.264957264957275</v>
          </cell>
          <cell r="P58">
            <v>0</v>
          </cell>
          <cell r="Q58">
            <v>-16.068376068376054</v>
          </cell>
          <cell r="R58">
            <v>0.80717948717948729</v>
          </cell>
          <cell r="S58">
            <v>0</v>
          </cell>
          <cell r="T58">
            <v>0.40069444444444446</v>
          </cell>
          <cell r="U58">
            <v>0.48194444444444445</v>
          </cell>
          <cell r="V58">
            <v>23</v>
          </cell>
          <cell r="W58">
            <v>116.99999999999999</v>
          </cell>
          <cell r="X58">
            <v>0.38819444444444445</v>
          </cell>
          <cell r="Y58">
            <v>0.3979166666666667</v>
          </cell>
          <cell r="Z58">
            <v>0</v>
          </cell>
          <cell r="AA58">
            <v>0</v>
          </cell>
          <cell r="AB58">
            <v>-289.23076923076906</v>
          </cell>
          <cell r="AC58">
            <v>0.80717948717948729</v>
          </cell>
          <cell r="AD58">
            <v>0</v>
          </cell>
        </row>
        <row r="59">
          <cell r="D59" t="str">
            <v>日式擔擔冷麵</v>
          </cell>
          <cell r="E59">
            <v>0</v>
          </cell>
          <cell r="F59">
            <v>43.61</v>
          </cell>
          <cell r="G59">
            <v>788</v>
          </cell>
          <cell r="H59">
            <v>34364.68</v>
          </cell>
          <cell r="I59">
            <v>0</v>
          </cell>
          <cell r="J59">
            <v>19</v>
          </cell>
          <cell r="K59">
            <v>2000</v>
          </cell>
          <cell r="L59">
            <v>105.26315789473684</v>
          </cell>
          <cell r="M59">
            <v>20</v>
          </cell>
          <cell r="N59">
            <v>2055.6521739130508</v>
          </cell>
          <cell r="O59">
            <v>102.78260869565254</v>
          </cell>
          <cell r="P59">
            <v>1</v>
          </cell>
          <cell r="Q59">
            <v>-2.4805491990842938</v>
          </cell>
          <cell r="R59">
            <v>0.9764347826086992</v>
          </cell>
          <cell r="S59">
            <v>0</v>
          </cell>
          <cell r="T59">
            <v>0.52222222222222225</v>
          </cell>
          <cell r="U59">
            <v>0.53819444444444442</v>
          </cell>
          <cell r="V59">
            <v>5</v>
          </cell>
          <cell r="W59">
            <v>22.999999999999918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55.652173913050774</v>
          </cell>
          <cell r="AC59">
            <v>1.0278260869565254</v>
          </cell>
          <cell r="AD59">
            <v>0</v>
          </cell>
        </row>
        <row r="60">
          <cell r="D60" t="str">
            <v>日式胡麻雞絲冷麵</v>
          </cell>
          <cell r="E60">
            <v>0</v>
          </cell>
          <cell r="F60">
            <v>46.93</v>
          </cell>
          <cell r="G60">
            <v>925</v>
          </cell>
          <cell r="H60">
            <v>43410.25</v>
          </cell>
          <cell r="I60">
            <v>0</v>
          </cell>
          <cell r="J60">
            <v>19</v>
          </cell>
          <cell r="K60">
            <v>2000</v>
          </cell>
          <cell r="L60">
            <v>105.26315789473684</v>
          </cell>
          <cell r="M60">
            <v>20</v>
          </cell>
          <cell r="N60">
            <v>2134.6153846153793</v>
          </cell>
          <cell r="O60">
            <v>106.73076923076897</v>
          </cell>
          <cell r="P60">
            <v>1</v>
          </cell>
          <cell r="Q60">
            <v>1.4676113360321352</v>
          </cell>
          <cell r="R60">
            <v>1.0139423076923053</v>
          </cell>
          <cell r="S60">
            <v>0</v>
          </cell>
          <cell r="T60">
            <v>0.54305555555555551</v>
          </cell>
          <cell r="U60">
            <v>0.56111111111111112</v>
          </cell>
          <cell r="V60">
            <v>7</v>
          </cell>
          <cell r="W60">
            <v>26.000000000000068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134.6153846153793</v>
          </cell>
          <cell r="AC60">
            <v>1.0673076923076896</v>
          </cell>
          <cell r="AD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e">
            <v>#DIV/0!</v>
          </cell>
          <cell r="AD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e">
            <v>#DIV/0!</v>
          </cell>
          <cell r="AD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e">
            <v>#DIV/0!</v>
          </cell>
          <cell r="AD63">
            <v>0</v>
          </cell>
        </row>
        <row r="64">
          <cell r="D64">
            <v>0</v>
          </cell>
          <cell r="E64">
            <v>0</v>
          </cell>
          <cell r="F64" t="str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e">
            <v>#DIV/0!</v>
          </cell>
          <cell r="AD64">
            <v>0</v>
          </cell>
        </row>
        <row r="65">
          <cell r="D65">
            <v>0</v>
          </cell>
          <cell r="E65">
            <v>0</v>
          </cell>
          <cell r="F65" t="str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e">
            <v>#DIV/0!</v>
          </cell>
          <cell r="AD65">
            <v>0</v>
          </cell>
        </row>
        <row r="66">
          <cell r="D66">
            <v>0</v>
          </cell>
          <cell r="E66">
            <v>0</v>
          </cell>
          <cell r="F66" t="str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e">
            <v>#DIV/0!</v>
          </cell>
          <cell r="AD66">
            <v>0</v>
          </cell>
        </row>
        <row r="67">
          <cell r="D67">
            <v>0</v>
          </cell>
          <cell r="E67">
            <v>0</v>
          </cell>
          <cell r="F67" t="str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e">
            <v>#DIV/0!</v>
          </cell>
          <cell r="AD67">
            <v>0</v>
          </cell>
        </row>
        <row r="68">
          <cell r="D68">
            <v>0</v>
          </cell>
          <cell r="E68">
            <v>0</v>
          </cell>
          <cell r="F68" t="str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9">
          <cell r="D69" t="str">
            <v>平均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17.75</v>
          </cell>
          <cell r="K69">
            <v>1750</v>
          </cell>
          <cell r="L69">
            <v>98.464912280701739</v>
          </cell>
          <cell r="M69">
            <v>18.25</v>
          </cell>
          <cell r="N69">
            <v>1678.9159137423258</v>
          </cell>
          <cell r="O69">
            <v>91.105031559038736</v>
          </cell>
          <cell r="P69">
            <v>0.5</v>
          </cell>
          <cell r="Q69">
            <v>-71.084086257674244</v>
          </cell>
          <cell r="R69">
            <v>0.92525377262631781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-71.084086257674244</v>
          </cell>
          <cell r="AC69">
            <v>0.95938052213847191</v>
          </cell>
          <cell r="AD69">
            <v>0</v>
          </cell>
        </row>
        <row r="70">
          <cell r="D70" t="str">
            <v>嘉義劉里長雞肉飯</v>
          </cell>
          <cell r="E70">
            <v>0</v>
          </cell>
          <cell r="F70">
            <v>47.65</v>
          </cell>
          <cell r="G70">
            <v>1763</v>
          </cell>
          <cell r="H70">
            <v>84006.95</v>
          </cell>
          <cell r="I70">
            <v>0</v>
          </cell>
          <cell r="J70">
            <v>19</v>
          </cell>
          <cell r="K70">
            <v>1440</v>
          </cell>
          <cell r="L70">
            <v>75.78947368421052</v>
          </cell>
          <cell r="M70">
            <v>19</v>
          </cell>
          <cell r="N70">
            <v>1274.4578313253007</v>
          </cell>
          <cell r="O70">
            <v>67.076727964489507</v>
          </cell>
          <cell r="P70">
            <v>0</v>
          </cell>
          <cell r="Q70">
            <v>-8.7127457197210134</v>
          </cell>
          <cell r="R70">
            <v>0.88504016064256996</v>
          </cell>
          <cell r="S70">
            <v>0.81446376832271972</v>
          </cell>
          <cell r="T70">
            <v>0.29166666666666669</v>
          </cell>
          <cell r="U70">
            <v>0.34930555555555559</v>
          </cell>
          <cell r="V70">
            <v>5</v>
          </cell>
          <cell r="W70">
            <v>83.000000000000028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-165.54216867469927</v>
          </cell>
          <cell r="AC70">
            <v>0.88504016064256996</v>
          </cell>
          <cell r="AD70">
            <v>0.81257287060225669</v>
          </cell>
        </row>
        <row r="71">
          <cell r="D71" t="str">
            <v>金門高粱香腸腿排便當</v>
          </cell>
          <cell r="E71">
            <v>0</v>
          </cell>
          <cell r="F71">
            <v>65.650000000000006</v>
          </cell>
          <cell r="G71">
            <v>2331</v>
          </cell>
          <cell r="H71">
            <v>153030.15000000002</v>
          </cell>
          <cell r="I71">
            <v>0</v>
          </cell>
          <cell r="J71">
            <v>18</v>
          </cell>
          <cell r="K71">
            <v>1440</v>
          </cell>
          <cell r="L71">
            <v>80</v>
          </cell>
          <cell r="M71">
            <v>18</v>
          </cell>
          <cell r="N71">
            <v>1260</v>
          </cell>
          <cell r="O71">
            <v>70</v>
          </cell>
          <cell r="P71">
            <v>0</v>
          </cell>
          <cell r="Q71">
            <v>-10</v>
          </cell>
          <cell r="R71">
            <v>0.875</v>
          </cell>
          <cell r="S71">
            <v>0</v>
          </cell>
          <cell r="T71">
            <v>0.35486111111111113</v>
          </cell>
          <cell r="U71">
            <v>0.43194444444444446</v>
          </cell>
          <cell r="V71">
            <v>8</v>
          </cell>
          <cell r="W71">
            <v>111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-180</v>
          </cell>
          <cell r="AC71">
            <v>0.875</v>
          </cell>
          <cell r="AD71">
            <v>0</v>
          </cell>
        </row>
        <row r="72">
          <cell r="D72" t="str">
            <v>日式中濃醬炭火漢堡排飯</v>
          </cell>
          <cell r="E72">
            <v>0</v>
          </cell>
          <cell r="F72">
            <v>56.85</v>
          </cell>
          <cell r="G72">
            <v>515</v>
          </cell>
          <cell r="H72">
            <v>29277.75</v>
          </cell>
          <cell r="I72">
            <v>0</v>
          </cell>
          <cell r="J72">
            <v>18</v>
          </cell>
          <cell r="K72">
            <v>1500</v>
          </cell>
          <cell r="L72">
            <v>83.333333333333329</v>
          </cell>
          <cell r="M72">
            <v>18</v>
          </cell>
          <cell r="N72">
            <v>908.82352941176589</v>
          </cell>
          <cell r="O72">
            <v>50.490196078431438</v>
          </cell>
          <cell r="P72">
            <v>0</v>
          </cell>
          <cell r="Q72">
            <v>-32.84313725490189</v>
          </cell>
          <cell r="R72">
            <v>0.60588235294117732</v>
          </cell>
          <cell r="S72">
            <v>0</v>
          </cell>
          <cell r="T72">
            <v>0.4465277777777778</v>
          </cell>
          <cell r="U72">
            <v>0.47013888888888888</v>
          </cell>
          <cell r="V72">
            <v>21</v>
          </cell>
          <cell r="W72">
            <v>33.999999999999957</v>
          </cell>
          <cell r="X72">
            <v>0.43541666666666662</v>
          </cell>
          <cell r="Y72">
            <v>0.44375000000000003</v>
          </cell>
          <cell r="Z72">
            <v>0</v>
          </cell>
          <cell r="AA72">
            <v>0</v>
          </cell>
          <cell r="AB72">
            <v>-591.17647058823411</v>
          </cell>
          <cell r="AC72">
            <v>0.6058823529411772</v>
          </cell>
          <cell r="AD72">
            <v>0</v>
          </cell>
        </row>
        <row r="73">
          <cell r="D73" t="str">
            <v>韓味豬肉時蔬拌拌餐盒</v>
          </cell>
          <cell r="E73">
            <v>0</v>
          </cell>
          <cell r="F73">
            <v>59.36</v>
          </cell>
          <cell r="G73">
            <v>792</v>
          </cell>
          <cell r="H73">
            <v>47013.120000000003</v>
          </cell>
          <cell r="I73">
            <v>0</v>
          </cell>
          <cell r="J73">
            <v>19</v>
          </cell>
          <cell r="K73">
            <v>1440</v>
          </cell>
          <cell r="L73">
            <v>75.78947368421052</v>
          </cell>
          <cell r="M73">
            <v>19</v>
          </cell>
          <cell r="N73">
            <v>1187.9999999999995</v>
          </cell>
          <cell r="O73">
            <v>62.526315789473664</v>
          </cell>
          <cell r="P73">
            <v>0</v>
          </cell>
          <cell r="Q73">
            <v>-13.263157894736857</v>
          </cell>
          <cell r="R73">
            <v>0.82499999999999984</v>
          </cell>
          <cell r="S73">
            <v>0</v>
          </cell>
          <cell r="T73">
            <v>0.47430555555555554</v>
          </cell>
          <cell r="U73">
            <v>0.50208333333333333</v>
          </cell>
          <cell r="V73">
            <v>6</v>
          </cell>
          <cell r="W73">
            <v>40.000000000000014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-252.00000000000045</v>
          </cell>
          <cell r="AC73">
            <v>0.82499999999999973</v>
          </cell>
          <cell r="AD73">
            <v>0</v>
          </cell>
        </row>
        <row r="74">
          <cell r="D74" t="str">
            <v>嫩烤香料雞胸排蔬滿盒</v>
          </cell>
          <cell r="E74">
            <v>0</v>
          </cell>
          <cell r="F74">
            <v>77.34</v>
          </cell>
          <cell r="G74">
            <v>923</v>
          </cell>
          <cell r="H74">
            <v>71384.820000000007</v>
          </cell>
          <cell r="I74">
            <v>0</v>
          </cell>
          <cell r="J74">
            <v>20</v>
          </cell>
          <cell r="K74">
            <v>1440</v>
          </cell>
          <cell r="L74">
            <v>72</v>
          </cell>
          <cell r="M74">
            <v>20</v>
          </cell>
          <cell r="N74">
            <v>1065.0000000000007</v>
          </cell>
          <cell r="O74">
            <v>53.250000000000036</v>
          </cell>
          <cell r="P74">
            <v>0</v>
          </cell>
          <cell r="Q74">
            <v>-18.749999999999964</v>
          </cell>
          <cell r="R74">
            <v>0.73958333333333381</v>
          </cell>
          <cell r="S74">
            <v>0</v>
          </cell>
          <cell r="T74">
            <v>0.54166666666666663</v>
          </cell>
          <cell r="U74">
            <v>0.57777777777777772</v>
          </cell>
          <cell r="V74">
            <v>5</v>
          </cell>
          <cell r="W74">
            <v>51.999999999999972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-374.99999999999932</v>
          </cell>
          <cell r="AC74">
            <v>0.73958333333333381</v>
          </cell>
          <cell r="AD74">
            <v>0</v>
          </cell>
        </row>
        <row r="75">
          <cell r="D75" t="str">
            <v>新招牌腿排便當</v>
          </cell>
          <cell r="E75">
            <v>0</v>
          </cell>
          <cell r="F75">
            <v>47.51</v>
          </cell>
          <cell r="G75">
            <v>2320</v>
          </cell>
          <cell r="H75">
            <v>110223.2</v>
          </cell>
          <cell r="I75">
            <v>0</v>
          </cell>
          <cell r="J75">
            <v>16</v>
          </cell>
          <cell r="K75">
            <v>1440</v>
          </cell>
          <cell r="L75">
            <v>90</v>
          </cell>
          <cell r="M75">
            <v>16</v>
          </cell>
          <cell r="N75">
            <v>1313.207547169812</v>
          </cell>
          <cell r="O75">
            <v>82.075471698113247</v>
          </cell>
          <cell r="P75">
            <v>0</v>
          </cell>
          <cell r="Q75">
            <v>-7.9245283018867525</v>
          </cell>
          <cell r="R75">
            <v>0.91194968553459166</v>
          </cell>
          <cell r="S75">
            <v>0</v>
          </cell>
          <cell r="T75">
            <v>0.58194444444444438</v>
          </cell>
          <cell r="U75">
            <v>0.65555555555555545</v>
          </cell>
          <cell r="V75">
            <v>6</v>
          </cell>
          <cell r="W75">
            <v>105.99999999999994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-126.79245283018804</v>
          </cell>
          <cell r="AC75">
            <v>0.91194968553459166</v>
          </cell>
          <cell r="AD75">
            <v>0</v>
          </cell>
        </row>
        <row r="76">
          <cell r="D76" t="str">
            <v>嘉義劉里長雞肉飯</v>
          </cell>
          <cell r="E76">
            <v>0</v>
          </cell>
          <cell r="F76">
            <v>47.65</v>
          </cell>
          <cell r="G76">
            <v>287</v>
          </cell>
          <cell r="H76">
            <v>13675.55</v>
          </cell>
          <cell r="I76">
            <v>2</v>
          </cell>
          <cell r="J76">
            <v>19</v>
          </cell>
          <cell r="K76">
            <v>1440</v>
          </cell>
          <cell r="L76">
            <v>75.78947368421052</v>
          </cell>
          <cell r="M76">
            <v>19</v>
          </cell>
          <cell r="N76">
            <v>1230.0000000000043</v>
          </cell>
          <cell r="O76">
            <v>64.736842105263392</v>
          </cell>
          <cell r="P76">
            <v>0</v>
          </cell>
          <cell r="Q76">
            <v>-11.052631578947128</v>
          </cell>
          <cell r="R76">
            <v>0.85416666666666985</v>
          </cell>
          <cell r="S76">
            <v>0</v>
          </cell>
          <cell r="T76">
            <v>0.67152777777777772</v>
          </cell>
          <cell r="U76">
            <v>0.68124999999999991</v>
          </cell>
          <cell r="V76">
            <v>23</v>
          </cell>
          <cell r="W76">
            <v>13.99999999999995</v>
          </cell>
          <cell r="X76">
            <v>0.65902777777777777</v>
          </cell>
          <cell r="Y76">
            <v>0.66875000000000007</v>
          </cell>
          <cell r="Z76">
            <v>0</v>
          </cell>
          <cell r="AA76">
            <v>0</v>
          </cell>
          <cell r="AB76">
            <v>-209.99999999999568</v>
          </cell>
          <cell r="AC76">
            <v>0.85416666666666963</v>
          </cell>
          <cell r="AD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 t="str">
            <v/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e">
            <v>#DIV/0!</v>
          </cell>
          <cell r="AD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e">
            <v>#DIV/0!</v>
          </cell>
          <cell r="AD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e">
            <v>#DIV/0!</v>
          </cell>
          <cell r="AD79">
            <v>0</v>
          </cell>
        </row>
        <row r="80">
          <cell r="D80">
            <v>0</v>
          </cell>
          <cell r="E80">
            <v>0</v>
          </cell>
          <cell r="F80" t="str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e">
            <v>#DIV/0!</v>
          </cell>
          <cell r="AD80">
            <v>0</v>
          </cell>
        </row>
        <row r="81">
          <cell r="D81">
            <v>0</v>
          </cell>
          <cell r="E81">
            <v>0</v>
          </cell>
          <cell r="F81" t="str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2">
          <cell r="D82" t="str">
            <v>平均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18.428571428571427</v>
          </cell>
          <cell r="K82">
            <v>1448.5714285714287</v>
          </cell>
          <cell r="L82">
            <v>78.957393483709282</v>
          </cell>
          <cell r="M82">
            <v>18.428571428571427</v>
          </cell>
          <cell r="N82">
            <v>1177.0698439866976</v>
          </cell>
          <cell r="O82">
            <v>64.307936233681616</v>
          </cell>
          <cell r="P82">
            <v>0</v>
          </cell>
          <cell r="Q82">
            <v>-271.50158458473106</v>
          </cell>
          <cell r="R82">
            <v>0.81446376832271972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-271.50158458473106</v>
          </cell>
          <cell r="AC82">
            <v>0.81257287060225669</v>
          </cell>
          <cell r="AD82">
            <v>0</v>
          </cell>
        </row>
        <row r="83">
          <cell r="D83" t="str">
            <v>鍋燒意麵</v>
          </cell>
          <cell r="E83">
            <v>0</v>
          </cell>
          <cell r="F83">
            <v>46.34</v>
          </cell>
          <cell r="G83">
            <v>1172</v>
          </cell>
          <cell r="H83">
            <v>54310.48</v>
          </cell>
          <cell r="I83">
            <v>0</v>
          </cell>
          <cell r="J83">
            <v>19</v>
          </cell>
          <cell r="K83">
            <v>1300</v>
          </cell>
          <cell r="L83">
            <v>68.421052631578945</v>
          </cell>
          <cell r="M83">
            <v>19</v>
          </cell>
          <cell r="N83">
            <v>1065.4545454545455</v>
          </cell>
          <cell r="O83">
            <v>56.076555023923447</v>
          </cell>
          <cell r="P83">
            <v>0</v>
          </cell>
          <cell r="Q83">
            <v>-12.344497607655498</v>
          </cell>
          <cell r="R83">
            <v>0.81958041958041961</v>
          </cell>
          <cell r="S83">
            <v>0.81296123890096295</v>
          </cell>
          <cell r="T83">
            <v>0.33333333333333331</v>
          </cell>
          <cell r="U83">
            <v>0.37916666666666665</v>
          </cell>
          <cell r="V83">
            <v>5</v>
          </cell>
          <cell r="W83">
            <v>66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-234.5454545454545</v>
          </cell>
          <cell r="AC83">
            <v>0.81958041958041961</v>
          </cell>
          <cell r="AD83">
            <v>0.80024930041538833</v>
          </cell>
        </row>
        <row r="84">
          <cell r="D84" t="str">
            <v>摩登燒</v>
          </cell>
          <cell r="E84">
            <v>0</v>
          </cell>
          <cell r="F84">
            <v>48.4</v>
          </cell>
          <cell r="G84">
            <v>1724</v>
          </cell>
          <cell r="H84">
            <v>83441.599999999991</v>
          </cell>
          <cell r="I84">
            <v>0</v>
          </cell>
          <cell r="J84">
            <v>20</v>
          </cell>
          <cell r="K84">
            <v>1300</v>
          </cell>
          <cell r="L84">
            <v>65</v>
          </cell>
          <cell r="M84">
            <v>19</v>
          </cell>
          <cell r="N84">
            <v>1088.8421052631579</v>
          </cell>
          <cell r="O84">
            <v>57.307479224376735</v>
          </cell>
          <cell r="P84">
            <v>-1</v>
          </cell>
          <cell r="Q84">
            <v>-7.6925207756232652</v>
          </cell>
          <cell r="R84">
            <v>0.88165352652887286</v>
          </cell>
          <cell r="S84">
            <v>0</v>
          </cell>
          <cell r="T84">
            <v>0.38402777777777775</v>
          </cell>
          <cell r="U84">
            <v>0.44999999999999996</v>
          </cell>
          <cell r="V84">
            <v>7</v>
          </cell>
          <cell r="W84">
            <v>94.999999999999986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-211.15789473684208</v>
          </cell>
          <cell r="AC84">
            <v>0.83757085020242916</v>
          </cell>
          <cell r="AD84">
            <v>0</v>
          </cell>
        </row>
        <row r="85">
          <cell r="D85" t="str">
            <v>經典滷肉飯</v>
          </cell>
          <cell r="E85">
            <v>0</v>
          </cell>
          <cell r="F85">
            <v>47.37</v>
          </cell>
          <cell r="G85">
            <v>882</v>
          </cell>
          <cell r="H85">
            <v>41780.339999999997</v>
          </cell>
          <cell r="I85">
            <v>0</v>
          </cell>
          <cell r="J85">
            <v>18</v>
          </cell>
          <cell r="K85">
            <v>1636</v>
          </cell>
          <cell r="L85">
            <v>90.888888888888886</v>
          </cell>
          <cell r="M85">
            <v>18</v>
          </cell>
          <cell r="N85">
            <v>1322.9999999999995</v>
          </cell>
          <cell r="O85">
            <v>73.499999999999972</v>
          </cell>
          <cell r="P85">
            <v>0</v>
          </cell>
          <cell r="Q85">
            <v>-17.388888888888914</v>
          </cell>
          <cell r="R85">
            <v>0.80867970660146671</v>
          </cell>
          <cell r="S85">
            <v>0</v>
          </cell>
          <cell r="T85">
            <v>0.46597222222222218</v>
          </cell>
          <cell r="U85">
            <v>0.49374999999999997</v>
          </cell>
          <cell r="V85">
            <v>23</v>
          </cell>
          <cell r="W85">
            <v>40.000000000000014</v>
          </cell>
          <cell r="X85">
            <v>0.45347222222222222</v>
          </cell>
          <cell r="Y85">
            <v>0.46319444444444446</v>
          </cell>
          <cell r="Z85">
            <v>0</v>
          </cell>
          <cell r="AA85">
            <v>0</v>
          </cell>
          <cell r="AB85">
            <v>-313.00000000000045</v>
          </cell>
          <cell r="AC85">
            <v>0.80867970660146671</v>
          </cell>
          <cell r="AD85">
            <v>0</v>
          </cell>
        </row>
        <row r="86">
          <cell r="D86" t="str">
            <v>蒜蒜燒豚飯</v>
          </cell>
          <cell r="E86">
            <v>0</v>
          </cell>
          <cell r="F86">
            <v>51.86</v>
          </cell>
          <cell r="G86">
            <v>1214</v>
          </cell>
          <cell r="H86">
            <v>62958.04</v>
          </cell>
          <cell r="I86">
            <v>0</v>
          </cell>
          <cell r="J86">
            <v>21</v>
          </cell>
          <cell r="K86">
            <v>1440</v>
          </cell>
          <cell r="L86">
            <v>68.571428571428569</v>
          </cell>
          <cell r="M86">
            <v>20</v>
          </cell>
          <cell r="N86">
            <v>1103.6363636363646</v>
          </cell>
          <cell r="O86">
            <v>55.18181818181823</v>
          </cell>
          <cell r="P86">
            <v>-1</v>
          </cell>
          <cell r="Q86">
            <v>-13.38961038961034</v>
          </cell>
          <cell r="R86">
            <v>0.80473484848484922</v>
          </cell>
          <cell r="S86">
            <v>0</v>
          </cell>
          <cell r="T86">
            <v>0.53611111111111109</v>
          </cell>
          <cell r="U86">
            <v>0.58194444444444438</v>
          </cell>
          <cell r="V86">
            <v>4</v>
          </cell>
          <cell r="W86">
            <v>65.999999999999929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-336.36363636363535</v>
          </cell>
          <cell r="AC86">
            <v>0.7664141414141421</v>
          </cell>
          <cell r="AD86">
            <v>0</v>
          </cell>
        </row>
        <row r="87">
          <cell r="D87" t="str">
            <v>一口滷魂便當</v>
          </cell>
          <cell r="E87">
            <v>0</v>
          </cell>
          <cell r="F87">
            <v>53.37</v>
          </cell>
          <cell r="G87">
            <v>590</v>
          </cell>
          <cell r="H87">
            <v>31488.3</v>
          </cell>
          <cell r="I87">
            <v>0</v>
          </cell>
          <cell r="J87">
            <v>19</v>
          </cell>
          <cell r="K87">
            <v>1440</v>
          </cell>
          <cell r="L87">
            <v>75.78947368421052</v>
          </cell>
          <cell r="M87">
            <v>19</v>
          </cell>
          <cell r="N87">
            <v>1179.9999999999916</v>
          </cell>
          <cell r="O87">
            <v>62.105263157894292</v>
          </cell>
          <cell r="P87">
            <v>0</v>
          </cell>
          <cell r="Q87">
            <v>-13.684210526316228</v>
          </cell>
          <cell r="R87">
            <v>0.81944444444443865</v>
          </cell>
          <cell r="S87">
            <v>0</v>
          </cell>
          <cell r="T87">
            <v>0.58680555555555547</v>
          </cell>
          <cell r="U87">
            <v>0.60763888888888895</v>
          </cell>
          <cell r="V87">
            <v>7</v>
          </cell>
          <cell r="W87">
            <v>30.000000000000213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-260.00000000000841</v>
          </cell>
          <cell r="AC87">
            <v>0.81944444444443865</v>
          </cell>
          <cell r="AD87">
            <v>0</v>
          </cell>
        </row>
        <row r="88">
          <cell r="D88" t="str">
            <v>壹號醬醬燒蔥鹽雞豚飯</v>
          </cell>
          <cell r="E88">
            <v>0</v>
          </cell>
          <cell r="F88">
            <v>56.43</v>
          </cell>
          <cell r="G88">
            <v>905</v>
          </cell>
          <cell r="H88">
            <v>51069.15</v>
          </cell>
          <cell r="I88">
            <v>0</v>
          </cell>
          <cell r="J88">
            <v>19</v>
          </cell>
          <cell r="K88">
            <v>1440</v>
          </cell>
          <cell r="L88">
            <v>75.78947368421052</v>
          </cell>
          <cell r="M88">
            <v>19</v>
          </cell>
          <cell r="N88">
            <v>1086.0000000000039</v>
          </cell>
          <cell r="O88">
            <v>57.157894736842309</v>
          </cell>
          <cell r="P88">
            <v>0</v>
          </cell>
          <cell r="Q88">
            <v>-18.631578947368212</v>
          </cell>
          <cell r="R88">
            <v>0.75416666666666943</v>
          </cell>
          <cell r="S88">
            <v>0</v>
          </cell>
          <cell r="T88">
            <v>0.625</v>
          </cell>
          <cell r="U88">
            <v>0.6597222222222221</v>
          </cell>
          <cell r="V88">
            <v>25</v>
          </cell>
          <cell r="W88">
            <v>49.999999999999822</v>
          </cell>
          <cell r="X88">
            <v>0.61319444444444449</v>
          </cell>
          <cell r="Y88">
            <v>0.62361111111111112</v>
          </cell>
          <cell r="Z88">
            <v>0</v>
          </cell>
          <cell r="AA88">
            <v>0</v>
          </cell>
          <cell r="AB88">
            <v>-353.99999999999613</v>
          </cell>
          <cell r="AC88">
            <v>0.75416666666666932</v>
          </cell>
          <cell r="AD88">
            <v>0</v>
          </cell>
        </row>
        <row r="89">
          <cell r="D89">
            <v>0</v>
          </cell>
          <cell r="E89">
            <v>0</v>
          </cell>
          <cell r="F89" t="str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/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e">
            <v>#DIV/0!</v>
          </cell>
          <cell r="AD89">
            <v>0</v>
          </cell>
        </row>
        <row r="90">
          <cell r="D90">
            <v>0</v>
          </cell>
          <cell r="E90">
            <v>0</v>
          </cell>
          <cell r="F90" t="str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e">
            <v>#DIV/0!</v>
          </cell>
          <cell r="AD90">
            <v>0</v>
          </cell>
        </row>
        <row r="91">
          <cell r="D91">
            <v>0</v>
          </cell>
          <cell r="E91">
            <v>0</v>
          </cell>
          <cell r="F91" t="str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e">
            <v>#DIV/0!</v>
          </cell>
          <cell r="AD91">
            <v>0</v>
          </cell>
        </row>
        <row r="92">
          <cell r="D92">
            <v>0</v>
          </cell>
          <cell r="E92">
            <v>0</v>
          </cell>
          <cell r="F92" t="str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e">
            <v>#DIV/0!</v>
          </cell>
          <cell r="AD92">
            <v>0</v>
          </cell>
        </row>
        <row r="93">
          <cell r="D93">
            <v>0</v>
          </cell>
          <cell r="E93">
            <v>0</v>
          </cell>
          <cell r="F93" t="str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e">
            <v>#DIV/0!</v>
          </cell>
          <cell r="AD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e">
            <v>#DIV/0!</v>
          </cell>
          <cell r="AD94">
            <v>0</v>
          </cell>
        </row>
        <row r="95">
          <cell r="D95" t="str">
            <v>平均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19.333333333333332</v>
          </cell>
          <cell r="K95">
            <v>1426</v>
          </cell>
          <cell r="L95">
            <v>74.076719576719583</v>
          </cell>
          <cell r="M95">
            <v>19</v>
          </cell>
          <cell r="N95">
            <v>1141.1555023923438</v>
          </cell>
          <cell r="O95">
            <v>60.221501720809165</v>
          </cell>
          <cell r="P95">
            <v>-0.33333333333333215</v>
          </cell>
          <cell r="Q95">
            <v>-13.855217855910418</v>
          </cell>
          <cell r="R95">
            <v>0.81296123890096295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-284.84449760765619</v>
          </cell>
          <cell r="AC95">
            <v>0.80024930041538833</v>
          </cell>
          <cell r="AD95">
            <v>0</v>
          </cell>
        </row>
        <row r="96">
          <cell r="D96" t="str">
            <v>壽喜燒牛丼</v>
          </cell>
          <cell r="E96">
            <v>0</v>
          </cell>
          <cell r="F96">
            <v>53.27</v>
          </cell>
          <cell r="G96">
            <v>2249</v>
          </cell>
          <cell r="H96">
            <v>119804.23000000001</v>
          </cell>
          <cell r="I96">
            <v>0</v>
          </cell>
          <cell r="J96">
            <v>18</v>
          </cell>
          <cell r="K96">
            <v>1636</v>
          </cell>
          <cell r="L96">
            <v>90.888888888888886</v>
          </cell>
          <cell r="M96">
            <v>17</v>
          </cell>
          <cell r="N96">
            <v>1273.018867924528</v>
          </cell>
          <cell r="O96">
            <v>74.883462819089885</v>
          </cell>
          <cell r="P96">
            <v>-1</v>
          </cell>
          <cell r="Q96">
            <v>-16.005426069799</v>
          </cell>
          <cell r="R96">
            <v>0.82390118016113567</v>
          </cell>
          <cell r="S96">
            <v>0.81329858338614247</v>
          </cell>
          <cell r="T96">
            <v>0.375</v>
          </cell>
          <cell r="U96">
            <v>0.44861111111111113</v>
          </cell>
          <cell r="V96">
            <v>5</v>
          </cell>
          <cell r="W96">
            <v>106.00000000000003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-362.98113207547203</v>
          </cell>
          <cell r="AC96">
            <v>0.77812889237440586</v>
          </cell>
          <cell r="AD96">
            <v>0.80815633124289687</v>
          </cell>
        </row>
        <row r="97">
          <cell r="D97" t="str">
            <v>古早味炒炊粉</v>
          </cell>
          <cell r="E97">
            <v>0</v>
          </cell>
          <cell r="F97">
            <v>43.14</v>
          </cell>
          <cell r="G97">
            <v>745</v>
          </cell>
          <cell r="H97">
            <v>32139.3</v>
          </cell>
          <cell r="I97">
            <v>0</v>
          </cell>
          <cell r="J97">
            <v>18</v>
          </cell>
          <cell r="K97">
            <v>1440</v>
          </cell>
          <cell r="L97">
            <v>80</v>
          </cell>
          <cell r="M97">
            <v>18</v>
          </cell>
          <cell r="N97">
            <v>1354.5454545454559</v>
          </cell>
          <cell r="O97">
            <v>75.252525252525331</v>
          </cell>
          <cell r="P97">
            <v>0</v>
          </cell>
          <cell r="Q97">
            <v>-4.7474747474746692</v>
          </cell>
          <cell r="R97">
            <v>0.94065656565656663</v>
          </cell>
          <cell r="S97">
            <v>0</v>
          </cell>
          <cell r="T97">
            <v>0.46458333333333335</v>
          </cell>
          <cell r="U97">
            <v>0.48749999999999999</v>
          </cell>
          <cell r="V97">
            <v>23</v>
          </cell>
          <cell r="W97">
            <v>32.999999999999964</v>
          </cell>
          <cell r="X97">
            <v>0.45208333333333334</v>
          </cell>
          <cell r="Y97">
            <v>0.46180555555555558</v>
          </cell>
          <cell r="Z97">
            <v>0</v>
          </cell>
          <cell r="AA97">
            <v>0</v>
          </cell>
          <cell r="AB97">
            <v>-85.454545454544132</v>
          </cell>
          <cell r="AC97">
            <v>0.94065656565656652</v>
          </cell>
          <cell r="AD97">
            <v>0</v>
          </cell>
        </row>
        <row r="98">
          <cell r="D98" t="str">
            <v>悟家厚切排骨便當</v>
          </cell>
          <cell r="E98">
            <v>0</v>
          </cell>
          <cell r="F98">
            <v>59.8</v>
          </cell>
          <cell r="G98">
            <v>597</v>
          </cell>
          <cell r="H98">
            <v>35700.6</v>
          </cell>
          <cell r="I98">
            <v>0</v>
          </cell>
          <cell r="J98">
            <v>15</v>
          </cell>
          <cell r="K98">
            <v>1500</v>
          </cell>
          <cell r="L98">
            <v>100</v>
          </cell>
          <cell r="M98">
            <v>15</v>
          </cell>
          <cell r="N98">
            <v>1085.4545454545466</v>
          </cell>
          <cell r="O98">
            <v>72.363636363636445</v>
          </cell>
          <cell r="P98">
            <v>0</v>
          </cell>
          <cell r="Q98">
            <v>-27.636363636363555</v>
          </cell>
          <cell r="R98">
            <v>0.72363636363636441</v>
          </cell>
          <cell r="S98">
            <v>0</v>
          </cell>
          <cell r="T98">
            <v>0.49236111111111108</v>
          </cell>
          <cell r="U98">
            <v>0.51527777777777772</v>
          </cell>
          <cell r="V98">
            <v>7</v>
          </cell>
          <cell r="W98">
            <v>32.999999999999964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-414.54545454545337</v>
          </cell>
          <cell r="AC98">
            <v>0.72363636363636441</v>
          </cell>
          <cell r="AD98">
            <v>0</v>
          </cell>
        </row>
        <row r="99">
          <cell r="D99" t="str">
            <v>二配薯勾以蛋包飯</v>
          </cell>
          <cell r="E99">
            <v>0</v>
          </cell>
          <cell r="F99">
            <v>49.91</v>
          </cell>
          <cell r="G99">
            <v>996</v>
          </cell>
          <cell r="H99">
            <v>49710.359999999993</v>
          </cell>
          <cell r="I99">
            <v>0</v>
          </cell>
          <cell r="J99">
            <v>19</v>
          </cell>
          <cell r="K99">
            <v>1500</v>
          </cell>
          <cell r="L99">
            <v>78.94736842105263</v>
          </cell>
          <cell r="M99">
            <v>19</v>
          </cell>
          <cell r="N99">
            <v>1245.0000000000005</v>
          </cell>
          <cell r="O99">
            <v>65.526315789473713</v>
          </cell>
          <cell r="P99">
            <v>0</v>
          </cell>
          <cell r="Q99">
            <v>-13.421052631578917</v>
          </cell>
          <cell r="R99">
            <v>0.8300000000000004</v>
          </cell>
          <cell r="S99">
            <v>0</v>
          </cell>
          <cell r="T99">
            <v>0.70833333333333337</v>
          </cell>
          <cell r="U99">
            <v>0.7416666666666667</v>
          </cell>
          <cell r="V99">
            <v>4</v>
          </cell>
          <cell r="W99">
            <v>47.999999999999986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-254.99999999999955</v>
          </cell>
          <cell r="AC99">
            <v>0.83000000000000029</v>
          </cell>
          <cell r="AD99">
            <v>0</v>
          </cell>
        </row>
        <row r="100">
          <cell r="D100" t="str">
            <v>二配鐵板蘑菇肉醬起司焗飯</v>
          </cell>
          <cell r="E100">
            <v>0</v>
          </cell>
          <cell r="F100">
            <v>44.3</v>
          </cell>
          <cell r="G100">
            <v>1232</v>
          </cell>
          <cell r="H100">
            <v>54577.599999999999</v>
          </cell>
          <cell r="I100">
            <v>0</v>
          </cell>
          <cell r="J100">
            <v>16</v>
          </cell>
          <cell r="K100">
            <v>1636</v>
          </cell>
          <cell r="L100">
            <v>102.25</v>
          </cell>
          <cell r="M100">
            <v>16</v>
          </cell>
          <cell r="N100">
            <v>1274.4827586206907</v>
          </cell>
          <cell r="O100">
            <v>79.655172413793167</v>
          </cell>
          <cell r="P100">
            <v>0</v>
          </cell>
          <cell r="Q100">
            <v>-22.594827586206833</v>
          </cell>
          <cell r="R100">
            <v>0.77902369108844172</v>
          </cell>
          <cell r="S100">
            <v>0</v>
          </cell>
          <cell r="T100">
            <v>0.74652777777777779</v>
          </cell>
          <cell r="U100">
            <v>0.78680555555555554</v>
          </cell>
          <cell r="V100">
            <v>7</v>
          </cell>
          <cell r="W100">
            <v>57.999999999999957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-361.51724137930933</v>
          </cell>
          <cell r="AC100">
            <v>0.77902369108844172</v>
          </cell>
          <cell r="AD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e">
            <v>#DIV/0!</v>
          </cell>
          <cell r="AD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 t="str">
            <v/>
          </cell>
          <cell r="U102" t="str">
            <v/>
          </cell>
          <cell r="V102" t="str">
            <v/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e">
            <v>#DIV/0!</v>
          </cell>
          <cell r="AD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e">
            <v>#DIV/0!</v>
          </cell>
          <cell r="AD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e">
            <v>#DIV/0!</v>
          </cell>
          <cell r="AD104">
            <v>0</v>
          </cell>
        </row>
        <row r="105">
          <cell r="D105">
            <v>0</v>
          </cell>
          <cell r="E105">
            <v>0</v>
          </cell>
          <cell r="F105" t="str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</row>
        <row r="108">
          <cell r="D108" t="str">
            <v>平均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17.2</v>
          </cell>
          <cell r="K108">
            <v>1542.4</v>
          </cell>
          <cell r="L108">
            <v>90.4172514619883</v>
          </cell>
          <cell r="M108">
            <v>17</v>
          </cell>
          <cell r="N108">
            <v>1246.5003253090442</v>
          </cell>
          <cell r="O108">
            <v>73.5362225277037</v>
          </cell>
          <cell r="P108">
            <v>-0.19999999999999929</v>
          </cell>
          <cell r="Q108">
            <v>-16.8810289342846</v>
          </cell>
          <cell r="R108">
            <v>0.81329858338614247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-295.89967469095586</v>
          </cell>
          <cell r="AC108">
            <v>0.80815633124289687</v>
          </cell>
          <cell r="AD108">
            <v>0</v>
          </cell>
        </row>
        <row r="109">
          <cell r="D109" t="str">
            <v>鮪魚蛋蛋稻荷壽司組</v>
          </cell>
          <cell r="E109">
            <v>0</v>
          </cell>
          <cell r="F109">
            <v>30.55</v>
          </cell>
          <cell r="G109">
            <v>592</v>
          </cell>
          <cell r="H109">
            <v>18085.600000000002</v>
          </cell>
          <cell r="I109">
            <v>0</v>
          </cell>
          <cell r="J109">
            <v>15</v>
          </cell>
          <cell r="K109">
            <v>1200</v>
          </cell>
          <cell r="L109">
            <v>80</v>
          </cell>
          <cell r="M109">
            <v>15</v>
          </cell>
          <cell r="N109">
            <v>986.66666666666595</v>
          </cell>
          <cell r="O109">
            <v>65.777777777777729</v>
          </cell>
          <cell r="P109">
            <v>0</v>
          </cell>
          <cell r="Q109">
            <v>-14.222222222222271</v>
          </cell>
          <cell r="R109">
            <v>0.82222222222222163</v>
          </cell>
          <cell r="S109">
            <v>0.80355493170650927</v>
          </cell>
          <cell r="T109">
            <v>0.58333333333333337</v>
          </cell>
          <cell r="U109">
            <v>0.60833333333333339</v>
          </cell>
          <cell r="V109">
            <v>5</v>
          </cell>
          <cell r="W109">
            <v>36.000000000000028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-213.33333333333405</v>
          </cell>
          <cell r="AC109">
            <v>0.82222222222222163</v>
          </cell>
          <cell r="AD109">
            <v>0.80257295578787402</v>
          </cell>
        </row>
        <row r="110">
          <cell r="D110" t="str">
            <v>一口滷魂便當</v>
          </cell>
          <cell r="E110">
            <v>0</v>
          </cell>
          <cell r="F110">
            <v>53.37</v>
          </cell>
          <cell r="G110">
            <v>590</v>
          </cell>
          <cell r="H110">
            <v>31488.3</v>
          </cell>
          <cell r="I110">
            <v>0</v>
          </cell>
          <cell r="J110">
            <v>19</v>
          </cell>
          <cell r="K110">
            <v>1440</v>
          </cell>
          <cell r="L110">
            <v>75.78947368421052</v>
          </cell>
          <cell r="M110">
            <v>19</v>
          </cell>
          <cell r="N110">
            <v>1072.7272727272712</v>
          </cell>
          <cell r="O110">
            <v>56.459330143540591</v>
          </cell>
          <cell r="P110">
            <v>0</v>
          </cell>
          <cell r="Q110">
            <v>-19.33014354066993</v>
          </cell>
          <cell r="R110">
            <v>0.74494949494949392</v>
          </cell>
          <cell r="S110">
            <v>0</v>
          </cell>
          <cell r="T110">
            <v>0.61319444444444449</v>
          </cell>
          <cell r="U110">
            <v>0.63611111111111118</v>
          </cell>
          <cell r="V110">
            <v>7</v>
          </cell>
          <cell r="W110">
            <v>33.000000000000043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-367.27272727272884</v>
          </cell>
          <cell r="AC110">
            <v>0.74494949494949381</v>
          </cell>
          <cell r="AD110">
            <v>0</v>
          </cell>
        </row>
        <row r="111">
          <cell r="D111" t="str">
            <v>美式雞丁餐盒</v>
          </cell>
          <cell r="E111">
            <v>0</v>
          </cell>
          <cell r="F111">
            <v>59.34</v>
          </cell>
          <cell r="G111">
            <v>843</v>
          </cell>
          <cell r="H111">
            <v>50023.62</v>
          </cell>
          <cell r="I111">
            <v>0</v>
          </cell>
          <cell r="J111">
            <v>18</v>
          </cell>
          <cell r="K111">
            <v>1440</v>
          </cell>
          <cell r="L111">
            <v>80</v>
          </cell>
          <cell r="M111">
            <v>18</v>
          </cell>
          <cell r="N111">
            <v>1176.2790697674418</v>
          </cell>
          <cell r="O111">
            <v>65.348837209302317</v>
          </cell>
          <cell r="P111">
            <v>0</v>
          </cell>
          <cell r="Q111">
            <v>-14.651162790697683</v>
          </cell>
          <cell r="R111">
            <v>0.81686046511627897</v>
          </cell>
          <cell r="S111">
            <v>0</v>
          </cell>
          <cell r="T111">
            <v>0.64097222222222228</v>
          </cell>
          <cell r="U111">
            <v>0.67083333333333339</v>
          </cell>
          <cell r="V111">
            <v>7</v>
          </cell>
          <cell r="W111">
            <v>43.000000000000007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-263.7209302325582</v>
          </cell>
          <cell r="AC111">
            <v>0.81686046511627908</v>
          </cell>
          <cell r="AD111">
            <v>0</v>
          </cell>
        </row>
        <row r="112">
          <cell r="D112" t="str">
            <v>二配粗飽系雞排炒飯</v>
          </cell>
          <cell r="E112">
            <v>0</v>
          </cell>
          <cell r="F112">
            <v>57.73</v>
          </cell>
          <cell r="G112">
            <v>1179</v>
          </cell>
          <cell r="H112">
            <v>68063.67</v>
          </cell>
          <cell r="I112">
            <v>0</v>
          </cell>
          <cell r="J112">
            <v>16</v>
          </cell>
          <cell r="K112">
            <v>1440</v>
          </cell>
          <cell r="L112">
            <v>90</v>
          </cell>
          <cell r="M112">
            <v>16</v>
          </cell>
          <cell r="N112">
            <v>1219.6551724137939</v>
          </cell>
          <cell r="O112">
            <v>76.228448275862121</v>
          </cell>
          <cell r="P112">
            <v>0</v>
          </cell>
          <cell r="Q112">
            <v>-13.771551724137879</v>
          </cell>
          <cell r="R112">
            <v>0.84698275862069028</v>
          </cell>
          <cell r="S112">
            <v>0</v>
          </cell>
          <cell r="T112">
            <v>0.71111111111111114</v>
          </cell>
          <cell r="U112">
            <v>0.75138888888888888</v>
          </cell>
          <cell r="V112">
            <v>5</v>
          </cell>
          <cell r="W112">
            <v>57.999999999999957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-220.34482758620607</v>
          </cell>
          <cell r="AC112">
            <v>0.84698275862069028</v>
          </cell>
          <cell r="AD112">
            <v>0</v>
          </cell>
        </row>
        <row r="113">
          <cell r="D113" t="str">
            <v>二配三杯海瓜子好下飯</v>
          </cell>
          <cell r="E113">
            <v>0</v>
          </cell>
          <cell r="F113">
            <v>50.67</v>
          </cell>
          <cell r="G113">
            <v>531</v>
          </cell>
          <cell r="H113">
            <v>26905.77</v>
          </cell>
          <cell r="I113">
            <v>0</v>
          </cell>
          <cell r="J113">
            <v>17</v>
          </cell>
          <cell r="K113">
            <v>1500</v>
          </cell>
          <cell r="L113">
            <v>88.235294117647058</v>
          </cell>
          <cell r="M113">
            <v>17</v>
          </cell>
          <cell r="N113">
            <v>1061.999999999998</v>
          </cell>
          <cell r="O113">
            <v>62.470588235293995</v>
          </cell>
          <cell r="P113">
            <v>0</v>
          </cell>
          <cell r="Q113">
            <v>-25.764705882353063</v>
          </cell>
          <cell r="R113">
            <v>0.70799999999999863</v>
          </cell>
          <cell r="S113">
            <v>0</v>
          </cell>
          <cell r="T113">
            <v>0.75694444444444442</v>
          </cell>
          <cell r="U113">
            <v>0.77777777777777779</v>
          </cell>
          <cell r="V113">
            <v>8</v>
          </cell>
          <cell r="W113">
            <v>30.000000000000053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-438.00000000000205</v>
          </cell>
          <cell r="AC113">
            <v>0.70799999999999863</v>
          </cell>
          <cell r="AD113">
            <v>0</v>
          </cell>
        </row>
        <row r="114">
          <cell r="D114" t="str">
            <v>二配哞哞培根奶香海陸焗飯</v>
          </cell>
          <cell r="E114">
            <v>0</v>
          </cell>
          <cell r="F114">
            <v>47.6</v>
          </cell>
          <cell r="G114">
            <v>1739</v>
          </cell>
          <cell r="H114">
            <v>82776.400000000009</v>
          </cell>
          <cell r="I114">
            <v>0</v>
          </cell>
          <cell r="J114">
            <v>18</v>
          </cell>
          <cell r="K114">
            <v>1440</v>
          </cell>
          <cell r="L114">
            <v>80</v>
          </cell>
          <cell r="M114">
            <v>18</v>
          </cell>
          <cell r="N114">
            <v>1272.4390243902435</v>
          </cell>
          <cell r="O114">
            <v>70.691056910569088</v>
          </cell>
          <cell r="P114">
            <v>0</v>
          </cell>
          <cell r="Q114">
            <v>-9.3089430894309118</v>
          </cell>
          <cell r="R114">
            <v>0.88363821138211363</v>
          </cell>
          <cell r="S114">
            <v>0</v>
          </cell>
          <cell r="T114">
            <v>0.78263888888888888</v>
          </cell>
          <cell r="U114">
            <v>0.83958333333333335</v>
          </cell>
          <cell r="V114">
            <v>7</v>
          </cell>
          <cell r="W114">
            <v>82.000000000000028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-167.5609756097565</v>
          </cell>
          <cell r="AC114">
            <v>0.88363821138211351</v>
          </cell>
          <cell r="AD114">
            <v>0</v>
          </cell>
        </row>
        <row r="115">
          <cell r="D115">
            <v>0</v>
          </cell>
          <cell r="E115">
            <v>0</v>
          </cell>
          <cell r="F115" t="str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e">
            <v>#DIV/0!</v>
          </cell>
          <cell r="AD115">
            <v>0</v>
          </cell>
        </row>
        <row r="116">
          <cell r="D116">
            <v>0</v>
          </cell>
          <cell r="E116">
            <v>0</v>
          </cell>
          <cell r="F116" t="str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 t="str">
            <v/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e">
            <v>#DIV/0!</v>
          </cell>
          <cell r="AD116">
            <v>0</v>
          </cell>
        </row>
        <row r="117">
          <cell r="D117">
            <v>0</v>
          </cell>
          <cell r="E117">
            <v>0</v>
          </cell>
          <cell r="F117" t="str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e">
            <v>#DIV/0!</v>
          </cell>
          <cell r="AD117">
            <v>0</v>
          </cell>
        </row>
        <row r="118">
          <cell r="D118">
            <v>0</v>
          </cell>
          <cell r="E118">
            <v>0</v>
          </cell>
          <cell r="F118" t="str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</row>
        <row r="121">
          <cell r="D121" t="str">
            <v>平均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17.166666666666668</v>
          </cell>
          <cell r="K121">
            <v>1410</v>
          </cell>
          <cell r="L121">
            <v>82.337461300309599</v>
          </cell>
          <cell r="M121">
            <v>17.166666666666668</v>
          </cell>
          <cell r="N121">
            <v>1131.6278676609024</v>
          </cell>
          <cell r="O121">
            <v>66.162673092057631</v>
          </cell>
          <cell r="P121">
            <v>0</v>
          </cell>
          <cell r="Q121">
            <v>-16.174788208251968</v>
          </cell>
          <cell r="R121">
            <v>0.80355493170650927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-278.37213233909756</v>
          </cell>
          <cell r="AC121">
            <v>0.80257295578787402</v>
          </cell>
          <cell r="AD121">
            <v>0</v>
          </cell>
        </row>
        <row r="122">
          <cell r="D122" t="str">
            <v>健身G肉餐盒</v>
          </cell>
          <cell r="E122">
            <v>0</v>
          </cell>
          <cell r="F122">
            <v>59.52</v>
          </cell>
          <cell r="G122">
            <v>2020</v>
          </cell>
          <cell r="H122">
            <v>120230.40000000001</v>
          </cell>
          <cell r="I122">
            <v>0</v>
          </cell>
          <cell r="J122">
            <v>20</v>
          </cell>
          <cell r="K122">
            <v>1385</v>
          </cell>
          <cell r="L122">
            <v>69.25</v>
          </cell>
          <cell r="M122">
            <v>20</v>
          </cell>
          <cell r="N122">
            <v>1212.0000000000005</v>
          </cell>
          <cell r="O122">
            <v>60.600000000000023</v>
          </cell>
          <cell r="P122">
            <v>0</v>
          </cell>
          <cell r="Q122">
            <v>-8.6499999999999773</v>
          </cell>
          <cell r="R122">
            <v>0.87509025270758156</v>
          </cell>
          <cell r="S122">
            <v>0.8446522694892773</v>
          </cell>
          <cell r="T122">
            <v>0.5</v>
          </cell>
          <cell r="U122">
            <v>0.56944444444444442</v>
          </cell>
          <cell r="V122">
            <v>5</v>
          </cell>
          <cell r="W122">
            <v>99.999999999999972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-172.99999999999955</v>
          </cell>
          <cell r="AC122">
            <v>0.87509025270758156</v>
          </cell>
          <cell r="AD122">
            <v>0.84181411331792744</v>
          </cell>
        </row>
        <row r="123">
          <cell r="D123" t="str">
            <v>烤蛋白餐盒</v>
          </cell>
          <cell r="E123">
            <v>0</v>
          </cell>
          <cell r="F123">
            <v>58.67</v>
          </cell>
          <cell r="G123">
            <v>1576</v>
          </cell>
          <cell r="H123">
            <v>92463.92</v>
          </cell>
          <cell r="I123">
            <v>0</v>
          </cell>
          <cell r="J123">
            <v>20</v>
          </cell>
          <cell r="K123">
            <v>1440</v>
          </cell>
          <cell r="L123">
            <v>72</v>
          </cell>
          <cell r="M123">
            <v>20</v>
          </cell>
          <cell r="N123">
            <v>1153.1707317073167</v>
          </cell>
          <cell r="O123">
            <v>57.658536585365837</v>
          </cell>
          <cell r="P123">
            <v>0</v>
          </cell>
          <cell r="Q123">
            <v>-14.341463414634163</v>
          </cell>
          <cell r="R123">
            <v>0.80081300813008105</v>
          </cell>
          <cell r="S123">
            <v>0</v>
          </cell>
          <cell r="T123">
            <v>0.5840277777777777</v>
          </cell>
          <cell r="U123">
            <v>0.64097222222222217</v>
          </cell>
          <cell r="V123">
            <v>21</v>
          </cell>
          <cell r="W123">
            <v>82.000000000000028</v>
          </cell>
          <cell r="X123">
            <v>0.57291666666666663</v>
          </cell>
          <cell r="Y123">
            <v>0.58124999999999993</v>
          </cell>
          <cell r="Z123">
            <v>0</v>
          </cell>
          <cell r="AA123">
            <v>0</v>
          </cell>
          <cell r="AB123">
            <v>-286.82926829268331</v>
          </cell>
          <cell r="AC123">
            <v>0.80081300813008105</v>
          </cell>
          <cell r="AD123">
            <v>0</v>
          </cell>
        </row>
        <row r="124">
          <cell r="D124" t="str">
            <v>二配黃金雞排蘑菇白醬歐姆蛋飯</v>
          </cell>
          <cell r="E124">
            <v>0</v>
          </cell>
          <cell r="F124">
            <v>56.87</v>
          </cell>
          <cell r="G124">
            <v>1376</v>
          </cell>
          <cell r="H124">
            <v>78253.119999999995</v>
          </cell>
          <cell r="I124">
            <v>0</v>
          </cell>
          <cell r="J124">
            <v>19</v>
          </cell>
          <cell r="K124">
            <v>1636</v>
          </cell>
          <cell r="L124">
            <v>86.10526315789474</v>
          </cell>
          <cell r="M124">
            <v>19</v>
          </cell>
          <cell r="N124">
            <v>1310.4761904761917</v>
          </cell>
          <cell r="O124">
            <v>68.972431077694296</v>
          </cell>
          <cell r="P124">
            <v>0</v>
          </cell>
          <cell r="Q124">
            <v>-17.132832080200444</v>
          </cell>
          <cell r="R124">
            <v>0.80102456630574059</v>
          </cell>
          <cell r="S124">
            <v>0</v>
          </cell>
          <cell r="T124">
            <v>0.70833333333333337</v>
          </cell>
          <cell r="U124">
            <v>0.75208333333333333</v>
          </cell>
          <cell r="V124">
            <v>5</v>
          </cell>
          <cell r="W124">
            <v>62.999999999999936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-325.52380952380827</v>
          </cell>
          <cell r="AC124">
            <v>0.8010245663057407</v>
          </cell>
          <cell r="AD124">
            <v>0</v>
          </cell>
        </row>
        <row r="125">
          <cell r="D125" t="str">
            <v>二配里肌豬排可可咖哩歐姆蛋飯</v>
          </cell>
          <cell r="E125">
            <v>0</v>
          </cell>
          <cell r="F125">
            <v>56.79</v>
          </cell>
          <cell r="G125">
            <v>1763</v>
          </cell>
          <cell r="H125">
            <v>100120.77</v>
          </cell>
          <cell r="I125">
            <v>0</v>
          </cell>
          <cell r="J125">
            <v>19</v>
          </cell>
          <cell r="K125">
            <v>1636</v>
          </cell>
          <cell r="L125">
            <v>86.10526315789474</v>
          </cell>
          <cell r="M125">
            <v>19</v>
          </cell>
          <cell r="N125">
            <v>1289.9999999999995</v>
          </cell>
          <cell r="O125">
            <v>67.894736842105246</v>
          </cell>
          <cell r="P125">
            <v>0</v>
          </cell>
          <cell r="Q125">
            <v>-18.210526315789494</v>
          </cell>
          <cell r="R125">
            <v>0.78850855745721249</v>
          </cell>
          <cell r="S125">
            <v>0</v>
          </cell>
          <cell r="T125">
            <v>0.75624999999999998</v>
          </cell>
          <cell r="U125">
            <v>0.81319444444444444</v>
          </cell>
          <cell r="V125">
            <v>6</v>
          </cell>
          <cell r="W125">
            <v>82.000000000000028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-346.00000000000045</v>
          </cell>
          <cell r="AC125">
            <v>0.78850855745721249</v>
          </cell>
          <cell r="AD125">
            <v>0</v>
          </cell>
        </row>
        <row r="126">
          <cell r="D126" t="str">
            <v>二配香拌海鮮醬肉絲蛋炒飯</v>
          </cell>
          <cell r="E126">
            <v>0</v>
          </cell>
          <cell r="F126">
            <v>55.32</v>
          </cell>
          <cell r="G126">
            <v>671</v>
          </cell>
          <cell r="H126">
            <v>37119.72</v>
          </cell>
          <cell r="I126">
            <v>0</v>
          </cell>
          <cell r="J126">
            <v>16</v>
          </cell>
          <cell r="K126">
            <v>1440</v>
          </cell>
          <cell r="L126">
            <v>90</v>
          </cell>
          <cell r="M126">
            <v>16</v>
          </cell>
          <cell r="N126">
            <v>1298.7096774193526</v>
          </cell>
          <cell r="O126">
            <v>81.169354838709538</v>
          </cell>
          <cell r="P126">
            <v>0</v>
          </cell>
          <cell r="Q126">
            <v>-8.8306451612904624</v>
          </cell>
          <cell r="R126">
            <v>0.90188172043010595</v>
          </cell>
          <cell r="S126">
            <v>0</v>
          </cell>
          <cell r="T126">
            <v>0.82847222222222217</v>
          </cell>
          <cell r="U126">
            <v>0.85</v>
          </cell>
          <cell r="V126">
            <v>22</v>
          </cell>
          <cell r="W126">
            <v>31.00000000000005</v>
          </cell>
          <cell r="X126">
            <v>0.81666666666666676</v>
          </cell>
          <cell r="Y126">
            <v>0.8256944444444444</v>
          </cell>
          <cell r="Z126">
            <v>0</v>
          </cell>
          <cell r="AA126">
            <v>0</v>
          </cell>
          <cell r="AB126">
            <v>-141.2903225806474</v>
          </cell>
          <cell r="AC126">
            <v>0.90188172043010595</v>
          </cell>
          <cell r="AD126">
            <v>0</v>
          </cell>
        </row>
        <row r="127">
          <cell r="D127" t="str">
            <v>二配香辣醬蒜味香腸蛋炒飯</v>
          </cell>
          <cell r="E127">
            <v>0</v>
          </cell>
          <cell r="F127">
            <v>55.56</v>
          </cell>
          <cell r="G127">
            <v>991</v>
          </cell>
          <cell r="H127">
            <v>55059.96</v>
          </cell>
          <cell r="I127">
            <v>0</v>
          </cell>
          <cell r="J127">
            <v>17</v>
          </cell>
          <cell r="K127">
            <v>1440</v>
          </cell>
          <cell r="L127">
            <v>84.705882352941174</v>
          </cell>
          <cell r="M127">
            <v>17</v>
          </cell>
          <cell r="N127">
            <v>1292.608695652174</v>
          </cell>
          <cell r="O127">
            <v>76.035805626598474</v>
          </cell>
          <cell r="P127">
            <v>0</v>
          </cell>
          <cell r="Q127">
            <v>-8.6700767263426997</v>
          </cell>
          <cell r="R127">
            <v>0.89764492753623204</v>
          </cell>
          <cell r="S127">
            <v>0</v>
          </cell>
          <cell r="T127">
            <v>0.85416666666666663</v>
          </cell>
          <cell r="U127">
            <v>0.88611111111111107</v>
          </cell>
          <cell r="V127">
            <v>6</v>
          </cell>
          <cell r="W127">
            <v>46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-147.39130434782601</v>
          </cell>
          <cell r="AC127">
            <v>0.89764492753623193</v>
          </cell>
          <cell r="AD127">
            <v>0</v>
          </cell>
        </row>
        <row r="128">
          <cell r="D128">
            <v>0</v>
          </cell>
          <cell r="E128">
            <v>0</v>
          </cell>
          <cell r="F128" t="str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 t="e">
            <v>#DIV/0!</v>
          </cell>
          <cell r="AD128">
            <v>0</v>
          </cell>
        </row>
        <row r="129">
          <cell r="D129">
            <v>0</v>
          </cell>
          <cell r="E129">
            <v>0</v>
          </cell>
          <cell r="F129" t="str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/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 t="e">
            <v>#DIV/0!</v>
          </cell>
          <cell r="AD129">
            <v>0</v>
          </cell>
        </row>
        <row r="130">
          <cell r="D130">
            <v>0</v>
          </cell>
          <cell r="E130">
            <v>0</v>
          </cell>
          <cell r="F130" t="str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1">
          <cell r="D131">
            <v>0</v>
          </cell>
          <cell r="E131">
            <v>0</v>
          </cell>
          <cell r="F131" t="str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</row>
        <row r="132">
          <cell r="D132">
            <v>0</v>
          </cell>
          <cell r="E132">
            <v>0</v>
          </cell>
          <cell r="F132" t="str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3">
          <cell r="D133">
            <v>0</v>
          </cell>
          <cell r="E133">
            <v>0</v>
          </cell>
          <cell r="F133" t="str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</row>
        <row r="134">
          <cell r="D134" t="str">
            <v>平均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18.5</v>
          </cell>
          <cell r="K134">
            <v>1496.1666666666667</v>
          </cell>
          <cell r="L134">
            <v>81.361068111455111</v>
          </cell>
          <cell r="M134">
            <v>18.5</v>
          </cell>
          <cell r="N134">
            <v>1259.4942158758392</v>
          </cell>
          <cell r="O134">
            <v>68.721810828412231</v>
          </cell>
          <cell r="P134">
            <v>0</v>
          </cell>
          <cell r="Q134">
            <v>-12.63925728304288</v>
          </cell>
          <cell r="R134">
            <v>0.8446522694892773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-236.6724507908275</v>
          </cell>
          <cell r="AC134">
            <v>0.84181411331792744</v>
          </cell>
          <cell r="AD134">
            <v>0</v>
          </cell>
        </row>
        <row r="135">
          <cell r="D135" t="str">
            <v>紅燒纖牛若風味燴飯</v>
          </cell>
          <cell r="E135">
            <v>0</v>
          </cell>
          <cell r="F135">
            <v>50.67</v>
          </cell>
          <cell r="G135">
            <v>606</v>
          </cell>
          <cell r="H135">
            <v>30706.02</v>
          </cell>
          <cell r="I135">
            <v>0</v>
          </cell>
          <cell r="J135">
            <v>17</v>
          </cell>
          <cell r="K135">
            <v>1565</v>
          </cell>
          <cell r="L135">
            <v>92.058823529411768</v>
          </cell>
          <cell r="M135">
            <v>17</v>
          </cell>
          <cell r="N135">
            <v>1253.7931034482733</v>
          </cell>
          <cell r="O135">
            <v>73.75253549695725</v>
          </cell>
          <cell r="P135">
            <v>0</v>
          </cell>
          <cell r="Q135">
            <v>-18.306288032454518</v>
          </cell>
          <cell r="R135">
            <v>0.80114575300209145</v>
          </cell>
          <cell r="S135">
            <v>0.84027932192045973</v>
          </cell>
          <cell r="T135">
            <v>0.5</v>
          </cell>
          <cell r="U135">
            <v>0.52013888888888893</v>
          </cell>
          <cell r="V135">
            <v>5</v>
          </cell>
          <cell r="W135">
            <v>29.000000000000057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-311.20689655172669</v>
          </cell>
          <cell r="AC135">
            <v>0.80114575300209157</v>
          </cell>
          <cell r="AD135">
            <v>0.83338442143409797</v>
          </cell>
        </row>
        <row r="136">
          <cell r="D136" t="str">
            <v>極上炙烤親子丼</v>
          </cell>
          <cell r="E136">
            <v>0</v>
          </cell>
          <cell r="F136">
            <v>53.68</v>
          </cell>
          <cell r="G136">
            <v>1108</v>
          </cell>
          <cell r="H136">
            <v>59477.440000000002</v>
          </cell>
          <cell r="I136">
            <v>0</v>
          </cell>
          <cell r="J136">
            <v>16</v>
          </cell>
          <cell r="K136">
            <v>1500</v>
          </cell>
          <cell r="L136">
            <v>93.75</v>
          </cell>
          <cell r="M136">
            <v>16</v>
          </cell>
          <cell r="N136">
            <v>1278.4615384615392</v>
          </cell>
          <cell r="O136">
            <v>79.903846153846203</v>
          </cell>
          <cell r="P136">
            <v>0</v>
          </cell>
          <cell r="Q136">
            <v>-13.846153846153797</v>
          </cell>
          <cell r="R136">
            <v>0.85230769230769288</v>
          </cell>
          <cell r="S136">
            <v>0</v>
          </cell>
          <cell r="T136">
            <v>0.52430555555555558</v>
          </cell>
          <cell r="U136">
            <v>0.56041666666666667</v>
          </cell>
          <cell r="V136">
            <v>6</v>
          </cell>
          <cell r="W136">
            <v>51.999999999999972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-221.53846153846075</v>
          </cell>
          <cell r="AC136">
            <v>0.85230769230769288</v>
          </cell>
          <cell r="AD136">
            <v>0</v>
          </cell>
        </row>
        <row r="137">
          <cell r="D137" t="str">
            <v>鐵板滑蛋炸豬排丼</v>
          </cell>
          <cell r="E137">
            <v>0</v>
          </cell>
          <cell r="F137">
            <v>57.734999999999999</v>
          </cell>
          <cell r="G137">
            <v>1514</v>
          </cell>
          <cell r="H137">
            <v>87410.79</v>
          </cell>
          <cell r="I137">
            <v>0</v>
          </cell>
          <cell r="J137">
            <v>16</v>
          </cell>
          <cell r="K137">
            <v>1565</v>
          </cell>
          <cell r="L137">
            <v>97.8125</v>
          </cell>
          <cell r="M137">
            <v>16</v>
          </cell>
          <cell r="N137">
            <v>1316.5217391304334</v>
          </cell>
          <cell r="O137">
            <v>82.282608695652087</v>
          </cell>
          <cell r="P137">
            <v>0</v>
          </cell>
          <cell r="Q137">
            <v>-15.529891304347913</v>
          </cell>
          <cell r="R137">
            <v>0.84122794832615555</v>
          </cell>
          <cell r="S137">
            <v>0</v>
          </cell>
          <cell r="T137">
            <v>0.56527777777777777</v>
          </cell>
          <cell r="U137">
            <v>0.61319444444444449</v>
          </cell>
          <cell r="V137">
            <v>7</v>
          </cell>
          <cell r="W137">
            <v>69.000000000000071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-248.47826086956661</v>
          </cell>
          <cell r="AC137">
            <v>0.84122794832615555</v>
          </cell>
          <cell r="AD137">
            <v>0</v>
          </cell>
        </row>
        <row r="138">
          <cell r="D138" t="str">
            <v>二配煸椒烘蛋飯</v>
          </cell>
          <cell r="E138">
            <v>0</v>
          </cell>
          <cell r="F138">
            <v>46.93</v>
          </cell>
          <cell r="G138">
            <v>734</v>
          </cell>
          <cell r="H138">
            <v>34446.620000000003</v>
          </cell>
          <cell r="I138">
            <v>0</v>
          </cell>
          <cell r="J138">
            <v>17</v>
          </cell>
          <cell r="K138">
            <v>1500</v>
          </cell>
          <cell r="L138">
            <v>88.235294117647058</v>
          </cell>
          <cell r="M138">
            <v>17</v>
          </cell>
          <cell r="N138">
            <v>1258.2857142857131</v>
          </cell>
          <cell r="O138">
            <v>74.016806722689012</v>
          </cell>
          <cell r="P138">
            <v>0</v>
          </cell>
          <cell r="Q138">
            <v>-14.218487394958046</v>
          </cell>
          <cell r="R138">
            <v>0.83885714285714219</v>
          </cell>
          <cell r="S138">
            <v>0</v>
          </cell>
          <cell r="T138">
            <v>0.70833333333333337</v>
          </cell>
          <cell r="U138">
            <v>0.73263888888888895</v>
          </cell>
          <cell r="V138">
            <v>5</v>
          </cell>
          <cell r="W138">
            <v>35.000000000000036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-241.71428571428692</v>
          </cell>
          <cell r="AC138">
            <v>0.83885714285714208</v>
          </cell>
          <cell r="AD138">
            <v>0</v>
          </cell>
        </row>
        <row r="139">
          <cell r="D139" t="str">
            <v>二配黑胡椒素豬若飯</v>
          </cell>
          <cell r="E139">
            <v>0</v>
          </cell>
          <cell r="F139">
            <v>49.91</v>
          </cell>
          <cell r="G139">
            <v>410</v>
          </cell>
          <cell r="H139">
            <v>20463.099999999999</v>
          </cell>
          <cell r="I139">
            <v>0</v>
          </cell>
          <cell r="J139">
            <v>18</v>
          </cell>
          <cell r="K139">
            <v>1636</v>
          </cell>
          <cell r="L139">
            <v>90.888888888888886</v>
          </cell>
          <cell r="M139">
            <v>18</v>
          </cell>
          <cell r="N139">
            <v>1118.1818181818223</v>
          </cell>
          <cell r="O139">
            <v>62.121212121212352</v>
          </cell>
          <cell r="P139">
            <v>0</v>
          </cell>
          <cell r="Q139">
            <v>-28.767676767676534</v>
          </cell>
          <cell r="R139">
            <v>0.68348521893754421</v>
          </cell>
          <cell r="S139">
            <v>0</v>
          </cell>
          <cell r="T139">
            <v>0.73750000000000004</v>
          </cell>
          <cell r="U139">
            <v>0.75277777777777777</v>
          </cell>
          <cell r="V139">
            <v>7</v>
          </cell>
          <cell r="W139">
            <v>21.999999999999922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-517.81818181817766</v>
          </cell>
          <cell r="AC139">
            <v>0.68348521893754421</v>
          </cell>
          <cell r="AD139">
            <v>0</v>
          </cell>
        </row>
        <row r="140">
          <cell r="D140" t="str">
            <v>二配港式香滑嫩蛋牛肉燴飯</v>
          </cell>
          <cell r="E140">
            <v>0</v>
          </cell>
          <cell r="F140">
            <v>50.67</v>
          </cell>
          <cell r="G140">
            <v>1364</v>
          </cell>
          <cell r="H140">
            <v>69113.88</v>
          </cell>
          <cell r="I140">
            <v>0</v>
          </cell>
          <cell r="J140">
            <v>18</v>
          </cell>
          <cell r="K140">
            <v>1500</v>
          </cell>
          <cell r="L140">
            <v>83.333333333333329</v>
          </cell>
          <cell r="M140">
            <v>17</v>
          </cell>
          <cell r="N140">
            <v>1278.7500000000016</v>
          </cell>
          <cell r="O140">
            <v>75.220588235294215</v>
          </cell>
          <cell r="P140">
            <v>-1</v>
          </cell>
          <cell r="Q140">
            <v>-8.1127450980391131</v>
          </cell>
          <cell r="R140">
            <v>0.90264705882353069</v>
          </cell>
          <cell r="S140">
            <v>0</v>
          </cell>
          <cell r="T140">
            <v>0.75694444444444442</v>
          </cell>
          <cell r="U140">
            <v>0.80138888888888882</v>
          </cell>
          <cell r="V140">
            <v>6</v>
          </cell>
          <cell r="W140">
            <v>63.999999999999929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-221.24999999999841</v>
          </cell>
          <cell r="AC140">
            <v>0.85250000000000103</v>
          </cell>
          <cell r="AD140">
            <v>0</v>
          </cell>
        </row>
        <row r="141">
          <cell r="D141" t="str">
            <v>二配金咖哩濃厚辛辣咖哩飯</v>
          </cell>
          <cell r="E141">
            <v>0</v>
          </cell>
          <cell r="F141">
            <v>50.98</v>
          </cell>
          <cell r="G141">
            <v>1767</v>
          </cell>
          <cell r="H141">
            <v>90081.659999999989</v>
          </cell>
          <cell r="I141">
            <v>0</v>
          </cell>
          <cell r="J141">
            <v>18</v>
          </cell>
          <cell r="K141">
            <v>1440</v>
          </cell>
          <cell r="L141">
            <v>80</v>
          </cell>
          <cell r="M141">
            <v>18</v>
          </cell>
          <cell r="N141">
            <v>1359.2307692307686</v>
          </cell>
          <cell r="O141">
            <v>75.512820512820483</v>
          </cell>
          <cell r="P141">
            <v>0</v>
          </cell>
          <cell r="Q141">
            <v>-4.4871794871795174</v>
          </cell>
          <cell r="R141">
            <v>0.94391025641025605</v>
          </cell>
          <cell r="S141">
            <v>0</v>
          </cell>
          <cell r="T141">
            <v>0.81666666666666654</v>
          </cell>
          <cell r="U141">
            <v>0.87083333333333324</v>
          </cell>
          <cell r="V141">
            <v>22</v>
          </cell>
          <cell r="W141">
            <v>78.000000000000043</v>
          </cell>
          <cell r="X141">
            <v>0.80486111111111114</v>
          </cell>
          <cell r="Y141">
            <v>0.81388888888888899</v>
          </cell>
          <cell r="Z141">
            <v>0</v>
          </cell>
          <cell r="AA141">
            <v>0</v>
          </cell>
          <cell r="AB141">
            <v>-80.769230769231399</v>
          </cell>
          <cell r="AC141">
            <v>0.94391025641025594</v>
          </cell>
          <cell r="AD141">
            <v>0</v>
          </cell>
        </row>
        <row r="142">
          <cell r="D142" t="str">
            <v>二配川味麻婆燒豆腐燴飯</v>
          </cell>
          <cell r="E142">
            <v>0</v>
          </cell>
          <cell r="F142">
            <v>50.49</v>
          </cell>
          <cell r="G142">
            <v>1343</v>
          </cell>
          <cell r="H142">
            <v>67808.070000000007</v>
          </cell>
          <cell r="I142">
            <v>0</v>
          </cell>
          <cell r="J142">
            <v>15</v>
          </cell>
          <cell r="K142">
            <v>1440</v>
          </cell>
          <cell r="L142">
            <v>96</v>
          </cell>
          <cell r="M142">
            <v>15</v>
          </cell>
          <cell r="N142">
            <v>1259.0625000000016</v>
          </cell>
          <cell r="O142">
            <v>83.937500000000099</v>
          </cell>
          <cell r="P142">
            <v>0</v>
          </cell>
          <cell r="Q142">
            <v>-12.062499999999901</v>
          </cell>
          <cell r="R142">
            <v>0.87434895833333437</v>
          </cell>
          <cell r="S142">
            <v>0</v>
          </cell>
          <cell r="T142">
            <v>0.87569444444444433</v>
          </cell>
          <cell r="U142">
            <v>0.92013888888888873</v>
          </cell>
          <cell r="V142">
            <v>7</v>
          </cell>
          <cell r="W142">
            <v>63.999999999999929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-180.93749999999841</v>
          </cell>
          <cell r="AC142">
            <v>0.87434895833333448</v>
          </cell>
          <cell r="AD142">
            <v>0</v>
          </cell>
        </row>
        <row r="143">
          <cell r="D143">
            <v>0</v>
          </cell>
          <cell r="E143">
            <v>0</v>
          </cell>
          <cell r="F143" t="str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e">
            <v>#DIV/0!</v>
          </cell>
          <cell r="AD143">
            <v>0</v>
          </cell>
        </row>
        <row r="144">
          <cell r="D144">
            <v>0</v>
          </cell>
          <cell r="E144">
            <v>0</v>
          </cell>
          <cell r="F144" t="str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 t="e">
            <v>#DIV/0!</v>
          </cell>
          <cell r="AD144">
            <v>0</v>
          </cell>
        </row>
        <row r="145">
          <cell r="D145">
            <v>0</v>
          </cell>
          <cell r="E145">
            <v>0</v>
          </cell>
          <cell r="F145" t="str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 t="e">
            <v>#DIV/0!</v>
          </cell>
          <cell r="AD145">
            <v>0</v>
          </cell>
        </row>
        <row r="146">
          <cell r="D146">
            <v>0</v>
          </cell>
          <cell r="E146">
            <v>0</v>
          </cell>
          <cell r="F146" t="str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D147" t="str">
            <v>平均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16.875</v>
          </cell>
          <cell r="K147">
            <v>1518.25</v>
          </cell>
          <cell r="L147">
            <v>90.259854983660134</v>
          </cell>
          <cell r="M147">
            <v>16.75</v>
          </cell>
          <cell r="N147">
            <v>1265.2858978423192</v>
          </cell>
          <cell r="O147">
            <v>75.843489742308961</v>
          </cell>
          <cell r="P147">
            <v>-0.125</v>
          </cell>
          <cell r="Q147">
            <v>-14.416365241351173</v>
          </cell>
          <cell r="R147">
            <v>0.84027932192045973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-252.96410215768083</v>
          </cell>
          <cell r="AC147">
            <v>0.83338442143409797</v>
          </cell>
          <cell r="AD147">
            <v>0</v>
          </cell>
        </row>
        <row r="148">
          <cell r="D148" t="str">
            <v>二配金咖哩果香甘口咖哩飯</v>
          </cell>
          <cell r="E148">
            <v>0</v>
          </cell>
          <cell r="F148">
            <v>50.92</v>
          </cell>
          <cell r="G148">
            <v>2248</v>
          </cell>
          <cell r="H148">
            <v>114468.16</v>
          </cell>
          <cell r="I148">
            <v>0</v>
          </cell>
          <cell r="J148">
            <v>17</v>
          </cell>
          <cell r="K148">
            <v>1440</v>
          </cell>
          <cell r="L148">
            <v>84.705882352941174</v>
          </cell>
          <cell r="M148">
            <v>17</v>
          </cell>
          <cell r="N148">
            <v>1335.4455445544561</v>
          </cell>
          <cell r="O148">
            <v>78.555620267909177</v>
          </cell>
          <cell r="P148">
            <v>0</v>
          </cell>
          <cell r="Q148">
            <v>-6.1502620850319971</v>
          </cell>
          <cell r="R148">
            <v>0.92739273927392785</v>
          </cell>
          <cell r="S148">
            <v>0.84031861774984185</v>
          </cell>
          <cell r="T148">
            <v>0.70833333333333337</v>
          </cell>
          <cell r="U148">
            <v>0.77847222222222223</v>
          </cell>
          <cell r="V148">
            <v>5</v>
          </cell>
          <cell r="W148">
            <v>100.99999999999996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-104.55445544554391</v>
          </cell>
          <cell r="AC148">
            <v>0.92739273927392785</v>
          </cell>
          <cell r="AD148">
            <v>0.84357125485812723</v>
          </cell>
        </row>
        <row r="149">
          <cell r="D149" t="str">
            <v>二配極旨黑咖哩漢堡排飯</v>
          </cell>
          <cell r="E149">
            <v>0</v>
          </cell>
          <cell r="F149">
            <v>53.27</v>
          </cell>
          <cell r="G149">
            <v>290</v>
          </cell>
          <cell r="H149">
            <v>15448.300000000001</v>
          </cell>
          <cell r="I149">
            <v>0</v>
          </cell>
          <cell r="J149">
            <v>16</v>
          </cell>
          <cell r="K149">
            <v>1500</v>
          </cell>
          <cell r="L149">
            <v>93.75</v>
          </cell>
          <cell r="M149">
            <v>16</v>
          </cell>
          <cell r="N149">
            <v>1087.5000000000039</v>
          </cell>
          <cell r="O149">
            <v>67.968750000000242</v>
          </cell>
          <cell r="P149">
            <v>0</v>
          </cell>
          <cell r="Q149">
            <v>-25.781249999999758</v>
          </cell>
          <cell r="R149">
            <v>0.72500000000000253</v>
          </cell>
          <cell r="S149">
            <v>0</v>
          </cell>
          <cell r="T149">
            <v>0.78333333333333333</v>
          </cell>
          <cell r="U149">
            <v>0.7944444444444444</v>
          </cell>
          <cell r="V149">
            <v>7</v>
          </cell>
          <cell r="W149">
            <v>15.999999999999943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-412.49999999999613</v>
          </cell>
          <cell r="AC149">
            <v>0.72500000000000253</v>
          </cell>
          <cell r="AD149">
            <v>0</v>
          </cell>
        </row>
        <row r="150">
          <cell r="D150" t="str">
            <v>二配美味蟹煲</v>
          </cell>
          <cell r="E150">
            <v>0</v>
          </cell>
          <cell r="F150">
            <v>54.09</v>
          </cell>
          <cell r="G150">
            <v>2459</v>
          </cell>
          <cell r="H150">
            <v>133007.31</v>
          </cell>
          <cell r="I150">
            <v>0</v>
          </cell>
          <cell r="J150">
            <v>18</v>
          </cell>
          <cell r="K150">
            <v>1440</v>
          </cell>
          <cell r="L150">
            <v>80</v>
          </cell>
          <cell r="M150">
            <v>18</v>
          </cell>
          <cell r="N150">
            <v>1271.8965517241372</v>
          </cell>
          <cell r="O150">
            <v>70.660919540229841</v>
          </cell>
          <cell r="P150">
            <v>0</v>
          </cell>
          <cell r="Q150">
            <v>-9.3390804597701589</v>
          </cell>
          <cell r="R150">
            <v>0.88326149425287304</v>
          </cell>
          <cell r="S150">
            <v>0</v>
          </cell>
          <cell r="T150">
            <v>0.80972222222222212</v>
          </cell>
          <cell r="U150">
            <v>0.89027777777777772</v>
          </cell>
          <cell r="V150">
            <v>22</v>
          </cell>
          <cell r="W150">
            <v>116.00000000000007</v>
          </cell>
          <cell r="X150">
            <v>0.79791666666666661</v>
          </cell>
          <cell r="Y150">
            <v>0.80694444444444446</v>
          </cell>
          <cell r="Z150">
            <v>0</v>
          </cell>
          <cell r="AA150">
            <v>0</v>
          </cell>
          <cell r="AB150">
            <v>-168.10344827586277</v>
          </cell>
          <cell r="AC150">
            <v>0.88326149425287304</v>
          </cell>
          <cell r="AD150">
            <v>0</v>
          </cell>
        </row>
        <row r="151">
          <cell r="D151">
            <v>0</v>
          </cell>
          <cell r="E151">
            <v>0</v>
          </cell>
          <cell r="F151" t="str">
            <v>0</v>
          </cell>
          <cell r="G151" t="str">
            <v/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 t="str">
            <v/>
          </cell>
          <cell r="U151" t="str">
            <v/>
          </cell>
          <cell r="V151" t="str">
            <v/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2">
          <cell r="D152">
            <v>0</v>
          </cell>
          <cell r="E152">
            <v>0</v>
          </cell>
          <cell r="F152" t="str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</row>
        <row r="153">
          <cell r="D153">
            <v>0</v>
          </cell>
          <cell r="E153">
            <v>0</v>
          </cell>
          <cell r="F153" t="str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</row>
        <row r="154">
          <cell r="D154">
            <v>0</v>
          </cell>
          <cell r="E154">
            <v>0</v>
          </cell>
          <cell r="F154" t="str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</row>
        <row r="155">
          <cell r="D155">
            <v>0</v>
          </cell>
          <cell r="E155">
            <v>0</v>
          </cell>
          <cell r="F155" t="str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</row>
        <row r="156">
          <cell r="D156">
            <v>0</v>
          </cell>
          <cell r="E156">
            <v>0</v>
          </cell>
          <cell r="F156" t="str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57">
          <cell r="D157">
            <v>0</v>
          </cell>
          <cell r="E157">
            <v>0</v>
          </cell>
          <cell r="F157" t="str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8">
          <cell r="D158">
            <v>0</v>
          </cell>
          <cell r="E158">
            <v>0</v>
          </cell>
          <cell r="F158" t="str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D159">
            <v>0</v>
          </cell>
          <cell r="E159">
            <v>0</v>
          </cell>
          <cell r="F159" t="str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</row>
        <row r="160">
          <cell r="D160" t="str">
            <v>平均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17</v>
          </cell>
          <cell r="K160">
            <v>1460</v>
          </cell>
          <cell r="L160">
            <v>86.151960784313715</v>
          </cell>
          <cell r="M160">
            <v>17</v>
          </cell>
          <cell r="N160">
            <v>1231.6140320928657</v>
          </cell>
          <cell r="O160">
            <v>72.395096602713082</v>
          </cell>
          <cell r="P160">
            <v>0</v>
          </cell>
          <cell r="Q160">
            <v>-13.756864181600633</v>
          </cell>
          <cell r="R160">
            <v>0.84031861774984185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-228.38596790713427</v>
          </cell>
          <cell r="AC160">
            <v>0.84357125485812723</v>
          </cell>
          <cell r="AD160">
            <v>0</v>
          </cell>
        </row>
        <row r="161">
          <cell r="D161" t="str">
            <v>大口金黃薯牛堡飯糰</v>
          </cell>
          <cell r="E161">
            <v>0</v>
          </cell>
          <cell r="F161">
            <v>34.229999999999997</v>
          </cell>
          <cell r="G161">
            <v>2179</v>
          </cell>
          <cell r="H161">
            <v>74587.17</v>
          </cell>
          <cell r="I161">
            <v>0</v>
          </cell>
          <cell r="J161">
            <v>12</v>
          </cell>
          <cell r="K161">
            <v>2250</v>
          </cell>
          <cell r="L161">
            <v>187.5</v>
          </cell>
          <cell r="M161">
            <v>12</v>
          </cell>
          <cell r="N161">
            <v>2042.8124999999995</v>
          </cell>
          <cell r="O161">
            <v>170.23437499999997</v>
          </cell>
          <cell r="P161">
            <v>0</v>
          </cell>
          <cell r="Q161">
            <v>-17.265625000000028</v>
          </cell>
          <cell r="R161">
            <v>0.90791666666666648</v>
          </cell>
          <cell r="S161">
            <v>0.86135544604188119</v>
          </cell>
          <cell r="T161">
            <v>0.16666666666666666</v>
          </cell>
          <cell r="U161">
            <v>0.21111111111111111</v>
          </cell>
          <cell r="V161">
            <v>5</v>
          </cell>
          <cell r="W161">
            <v>64.000000000000014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-207.18750000000045</v>
          </cell>
          <cell r="AC161">
            <v>0.90791666666666648</v>
          </cell>
          <cell r="AD161">
            <v>0.86027982850888318</v>
          </cell>
        </row>
        <row r="162">
          <cell r="D162" t="str">
            <v>大口日式塔塔醬蝦排飯糰</v>
          </cell>
          <cell r="E162">
            <v>0</v>
          </cell>
          <cell r="F162">
            <v>35.33</v>
          </cell>
          <cell r="G162">
            <v>3779</v>
          </cell>
          <cell r="H162">
            <v>133512.07</v>
          </cell>
          <cell r="I162">
            <v>0</v>
          </cell>
          <cell r="J162">
            <v>12</v>
          </cell>
          <cell r="K162">
            <v>2250</v>
          </cell>
          <cell r="L162">
            <v>187.5</v>
          </cell>
          <cell r="M162">
            <v>12</v>
          </cell>
          <cell r="N162">
            <v>2042.7027027027025</v>
          </cell>
          <cell r="O162">
            <v>170.22522522522522</v>
          </cell>
          <cell r="P162">
            <v>0</v>
          </cell>
          <cell r="Q162">
            <v>-17.274774774774784</v>
          </cell>
          <cell r="R162">
            <v>0.90786786786786777</v>
          </cell>
          <cell r="S162">
            <v>0</v>
          </cell>
          <cell r="T162">
            <v>0.21597222222222223</v>
          </cell>
          <cell r="U162">
            <v>0.29305555555555557</v>
          </cell>
          <cell r="V162">
            <v>7</v>
          </cell>
          <cell r="W162">
            <v>111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-207.29729729729752</v>
          </cell>
          <cell r="AC162">
            <v>0.90786786786786777</v>
          </cell>
          <cell r="AD162">
            <v>0</v>
          </cell>
        </row>
        <row r="163">
          <cell r="D163" t="str">
            <v>大口麻婆豆腐飯糰</v>
          </cell>
          <cell r="E163">
            <v>0</v>
          </cell>
          <cell r="F163">
            <v>31.23</v>
          </cell>
          <cell r="G163">
            <v>1036</v>
          </cell>
          <cell r="H163">
            <v>32354.28</v>
          </cell>
          <cell r="I163">
            <v>0</v>
          </cell>
          <cell r="J163">
            <v>12</v>
          </cell>
          <cell r="K163">
            <v>2250</v>
          </cell>
          <cell r="L163">
            <v>187.5</v>
          </cell>
          <cell r="M163">
            <v>12</v>
          </cell>
          <cell r="N163">
            <v>1726.6666666666652</v>
          </cell>
          <cell r="O163">
            <v>143.88888888888877</v>
          </cell>
          <cell r="P163">
            <v>0</v>
          </cell>
          <cell r="Q163">
            <v>-43.611111111111228</v>
          </cell>
          <cell r="R163">
            <v>0.76740740740740676</v>
          </cell>
          <cell r="S163">
            <v>0</v>
          </cell>
          <cell r="T163">
            <v>0.30902777777777779</v>
          </cell>
          <cell r="U163">
            <v>0.33402777777777781</v>
          </cell>
          <cell r="V163">
            <v>23</v>
          </cell>
          <cell r="W163">
            <v>36.000000000000028</v>
          </cell>
          <cell r="X163">
            <v>0.29652777777777778</v>
          </cell>
          <cell r="Y163">
            <v>0.30624999999999997</v>
          </cell>
          <cell r="Z163">
            <v>0</v>
          </cell>
          <cell r="AA163">
            <v>0</v>
          </cell>
          <cell r="AB163">
            <v>-523.33333333333485</v>
          </cell>
          <cell r="AC163">
            <v>0.76740740740740676</v>
          </cell>
          <cell r="AD163">
            <v>0</v>
          </cell>
        </row>
        <row r="164">
          <cell r="D164" t="str">
            <v>大口歐風焙煎咖哩漢堡排飯糰</v>
          </cell>
          <cell r="E164">
            <v>0</v>
          </cell>
          <cell r="F164">
            <v>34.229999999999997</v>
          </cell>
          <cell r="G164">
            <v>3549</v>
          </cell>
          <cell r="H164">
            <v>121482.26999999999</v>
          </cell>
          <cell r="I164">
            <v>0</v>
          </cell>
          <cell r="J164">
            <v>11</v>
          </cell>
          <cell r="K164">
            <v>2250</v>
          </cell>
          <cell r="L164">
            <v>204.54545454545453</v>
          </cell>
          <cell r="M164">
            <v>11</v>
          </cell>
          <cell r="N164">
            <v>2047.5000000000014</v>
          </cell>
          <cell r="O164">
            <v>186.13636363636377</v>
          </cell>
          <cell r="P164">
            <v>0</v>
          </cell>
          <cell r="Q164">
            <v>-18.409090909090764</v>
          </cell>
          <cell r="R164">
            <v>0.9100000000000007</v>
          </cell>
          <cell r="S164">
            <v>0</v>
          </cell>
          <cell r="T164">
            <v>0.33819444444444446</v>
          </cell>
          <cell r="U164">
            <v>0.41041666666666665</v>
          </cell>
          <cell r="V164">
            <v>6</v>
          </cell>
          <cell r="W164">
            <v>103.99999999999994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-202.49999999999864</v>
          </cell>
          <cell r="AC164">
            <v>0.91000000000000059</v>
          </cell>
          <cell r="AD164">
            <v>0</v>
          </cell>
        </row>
        <row r="165">
          <cell r="D165" t="str">
            <v>大口蒜味香腸燒肉雙拼飯糰</v>
          </cell>
          <cell r="E165">
            <v>0</v>
          </cell>
          <cell r="F165">
            <v>34.229999999999997</v>
          </cell>
          <cell r="G165">
            <v>1464</v>
          </cell>
          <cell r="H165">
            <v>50112.719999999994</v>
          </cell>
          <cell r="I165">
            <v>0</v>
          </cell>
          <cell r="J165">
            <v>12</v>
          </cell>
          <cell r="K165">
            <v>2250</v>
          </cell>
          <cell r="L165">
            <v>187.5</v>
          </cell>
          <cell r="M165">
            <v>12</v>
          </cell>
          <cell r="N165">
            <v>1792.6530612244903</v>
          </cell>
          <cell r="O165">
            <v>149.38775510204087</v>
          </cell>
          <cell r="P165">
            <v>0</v>
          </cell>
          <cell r="Q165">
            <v>-38.11224489795913</v>
          </cell>
          <cell r="R165">
            <v>0.79673469387755136</v>
          </cell>
          <cell r="S165">
            <v>0</v>
          </cell>
          <cell r="T165">
            <v>0.45138888888888884</v>
          </cell>
          <cell r="U165">
            <v>0.48541666666666661</v>
          </cell>
          <cell r="V165">
            <v>6</v>
          </cell>
          <cell r="W165">
            <v>48.999999999999986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-457.34693877550967</v>
          </cell>
          <cell r="AC165">
            <v>0.79673469387755125</v>
          </cell>
          <cell r="AD165">
            <v>0</v>
          </cell>
        </row>
        <row r="166">
          <cell r="D166" t="str">
            <v>大口花椒香麻雞飯糰</v>
          </cell>
          <cell r="E166">
            <v>0</v>
          </cell>
          <cell r="F166">
            <v>34.770000000000003</v>
          </cell>
          <cell r="G166">
            <v>959</v>
          </cell>
          <cell r="H166">
            <v>33344.43</v>
          </cell>
          <cell r="I166">
            <v>0</v>
          </cell>
          <cell r="J166">
            <v>9</v>
          </cell>
          <cell r="K166">
            <v>2250</v>
          </cell>
          <cell r="L166">
            <v>250</v>
          </cell>
          <cell r="M166">
            <v>9</v>
          </cell>
          <cell r="N166">
            <v>1798.1249999999977</v>
          </cell>
          <cell r="O166">
            <v>199.7916666666664</v>
          </cell>
          <cell r="P166">
            <v>0</v>
          </cell>
          <cell r="Q166">
            <v>-50.208333333333599</v>
          </cell>
          <cell r="R166">
            <v>0.79916666666666558</v>
          </cell>
          <cell r="S166">
            <v>0</v>
          </cell>
          <cell r="T166">
            <v>0.4902777777777777</v>
          </cell>
          <cell r="U166">
            <v>0.51249999999999996</v>
          </cell>
          <cell r="V166">
            <v>7</v>
          </cell>
          <cell r="W166">
            <v>32.000000000000043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-451.87500000000227</v>
          </cell>
          <cell r="AC166">
            <v>0.79916666666666569</v>
          </cell>
          <cell r="AD166">
            <v>0</v>
          </cell>
        </row>
        <row r="167">
          <cell r="D167" t="str">
            <v>大口義式香草雞腿排飯糰</v>
          </cell>
          <cell r="E167">
            <v>0</v>
          </cell>
          <cell r="F167">
            <v>36.409999999999997</v>
          </cell>
          <cell r="G167">
            <v>1994</v>
          </cell>
          <cell r="H167">
            <v>72601.539999999994</v>
          </cell>
          <cell r="I167">
            <v>0</v>
          </cell>
          <cell r="J167">
            <v>9</v>
          </cell>
          <cell r="K167">
            <v>2250</v>
          </cell>
          <cell r="L167">
            <v>250</v>
          </cell>
          <cell r="M167">
            <v>9</v>
          </cell>
          <cell r="N167">
            <v>2098.9473684210543</v>
          </cell>
          <cell r="O167">
            <v>233.21637426900602</v>
          </cell>
          <cell r="P167">
            <v>0</v>
          </cell>
          <cell r="Q167">
            <v>-16.783625730993975</v>
          </cell>
          <cell r="R167">
            <v>0.93286549707602406</v>
          </cell>
          <cell r="S167">
            <v>0</v>
          </cell>
          <cell r="T167">
            <v>0.51666666666666661</v>
          </cell>
          <cell r="U167">
            <v>0.55624999999999991</v>
          </cell>
          <cell r="V167">
            <v>6</v>
          </cell>
          <cell r="W167">
            <v>56.999999999999957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-151.05263157894569</v>
          </cell>
          <cell r="AC167">
            <v>0.93286549707602417</v>
          </cell>
          <cell r="AD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 t="e">
            <v>#DIV/0!</v>
          </cell>
          <cell r="AD168">
            <v>0</v>
          </cell>
        </row>
        <row r="169">
          <cell r="D169">
            <v>0</v>
          </cell>
          <cell r="E169">
            <v>0</v>
          </cell>
          <cell r="F169" t="str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 t="e">
            <v>#DIV/0!</v>
          </cell>
          <cell r="AD169">
            <v>0</v>
          </cell>
        </row>
        <row r="170">
          <cell r="D170">
            <v>0</v>
          </cell>
          <cell r="E170">
            <v>0</v>
          </cell>
          <cell r="F170" t="str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 t="e">
            <v>#DIV/0!</v>
          </cell>
          <cell r="AD170">
            <v>0</v>
          </cell>
        </row>
        <row r="171">
          <cell r="D171">
            <v>0</v>
          </cell>
          <cell r="E171">
            <v>0</v>
          </cell>
          <cell r="F171" t="str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2">
          <cell r="D172">
            <v>0</v>
          </cell>
          <cell r="E172">
            <v>0</v>
          </cell>
          <cell r="F172" t="str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</row>
        <row r="173">
          <cell r="D173" t="str">
            <v>平均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</v>
          </cell>
          <cell r="K173">
            <v>2250</v>
          </cell>
          <cell r="L173">
            <v>207.79220779220779</v>
          </cell>
          <cell r="M173">
            <v>11</v>
          </cell>
          <cell r="N173">
            <v>1935.6296141449873</v>
          </cell>
          <cell r="O173">
            <v>178.98294982688441</v>
          </cell>
          <cell r="P173">
            <v>0</v>
          </cell>
          <cell r="Q173">
            <v>-28.809257965323383</v>
          </cell>
          <cell r="R173">
            <v>0.86135544604188119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-314.37038585501273</v>
          </cell>
          <cell r="AC173">
            <v>0.86027982850888318</v>
          </cell>
          <cell r="AD173">
            <v>0</v>
          </cell>
        </row>
        <row r="174">
          <cell r="J174">
            <v>0</v>
          </cell>
        </row>
        <row r="177">
          <cell r="W177">
            <v>0</v>
          </cell>
        </row>
        <row r="178">
          <cell r="W178">
            <v>0</v>
          </cell>
        </row>
        <row r="179">
          <cell r="W179">
            <v>0</v>
          </cell>
        </row>
        <row r="180">
          <cell r="W180">
            <v>0</v>
          </cell>
        </row>
        <row r="181">
          <cell r="W181">
            <v>0</v>
          </cell>
        </row>
        <row r="182">
          <cell r="W182">
            <v>0</v>
          </cell>
        </row>
        <row r="183">
          <cell r="W183">
            <v>0</v>
          </cell>
        </row>
        <row r="184">
          <cell r="W184">
            <v>0</v>
          </cell>
        </row>
        <row r="185">
          <cell r="W185">
            <v>0</v>
          </cell>
        </row>
        <row r="186">
          <cell r="W186">
            <v>0</v>
          </cell>
        </row>
      </sheetData>
      <sheetData sheetId="4">
        <row r="1">
          <cell r="E1">
            <v>123970</v>
          </cell>
        </row>
      </sheetData>
      <sheetData sheetId="5">
        <row r="1">
          <cell r="E1">
            <v>141753</v>
          </cell>
        </row>
      </sheetData>
      <sheetData sheetId="6">
        <row r="1">
          <cell r="E1">
            <v>138667</v>
          </cell>
        </row>
      </sheetData>
      <sheetData sheetId="7">
        <row r="1">
          <cell r="E1">
            <v>148073</v>
          </cell>
        </row>
      </sheetData>
      <sheetData sheetId="8">
        <row r="1">
          <cell r="E1">
            <v>136068</v>
          </cell>
        </row>
      </sheetData>
      <sheetData sheetId="9">
        <row r="1">
          <cell r="E1">
            <v>127219</v>
          </cell>
        </row>
      </sheetData>
      <sheetData sheetId="10">
        <row r="1">
          <cell r="E1">
            <v>111617</v>
          </cell>
        </row>
      </sheetData>
      <sheetData sheetId="11">
        <row r="1">
          <cell r="E1">
            <v>112573</v>
          </cell>
        </row>
      </sheetData>
      <sheetData sheetId="12">
        <row r="1">
          <cell r="E1">
            <v>127519</v>
          </cell>
        </row>
      </sheetData>
      <sheetData sheetId="13">
        <row r="1">
          <cell r="E1">
            <v>125734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>
        <row r="67">
          <cell r="Q67">
            <v>1282.7906976744184</v>
          </cell>
          <cell r="R67">
            <v>67.515299877600967</v>
          </cell>
        </row>
        <row r="68">
          <cell r="P68">
            <v>19</v>
          </cell>
          <cell r="Q68">
            <v>1199.9999999999995</v>
          </cell>
          <cell r="R68">
            <v>63.157894736842081</v>
          </cell>
        </row>
        <row r="69">
          <cell r="P69">
            <v>20</v>
          </cell>
          <cell r="Q69">
            <v>1088.2191780821909</v>
          </cell>
          <cell r="R69">
            <v>54.410958904109542</v>
          </cell>
        </row>
        <row r="70">
          <cell r="P70">
            <v>17</v>
          </cell>
          <cell r="Q70">
            <v>1244</v>
          </cell>
          <cell r="R70">
            <v>73.17647058823529</v>
          </cell>
        </row>
        <row r="71">
          <cell r="P71">
            <v>16</v>
          </cell>
          <cell r="Q71">
            <v>1313.1743119266064</v>
          </cell>
          <cell r="R71">
            <v>82.073394495412899</v>
          </cell>
        </row>
        <row r="72">
          <cell r="P72">
            <v>18</v>
          </cell>
          <cell r="Q72">
            <v>1186.8000000000002</v>
          </cell>
          <cell r="R72">
            <v>65.933333333333337</v>
          </cell>
        </row>
        <row r="73">
          <cell r="P73">
            <v>19</v>
          </cell>
          <cell r="Q73">
            <v>1098.2608695652136</v>
          </cell>
          <cell r="R73">
            <v>57.803203661327032</v>
          </cell>
        </row>
        <row r="74">
          <cell r="P74">
            <v>15</v>
          </cell>
          <cell r="Q74">
            <v>1247.9999999999977</v>
          </cell>
          <cell r="R74">
            <v>83.199999999999847</v>
          </cell>
        </row>
        <row r="75">
          <cell r="P75">
            <v>20</v>
          </cell>
          <cell r="Q75">
            <v>1157.2727272727273</v>
          </cell>
          <cell r="R75">
            <v>57.86363636363636</v>
          </cell>
        </row>
        <row r="76">
          <cell r="P76">
            <v>20</v>
          </cell>
          <cell r="Q76">
            <v>1203.9622641509441</v>
          </cell>
          <cell r="R76">
            <v>60.198113207547202</v>
          </cell>
        </row>
      </sheetData>
      <sheetData sheetId="9">
        <row r="67">
          <cell r="D67" t="str">
            <v>沙茶豬肉炒麵</v>
          </cell>
        </row>
      </sheetData>
      <sheetData sheetId="10">
        <row r="67">
          <cell r="P67">
            <v>21</v>
          </cell>
          <cell r="Q67">
            <v>2166.2337662337673</v>
          </cell>
          <cell r="R67">
            <v>103.15398886827464</v>
          </cell>
          <cell r="U67">
            <v>21</v>
          </cell>
          <cell r="V67">
            <v>2117.4683544303807</v>
          </cell>
          <cell r="W67">
            <v>100.8318264014467</v>
          </cell>
          <cell r="Z67">
            <v>21</v>
          </cell>
          <cell r="AA67">
            <v>2165.3164556962033</v>
          </cell>
          <cell r="AB67">
            <v>103.11030741410492</v>
          </cell>
          <cell r="AE67">
            <v>21</v>
          </cell>
          <cell r="AF67">
            <v>2230.140845070423</v>
          </cell>
          <cell r="AG67">
            <v>106.19718309859157</v>
          </cell>
          <cell r="AJ67">
            <v>21</v>
          </cell>
          <cell r="AK67">
            <v>2204.7761194029849</v>
          </cell>
          <cell r="AL67">
            <v>104.98933901918976</v>
          </cell>
          <cell r="AO67">
            <v>21</v>
          </cell>
          <cell r="AP67">
            <v>2121.1764705882347</v>
          </cell>
          <cell r="AQ67">
            <v>101.00840336134451</v>
          </cell>
          <cell r="AT67">
            <v>21</v>
          </cell>
          <cell r="AU67">
            <v>2163.703703703703</v>
          </cell>
          <cell r="AV67">
            <v>103.03350970017634</v>
          </cell>
        </row>
        <row r="68">
          <cell r="P68">
            <v>20</v>
          </cell>
          <cell r="Q68">
            <v>2365.1351351351359</v>
          </cell>
          <cell r="R68">
            <v>118.2567567567568</v>
          </cell>
          <cell r="U68">
            <v>20</v>
          </cell>
          <cell r="V68">
            <v>2403.9473684210534</v>
          </cell>
          <cell r="W68">
            <v>120.19736842105267</v>
          </cell>
          <cell r="Z68">
            <v>20</v>
          </cell>
          <cell r="AA68">
            <v>2415.238095238095</v>
          </cell>
          <cell r="AB68">
            <v>120.76190476190474</v>
          </cell>
          <cell r="AE68">
            <v>20</v>
          </cell>
          <cell r="AF68">
            <v>2443.5483870967732</v>
          </cell>
          <cell r="AG68">
            <v>122.17741935483866</v>
          </cell>
          <cell r="AJ68">
            <v>20</v>
          </cell>
          <cell r="AK68">
            <v>2406.7741935483864</v>
          </cell>
          <cell r="AL68">
            <v>120.33870967741932</v>
          </cell>
          <cell r="AO68">
            <v>20</v>
          </cell>
          <cell r="AP68">
            <v>2364.4736842105272</v>
          </cell>
          <cell r="AQ68">
            <v>118.22368421052636</v>
          </cell>
          <cell r="AT68">
            <v>20</v>
          </cell>
          <cell r="AU68">
            <v>2330.6105263157879</v>
          </cell>
          <cell r="AV68">
            <v>116.53052631578939</v>
          </cell>
        </row>
        <row r="69">
          <cell r="P69">
            <v>20</v>
          </cell>
          <cell r="Q69">
            <v>2307.4576271186461</v>
          </cell>
          <cell r="R69">
            <v>115.37288135593231</v>
          </cell>
          <cell r="U69">
            <v>20</v>
          </cell>
          <cell r="V69">
            <v>2159.0625000000027</v>
          </cell>
          <cell r="W69">
            <v>107.95312500000014</v>
          </cell>
          <cell r="Z69">
            <v>20</v>
          </cell>
          <cell r="AA69">
            <v>2213.3333333333344</v>
          </cell>
          <cell r="AB69">
            <v>110.66666666666671</v>
          </cell>
          <cell r="AE69">
            <v>20</v>
          </cell>
          <cell r="AF69">
            <v>2167.368421052639</v>
          </cell>
          <cell r="AG69">
            <v>108.36842105263194</v>
          </cell>
          <cell r="AJ69">
            <v>20</v>
          </cell>
          <cell r="AK69">
            <v>2222.1818181818198</v>
          </cell>
          <cell r="AL69">
            <v>111.10909090909099</v>
          </cell>
          <cell r="AO69">
            <v>20</v>
          </cell>
          <cell r="AP69">
            <v>2141.3114754098378</v>
          </cell>
          <cell r="AQ69">
            <v>107.06557377049189</v>
          </cell>
          <cell r="AT69">
            <v>20</v>
          </cell>
          <cell r="AU69">
            <v>2276.0000000000023</v>
          </cell>
          <cell r="AV69">
            <v>113.80000000000011</v>
          </cell>
        </row>
        <row r="70">
          <cell r="P70">
            <v>20</v>
          </cell>
          <cell r="Q70">
            <v>2455.4347826086955</v>
          </cell>
          <cell r="R70">
            <v>122.77173913043478</v>
          </cell>
          <cell r="U70">
            <v>20</v>
          </cell>
          <cell r="V70">
            <v>2419.2452830188695</v>
          </cell>
          <cell r="W70">
            <v>120.96226415094347</v>
          </cell>
          <cell r="Z70">
            <v>20</v>
          </cell>
          <cell r="AA70">
            <v>2473.2000000000007</v>
          </cell>
          <cell r="AB70">
            <v>123.66000000000004</v>
          </cell>
          <cell r="AE70">
            <v>20</v>
          </cell>
          <cell r="AF70">
            <v>2460.8219178082172</v>
          </cell>
          <cell r="AG70">
            <v>123.04109589041086</v>
          </cell>
          <cell r="AJ70">
            <v>20</v>
          </cell>
          <cell r="AK70">
            <v>2474.6153846153834</v>
          </cell>
          <cell r="AL70">
            <v>123.73076923076917</v>
          </cell>
          <cell r="AO70">
            <v>20</v>
          </cell>
          <cell r="AP70">
            <v>2520.6315789473688</v>
          </cell>
          <cell r="AQ70">
            <v>126.03157894736844</v>
          </cell>
          <cell r="AT70">
            <v>20</v>
          </cell>
          <cell r="AU70">
            <v>2466.8041237113407</v>
          </cell>
          <cell r="AV70">
            <v>123.34020618556704</v>
          </cell>
        </row>
        <row r="71">
          <cell r="P71">
            <v>20</v>
          </cell>
          <cell r="Q71">
            <v>2462.9999999999991</v>
          </cell>
          <cell r="R71">
            <v>123.14999999999995</v>
          </cell>
          <cell r="U71">
            <v>20</v>
          </cell>
          <cell r="V71">
            <v>2451.1409395973164</v>
          </cell>
          <cell r="W71">
            <v>122.55704697986582</v>
          </cell>
          <cell r="Z71">
            <v>20</v>
          </cell>
          <cell r="AA71">
            <v>2516.3513513513526</v>
          </cell>
          <cell r="AB71">
            <v>125.81756756756764</v>
          </cell>
          <cell r="AE71">
            <v>20</v>
          </cell>
          <cell r="AF71">
            <v>2473.1092436974777</v>
          </cell>
          <cell r="AG71">
            <v>123.65546218487388</v>
          </cell>
          <cell r="AJ71">
            <v>20</v>
          </cell>
          <cell r="AK71">
            <v>2483.6697247706438</v>
          </cell>
          <cell r="AL71">
            <v>124.1834862385322</v>
          </cell>
          <cell r="AO71">
            <v>20</v>
          </cell>
          <cell r="AP71">
            <v>2432.2058823529414</v>
          </cell>
          <cell r="AQ71">
            <v>121.61029411764707</v>
          </cell>
          <cell r="AT71">
            <v>20</v>
          </cell>
          <cell r="AU71">
            <v>2419.1111111111081</v>
          </cell>
          <cell r="AV71">
            <v>120.95555555555541</v>
          </cell>
        </row>
      </sheetData>
      <sheetData sheetId="11">
        <row r="67">
          <cell r="P67">
            <v>7</v>
          </cell>
          <cell r="Q67">
            <v>1202.8037383177571</v>
          </cell>
          <cell r="R67">
            <v>171.82910547396529</v>
          </cell>
          <cell r="U67">
            <v>8</v>
          </cell>
          <cell r="V67">
            <v>1215.7281553398057</v>
          </cell>
          <cell r="W67">
            <v>151.96601941747571</v>
          </cell>
          <cell r="Z67">
            <v>8</v>
          </cell>
          <cell r="AA67">
            <v>1181.7647058823525</v>
          </cell>
          <cell r="AB67">
            <v>147.72058823529406</v>
          </cell>
          <cell r="AE67">
            <v>8</v>
          </cell>
          <cell r="AF67">
            <v>1228.9156626506019</v>
          </cell>
          <cell r="AG67">
            <v>153.61445783132524</v>
          </cell>
          <cell r="AJ67">
            <v>8</v>
          </cell>
          <cell r="AK67">
            <v>1228.9411764705881</v>
          </cell>
          <cell r="AL67">
            <v>153.61764705882351</v>
          </cell>
          <cell r="AO67">
            <v>8</v>
          </cell>
          <cell r="AP67">
            <v>1202.2641509433963</v>
          </cell>
          <cell r="AQ67">
            <v>150.28301886792454</v>
          </cell>
          <cell r="AT67">
            <v>8</v>
          </cell>
          <cell r="AU67">
            <v>1286.1702127659571</v>
          </cell>
          <cell r="AV67">
            <v>160.77127659574464</v>
          </cell>
        </row>
        <row r="68">
          <cell r="P68">
            <v>15</v>
          </cell>
          <cell r="Q68">
            <v>1197.5478260869556</v>
          </cell>
          <cell r="R68">
            <v>79.836521739130376</v>
          </cell>
          <cell r="U68">
            <v>15</v>
          </cell>
          <cell r="V68">
            <v>1202.7931034482758</v>
          </cell>
          <cell r="W68">
            <v>80.186206896551724</v>
          </cell>
          <cell r="Z68">
            <v>15</v>
          </cell>
          <cell r="AA68">
            <v>1174.1578947368419</v>
          </cell>
          <cell r="AB68">
            <v>78.277192982456128</v>
          </cell>
          <cell r="AE68">
            <v>15</v>
          </cell>
          <cell r="AF68">
            <v>1172.0347826086959</v>
          </cell>
          <cell r="AG68">
            <v>78.135652173913059</v>
          </cell>
          <cell r="AJ68">
            <v>15</v>
          </cell>
          <cell r="AK68">
            <v>1181.7931034482763</v>
          </cell>
          <cell r="AL68">
            <v>78.786206896551747</v>
          </cell>
          <cell r="AO68">
            <v>15</v>
          </cell>
          <cell r="AP68">
            <v>1221.2093023255813</v>
          </cell>
          <cell r="AQ68">
            <v>81.413953488372087</v>
          </cell>
          <cell r="AT68">
            <v>15</v>
          </cell>
          <cell r="AU68">
            <v>1195.875</v>
          </cell>
          <cell r="AV68">
            <v>79.724999999999994</v>
          </cell>
        </row>
        <row r="69">
          <cell r="P69">
            <v>18</v>
          </cell>
          <cell r="Q69">
            <v>1219.9626168224297</v>
          </cell>
          <cell r="R69">
            <v>67.775700934579433</v>
          </cell>
          <cell r="U69">
            <v>18</v>
          </cell>
          <cell r="V69">
            <v>1164.2105263157896</v>
          </cell>
          <cell r="W69">
            <v>64.67836257309942</v>
          </cell>
          <cell r="Z69">
            <v>18</v>
          </cell>
          <cell r="AA69">
            <v>1172.8524590163938</v>
          </cell>
          <cell r="AB69">
            <v>65.158469945355208</v>
          </cell>
          <cell r="AE69">
            <v>18</v>
          </cell>
          <cell r="AF69">
            <v>1215.6097560975616</v>
          </cell>
          <cell r="AG69">
            <v>67.533875338753418</v>
          </cell>
          <cell r="AJ69">
            <v>18</v>
          </cell>
          <cell r="AK69">
            <v>1203.3333333333337</v>
          </cell>
          <cell r="AL69">
            <v>66.851851851851876</v>
          </cell>
          <cell r="AO69">
            <v>18</v>
          </cell>
          <cell r="AP69">
            <v>1194.6153846153845</v>
          </cell>
          <cell r="AQ69">
            <v>66.367521367521363</v>
          </cell>
          <cell r="AT69">
            <v>18</v>
          </cell>
          <cell r="AU69">
            <v>1164.1538461538462</v>
          </cell>
          <cell r="AV69">
            <v>64.675213675213683</v>
          </cell>
        </row>
        <row r="70">
          <cell r="P70">
            <v>20</v>
          </cell>
          <cell r="Q70">
            <v>1126.6666666666663</v>
          </cell>
          <cell r="R70">
            <v>56.333333333333314</v>
          </cell>
          <cell r="U70">
            <v>20</v>
          </cell>
          <cell r="V70">
            <v>1083.5714285714282</v>
          </cell>
          <cell r="W70">
            <v>54.178571428571409</v>
          </cell>
          <cell r="Z70">
            <v>20</v>
          </cell>
          <cell r="AA70">
            <v>1072.2077922077926</v>
          </cell>
          <cell r="AB70">
            <v>53.610389610389632</v>
          </cell>
          <cell r="AE70">
            <v>20</v>
          </cell>
          <cell r="AF70">
            <v>1068.8000000000004</v>
          </cell>
          <cell r="AG70">
            <v>53.440000000000019</v>
          </cell>
          <cell r="AJ70">
            <v>20</v>
          </cell>
          <cell r="AK70">
            <v>1112.9577464788736</v>
          </cell>
          <cell r="AL70">
            <v>55.647887323943678</v>
          </cell>
          <cell r="AO70">
            <v>20</v>
          </cell>
          <cell r="AP70">
            <v>1093.7349397590358</v>
          </cell>
          <cell r="AQ70">
            <v>54.686746987951793</v>
          </cell>
          <cell r="AT70">
            <v>20</v>
          </cell>
          <cell r="AU70">
            <v>1142.3376623376628</v>
          </cell>
          <cell r="AV70">
            <v>57.116883116883137</v>
          </cell>
        </row>
        <row r="71">
          <cell r="P71">
            <v>18</v>
          </cell>
          <cell r="Q71">
            <v>1358.9999999999995</v>
          </cell>
          <cell r="R71">
            <v>75.499999999999972</v>
          </cell>
          <cell r="U71">
            <v>18</v>
          </cell>
          <cell r="V71">
            <v>1336.9565217391305</v>
          </cell>
          <cell r="W71">
            <v>74.275362318840578</v>
          </cell>
          <cell r="Z71">
            <v>18</v>
          </cell>
          <cell r="AA71">
            <v>1373.5135135135124</v>
          </cell>
          <cell r="AB71">
            <v>76.30630630630624</v>
          </cell>
          <cell r="AE71">
            <v>18</v>
          </cell>
          <cell r="AF71">
            <v>1338.8571428571415</v>
          </cell>
          <cell r="AG71">
            <v>74.380952380952309</v>
          </cell>
          <cell r="AJ71">
            <v>18</v>
          </cell>
          <cell r="AK71">
            <v>1414.4999999999995</v>
          </cell>
          <cell r="AL71">
            <v>78.583333333333314</v>
          </cell>
          <cell r="AO71">
            <v>18</v>
          </cell>
          <cell r="AP71">
            <v>1370.8695652173915</v>
          </cell>
          <cell r="AQ71">
            <v>76.159420289855078</v>
          </cell>
          <cell r="AT71">
            <v>18</v>
          </cell>
          <cell r="AU71">
            <v>1357.1428571428567</v>
          </cell>
          <cell r="AV71">
            <v>75.396825396825363</v>
          </cell>
        </row>
        <row r="72">
          <cell r="P72">
            <v>8</v>
          </cell>
          <cell r="Q72">
            <v>1496.618181818181</v>
          </cell>
          <cell r="R72">
            <v>187.07727272727263</v>
          </cell>
          <cell r="U72">
            <v>8</v>
          </cell>
          <cell r="V72">
            <v>1488.3934426229512</v>
          </cell>
          <cell r="W72">
            <v>186.0491803278689</v>
          </cell>
          <cell r="Z72">
            <v>8</v>
          </cell>
          <cell r="AA72">
            <v>1490.4590163934431</v>
          </cell>
          <cell r="AB72">
            <v>186.30737704918039</v>
          </cell>
          <cell r="AE72">
            <v>8</v>
          </cell>
          <cell r="AF72">
            <v>1480.0408163265313</v>
          </cell>
          <cell r="AG72">
            <v>185.00510204081641</v>
          </cell>
          <cell r="AJ72">
            <v>8</v>
          </cell>
          <cell r="AK72">
            <v>1495.7052631578949</v>
          </cell>
          <cell r="AL72">
            <v>186.96315789473687</v>
          </cell>
          <cell r="AO72">
            <v>8</v>
          </cell>
          <cell r="AP72">
            <v>1468.3636363636365</v>
          </cell>
          <cell r="AQ72">
            <v>183.54545454545456</v>
          </cell>
          <cell r="AT72">
            <v>8</v>
          </cell>
          <cell r="AU72">
            <v>1489.9300699300702</v>
          </cell>
          <cell r="AV72">
            <v>186.24125874125878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20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24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28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29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32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2"/>
        <v/>
      </c>
      <c r="P10" s="4" t="s">
        <v>38</v>
      </c>
      <c r="Q10" s="13" t="str">
        <f t="shared" si="3"/>
        <v/>
      </c>
      <c r="S10" s="49" t="s">
        <v>36</v>
      </c>
      <c r="T10" s="9" t="s">
        <v>37</v>
      </c>
      <c r="U10" s="13" t="str">
        <f t="shared" si="4"/>
        <v/>
      </c>
      <c r="V10" s="4" t="s">
        <v>38</v>
      </c>
      <c r="W10" s="13" t="str">
        <f t="shared" si="5"/>
        <v/>
      </c>
    </row>
    <row r="11" spans="1:23" ht="15.75" customHeight="1">
      <c r="A11" s="49" t="s">
        <v>39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2"/>
        <v/>
      </c>
      <c r="P11" s="4" t="s">
        <v>38</v>
      </c>
      <c r="Q11" s="13" t="str">
        <f t="shared" si="3"/>
        <v/>
      </c>
      <c r="S11" s="49" t="s">
        <v>42</v>
      </c>
      <c r="T11" s="9" t="s">
        <v>37</v>
      </c>
      <c r="U11" s="13" t="str">
        <f t="shared" si="4"/>
        <v/>
      </c>
      <c r="V11" s="4" t="s">
        <v>38</v>
      </c>
      <c r="W11" s="13" t="str">
        <f t="shared" si="5"/>
        <v/>
      </c>
    </row>
    <row r="12" spans="1:23" ht="15.75" customHeight="1">
      <c r="M12" s="49" t="s">
        <v>43</v>
      </c>
      <c r="N12" s="9" t="s">
        <v>37</v>
      </c>
      <c r="O12" s="13" t="str">
        <f t="shared" si="2"/>
        <v/>
      </c>
      <c r="P12" s="4" t="s">
        <v>38</v>
      </c>
      <c r="Q12" s="13" t="str">
        <f t="shared" si="3"/>
        <v/>
      </c>
      <c r="S12" s="49" t="s">
        <v>43</v>
      </c>
      <c r="T12" s="9" t="s">
        <v>37</v>
      </c>
      <c r="U12" s="13" t="str">
        <f t="shared" si="4"/>
        <v/>
      </c>
      <c r="V12" s="4" t="s">
        <v>38</v>
      </c>
      <c r="W12" s="13" t="str">
        <f t="shared" si="5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2"/>
        <v/>
      </c>
      <c r="P13" s="4" t="s">
        <v>38</v>
      </c>
      <c r="Q13" s="13" t="str">
        <f t="shared" si="3"/>
        <v/>
      </c>
      <c r="S13" s="49" t="s">
        <v>45</v>
      </c>
      <c r="T13" s="9" t="s">
        <v>37</v>
      </c>
      <c r="U13" s="13" t="str">
        <f t="shared" si="4"/>
        <v/>
      </c>
      <c r="V13" s="4" t="s">
        <v>38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36</v>
      </c>
      <c r="H15" s="4"/>
      <c r="I15" s="4"/>
      <c r="J15" s="16">
        <f t="shared" ref="J15:J18" si="12"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42</v>
      </c>
      <c r="H16" s="4"/>
      <c r="I16" s="4"/>
      <c r="J16" s="16">
        <f t="shared" si="12"/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43</v>
      </c>
      <c r="H17" s="4"/>
      <c r="I17" s="4"/>
      <c r="J17" s="16">
        <f t="shared" si="12"/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45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39" t="s">
        <v>53</v>
      </c>
      <c r="D21" s="322"/>
      <c r="E21" s="315"/>
      <c r="F21" s="49" t="s">
        <v>54</v>
      </c>
      <c r="G21" s="49" t="s">
        <v>55</v>
      </c>
      <c r="H21" s="49" t="s">
        <v>56</v>
      </c>
      <c r="I21" s="8" t="s">
        <v>57</v>
      </c>
      <c r="J21" s="331" t="s">
        <v>58</v>
      </c>
      <c r="K21" s="315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14" t="s">
        <v>60</v>
      </c>
      <c r="D22" s="322"/>
      <c r="E22" s="315"/>
      <c r="F22" s="4">
        <v>3</v>
      </c>
      <c r="G22" s="4">
        <v>3000</v>
      </c>
      <c r="H22" s="4">
        <v>1000</v>
      </c>
      <c r="I22" s="4">
        <v>10</v>
      </c>
      <c r="J22" s="321" t="s">
        <v>61</v>
      </c>
      <c r="K22" s="315"/>
      <c r="M22" s="52" t="s">
        <v>26</v>
      </c>
      <c r="N22" s="57" t="s">
        <v>52</v>
      </c>
      <c r="O22" s="327" t="s">
        <v>53</v>
      </c>
      <c r="P22" s="322"/>
      <c r="Q22" s="315"/>
      <c r="R22" s="333" t="s">
        <v>62</v>
      </c>
      <c r="S22" s="322"/>
      <c r="T22" s="315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331" t="s">
        <v>58</v>
      </c>
      <c r="AA22" s="315"/>
    </row>
    <row r="23" spans="1:27" ht="15.75" customHeight="1">
      <c r="A23" s="23"/>
      <c r="B23" s="6">
        <v>2</v>
      </c>
      <c r="C23" s="336"/>
      <c r="D23" s="322"/>
      <c r="E23" s="315"/>
      <c r="F23" s="4"/>
      <c r="G23" s="4"/>
      <c r="H23" s="4"/>
      <c r="I23" s="4"/>
      <c r="J23" s="336"/>
      <c r="K23" s="315"/>
      <c r="M23" s="56" t="s">
        <v>48</v>
      </c>
      <c r="N23" s="24">
        <v>1</v>
      </c>
      <c r="O23" s="321" t="s">
        <v>65</v>
      </c>
      <c r="P23" s="322"/>
      <c r="Q23" s="315"/>
      <c r="R23" s="321" t="s">
        <v>66</v>
      </c>
      <c r="S23" s="322"/>
      <c r="T23" s="31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321" t="s">
        <v>67</v>
      </c>
      <c r="AA23" s="315"/>
    </row>
    <row r="24" spans="1:27" ht="15.75" customHeight="1">
      <c r="A24" s="23"/>
      <c r="B24" s="6">
        <v>3</v>
      </c>
      <c r="C24" s="336"/>
      <c r="D24" s="322"/>
      <c r="E24" s="315"/>
      <c r="F24" s="4"/>
      <c r="G24" s="4"/>
      <c r="H24" s="4"/>
      <c r="I24" s="4"/>
      <c r="J24" s="336"/>
      <c r="K24" s="315"/>
      <c r="M24" s="25"/>
      <c r="N24" s="24">
        <v>2</v>
      </c>
      <c r="O24" s="314"/>
      <c r="P24" s="322"/>
      <c r="Q24" s="315"/>
      <c r="R24" s="314"/>
      <c r="S24" s="322"/>
      <c r="T24" s="315"/>
      <c r="U24" s="4"/>
      <c r="V24" s="14"/>
      <c r="W24" s="4"/>
      <c r="X24" s="16">
        <f t="shared" si="16"/>
        <v>0</v>
      </c>
      <c r="Y24" s="4"/>
      <c r="Z24" s="314"/>
      <c r="AA24" s="315"/>
    </row>
    <row r="25" spans="1:27" ht="15.75" customHeight="1">
      <c r="A25" s="23"/>
      <c r="B25" s="6">
        <v>4</v>
      </c>
      <c r="C25" s="336"/>
      <c r="D25" s="322"/>
      <c r="E25" s="315"/>
      <c r="F25" s="4"/>
      <c r="G25" s="4"/>
      <c r="H25" s="4"/>
      <c r="I25" s="4"/>
      <c r="J25" s="336"/>
      <c r="K25" s="315"/>
      <c r="M25" s="25"/>
      <c r="N25" s="24">
        <v>3</v>
      </c>
      <c r="O25" s="314"/>
      <c r="P25" s="322"/>
      <c r="Q25" s="315"/>
      <c r="R25" s="314"/>
      <c r="S25" s="322"/>
      <c r="T25" s="315"/>
      <c r="U25" s="4"/>
      <c r="V25" s="14"/>
      <c r="W25" s="4"/>
      <c r="X25" s="16">
        <f t="shared" si="16"/>
        <v>0</v>
      </c>
      <c r="Y25" s="4"/>
      <c r="Z25" s="314"/>
      <c r="AA25" s="315"/>
    </row>
    <row r="26" spans="1:27" ht="15.75" customHeight="1">
      <c r="A26" s="23"/>
      <c r="B26" s="26">
        <v>5</v>
      </c>
      <c r="C26" s="340"/>
      <c r="D26" s="323"/>
      <c r="E26" s="317"/>
      <c r="F26" s="27"/>
      <c r="G26" s="27"/>
      <c r="H26" s="27"/>
      <c r="I26" s="27"/>
      <c r="J26" s="340"/>
      <c r="K26" s="317"/>
      <c r="M26" s="25"/>
      <c r="N26" s="24">
        <v>4</v>
      </c>
      <c r="O26" s="314"/>
      <c r="P26" s="322"/>
      <c r="Q26" s="315"/>
      <c r="R26" s="314"/>
      <c r="S26" s="322"/>
      <c r="T26" s="315"/>
      <c r="U26" s="4"/>
      <c r="V26" s="14"/>
      <c r="W26" s="4"/>
      <c r="X26" s="16">
        <f t="shared" si="16"/>
        <v>0</v>
      </c>
      <c r="Y26" s="4"/>
      <c r="Z26" s="314"/>
      <c r="AA26" s="315"/>
    </row>
    <row r="27" spans="1:27" ht="15.75" customHeight="1">
      <c r="A27" s="23"/>
      <c r="B27" s="69" t="s">
        <v>68</v>
      </c>
      <c r="C27" s="324" t="s">
        <v>69</v>
      </c>
      <c r="D27" s="325"/>
      <c r="E27" s="326"/>
      <c r="F27" s="28">
        <v>4</v>
      </c>
      <c r="G27" s="28">
        <v>2800</v>
      </c>
      <c r="H27" s="28">
        <v>700</v>
      </c>
      <c r="I27" s="28" t="s">
        <v>70</v>
      </c>
      <c r="J27" s="324" t="s">
        <v>71</v>
      </c>
      <c r="K27" s="326"/>
      <c r="M27" s="25"/>
      <c r="N27" s="29">
        <v>5</v>
      </c>
      <c r="O27" s="316"/>
      <c r="P27" s="323"/>
      <c r="Q27" s="317"/>
      <c r="R27" s="316"/>
      <c r="S27" s="323"/>
      <c r="T27" s="317"/>
      <c r="U27" s="27"/>
      <c r="V27" s="30"/>
      <c r="W27" s="27"/>
      <c r="X27" s="31">
        <f t="shared" si="16"/>
        <v>0</v>
      </c>
      <c r="Y27" s="4"/>
      <c r="Z27" s="316"/>
      <c r="AA27" s="317"/>
    </row>
    <row r="28" spans="1:27" ht="15.75" customHeight="1">
      <c r="A28" s="23"/>
      <c r="B28" s="70" t="s">
        <v>72</v>
      </c>
      <c r="C28" s="336"/>
      <c r="D28" s="322"/>
      <c r="E28" s="315"/>
      <c r="F28" s="4"/>
      <c r="G28" s="4"/>
      <c r="H28" s="4"/>
      <c r="I28" s="4"/>
      <c r="J28" s="336"/>
      <c r="K28" s="315"/>
      <c r="M28" s="32"/>
      <c r="N28" s="55"/>
      <c r="O28" s="318"/>
      <c r="P28" s="322"/>
      <c r="Q28" s="322"/>
      <c r="R28" s="318"/>
      <c r="S28" s="322"/>
      <c r="T28" s="322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18"/>
      <c r="AA28" s="315"/>
    </row>
    <row r="29" spans="1:27" ht="15.75" customHeight="1">
      <c r="A29" s="23"/>
      <c r="B29" s="70" t="s">
        <v>75</v>
      </c>
      <c r="C29" s="336"/>
      <c r="D29" s="322"/>
      <c r="E29" s="315"/>
      <c r="F29" s="4"/>
      <c r="G29" s="4"/>
      <c r="H29" s="4"/>
      <c r="I29" s="4"/>
      <c r="J29" s="336"/>
      <c r="K29" s="315"/>
      <c r="M29" s="56" t="s">
        <v>49</v>
      </c>
      <c r="N29" s="24">
        <v>1</v>
      </c>
      <c r="O29" s="337" t="s">
        <v>76</v>
      </c>
      <c r="P29" s="338"/>
      <c r="Q29" s="320"/>
      <c r="R29" s="319" t="s">
        <v>77</v>
      </c>
      <c r="S29" s="338"/>
      <c r="T29" s="32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319" t="s">
        <v>78</v>
      </c>
      <c r="AA29" s="320"/>
    </row>
    <row r="30" spans="1:27" ht="15.75" customHeight="1">
      <c r="A30" s="23"/>
      <c r="B30" s="70" t="s">
        <v>79</v>
      </c>
      <c r="C30" s="336"/>
      <c r="D30" s="322"/>
      <c r="E30" s="315"/>
      <c r="F30" s="4"/>
      <c r="G30" s="4"/>
      <c r="H30" s="4"/>
      <c r="I30" s="4"/>
      <c r="J30" s="336"/>
      <c r="K30" s="315"/>
      <c r="M30" s="25"/>
      <c r="N30" s="24">
        <v>2</v>
      </c>
      <c r="O30" s="314"/>
      <c r="P30" s="322"/>
      <c r="Q30" s="315"/>
      <c r="R30" s="314"/>
      <c r="S30" s="322"/>
      <c r="T30" s="315"/>
      <c r="U30" s="4"/>
      <c r="V30" s="14"/>
      <c r="W30" s="4"/>
      <c r="X30" s="16">
        <f t="shared" si="17"/>
        <v>0</v>
      </c>
      <c r="Y30" s="4"/>
      <c r="Z30" s="314"/>
      <c r="AA30" s="315"/>
    </row>
    <row r="31" spans="1:27" ht="15.75" customHeight="1">
      <c r="A31" s="20"/>
      <c r="B31" s="70" t="s">
        <v>80</v>
      </c>
      <c r="C31" s="336"/>
      <c r="D31" s="322"/>
      <c r="E31" s="315"/>
      <c r="F31" s="4"/>
      <c r="G31" s="4"/>
      <c r="H31" s="4"/>
      <c r="I31" s="4"/>
      <c r="J31" s="336"/>
      <c r="K31" s="315"/>
      <c r="M31" s="25"/>
      <c r="N31" s="24">
        <v>3</v>
      </c>
      <c r="O31" s="314"/>
      <c r="P31" s="322"/>
      <c r="Q31" s="315"/>
      <c r="R31" s="314"/>
      <c r="S31" s="322"/>
      <c r="T31" s="315"/>
      <c r="U31" s="4"/>
      <c r="V31" s="14"/>
      <c r="W31" s="4"/>
      <c r="X31" s="16">
        <f t="shared" si="17"/>
        <v>0</v>
      </c>
      <c r="Y31" s="4"/>
      <c r="Z31" s="314"/>
      <c r="AA31" s="315"/>
    </row>
    <row r="32" spans="1:27" ht="15.75" customHeight="1">
      <c r="A32" s="67"/>
      <c r="M32" s="25"/>
      <c r="N32" s="24">
        <v>4</v>
      </c>
      <c r="O32" s="314"/>
      <c r="P32" s="322"/>
      <c r="Q32" s="315"/>
      <c r="R32" s="314"/>
      <c r="S32" s="322"/>
      <c r="T32" s="315"/>
      <c r="U32" s="4"/>
      <c r="V32" s="14"/>
      <c r="W32" s="4"/>
      <c r="X32" s="16">
        <f t="shared" si="17"/>
        <v>0</v>
      </c>
      <c r="Y32" s="4"/>
      <c r="Z32" s="314"/>
      <c r="AA32" s="315"/>
    </row>
    <row r="33" spans="1:27" ht="15.75" customHeight="1">
      <c r="A33" s="18"/>
      <c r="B33" s="49" t="s">
        <v>52</v>
      </c>
      <c r="C33" s="339" t="s">
        <v>53</v>
      </c>
      <c r="D33" s="322"/>
      <c r="E33" s="315"/>
      <c r="F33" s="49" t="s">
        <v>54</v>
      </c>
      <c r="G33" s="49" t="s">
        <v>55</v>
      </c>
      <c r="H33" s="49" t="s">
        <v>56</v>
      </c>
      <c r="I33" s="8" t="s">
        <v>57</v>
      </c>
      <c r="J33" s="331" t="s">
        <v>58</v>
      </c>
      <c r="K33" s="315"/>
      <c r="M33" s="25"/>
      <c r="N33" s="29">
        <v>5</v>
      </c>
      <c r="O33" s="314"/>
      <c r="P33" s="322"/>
      <c r="Q33" s="315"/>
      <c r="R33" s="314"/>
      <c r="S33" s="322"/>
      <c r="T33" s="315"/>
      <c r="U33" s="27"/>
      <c r="V33" s="30"/>
      <c r="W33" s="27"/>
      <c r="X33" s="31">
        <f t="shared" si="17"/>
        <v>0</v>
      </c>
      <c r="Y33" s="4"/>
      <c r="Z33" s="314"/>
      <c r="AA33" s="315"/>
    </row>
    <row r="34" spans="1:27" ht="15.75" customHeight="1">
      <c r="A34" s="52" t="s">
        <v>24</v>
      </c>
      <c r="B34" s="6">
        <v>1</v>
      </c>
      <c r="C34" s="321" t="s">
        <v>81</v>
      </c>
      <c r="D34" s="322"/>
      <c r="E34" s="315"/>
      <c r="F34" s="4">
        <v>3</v>
      </c>
      <c r="G34" s="4">
        <v>2500</v>
      </c>
      <c r="H34" s="4">
        <v>833.33</v>
      </c>
      <c r="I34" s="4">
        <v>20</v>
      </c>
      <c r="J34" s="321" t="s">
        <v>82</v>
      </c>
      <c r="K34" s="315"/>
      <c r="M34" s="68"/>
      <c r="N34" s="45"/>
      <c r="O34" s="318"/>
      <c r="P34" s="322"/>
      <c r="Q34" s="322"/>
      <c r="R34" s="318"/>
      <c r="S34" s="322"/>
      <c r="T34" s="322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18"/>
      <c r="AA34" s="315"/>
    </row>
    <row r="35" spans="1:27" ht="15.75" customHeight="1">
      <c r="A35" s="23"/>
      <c r="B35" s="6">
        <v>2</v>
      </c>
      <c r="C35" s="314"/>
      <c r="D35" s="322"/>
      <c r="E35" s="315"/>
      <c r="F35" s="4"/>
      <c r="G35" s="4"/>
      <c r="H35" s="4"/>
      <c r="I35" s="4"/>
      <c r="J35" s="314"/>
      <c r="K35" s="315"/>
      <c r="M35" s="1"/>
      <c r="N35" s="1"/>
      <c r="O35" s="329"/>
      <c r="P35" s="330"/>
      <c r="Q35" s="330"/>
      <c r="R35" s="329"/>
      <c r="S35" s="330"/>
      <c r="T35" s="330"/>
      <c r="U35" s="1"/>
      <c r="V35" s="38"/>
      <c r="W35" s="1"/>
      <c r="X35" s="1"/>
      <c r="Y35" s="329"/>
      <c r="Z35" s="330"/>
      <c r="AA35" s="330"/>
    </row>
    <row r="36" spans="1:27" ht="15.75" customHeight="1">
      <c r="A36" s="23"/>
      <c r="B36" s="6">
        <v>3</v>
      </c>
      <c r="C36" s="314"/>
      <c r="D36" s="322"/>
      <c r="E36" s="315"/>
      <c r="F36" s="4"/>
      <c r="G36" s="4"/>
      <c r="H36" s="4"/>
      <c r="I36" s="4"/>
      <c r="J36" s="314"/>
      <c r="K36" s="315"/>
      <c r="M36" s="52" t="s">
        <v>30</v>
      </c>
      <c r="N36" s="57" t="s">
        <v>52</v>
      </c>
      <c r="O36" s="327" t="s">
        <v>53</v>
      </c>
      <c r="P36" s="318"/>
      <c r="Q36" s="328"/>
      <c r="R36" s="333" t="s">
        <v>62</v>
      </c>
      <c r="S36" s="334"/>
      <c r="T36" s="335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331" t="s">
        <v>58</v>
      </c>
      <c r="AA36" s="332"/>
    </row>
    <row r="37" spans="1:27" ht="15.75" customHeight="1">
      <c r="A37" s="23"/>
      <c r="B37" s="6">
        <v>4</v>
      </c>
      <c r="C37" s="314"/>
      <c r="D37" s="322"/>
      <c r="E37" s="315"/>
      <c r="F37" s="4"/>
      <c r="G37" s="4"/>
      <c r="H37" s="4"/>
      <c r="I37" s="4"/>
      <c r="J37" s="314"/>
      <c r="K37" s="315"/>
      <c r="M37" s="56" t="s">
        <v>48</v>
      </c>
      <c r="N37" s="24">
        <v>1</v>
      </c>
      <c r="O37" s="321" t="s">
        <v>83</v>
      </c>
      <c r="P37" s="322"/>
      <c r="Q37" s="315"/>
      <c r="R37" s="321" t="s">
        <v>84</v>
      </c>
      <c r="S37" s="322"/>
      <c r="T37" s="31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321" t="s">
        <v>85</v>
      </c>
      <c r="AA37" s="315"/>
    </row>
    <row r="38" spans="1:27" ht="15.75" customHeight="1">
      <c r="A38" s="23"/>
      <c r="B38" s="26">
        <v>5</v>
      </c>
      <c r="C38" s="316"/>
      <c r="D38" s="323"/>
      <c r="E38" s="317"/>
      <c r="F38" s="27"/>
      <c r="G38" s="27"/>
      <c r="H38" s="27"/>
      <c r="I38" s="27"/>
      <c r="J38" s="316"/>
      <c r="K38" s="317"/>
      <c r="M38" s="25"/>
      <c r="N38" s="24">
        <v>2</v>
      </c>
      <c r="O38" s="314"/>
      <c r="P38" s="322"/>
      <c r="Q38" s="315"/>
      <c r="R38" s="314"/>
      <c r="S38" s="322"/>
      <c r="T38" s="315"/>
      <c r="U38" s="4"/>
      <c r="V38" s="14"/>
      <c r="W38" s="4"/>
      <c r="X38" s="16">
        <f t="shared" si="18"/>
        <v>0</v>
      </c>
      <c r="Y38" s="4"/>
      <c r="Z38" s="314"/>
      <c r="AA38" s="315"/>
    </row>
    <row r="39" spans="1:27" ht="14.25">
      <c r="A39" s="23"/>
      <c r="B39" s="69" t="s">
        <v>68</v>
      </c>
      <c r="C39" s="324" t="s">
        <v>86</v>
      </c>
      <c r="D39" s="325"/>
      <c r="E39" s="326"/>
      <c r="F39" s="28">
        <v>7</v>
      </c>
      <c r="G39" s="28">
        <v>2200</v>
      </c>
      <c r="H39" s="28">
        <v>314.29000000000002</v>
      </c>
      <c r="I39" s="28">
        <v>-15</v>
      </c>
      <c r="J39" s="324" t="s">
        <v>87</v>
      </c>
      <c r="K39" s="326"/>
      <c r="M39" s="25"/>
      <c r="N39" s="24">
        <v>3</v>
      </c>
      <c r="O39" s="314"/>
      <c r="P39" s="322"/>
      <c r="Q39" s="315"/>
      <c r="R39" s="314"/>
      <c r="S39" s="322"/>
      <c r="T39" s="315"/>
      <c r="U39" s="4"/>
      <c r="V39" s="14"/>
      <c r="W39" s="4"/>
      <c r="X39" s="16">
        <f t="shared" si="18"/>
        <v>0</v>
      </c>
      <c r="Y39" s="4"/>
      <c r="Z39" s="314"/>
      <c r="AA39" s="315"/>
    </row>
    <row r="40" spans="1:27" ht="14.25">
      <c r="A40" s="23"/>
      <c r="B40" s="70" t="s">
        <v>72</v>
      </c>
      <c r="C40" s="314"/>
      <c r="D40" s="322"/>
      <c r="E40" s="315"/>
      <c r="F40" s="4"/>
      <c r="G40" s="4"/>
      <c r="H40" s="4"/>
      <c r="I40" s="4"/>
      <c r="J40" s="314"/>
      <c r="K40" s="315"/>
      <c r="M40" s="25"/>
      <c r="N40" s="24">
        <v>4</v>
      </c>
      <c r="O40" s="314"/>
      <c r="P40" s="322"/>
      <c r="Q40" s="315"/>
      <c r="R40" s="314"/>
      <c r="S40" s="322"/>
      <c r="T40" s="315"/>
      <c r="U40" s="4"/>
      <c r="V40" s="14"/>
      <c r="W40" s="4"/>
      <c r="X40" s="16">
        <f t="shared" si="18"/>
        <v>0</v>
      </c>
      <c r="Y40" s="4"/>
      <c r="Z40" s="314"/>
      <c r="AA40" s="315"/>
    </row>
    <row r="41" spans="1:27" ht="14.25">
      <c r="A41" s="23"/>
      <c r="B41" s="70" t="s">
        <v>75</v>
      </c>
      <c r="C41" s="314"/>
      <c r="D41" s="322"/>
      <c r="E41" s="315"/>
      <c r="F41" s="4"/>
      <c r="G41" s="4"/>
      <c r="H41" s="4"/>
      <c r="I41" s="4"/>
      <c r="J41" s="314"/>
      <c r="K41" s="315"/>
      <c r="M41" s="25"/>
      <c r="N41" s="29">
        <v>5</v>
      </c>
      <c r="O41" s="316"/>
      <c r="P41" s="323"/>
      <c r="Q41" s="317"/>
      <c r="R41" s="316"/>
      <c r="S41" s="323"/>
      <c r="T41" s="317"/>
      <c r="U41" s="27"/>
      <c r="V41" s="30"/>
      <c r="W41" s="27"/>
      <c r="X41" s="31">
        <f t="shared" si="18"/>
        <v>0</v>
      </c>
      <c r="Y41" s="4"/>
      <c r="Z41" s="314"/>
      <c r="AA41" s="315"/>
    </row>
    <row r="42" spans="1:27" ht="14.25">
      <c r="A42" s="23"/>
      <c r="B42" s="70" t="s">
        <v>79</v>
      </c>
      <c r="C42" s="314"/>
      <c r="D42" s="322"/>
      <c r="E42" s="315"/>
      <c r="F42" s="4"/>
      <c r="G42" s="4"/>
      <c r="H42" s="4"/>
      <c r="I42" s="4"/>
      <c r="J42" s="314"/>
      <c r="K42" s="315"/>
      <c r="M42" s="32"/>
      <c r="N42" s="54"/>
      <c r="O42" s="318"/>
      <c r="P42" s="322"/>
      <c r="Q42" s="322"/>
      <c r="R42" s="318"/>
      <c r="S42" s="322"/>
      <c r="T42" s="322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18"/>
      <c r="AA42" s="315"/>
    </row>
    <row r="43" spans="1:27" ht="14.25">
      <c r="A43" s="20"/>
      <c r="B43" s="70" t="s">
        <v>80</v>
      </c>
      <c r="C43" s="314"/>
      <c r="D43" s="322"/>
      <c r="E43" s="315"/>
      <c r="F43" s="4"/>
      <c r="G43" s="4"/>
      <c r="H43" s="4"/>
      <c r="I43" s="4"/>
      <c r="J43" s="314"/>
      <c r="K43" s="315"/>
      <c r="M43" s="56" t="s">
        <v>49</v>
      </c>
      <c r="N43" s="24">
        <v>1</v>
      </c>
      <c r="O43" s="321" t="s">
        <v>83</v>
      </c>
      <c r="P43" s="322"/>
      <c r="Q43" s="315"/>
      <c r="R43" s="319" t="s">
        <v>88</v>
      </c>
      <c r="S43" s="338"/>
      <c r="T43" s="32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321" t="s">
        <v>89</v>
      </c>
      <c r="AA43" s="315"/>
    </row>
    <row r="44" spans="1:27" ht="14.25">
      <c r="A44" s="67"/>
      <c r="M44" s="25"/>
      <c r="N44" s="24">
        <v>2</v>
      </c>
      <c r="O44" s="314"/>
      <c r="P44" s="322"/>
      <c r="Q44" s="315"/>
      <c r="R44" s="314"/>
      <c r="S44" s="322"/>
      <c r="T44" s="315"/>
      <c r="U44" s="4"/>
      <c r="V44" s="14"/>
      <c r="W44" s="4"/>
      <c r="X44" s="37">
        <f t="shared" si="19"/>
        <v>0</v>
      </c>
      <c r="Y44" s="4"/>
      <c r="Z44" s="314"/>
      <c r="AA44" s="315"/>
    </row>
    <row r="45" spans="1:27" ht="14.25">
      <c r="A45" s="18"/>
      <c r="B45" s="49" t="s">
        <v>52</v>
      </c>
      <c r="C45" s="339" t="s">
        <v>53</v>
      </c>
      <c r="D45" s="322"/>
      <c r="E45" s="315"/>
      <c r="F45" s="49" t="s">
        <v>54</v>
      </c>
      <c r="G45" s="49" t="s">
        <v>55</v>
      </c>
      <c r="H45" s="49" t="s">
        <v>56</v>
      </c>
      <c r="I45" s="8" t="s">
        <v>57</v>
      </c>
      <c r="J45" s="331" t="s">
        <v>58</v>
      </c>
      <c r="K45" s="315"/>
      <c r="M45" s="25"/>
      <c r="N45" s="24">
        <v>3</v>
      </c>
      <c r="O45" s="314"/>
      <c r="P45" s="322"/>
      <c r="Q45" s="315"/>
      <c r="R45" s="314"/>
      <c r="S45" s="322"/>
      <c r="T45" s="315"/>
      <c r="U45" s="4"/>
      <c r="V45" s="14"/>
      <c r="W45" s="4"/>
      <c r="X45" s="37">
        <f t="shared" si="19"/>
        <v>0</v>
      </c>
      <c r="Y45" s="4"/>
      <c r="Z45" s="314"/>
      <c r="AA45" s="315"/>
    </row>
    <row r="46" spans="1:27" ht="14.25">
      <c r="A46" s="52" t="s">
        <v>28</v>
      </c>
      <c r="B46" s="6">
        <v>1</v>
      </c>
      <c r="C46" s="321" t="s">
        <v>65</v>
      </c>
      <c r="D46" s="322"/>
      <c r="E46" s="315"/>
      <c r="F46" s="4">
        <v>15</v>
      </c>
      <c r="G46" s="4">
        <v>1200</v>
      </c>
      <c r="H46" s="4">
        <v>80</v>
      </c>
      <c r="I46" s="4">
        <v>5</v>
      </c>
      <c r="J46" s="321" t="s">
        <v>90</v>
      </c>
      <c r="K46" s="315"/>
      <c r="M46" s="25"/>
      <c r="N46" s="24">
        <v>4</v>
      </c>
      <c r="O46" s="314"/>
      <c r="P46" s="322"/>
      <c r="Q46" s="315"/>
      <c r="R46" s="314"/>
      <c r="S46" s="322"/>
      <c r="T46" s="315"/>
      <c r="U46" s="4"/>
      <c r="V46" s="14"/>
      <c r="W46" s="4"/>
      <c r="X46" s="37">
        <f t="shared" si="19"/>
        <v>0</v>
      </c>
      <c r="Y46" s="4"/>
      <c r="Z46" s="314"/>
      <c r="AA46" s="315"/>
    </row>
    <row r="47" spans="1:27" ht="14.25">
      <c r="A47" s="23"/>
      <c r="B47" s="6">
        <v>2</v>
      </c>
      <c r="C47" s="314"/>
      <c r="D47" s="322"/>
      <c r="E47" s="315"/>
      <c r="F47" s="4"/>
      <c r="G47" s="4"/>
      <c r="H47" s="4"/>
      <c r="I47" s="4"/>
      <c r="J47" s="314"/>
      <c r="K47" s="315"/>
      <c r="M47" s="25"/>
      <c r="N47" s="29">
        <v>5</v>
      </c>
      <c r="O47" s="314"/>
      <c r="P47" s="322"/>
      <c r="Q47" s="315"/>
      <c r="R47" s="314"/>
      <c r="S47" s="322"/>
      <c r="T47" s="315"/>
      <c r="U47" s="27"/>
      <c r="V47" s="30"/>
      <c r="W47" s="27"/>
      <c r="X47" s="40">
        <f t="shared" si="19"/>
        <v>0</v>
      </c>
      <c r="Y47" s="4"/>
      <c r="Z47" s="314"/>
      <c r="AA47" s="315"/>
    </row>
    <row r="48" spans="1:27" ht="14.25">
      <c r="A48" s="23"/>
      <c r="B48" s="6">
        <v>3</v>
      </c>
      <c r="C48" s="314"/>
      <c r="D48" s="322"/>
      <c r="E48" s="315"/>
      <c r="F48" s="4"/>
      <c r="G48" s="4"/>
      <c r="H48" s="4"/>
      <c r="I48" s="4"/>
      <c r="J48" s="314"/>
      <c r="K48" s="315"/>
      <c r="M48" s="68"/>
      <c r="N48" s="45"/>
      <c r="O48" s="318"/>
      <c r="P48" s="322"/>
      <c r="Q48" s="322"/>
      <c r="R48" s="318"/>
      <c r="S48" s="322"/>
      <c r="T48" s="322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18"/>
      <c r="AA48" s="315"/>
    </row>
    <row r="49" spans="1:27" ht="14.25">
      <c r="A49" s="23"/>
      <c r="B49" s="6">
        <v>4</v>
      </c>
      <c r="C49" s="314"/>
      <c r="D49" s="322"/>
      <c r="E49" s="315"/>
      <c r="F49" s="4"/>
      <c r="G49" s="4"/>
      <c r="H49" s="4"/>
      <c r="I49" s="4"/>
      <c r="J49" s="314"/>
      <c r="K49" s="31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16"/>
      <c r="D50" s="323"/>
      <c r="E50" s="317"/>
      <c r="F50" s="27"/>
      <c r="G50" s="27"/>
      <c r="H50" s="27"/>
      <c r="I50" s="27"/>
      <c r="J50" s="316"/>
      <c r="K50" s="317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324" t="s">
        <v>83</v>
      </c>
      <c r="D51" s="325"/>
      <c r="E51" s="326"/>
      <c r="F51" s="28">
        <v>18</v>
      </c>
      <c r="G51" s="28">
        <v>800</v>
      </c>
      <c r="H51" s="28">
        <v>44.44</v>
      </c>
      <c r="I51" s="28">
        <v>-15</v>
      </c>
      <c r="J51" s="324" t="s">
        <v>92</v>
      </c>
      <c r="K51" s="326"/>
      <c r="M51" s="8"/>
      <c r="N51" s="8" t="s">
        <v>93</v>
      </c>
      <c r="O51" s="327" t="s">
        <v>53</v>
      </c>
      <c r="P51" s="318"/>
      <c r="Q51" s="328"/>
      <c r="R51" s="333" t="s">
        <v>62</v>
      </c>
      <c r="S51" s="334"/>
      <c r="T51" s="335"/>
      <c r="U51" s="57" t="s">
        <v>63</v>
      </c>
      <c r="V51" s="39" t="s">
        <v>94</v>
      </c>
      <c r="W51" s="57" t="s">
        <v>95</v>
      </c>
      <c r="X51" s="8" t="s">
        <v>10</v>
      </c>
      <c r="Y51" s="327" t="s">
        <v>96</v>
      </c>
      <c r="Z51" s="318"/>
      <c r="AA51" s="328"/>
    </row>
    <row r="52" spans="1:27" ht="14.25">
      <c r="A52" s="23"/>
      <c r="B52" s="70" t="s">
        <v>72</v>
      </c>
      <c r="C52" s="314"/>
      <c r="D52" s="322"/>
      <c r="E52" s="315"/>
      <c r="F52" s="4"/>
      <c r="G52" s="4"/>
      <c r="H52" s="4"/>
      <c r="I52" s="4"/>
      <c r="J52" s="314"/>
      <c r="K52" s="315"/>
      <c r="M52" s="56" t="s">
        <v>48</v>
      </c>
      <c r="N52" s="24">
        <v>1</v>
      </c>
      <c r="O52" s="321" t="s">
        <v>83</v>
      </c>
      <c r="P52" s="322"/>
      <c r="Q52" s="315"/>
      <c r="R52" s="319" t="s">
        <v>88</v>
      </c>
      <c r="S52" s="338"/>
      <c r="T52" s="32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321" t="s">
        <v>97</v>
      </c>
      <c r="Z52" s="322"/>
      <c r="AA52" s="315"/>
    </row>
    <row r="53" spans="1:27" ht="14.25">
      <c r="A53" s="23"/>
      <c r="B53" s="70" t="s">
        <v>75</v>
      </c>
      <c r="C53" s="314"/>
      <c r="D53" s="322"/>
      <c r="E53" s="315"/>
      <c r="F53" s="4"/>
      <c r="G53" s="4"/>
      <c r="H53" s="4"/>
      <c r="I53" s="4"/>
      <c r="J53" s="314"/>
      <c r="K53" s="315"/>
      <c r="M53" s="25"/>
      <c r="N53" s="29">
        <v>2</v>
      </c>
      <c r="O53" s="316"/>
      <c r="P53" s="323"/>
      <c r="Q53" s="317"/>
      <c r="R53" s="316"/>
      <c r="S53" s="323"/>
      <c r="T53" s="317"/>
      <c r="U53" s="27"/>
      <c r="V53" s="30"/>
      <c r="W53" s="30"/>
      <c r="X53" s="41">
        <f t="shared" si="20"/>
        <v>0</v>
      </c>
      <c r="Y53" s="316"/>
      <c r="Z53" s="323"/>
      <c r="AA53" s="317"/>
    </row>
    <row r="54" spans="1:27" ht="14.25">
      <c r="A54" s="23"/>
      <c r="B54" s="70" t="s">
        <v>79</v>
      </c>
      <c r="C54" s="314"/>
      <c r="D54" s="322"/>
      <c r="E54" s="315"/>
      <c r="F54" s="4"/>
      <c r="G54" s="4"/>
      <c r="H54" s="4"/>
      <c r="I54" s="4"/>
      <c r="J54" s="314"/>
      <c r="K54" s="315"/>
      <c r="M54" s="56" t="s">
        <v>49</v>
      </c>
      <c r="N54" s="42">
        <v>1</v>
      </c>
      <c r="O54" s="324" t="s">
        <v>98</v>
      </c>
      <c r="P54" s="325"/>
      <c r="Q54" s="326"/>
      <c r="R54" s="324" t="s">
        <v>99</v>
      </c>
      <c r="S54" s="325"/>
      <c r="T54" s="32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324" t="s">
        <v>100</v>
      </c>
      <c r="Z54" s="325"/>
      <c r="AA54" s="326"/>
    </row>
    <row r="55" spans="1:27" ht="14.25">
      <c r="A55" s="20"/>
      <c r="B55" s="70" t="s">
        <v>80</v>
      </c>
      <c r="C55" s="314"/>
      <c r="D55" s="322"/>
      <c r="E55" s="315"/>
      <c r="F55" s="4"/>
      <c r="G55" s="4"/>
      <c r="H55" s="4"/>
      <c r="I55" s="4"/>
      <c r="J55" s="314"/>
      <c r="K55" s="315"/>
      <c r="M55" s="22"/>
      <c r="N55" s="24">
        <v>2</v>
      </c>
      <c r="O55" s="314"/>
      <c r="P55" s="322"/>
      <c r="Q55" s="315"/>
      <c r="R55" s="314"/>
      <c r="S55" s="322"/>
      <c r="T55" s="315"/>
      <c r="U55" s="4"/>
      <c r="V55" s="14"/>
      <c r="W55" s="14"/>
      <c r="X55" s="13">
        <f t="shared" si="20"/>
        <v>0</v>
      </c>
      <c r="Y55" s="314"/>
      <c r="Z55" s="322"/>
      <c r="AA55" s="31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Q38"/>
  <sheetViews>
    <sheetView zoomScale="90" zoomScaleNormal="90" zoomScaleSheetLayoutView="115" workbookViewId="0">
      <selection activeCell="I35" sqref="I35"/>
    </sheetView>
  </sheetViews>
  <sheetFormatPr defaultColWidth="12.5703125" defaultRowHeight="15.75" customHeight="1"/>
  <cols>
    <col min="1" max="1" width="27.42578125" style="117" bestFit="1" customWidth="1"/>
    <col min="2" max="2" width="12.5703125" style="117" customWidth="1"/>
    <col min="3" max="4" width="12.5703125" style="117"/>
    <col min="5" max="5" width="16.42578125" style="117" customWidth="1"/>
    <col min="6" max="6" width="2.42578125" style="117" customWidth="1"/>
    <col min="7" max="7" width="24.85546875" style="117" bestFit="1" customWidth="1"/>
    <col min="8" max="10" width="12.5703125" style="117"/>
    <col min="11" max="11" width="16.42578125" style="117" customWidth="1"/>
    <col min="12" max="12" width="12.5703125" style="118"/>
    <col min="13" max="16384" width="12.5703125" style="117"/>
  </cols>
  <sheetData>
    <row r="1" spans="1:12" ht="15.75" customHeight="1">
      <c r="A1" s="341" t="s">
        <v>101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117"/>
    </row>
    <row r="2" spans="1:12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</row>
    <row r="3" spans="1:12" ht="21.6" customHeight="1">
      <c r="A3" s="133" t="s">
        <v>0</v>
      </c>
      <c r="B3" s="134">
        <v>8</v>
      </c>
      <c r="C3" s="133" t="s">
        <v>102</v>
      </c>
      <c r="D3" s="342" t="s">
        <v>103</v>
      </c>
      <c r="E3" s="342"/>
      <c r="F3" s="118"/>
      <c r="G3" s="128"/>
      <c r="H3" s="118"/>
      <c r="I3" s="118"/>
      <c r="J3" s="118"/>
      <c r="K3" s="118"/>
    </row>
    <row r="4" spans="1:12" ht="15.75" customHeight="1">
      <c r="A4" s="129" t="s">
        <v>104</v>
      </c>
      <c r="E4" s="120" t="s">
        <v>4</v>
      </c>
      <c r="G4" s="130" t="s">
        <v>5</v>
      </c>
      <c r="L4" s="117"/>
    </row>
    <row r="5" spans="1:12" s="122" customFormat="1" ht="15.75" customHeight="1">
      <c r="A5" s="140" t="s">
        <v>105</v>
      </c>
      <c r="B5" s="135" t="s">
        <v>8</v>
      </c>
      <c r="C5" s="135" t="s">
        <v>9</v>
      </c>
      <c r="D5" s="135" t="s">
        <v>10</v>
      </c>
      <c r="E5" s="135" t="s">
        <v>11</v>
      </c>
      <c r="G5" s="140" t="s">
        <v>105</v>
      </c>
      <c r="H5" s="135" t="s">
        <v>12</v>
      </c>
      <c r="I5" s="135" t="s">
        <v>8</v>
      </c>
      <c r="J5" s="135" t="s">
        <v>13</v>
      </c>
      <c r="K5" s="135" t="s">
        <v>11</v>
      </c>
      <c r="L5" s="123" t="s">
        <v>14</v>
      </c>
    </row>
    <row r="6" spans="1:12" ht="18" customHeight="1">
      <c r="A6" s="125" t="s">
        <v>17</v>
      </c>
      <c r="B6" s="136">
        <f>'（１）收支狀況'!H5/1000</f>
        <v>212376.15</v>
      </c>
      <c r="C6" s="290"/>
      <c r="D6" s="136">
        <f t="shared" ref="D6:D11" si="0">B6-C6</f>
        <v>212376.15</v>
      </c>
      <c r="E6" s="136">
        <f>B6</f>
        <v>212376.15</v>
      </c>
      <c r="G6" s="125" t="s">
        <v>106</v>
      </c>
      <c r="H6" s="294">
        <v>266</v>
      </c>
      <c r="I6" s="138">
        <f>'（２）ＫＰＩ達成進度'!H5</f>
        <v>331.32088360675885</v>
      </c>
      <c r="J6" s="291"/>
      <c r="K6" s="138">
        <f>I6</f>
        <v>331.32088360675885</v>
      </c>
      <c r="L6" s="119" t="s">
        <v>107</v>
      </c>
    </row>
    <row r="7" spans="1:12" ht="18" customHeight="1">
      <c r="A7" s="125" t="s">
        <v>21</v>
      </c>
      <c r="B7" s="136">
        <f>'（４）訂單數量構成比'!H7</f>
        <v>6558055</v>
      </c>
      <c r="C7" s="290"/>
      <c r="D7" s="136">
        <f t="shared" si="0"/>
        <v>6558055</v>
      </c>
      <c r="E7" s="136">
        <f t="shared" ref="E7:E11" si="1">B7</f>
        <v>6558055</v>
      </c>
      <c r="G7" s="125" t="s">
        <v>108</v>
      </c>
      <c r="H7" s="262">
        <v>0.8</v>
      </c>
      <c r="I7" s="137">
        <f>'（２）ＫＰＩ達成進度'!K5</f>
        <v>0.90524831586546117</v>
      </c>
      <c r="J7" s="291"/>
      <c r="K7" s="137">
        <f t="shared" ref="K7:K11" si="2">I7</f>
        <v>0.90524831586546117</v>
      </c>
      <c r="L7" s="119" t="s">
        <v>23</v>
      </c>
    </row>
    <row r="8" spans="1:12" ht="18" customHeight="1">
      <c r="A8" s="125" t="s">
        <v>25</v>
      </c>
      <c r="B8" s="136">
        <f>'（１）收支狀況'!N5/1000</f>
        <v>139088.163</v>
      </c>
      <c r="C8" s="290"/>
      <c r="D8" s="136">
        <f>B8-C8</f>
        <v>139088.163</v>
      </c>
      <c r="E8" s="136">
        <f t="shared" si="1"/>
        <v>139088.163</v>
      </c>
      <c r="G8" s="125" t="s">
        <v>109</v>
      </c>
      <c r="H8" s="255">
        <v>2.5000000000000001E-3</v>
      </c>
      <c r="I8" s="255">
        <f>'（２）ＫＰＩ達成進度'!N5</f>
        <v>2.4946244239327812E-3</v>
      </c>
      <c r="J8" s="291"/>
      <c r="K8" s="255">
        <f t="shared" si="2"/>
        <v>2.4946244239327812E-3</v>
      </c>
      <c r="L8" s="119" t="s">
        <v>27</v>
      </c>
    </row>
    <row r="9" spans="1:12" ht="18" customHeight="1">
      <c r="A9" s="125" t="s">
        <v>29</v>
      </c>
      <c r="B9" s="137">
        <f>'（１）收支狀況'!Q5</f>
        <v>0.6549142311883891</v>
      </c>
      <c r="C9" s="291"/>
      <c r="D9" s="137">
        <f t="shared" si="0"/>
        <v>0.6549142311883891</v>
      </c>
      <c r="E9" s="137">
        <f t="shared" si="1"/>
        <v>0.6549142311883891</v>
      </c>
      <c r="G9" s="125" t="s">
        <v>110</v>
      </c>
      <c r="H9" s="255">
        <v>2.5999999999999999E-3</v>
      </c>
      <c r="I9" s="255">
        <f>'（２）ＫＰＩ達成進度'!Q5</f>
        <v>2.3789152192140828E-3</v>
      </c>
      <c r="J9" s="291"/>
      <c r="K9" s="255">
        <f t="shared" si="2"/>
        <v>2.3789152192140828E-3</v>
      </c>
      <c r="L9" s="119" t="s">
        <v>31</v>
      </c>
    </row>
    <row r="10" spans="1:12" ht="18" customHeight="1">
      <c r="A10" s="125" t="s">
        <v>33</v>
      </c>
      <c r="B10" s="136">
        <f>'（１）收支狀況'!T5/1000</f>
        <v>30146.176500666668</v>
      </c>
      <c r="C10" s="290"/>
      <c r="D10" s="136">
        <f t="shared" si="0"/>
        <v>30146.176500666668</v>
      </c>
      <c r="E10" s="136">
        <f t="shared" si="1"/>
        <v>30146.176500666668</v>
      </c>
      <c r="G10" s="125" t="s">
        <v>111</v>
      </c>
      <c r="H10" s="257">
        <v>0.8</v>
      </c>
      <c r="I10" s="257">
        <f>'（２）ＫＰＩ達成進度'!T5</f>
        <v>0.91666666666666707</v>
      </c>
      <c r="J10" s="291"/>
      <c r="K10" s="257">
        <f t="shared" si="2"/>
        <v>0.91666666666666707</v>
      </c>
      <c r="L10" s="119" t="s">
        <v>35</v>
      </c>
    </row>
    <row r="11" spans="1:12" ht="18" customHeight="1">
      <c r="A11" s="125" t="s">
        <v>39</v>
      </c>
      <c r="B11" s="137">
        <f>'（１）收支狀況'!W5</f>
        <v>0.14194709010718326</v>
      </c>
      <c r="C11" s="291"/>
      <c r="D11" s="137">
        <f t="shared" si="0"/>
        <v>0.14194709010718326</v>
      </c>
      <c r="E11" s="137">
        <f t="shared" si="1"/>
        <v>0.14194709010718326</v>
      </c>
      <c r="G11" s="125" t="s">
        <v>112</v>
      </c>
      <c r="H11" s="257">
        <v>1</v>
      </c>
      <c r="I11" s="137">
        <f>'（２）ＫＰＩ達成進度'!W5</f>
        <v>0.67912903225806442</v>
      </c>
      <c r="J11" s="291"/>
      <c r="K11" s="137">
        <f t="shared" si="2"/>
        <v>0.67912903225806442</v>
      </c>
      <c r="L11" s="119" t="s">
        <v>41</v>
      </c>
    </row>
    <row r="12" spans="1:12" ht="9.6" customHeight="1">
      <c r="L12" s="117"/>
    </row>
    <row r="13" spans="1:12" ht="15.75" customHeight="1">
      <c r="A13" s="129" t="s">
        <v>6</v>
      </c>
      <c r="G13" s="129" t="s">
        <v>7</v>
      </c>
      <c r="L13" s="117"/>
    </row>
    <row r="14" spans="1:12" s="124" customFormat="1" ht="12">
      <c r="A14" s="139"/>
      <c r="B14" s="139" t="s">
        <v>8</v>
      </c>
      <c r="C14" s="139" t="s">
        <v>15</v>
      </c>
      <c r="D14" s="139" t="s">
        <v>13</v>
      </c>
      <c r="E14" s="139" t="s">
        <v>16</v>
      </c>
      <c r="G14" s="139"/>
      <c r="H14" s="139" t="s">
        <v>8</v>
      </c>
      <c r="I14" s="139" t="s">
        <v>15</v>
      </c>
      <c r="J14" s="139" t="s">
        <v>13</v>
      </c>
      <c r="K14" s="139" t="s">
        <v>16</v>
      </c>
    </row>
    <row r="15" spans="1:12" ht="18" customHeight="1">
      <c r="A15" s="125" t="s">
        <v>113</v>
      </c>
      <c r="B15" s="136">
        <f>'（３）業績構成比'!M46/1000</f>
        <v>40454.576016197105</v>
      </c>
      <c r="C15" s="137">
        <f>IFERROR(B15/$B$6,"")</f>
        <v>0.19048549479871965</v>
      </c>
      <c r="D15" s="291"/>
      <c r="E15" s="137">
        <f>IFERROR(C15-D15,"")</f>
        <v>0.19048549479871965</v>
      </c>
      <c r="G15" s="125" t="s">
        <v>114</v>
      </c>
      <c r="H15" s="136">
        <f>'（４）訂單數量構成比'!M46</f>
        <v>2176845</v>
      </c>
      <c r="I15" s="137">
        <f t="shared" ref="I15:I23" si="3">IFERROR(H15/$B$7,"")</f>
        <v>0.3319345446172684</v>
      </c>
      <c r="J15" s="291"/>
      <c r="K15" s="137">
        <f t="shared" ref="K15:K23" si="4">IFERROR(I15-J15,"")</f>
        <v>0.3319345446172684</v>
      </c>
      <c r="L15" s="117"/>
    </row>
    <row r="16" spans="1:12" ht="18" customHeight="1">
      <c r="A16" s="125" t="s">
        <v>115</v>
      </c>
      <c r="B16" s="136">
        <f>'（３）業績構成比'!S46/1000</f>
        <v>8499.4528560444905</v>
      </c>
      <c r="C16" s="137">
        <f t="shared" ref="C16:C23" si="5">IFERROR(B16/$B$6,"")</f>
        <v>4.0020750239819727E-2</v>
      </c>
      <c r="D16" s="291"/>
      <c r="E16" s="137">
        <f t="shared" ref="E16:E23" si="6">IFERROR(C16-D16,"")</f>
        <v>4.0020750239819727E-2</v>
      </c>
      <c r="G16" s="125" t="s">
        <v>115</v>
      </c>
      <c r="H16" s="136">
        <f>'（４）訂單數量構成比'!S46</f>
        <v>330582</v>
      </c>
      <c r="I16" s="137">
        <f t="shared" si="3"/>
        <v>5.0408543386720607E-2</v>
      </c>
      <c r="J16" s="291"/>
      <c r="K16" s="137">
        <f t="shared" si="4"/>
        <v>5.0408543386720607E-2</v>
      </c>
      <c r="L16" s="117"/>
    </row>
    <row r="17" spans="1:17" ht="18" customHeight="1">
      <c r="A17" s="125" t="s">
        <v>116</v>
      </c>
      <c r="B17" s="136">
        <f>'（３）業績構成比'!U46/1000</f>
        <v>20818.277092871838</v>
      </c>
      <c r="C17" s="137">
        <f t="shared" si="5"/>
        <v>9.8025494354577192E-2</v>
      </c>
      <c r="D17" s="291"/>
      <c r="E17" s="137">
        <f t="shared" si="6"/>
        <v>9.8025494354577192E-2</v>
      </c>
      <c r="G17" s="125" t="s">
        <v>117</v>
      </c>
      <c r="H17" s="136">
        <f>'（４）訂單數量構成比'!U46</f>
        <v>639734</v>
      </c>
      <c r="I17" s="137">
        <f t="shared" si="3"/>
        <v>9.7549349616616515E-2</v>
      </c>
      <c r="J17" s="291"/>
      <c r="K17" s="137">
        <f t="shared" si="4"/>
        <v>9.7549349616616515E-2</v>
      </c>
      <c r="L17" s="117"/>
    </row>
    <row r="18" spans="1:17" ht="18" customHeight="1">
      <c r="A18" s="125" t="s">
        <v>118</v>
      </c>
      <c r="B18" s="136">
        <f>'（３）業績構成比'!W46/1000</f>
        <v>491.81794391799951</v>
      </c>
      <c r="C18" s="137">
        <f t="shared" si="5"/>
        <v>2.3157870783418926E-3</v>
      </c>
      <c r="D18" s="291"/>
      <c r="E18" s="137">
        <f t="shared" si="6"/>
        <v>2.3157870783418926E-3</v>
      </c>
      <c r="G18" s="125" t="s">
        <v>119</v>
      </c>
      <c r="H18" s="136">
        <f>'（４）訂單數量構成比'!W46</f>
        <v>18191</v>
      </c>
      <c r="I18" s="137">
        <f t="shared" si="3"/>
        <v>2.7738407195426083E-3</v>
      </c>
      <c r="J18" s="291"/>
      <c r="K18" s="137">
        <f t="shared" si="4"/>
        <v>2.7738407195426083E-3</v>
      </c>
      <c r="L18" s="117"/>
    </row>
    <row r="19" spans="1:17" ht="18" customHeight="1">
      <c r="A19" s="125" t="s">
        <v>120</v>
      </c>
      <c r="B19" s="136">
        <f>'（３）業績構成比'!AC46/1000</f>
        <v>56587.975988004291</v>
      </c>
      <c r="C19" s="137">
        <f t="shared" si="5"/>
        <v>0.26645165188277636</v>
      </c>
      <c r="D19" s="292"/>
      <c r="E19" s="137">
        <f t="shared" si="6"/>
        <v>0.26645165188277636</v>
      </c>
      <c r="G19" s="125" t="s">
        <v>121</v>
      </c>
      <c r="H19" s="136">
        <f>'（４）訂單數量構成比'!AC46</f>
        <v>1374966</v>
      </c>
      <c r="I19" s="137">
        <f t="shared" si="3"/>
        <v>0.2096606387107153</v>
      </c>
      <c r="J19" s="291"/>
      <c r="K19" s="137">
        <f t="shared" si="4"/>
        <v>0.2096606387107153</v>
      </c>
      <c r="L19" s="117"/>
    </row>
    <row r="20" spans="1:17" ht="18" customHeight="1">
      <c r="A20" s="125" t="s">
        <v>122</v>
      </c>
      <c r="B20" s="136">
        <f>'（３）業績構成比'!AE46/1000</f>
        <v>25231.124997391118</v>
      </c>
      <c r="C20" s="137">
        <f t="shared" si="5"/>
        <v>0.11880394760612771</v>
      </c>
      <c r="D20" s="292"/>
      <c r="E20" s="137">
        <f t="shared" si="6"/>
        <v>0.11880394760612771</v>
      </c>
      <c r="G20" s="125" t="s">
        <v>123</v>
      </c>
      <c r="H20" s="136">
        <f>'（４）訂單數量構成比'!AE46</f>
        <v>455610</v>
      </c>
      <c r="I20" s="137">
        <f t="shared" si="3"/>
        <v>6.9473342324820386E-2</v>
      </c>
      <c r="J20" s="291"/>
      <c r="K20" s="137">
        <f t="shared" si="4"/>
        <v>6.9473342324820386E-2</v>
      </c>
      <c r="L20" s="117"/>
    </row>
    <row r="21" spans="1:17" ht="18" customHeight="1">
      <c r="A21" s="125" t="s">
        <v>124</v>
      </c>
      <c r="B21" s="136">
        <f>'（３）業績構成比'!AG46/1000</f>
        <v>27837.422630438406</v>
      </c>
      <c r="C21" s="137">
        <f t="shared" ref="C21" si="7">IFERROR(B21/$B$6,"")</f>
        <v>0.13107603010243102</v>
      </c>
      <c r="D21" s="292"/>
      <c r="E21" s="137">
        <f t="shared" ref="E21" si="8">IFERROR(C21-D21,"")</f>
        <v>0.13107603010243102</v>
      </c>
      <c r="G21" s="125" t="s">
        <v>125</v>
      </c>
      <c r="H21" s="136">
        <f>'（４）訂單數量構成比'!AG46</f>
        <v>576771</v>
      </c>
      <c r="I21" s="137">
        <f t="shared" ref="I21" si="9">IFERROR(H21/$B$7,"")</f>
        <v>8.7948484726035392E-2</v>
      </c>
      <c r="J21" s="291"/>
      <c r="K21" s="137">
        <f t="shared" ref="K21" si="10">IFERROR(I21-J21,"")</f>
        <v>8.7948484726035392E-2</v>
      </c>
      <c r="L21" s="117"/>
    </row>
    <row r="22" spans="1:17" ht="18" customHeight="1">
      <c r="A22" s="125" t="s">
        <v>126</v>
      </c>
      <c r="B22" s="136">
        <f>'（３）業績構成比'!AI46/1000</f>
        <v>19439.937491760218</v>
      </c>
      <c r="C22" s="137">
        <f t="shared" si="5"/>
        <v>9.1535407774179067E-2</v>
      </c>
      <c r="D22" s="292"/>
      <c r="E22" s="137">
        <f t="shared" si="6"/>
        <v>9.1535407774179067E-2</v>
      </c>
      <c r="G22" s="125" t="s">
        <v>127</v>
      </c>
      <c r="H22" s="136">
        <f>'（４）訂單數量構成比'!AI46</f>
        <v>524524</v>
      </c>
      <c r="I22" s="137">
        <f t="shared" si="3"/>
        <v>7.9981640898101641E-2</v>
      </c>
      <c r="J22" s="291"/>
      <c r="K22" s="137">
        <f t="shared" si="4"/>
        <v>7.9981640898101641E-2</v>
      </c>
      <c r="L22" s="117"/>
    </row>
    <row r="23" spans="1:17" ht="18" customHeight="1">
      <c r="A23" s="125" t="s">
        <v>128</v>
      </c>
      <c r="B23" s="136">
        <f>'（３）業績構成比'!AK46/1000</f>
        <v>13015.564983374543</v>
      </c>
      <c r="C23" s="137">
        <f t="shared" si="5"/>
        <v>6.1285436163027458E-2</v>
      </c>
      <c r="D23" s="292"/>
      <c r="E23" s="137">
        <f t="shared" si="6"/>
        <v>6.1285436163027458E-2</v>
      </c>
      <c r="G23" s="125" t="s">
        <v>129</v>
      </c>
      <c r="H23" s="136">
        <f>'（４）訂單數量構成比'!AK46</f>
        <v>460832</v>
      </c>
      <c r="I23" s="137">
        <f t="shared" si="3"/>
        <v>7.026961500017917E-2</v>
      </c>
      <c r="J23" s="291"/>
      <c r="K23" s="137">
        <f t="shared" si="4"/>
        <v>7.026961500017917E-2</v>
      </c>
      <c r="L23" s="117"/>
    </row>
    <row r="24" spans="1:17" ht="15.75" customHeight="1">
      <c r="C24" s="131">
        <f t="shared" ref="C24:D24" si="11">SUM(C15:C23)</f>
        <v>1</v>
      </c>
      <c r="D24" s="131">
        <f t="shared" si="11"/>
        <v>0</v>
      </c>
      <c r="I24" s="131">
        <f t="shared" ref="I24:J24" si="12">SUM(I15:I23)</f>
        <v>1.0000000000000002</v>
      </c>
      <c r="J24" s="131">
        <f t="shared" si="12"/>
        <v>0</v>
      </c>
      <c r="L24" s="117"/>
    </row>
    <row r="25" spans="1:17" ht="9.6" customHeight="1">
      <c r="A25" s="132"/>
      <c r="L25" s="117"/>
    </row>
    <row r="26" spans="1:17" ht="15.75" customHeight="1">
      <c r="A26" s="129" t="s">
        <v>130</v>
      </c>
      <c r="L26" s="117"/>
    </row>
    <row r="27" spans="1:17" ht="15.75" customHeight="1">
      <c r="A27" s="125" t="s">
        <v>131</v>
      </c>
      <c r="B27" s="125" t="s">
        <v>8</v>
      </c>
      <c r="C27" s="125" t="s">
        <v>9</v>
      </c>
      <c r="D27" s="125" t="s">
        <v>10</v>
      </c>
      <c r="E27" s="125" t="s">
        <v>11</v>
      </c>
      <c r="L27" s="117"/>
    </row>
    <row r="28" spans="1:17" ht="18" customHeight="1">
      <c r="A28" s="125" t="s">
        <v>114</v>
      </c>
      <c r="B28" s="293">
        <f>'（５-1）品群別人時生產性（18℃-飯糰）'!$C$1</f>
        <v>717.52753492795955</v>
      </c>
      <c r="C28" s="291"/>
      <c r="D28" s="126">
        <v>0</v>
      </c>
      <c r="E28" s="293">
        <f>B28</f>
        <v>717.52753492795955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2"/>
      <c r="Q28" s="142"/>
    </row>
    <row r="29" spans="1:17" ht="18" customHeight="1">
      <c r="A29" s="125" t="s">
        <v>132</v>
      </c>
      <c r="B29" s="293">
        <f>'（５-2）品群別人時生產性（18-壽司手卷)'!$C$1</f>
        <v>197.63271688630809</v>
      </c>
      <c r="C29" s="291"/>
      <c r="D29" s="126">
        <v>0</v>
      </c>
      <c r="E29" s="293">
        <f t="shared" ref="E29:E36" si="13">B29</f>
        <v>197.63271688630809</v>
      </c>
      <c r="G29" s="143"/>
      <c r="H29" s="143"/>
      <c r="I29" s="144"/>
      <c r="J29" s="1"/>
      <c r="K29" s="145"/>
      <c r="L29" s="67"/>
      <c r="M29" s="66"/>
      <c r="N29" s="67"/>
      <c r="O29" s="67"/>
      <c r="P29" s="67"/>
      <c r="Q29" s="67"/>
    </row>
    <row r="30" spans="1:17" ht="18" customHeight="1">
      <c r="A30" s="125" t="s">
        <v>117</v>
      </c>
      <c r="B30" s="293">
        <f>'（５-3）品群別人時生產性（4℃-飯糰)'!$C$1</f>
        <v>240.45857137830325</v>
      </c>
      <c r="C30" s="291"/>
      <c r="D30" s="126">
        <v>0</v>
      </c>
      <c r="E30" s="293">
        <f t="shared" si="13"/>
        <v>240.45857137830325</v>
      </c>
      <c r="L30" s="117"/>
    </row>
    <row r="31" spans="1:17" ht="18" customHeight="1">
      <c r="A31" s="125" t="s">
        <v>119</v>
      </c>
      <c r="B31" s="293">
        <f>'（５-4）品群別人時生產性（4℃-壽司手卷)'!$C$1</f>
        <v>106.86512290813759</v>
      </c>
      <c r="C31" s="291"/>
      <c r="D31" s="126">
        <v>0</v>
      </c>
      <c r="E31" s="293">
        <f t="shared" si="13"/>
        <v>106.86512290813759</v>
      </c>
      <c r="L31" s="117"/>
    </row>
    <row r="32" spans="1:17" ht="18" customHeight="1">
      <c r="A32" s="125" t="s">
        <v>121</v>
      </c>
      <c r="B32" s="293">
        <f>'（５-5）品群別人時生產性(主食) '!$C$1</f>
        <v>89.310428404733287</v>
      </c>
      <c r="C32" s="291"/>
      <c r="D32" s="126">
        <v>0</v>
      </c>
      <c r="E32" s="293">
        <f t="shared" si="13"/>
        <v>89.310428404733287</v>
      </c>
      <c r="L32" s="117"/>
    </row>
    <row r="33" spans="1:5" s="117" customFormat="1" ht="18" customHeight="1">
      <c r="A33" s="125" t="s">
        <v>123</v>
      </c>
      <c r="B33" s="293">
        <f>'（５-6）品群別人時生產性(便當)'!$C$1</f>
        <v>65.67274245927976</v>
      </c>
      <c r="C33" s="291"/>
      <c r="D33" s="126">
        <v>0</v>
      </c>
      <c r="E33" s="293">
        <f t="shared" si="13"/>
        <v>65.67274245927976</v>
      </c>
    </row>
    <row r="34" spans="1:5" s="117" customFormat="1" ht="18" customHeight="1">
      <c r="A34" s="125" t="s">
        <v>125</v>
      </c>
      <c r="B34" s="293">
        <f>'（５-7）品群別人時生產性(熱食義麵) '!$C$1</f>
        <v>75.478569021952779</v>
      </c>
      <c r="C34" s="291"/>
      <c r="D34" s="126">
        <v>0</v>
      </c>
      <c r="E34" s="293">
        <f t="shared" si="13"/>
        <v>75.478569021952779</v>
      </c>
    </row>
    <row r="35" spans="1:5" s="117" customFormat="1" ht="18" customHeight="1">
      <c r="A35" s="125" t="s">
        <v>127</v>
      </c>
      <c r="B35" s="293">
        <f>'（５-8）品群別人時生產性(季節調理麵) '!$C$1</f>
        <v>114.50557202660302</v>
      </c>
      <c r="C35" s="291"/>
      <c r="D35" s="126">
        <v>0</v>
      </c>
      <c r="E35" s="293">
        <f t="shared" si="13"/>
        <v>114.50557202660302</v>
      </c>
    </row>
    <row r="36" spans="1:5" s="117" customFormat="1" ht="18" customHeight="1">
      <c r="A36" s="121" t="s">
        <v>129</v>
      </c>
      <c r="B36" s="293">
        <f>'（５-9）品群別人時生產性(微波小吃)'!$C$1</f>
        <v>99.648342041865732</v>
      </c>
      <c r="C36" s="291"/>
      <c r="D36" s="126">
        <v>0</v>
      </c>
      <c r="E36" s="293">
        <f t="shared" si="13"/>
        <v>99.648342041865732</v>
      </c>
    </row>
    <row r="37" spans="1:5" s="117" customFormat="1" ht="15.75" customHeight="1"/>
    <row r="38" spans="1:5" s="117" customFormat="1" ht="15.75" customHeight="1"/>
  </sheetData>
  <mergeCells count="2">
    <mergeCell ref="A1:K2"/>
    <mergeCell ref="D3:E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opLeftCell="A10" zoomScale="90" zoomScaleNormal="90" zoomScaleSheetLayoutView="100" workbookViewId="0">
      <selection activeCell="B30" sqref="B30"/>
    </sheetView>
  </sheetViews>
  <sheetFormatPr defaultColWidth="12.5703125" defaultRowHeight="15.75" customHeight="1"/>
  <cols>
    <col min="1" max="1" width="27.42578125" style="117" bestFit="1" customWidth="1"/>
    <col min="2" max="2" width="12.5703125" style="117" customWidth="1"/>
    <col min="3" max="4" width="12.5703125" style="117"/>
    <col min="5" max="5" width="16.42578125" style="117" customWidth="1"/>
    <col min="6" max="6" width="2.42578125" style="117" customWidth="1"/>
    <col min="7" max="7" width="24.85546875" style="117" bestFit="1" customWidth="1"/>
    <col min="8" max="10" width="12.5703125" style="117"/>
    <col min="11" max="11" width="16.42578125" style="117" customWidth="1"/>
    <col min="12" max="12" width="12.5703125" style="118"/>
    <col min="13" max="16384" width="12.5703125" style="117"/>
  </cols>
  <sheetData>
    <row r="1" spans="1:18" ht="15.75" customHeight="1">
      <c r="A1" s="341" t="s">
        <v>101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117"/>
    </row>
    <row r="2" spans="1:18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</row>
    <row r="3" spans="1:18" ht="21.6" customHeight="1">
      <c r="A3" s="133" t="s">
        <v>0</v>
      </c>
      <c r="B3" s="134">
        <v>8</v>
      </c>
      <c r="C3" s="214" t="s">
        <v>133</v>
      </c>
      <c r="D3" s="134" t="s">
        <v>134</v>
      </c>
      <c r="E3" s="133" t="s">
        <v>102</v>
      </c>
      <c r="F3" s="342" t="s">
        <v>103</v>
      </c>
      <c r="G3" s="342"/>
      <c r="H3" s="118"/>
      <c r="I3" s="128"/>
      <c r="J3" s="118"/>
      <c r="K3" s="118"/>
      <c r="M3" s="118"/>
      <c r="N3" s="118"/>
    </row>
    <row r="4" spans="1:18" ht="15.75" customHeight="1">
      <c r="A4" s="129" t="s">
        <v>104</v>
      </c>
      <c r="E4" s="120" t="s">
        <v>4</v>
      </c>
      <c r="G4" s="130" t="s">
        <v>5</v>
      </c>
      <c r="L4" s="117"/>
    </row>
    <row r="5" spans="1:18" s="122" customFormat="1" ht="15.75" customHeight="1">
      <c r="A5" s="140" t="s">
        <v>105</v>
      </c>
      <c r="B5" s="140" t="s">
        <v>135</v>
      </c>
      <c r="C5" s="140" t="s">
        <v>136</v>
      </c>
      <c r="D5" s="135" t="s">
        <v>10</v>
      </c>
      <c r="E5" s="135" t="s">
        <v>11</v>
      </c>
      <c r="G5" s="140" t="s">
        <v>105</v>
      </c>
      <c r="H5" s="135" t="s">
        <v>12</v>
      </c>
      <c r="I5" s="135" t="s">
        <v>137</v>
      </c>
      <c r="J5" s="135" t="s">
        <v>138</v>
      </c>
      <c r="K5" s="135" t="s">
        <v>11</v>
      </c>
      <c r="L5" s="123" t="s">
        <v>14</v>
      </c>
    </row>
    <row r="6" spans="1:18" ht="18" customHeight="1">
      <c r="A6" s="125" t="s">
        <v>17</v>
      </c>
      <c r="B6" s="226">
        <f>'（１）收支狀況'!G30/1000</f>
        <v>39181.351999999999</v>
      </c>
      <c r="C6" s="263">
        <v>48798.226999999999</v>
      </c>
      <c r="D6" s="136">
        <f t="shared" ref="D6:D11" si="0">B6-C6</f>
        <v>-9616.875</v>
      </c>
      <c r="E6" s="236">
        <f>'（１）收支狀況'!H5/1000</f>
        <v>212376.15</v>
      </c>
      <c r="G6" s="125" t="s">
        <v>106</v>
      </c>
      <c r="H6" s="238">
        <v>266</v>
      </c>
      <c r="I6" s="269">
        <f>'（２）ＫＰＩ達成進度'!G30</f>
        <v>338.34123196825385</v>
      </c>
      <c r="J6" s="270">
        <v>335.2714285714286</v>
      </c>
      <c r="K6" s="271">
        <f>'（２）ＫＰＩ達成進度'!H5</f>
        <v>331.32088360675885</v>
      </c>
      <c r="L6" s="119" t="s">
        <v>107</v>
      </c>
    </row>
    <row r="7" spans="1:18" ht="18" customHeight="1">
      <c r="A7" s="125" t="s">
        <v>21</v>
      </c>
      <c r="B7" s="226">
        <f>'（１）收支狀況'!J30</f>
        <v>1233798</v>
      </c>
      <c r="C7" s="263">
        <v>1526628</v>
      </c>
      <c r="D7" s="136">
        <f t="shared" si="0"/>
        <v>-292830</v>
      </c>
      <c r="E7" s="236">
        <f>'（１）收支狀況'!K5</f>
        <v>6558055</v>
      </c>
      <c r="G7" s="125" t="s">
        <v>108</v>
      </c>
      <c r="H7" s="261">
        <v>0.8</v>
      </c>
      <c r="I7" s="262">
        <f>'（２）ＫＰＩ達成進度'!J30</f>
        <v>0.92442959554167725</v>
      </c>
      <c r="J7" s="265">
        <v>1.2580541409809702</v>
      </c>
      <c r="K7" s="262">
        <f>'（２）ＫＰＩ達成進度'!K5</f>
        <v>0.90524831586546117</v>
      </c>
      <c r="L7" s="119" t="s">
        <v>23</v>
      </c>
    </row>
    <row r="8" spans="1:18" ht="18" customHeight="1">
      <c r="A8" s="125" t="s">
        <v>25</v>
      </c>
      <c r="B8" s="226">
        <f>'（１）收支狀況'!M30/1000</f>
        <v>25627.594000000001</v>
      </c>
      <c r="C8" s="263">
        <v>32021.655999999999</v>
      </c>
      <c r="D8" s="136">
        <f>B8-C8</f>
        <v>-6394.0619999999981</v>
      </c>
      <c r="E8" s="236">
        <f>'（１）收支狀況'!N5/1000</f>
        <v>139088.163</v>
      </c>
      <c r="G8" s="125" t="s">
        <v>109</v>
      </c>
      <c r="H8" s="237">
        <v>2.5000000000000001E-3</v>
      </c>
      <c r="I8" s="255">
        <f>'（２）ＫＰＩ達成進度'!M30</f>
        <v>2.4445364989959702E-3</v>
      </c>
      <c r="J8" s="266">
        <v>2.5001695672069017E-3</v>
      </c>
      <c r="K8" s="255">
        <f>'（２）ＫＰＩ達成進度'!N5</f>
        <v>2.4946244239327812E-3</v>
      </c>
      <c r="L8" s="119" t="s">
        <v>27</v>
      </c>
    </row>
    <row r="9" spans="1:18" ht="18" customHeight="1">
      <c r="A9" s="125" t="s">
        <v>29</v>
      </c>
      <c r="B9" s="227">
        <f>'（１）收支狀況'!P30</f>
        <v>0.65407630650417581</v>
      </c>
      <c r="C9" s="264">
        <v>0.65620531663988535</v>
      </c>
      <c r="D9" s="137">
        <f t="shared" si="0"/>
        <v>-2.1290101357095415E-3</v>
      </c>
      <c r="E9" s="137">
        <f>'（１）收支狀況'!Q5</f>
        <v>0.6549142311883891</v>
      </c>
      <c r="G9" s="125" t="s">
        <v>110</v>
      </c>
      <c r="H9" s="237">
        <v>2.5999999999999999E-3</v>
      </c>
      <c r="I9" s="255">
        <f>'（２）ＫＰＩ達成進度'!P30</f>
        <v>2.2832747456027289E-3</v>
      </c>
      <c r="J9" s="266">
        <v>2.3270884626331281E-3</v>
      </c>
      <c r="K9" s="255">
        <f>'（２）ＫＰＩ達成進度'!Q5</f>
        <v>2.3789152192140828E-3</v>
      </c>
      <c r="L9" s="119" t="s">
        <v>31</v>
      </c>
    </row>
    <row r="10" spans="1:18" ht="18" customHeight="1">
      <c r="A10" s="125" t="s">
        <v>33</v>
      </c>
      <c r="B10" s="226">
        <f>'（１）收支狀況'!S30/1000</f>
        <v>5846.8136140322586</v>
      </c>
      <c r="C10" s="263">
        <v>6898.7488155376395</v>
      </c>
      <c r="D10" s="136">
        <f t="shared" si="0"/>
        <v>-1051.935201505381</v>
      </c>
      <c r="E10" s="236">
        <f>'（１）收支狀況'!T5/1000</f>
        <v>30146.176500666668</v>
      </c>
      <c r="G10" s="125" t="s">
        <v>111</v>
      </c>
      <c r="H10" s="256">
        <v>0.8</v>
      </c>
      <c r="I10" s="257">
        <v>0.91700000000000004</v>
      </c>
      <c r="J10" s="267">
        <v>0.91700000000000004</v>
      </c>
      <c r="K10" s="257">
        <v>0.91700000000000004</v>
      </c>
      <c r="L10" s="119" t="s">
        <v>35</v>
      </c>
    </row>
    <row r="11" spans="1:18" ht="18" customHeight="1">
      <c r="A11" s="125" t="s">
        <v>39</v>
      </c>
      <c r="B11" s="227">
        <f>'（１）收支狀況'!V30</f>
        <v>0.14922439669851767</v>
      </c>
      <c r="C11" s="264">
        <v>0.14137293995410191</v>
      </c>
      <c r="D11" s="137">
        <f t="shared" si="0"/>
        <v>7.8514567444157579E-3</v>
      </c>
      <c r="E11" s="137">
        <f>'（１）收支狀況'!W5</f>
        <v>0.14194709010718326</v>
      </c>
      <c r="G11" s="125" t="s">
        <v>112</v>
      </c>
      <c r="H11" s="256">
        <v>1</v>
      </c>
      <c r="I11" s="257">
        <f>'（２）ＫＰＩ達成進度'!V30</f>
        <v>0.71033333333333326</v>
      </c>
      <c r="J11" s="267">
        <v>0.69585714285714284</v>
      </c>
      <c r="K11" s="257">
        <f>'（２）ＫＰＩ達成進度'!W5</f>
        <v>0.67912903225806442</v>
      </c>
      <c r="L11" s="119" t="s">
        <v>41</v>
      </c>
    </row>
    <row r="12" spans="1:18" ht="9.6" customHeight="1">
      <c r="L12" s="117"/>
    </row>
    <row r="13" spans="1:18" ht="15.75" customHeight="1">
      <c r="A13" s="129" t="s">
        <v>6</v>
      </c>
      <c r="G13" s="129" t="s">
        <v>7</v>
      </c>
      <c r="L13" s="117"/>
    </row>
    <row r="14" spans="1:18" s="124" customFormat="1" ht="14.25">
      <c r="A14" s="139"/>
      <c r="B14" s="215" t="s">
        <v>135</v>
      </c>
      <c r="C14" s="139" t="s">
        <v>15</v>
      </c>
      <c r="D14" s="215" t="s">
        <v>139</v>
      </c>
      <c r="E14" s="139" t="s">
        <v>16</v>
      </c>
      <c r="G14" s="139"/>
      <c r="H14" s="215" t="s">
        <v>135</v>
      </c>
      <c r="I14" s="139" t="s">
        <v>15</v>
      </c>
      <c r="J14" s="215" t="s">
        <v>139</v>
      </c>
      <c r="K14" s="139" t="s">
        <v>16</v>
      </c>
      <c r="M14" s="117"/>
      <c r="N14" s="117"/>
      <c r="O14" s="117"/>
      <c r="P14" s="117"/>
      <c r="Q14" s="117"/>
      <c r="R14" s="117"/>
    </row>
    <row r="15" spans="1:18" ht="18" customHeight="1">
      <c r="A15" s="125" t="s">
        <v>140</v>
      </c>
      <c r="B15" s="239">
        <f>SUM('（３）業績構成比'!I32:I37,'（３）業績構成比'!K32:K37)/1000</f>
        <v>7797.1912136432275</v>
      </c>
      <c r="C15" s="137">
        <f>IFERROR(B15/$B$6,"")</f>
        <v>0.19900260750683713</v>
      </c>
      <c r="D15" s="264">
        <v>0.19444348326301916</v>
      </c>
      <c r="E15" s="137">
        <f>IFERROR(C15-D15,"")</f>
        <v>4.5591242438179636E-3</v>
      </c>
      <c r="G15" s="125" t="s">
        <v>140</v>
      </c>
      <c r="H15" s="239">
        <f>SUM(,'（４）訂單數量構成比'!I32:I37,'（４）訂單數量構成比'!K32:K37)</f>
        <v>425642</v>
      </c>
      <c r="I15" s="137">
        <f t="shared" ref="I15:I23" si="1">IFERROR(H15/$B$7,"")</f>
        <v>0.344985159645258</v>
      </c>
      <c r="J15" s="264">
        <v>0.33795659453383536</v>
      </c>
      <c r="K15" s="137">
        <f t="shared" ref="K15:K23" si="2">IFERROR(I15-J15,"")</f>
        <v>7.0285651114226355E-3</v>
      </c>
      <c r="L15" s="117"/>
    </row>
    <row r="16" spans="1:18" ht="18" customHeight="1">
      <c r="A16" s="125" t="s">
        <v>115</v>
      </c>
      <c r="B16" s="239">
        <f>SUM('（３）業績構成比'!O32:O37,'（３）業績構成比'!Q32:Q37)/1000</f>
        <v>1664.1067365108233</v>
      </c>
      <c r="C16" s="137">
        <f t="shared" ref="C16:C23" si="3">IFERROR(B16/$B$6,"")</f>
        <v>4.2471906954890767E-2</v>
      </c>
      <c r="D16" s="264">
        <v>4.4192214837950057E-2</v>
      </c>
      <c r="E16" s="137">
        <f t="shared" ref="E16:E23" si="4">IFERROR(C16-D16,"")</f>
        <v>-1.7203078830592897E-3</v>
      </c>
      <c r="G16" s="125" t="s">
        <v>115</v>
      </c>
      <c r="H16" s="239">
        <f>SUM('（４）訂單數量構成比'!O32:O37,'（４）訂單數量構成比'!Q32:Q37)</f>
        <v>64362</v>
      </c>
      <c r="I16" s="137">
        <f t="shared" si="1"/>
        <v>5.2165751606016546E-2</v>
      </c>
      <c r="J16" s="264">
        <v>5.4991785818156093E-2</v>
      </c>
      <c r="K16" s="137">
        <f t="shared" si="2"/>
        <v>-2.8260342121395471E-3</v>
      </c>
      <c r="L16" s="117"/>
    </row>
    <row r="17" spans="1:17" ht="18" customHeight="1">
      <c r="A17" s="125" t="s">
        <v>116</v>
      </c>
      <c r="B17" s="239">
        <f>SUM('（３）業績構成比'!U32:U37)/1000</f>
        <v>3677.2412204786297</v>
      </c>
      <c r="C17" s="137">
        <f t="shared" si="3"/>
        <v>9.3851820643622241E-2</v>
      </c>
      <c r="D17" s="264">
        <v>9.1697500744617133E-2</v>
      </c>
      <c r="E17" s="137">
        <f t="shared" si="4"/>
        <v>2.1543198990051082E-3</v>
      </c>
      <c r="G17" s="125" t="s">
        <v>117</v>
      </c>
      <c r="H17" s="239">
        <f>SUM('（４）訂單數量構成比'!U32:U37)</f>
        <v>111910</v>
      </c>
      <c r="I17" s="137">
        <f t="shared" si="1"/>
        <v>9.070366461932991E-2</v>
      </c>
      <c r="J17" s="264">
        <v>8.9911884231129002E-2</v>
      </c>
      <c r="K17" s="137">
        <f t="shared" si="2"/>
        <v>7.9178038820090779E-4</v>
      </c>
      <c r="L17" s="117"/>
    </row>
    <row r="18" spans="1:17" ht="18" customHeight="1">
      <c r="A18" s="125" t="s">
        <v>118</v>
      </c>
      <c r="B18" s="239">
        <f>SUM('（３）業績構成比'!W32:W37)/1000</f>
        <v>67.802069819076891</v>
      </c>
      <c r="C18" s="137">
        <f t="shared" si="3"/>
        <v>1.7304678465173151E-3</v>
      </c>
      <c r="D18" s="264">
        <v>1.7420909076527108E-3</v>
      </c>
      <c r="E18" s="137">
        <f t="shared" si="4"/>
        <v>-1.1623061135395676E-5</v>
      </c>
      <c r="G18" s="125" t="s">
        <v>119</v>
      </c>
      <c r="H18" s="239">
        <f>SUM('（４）訂單數量構成比'!W32:W37)</f>
        <v>2559</v>
      </c>
      <c r="I18" s="137">
        <f t="shared" si="1"/>
        <v>2.0740834399147995E-3</v>
      </c>
      <c r="J18" s="264">
        <v>2.1013632659691818E-3</v>
      </c>
      <c r="K18" s="137">
        <f t="shared" si="2"/>
        <v>-2.7279826054382294E-5</v>
      </c>
      <c r="L18" s="117"/>
    </row>
    <row r="19" spans="1:17" ht="18" customHeight="1">
      <c r="A19" s="125" t="s">
        <v>120</v>
      </c>
      <c r="B19" s="239">
        <f>SUM('（３）業績構成比'!Y32:Y37,'（３）業績構成比'!AA32:AA37)/1000</f>
        <v>10171.241819562911</v>
      </c>
      <c r="C19" s="137">
        <f t="shared" si="3"/>
        <v>0.25959394712982115</v>
      </c>
      <c r="D19" s="264">
        <v>0.25567189287928477</v>
      </c>
      <c r="E19" s="137">
        <f t="shared" si="4"/>
        <v>3.9220542505363776E-3</v>
      </c>
      <c r="G19" s="125" t="s">
        <v>121</v>
      </c>
      <c r="H19" s="239">
        <f>SUM('（４）訂單數量構成比'!Y32:Y37,'（４）訂單數量構成比'!AA32:AA37)</f>
        <v>250811</v>
      </c>
      <c r="I19" s="137">
        <f t="shared" si="1"/>
        <v>0.20328368176962516</v>
      </c>
      <c r="J19" s="264">
        <v>0.20040573080016874</v>
      </c>
      <c r="K19" s="137">
        <f t="shared" si="2"/>
        <v>2.877950969456422E-3</v>
      </c>
      <c r="L19" s="117"/>
    </row>
    <row r="20" spans="1:17" ht="18" customHeight="1">
      <c r="A20" s="125" t="s">
        <v>122</v>
      </c>
      <c r="B20" s="239">
        <f>SUM('（３）業績構成比'!AE32:AE37)/1000</f>
        <v>4282.0169226208873</v>
      </c>
      <c r="C20" s="137">
        <f t="shared" si="3"/>
        <v>0.10928711501892245</v>
      </c>
      <c r="D20" s="264">
        <v>0.11207896845805337</v>
      </c>
      <c r="E20" s="137">
        <f t="shared" si="4"/>
        <v>-2.791853439130923E-3</v>
      </c>
      <c r="G20" s="125" t="s">
        <v>123</v>
      </c>
      <c r="H20" s="239">
        <f>SUM('（４）訂單數量構成比'!AE32:AE37)</f>
        <v>78455</v>
      </c>
      <c r="I20" s="137">
        <f t="shared" si="1"/>
        <v>6.358820487632498E-2</v>
      </c>
      <c r="J20" s="264">
        <v>6.5042040366087878E-2</v>
      </c>
      <c r="K20" s="137">
        <f t="shared" si="2"/>
        <v>-1.4538354897628974E-3</v>
      </c>
      <c r="L20" s="117"/>
    </row>
    <row r="21" spans="1:17" ht="18" customHeight="1">
      <c r="A21" s="125" t="s">
        <v>124</v>
      </c>
      <c r="B21" s="239">
        <f>SUM('（３）業績構成比'!AG32:AG37)/1000</f>
        <v>5110.8428031124722</v>
      </c>
      <c r="C21" s="137">
        <f t="shared" si="3"/>
        <v>0.13044069543880141</v>
      </c>
      <c r="D21" s="264">
        <v>0.13927660300254596</v>
      </c>
      <c r="E21" s="137">
        <f t="shared" si="4"/>
        <v>-8.835907563744555E-3</v>
      </c>
      <c r="G21" s="125" t="s">
        <v>125</v>
      </c>
      <c r="H21" s="239">
        <f>SUM('（４）訂單數量構成比'!AG32:AG37)</f>
        <v>102742</v>
      </c>
      <c r="I21" s="137">
        <f t="shared" si="1"/>
        <v>8.3272950677501498E-2</v>
      </c>
      <c r="J21" s="264">
        <v>9.0392027396327068E-2</v>
      </c>
      <c r="K21" s="137">
        <f t="shared" si="2"/>
        <v>-7.1190767188255705E-3</v>
      </c>
      <c r="L21" s="117"/>
    </row>
    <row r="22" spans="1:17" ht="18" customHeight="1">
      <c r="A22" s="125" t="s">
        <v>126</v>
      </c>
      <c r="B22" s="239">
        <f>SUM('（３）業績構成比'!AI32:AI37)/1000</f>
        <v>3681.6570815529612</v>
      </c>
      <c r="C22" s="137">
        <f t="shared" si="3"/>
        <v>9.3964523775314376E-2</v>
      </c>
      <c r="D22" s="264">
        <v>8.8677962710112426E-2</v>
      </c>
      <c r="E22" s="137">
        <f t="shared" si="4"/>
        <v>5.2865610652019501E-3</v>
      </c>
      <c r="G22" s="125" t="s">
        <v>127</v>
      </c>
      <c r="H22" s="239">
        <f>SUM('（４）訂單數量構成比'!AI32:AI37)</f>
        <v>100424</v>
      </c>
      <c r="I22" s="137">
        <f t="shared" si="1"/>
        <v>8.1394199050411814E-2</v>
      </c>
      <c r="J22" s="264">
        <v>7.7251956599774144E-2</v>
      </c>
      <c r="K22" s="137">
        <f t="shared" si="2"/>
        <v>4.1422424506376704E-3</v>
      </c>
      <c r="L22" s="117"/>
    </row>
    <row r="23" spans="1:17" ht="18" customHeight="1">
      <c r="A23" s="125" t="s">
        <v>128</v>
      </c>
      <c r="B23" s="239">
        <f>SUM('（３）業績構成比'!AK32:AK37)/1000</f>
        <v>2729.2521326990136</v>
      </c>
      <c r="C23" s="137">
        <f t="shared" si="3"/>
        <v>6.9656915685273282E-2</v>
      </c>
      <c r="D23" s="264">
        <v>7.2219283196764447E-2</v>
      </c>
      <c r="E23" s="137">
        <f t="shared" si="4"/>
        <v>-2.5623675114911648E-3</v>
      </c>
      <c r="G23" s="125" t="s">
        <v>129</v>
      </c>
      <c r="H23" s="239">
        <f>SUM('（４）訂單數量構成比'!AK32:AK37)</f>
        <v>96893</v>
      </c>
      <c r="I23" s="137">
        <f t="shared" si="1"/>
        <v>7.8532304315617307E-2</v>
      </c>
      <c r="J23" s="264">
        <v>8.1946616988552545E-2</v>
      </c>
      <c r="K23" s="137">
        <f t="shared" si="2"/>
        <v>-3.414312672935238E-3</v>
      </c>
      <c r="L23" s="117"/>
    </row>
    <row r="24" spans="1:17" ht="15.75" customHeight="1">
      <c r="C24" s="131">
        <f t="shared" ref="C24:D24" si="5">SUM(C15:C23)</f>
        <v>1.0000000000000002</v>
      </c>
      <c r="D24" s="131">
        <f t="shared" si="5"/>
        <v>1</v>
      </c>
      <c r="I24" s="131">
        <f t="shared" ref="I24:J24" si="6">SUM(I15:I23)</f>
        <v>1</v>
      </c>
      <c r="J24" s="131">
        <f t="shared" si="6"/>
        <v>0.99999999999999989</v>
      </c>
      <c r="L24" s="117"/>
    </row>
    <row r="25" spans="1:17" ht="9.6" customHeight="1">
      <c r="A25" s="132"/>
      <c r="L25" s="117"/>
    </row>
    <row r="26" spans="1:17" ht="15.75" customHeight="1">
      <c r="A26" s="129" t="s">
        <v>130</v>
      </c>
      <c r="L26" s="117"/>
    </row>
    <row r="27" spans="1:17" ht="15.75" customHeight="1">
      <c r="A27" s="125" t="s">
        <v>131</v>
      </c>
      <c r="B27" s="216" t="s">
        <v>135</v>
      </c>
      <c r="C27" s="216" t="s">
        <v>136</v>
      </c>
      <c r="D27" s="125" t="s">
        <v>10</v>
      </c>
      <c r="E27" s="125" t="s">
        <v>141</v>
      </c>
      <c r="L27" s="117"/>
    </row>
    <row r="28" spans="1:17" ht="18" customHeight="1">
      <c r="A28" s="125" t="s">
        <v>140</v>
      </c>
      <c r="B28" s="247">
        <f>'（５-1）品群別人時生產性（18℃-飯糰）'!L147</f>
        <v>763.10229311302828</v>
      </c>
      <c r="C28" s="268">
        <v>713.33240287485989</v>
      </c>
      <c r="D28" s="248">
        <f t="shared" ref="D28:D36" si="7">B28-C28</f>
        <v>49.769890238168387</v>
      </c>
      <c r="E28" s="127">
        <f>'（５-1）品群別人時生產性（18℃-飯糰）'!C1</f>
        <v>717.52753492795955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2"/>
      <c r="Q28" s="142"/>
    </row>
    <row r="29" spans="1:17" ht="18" customHeight="1">
      <c r="A29" s="125" t="s">
        <v>132</v>
      </c>
      <c r="B29" s="247">
        <f>'（５-2）品群別人時生產性（18-壽司手卷)'!L87</f>
        <v>204.23332689046325</v>
      </c>
      <c r="C29" s="268">
        <v>195.15465498051785</v>
      </c>
      <c r="D29" s="248">
        <f t="shared" si="7"/>
        <v>9.078671909945399</v>
      </c>
      <c r="E29" s="127">
        <f>'（５-2）品群別人時生產性（18-壽司手卷)'!C1</f>
        <v>197.63271688630809</v>
      </c>
      <c r="G29" s="143"/>
      <c r="H29" s="143"/>
      <c r="I29" s="144"/>
      <c r="J29" s="1"/>
      <c r="K29" s="145"/>
      <c r="L29" s="67"/>
      <c r="M29" s="66"/>
      <c r="N29" s="67"/>
      <c r="O29" s="67"/>
      <c r="P29" s="67"/>
      <c r="Q29" s="67"/>
    </row>
    <row r="30" spans="1:17" ht="18" customHeight="1">
      <c r="A30" s="125" t="s">
        <v>117</v>
      </c>
      <c r="B30" s="247">
        <f>'（５-3）品群別人時生產性（4℃-飯糰)'!L87</f>
        <v>249.1125864213422</v>
      </c>
      <c r="C30" s="268">
        <v>241.43435135129585</v>
      </c>
      <c r="D30" s="248">
        <f t="shared" si="7"/>
        <v>7.6782350700463553</v>
      </c>
      <c r="E30" s="127">
        <f>'（５-3）品群別人時生產性（4℃-飯糰)'!C1</f>
        <v>240.45857137830325</v>
      </c>
      <c r="L30" s="117"/>
    </row>
    <row r="31" spans="1:17" ht="18" customHeight="1">
      <c r="A31" s="125" t="s">
        <v>119</v>
      </c>
      <c r="B31" s="247">
        <f>'（５-4）品群別人時生產性（4℃-壽司手卷)'!L87</f>
        <v>103.74358974358954</v>
      </c>
      <c r="C31" s="268">
        <v>106.0879120879123</v>
      </c>
      <c r="D31" s="248">
        <f t="shared" si="7"/>
        <v>-2.3443223443227623</v>
      </c>
      <c r="E31" s="127">
        <f>'（５-4）品群別人時生產性（4℃-壽司手卷)'!C1</f>
        <v>106.86512290813759</v>
      </c>
      <c r="L31" s="117"/>
    </row>
    <row r="32" spans="1:17" ht="18" customHeight="1">
      <c r="A32" s="125" t="s">
        <v>121</v>
      </c>
      <c r="B32" s="247">
        <f>'（５-5）品群別人時生產性(主食) '!L147</f>
        <v>93.011820005420134</v>
      </c>
      <c r="C32" s="268">
        <v>90.927236923264516</v>
      </c>
      <c r="D32" s="248">
        <f t="shared" si="7"/>
        <v>2.0845830821556177</v>
      </c>
      <c r="E32" s="127">
        <f>'（５-5）品群別人時生產性(主食) '!C1</f>
        <v>89.310428404733287</v>
      </c>
      <c r="L32" s="117"/>
    </row>
    <row r="33" spans="1:5" s="117" customFormat="1" ht="18" customHeight="1">
      <c r="A33" s="125" t="s">
        <v>123</v>
      </c>
      <c r="B33" s="247">
        <f>'（５-6）品群別人時生產性(便當)'!L87</f>
        <v>64.556753864418411</v>
      </c>
      <c r="C33" s="268">
        <v>65.660494760954435</v>
      </c>
      <c r="D33" s="248">
        <f t="shared" si="7"/>
        <v>-1.1037408965360243</v>
      </c>
      <c r="E33" s="127">
        <f>'（５-6）品群別人時生產性(便當)'!C1</f>
        <v>65.67274245927976</v>
      </c>
    </row>
    <row r="34" spans="1:5" s="117" customFormat="1" ht="18" customHeight="1">
      <c r="A34" s="125" t="s">
        <v>125</v>
      </c>
      <c r="B34" s="247">
        <f>'（５-7）品群別人時生產性(熱食義麵) '!L87</f>
        <v>87.311945086998733</v>
      </c>
      <c r="C34" s="268">
        <v>73.563268093109187</v>
      </c>
      <c r="D34" s="248">
        <f t="shared" si="7"/>
        <v>13.748676993889546</v>
      </c>
      <c r="E34" s="127">
        <f>'（５-7）品群別人時生產性(熱食義麵) '!C1</f>
        <v>75.478569021952779</v>
      </c>
    </row>
    <row r="35" spans="1:5" s="117" customFormat="1" ht="18" customHeight="1">
      <c r="A35" s="125" t="s">
        <v>127</v>
      </c>
      <c r="B35" s="247">
        <f>'（５-8）品群別人時生產性(季節調理麵) '!L87</f>
        <v>116.96724107043774</v>
      </c>
      <c r="C35" s="268">
        <v>115.96039292273618</v>
      </c>
      <c r="D35" s="248">
        <f t="shared" si="7"/>
        <v>1.0068481477015609</v>
      </c>
      <c r="E35" s="127">
        <f>'（５-8）品群別人時生產性(季節調理麵) '!C1</f>
        <v>114.50557202660302</v>
      </c>
    </row>
    <row r="36" spans="1:5" s="117" customFormat="1" ht="18" customHeight="1">
      <c r="A36" s="121" t="s">
        <v>129</v>
      </c>
      <c r="B36" s="247">
        <f>'（５-9）品群別人時生產性(微波小吃)'!L87</f>
        <v>104.21392585501526</v>
      </c>
      <c r="C36" s="268">
        <v>103.00020615470659</v>
      </c>
      <c r="D36" s="248">
        <f t="shared" si="7"/>
        <v>1.2137197003086726</v>
      </c>
      <c r="E36" s="127">
        <f>'（５-9）品群別人時生產性(微波小吃)'!C1</f>
        <v>99.648342041865732</v>
      </c>
    </row>
    <row r="37" spans="1:5" s="117" customFormat="1" ht="15.75" customHeight="1"/>
    <row r="38" spans="1:5" s="117" customFormat="1" ht="15.75" customHeight="1"/>
  </sheetData>
  <mergeCells count="2">
    <mergeCell ref="A1:K2"/>
    <mergeCell ref="F3:G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43"/>
  <sheetViews>
    <sheetView zoomScale="65" zoomScaleNormal="65" workbookViewId="0">
      <pane xSplit="5" ySplit="4" topLeftCell="F5" activePane="bottomRight" state="frozen"/>
      <selection pane="bottomRight" activeCell="L43" sqref="L43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353" t="s">
        <v>142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</row>
    <row r="3" spans="2:23" s="78" customFormat="1" ht="23.45" customHeight="1">
      <c r="B3" s="357" t="s">
        <v>143</v>
      </c>
      <c r="C3" s="358" t="s">
        <v>144</v>
      </c>
      <c r="D3" s="359" t="s">
        <v>145</v>
      </c>
      <c r="E3" s="359"/>
      <c r="F3" s="356" t="s">
        <v>146</v>
      </c>
      <c r="G3" s="356"/>
      <c r="H3" s="356"/>
      <c r="I3" s="354" t="s">
        <v>147</v>
      </c>
      <c r="J3" s="354"/>
      <c r="K3" s="354"/>
      <c r="L3" s="355" t="s">
        <v>148</v>
      </c>
      <c r="M3" s="355"/>
      <c r="N3" s="355"/>
      <c r="O3" s="348" t="s">
        <v>149</v>
      </c>
      <c r="P3" s="348"/>
      <c r="Q3" s="348"/>
      <c r="R3" s="360" t="s">
        <v>150</v>
      </c>
      <c r="S3" s="360"/>
      <c r="T3" s="360"/>
      <c r="U3" s="348" t="s">
        <v>151</v>
      </c>
      <c r="V3" s="348"/>
      <c r="W3" s="348"/>
    </row>
    <row r="4" spans="2:23" s="78" customFormat="1" ht="23.45" customHeight="1">
      <c r="B4" s="357"/>
      <c r="C4" s="358"/>
      <c r="D4" s="359"/>
      <c r="E4" s="359"/>
      <c r="F4" s="76" t="s">
        <v>152</v>
      </c>
      <c r="G4" s="76" t="s">
        <v>153</v>
      </c>
      <c r="H4" s="76" t="s">
        <v>154</v>
      </c>
      <c r="I4" s="88" t="s">
        <v>152</v>
      </c>
      <c r="J4" s="88" t="s">
        <v>153</v>
      </c>
      <c r="K4" s="88" t="s">
        <v>154</v>
      </c>
      <c r="L4" s="87" t="s">
        <v>152</v>
      </c>
      <c r="M4" s="87" t="s">
        <v>153</v>
      </c>
      <c r="N4" s="87" t="s">
        <v>154</v>
      </c>
      <c r="O4" s="81" t="s">
        <v>152</v>
      </c>
      <c r="P4" s="81" t="s">
        <v>153</v>
      </c>
      <c r="Q4" s="81" t="s">
        <v>154</v>
      </c>
      <c r="R4" s="81" t="s">
        <v>152</v>
      </c>
      <c r="S4" s="81" t="s">
        <v>153</v>
      </c>
      <c r="T4" s="81" t="s">
        <v>154</v>
      </c>
      <c r="U4" s="81" t="s">
        <v>152</v>
      </c>
      <c r="V4" s="81" t="s">
        <v>153</v>
      </c>
      <c r="W4" s="81" t="s">
        <v>154</v>
      </c>
    </row>
    <row r="5" spans="2:23">
      <c r="B5" s="349">
        <f>D17</f>
        <v>45882</v>
      </c>
      <c r="C5" s="350" t="s">
        <v>155</v>
      </c>
      <c r="D5" s="82">
        <v>45870</v>
      </c>
      <c r="E5" s="82" t="s">
        <v>156</v>
      </c>
      <c r="F5" s="232">
        <v>6238721</v>
      </c>
      <c r="G5" s="343">
        <f>SUM(F5:F8)</f>
        <v>27719634</v>
      </c>
      <c r="H5" s="346">
        <f>SUM(F5:F35)</f>
        <v>212376150</v>
      </c>
      <c r="I5" s="312">
        <v>189694</v>
      </c>
      <c r="J5" s="347">
        <f>SUM(I5:I8)</f>
        <v>835562</v>
      </c>
      <c r="K5" s="351">
        <f>SUM(I5:I35)</f>
        <v>6558055</v>
      </c>
      <c r="L5" s="232">
        <v>4328564</v>
      </c>
      <c r="M5" s="343">
        <f>SUM(L5:L8)</f>
        <v>18071368</v>
      </c>
      <c r="N5" s="346">
        <f>SUM(L5:L35)</f>
        <v>139088163</v>
      </c>
      <c r="O5" s="86">
        <f t="shared" ref="O5:O38" si="0">L5/F5</f>
        <v>0.69382233954683981</v>
      </c>
      <c r="P5" s="344">
        <f>M5/G5</f>
        <v>0.65193386030998823</v>
      </c>
      <c r="Q5" s="345">
        <f>N5/H5</f>
        <v>0.6549142311883891</v>
      </c>
      <c r="R5" s="233">
        <v>943023.34683870955</v>
      </c>
      <c r="S5" s="343">
        <f>SUM(R5:R8)</f>
        <v>3865161.5233548391</v>
      </c>
      <c r="T5" s="346">
        <f>SUM(R5:R35)</f>
        <v>30146176.500666667</v>
      </c>
      <c r="U5" s="86">
        <f t="shared" ref="U5:U35" si="1">R5/F5</f>
        <v>0.15115651859390883</v>
      </c>
      <c r="V5" s="344">
        <f>S5/G5</f>
        <v>0.13943768245117663</v>
      </c>
      <c r="W5" s="345">
        <f>T5/H5</f>
        <v>0.14194709010718326</v>
      </c>
    </row>
    <row r="6" spans="2:23">
      <c r="B6" s="350"/>
      <c r="C6" s="350"/>
      <c r="D6" s="82">
        <v>45871</v>
      </c>
      <c r="E6" s="82" t="s">
        <v>157</v>
      </c>
      <c r="F6" s="232">
        <v>6562252</v>
      </c>
      <c r="G6" s="343"/>
      <c r="H6" s="346"/>
      <c r="I6" s="312">
        <v>198615</v>
      </c>
      <c r="J6" s="347"/>
      <c r="K6" s="351"/>
      <c r="L6" s="232">
        <v>4232726</v>
      </c>
      <c r="M6" s="343"/>
      <c r="N6" s="346"/>
      <c r="O6" s="86">
        <f t="shared" si="0"/>
        <v>0.64501119432780085</v>
      </c>
      <c r="P6" s="344"/>
      <c r="Q6" s="345"/>
      <c r="R6" s="233">
        <v>938418.88283870963</v>
      </c>
      <c r="S6" s="343"/>
      <c r="T6" s="346"/>
      <c r="U6" s="86">
        <f t="shared" si="1"/>
        <v>0.14300256723434418</v>
      </c>
      <c r="V6" s="344"/>
      <c r="W6" s="345"/>
    </row>
    <row r="7" spans="2:23">
      <c r="B7" s="350"/>
      <c r="C7" s="350"/>
      <c r="D7" s="82">
        <v>45872</v>
      </c>
      <c r="E7" s="82" t="s">
        <v>152</v>
      </c>
      <c r="F7" s="232">
        <v>7531206</v>
      </c>
      <c r="G7" s="343"/>
      <c r="H7" s="346"/>
      <c r="I7" s="312">
        <v>226309</v>
      </c>
      <c r="J7" s="347"/>
      <c r="K7" s="351"/>
      <c r="L7" s="232">
        <v>4804413</v>
      </c>
      <c r="M7" s="343"/>
      <c r="N7" s="346"/>
      <c r="O7" s="86">
        <f t="shared" si="0"/>
        <v>0.6379340838638593</v>
      </c>
      <c r="P7" s="344"/>
      <c r="Q7" s="345"/>
      <c r="R7" s="233">
        <v>986964.21083870984</v>
      </c>
      <c r="S7" s="343"/>
      <c r="T7" s="346"/>
      <c r="U7" s="86">
        <f t="shared" si="1"/>
        <v>0.13104995545716183</v>
      </c>
      <c r="V7" s="344"/>
      <c r="W7" s="345"/>
    </row>
    <row r="8" spans="2:23">
      <c r="B8" s="350"/>
      <c r="C8" s="350"/>
      <c r="D8" s="82">
        <v>45873</v>
      </c>
      <c r="E8" s="82" t="s">
        <v>158</v>
      </c>
      <c r="F8" s="232">
        <v>7387455</v>
      </c>
      <c r="G8" s="343"/>
      <c r="H8" s="346"/>
      <c r="I8" s="312">
        <v>220944</v>
      </c>
      <c r="J8" s="347"/>
      <c r="K8" s="351"/>
      <c r="L8" s="232">
        <v>4705665</v>
      </c>
      <c r="M8" s="343"/>
      <c r="N8" s="346"/>
      <c r="O8" s="86">
        <f t="shared" si="0"/>
        <v>0.63698052983063858</v>
      </c>
      <c r="P8" s="344"/>
      <c r="Q8" s="345"/>
      <c r="R8" s="233">
        <v>996755.08283870993</v>
      </c>
      <c r="S8" s="343"/>
      <c r="T8" s="346"/>
      <c r="U8" s="86">
        <f t="shared" si="1"/>
        <v>0.13492536778074588</v>
      </c>
      <c r="V8" s="344"/>
      <c r="W8" s="345"/>
    </row>
    <row r="9" spans="2:23">
      <c r="B9" s="350"/>
      <c r="C9" s="350"/>
      <c r="D9" s="82">
        <v>45874</v>
      </c>
      <c r="E9" s="82" t="s">
        <v>159</v>
      </c>
      <c r="F9" s="232">
        <v>7967674</v>
      </c>
      <c r="G9" s="343">
        <f t="shared" ref="G9" si="2">SUM(F9:F15)</f>
        <v>48153352</v>
      </c>
      <c r="H9" s="346"/>
      <c r="I9" s="312">
        <v>237092</v>
      </c>
      <c r="J9" s="347">
        <f t="shared" ref="J9" si="3">SUM(I9:I15)</f>
        <v>1481597</v>
      </c>
      <c r="K9" s="351"/>
      <c r="L9" s="232">
        <v>5154252</v>
      </c>
      <c r="M9" s="343">
        <f t="shared" ref="M9" si="4">SUM(L9:L15)</f>
        <v>31832447</v>
      </c>
      <c r="N9" s="346"/>
      <c r="O9" s="86">
        <f t="shared" si="0"/>
        <v>0.64689544276033384</v>
      </c>
      <c r="P9" s="344">
        <f t="shared" ref="P9" si="5">M9/G9</f>
        <v>0.66106398989627968</v>
      </c>
      <c r="Q9" s="345"/>
      <c r="R9" s="233">
        <v>1013986.2188387095</v>
      </c>
      <c r="S9" s="343">
        <f t="shared" ref="S9" si="6">SUM(R9:R15)</f>
        <v>6693842.3798709679</v>
      </c>
      <c r="T9" s="346"/>
      <c r="U9" s="86">
        <f t="shared" si="1"/>
        <v>0.12726251335568065</v>
      </c>
      <c r="V9" s="344">
        <f t="shared" ref="V9" si="7">S9/G9</f>
        <v>0.13901093281877797</v>
      </c>
      <c r="W9" s="345"/>
    </row>
    <row r="10" spans="2:23">
      <c r="B10" s="350"/>
      <c r="C10" s="350"/>
      <c r="D10" s="82">
        <v>45875</v>
      </c>
      <c r="E10" s="82" t="s">
        <v>160</v>
      </c>
      <c r="F10" s="232">
        <v>7313533</v>
      </c>
      <c r="G10" s="343"/>
      <c r="H10" s="346"/>
      <c r="I10" s="312">
        <v>222453</v>
      </c>
      <c r="J10" s="347"/>
      <c r="K10" s="351"/>
      <c r="L10" s="232">
        <v>4928684</v>
      </c>
      <c r="M10" s="343"/>
      <c r="N10" s="346"/>
      <c r="O10" s="86">
        <f t="shared" si="0"/>
        <v>0.67391286810355544</v>
      </c>
      <c r="P10" s="344"/>
      <c r="Q10" s="345"/>
      <c r="R10" s="233">
        <v>978046.09083870996</v>
      </c>
      <c r="S10" s="343"/>
      <c r="T10" s="346"/>
      <c r="U10" s="86">
        <f t="shared" si="1"/>
        <v>0.13373100126009002</v>
      </c>
      <c r="V10" s="344"/>
      <c r="W10" s="345"/>
    </row>
    <row r="11" spans="2:23">
      <c r="B11" s="350"/>
      <c r="C11" s="350"/>
      <c r="D11" s="82">
        <v>45876</v>
      </c>
      <c r="E11" s="82" t="s">
        <v>161</v>
      </c>
      <c r="F11" s="232">
        <v>6849540</v>
      </c>
      <c r="G11" s="343"/>
      <c r="H11" s="346"/>
      <c r="I11" s="312">
        <v>211393</v>
      </c>
      <c r="J11" s="347"/>
      <c r="K11" s="351"/>
      <c r="L11" s="232">
        <v>4518685</v>
      </c>
      <c r="M11" s="343"/>
      <c r="N11" s="346"/>
      <c r="O11" s="86">
        <f t="shared" si="0"/>
        <v>0.65970634524362215</v>
      </c>
      <c r="P11" s="344"/>
      <c r="Q11" s="345"/>
      <c r="R11" s="233">
        <v>969314.05883870961</v>
      </c>
      <c r="S11" s="343"/>
      <c r="T11" s="346"/>
      <c r="U11" s="86">
        <f t="shared" si="1"/>
        <v>0.1415152052311118</v>
      </c>
      <c r="V11" s="344"/>
      <c r="W11" s="345"/>
    </row>
    <row r="12" spans="2:23">
      <c r="B12" s="350"/>
      <c r="C12" s="350"/>
      <c r="D12" s="82">
        <v>45877</v>
      </c>
      <c r="E12" s="82" t="s">
        <v>156</v>
      </c>
      <c r="F12" s="232">
        <v>6028491</v>
      </c>
      <c r="G12" s="343"/>
      <c r="H12" s="346"/>
      <c r="I12" s="312">
        <v>189264</v>
      </c>
      <c r="J12" s="347"/>
      <c r="K12" s="351"/>
      <c r="L12" s="232">
        <v>4132693</v>
      </c>
      <c r="M12" s="343"/>
      <c r="N12" s="346"/>
      <c r="O12" s="86">
        <f t="shared" si="0"/>
        <v>0.68552694198266195</v>
      </c>
      <c r="P12" s="344"/>
      <c r="Q12" s="345"/>
      <c r="R12" s="233">
        <v>928029.25883870968</v>
      </c>
      <c r="S12" s="343"/>
      <c r="T12" s="346"/>
      <c r="U12" s="86">
        <f t="shared" si="1"/>
        <v>0.15394055640768306</v>
      </c>
      <c r="V12" s="344"/>
      <c r="W12" s="345"/>
    </row>
    <row r="13" spans="2:23">
      <c r="B13" s="350"/>
      <c r="C13" s="350"/>
      <c r="D13" s="82">
        <v>45878</v>
      </c>
      <c r="E13" s="82" t="s">
        <v>157</v>
      </c>
      <c r="F13" s="232">
        <v>6203511</v>
      </c>
      <c r="G13" s="343"/>
      <c r="H13" s="346"/>
      <c r="I13" s="312">
        <v>192323</v>
      </c>
      <c r="J13" s="347"/>
      <c r="K13" s="351"/>
      <c r="L13" s="232">
        <v>4132318</v>
      </c>
      <c r="M13" s="343"/>
      <c r="N13" s="346"/>
      <c r="O13" s="86">
        <f t="shared" si="0"/>
        <v>0.66612568269807215</v>
      </c>
      <c r="P13" s="344"/>
      <c r="Q13" s="345"/>
      <c r="R13" s="233">
        <v>925688.34683870955</v>
      </c>
      <c r="S13" s="343"/>
      <c r="T13" s="346"/>
      <c r="U13" s="86">
        <f t="shared" si="1"/>
        <v>0.14922007018907674</v>
      </c>
      <c r="V13" s="344"/>
      <c r="W13" s="345"/>
    </row>
    <row r="14" spans="2:23">
      <c r="B14" s="350"/>
      <c r="C14" s="350"/>
      <c r="D14" s="82">
        <v>45879</v>
      </c>
      <c r="E14" s="82" t="s">
        <v>152</v>
      </c>
      <c r="F14" s="232">
        <v>6959932</v>
      </c>
      <c r="G14" s="343"/>
      <c r="H14" s="346"/>
      <c r="I14" s="312">
        <v>216752</v>
      </c>
      <c r="J14" s="347"/>
      <c r="K14" s="351"/>
      <c r="L14" s="232">
        <v>4477956</v>
      </c>
      <c r="M14" s="343"/>
      <c r="N14" s="346"/>
      <c r="O14" s="86">
        <f t="shared" si="0"/>
        <v>0.64339076876038448</v>
      </c>
      <c r="P14" s="344"/>
      <c r="Q14" s="345"/>
      <c r="R14" s="233">
        <v>940286.82683870941</v>
      </c>
      <c r="S14" s="343"/>
      <c r="T14" s="346"/>
      <c r="U14" s="86">
        <f t="shared" si="1"/>
        <v>0.13510000195960384</v>
      </c>
      <c r="V14" s="344"/>
      <c r="W14" s="345"/>
    </row>
    <row r="15" spans="2:23">
      <c r="B15" s="350"/>
      <c r="C15" s="350"/>
      <c r="D15" s="82">
        <v>45880</v>
      </c>
      <c r="E15" s="82" t="s">
        <v>158</v>
      </c>
      <c r="F15" s="232">
        <v>6830671</v>
      </c>
      <c r="G15" s="343"/>
      <c r="H15" s="346"/>
      <c r="I15" s="312">
        <v>212320</v>
      </c>
      <c r="J15" s="347"/>
      <c r="K15" s="351"/>
      <c r="L15" s="232">
        <v>4487859</v>
      </c>
      <c r="M15" s="343"/>
      <c r="N15" s="346"/>
      <c r="O15" s="86">
        <f t="shared" si="0"/>
        <v>0.65701583343715431</v>
      </c>
      <c r="P15" s="344"/>
      <c r="Q15" s="345"/>
      <c r="R15" s="233">
        <v>938491.57883870963</v>
      </c>
      <c r="S15" s="343"/>
      <c r="T15" s="346"/>
      <c r="U15" s="86">
        <f t="shared" si="1"/>
        <v>0.13739376099927952</v>
      </c>
      <c r="V15" s="344"/>
      <c r="W15" s="345"/>
    </row>
    <row r="16" spans="2:23">
      <c r="B16" s="349">
        <f>D24</f>
        <v>45889</v>
      </c>
      <c r="C16" s="350"/>
      <c r="D16" s="82">
        <v>45881</v>
      </c>
      <c r="E16" s="82" t="s">
        <v>159</v>
      </c>
      <c r="F16" s="232">
        <v>7487435</v>
      </c>
      <c r="G16" s="343">
        <f t="shared" ref="G16" si="8">SUM(F16:F22)</f>
        <v>48523585</v>
      </c>
      <c r="H16" s="346"/>
      <c r="I16" s="312">
        <v>224380</v>
      </c>
      <c r="J16" s="347">
        <f t="shared" ref="J16" si="9">SUM(I16:I22)</f>
        <v>1480470</v>
      </c>
      <c r="K16" s="351"/>
      <c r="L16" s="232">
        <v>4856053</v>
      </c>
      <c r="M16" s="343">
        <f t="shared" ref="M16" si="10">SUM(L16:L22)</f>
        <v>31535098</v>
      </c>
      <c r="N16" s="346"/>
      <c r="O16" s="86">
        <f t="shared" si="0"/>
        <v>0.64856028800250021</v>
      </c>
      <c r="P16" s="344">
        <f t="shared" ref="P16" si="11">M16/G16</f>
        <v>0.64989217099272445</v>
      </c>
      <c r="Q16" s="345"/>
      <c r="R16" s="233">
        <v>983069.17883870972</v>
      </c>
      <c r="S16" s="343">
        <f t="shared" ref="S16" si="12">SUM(R16:R22)</f>
        <v>6841610.1678709695</v>
      </c>
      <c r="T16" s="346"/>
      <c r="U16" s="86">
        <f t="shared" si="1"/>
        <v>0.13129585483395978</v>
      </c>
      <c r="V16" s="344">
        <f t="shared" ref="V16" si="13">S16/G16</f>
        <v>0.14099556262940938</v>
      </c>
      <c r="W16" s="345"/>
    </row>
    <row r="17" spans="2:23">
      <c r="B17" s="350"/>
      <c r="C17" s="350"/>
      <c r="D17" s="82">
        <v>45882</v>
      </c>
      <c r="E17" s="82" t="s">
        <v>160</v>
      </c>
      <c r="F17" s="232">
        <v>7231344</v>
      </c>
      <c r="G17" s="343"/>
      <c r="H17" s="346"/>
      <c r="I17" s="312">
        <v>220130</v>
      </c>
      <c r="J17" s="347"/>
      <c r="K17" s="351"/>
      <c r="L17" s="232">
        <v>4546524</v>
      </c>
      <c r="M17" s="343"/>
      <c r="N17" s="346"/>
      <c r="O17" s="86">
        <f t="shared" si="0"/>
        <v>0.62872461882604391</v>
      </c>
      <c r="P17" s="344"/>
      <c r="Q17" s="345"/>
      <c r="R17" s="233">
        <v>985534.25883870991</v>
      </c>
      <c r="S17" s="343"/>
      <c r="T17" s="346"/>
      <c r="U17" s="86">
        <f t="shared" si="1"/>
        <v>0.13628645779245324</v>
      </c>
      <c r="V17" s="344"/>
      <c r="W17" s="345"/>
    </row>
    <row r="18" spans="2:23">
      <c r="B18" s="350"/>
      <c r="C18" s="350"/>
      <c r="D18" s="82">
        <v>45883</v>
      </c>
      <c r="E18" s="82" t="s">
        <v>161</v>
      </c>
      <c r="F18" s="232">
        <v>7037093</v>
      </c>
      <c r="G18" s="343"/>
      <c r="H18" s="346"/>
      <c r="I18" s="312">
        <v>214387</v>
      </c>
      <c r="J18" s="347"/>
      <c r="K18" s="351"/>
      <c r="L18" s="232">
        <v>4629818</v>
      </c>
      <c r="M18" s="343"/>
      <c r="N18" s="346"/>
      <c r="O18" s="86">
        <f t="shared" si="0"/>
        <v>0.65791627309742817</v>
      </c>
      <c r="P18" s="344"/>
      <c r="Q18" s="345"/>
      <c r="R18" s="233">
        <v>991055.77083870978</v>
      </c>
      <c r="S18" s="343"/>
      <c r="T18" s="346"/>
      <c r="U18" s="86">
        <f t="shared" si="1"/>
        <v>0.14083312112525864</v>
      </c>
      <c r="V18" s="344"/>
      <c r="W18" s="345"/>
    </row>
    <row r="19" spans="2:23">
      <c r="B19" s="350"/>
      <c r="C19" s="350"/>
      <c r="D19" s="82">
        <v>45884</v>
      </c>
      <c r="E19" s="82" t="s">
        <v>156</v>
      </c>
      <c r="F19" s="232">
        <v>6388038</v>
      </c>
      <c r="G19" s="343"/>
      <c r="H19" s="346"/>
      <c r="I19" s="312">
        <v>194099</v>
      </c>
      <c r="J19" s="347"/>
      <c r="K19" s="351"/>
      <c r="L19" s="232">
        <v>4187375</v>
      </c>
      <c r="M19" s="343"/>
      <c r="N19" s="346"/>
      <c r="O19" s="86">
        <f t="shared" si="0"/>
        <v>0.65550251892678157</v>
      </c>
      <c r="P19" s="344"/>
      <c r="Q19" s="345"/>
      <c r="R19" s="233">
        <v>982289.15483870998</v>
      </c>
      <c r="S19" s="343"/>
      <c r="T19" s="346"/>
      <c r="U19" s="86">
        <f t="shared" si="1"/>
        <v>0.15377008634555869</v>
      </c>
      <c r="V19" s="344"/>
      <c r="W19" s="345"/>
    </row>
    <row r="20" spans="2:23">
      <c r="B20" s="350"/>
      <c r="C20" s="350"/>
      <c r="D20" s="82">
        <v>45885</v>
      </c>
      <c r="E20" s="82" t="s">
        <v>157</v>
      </c>
      <c r="F20" s="232">
        <v>6365900</v>
      </c>
      <c r="G20" s="343"/>
      <c r="H20" s="346"/>
      <c r="I20" s="312">
        <v>193782</v>
      </c>
      <c r="J20" s="347"/>
      <c r="K20" s="351"/>
      <c r="L20" s="232">
        <v>4221117</v>
      </c>
      <c r="M20" s="343"/>
      <c r="N20" s="346"/>
      <c r="O20" s="86">
        <f t="shared" si="0"/>
        <v>0.66308251779010041</v>
      </c>
      <c r="P20" s="344"/>
      <c r="Q20" s="345"/>
      <c r="R20" s="233">
        <v>964177.16483870975</v>
      </c>
      <c r="S20" s="343"/>
      <c r="T20" s="346"/>
      <c r="U20" s="86">
        <f t="shared" si="1"/>
        <v>0.1514596781034433</v>
      </c>
      <c r="V20" s="344"/>
      <c r="W20" s="345"/>
    </row>
    <row r="21" spans="2:23">
      <c r="B21" s="350"/>
      <c r="C21" s="350"/>
      <c r="D21" s="82">
        <v>45886</v>
      </c>
      <c r="E21" s="82" t="s">
        <v>152</v>
      </c>
      <c r="F21" s="232">
        <v>7153920</v>
      </c>
      <c r="G21" s="343"/>
      <c r="H21" s="346"/>
      <c r="I21" s="312">
        <v>218883</v>
      </c>
      <c r="J21" s="347"/>
      <c r="K21" s="351"/>
      <c r="L21" s="232">
        <v>4622586</v>
      </c>
      <c r="M21" s="343"/>
      <c r="N21" s="346"/>
      <c r="O21" s="86">
        <f t="shared" si="0"/>
        <v>0.64616126543209873</v>
      </c>
      <c r="P21" s="344"/>
      <c r="Q21" s="345"/>
      <c r="R21" s="233">
        <v>959179.65483870986</v>
      </c>
      <c r="S21" s="343"/>
      <c r="T21" s="346"/>
      <c r="U21" s="86">
        <f t="shared" si="1"/>
        <v>0.13407749245710182</v>
      </c>
      <c r="V21" s="344"/>
      <c r="W21" s="345"/>
    </row>
    <row r="22" spans="2:23">
      <c r="B22" s="350"/>
      <c r="C22" s="350"/>
      <c r="D22" s="82">
        <v>45887</v>
      </c>
      <c r="E22" s="82" t="s">
        <v>158</v>
      </c>
      <c r="F22" s="232">
        <v>6859855</v>
      </c>
      <c r="G22" s="343"/>
      <c r="H22" s="346"/>
      <c r="I22" s="312">
        <v>214809</v>
      </c>
      <c r="J22" s="347"/>
      <c r="K22" s="351"/>
      <c r="L22" s="232">
        <v>4471625</v>
      </c>
      <c r="M22" s="343"/>
      <c r="N22" s="346"/>
      <c r="O22" s="86">
        <f t="shared" si="0"/>
        <v>0.65185415726717255</v>
      </c>
      <c r="P22" s="344"/>
      <c r="Q22" s="345"/>
      <c r="R22" s="233">
        <v>976304.98483870982</v>
      </c>
      <c r="S22" s="343"/>
      <c r="T22" s="346"/>
      <c r="U22" s="86">
        <f t="shared" si="1"/>
        <v>0.14232151916311786</v>
      </c>
      <c r="V22" s="344"/>
      <c r="W22" s="345"/>
    </row>
    <row r="23" spans="2:23">
      <c r="B23" s="349">
        <f>D31</f>
        <v>45896</v>
      </c>
      <c r="C23" s="350"/>
      <c r="D23" s="82">
        <v>45888</v>
      </c>
      <c r="E23" s="82" t="s">
        <v>159</v>
      </c>
      <c r="F23" s="232">
        <v>7669791</v>
      </c>
      <c r="G23" s="343">
        <f t="shared" ref="G23" si="14">SUM(F23:F29)</f>
        <v>48798227</v>
      </c>
      <c r="H23" s="346"/>
      <c r="I23" s="312">
        <v>237868</v>
      </c>
      <c r="J23" s="347">
        <f t="shared" ref="J23" si="15">SUM(I23:I29)</f>
        <v>1526628</v>
      </c>
      <c r="K23" s="351"/>
      <c r="L23" s="232">
        <v>5123124</v>
      </c>
      <c r="M23" s="343">
        <f t="shared" ref="M23" si="16">SUM(L23:L29)</f>
        <v>32021656</v>
      </c>
      <c r="N23" s="346"/>
      <c r="O23" s="86">
        <f t="shared" si="0"/>
        <v>0.66796135644374144</v>
      </c>
      <c r="P23" s="344">
        <f t="shared" ref="P23" si="17">M23/G23</f>
        <v>0.65620531663988535</v>
      </c>
      <c r="Q23" s="345"/>
      <c r="R23" s="233">
        <v>986490.34483870957</v>
      </c>
      <c r="S23" s="343">
        <f t="shared" ref="S23" si="18">SUM(R23:R29)</f>
        <v>6898748.8155376352</v>
      </c>
      <c r="T23" s="346"/>
      <c r="U23" s="86">
        <f t="shared" si="1"/>
        <v>0.12862023813148357</v>
      </c>
      <c r="V23" s="344">
        <f t="shared" ref="V23" si="19">S23/G23</f>
        <v>0.14137293995410191</v>
      </c>
      <c r="W23" s="345"/>
    </row>
    <row r="24" spans="2:23">
      <c r="B24" s="350"/>
      <c r="C24" s="350"/>
      <c r="D24" s="82">
        <v>45889</v>
      </c>
      <c r="E24" s="82" t="s">
        <v>160</v>
      </c>
      <c r="F24" s="232">
        <v>7361858</v>
      </c>
      <c r="G24" s="343"/>
      <c r="H24" s="346"/>
      <c r="I24" s="312">
        <v>229442</v>
      </c>
      <c r="J24" s="347"/>
      <c r="K24" s="351"/>
      <c r="L24" s="232">
        <v>4636620</v>
      </c>
      <c r="M24" s="343"/>
      <c r="N24" s="346"/>
      <c r="O24" s="86">
        <f t="shared" si="0"/>
        <v>0.62981654902879136</v>
      </c>
      <c r="P24" s="344"/>
      <c r="Q24" s="345"/>
      <c r="R24" s="233">
        <v>983128.49483870983</v>
      </c>
      <c r="S24" s="343"/>
      <c r="T24" s="346"/>
      <c r="U24" s="86">
        <f t="shared" si="1"/>
        <v>0.13354352866337679</v>
      </c>
      <c r="V24" s="344"/>
      <c r="W24" s="345"/>
    </row>
    <row r="25" spans="2:23">
      <c r="B25" s="350"/>
      <c r="C25" s="350"/>
      <c r="D25" s="82">
        <v>45890</v>
      </c>
      <c r="E25" s="82" t="s">
        <v>161</v>
      </c>
      <c r="F25" s="232">
        <v>7002876</v>
      </c>
      <c r="G25" s="343"/>
      <c r="H25" s="346"/>
      <c r="I25" s="312">
        <v>218054</v>
      </c>
      <c r="J25" s="347"/>
      <c r="K25" s="351"/>
      <c r="L25" s="232">
        <v>4532763</v>
      </c>
      <c r="M25" s="343"/>
      <c r="N25" s="346"/>
      <c r="O25" s="86">
        <f t="shared" si="0"/>
        <v>0.64727163525385856</v>
      </c>
      <c r="P25" s="344"/>
      <c r="Q25" s="345"/>
      <c r="R25" s="233">
        <v>968897.68483870965</v>
      </c>
      <c r="S25" s="343"/>
      <c r="T25" s="346"/>
      <c r="U25" s="86">
        <f t="shared" si="1"/>
        <v>0.13835710997006226</v>
      </c>
      <c r="V25" s="344"/>
      <c r="W25" s="345"/>
    </row>
    <row r="26" spans="2:23">
      <c r="B26" s="350"/>
      <c r="C26" s="350"/>
      <c r="D26" s="82">
        <v>45891</v>
      </c>
      <c r="E26" s="82" t="s">
        <v>156</v>
      </c>
      <c r="F26" s="232">
        <v>6204031</v>
      </c>
      <c r="G26" s="343"/>
      <c r="H26" s="346"/>
      <c r="I26" s="312">
        <v>195390</v>
      </c>
      <c r="J26" s="347"/>
      <c r="K26" s="351"/>
      <c r="L26" s="232">
        <v>4156769</v>
      </c>
      <c r="M26" s="343"/>
      <c r="N26" s="346"/>
      <c r="O26" s="86">
        <f t="shared" si="0"/>
        <v>0.67001099768843841</v>
      </c>
      <c r="P26" s="344"/>
      <c r="Q26" s="345"/>
      <c r="R26" s="233">
        <v>992349.54317204293</v>
      </c>
      <c r="S26" s="343"/>
      <c r="T26" s="346"/>
      <c r="U26" s="86">
        <f t="shared" si="1"/>
        <v>0.15995238308319912</v>
      </c>
      <c r="V26" s="344"/>
      <c r="W26" s="345"/>
    </row>
    <row r="27" spans="2:23">
      <c r="B27" s="350"/>
      <c r="C27" s="350"/>
      <c r="D27" s="82">
        <v>45892</v>
      </c>
      <c r="E27" s="82" t="s">
        <v>157</v>
      </c>
      <c r="F27" s="232">
        <v>6323179</v>
      </c>
      <c r="G27" s="343"/>
      <c r="H27" s="346"/>
      <c r="I27" s="312">
        <v>198181</v>
      </c>
      <c r="J27" s="347"/>
      <c r="K27" s="351"/>
      <c r="L27" s="232">
        <v>4318835</v>
      </c>
      <c r="M27" s="343"/>
      <c r="N27" s="346"/>
      <c r="O27" s="86">
        <f t="shared" si="0"/>
        <v>0.68301640677893194</v>
      </c>
      <c r="P27" s="344"/>
      <c r="Q27" s="345"/>
      <c r="R27" s="233">
        <v>990699.65817204339</v>
      </c>
      <c r="S27" s="343"/>
      <c r="T27" s="346"/>
      <c r="U27" s="86">
        <f t="shared" si="1"/>
        <v>0.15667746527056142</v>
      </c>
      <c r="V27" s="344"/>
      <c r="W27" s="345"/>
    </row>
    <row r="28" spans="2:23">
      <c r="B28" s="350"/>
      <c r="C28" s="350"/>
      <c r="D28" s="82">
        <v>45893</v>
      </c>
      <c r="E28" s="82" t="s">
        <v>152</v>
      </c>
      <c r="F28" s="232">
        <v>7218612</v>
      </c>
      <c r="G28" s="343"/>
      <c r="H28" s="346"/>
      <c r="I28" s="312">
        <v>227099</v>
      </c>
      <c r="J28" s="347"/>
      <c r="K28" s="351"/>
      <c r="L28" s="232">
        <v>4527394</v>
      </c>
      <c r="M28" s="343"/>
      <c r="N28" s="346"/>
      <c r="O28" s="86">
        <f t="shared" si="0"/>
        <v>0.62718345299622702</v>
      </c>
      <c r="P28" s="344"/>
      <c r="Q28" s="345"/>
      <c r="R28" s="233">
        <v>988981.43983871001</v>
      </c>
      <c r="S28" s="343"/>
      <c r="T28" s="346"/>
      <c r="U28" s="86">
        <f t="shared" si="1"/>
        <v>0.13700437699639625</v>
      </c>
      <c r="V28" s="344"/>
      <c r="W28" s="345"/>
    </row>
    <row r="29" spans="2:23">
      <c r="B29" s="350"/>
      <c r="C29" s="350"/>
      <c r="D29" s="82">
        <v>45894</v>
      </c>
      <c r="E29" s="82" t="s">
        <v>158</v>
      </c>
      <c r="F29" s="232">
        <v>7017880</v>
      </c>
      <c r="G29" s="343"/>
      <c r="H29" s="346"/>
      <c r="I29" s="312">
        <v>220594</v>
      </c>
      <c r="J29" s="347"/>
      <c r="K29" s="351"/>
      <c r="L29" s="232">
        <v>4726151</v>
      </c>
      <c r="M29" s="343"/>
      <c r="N29" s="346"/>
      <c r="O29" s="86">
        <f t="shared" si="0"/>
        <v>0.673444259519969</v>
      </c>
      <c r="P29" s="344"/>
      <c r="Q29" s="345"/>
      <c r="R29" s="233">
        <v>988201.64983870974</v>
      </c>
      <c r="S29" s="343"/>
      <c r="T29" s="346"/>
      <c r="U29" s="86">
        <f t="shared" si="1"/>
        <v>0.1408119902076852</v>
      </c>
      <c r="V29" s="344"/>
      <c r="W29" s="345"/>
    </row>
    <row r="30" spans="2:23">
      <c r="B30" s="349">
        <f>D38</f>
        <v>45903</v>
      </c>
      <c r="C30" s="350"/>
      <c r="D30" s="82">
        <v>45895</v>
      </c>
      <c r="E30" s="82" t="s">
        <v>159</v>
      </c>
      <c r="F30" s="232">
        <v>6875105</v>
      </c>
      <c r="G30" s="343">
        <f t="shared" ref="G30" si="20">SUM(F30:F36)</f>
        <v>39181352</v>
      </c>
      <c r="H30" s="346"/>
      <c r="I30" s="312">
        <v>215808</v>
      </c>
      <c r="J30" s="347">
        <f t="shared" ref="J30" si="21">SUM(I30:I36)</f>
        <v>1233798</v>
      </c>
      <c r="K30" s="351"/>
      <c r="L30" s="232">
        <v>4445363</v>
      </c>
      <c r="M30" s="343">
        <f t="shared" ref="M30" si="22">SUM(L30:L36)</f>
        <v>25627594</v>
      </c>
      <c r="N30" s="346"/>
      <c r="O30" s="86">
        <f t="shared" si="0"/>
        <v>0.64658837937747859</v>
      </c>
      <c r="P30" s="344">
        <f t="shared" ref="P30" si="23">M30/G30</f>
        <v>0.65407630650417581</v>
      </c>
      <c r="Q30" s="345"/>
      <c r="R30" s="233">
        <v>993229.01483870973</v>
      </c>
      <c r="S30" s="343">
        <f t="shared" ref="S30" si="24">SUM(R30:R36)</f>
        <v>5846813.6140322583</v>
      </c>
      <c r="T30" s="346"/>
      <c r="U30" s="86">
        <f t="shared" si="1"/>
        <v>0.14446746847338474</v>
      </c>
      <c r="V30" s="344">
        <f t="shared" ref="V30" si="25">S30/G30</f>
        <v>0.14922439669851767</v>
      </c>
      <c r="W30" s="345"/>
    </row>
    <row r="31" spans="2:23">
      <c r="B31" s="350"/>
      <c r="C31" s="350"/>
      <c r="D31" s="82">
        <v>45896</v>
      </c>
      <c r="E31" s="82" t="s">
        <v>160</v>
      </c>
      <c r="F31" s="232">
        <v>6713523</v>
      </c>
      <c r="G31" s="343"/>
      <c r="H31" s="346"/>
      <c r="I31" s="312">
        <v>211789</v>
      </c>
      <c r="J31" s="347"/>
      <c r="K31" s="351"/>
      <c r="L31" s="232">
        <v>4375267</v>
      </c>
      <c r="M31" s="343"/>
      <c r="N31" s="346"/>
      <c r="O31" s="86">
        <f t="shared" si="0"/>
        <v>0.65170954206904486</v>
      </c>
      <c r="P31" s="344"/>
      <c r="Q31" s="345"/>
      <c r="R31" s="233">
        <v>975476.52650537645</v>
      </c>
      <c r="S31" s="343"/>
      <c r="T31" s="346"/>
      <c r="U31" s="86">
        <f t="shared" si="1"/>
        <v>0.14530024347952281</v>
      </c>
      <c r="V31" s="344"/>
      <c r="W31" s="345"/>
    </row>
    <row r="32" spans="2:23">
      <c r="B32" s="350"/>
      <c r="C32" s="350"/>
      <c r="D32" s="82">
        <v>45897</v>
      </c>
      <c r="E32" s="82" t="s">
        <v>161</v>
      </c>
      <c r="F32" s="232">
        <v>6453701</v>
      </c>
      <c r="G32" s="343"/>
      <c r="H32" s="346"/>
      <c r="I32" s="312">
        <v>204538</v>
      </c>
      <c r="J32" s="347"/>
      <c r="K32" s="351"/>
      <c r="L32" s="232">
        <v>4275402</v>
      </c>
      <c r="M32" s="343"/>
      <c r="N32" s="346"/>
      <c r="O32" s="86">
        <f t="shared" si="0"/>
        <v>0.66247289733441328</v>
      </c>
      <c r="P32" s="344"/>
      <c r="Q32" s="345"/>
      <c r="R32" s="233">
        <v>984413.34150537651</v>
      </c>
      <c r="S32" s="343"/>
      <c r="T32" s="346"/>
      <c r="U32" s="86">
        <f t="shared" si="1"/>
        <v>0.15253469931522648</v>
      </c>
      <c r="V32" s="344"/>
      <c r="W32" s="345"/>
    </row>
    <row r="33" spans="2:23">
      <c r="B33" s="350"/>
      <c r="C33" s="350"/>
      <c r="D33" s="82">
        <v>45898</v>
      </c>
      <c r="E33" s="82" t="s">
        <v>156</v>
      </c>
      <c r="F33" s="232">
        <v>5903385</v>
      </c>
      <c r="G33" s="343"/>
      <c r="H33" s="346"/>
      <c r="I33" s="312">
        <v>187591</v>
      </c>
      <c r="J33" s="347"/>
      <c r="K33" s="351"/>
      <c r="L33" s="232">
        <v>3865422</v>
      </c>
      <c r="M33" s="343"/>
      <c r="N33" s="346"/>
      <c r="O33" s="86">
        <f t="shared" si="0"/>
        <v>0.65478060468697197</v>
      </c>
      <c r="P33" s="344"/>
      <c r="Q33" s="345"/>
      <c r="R33" s="233">
        <v>962941.29317204305</v>
      </c>
      <c r="S33" s="343"/>
      <c r="T33" s="346"/>
      <c r="U33" s="86">
        <f t="shared" si="1"/>
        <v>0.1631168038628758</v>
      </c>
      <c r="V33" s="344"/>
      <c r="W33" s="345"/>
    </row>
    <row r="34" spans="2:23">
      <c r="B34" s="350"/>
      <c r="C34" s="350"/>
      <c r="D34" s="82">
        <v>45899</v>
      </c>
      <c r="E34" s="82" t="s">
        <v>157</v>
      </c>
      <c r="F34" s="232">
        <v>6221025</v>
      </c>
      <c r="G34" s="343"/>
      <c r="H34" s="346"/>
      <c r="I34" s="312">
        <v>193659</v>
      </c>
      <c r="J34" s="347"/>
      <c r="K34" s="351"/>
      <c r="L34" s="232">
        <v>4192354</v>
      </c>
      <c r="M34" s="343"/>
      <c r="N34" s="346"/>
      <c r="O34" s="86">
        <f t="shared" si="0"/>
        <v>0.6739008443142408</v>
      </c>
      <c r="P34" s="344"/>
      <c r="Q34" s="345"/>
      <c r="R34" s="233">
        <v>950874.71317204309</v>
      </c>
      <c r="S34" s="343"/>
      <c r="T34" s="346"/>
      <c r="U34" s="86">
        <f t="shared" si="1"/>
        <v>0.15284856003183447</v>
      </c>
      <c r="V34" s="344"/>
      <c r="W34" s="345"/>
    </row>
    <row r="35" spans="2:23">
      <c r="B35" s="350"/>
      <c r="C35" s="350"/>
      <c r="D35" s="82">
        <v>45900</v>
      </c>
      <c r="E35" s="82" t="s">
        <v>152</v>
      </c>
      <c r="F35" s="232">
        <v>7014613</v>
      </c>
      <c r="G35" s="343"/>
      <c r="H35" s="346"/>
      <c r="I35" s="312">
        <v>220413</v>
      </c>
      <c r="J35" s="347"/>
      <c r="K35" s="351"/>
      <c r="L35" s="232">
        <v>4473786</v>
      </c>
      <c r="M35" s="343"/>
      <c r="N35" s="346"/>
      <c r="O35" s="86">
        <f t="shared" si="0"/>
        <v>0.63778087258698379</v>
      </c>
      <c r="P35" s="344"/>
      <c r="Q35" s="345"/>
      <c r="R35" s="233">
        <v>979878.72483870981</v>
      </c>
      <c r="S35" s="343"/>
      <c r="T35" s="346"/>
      <c r="U35" s="86">
        <f t="shared" si="1"/>
        <v>0.13969105991146052</v>
      </c>
      <c r="V35" s="344"/>
      <c r="W35" s="345"/>
    </row>
    <row r="36" spans="2:23">
      <c r="B36" s="350"/>
      <c r="D36" s="82">
        <v>45901</v>
      </c>
      <c r="E36" s="82" t="s">
        <v>158</v>
      </c>
      <c r="G36" s="343"/>
      <c r="I36" s="308"/>
      <c r="J36" s="347"/>
      <c r="K36" s="308"/>
      <c r="L36" s="83"/>
      <c r="M36" s="343"/>
      <c r="N36" s="83"/>
      <c r="O36" s="86" t="e">
        <f t="shared" si="0"/>
        <v>#DIV/0!</v>
      </c>
      <c r="P36" s="344"/>
      <c r="Q36" s="83"/>
      <c r="S36" s="343"/>
      <c r="T36" s="83"/>
      <c r="V36" s="344"/>
      <c r="W36" s="83"/>
    </row>
    <row r="37" spans="2:23">
      <c r="B37" s="350"/>
      <c r="D37" s="82">
        <v>45902</v>
      </c>
      <c r="E37" s="82" t="s">
        <v>159</v>
      </c>
      <c r="G37" s="343">
        <f t="shared" ref="G37" si="26">SUM(F37:F43)</f>
        <v>0</v>
      </c>
      <c r="J37" s="352">
        <f t="shared" ref="J37" si="27">SUM(I37:I43)</f>
        <v>0</v>
      </c>
      <c r="L37" s="83"/>
      <c r="M37" s="343">
        <f t="shared" ref="M37" si="28">SUM(L37:L43)</f>
        <v>0</v>
      </c>
      <c r="N37" s="83"/>
      <c r="O37" s="86" t="e">
        <f t="shared" si="0"/>
        <v>#DIV/0!</v>
      </c>
      <c r="P37" s="344" t="e">
        <f t="shared" ref="P37" si="29">M37/G37</f>
        <v>#DIV/0!</v>
      </c>
      <c r="Q37" s="83"/>
      <c r="S37" s="343">
        <f t="shared" ref="S37" si="30">SUM(R37:R43)</f>
        <v>0</v>
      </c>
      <c r="T37" s="83"/>
      <c r="V37" s="344">
        <f t="shared" ref="V37" si="31">SUM(U37:U43)</f>
        <v>0</v>
      </c>
      <c r="W37" s="83"/>
    </row>
    <row r="38" spans="2:23">
      <c r="B38" s="350"/>
      <c r="D38" s="82">
        <v>45903</v>
      </c>
      <c r="E38" s="82" t="s">
        <v>160</v>
      </c>
      <c r="G38" s="343"/>
      <c r="J38" s="352"/>
      <c r="L38" s="83"/>
      <c r="M38" s="343"/>
      <c r="N38" s="83"/>
      <c r="O38" s="86" t="e">
        <f t="shared" si="0"/>
        <v>#DIV/0!</v>
      </c>
      <c r="P38" s="344"/>
      <c r="Q38" s="83"/>
      <c r="S38" s="343"/>
      <c r="T38" s="83"/>
      <c r="V38" s="344"/>
      <c r="W38" s="83"/>
    </row>
    <row r="39" spans="2:23">
      <c r="B39" s="350"/>
      <c r="D39" s="82">
        <v>45904</v>
      </c>
      <c r="E39" s="82" t="s">
        <v>161</v>
      </c>
      <c r="G39" s="343"/>
      <c r="J39" s="352"/>
      <c r="L39" s="83"/>
      <c r="M39" s="343"/>
      <c r="N39" s="83"/>
      <c r="O39" s="86" t="e">
        <f t="shared" ref="O39:O42" si="32">L39/F39</f>
        <v>#DIV/0!</v>
      </c>
      <c r="P39" s="344"/>
      <c r="Q39" s="83"/>
      <c r="S39" s="343"/>
      <c r="T39" s="83"/>
      <c r="V39" s="344"/>
      <c r="W39" s="83"/>
    </row>
    <row r="40" spans="2:23">
      <c r="B40" s="350"/>
      <c r="D40" s="82">
        <v>45905</v>
      </c>
      <c r="E40" s="82" t="s">
        <v>156</v>
      </c>
      <c r="G40" s="343"/>
      <c r="J40" s="352"/>
      <c r="L40" s="83"/>
      <c r="M40" s="343"/>
      <c r="N40" s="83"/>
      <c r="O40" s="86" t="e">
        <f t="shared" si="32"/>
        <v>#DIV/0!</v>
      </c>
      <c r="P40" s="344"/>
      <c r="Q40" s="83"/>
      <c r="S40" s="343"/>
      <c r="T40" s="83"/>
      <c r="V40" s="344"/>
      <c r="W40" s="83"/>
    </row>
    <row r="41" spans="2:23">
      <c r="B41" s="350"/>
      <c r="D41" s="82">
        <v>45906</v>
      </c>
      <c r="E41" s="82" t="s">
        <v>157</v>
      </c>
      <c r="G41" s="343"/>
      <c r="J41" s="352"/>
      <c r="L41" s="83"/>
      <c r="M41" s="343"/>
      <c r="N41" s="83"/>
      <c r="O41" s="86" t="e">
        <f t="shared" si="32"/>
        <v>#DIV/0!</v>
      </c>
      <c r="P41" s="344"/>
      <c r="Q41" s="83"/>
      <c r="S41" s="343"/>
      <c r="T41" s="83"/>
      <c r="V41" s="344"/>
      <c r="W41" s="83"/>
    </row>
    <row r="42" spans="2:23">
      <c r="B42" s="350"/>
      <c r="D42" s="82">
        <v>45907</v>
      </c>
      <c r="E42" s="82" t="s">
        <v>152</v>
      </c>
      <c r="G42" s="343"/>
      <c r="J42" s="352"/>
      <c r="L42" s="83"/>
      <c r="M42" s="343"/>
      <c r="N42" s="83"/>
      <c r="O42" s="86" t="e">
        <f t="shared" si="32"/>
        <v>#DIV/0!</v>
      </c>
      <c r="P42" s="344"/>
      <c r="Q42" s="83"/>
      <c r="S42" s="343"/>
      <c r="T42" s="83"/>
      <c r="V42" s="344"/>
      <c r="W42" s="83"/>
    </row>
    <row r="43" spans="2:23">
      <c r="B43" s="350"/>
      <c r="D43" s="82">
        <v>45908</v>
      </c>
      <c r="E43" s="82" t="s">
        <v>158</v>
      </c>
      <c r="G43" s="343"/>
      <c r="J43" s="352"/>
      <c r="L43" s="83"/>
      <c r="M43" s="343"/>
      <c r="N43" s="83"/>
      <c r="O43" s="86" t="e">
        <f>L43/F43</f>
        <v>#DIV/0!</v>
      </c>
      <c r="P43" s="344"/>
      <c r="Q43" s="83"/>
      <c r="S43" s="343"/>
      <c r="T43" s="83"/>
      <c r="V43" s="344"/>
      <c r="W43" s="83"/>
    </row>
  </sheetData>
  <mergeCells count="58"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J16:J22"/>
    <mergeCell ref="J23:J29"/>
    <mergeCell ref="J30:J36"/>
    <mergeCell ref="M37:M4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M30:M36"/>
    <mergeCell ref="V37:V43"/>
    <mergeCell ref="V5:V8"/>
    <mergeCell ref="W5:W35"/>
    <mergeCell ref="V9:V15"/>
    <mergeCell ref="V16:V22"/>
    <mergeCell ref="V23:V29"/>
    <mergeCell ref="V30:V36"/>
    <mergeCell ref="P37:P43"/>
    <mergeCell ref="S5:S8"/>
    <mergeCell ref="T5:T35"/>
    <mergeCell ref="S9:S15"/>
    <mergeCell ref="S16:S22"/>
    <mergeCell ref="S23:S29"/>
    <mergeCell ref="S30:S36"/>
    <mergeCell ref="S37:S4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3"/>
  <sheetViews>
    <sheetView zoomScale="75" zoomScaleNormal="75" workbookViewId="0">
      <pane xSplit="5" ySplit="4" topLeftCell="F5" activePane="bottomRight" state="frozen"/>
      <selection pane="bottomRight" activeCell="K44" sqref="K44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162</v>
      </c>
      <c r="C1" s="75">
        <v>366</v>
      </c>
    </row>
    <row r="2" spans="2:23" ht="38.1" customHeight="1">
      <c r="B2" s="353" t="s">
        <v>163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</row>
    <row r="3" spans="2:23" s="71" customFormat="1" ht="23.45" customHeight="1">
      <c r="B3" s="357" t="s">
        <v>143</v>
      </c>
      <c r="C3" s="358" t="s">
        <v>144</v>
      </c>
      <c r="D3" s="359" t="s">
        <v>145</v>
      </c>
      <c r="E3" s="359"/>
      <c r="F3" s="365" t="s">
        <v>164</v>
      </c>
      <c r="G3" s="365"/>
      <c r="H3" s="365"/>
      <c r="I3" s="366" t="s">
        <v>165</v>
      </c>
      <c r="J3" s="366"/>
      <c r="K3" s="366"/>
      <c r="L3" s="362" t="s">
        <v>166</v>
      </c>
      <c r="M3" s="362"/>
      <c r="N3" s="362"/>
      <c r="O3" s="362" t="s">
        <v>167</v>
      </c>
      <c r="P3" s="362"/>
      <c r="Q3" s="362"/>
      <c r="R3" s="362" t="s">
        <v>168</v>
      </c>
      <c r="S3" s="362"/>
      <c r="T3" s="362"/>
      <c r="U3" s="362" t="s">
        <v>169</v>
      </c>
      <c r="V3" s="362"/>
      <c r="W3" s="362"/>
    </row>
    <row r="4" spans="2:23" ht="15.75">
      <c r="B4" s="357"/>
      <c r="C4" s="358"/>
      <c r="D4" s="359"/>
      <c r="E4" s="359"/>
      <c r="F4" s="81" t="s">
        <v>152</v>
      </c>
      <c r="G4" s="92" t="s">
        <v>170</v>
      </c>
      <c r="H4" s="92" t="s">
        <v>171</v>
      </c>
      <c r="I4" s="81" t="s">
        <v>152</v>
      </c>
      <c r="J4" s="91" t="s">
        <v>170</v>
      </c>
      <c r="K4" s="91" t="s">
        <v>171</v>
      </c>
      <c r="L4" s="81" t="s">
        <v>152</v>
      </c>
      <c r="M4" s="91" t="s">
        <v>170</v>
      </c>
      <c r="N4" s="91" t="s">
        <v>171</v>
      </c>
      <c r="O4" s="81" t="s">
        <v>152</v>
      </c>
      <c r="P4" s="91" t="s">
        <v>170</v>
      </c>
      <c r="Q4" s="91" t="s">
        <v>171</v>
      </c>
      <c r="R4" s="81" t="s">
        <v>152</v>
      </c>
      <c r="S4" s="91" t="s">
        <v>170</v>
      </c>
      <c r="T4" s="91" t="s">
        <v>171</v>
      </c>
      <c r="U4" s="81" t="s">
        <v>152</v>
      </c>
      <c r="V4" s="91" t="s">
        <v>170</v>
      </c>
      <c r="W4" s="91" t="s">
        <v>171</v>
      </c>
    </row>
    <row r="5" spans="2:23" ht="14.45" customHeight="1">
      <c r="B5" s="349">
        <f>D17</f>
        <v>45882</v>
      </c>
      <c r="C5" s="350" t="s">
        <v>155</v>
      </c>
      <c r="D5" s="82">
        <v>45870</v>
      </c>
      <c r="E5" s="82" t="s">
        <v>156</v>
      </c>
      <c r="F5" s="231">
        <v>323.2</v>
      </c>
      <c r="G5" s="367">
        <f>AVERAGE(F5:F8)</f>
        <v>323.2</v>
      </c>
      <c r="H5" s="367">
        <f>AVERAGE(F5:F35)</f>
        <v>331.32088360675885</v>
      </c>
      <c r="I5" s="86">
        <f>F5/$C$1</f>
        <v>0.88306010928961742</v>
      </c>
      <c r="J5" s="361">
        <f>AVERAGE(I5:I8)</f>
        <v>0.88306010928961742</v>
      </c>
      <c r="K5" s="361">
        <f>AVERAGE(I5:I35)</f>
        <v>0.90524831586546117</v>
      </c>
      <c r="L5" s="254">
        <v>2.5117077271316081E-3</v>
      </c>
      <c r="M5" s="363">
        <f>AVERAGE(L5:L8)</f>
        <v>2.4983246640007005E-3</v>
      </c>
      <c r="N5" s="363">
        <f>AVERAGE(L5:L35)</f>
        <v>2.4946244239327812E-3</v>
      </c>
      <c r="O5" s="254">
        <v>2.9999029555972303E-3</v>
      </c>
      <c r="P5" s="363">
        <f>AVERAGE(O5:O8)</f>
        <v>2.5091066956805623E-3</v>
      </c>
      <c r="Q5" s="363">
        <f>AVERAGE(O5:O35)</f>
        <v>2.3789152192140828E-3</v>
      </c>
      <c r="R5" s="234">
        <f>11/12</f>
        <v>0.91666666666666663</v>
      </c>
      <c r="S5" s="361">
        <f>AVERAGE(R5:R8)</f>
        <v>0.91666666666666663</v>
      </c>
      <c r="T5" s="361">
        <f>AVERAGE(R5:R35)</f>
        <v>0.91666666666666707</v>
      </c>
      <c r="U5" s="234">
        <v>0.62</v>
      </c>
      <c r="V5" s="361">
        <f>AVERAGE(U5:U8)</f>
        <v>0.625</v>
      </c>
      <c r="W5" s="361">
        <f>AVERAGE(U5:U35)</f>
        <v>0.67912903225806442</v>
      </c>
    </row>
    <row r="6" spans="2:23" ht="14.45" customHeight="1">
      <c r="B6" s="350"/>
      <c r="C6" s="350"/>
      <c r="D6" s="82">
        <v>45871</v>
      </c>
      <c r="E6" s="82" t="s">
        <v>157</v>
      </c>
      <c r="F6" s="231">
        <v>319.2</v>
      </c>
      <c r="G6" s="367"/>
      <c r="H6" s="367"/>
      <c r="I6" s="86">
        <f t="shared" ref="I6:I35" si="0">F6/$C$1</f>
        <v>0.87213114754098353</v>
      </c>
      <c r="J6" s="361"/>
      <c r="K6" s="361"/>
      <c r="L6" s="254">
        <v>2.4685920150571638E-3</v>
      </c>
      <c r="M6" s="363"/>
      <c r="N6" s="363"/>
      <c r="O6" s="254">
        <v>2.8443956385151106E-3</v>
      </c>
      <c r="P6" s="363"/>
      <c r="Q6" s="363"/>
      <c r="R6" s="234">
        <f t="shared" ref="R6:R35" si="1">11/12</f>
        <v>0.91666666666666663</v>
      </c>
      <c r="S6" s="361"/>
      <c r="T6" s="361"/>
      <c r="U6" s="234">
        <v>0.62</v>
      </c>
      <c r="V6" s="361"/>
      <c r="W6" s="361"/>
    </row>
    <row r="7" spans="2:23" ht="14.45" customHeight="1">
      <c r="B7" s="350"/>
      <c r="C7" s="350"/>
      <c r="D7" s="82">
        <v>45872</v>
      </c>
      <c r="E7" s="82" t="s">
        <v>152</v>
      </c>
      <c r="F7" s="231">
        <v>320.89999999999998</v>
      </c>
      <c r="G7" s="367"/>
      <c r="H7" s="367"/>
      <c r="I7" s="86">
        <f t="shared" si="0"/>
        <v>0.87677595628415295</v>
      </c>
      <c r="J7" s="361"/>
      <c r="K7" s="361"/>
      <c r="L7" s="254">
        <v>2.4820518218545804E-3</v>
      </c>
      <c r="M7" s="363"/>
      <c r="N7" s="363"/>
      <c r="O7" s="254">
        <v>2.1361567040387758E-3</v>
      </c>
      <c r="P7" s="363"/>
      <c r="Q7" s="363"/>
      <c r="R7" s="234">
        <f t="shared" si="1"/>
        <v>0.91666666666666663</v>
      </c>
      <c r="S7" s="361"/>
      <c r="T7" s="361"/>
      <c r="U7" s="234">
        <v>0.63</v>
      </c>
      <c r="V7" s="361"/>
      <c r="W7" s="361"/>
    </row>
    <row r="8" spans="2:23" ht="14.45" customHeight="1">
      <c r="B8" s="350"/>
      <c r="C8" s="350"/>
      <c r="D8" s="82">
        <v>45873</v>
      </c>
      <c r="E8" s="82" t="s">
        <v>158</v>
      </c>
      <c r="F8" s="231">
        <v>329.5</v>
      </c>
      <c r="G8" s="367"/>
      <c r="H8" s="367"/>
      <c r="I8" s="86">
        <f t="shared" si="0"/>
        <v>0.90027322404371579</v>
      </c>
      <c r="J8" s="361"/>
      <c r="K8" s="361"/>
      <c r="L8" s="254">
        <v>2.5309470919594487E-3</v>
      </c>
      <c r="M8" s="363"/>
      <c r="N8" s="363"/>
      <c r="O8" s="254">
        <v>2.0559714845711338E-3</v>
      </c>
      <c r="P8" s="363"/>
      <c r="Q8" s="363"/>
      <c r="R8" s="234">
        <f t="shared" si="1"/>
        <v>0.91666666666666663</v>
      </c>
      <c r="S8" s="361"/>
      <c r="T8" s="361"/>
      <c r="U8" s="234">
        <v>0.63</v>
      </c>
      <c r="V8" s="361"/>
      <c r="W8" s="361"/>
    </row>
    <row r="9" spans="2:23" ht="14.45" customHeight="1">
      <c r="B9" s="350"/>
      <c r="C9" s="350"/>
      <c r="D9" s="82">
        <v>45874</v>
      </c>
      <c r="E9" s="82" t="s">
        <v>159</v>
      </c>
      <c r="F9" s="231">
        <v>330.6</v>
      </c>
      <c r="G9" s="367">
        <f t="shared" ref="G9" si="2">AVERAGE(F9:F15)</f>
        <v>328.97142857142859</v>
      </c>
      <c r="H9" s="367"/>
      <c r="I9" s="86">
        <f t="shared" si="0"/>
        <v>0.90327868852459026</v>
      </c>
      <c r="J9" s="361">
        <f t="shared" ref="J9" si="3">AVERAGE(I9:I15)</f>
        <v>0.89882903981264639</v>
      </c>
      <c r="K9" s="361"/>
      <c r="L9" s="254">
        <v>2.4806625932654518E-3</v>
      </c>
      <c r="M9" s="363">
        <f t="shared" ref="M9" si="4">AVERAGE(L9:L15)</f>
        <v>2.5106738477247937E-3</v>
      </c>
      <c r="N9" s="363"/>
      <c r="O9" s="254">
        <v>2.0747828046030082E-3</v>
      </c>
      <c r="P9" s="363">
        <f t="shared" ref="P9" si="5">AVERAGE(O9:O15)</f>
        <v>2.4001339060407659E-3</v>
      </c>
      <c r="Q9" s="363"/>
      <c r="R9" s="234">
        <f t="shared" si="1"/>
        <v>0.91666666666666663</v>
      </c>
      <c r="S9" s="361">
        <f t="shared" ref="S9" si="6">AVERAGE(R9:R15)</f>
        <v>0.91666666666666674</v>
      </c>
      <c r="T9" s="361"/>
      <c r="U9" s="234">
        <v>0.63500000000000001</v>
      </c>
      <c r="V9" s="361">
        <f t="shared" ref="V9" si="7">AVERAGE(U9:U15)</f>
        <v>0.66</v>
      </c>
      <c r="W9" s="361"/>
    </row>
    <row r="10" spans="2:23" ht="14.45" customHeight="1">
      <c r="B10" s="350"/>
      <c r="C10" s="350"/>
      <c r="D10" s="82">
        <v>45875</v>
      </c>
      <c r="E10" s="82" t="s">
        <v>160</v>
      </c>
      <c r="F10" s="231">
        <v>329.4</v>
      </c>
      <c r="G10" s="367"/>
      <c r="H10" s="367"/>
      <c r="I10" s="86">
        <f t="shared" si="0"/>
        <v>0.89999999999999991</v>
      </c>
      <c r="J10" s="361"/>
      <c r="K10" s="361"/>
      <c r="L10" s="254">
        <v>2.4885302923924367E-3</v>
      </c>
      <c r="M10" s="363"/>
      <c r="N10" s="363"/>
      <c r="O10" s="254">
        <v>2.4893284580282398E-3</v>
      </c>
      <c r="P10" s="363"/>
      <c r="Q10" s="363"/>
      <c r="R10" s="234">
        <f t="shared" si="1"/>
        <v>0.91666666666666663</v>
      </c>
      <c r="S10" s="361"/>
      <c r="T10" s="361"/>
      <c r="U10" s="234">
        <v>0.65</v>
      </c>
      <c r="V10" s="361"/>
      <c r="W10" s="361"/>
    </row>
    <row r="11" spans="2:23" ht="14.45" customHeight="1">
      <c r="B11" s="350"/>
      <c r="C11" s="350"/>
      <c r="D11" s="82">
        <v>45876</v>
      </c>
      <c r="E11" s="82" t="s">
        <v>161</v>
      </c>
      <c r="F11" s="231">
        <v>331.8</v>
      </c>
      <c r="G11" s="367"/>
      <c r="H11" s="367"/>
      <c r="I11" s="86">
        <f t="shared" si="0"/>
        <v>0.90655737704918038</v>
      </c>
      <c r="J11" s="361"/>
      <c r="K11" s="361"/>
      <c r="L11" s="254">
        <v>2.5113289647596946E-3</v>
      </c>
      <c r="M11" s="363"/>
      <c r="N11" s="363"/>
      <c r="O11" s="254">
        <v>2.2021475903007178E-3</v>
      </c>
      <c r="P11" s="363"/>
      <c r="Q11" s="363"/>
      <c r="R11" s="234">
        <f t="shared" si="1"/>
        <v>0.91666666666666663</v>
      </c>
      <c r="S11" s="361"/>
      <c r="T11" s="361"/>
      <c r="U11" s="234">
        <v>0.66</v>
      </c>
      <c r="V11" s="361"/>
      <c r="W11" s="361"/>
    </row>
    <row r="12" spans="2:23" ht="14.45" customHeight="1">
      <c r="B12" s="350"/>
      <c r="C12" s="350"/>
      <c r="D12" s="82">
        <v>45877</v>
      </c>
      <c r="E12" s="82" t="s">
        <v>156</v>
      </c>
      <c r="F12" s="231">
        <v>327.60000000000002</v>
      </c>
      <c r="G12" s="367"/>
      <c r="H12" s="367"/>
      <c r="I12" s="86">
        <f t="shared" si="0"/>
        <v>0.89508196721311484</v>
      </c>
      <c r="J12" s="361"/>
      <c r="K12" s="361"/>
      <c r="L12" s="254">
        <v>2.5100673356218644E-3</v>
      </c>
      <c r="M12" s="363"/>
      <c r="N12" s="363"/>
      <c r="O12" s="254">
        <v>2.6764288757048409E-3</v>
      </c>
      <c r="P12" s="363"/>
      <c r="Q12" s="363"/>
      <c r="R12" s="234">
        <f t="shared" si="1"/>
        <v>0.91666666666666663</v>
      </c>
      <c r="S12" s="361"/>
      <c r="T12" s="361"/>
      <c r="U12" s="234">
        <v>0.66</v>
      </c>
      <c r="V12" s="361"/>
      <c r="W12" s="361"/>
    </row>
    <row r="13" spans="2:23" ht="14.45" customHeight="1">
      <c r="B13" s="350"/>
      <c r="C13" s="350"/>
      <c r="D13" s="82">
        <v>45878</v>
      </c>
      <c r="E13" s="82" t="s">
        <v>157</v>
      </c>
      <c r="F13" s="231">
        <v>327</v>
      </c>
      <c r="G13" s="367"/>
      <c r="H13" s="367"/>
      <c r="I13" s="86">
        <f t="shared" si="0"/>
        <v>0.89344262295081966</v>
      </c>
      <c r="J13" s="361"/>
      <c r="K13" s="361"/>
      <c r="L13" s="254">
        <v>2.5210535473312928E-3</v>
      </c>
      <c r="M13" s="363"/>
      <c r="N13" s="363"/>
      <c r="O13" s="254">
        <v>2.8191052502865941E-3</v>
      </c>
      <c r="P13" s="363"/>
      <c r="Q13" s="363"/>
      <c r="R13" s="234">
        <f t="shared" si="1"/>
        <v>0.91666666666666663</v>
      </c>
      <c r="S13" s="361"/>
      <c r="T13" s="361"/>
      <c r="U13" s="234">
        <v>0.67</v>
      </c>
      <c r="V13" s="361"/>
      <c r="W13" s="361"/>
    </row>
    <row r="14" spans="2:23" ht="14.45" customHeight="1">
      <c r="B14" s="350"/>
      <c r="C14" s="350"/>
      <c r="D14" s="82">
        <v>45879</v>
      </c>
      <c r="E14" s="82" t="s">
        <v>152</v>
      </c>
      <c r="F14" s="231">
        <v>330.9</v>
      </c>
      <c r="G14" s="367"/>
      <c r="H14" s="367"/>
      <c r="I14" s="86">
        <f t="shared" si="0"/>
        <v>0.90409836065573768</v>
      </c>
      <c r="J14" s="361"/>
      <c r="K14" s="361"/>
      <c r="L14" s="254">
        <v>2.5324775667173323E-3</v>
      </c>
      <c r="M14" s="363"/>
      <c r="N14" s="363"/>
      <c r="O14" s="254">
        <v>2.2019356162318198E-3</v>
      </c>
      <c r="P14" s="363"/>
      <c r="Q14" s="363"/>
      <c r="R14" s="234">
        <f t="shared" si="1"/>
        <v>0.91666666666666663</v>
      </c>
      <c r="S14" s="361"/>
      <c r="T14" s="361"/>
      <c r="U14" s="234">
        <v>0.67</v>
      </c>
      <c r="V14" s="361"/>
      <c r="W14" s="361"/>
    </row>
    <row r="15" spans="2:23" ht="14.45" customHeight="1">
      <c r="B15" s="350"/>
      <c r="C15" s="350"/>
      <c r="D15" s="82">
        <v>45880</v>
      </c>
      <c r="E15" s="82" t="s">
        <v>158</v>
      </c>
      <c r="F15" s="231">
        <v>325.5</v>
      </c>
      <c r="G15" s="367"/>
      <c r="H15" s="367"/>
      <c r="I15" s="86">
        <f t="shared" si="0"/>
        <v>0.88934426229508201</v>
      </c>
      <c r="J15" s="361"/>
      <c r="K15" s="361"/>
      <c r="L15" s="254">
        <v>2.5305966339854826E-3</v>
      </c>
      <c r="M15" s="363"/>
      <c r="N15" s="363"/>
      <c r="O15" s="254">
        <v>2.3372087471301428E-3</v>
      </c>
      <c r="P15" s="363"/>
      <c r="Q15" s="363"/>
      <c r="R15" s="234">
        <f t="shared" si="1"/>
        <v>0.91666666666666663</v>
      </c>
      <c r="S15" s="361"/>
      <c r="T15" s="361"/>
      <c r="U15" s="234">
        <v>0.67500000000000004</v>
      </c>
      <c r="V15" s="361"/>
      <c r="W15" s="361"/>
    </row>
    <row r="16" spans="2:23" ht="14.45" customHeight="1">
      <c r="B16" s="349">
        <f>D24</f>
        <v>45889</v>
      </c>
      <c r="C16" s="350"/>
      <c r="D16" s="82">
        <v>45881</v>
      </c>
      <c r="E16" s="82" t="s">
        <v>159</v>
      </c>
      <c r="F16" s="231">
        <v>326.10000000000002</v>
      </c>
      <c r="G16" s="367">
        <f t="shared" ref="G16" si="8">AVERAGE(F16:F22)</f>
        <v>328.34285714285716</v>
      </c>
      <c r="H16" s="367"/>
      <c r="I16" s="86">
        <f t="shared" si="0"/>
        <v>0.89098360655737707</v>
      </c>
      <c r="J16" s="361">
        <f t="shared" ref="J16" si="9">AVERAGE(I16:I22)</f>
        <v>0.89711163153786111</v>
      </c>
      <c r="K16" s="361"/>
      <c r="L16" s="254">
        <v>2.4798229866840838E-3</v>
      </c>
      <c r="M16" s="344">
        <f t="shared" ref="M16" si="10">AVERAGE(L16:L22)</f>
        <v>2.5138479410593928E-3</v>
      </c>
      <c r="N16" s="363"/>
      <c r="O16" s="254">
        <v>2.2799123965810222E-3</v>
      </c>
      <c r="P16" s="344">
        <f t="shared" ref="P16" si="11">AVERAGE(O16:O22)</f>
        <v>2.4171057083686664E-3</v>
      </c>
      <c r="Q16" s="363"/>
      <c r="R16" s="234">
        <f t="shared" si="1"/>
        <v>0.91666666666666663</v>
      </c>
      <c r="S16" s="361">
        <f t="shared" ref="S16" si="12">AVERAGE(R16:R22)</f>
        <v>0.91666666666666674</v>
      </c>
      <c r="T16" s="361"/>
      <c r="U16" s="234">
        <v>0.68</v>
      </c>
      <c r="V16" s="361">
        <f t="shared" ref="V16" si="13">AVERAGE(U16:U22)</f>
        <v>0.68571428571428561</v>
      </c>
      <c r="W16" s="361"/>
    </row>
    <row r="17" spans="2:23" ht="14.45" customHeight="1">
      <c r="B17" s="350"/>
      <c r="C17" s="350"/>
      <c r="D17" s="82">
        <v>45882</v>
      </c>
      <c r="E17" s="82" t="s">
        <v>160</v>
      </c>
      <c r="F17" s="231">
        <v>331.8</v>
      </c>
      <c r="G17" s="367"/>
      <c r="H17" s="367"/>
      <c r="I17" s="86">
        <f t="shared" si="0"/>
        <v>0.90655737704918038</v>
      </c>
      <c r="J17" s="361"/>
      <c r="K17" s="361"/>
      <c r="L17" s="254">
        <v>2.4907160644154066E-3</v>
      </c>
      <c r="M17" s="344"/>
      <c r="N17" s="363"/>
      <c r="O17" s="254">
        <v>2.4630926182928267E-3</v>
      </c>
      <c r="P17" s="344"/>
      <c r="Q17" s="363"/>
      <c r="R17" s="234">
        <f t="shared" si="1"/>
        <v>0.91666666666666663</v>
      </c>
      <c r="S17" s="361"/>
      <c r="T17" s="361"/>
      <c r="U17" s="234">
        <v>0.68</v>
      </c>
      <c r="V17" s="361"/>
      <c r="W17" s="361"/>
    </row>
    <row r="18" spans="2:23" ht="14.45" customHeight="1">
      <c r="B18" s="350"/>
      <c r="C18" s="350"/>
      <c r="D18" s="82">
        <v>45883</v>
      </c>
      <c r="E18" s="82" t="s">
        <v>161</v>
      </c>
      <c r="F18" s="231">
        <v>326.60000000000002</v>
      </c>
      <c r="G18" s="367"/>
      <c r="H18" s="367"/>
      <c r="I18" s="86">
        <f t="shared" si="0"/>
        <v>0.89234972677595636</v>
      </c>
      <c r="J18" s="361"/>
      <c r="K18" s="361"/>
      <c r="L18" s="254">
        <v>2.5108283167224947E-3</v>
      </c>
      <c r="M18" s="344"/>
      <c r="N18" s="363"/>
      <c r="O18" s="254">
        <v>2.4725460279713223E-3</v>
      </c>
      <c r="P18" s="344"/>
      <c r="Q18" s="363"/>
      <c r="R18" s="234">
        <f t="shared" si="1"/>
        <v>0.91666666666666663</v>
      </c>
      <c r="S18" s="361"/>
      <c r="T18" s="361"/>
      <c r="U18" s="234">
        <v>0.68</v>
      </c>
      <c r="V18" s="361"/>
      <c r="W18" s="361"/>
    </row>
    <row r="19" spans="2:23" ht="14.45" customHeight="1">
      <c r="B19" s="350"/>
      <c r="C19" s="350"/>
      <c r="D19" s="82">
        <v>45884</v>
      </c>
      <c r="E19" s="82" t="s">
        <v>156</v>
      </c>
      <c r="F19" s="231">
        <v>332.3</v>
      </c>
      <c r="G19" s="367"/>
      <c r="H19" s="367"/>
      <c r="I19" s="86">
        <f t="shared" si="0"/>
        <v>0.90792349726775956</v>
      </c>
      <c r="J19" s="361"/>
      <c r="K19" s="361"/>
      <c r="L19" s="254">
        <v>2.5132368126377044E-3</v>
      </c>
      <c r="M19" s="344"/>
      <c r="N19" s="363"/>
      <c r="O19" s="254">
        <v>2.5667443590815494E-3</v>
      </c>
      <c r="P19" s="344"/>
      <c r="Q19" s="363"/>
      <c r="R19" s="234">
        <f t="shared" si="1"/>
        <v>0.91666666666666663</v>
      </c>
      <c r="S19" s="361"/>
      <c r="T19" s="361"/>
      <c r="U19" s="234">
        <v>0.69</v>
      </c>
      <c r="V19" s="361"/>
      <c r="W19" s="361"/>
    </row>
    <row r="20" spans="2:23" ht="14.45" customHeight="1">
      <c r="B20" s="350"/>
      <c r="C20" s="350"/>
      <c r="D20" s="82">
        <v>45885</v>
      </c>
      <c r="E20" s="82" t="s">
        <v>157</v>
      </c>
      <c r="F20" s="231">
        <v>325.60000000000002</v>
      </c>
      <c r="G20" s="367"/>
      <c r="H20" s="367"/>
      <c r="I20" s="86">
        <f t="shared" si="0"/>
        <v>0.88961748633879789</v>
      </c>
      <c r="J20" s="361"/>
      <c r="K20" s="361"/>
      <c r="L20" s="254">
        <v>2.5209124465846262E-3</v>
      </c>
      <c r="M20" s="344"/>
      <c r="N20" s="363"/>
      <c r="O20" s="254">
        <v>2.5104200192042057E-3</v>
      </c>
      <c r="P20" s="344"/>
      <c r="Q20" s="363"/>
      <c r="R20" s="234">
        <f t="shared" si="1"/>
        <v>0.91666666666666663</v>
      </c>
      <c r="S20" s="361"/>
      <c r="T20" s="361"/>
      <c r="U20" s="234">
        <v>0.69</v>
      </c>
      <c r="V20" s="361"/>
      <c r="W20" s="361"/>
    </row>
    <row r="21" spans="2:23" ht="14.45" customHeight="1">
      <c r="B21" s="350"/>
      <c r="C21" s="350"/>
      <c r="D21" s="82">
        <v>45886</v>
      </c>
      <c r="E21" s="82" t="s">
        <v>152</v>
      </c>
      <c r="F21" s="231">
        <v>327.60000000000002</v>
      </c>
      <c r="G21" s="367"/>
      <c r="H21" s="367"/>
      <c r="I21" s="86">
        <f t="shared" si="0"/>
        <v>0.89508196721311484</v>
      </c>
      <c r="J21" s="361"/>
      <c r="K21" s="361"/>
      <c r="L21" s="254">
        <v>2.5325514062861394E-3</v>
      </c>
      <c r="M21" s="344"/>
      <c r="N21" s="363"/>
      <c r="O21" s="254">
        <v>2.2401803010812398E-3</v>
      </c>
      <c r="P21" s="344"/>
      <c r="Q21" s="363"/>
      <c r="R21" s="234">
        <f t="shared" si="1"/>
        <v>0.91666666666666663</v>
      </c>
      <c r="S21" s="361"/>
      <c r="T21" s="361"/>
      <c r="U21" s="234">
        <v>0.69</v>
      </c>
      <c r="V21" s="361"/>
      <c r="W21" s="361"/>
    </row>
    <row r="22" spans="2:23" ht="14.45" customHeight="1">
      <c r="B22" s="350"/>
      <c r="C22" s="350"/>
      <c r="D22" s="82">
        <v>45887</v>
      </c>
      <c r="E22" s="82" t="s">
        <v>158</v>
      </c>
      <c r="F22" s="231">
        <v>328.4</v>
      </c>
      <c r="G22" s="367"/>
      <c r="H22" s="367"/>
      <c r="I22" s="86">
        <f t="shared" si="0"/>
        <v>0.89726775956284144</v>
      </c>
      <c r="J22" s="361"/>
      <c r="K22" s="361"/>
      <c r="L22" s="254">
        <v>2.5488675540852931E-3</v>
      </c>
      <c r="M22" s="344"/>
      <c r="N22" s="363"/>
      <c r="O22" s="254">
        <v>2.3868442363685015E-3</v>
      </c>
      <c r="P22" s="344"/>
      <c r="Q22" s="363"/>
      <c r="R22" s="234">
        <f t="shared" si="1"/>
        <v>0.91666666666666663</v>
      </c>
      <c r="S22" s="361"/>
      <c r="T22" s="361"/>
      <c r="U22" s="234">
        <v>0.69</v>
      </c>
      <c r="V22" s="361"/>
      <c r="W22" s="361"/>
    </row>
    <row r="23" spans="2:23" ht="14.45" customHeight="1">
      <c r="B23" s="349">
        <f>D31</f>
        <v>45896</v>
      </c>
      <c r="C23" s="350"/>
      <c r="D23" s="82">
        <v>45888</v>
      </c>
      <c r="E23" s="82" t="s">
        <v>159</v>
      </c>
      <c r="F23" s="231">
        <v>333.7</v>
      </c>
      <c r="G23" s="367">
        <f t="shared" ref="G23" si="14">AVERAGE(F23:F29)</f>
        <v>335.2714285714286</v>
      </c>
      <c r="H23" s="367"/>
      <c r="I23" s="86">
        <f t="shared" si="0"/>
        <v>0.91174863387978144</v>
      </c>
      <c r="J23" s="361">
        <f t="shared" ref="J23" si="15">AVERAGE(I23:I29)</f>
        <v>0.91604215456674465</v>
      </c>
      <c r="K23" s="361"/>
      <c r="L23" s="254">
        <v>2.4754769201490632E-3</v>
      </c>
      <c r="M23" s="344">
        <f t="shared" ref="M23" si="16">AVERAGE(L23:L29)</f>
        <v>2.5001695672069017E-3</v>
      </c>
      <c r="N23" s="363"/>
      <c r="O23" s="254">
        <v>2.2714492894951627E-3</v>
      </c>
      <c r="P23" s="344">
        <f t="shared" ref="P23" si="17">AVERAGE(O23:O29)</f>
        <v>2.3270884626331281E-3</v>
      </c>
      <c r="Q23" s="363"/>
      <c r="R23" s="234">
        <f t="shared" si="1"/>
        <v>0.91666666666666663</v>
      </c>
      <c r="S23" s="361">
        <f t="shared" ref="S23" si="18">AVERAGE(R23:R29)</f>
        <v>0.91666666666666674</v>
      </c>
      <c r="T23" s="361"/>
      <c r="U23" s="234">
        <v>0.69</v>
      </c>
      <c r="V23" s="361">
        <f t="shared" ref="V23" si="19">AVERAGE(U23:U29)</f>
        <v>0.69585714285714284</v>
      </c>
      <c r="W23" s="361"/>
    </row>
    <row r="24" spans="2:23" ht="14.45" customHeight="1">
      <c r="B24" s="350"/>
      <c r="C24" s="350"/>
      <c r="D24" s="82">
        <v>45889</v>
      </c>
      <c r="E24" s="82" t="s">
        <v>160</v>
      </c>
      <c r="F24" s="231">
        <v>334.1</v>
      </c>
      <c r="G24" s="367"/>
      <c r="H24" s="367"/>
      <c r="I24" s="86">
        <f t="shared" si="0"/>
        <v>0.91284153005464486</v>
      </c>
      <c r="J24" s="361"/>
      <c r="K24" s="361"/>
      <c r="L24" s="254">
        <v>2.5144124279321625E-3</v>
      </c>
      <c r="M24" s="344"/>
      <c r="N24" s="363"/>
      <c r="O24" s="254">
        <v>2.1658089801068277E-3</v>
      </c>
      <c r="P24" s="344"/>
      <c r="Q24" s="363"/>
      <c r="R24" s="234">
        <f t="shared" si="1"/>
        <v>0.91666666666666663</v>
      </c>
      <c r="S24" s="361"/>
      <c r="T24" s="361"/>
      <c r="U24" s="234">
        <v>0.69</v>
      </c>
      <c r="V24" s="361"/>
      <c r="W24" s="361"/>
    </row>
    <row r="25" spans="2:23" ht="14.45" customHeight="1">
      <c r="B25" s="350"/>
      <c r="C25" s="350"/>
      <c r="D25" s="82">
        <v>45890</v>
      </c>
      <c r="E25" s="82" t="s">
        <v>161</v>
      </c>
      <c r="F25" s="231">
        <v>340</v>
      </c>
      <c r="G25" s="367"/>
      <c r="H25" s="367"/>
      <c r="I25" s="86">
        <f t="shared" si="0"/>
        <v>0.92896174863387981</v>
      </c>
      <c r="J25" s="361"/>
      <c r="K25" s="361"/>
      <c r="L25" s="254">
        <v>2.5342308806200506E-3</v>
      </c>
      <c r="M25" s="344"/>
      <c r="N25" s="363"/>
      <c r="O25" s="254">
        <v>2.2177029966823636E-3</v>
      </c>
      <c r="P25" s="344"/>
      <c r="Q25" s="363"/>
      <c r="R25" s="234">
        <f t="shared" si="1"/>
        <v>0.91666666666666663</v>
      </c>
      <c r="S25" s="361"/>
      <c r="T25" s="361"/>
      <c r="U25" s="234">
        <v>0.69499999999999995</v>
      </c>
      <c r="V25" s="361"/>
      <c r="W25" s="361"/>
    </row>
    <row r="26" spans="2:23" ht="14.45" customHeight="1">
      <c r="B26" s="350"/>
      <c r="C26" s="350"/>
      <c r="D26" s="82">
        <v>45891</v>
      </c>
      <c r="E26" s="82" t="s">
        <v>156</v>
      </c>
      <c r="F26" s="231">
        <v>330.2</v>
      </c>
      <c r="G26" s="367"/>
      <c r="H26" s="367"/>
      <c r="I26" s="86">
        <f t="shared" si="0"/>
        <v>0.90218579234972673</v>
      </c>
      <c r="J26" s="361"/>
      <c r="K26" s="361"/>
      <c r="L26" s="254">
        <v>2.497269102290753E-3</v>
      </c>
      <c r="M26" s="344"/>
      <c r="N26" s="363"/>
      <c r="O26" s="254">
        <v>2.5154403172575257E-3</v>
      </c>
      <c r="P26" s="344"/>
      <c r="Q26" s="363"/>
      <c r="R26" s="234">
        <f t="shared" si="1"/>
        <v>0.91666666666666663</v>
      </c>
      <c r="S26" s="361"/>
      <c r="T26" s="361"/>
      <c r="U26" s="234">
        <v>0.69499999999999995</v>
      </c>
      <c r="V26" s="361"/>
      <c r="W26" s="361"/>
    </row>
    <row r="27" spans="2:23" ht="14.45" customHeight="1">
      <c r="B27" s="350"/>
      <c r="C27" s="350"/>
      <c r="D27" s="82">
        <v>45892</v>
      </c>
      <c r="E27" s="82" t="s">
        <v>157</v>
      </c>
      <c r="F27" s="231">
        <v>333.2</v>
      </c>
      <c r="G27" s="367"/>
      <c r="H27" s="367"/>
      <c r="I27" s="86">
        <f t="shared" si="0"/>
        <v>0.91038251366120215</v>
      </c>
      <c r="J27" s="361"/>
      <c r="K27" s="361"/>
      <c r="L27" s="254">
        <v>2.4895344929795212E-3</v>
      </c>
      <c r="M27" s="344"/>
      <c r="N27" s="363"/>
      <c r="O27" s="254">
        <v>2.5103537624966482E-3</v>
      </c>
      <c r="P27" s="344"/>
      <c r="Q27" s="363"/>
      <c r="R27" s="234">
        <f t="shared" si="1"/>
        <v>0.91666666666666663</v>
      </c>
      <c r="S27" s="361"/>
      <c r="T27" s="361"/>
      <c r="U27" s="234">
        <v>0.7</v>
      </c>
      <c r="V27" s="361"/>
      <c r="W27" s="361"/>
    </row>
    <row r="28" spans="2:23" ht="14.45" customHeight="1">
      <c r="B28" s="350"/>
      <c r="C28" s="350"/>
      <c r="D28" s="82">
        <v>45893</v>
      </c>
      <c r="E28" s="82" t="s">
        <v>152</v>
      </c>
      <c r="F28" s="231">
        <v>337.2</v>
      </c>
      <c r="G28" s="367"/>
      <c r="H28" s="367"/>
      <c r="I28" s="86">
        <f t="shared" si="0"/>
        <v>0.92131147540983604</v>
      </c>
      <c r="J28" s="361"/>
      <c r="K28" s="361"/>
      <c r="L28" s="254">
        <v>2.5185435635818889E-3</v>
      </c>
      <c r="M28" s="344"/>
      <c r="N28" s="363"/>
      <c r="O28" s="254">
        <v>2.3235666800205126E-3</v>
      </c>
      <c r="P28" s="344"/>
      <c r="Q28" s="363"/>
      <c r="R28" s="234">
        <f t="shared" si="1"/>
        <v>0.91666666666666663</v>
      </c>
      <c r="S28" s="361"/>
      <c r="T28" s="361"/>
      <c r="U28" s="234">
        <v>0.7</v>
      </c>
      <c r="V28" s="361"/>
      <c r="W28" s="361"/>
    </row>
    <row r="29" spans="2:23" ht="14.45" customHeight="1">
      <c r="B29" s="350"/>
      <c r="C29" s="350"/>
      <c r="D29" s="82">
        <v>45894</v>
      </c>
      <c r="E29" s="82" t="s">
        <v>158</v>
      </c>
      <c r="F29" s="231">
        <v>338.5</v>
      </c>
      <c r="G29" s="367"/>
      <c r="H29" s="367"/>
      <c r="I29" s="86">
        <f t="shared" si="0"/>
        <v>0.92486338797814205</v>
      </c>
      <c r="J29" s="361"/>
      <c r="K29" s="361"/>
      <c r="L29" s="254">
        <v>2.4717195828948698E-3</v>
      </c>
      <c r="M29" s="344"/>
      <c r="N29" s="363"/>
      <c r="O29" s="254">
        <v>2.2852972123728575E-3</v>
      </c>
      <c r="P29" s="344"/>
      <c r="Q29" s="363"/>
      <c r="R29" s="234">
        <f t="shared" si="1"/>
        <v>0.91666666666666663</v>
      </c>
      <c r="S29" s="361"/>
      <c r="T29" s="361"/>
      <c r="U29" s="234">
        <v>0.70099999999999996</v>
      </c>
      <c r="V29" s="361"/>
      <c r="W29" s="361"/>
    </row>
    <row r="30" spans="2:23" ht="14.45" customHeight="1">
      <c r="B30" s="349">
        <f>D38</f>
        <v>45903</v>
      </c>
      <c r="C30" s="350"/>
      <c r="D30" s="82">
        <v>45895</v>
      </c>
      <c r="E30" s="82" t="s">
        <v>159</v>
      </c>
      <c r="F30" s="231">
        <v>330.1674371699483</v>
      </c>
      <c r="G30" s="367">
        <f t="shared" ref="G30" si="20">AVERAGE(F30:F36)</f>
        <v>338.34123196825385</v>
      </c>
      <c r="H30" s="367"/>
      <c r="I30" s="86">
        <f t="shared" si="0"/>
        <v>0.90209682286871118</v>
      </c>
      <c r="J30" s="361">
        <f t="shared" ref="J30" si="21">AVERAGE(I30:I36)</f>
        <v>0.92442959554167725</v>
      </c>
      <c r="K30" s="361"/>
      <c r="L30" s="254">
        <v>2.4688309036695034E-3</v>
      </c>
      <c r="M30" s="344">
        <f t="shared" ref="M30" si="22">AVERAGE(L30:L36)</f>
        <v>2.4445364989959702E-3</v>
      </c>
      <c r="N30" s="363"/>
      <c r="O30" s="254">
        <v>2.3625366154667463E-3</v>
      </c>
      <c r="P30" s="344">
        <f t="shared" ref="P30" si="23">AVERAGE(O30:O36)</f>
        <v>2.2832747456027289E-3</v>
      </c>
      <c r="Q30" s="363"/>
      <c r="R30" s="234">
        <f t="shared" si="1"/>
        <v>0.91666666666666663</v>
      </c>
      <c r="S30" s="361">
        <f t="shared" ref="S30" si="24">AVERAGE(R30:R36)</f>
        <v>0.91666666666666663</v>
      </c>
      <c r="T30" s="361"/>
      <c r="U30" s="234">
        <v>0.70099999999999996</v>
      </c>
      <c r="V30" s="361">
        <f t="shared" ref="V30" si="25">AVERAGE(U30:U36)</f>
        <v>0.71033333333333326</v>
      </c>
      <c r="W30" s="361"/>
    </row>
    <row r="31" spans="2:23" ht="14.45" customHeight="1">
      <c r="B31" s="350"/>
      <c r="C31" s="350"/>
      <c r="D31" s="82">
        <v>45896</v>
      </c>
      <c r="E31" s="82" t="s">
        <v>160</v>
      </c>
      <c r="F31" s="231">
        <v>337.7330516390461</v>
      </c>
      <c r="G31" s="367"/>
      <c r="H31" s="367"/>
      <c r="I31" s="86">
        <f t="shared" si="0"/>
        <v>0.92276790065313141</v>
      </c>
      <c r="J31" s="361"/>
      <c r="K31" s="361"/>
      <c r="L31" s="254">
        <v>2.5111525293161417E-3</v>
      </c>
      <c r="M31" s="344"/>
      <c r="N31" s="363"/>
      <c r="O31" s="254">
        <v>2.3225023876819895E-3</v>
      </c>
      <c r="P31" s="344"/>
      <c r="Q31" s="363"/>
      <c r="R31" s="234">
        <f t="shared" si="1"/>
        <v>0.91666666666666663</v>
      </c>
      <c r="S31" s="361"/>
      <c r="T31" s="361"/>
      <c r="U31" s="234">
        <v>0.70099999999999996</v>
      </c>
      <c r="V31" s="361"/>
      <c r="W31" s="361"/>
    </row>
    <row r="32" spans="2:23" ht="14.45" customHeight="1">
      <c r="B32" s="350"/>
      <c r="C32" s="350"/>
      <c r="D32" s="82">
        <v>45897</v>
      </c>
      <c r="E32" s="82" t="s">
        <v>161</v>
      </c>
      <c r="F32" s="231">
        <v>362.18424873303167</v>
      </c>
      <c r="G32" s="367"/>
      <c r="H32" s="367"/>
      <c r="I32" s="86">
        <f t="shared" si="0"/>
        <v>0.98957445009025047</v>
      </c>
      <c r="J32" s="361"/>
      <c r="K32" s="361"/>
      <c r="L32" s="254">
        <v>2.5074619697433389E-3</v>
      </c>
      <c r="M32" s="344"/>
      <c r="N32" s="363"/>
      <c r="O32" s="254">
        <v>2.338548074661214E-3</v>
      </c>
      <c r="P32" s="344"/>
      <c r="Q32" s="363"/>
      <c r="R32" s="234">
        <f t="shared" si="1"/>
        <v>0.91666666666666663</v>
      </c>
      <c r="S32" s="361"/>
      <c r="T32" s="361"/>
      <c r="U32" s="234">
        <v>0.71</v>
      </c>
      <c r="V32" s="361"/>
      <c r="W32" s="361"/>
    </row>
    <row r="33" spans="2:23" ht="14.45" customHeight="1">
      <c r="B33" s="350"/>
      <c r="C33" s="350"/>
      <c r="D33" s="82">
        <v>45898</v>
      </c>
      <c r="E33" s="82" t="s">
        <v>156</v>
      </c>
      <c r="F33" s="231">
        <v>335.46476865519861</v>
      </c>
      <c r="G33" s="367"/>
      <c r="H33" s="367"/>
      <c r="I33" s="86">
        <f t="shared" si="0"/>
        <v>0.91657040616174479</v>
      </c>
      <c r="J33" s="361"/>
      <c r="K33" s="361"/>
      <c r="L33" s="254">
        <v>2.4989333623272945E-3</v>
      </c>
      <c r="M33" s="344"/>
      <c r="N33" s="363"/>
      <c r="O33" s="254">
        <v>2.5849008611104653E-3</v>
      </c>
      <c r="P33" s="344"/>
      <c r="Q33" s="363"/>
      <c r="R33" s="234">
        <f t="shared" si="1"/>
        <v>0.91666666666666663</v>
      </c>
      <c r="S33" s="361"/>
      <c r="T33" s="361"/>
      <c r="U33" s="234">
        <v>0.71</v>
      </c>
      <c r="V33" s="361"/>
      <c r="W33" s="361"/>
    </row>
    <row r="34" spans="2:23" ht="14.45" customHeight="1">
      <c r="B34" s="350"/>
      <c r="C34" s="350"/>
      <c r="D34" s="82">
        <v>45899</v>
      </c>
      <c r="E34" s="82" t="s">
        <v>157</v>
      </c>
      <c r="F34" s="231">
        <v>331.23587731986999</v>
      </c>
      <c r="G34" s="367"/>
      <c r="H34" s="367"/>
      <c r="I34" s="86">
        <f t="shared" si="0"/>
        <v>0.90501605825101084</v>
      </c>
      <c r="J34" s="361"/>
      <c r="K34" s="361"/>
      <c r="L34" s="254">
        <v>2.181329397846184E-3</v>
      </c>
      <c r="M34" s="344"/>
      <c r="N34" s="363"/>
      <c r="O34" s="254">
        <v>2.0831804926607174E-3</v>
      </c>
      <c r="P34" s="344"/>
      <c r="Q34" s="363"/>
      <c r="R34" s="234">
        <f t="shared" si="1"/>
        <v>0.91666666666666663</v>
      </c>
      <c r="S34" s="361"/>
      <c r="T34" s="361"/>
      <c r="U34" s="234">
        <v>0.72</v>
      </c>
      <c r="V34" s="361"/>
      <c r="W34" s="361"/>
    </row>
    <row r="35" spans="2:23">
      <c r="B35" s="350"/>
      <c r="C35" s="350"/>
      <c r="D35" s="82">
        <v>45900</v>
      </c>
      <c r="E35" s="82" t="s">
        <v>152</v>
      </c>
      <c r="F35" s="231">
        <v>333.26200829242845</v>
      </c>
      <c r="G35" s="367"/>
      <c r="H35" s="367"/>
      <c r="I35" s="86">
        <f t="shared" si="0"/>
        <v>0.91055193522521438</v>
      </c>
      <c r="J35" s="361"/>
      <c r="K35" s="361"/>
      <c r="L35" s="254">
        <v>2.4995108310733572E-3</v>
      </c>
      <c r="M35" s="344"/>
      <c r="N35" s="363"/>
      <c r="O35" s="254">
        <v>2.0079800420352389E-3</v>
      </c>
      <c r="P35" s="344"/>
      <c r="Q35" s="363"/>
      <c r="R35" s="234">
        <f t="shared" si="1"/>
        <v>0.91666666666666663</v>
      </c>
      <c r="S35" s="361"/>
      <c r="T35" s="361"/>
      <c r="U35" s="234">
        <v>0.72</v>
      </c>
      <c r="V35" s="361"/>
      <c r="W35" s="361"/>
    </row>
    <row r="36" spans="2:23">
      <c r="B36" s="350"/>
      <c r="D36" s="82">
        <v>45901</v>
      </c>
      <c r="E36" s="82" t="s">
        <v>158</v>
      </c>
      <c r="F36" s="89"/>
      <c r="G36" s="367"/>
      <c r="H36" s="89"/>
      <c r="I36" s="86"/>
      <c r="J36" s="361"/>
      <c r="K36" s="83"/>
      <c r="L36" s="86"/>
      <c r="M36" s="344"/>
      <c r="N36" s="86"/>
      <c r="O36" s="86"/>
      <c r="P36" s="344"/>
      <c r="Q36" s="86"/>
      <c r="R36" s="211"/>
      <c r="S36" s="361"/>
      <c r="T36" s="211"/>
      <c r="U36" s="211"/>
      <c r="V36" s="361"/>
      <c r="W36" s="211"/>
    </row>
    <row r="37" spans="2:23">
      <c r="B37" s="350"/>
      <c r="D37" s="82">
        <v>45902</v>
      </c>
      <c r="E37" s="82" t="s">
        <v>159</v>
      </c>
      <c r="F37" s="89"/>
      <c r="G37" s="367" t="e">
        <f t="shared" ref="G37" si="26">AVERAGE(F37:F43)</f>
        <v>#DIV/0!</v>
      </c>
      <c r="H37" s="89"/>
      <c r="I37" s="86"/>
      <c r="J37" s="361" t="e">
        <f t="shared" ref="J37" si="27">AVERAGE(I37:I43)</f>
        <v>#DIV/0!</v>
      </c>
      <c r="K37" s="83"/>
      <c r="L37" s="86"/>
      <c r="M37" s="344" t="e">
        <f t="shared" ref="M37" si="28">AVERAGE(L37:L43)</f>
        <v>#DIV/0!</v>
      </c>
      <c r="N37" s="86"/>
      <c r="O37" s="86"/>
      <c r="P37" s="344" t="e">
        <f t="shared" ref="P37" si="29">AVERAGE(O37:O43)</f>
        <v>#DIV/0!</v>
      </c>
      <c r="Q37" s="86"/>
      <c r="R37" s="211"/>
      <c r="S37" s="361" t="e">
        <f t="shared" ref="S37" si="30">AVERAGE(R37:R43)</f>
        <v>#DIV/0!</v>
      </c>
      <c r="T37" s="211"/>
      <c r="U37" s="211"/>
      <c r="V37" s="361" t="e">
        <f t="shared" ref="V37" si="31">AVERAGE(U37:U43)</f>
        <v>#DIV/0!</v>
      </c>
      <c r="W37" s="211"/>
    </row>
    <row r="38" spans="2:23">
      <c r="B38" s="350"/>
      <c r="D38" s="82">
        <v>45903</v>
      </c>
      <c r="E38" s="82" t="s">
        <v>160</v>
      </c>
      <c r="F38" s="89"/>
      <c r="G38" s="367"/>
      <c r="H38" s="89"/>
      <c r="I38" s="86"/>
      <c r="J38" s="361"/>
      <c r="K38" s="83"/>
      <c r="L38" s="86"/>
      <c r="M38" s="344"/>
      <c r="N38" s="86"/>
      <c r="O38" s="86"/>
      <c r="P38" s="344"/>
      <c r="Q38" s="86"/>
      <c r="R38" s="211"/>
      <c r="S38" s="361"/>
      <c r="T38" s="211"/>
      <c r="U38" s="211"/>
      <c r="V38" s="361"/>
      <c r="W38" s="211"/>
    </row>
    <row r="39" spans="2:23">
      <c r="B39" s="350"/>
      <c r="D39" s="82">
        <v>45904</v>
      </c>
      <c r="E39" s="82" t="s">
        <v>161</v>
      </c>
      <c r="F39" s="89"/>
      <c r="G39" s="367"/>
      <c r="H39" s="89"/>
      <c r="I39" s="86"/>
      <c r="J39" s="361"/>
      <c r="K39" s="83"/>
      <c r="L39" s="86"/>
      <c r="M39" s="344"/>
      <c r="N39" s="86"/>
      <c r="O39" s="86"/>
      <c r="P39" s="344"/>
      <c r="Q39" s="86"/>
      <c r="R39" s="211"/>
      <c r="S39" s="361"/>
      <c r="T39" s="211"/>
      <c r="U39" s="211"/>
      <c r="V39" s="361"/>
      <c r="W39" s="211"/>
    </row>
    <row r="40" spans="2:23">
      <c r="B40" s="350"/>
      <c r="D40" s="82">
        <v>45905</v>
      </c>
      <c r="E40" s="82" t="s">
        <v>156</v>
      </c>
      <c r="F40" s="89"/>
      <c r="G40" s="367"/>
      <c r="H40" s="89"/>
      <c r="I40" s="86"/>
      <c r="J40" s="361"/>
      <c r="K40" s="83"/>
      <c r="L40" s="86"/>
      <c r="M40" s="344"/>
      <c r="N40" s="86"/>
      <c r="O40" s="86"/>
      <c r="P40" s="344"/>
      <c r="Q40" s="86"/>
      <c r="R40" s="211"/>
      <c r="S40" s="361"/>
      <c r="T40" s="211"/>
      <c r="U40" s="211"/>
      <c r="V40" s="361"/>
      <c r="W40" s="211"/>
    </row>
    <row r="41" spans="2:23">
      <c r="B41" s="350"/>
      <c r="D41" s="82">
        <v>45906</v>
      </c>
      <c r="E41" s="82" t="s">
        <v>157</v>
      </c>
      <c r="F41" s="89"/>
      <c r="G41" s="367"/>
      <c r="H41" s="89"/>
      <c r="I41" s="86"/>
      <c r="J41" s="361"/>
      <c r="K41" s="83"/>
      <c r="L41" s="86"/>
      <c r="M41" s="344"/>
      <c r="N41" s="86"/>
      <c r="O41" s="86"/>
      <c r="P41" s="344"/>
      <c r="Q41" s="86"/>
      <c r="R41" s="211"/>
      <c r="S41" s="361"/>
      <c r="T41" s="211"/>
      <c r="U41" s="211"/>
      <c r="V41" s="361"/>
      <c r="W41" s="211"/>
    </row>
    <row r="42" spans="2:23">
      <c r="B42" s="350"/>
      <c r="D42" s="82">
        <v>45907</v>
      </c>
      <c r="E42" s="82" t="s">
        <v>152</v>
      </c>
      <c r="F42" s="89"/>
      <c r="G42" s="367"/>
      <c r="H42" s="89"/>
      <c r="I42" s="86"/>
      <c r="J42" s="361"/>
      <c r="K42" s="83"/>
      <c r="L42" s="86"/>
      <c r="M42" s="344"/>
      <c r="N42" s="86"/>
      <c r="O42" s="86"/>
      <c r="P42" s="344"/>
      <c r="Q42" s="86"/>
      <c r="R42" s="211"/>
      <c r="S42" s="361"/>
      <c r="T42" s="211"/>
      <c r="U42" s="211"/>
      <c r="V42" s="361"/>
      <c r="W42" s="211"/>
    </row>
    <row r="43" spans="2:23">
      <c r="B43" s="350"/>
      <c r="D43" s="82">
        <v>45908</v>
      </c>
      <c r="E43" s="82" t="s">
        <v>158</v>
      </c>
      <c r="F43" s="89"/>
      <c r="G43" s="367"/>
      <c r="H43" s="89"/>
      <c r="I43" s="86"/>
      <c r="J43" s="361"/>
      <c r="K43" s="83"/>
      <c r="L43" s="86"/>
      <c r="M43" s="344"/>
      <c r="N43" s="86"/>
      <c r="O43" s="86"/>
      <c r="P43" s="344"/>
      <c r="Q43" s="86"/>
      <c r="R43" s="211"/>
      <c r="S43" s="361"/>
      <c r="T43" s="211"/>
      <c r="U43" s="211"/>
      <c r="V43" s="361"/>
      <c r="W43" s="211"/>
    </row>
  </sheetData>
  <mergeCells count="58"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J37:J43"/>
    <mergeCell ref="M37:M43"/>
    <mergeCell ref="O3:Q3"/>
    <mergeCell ref="P5:P8"/>
    <mergeCell ref="Q5:Q35"/>
    <mergeCell ref="P9:P15"/>
    <mergeCell ref="P16:P22"/>
    <mergeCell ref="P23:P29"/>
    <mergeCell ref="P30:P36"/>
    <mergeCell ref="P37:P43"/>
    <mergeCell ref="M5:M8"/>
    <mergeCell ref="N5:N35"/>
    <mergeCell ref="M9:M15"/>
    <mergeCell ref="M16:M22"/>
    <mergeCell ref="M23:M29"/>
    <mergeCell ref="M30:M36"/>
    <mergeCell ref="S37:S43"/>
    <mergeCell ref="U3:W3"/>
    <mergeCell ref="V5:V8"/>
    <mergeCell ref="W5:W35"/>
    <mergeCell ref="V9:V15"/>
    <mergeCell ref="V16:V22"/>
    <mergeCell ref="V23:V29"/>
    <mergeCell ref="V30:V36"/>
    <mergeCell ref="V37:V43"/>
    <mergeCell ref="S5:S8"/>
    <mergeCell ref="T5:T35"/>
    <mergeCell ref="S9:S15"/>
    <mergeCell ref="S16:S22"/>
    <mergeCell ref="S23:S29"/>
    <mergeCell ref="S30:S36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Normal="100" workbookViewId="0">
      <pane xSplit="5" ySplit="6" topLeftCell="Z7" activePane="bottomRight" state="frozen"/>
      <selection pane="bottomRight" activeCell="AK46" sqref="AK46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2" width="10.5703125" style="86" customWidth="1"/>
    <col min="13" max="13" width="9.5703125" style="86" bestFit="1" customWidth="1"/>
    <col min="14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53" t="s">
        <v>172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</row>
    <row r="3" spans="1:38" ht="25.35" customHeight="1">
      <c r="B3" s="373" t="s">
        <v>143</v>
      </c>
      <c r="C3" s="374" t="s">
        <v>173</v>
      </c>
      <c r="D3" s="375" t="s">
        <v>145</v>
      </c>
      <c r="E3" s="375"/>
      <c r="F3" s="376" t="s">
        <v>174</v>
      </c>
      <c r="G3" s="376"/>
      <c r="H3" s="376"/>
      <c r="I3" s="377" t="s">
        <v>175</v>
      </c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  <c r="AL3" s="377"/>
    </row>
    <row r="4" spans="1:38" ht="25.35" customHeight="1">
      <c r="B4" s="373"/>
      <c r="C4" s="374"/>
      <c r="D4" s="375"/>
      <c r="E4" s="375"/>
      <c r="F4" s="376"/>
      <c r="G4" s="376"/>
      <c r="H4" s="376"/>
      <c r="I4" s="370" t="s">
        <v>176</v>
      </c>
      <c r="J4" s="370"/>
      <c r="K4" s="370"/>
      <c r="L4" s="370"/>
      <c r="M4" s="370"/>
      <c r="N4" s="370"/>
      <c r="O4" s="370" t="s">
        <v>177</v>
      </c>
      <c r="P4" s="370"/>
      <c r="Q4" s="370"/>
      <c r="R4" s="370"/>
      <c r="S4" s="370"/>
      <c r="T4" s="370"/>
      <c r="U4" s="370" t="s">
        <v>178</v>
      </c>
      <c r="V4" s="370"/>
      <c r="W4" s="370" t="s">
        <v>179</v>
      </c>
      <c r="X4" s="370"/>
      <c r="Y4" s="370" t="s">
        <v>180</v>
      </c>
      <c r="Z4" s="370"/>
      <c r="AA4" s="370"/>
      <c r="AB4" s="370"/>
      <c r="AC4" s="370"/>
      <c r="AD4" s="370"/>
      <c r="AE4" s="370" t="s">
        <v>181</v>
      </c>
      <c r="AF4" s="370"/>
      <c r="AG4" s="370" t="s">
        <v>182</v>
      </c>
      <c r="AH4" s="370"/>
      <c r="AI4" s="370" t="s">
        <v>183</v>
      </c>
      <c r="AJ4" s="370"/>
      <c r="AK4" s="370" t="s">
        <v>184</v>
      </c>
      <c r="AL4" s="370"/>
    </row>
    <row r="5" spans="1:38" ht="25.35" customHeight="1">
      <c r="B5" s="373"/>
      <c r="C5" s="374"/>
      <c r="D5" s="375"/>
      <c r="E5" s="375"/>
      <c r="F5" s="372" t="s">
        <v>152</v>
      </c>
      <c r="G5" s="372" t="s">
        <v>153</v>
      </c>
      <c r="H5" s="372" t="s">
        <v>154</v>
      </c>
      <c r="I5" s="370" t="s">
        <v>185</v>
      </c>
      <c r="J5" s="370"/>
      <c r="K5" s="370" t="s">
        <v>186</v>
      </c>
      <c r="L5" s="370"/>
      <c r="M5" s="371" t="s">
        <v>187</v>
      </c>
      <c r="N5" s="370"/>
      <c r="O5" s="370" t="s">
        <v>185</v>
      </c>
      <c r="P5" s="370"/>
      <c r="Q5" s="370" t="s">
        <v>186</v>
      </c>
      <c r="R5" s="370"/>
      <c r="S5" s="371" t="s">
        <v>187</v>
      </c>
      <c r="T5" s="370"/>
      <c r="U5" s="370" t="s">
        <v>185</v>
      </c>
      <c r="V5" s="370"/>
      <c r="W5" s="370" t="s">
        <v>185</v>
      </c>
      <c r="X5" s="370"/>
      <c r="Y5" s="370" t="s">
        <v>185</v>
      </c>
      <c r="Z5" s="370"/>
      <c r="AA5" s="370" t="s">
        <v>186</v>
      </c>
      <c r="AB5" s="370"/>
      <c r="AC5" s="371" t="s">
        <v>187</v>
      </c>
      <c r="AD5" s="370"/>
      <c r="AE5" s="370" t="s">
        <v>185</v>
      </c>
      <c r="AF5" s="370"/>
      <c r="AG5" s="370" t="s">
        <v>185</v>
      </c>
      <c r="AH5" s="370"/>
      <c r="AI5" s="370" t="s">
        <v>185</v>
      </c>
      <c r="AJ5" s="370"/>
      <c r="AK5" s="370" t="s">
        <v>185</v>
      </c>
      <c r="AL5" s="370"/>
    </row>
    <row r="6" spans="1:38" s="78" customFormat="1" ht="23.45" customHeight="1">
      <c r="B6" s="373"/>
      <c r="C6" s="374"/>
      <c r="D6" s="375"/>
      <c r="E6" s="375"/>
      <c r="F6" s="372"/>
      <c r="G6" s="372"/>
      <c r="H6" s="372"/>
      <c r="I6" s="94" t="s">
        <v>188</v>
      </c>
      <c r="J6" s="95" t="s">
        <v>189</v>
      </c>
      <c r="K6" s="94" t="s">
        <v>188</v>
      </c>
      <c r="L6" s="95" t="s">
        <v>189</v>
      </c>
      <c r="M6" s="94" t="s">
        <v>188</v>
      </c>
      <c r="N6" s="95" t="s">
        <v>189</v>
      </c>
      <c r="O6" s="94" t="s">
        <v>188</v>
      </c>
      <c r="P6" s="95" t="s">
        <v>189</v>
      </c>
      <c r="Q6" s="94" t="s">
        <v>188</v>
      </c>
      <c r="R6" s="95" t="s">
        <v>189</v>
      </c>
      <c r="S6" s="94" t="s">
        <v>188</v>
      </c>
      <c r="T6" s="95" t="s">
        <v>189</v>
      </c>
      <c r="U6" s="94" t="s">
        <v>188</v>
      </c>
      <c r="V6" s="95" t="s">
        <v>189</v>
      </c>
      <c r="W6" s="94" t="s">
        <v>188</v>
      </c>
      <c r="X6" s="95" t="s">
        <v>189</v>
      </c>
      <c r="Y6" s="94" t="s">
        <v>188</v>
      </c>
      <c r="Z6" s="95" t="s">
        <v>189</v>
      </c>
      <c r="AA6" s="94" t="s">
        <v>188</v>
      </c>
      <c r="AB6" s="95" t="s">
        <v>189</v>
      </c>
      <c r="AC6" s="94" t="s">
        <v>188</v>
      </c>
      <c r="AD6" s="95" t="s">
        <v>189</v>
      </c>
      <c r="AE6" s="94" t="s">
        <v>188</v>
      </c>
      <c r="AF6" s="95" t="s">
        <v>189</v>
      </c>
      <c r="AG6" s="94" t="s">
        <v>188</v>
      </c>
      <c r="AH6" s="95" t="s">
        <v>189</v>
      </c>
      <c r="AI6" s="94" t="s">
        <v>188</v>
      </c>
      <c r="AJ6" s="95" t="s">
        <v>189</v>
      </c>
      <c r="AK6" s="94" t="s">
        <v>188</v>
      </c>
      <c r="AL6" s="95" t="s">
        <v>189</v>
      </c>
    </row>
    <row r="7" spans="1:38" ht="12">
      <c r="B7" s="349">
        <f>D19</f>
        <v>45882</v>
      </c>
      <c r="C7" s="350" t="s">
        <v>155</v>
      </c>
      <c r="D7" s="82">
        <v>45870</v>
      </c>
      <c r="E7" s="82" t="s">
        <v>156</v>
      </c>
      <c r="F7" s="230">
        <f>SUM(M7,S7,U7,W7,AC7,AE7,AG7,AI7,AK7)</f>
        <v>6238721</v>
      </c>
      <c r="G7" s="368">
        <f>SUM(F7:F10)</f>
        <v>27719634</v>
      </c>
      <c r="H7" s="369">
        <f>SUM(F7:F37)</f>
        <v>212376150</v>
      </c>
      <c r="I7" s="235">
        <v>460351.69883793744</v>
      </c>
      <c r="J7" s="96">
        <f>I7/$F7</f>
        <v>7.3789435180373897E-2</v>
      </c>
      <c r="K7" s="235">
        <v>693287.53269537061</v>
      </c>
      <c r="L7" s="96">
        <f>K7/$F7</f>
        <v>0.11112654864600782</v>
      </c>
      <c r="M7" s="229">
        <f t="shared" ref="M7:M40" si="0">SUM(I7+K7)</f>
        <v>1153639.231533308</v>
      </c>
      <c r="N7" s="96">
        <f>M7/$F7</f>
        <v>0.18491598382638172</v>
      </c>
      <c r="O7" s="235">
        <v>137104.25005969315</v>
      </c>
      <c r="P7" s="96">
        <f>O7/$F7</f>
        <v>2.197633939066888E-2</v>
      </c>
      <c r="Q7" s="235">
        <v>111569.64997977951</v>
      </c>
      <c r="R7" s="96">
        <f>Q7/$F7</f>
        <v>1.7883417126648156E-2</v>
      </c>
      <c r="S7" s="229">
        <f t="shared" ref="S7:S45" si="1">SUM(O7+Q7)</f>
        <v>248673.90003947268</v>
      </c>
      <c r="T7" s="96">
        <f>S7/$F7</f>
        <v>3.985975651731704E-2</v>
      </c>
      <c r="U7" s="235">
        <v>584777.05575708905</v>
      </c>
      <c r="V7" s="96">
        <f>U7/$F7</f>
        <v>9.3733484115909177E-2</v>
      </c>
      <c r="W7" s="235">
        <v>29842.928853770329</v>
      </c>
      <c r="X7" s="96">
        <f>W7/$F7</f>
        <v>4.7835011140537186E-3</v>
      </c>
      <c r="Y7" s="235">
        <v>555162.56654224999</v>
      </c>
      <c r="Z7" s="96">
        <f>Y7/$F7</f>
        <v>8.89865994235437E-2</v>
      </c>
      <c r="AA7" s="235">
        <v>1091012.1925255647</v>
      </c>
      <c r="AB7" s="96">
        <f>AA7/$F7</f>
        <v>0.17487754181114443</v>
      </c>
      <c r="AC7" s="229">
        <f t="shared" ref="AC7:AC40" si="2">SUM(Y7+AA7)</f>
        <v>1646174.7590678148</v>
      </c>
      <c r="AD7" s="96">
        <f>AC7/$F7</f>
        <v>0.26386414123468815</v>
      </c>
      <c r="AE7" s="235">
        <v>845899.79388617375</v>
      </c>
      <c r="AF7" s="96">
        <f t="shared" ref="AF7:AF40" si="3">AE7/F7</f>
        <v>0.13558865573347065</v>
      </c>
      <c r="AG7" s="235">
        <v>729805.07514665194</v>
      </c>
      <c r="AH7" s="96">
        <f t="shared" ref="AH7:AH40" si="4">AG7/F7</f>
        <v>0.1169799186638819</v>
      </c>
      <c r="AI7" s="235">
        <v>648633.44505240233</v>
      </c>
      <c r="AJ7" s="96">
        <f t="shared" ref="AJ7:AJ40" si="5">AI7/F7</f>
        <v>0.10396897778445331</v>
      </c>
      <c r="AK7" s="235">
        <v>351274.81066331721</v>
      </c>
      <c r="AL7" s="96">
        <f t="shared" ref="AL7:AL40" si="6">AK7/F7</f>
        <v>5.6305581009844362E-2</v>
      </c>
    </row>
    <row r="8" spans="1:38" ht="12">
      <c r="B8" s="350"/>
      <c r="C8" s="350"/>
      <c r="D8" s="82">
        <v>45871</v>
      </c>
      <c r="E8" s="82" t="s">
        <v>157</v>
      </c>
      <c r="F8" s="230">
        <f t="shared" ref="F8:F45" si="7">SUM(M8,S8,U8,W8,AC8,AE8,AG8,AI8,AK8)</f>
        <v>6562251.9999999991</v>
      </c>
      <c r="G8" s="368"/>
      <c r="H8" s="369"/>
      <c r="I8" s="235">
        <v>451183.47252712876</v>
      </c>
      <c r="J8" s="96">
        <f t="shared" ref="J8:J40" si="8">I8/F8</f>
        <v>6.8754365502441669E-2</v>
      </c>
      <c r="K8" s="235">
        <v>750326.80153081799</v>
      </c>
      <c r="L8" s="96">
        <f t="shared" ref="L8:L40" si="9">K8/F8</f>
        <v>0.11433983357097809</v>
      </c>
      <c r="M8" s="229">
        <f t="shared" si="0"/>
        <v>1201510.2740579466</v>
      </c>
      <c r="N8" s="96">
        <f t="shared" ref="N8:N40" si="10">M8/F8</f>
        <v>0.18309419907341973</v>
      </c>
      <c r="O8" s="235">
        <v>138472.7683423784</v>
      </c>
      <c r="P8" s="96">
        <f t="shared" ref="P8:P40" si="11">O8/F8</f>
        <v>2.1101409751161402E-2</v>
      </c>
      <c r="Q8" s="235">
        <v>109730.42527440311</v>
      </c>
      <c r="R8" s="96">
        <f t="shared" ref="R8:R45" si="12">Q8/$F8</f>
        <v>1.6721458620364338E-2</v>
      </c>
      <c r="S8" s="229">
        <f t="shared" si="1"/>
        <v>248203.1936167815</v>
      </c>
      <c r="T8" s="96">
        <f t="shared" ref="T8:T40" si="13">S8/F8</f>
        <v>3.7822868371525743E-2</v>
      </c>
      <c r="U8" s="235">
        <v>637083.78215329431</v>
      </c>
      <c r="V8" s="96">
        <f t="shared" ref="V8:V40" si="14">U8/F8</f>
        <v>9.7083102287643691E-2</v>
      </c>
      <c r="W8" s="235">
        <v>31992.390881448158</v>
      </c>
      <c r="X8" s="96">
        <f t="shared" ref="X8:X40" si="15">W8/F8</f>
        <v>4.8752152281637713E-3</v>
      </c>
      <c r="Y8" s="235">
        <v>592645.44403780124</v>
      </c>
      <c r="Z8" s="96">
        <f t="shared" ref="Z8:Z40" si="16">Y8/F8</f>
        <v>9.0311290093370591E-2</v>
      </c>
      <c r="AA8" s="235">
        <v>1191918.7508591106</v>
      </c>
      <c r="AB8" s="96">
        <f t="shared" ref="AB8:AB45" si="17">AA8/$F8</f>
        <v>0.18163257839825578</v>
      </c>
      <c r="AC8" s="229">
        <f t="shared" si="2"/>
        <v>1784564.1948969117</v>
      </c>
      <c r="AD8" s="96">
        <f t="shared" ref="AD8:AD40" si="18">AC8/F8</f>
        <v>0.27194386849162633</v>
      </c>
      <c r="AE8" s="235">
        <v>865122.14047425671</v>
      </c>
      <c r="AF8" s="96">
        <f t="shared" si="3"/>
        <v>0.13183311772761191</v>
      </c>
      <c r="AG8" s="235">
        <v>762782.70330944296</v>
      </c>
      <c r="AH8" s="96">
        <f t="shared" si="4"/>
        <v>0.11623794747739695</v>
      </c>
      <c r="AI8" s="235">
        <v>672816.41761934059</v>
      </c>
      <c r="AJ8" s="96">
        <f t="shared" si="5"/>
        <v>0.10252828108694099</v>
      </c>
      <c r="AK8" s="235">
        <v>358176.90299057699</v>
      </c>
      <c r="AL8" s="96">
        <f t="shared" si="6"/>
        <v>5.4581400255670924E-2</v>
      </c>
    </row>
    <row r="9" spans="1:38" ht="12">
      <c r="B9" s="350"/>
      <c r="C9" s="350"/>
      <c r="D9" s="82">
        <v>45872</v>
      </c>
      <c r="E9" s="82" t="s">
        <v>152</v>
      </c>
      <c r="F9" s="230">
        <f t="shared" si="7"/>
        <v>7531205.9999999991</v>
      </c>
      <c r="G9" s="368"/>
      <c r="H9" s="369"/>
      <c r="I9" s="235">
        <v>547613.09511635138</v>
      </c>
      <c r="J9" s="96">
        <f t="shared" si="8"/>
        <v>7.2712537024794091E-2</v>
      </c>
      <c r="K9" s="235">
        <v>792821.74084627826</v>
      </c>
      <c r="L9" s="96">
        <f t="shared" si="9"/>
        <v>0.10527155157437977</v>
      </c>
      <c r="M9" s="229">
        <f t="shared" si="0"/>
        <v>1340434.8359626296</v>
      </c>
      <c r="N9" s="96">
        <f t="shared" si="10"/>
        <v>0.17798408859917386</v>
      </c>
      <c r="O9" s="235">
        <v>166503.64614676055</v>
      </c>
      <c r="P9" s="96">
        <f t="shared" si="11"/>
        <v>2.210849711809245E-2</v>
      </c>
      <c r="Q9" s="235">
        <v>123789.31995163983</v>
      </c>
      <c r="R9" s="96">
        <f t="shared" si="12"/>
        <v>1.6436852205561747E-2</v>
      </c>
      <c r="S9" s="229">
        <f t="shared" si="1"/>
        <v>290292.96609840041</v>
      </c>
      <c r="T9" s="96">
        <f t="shared" si="13"/>
        <v>3.85453493236542E-2</v>
      </c>
      <c r="U9" s="235">
        <v>764518.15777808276</v>
      </c>
      <c r="V9" s="96">
        <f t="shared" si="14"/>
        <v>0.10151337750927047</v>
      </c>
      <c r="W9" s="235">
        <v>36401.381213830784</v>
      </c>
      <c r="X9" s="96">
        <f t="shared" si="15"/>
        <v>4.8334066567599912E-3</v>
      </c>
      <c r="Y9" s="235">
        <v>632029.53960124485</v>
      </c>
      <c r="Z9" s="96">
        <f t="shared" si="16"/>
        <v>8.3921425014963733E-2</v>
      </c>
      <c r="AA9" s="235">
        <v>1243905.8684242645</v>
      </c>
      <c r="AB9" s="96">
        <f t="shared" si="17"/>
        <v>0.16516688939650098</v>
      </c>
      <c r="AC9" s="229">
        <f t="shared" si="2"/>
        <v>1875935.4080255092</v>
      </c>
      <c r="AD9" s="96">
        <f t="shared" si="18"/>
        <v>0.2490883144114647</v>
      </c>
      <c r="AE9" s="235">
        <v>1088217.5364322804</v>
      </c>
      <c r="AF9" s="96">
        <f t="shared" si="3"/>
        <v>0.14449445897938265</v>
      </c>
      <c r="AG9" s="235">
        <v>954793.08551702253</v>
      </c>
      <c r="AH9" s="96">
        <f t="shared" si="4"/>
        <v>0.12677824581043495</v>
      </c>
      <c r="AI9" s="235">
        <v>770955.76577324234</v>
      </c>
      <c r="AJ9" s="96">
        <f t="shared" si="5"/>
        <v>0.10236816862707546</v>
      </c>
      <c r="AK9" s="235">
        <v>409656.86319900159</v>
      </c>
      <c r="AL9" s="96">
        <f t="shared" si="6"/>
        <v>5.4394590082783773E-2</v>
      </c>
    </row>
    <row r="10" spans="1:38" ht="12">
      <c r="B10" s="350"/>
      <c r="C10" s="350"/>
      <c r="D10" s="82">
        <v>45873</v>
      </c>
      <c r="E10" s="82" t="s">
        <v>158</v>
      </c>
      <c r="F10" s="230">
        <f t="shared" si="7"/>
        <v>7387455.0000000019</v>
      </c>
      <c r="G10" s="368"/>
      <c r="H10" s="369"/>
      <c r="I10" s="235">
        <v>527064.5941775766</v>
      </c>
      <c r="J10" s="96">
        <f t="shared" si="8"/>
        <v>7.1345895735077436E-2</v>
      </c>
      <c r="K10" s="235">
        <v>775570.15615819069</v>
      </c>
      <c r="L10" s="96">
        <f t="shared" si="9"/>
        <v>0.10498475539386574</v>
      </c>
      <c r="M10" s="229">
        <f t="shared" si="0"/>
        <v>1302634.7503357674</v>
      </c>
      <c r="N10" s="96">
        <f t="shared" si="10"/>
        <v>0.17633065112894319</v>
      </c>
      <c r="O10" s="235">
        <v>155828.97244627471</v>
      </c>
      <c r="P10" s="96">
        <f t="shared" si="11"/>
        <v>2.1093728820855716E-2</v>
      </c>
      <c r="Q10" s="235">
        <v>122876.15910307859</v>
      </c>
      <c r="R10" s="96">
        <f t="shared" si="12"/>
        <v>1.6633083937983861E-2</v>
      </c>
      <c r="S10" s="229">
        <f t="shared" si="1"/>
        <v>278705.1315493533</v>
      </c>
      <c r="T10" s="96">
        <f t="shared" si="13"/>
        <v>3.772681275883958E-2</v>
      </c>
      <c r="U10" s="235">
        <v>731978.07437210588</v>
      </c>
      <c r="V10" s="96">
        <f t="shared" si="14"/>
        <v>9.9083930037083906E-2</v>
      </c>
      <c r="W10" s="235">
        <v>33244.715731506942</v>
      </c>
      <c r="X10" s="96">
        <f t="shared" si="15"/>
        <v>4.5001581372078655E-3</v>
      </c>
      <c r="Y10" s="235">
        <v>655973.36449797009</v>
      </c>
      <c r="Z10" s="96">
        <f t="shared" si="16"/>
        <v>8.8795581766382317E-2</v>
      </c>
      <c r="AA10" s="235">
        <v>1278728.4619754162</v>
      </c>
      <c r="AB10" s="96">
        <f t="shared" si="17"/>
        <v>0.17309458561512941</v>
      </c>
      <c r="AC10" s="229">
        <f t="shared" si="2"/>
        <v>1934701.8264733863</v>
      </c>
      <c r="AD10" s="96">
        <f t="shared" si="18"/>
        <v>0.26189016738151172</v>
      </c>
      <c r="AE10" s="235">
        <v>1084705.8944653994</v>
      </c>
      <c r="AF10" s="96">
        <f t="shared" si="3"/>
        <v>0.14683079551285241</v>
      </c>
      <c r="AG10" s="235">
        <v>943304.52404498961</v>
      </c>
      <c r="AH10" s="96">
        <f t="shared" si="4"/>
        <v>0.12769005348188103</v>
      </c>
      <c r="AI10" s="235">
        <v>679572.81146070373</v>
      </c>
      <c r="AJ10" s="96">
        <f t="shared" si="5"/>
        <v>9.1990111812620665E-2</v>
      </c>
      <c r="AK10" s="235">
        <v>398607.27156678884</v>
      </c>
      <c r="AL10" s="96">
        <f t="shared" si="6"/>
        <v>5.3957319749059554E-2</v>
      </c>
    </row>
    <row r="11" spans="1:38" ht="12">
      <c r="B11" s="350"/>
      <c r="C11" s="350"/>
      <c r="D11" s="82">
        <v>45874</v>
      </c>
      <c r="E11" s="82" t="s">
        <v>159</v>
      </c>
      <c r="F11" s="230">
        <f t="shared" si="7"/>
        <v>7967673.9999999981</v>
      </c>
      <c r="G11" s="368">
        <f t="shared" ref="G11" si="19">SUM(F11:F17)</f>
        <v>48153352</v>
      </c>
      <c r="H11" s="369"/>
      <c r="I11" s="235">
        <v>588097.60943319555</v>
      </c>
      <c r="J11" s="96">
        <f t="shared" si="8"/>
        <v>7.3810450758050053E-2</v>
      </c>
      <c r="K11" s="235">
        <v>773398.48839588463</v>
      </c>
      <c r="L11" s="96">
        <f t="shared" si="9"/>
        <v>9.7067034669827704E-2</v>
      </c>
      <c r="M11" s="229">
        <f t="shared" si="0"/>
        <v>1361496.0978290802</v>
      </c>
      <c r="N11" s="96">
        <f t="shared" si="10"/>
        <v>0.17087748542787776</v>
      </c>
      <c r="O11" s="235">
        <v>155327.18792909195</v>
      </c>
      <c r="P11" s="96">
        <f t="shared" si="11"/>
        <v>1.9494671585344979E-2</v>
      </c>
      <c r="Q11" s="235">
        <v>120159.86900625199</v>
      </c>
      <c r="R11" s="96">
        <f t="shared" si="12"/>
        <v>1.5080921860790492E-2</v>
      </c>
      <c r="S11" s="229">
        <f t="shared" si="1"/>
        <v>275487.05693534395</v>
      </c>
      <c r="T11" s="96">
        <f t="shared" si="13"/>
        <v>3.4575593446135471E-2</v>
      </c>
      <c r="U11" s="235">
        <v>844784.96048926655</v>
      </c>
      <c r="V11" s="96">
        <f t="shared" si="14"/>
        <v>0.10602654683026273</v>
      </c>
      <c r="W11" s="235">
        <v>17264.600367473875</v>
      </c>
      <c r="X11" s="96">
        <f t="shared" si="15"/>
        <v>2.1668306669517202E-3</v>
      </c>
      <c r="Y11" s="235">
        <v>1098874.9537415714</v>
      </c>
      <c r="Z11" s="96">
        <f t="shared" si="16"/>
        <v>0.13791665594520705</v>
      </c>
      <c r="AA11" s="235">
        <v>1257542.0489717403</v>
      </c>
      <c r="AB11" s="96">
        <f t="shared" si="17"/>
        <v>0.15783050975375507</v>
      </c>
      <c r="AC11" s="229">
        <f t="shared" si="2"/>
        <v>2356417.0027133115</v>
      </c>
      <c r="AD11" s="96">
        <f t="shared" si="18"/>
        <v>0.29574716569896209</v>
      </c>
      <c r="AE11" s="235">
        <v>1102785.4868607842</v>
      </c>
      <c r="AF11" s="96">
        <f t="shared" si="3"/>
        <v>0.13840745578455951</v>
      </c>
      <c r="AG11" s="235">
        <v>934645.0541589997</v>
      </c>
      <c r="AH11" s="96">
        <f t="shared" si="4"/>
        <v>0.1173046304553876</v>
      </c>
      <c r="AI11" s="235">
        <v>683690.99000854732</v>
      </c>
      <c r="AJ11" s="96">
        <f t="shared" si="5"/>
        <v>8.5808102842629796E-2</v>
      </c>
      <c r="AK11" s="235">
        <v>391102.75063719228</v>
      </c>
      <c r="AL11" s="96">
        <f t="shared" si="6"/>
        <v>4.9086188847233508E-2</v>
      </c>
    </row>
    <row r="12" spans="1:38" ht="12">
      <c r="B12" s="350"/>
      <c r="C12" s="350"/>
      <c r="D12" s="82">
        <v>45875</v>
      </c>
      <c r="E12" s="82" t="s">
        <v>160</v>
      </c>
      <c r="F12" s="230">
        <f t="shared" si="7"/>
        <v>7313533.0000000019</v>
      </c>
      <c r="G12" s="368"/>
      <c r="H12" s="369"/>
      <c r="I12" s="235">
        <v>568466.36271930556</v>
      </c>
      <c r="J12" s="96">
        <f t="shared" si="8"/>
        <v>7.7728009529635739E-2</v>
      </c>
      <c r="K12" s="235">
        <v>770103.71316114208</v>
      </c>
      <c r="L12" s="96">
        <f t="shared" si="9"/>
        <v>0.1052984533140333</v>
      </c>
      <c r="M12" s="229">
        <f t="shared" si="0"/>
        <v>1338570.0758804476</v>
      </c>
      <c r="N12" s="96">
        <f t="shared" si="10"/>
        <v>0.18302646284366902</v>
      </c>
      <c r="O12" s="235">
        <v>154078.88678991018</v>
      </c>
      <c r="P12" s="96">
        <f t="shared" si="11"/>
        <v>2.106764087752255E-2</v>
      </c>
      <c r="Q12" s="235">
        <v>118660.1866777416</v>
      </c>
      <c r="R12" s="96">
        <f t="shared" si="12"/>
        <v>1.6224742088090882E-2</v>
      </c>
      <c r="S12" s="229">
        <f t="shared" si="1"/>
        <v>272739.07346765179</v>
      </c>
      <c r="T12" s="96">
        <f t="shared" si="13"/>
        <v>3.7292382965613435E-2</v>
      </c>
      <c r="U12" s="235">
        <v>765121.04706184822</v>
      </c>
      <c r="V12" s="96">
        <f t="shared" si="14"/>
        <v>0.10461715932119921</v>
      </c>
      <c r="W12" s="235">
        <v>18856.17290934857</v>
      </c>
      <c r="X12" s="96">
        <f t="shared" si="15"/>
        <v>2.5782577188546993E-3</v>
      </c>
      <c r="Y12" s="235">
        <v>906317.97682565614</v>
      </c>
      <c r="Z12" s="96">
        <f t="shared" si="16"/>
        <v>0.12392341387201725</v>
      </c>
      <c r="AA12" s="235">
        <v>1172638.9854300888</v>
      </c>
      <c r="AB12" s="96">
        <f t="shared" si="17"/>
        <v>0.16033823672226385</v>
      </c>
      <c r="AC12" s="229">
        <f t="shared" si="2"/>
        <v>2078956.962255745</v>
      </c>
      <c r="AD12" s="96">
        <f t="shared" si="18"/>
        <v>0.2842616505942811</v>
      </c>
      <c r="AE12" s="235">
        <v>905933.30808191933</v>
      </c>
      <c r="AF12" s="96">
        <f t="shared" si="3"/>
        <v>0.12387081702946019</v>
      </c>
      <c r="AG12" s="235">
        <v>936490.41929954721</v>
      </c>
      <c r="AH12" s="96">
        <f t="shared" si="4"/>
        <v>0.12804897705384621</v>
      </c>
      <c r="AI12" s="235">
        <v>600419.59828481067</v>
      </c>
      <c r="AJ12" s="96">
        <f t="shared" si="5"/>
        <v>8.2097065574847417E-2</v>
      </c>
      <c r="AK12" s="235">
        <v>396446.34275868209</v>
      </c>
      <c r="AL12" s="96">
        <f t="shared" si="6"/>
        <v>5.420722689822853E-2</v>
      </c>
    </row>
    <row r="13" spans="1:38" ht="12">
      <c r="B13" s="350"/>
      <c r="C13" s="350"/>
      <c r="D13" s="82">
        <v>45876</v>
      </c>
      <c r="E13" s="82" t="s">
        <v>161</v>
      </c>
      <c r="F13" s="230">
        <f t="shared" si="7"/>
        <v>6849540.0000000009</v>
      </c>
      <c r="G13" s="368"/>
      <c r="H13" s="369"/>
      <c r="I13" s="235">
        <v>555011.39044356777</v>
      </c>
      <c r="J13" s="96">
        <f t="shared" si="8"/>
        <v>8.1029002012334803E-2</v>
      </c>
      <c r="K13" s="235">
        <v>747275.49160940887</v>
      </c>
      <c r="L13" s="96">
        <f t="shared" si="9"/>
        <v>0.10909863897566972</v>
      </c>
      <c r="M13" s="229">
        <f t="shared" si="0"/>
        <v>1302286.8820529766</v>
      </c>
      <c r="N13" s="96">
        <f t="shared" si="10"/>
        <v>0.19012764098800453</v>
      </c>
      <c r="O13" s="235">
        <v>148311.8328253146</v>
      </c>
      <c r="P13" s="96">
        <f t="shared" si="11"/>
        <v>2.165281651400161E-2</v>
      </c>
      <c r="Q13" s="235">
        <v>113722.29699608247</v>
      </c>
      <c r="R13" s="96">
        <f t="shared" si="12"/>
        <v>1.6602910121859635E-2</v>
      </c>
      <c r="S13" s="229">
        <f t="shared" si="1"/>
        <v>262034.12982139707</v>
      </c>
      <c r="T13" s="96">
        <f t="shared" si="13"/>
        <v>3.8255726635861242E-2</v>
      </c>
      <c r="U13" s="235">
        <v>734422.26868361793</v>
      </c>
      <c r="V13" s="96">
        <f t="shared" si="14"/>
        <v>0.10722213005305727</v>
      </c>
      <c r="W13" s="235">
        <v>18720.73106562379</v>
      </c>
      <c r="X13" s="96">
        <f t="shared" si="15"/>
        <v>2.7331369793626705E-3</v>
      </c>
      <c r="Y13" s="235">
        <v>807904.81834005076</v>
      </c>
      <c r="Z13" s="96">
        <f t="shared" si="16"/>
        <v>0.11795022999209445</v>
      </c>
      <c r="AA13" s="235">
        <v>1022028.4660498169</v>
      </c>
      <c r="AB13" s="96">
        <f t="shared" si="17"/>
        <v>0.14921125594562801</v>
      </c>
      <c r="AC13" s="229">
        <f t="shared" si="2"/>
        <v>1829933.2843898677</v>
      </c>
      <c r="AD13" s="96">
        <f t="shared" si="18"/>
        <v>0.26716148593772243</v>
      </c>
      <c r="AE13" s="235">
        <v>847604.45462857024</v>
      </c>
      <c r="AF13" s="96">
        <f t="shared" si="3"/>
        <v>0.1237461865510049</v>
      </c>
      <c r="AG13" s="235">
        <v>879842.73089853441</v>
      </c>
      <c r="AH13" s="96">
        <f t="shared" si="4"/>
        <v>0.12845282032056668</v>
      </c>
      <c r="AI13" s="235">
        <v>598863.19939811958</v>
      </c>
      <c r="AJ13" s="96">
        <f t="shared" si="5"/>
        <v>8.7431155872966584E-2</v>
      </c>
      <c r="AK13" s="235">
        <v>375832.31906129251</v>
      </c>
      <c r="AL13" s="96">
        <f t="shared" si="6"/>
        <v>5.4869716661453537E-2</v>
      </c>
    </row>
    <row r="14" spans="1:38" ht="12">
      <c r="B14" s="350"/>
      <c r="C14" s="350"/>
      <c r="D14" s="82">
        <v>45877</v>
      </c>
      <c r="E14" s="82" t="s">
        <v>156</v>
      </c>
      <c r="F14" s="230">
        <f t="shared" si="7"/>
        <v>6028491</v>
      </c>
      <c r="G14" s="368"/>
      <c r="H14" s="369"/>
      <c r="I14" s="235">
        <v>496338.67056718341</v>
      </c>
      <c r="J14" s="96">
        <f t="shared" si="8"/>
        <v>8.2332157511255041E-2</v>
      </c>
      <c r="K14" s="235">
        <v>707672.44321090204</v>
      </c>
      <c r="L14" s="96">
        <f t="shared" si="9"/>
        <v>0.11738799032973625</v>
      </c>
      <c r="M14" s="229">
        <f t="shared" si="0"/>
        <v>1204011.1137780854</v>
      </c>
      <c r="N14" s="96">
        <f t="shared" si="10"/>
        <v>0.19972014784099129</v>
      </c>
      <c r="O14" s="235">
        <v>129409.85066683246</v>
      </c>
      <c r="P14" s="96">
        <f t="shared" si="11"/>
        <v>2.1466375361070034E-2</v>
      </c>
      <c r="Q14" s="235">
        <v>107645.26357572673</v>
      </c>
      <c r="R14" s="96">
        <f t="shared" si="12"/>
        <v>1.7856087630507656E-2</v>
      </c>
      <c r="S14" s="229">
        <f t="shared" si="1"/>
        <v>237055.11424255918</v>
      </c>
      <c r="T14" s="96">
        <f t="shared" si="13"/>
        <v>3.932246299157769E-2</v>
      </c>
      <c r="U14" s="235">
        <v>646701.73007760535</v>
      </c>
      <c r="V14" s="96">
        <f t="shared" si="14"/>
        <v>0.10727422999845324</v>
      </c>
      <c r="W14" s="235">
        <v>17062.801226419077</v>
      </c>
      <c r="X14" s="96">
        <f t="shared" si="15"/>
        <v>2.8303602388091939E-3</v>
      </c>
      <c r="Y14" s="235">
        <v>660019.92507542181</v>
      </c>
      <c r="Z14" s="96">
        <f t="shared" si="16"/>
        <v>0.10948343873706071</v>
      </c>
      <c r="AA14" s="235">
        <v>985617.94228606857</v>
      </c>
      <c r="AB14" s="96">
        <f t="shared" si="17"/>
        <v>0.16349330906956128</v>
      </c>
      <c r="AC14" s="229">
        <f t="shared" si="2"/>
        <v>1645637.8673614904</v>
      </c>
      <c r="AD14" s="96">
        <f t="shared" si="18"/>
        <v>0.27297674780662201</v>
      </c>
      <c r="AE14" s="235">
        <v>694834.17950023862</v>
      </c>
      <c r="AF14" s="96">
        <f t="shared" si="3"/>
        <v>0.11525839210844614</v>
      </c>
      <c r="AG14" s="235">
        <v>682038.66235524497</v>
      </c>
      <c r="AH14" s="96">
        <f t="shared" si="4"/>
        <v>0.11313588464430734</v>
      </c>
      <c r="AI14" s="235">
        <v>558792.50819500291</v>
      </c>
      <c r="AJ14" s="96">
        <f t="shared" si="5"/>
        <v>9.2691937036150987E-2</v>
      </c>
      <c r="AK14" s="235">
        <v>342357.02326335374</v>
      </c>
      <c r="AL14" s="96">
        <f t="shared" si="6"/>
        <v>5.6789837334642074E-2</v>
      </c>
    </row>
    <row r="15" spans="1:38" ht="12">
      <c r="B15" s="350"/>
      <c r="C15" s="350"/>
      <c r="D15" s="82">
        <v>45878</v>
      </c>
      <c r="E15" s="82" t="s">
        <v>157</v>
      </c>
      <c r="F15" s="230">
        <f t="shared" si="7"/>
        <v>6203511</v>
      </c>
      <c r="G15" s="368"/>
      <c r="H15" s="369"/>
      <c r="I15" s="235">
        <v>476683.1702097347</v>
      </c>
      <c r="J15" s="96">
        <f t="shared" si="8"/>
        <v>7.6840868051936184E-2</v>
      </c>
      <c r="K15" s="235">
        <v>757212.93718142284</v>
      </c>
      <c r="L15" s="96">
        <f t="shared" si="9"/>
        <v>0.12206199637292862</v>
      </c>
      <c r="M15" s="229">
        <f t="shared" si="0"/>
        <v>1233896.1073911577</v>
      </c>
      <c r="N15" s="96">
        <f t="shared" si="10"/>
        <v>0.19890286442486482</v>
      </c>
      <c r="O15" s="235">
        <v>130154.48881048555</v>
      </c>
      <c r="P15" s="96">
        <f t="shared" si="11"/>
        <v>2.0980778273865484E-2</v>
      </c>
      <c r="Q15" s="235">
        <v>108343.58603221164</v>
      </c>
      <c r="R15" s="96">
        <f t="shared" si="12"/>
        <v>1.7464881747160863E-2</v>
      </c>
      <c r="S15" s="229">
        <f t="shared" si="1"/>
        <v>238498.07484269718</v>
      </c>
      <c r="T15" s="96">
        <f t="shared" si="13"/>
        <v>3.8445660021026347E-2</v>
      </c>
      <c r="U15" s="235">
        <v>677203.78875044489</v>
      </c>
      <c r="V15" s="96">
        <f t="shared" si="14"/>
        <v>0.10916459868459086</v>
      </c>
      <c r="W15" s="235">
        <v>14888.361654193113</v>
      </c>
      <c r="X15" s="96">
        <f t="shared" si="15"/>
        <v>2.3999895630382718E-3</v>
      </c>
      <c r="Y15" s="235">
        <v>666656.12142222258</v>
      </c>
      <c r="Z15" s="96">
        <f t="shared" si="16"/>
        <v>0.10746432486735698</v>
      </c>
      <c r="AA15" s="235">
        <v>1075048.8399205841</v>
      </c>
      <c r="AB15" s="96">
        <f t="shared" si="17"/>
        <v>0.17329683785852626</v>
      </c>
      <c r="AC15" s="229">
        <f t="shared" si="2"/>
        <v>1741704.9613428067</v>
      </c>
      <c r="AD15" s="96">
        <f t="shared" si="18"/>
        <v>0.28076116272588325</v>
      </c>
      <c r="AE15" s="235">
        <v>686858.89857461269</v>
      </c>
      <c r="AF15" s="96">
        <f t="shared" si="3"/>
        <v>0.11072099309159163</v>
      </c>
      <c r="AG15" s="235">
        <v>664889.20128057594</v>
      </c>
      <c r="AH15" s="96">
        <f t="shared" si="4"/>
        <v>0.10717949904184516</v>
      </c>
      <c r="AI15" s="235">
        <v>604376.53657202586</v>
      </c>
      <c r="AJ15" s="96">
        <f t="shared" si="5"/>
        <v>9.7424915756903763E-2</v>
      </c>
      <c r="AK15" s="235">
        <v>341195.06959148456</v>
      </c>
      <c r="AL15" s="96">
        <f t="shared" si="6"/>
        <v>5.5000316690255659E-2</v>
      </c>
    </row>
    <row r="16" spans="1:38" ht="12">
      <c r="B16" s="350"/>
      <c r="C16" s="350"/>
      <c r="D16" s="82">
        <v>45879</v>
      </c>
      <c r="E16" s="82" t="s">
        <v>152</v>
      </c>
      <c r="F16" s="230">
        <f t="shared" si="7"/>
        <v>6959932.0000000009</v>
      </c>
      <c r="G16" s="368"/>
      <c r="H16" s="369"/>
      <c r="I16" s="235">
        <v>579957.52092382032</v>
      </c>
      <c r="J16" s="96">
        <f t="shared" si="8"/>
        <v>8.3328044142359475E-2</v>
      </c>
      <c r="K16" s="235">
        <v>800683.84357952105</v>
      </c>
      <c r="L16" s="96">
        <f t="shared" si="9"/>
        <v>0.11504190609614015</v>
      </c>
      <c r="M16" s="229">
        <f t="shared" si="0"/>
        <v>1380641.3645033413</v>
      </c>
      <c r="N16" s="96">
        <f t="shared" si="10"/>
        <v>0.1983699502384996</v>
      </c>
      <c r="O16" s="235">
        <v>159336.95864083563</v>
      </c>
      <c r="P16" s="96">
        <f t="shared" si="11"/>
        <v>2.2893464855811178E-2</v>
      </c>
      <c r="Q16" s="235">
        <v>120225.97271425456</v>
      </c>
      <c r="R16" s="96">
        <f t="shared" si="12"/>
        <v>1.7274015423463122E-2</v>
      </c>
      <c r="S16" s="229">
        <f t="shared" si="1"/>
        <v>279562.93135509017</v>
      </c>
      <c r="T16" s="96">
        <f t="shared" si="13"/>
        <v>4.0167480279274297E-2</v>
      </c>
      <c r="U16" s="235">
        <v>782722.64167353441</v>
      </c>
      <c r="V16" s="96">
        <f t="shared" si="14"/>
        <v>0.11246124842506137</v>
      </c>
      <c r="W16" s="235">
        <v>14095.086559914185</v>
      </c>
      <c r="X16" s="96">
        <f t="shared" si="15"/>
        <v>2.0251759011315315E-3</v>
      </c>
      <c r="Y16" s="235">
        <v>700085.96408336121</v>
      </c>
      <c r="Z16" s="96">
        <f t="shared" si="16"/>
        <v>0.10058804656185737</v>
      </c>
      <c r="AA16" s="235">
        <v>1081221.0431246185</v>
      </c>
      <c r="AB16" s="96">
        <f t="shared" si="17"/>
        <v>0.15534936880484154</v>
      </c>
      <c r="AC16" s="229">
        <f t="shared" si="2"/>
        <v>1781307.0072079797</v>
      </c>
      <c r="AD16" s="96">
        <f t="shared" si="18"/>
        <v>0.25593741536669889</v>
      </c>
      <c r="AE16" s="235">
        <v>842001.04429320199</v>
      </c>
      <c r="AF16" s="96">
        <f t="shared" si="3"/>
        <v>0.12097834350870122</v>
      </c>
      <c r="AG16" s="235">
        <v>872019.59304907836</v>
      </c>
      <c r="AH16" s="96">
        <f t="shared" si="4"/>
        <v>0.12529139552643306</v>
      </c>
      <c r="AI16" s="235">
        <v>618960.10471114784</v>
      </c>
      <c r="AJ16" s="96">
        <f t="shared" si="5"/>
        <v>8.8931918402528606E-2</v>
      </c>
      <c r="AK16" s="235">
        <v>388622.22664671275</v>
      </c>
      <c r="AL16" s="96">
        <f t="shared" si="6"/>
        <v>5.5837072351671353E-2</v>
      </c>
    </row>
    <row r="17" spans="2:38" ht="12">
      <c r="B17" s="350"/>
      <c r="C17" s="350"/>
      <c r="D17" s="82">
        <v>45880</v>
      </c>
      <c r="E17" s="82" t="s">
        <v>158</v>
      </c>
      <c r="F17" s="230">
        <f t="shared" si="7"/>
        <v>6830671.0000000009</v>
      </c>
      <c r="G17" s="368"/>
      <c r="H17" s="369"/>
      <c r="I17" s="235">
        <v>566289.20396133396</v>
      </c>
      <c r="J17" s="96">
        <f t="shared" si="8"/>
        <v>8.2903890988357348E-2</v>
      </c>
      <c r="K17" s="235">
        <v>780782.4376544595</v>
      </c>
      <c r="L17" s="96">
        <f t="shared" si="9"/>
        <v>0.11430537902564175</v>
      </c>
      <c r="M17" s="229">
        <f t="shared" si="0"/>
        <v>1347071.6416157936</v>
      </c>
      <c r="N17" s="96">
        <f t="shared" si="10"/>
        <v>0.19720927001399913</v>
      </c>
      <c r="O17" s="235">
        <v>152894.73791840917</v>
      </c>
      <c r="P17" s="96">
        <f t="shared" si="11"/>
        <v>2.2383560548943016E-2</v>
      </c>
      <c r="Q17" s="235">
        <v>119116.23056139477</v>
      </c>
      <c r="R17" s="96">
        <f t="shared" si="12"/>
        <v>1.7438437682241577E-2</v>
      </c>
      <c r="S17" s="229">
        <f t="shared" si="1"/>
        <v>272010.96847980394</v>
      </c>
      <c r="T17" s="96">
        <f t="shared" si="13"/>
        <v>3.9821998231184597E-2</v>
      </c>
      <c r="U17" s="235">
        <v>741852.65490757616</v>
      </c>
      <c r="V17" s="96">
        <f t="shared" si="14"/>
        <v>0.10860611716002368</v>
      </c>
      <c r="W17" s="235">
        <v>14439.566180602782</v>
      </c>
      <c r="X17" s="96">
        <f t="shared" si="15"/>
        <v>2.1139308540263145E-3</v>
      </c>
      <c r="Y17" s="235">
        <v>711543.46437810606</v>
      </c>
      <c r="Z17" s="96">
        <f t="shared" si="16"/>
        <v>0.10416889707879445</v>
      </c>
      <c r="AA17" s="235">
        <v>1109054.6920779375</v>
      </c>
      <c r="AB17" s="96">
        <f t="shared" si="17"/>
        <v>0.16236394522264905</v>
      </c>
      <c r="AC17" s="229">
        <f t="shared" si="2"/>
        <v>1820598.1564560435</v>
      </c>
      <c r="AD17" s="96">
        <f t="shared" si="18"/>
        <v>0.26653284230144347</v>
      </c>
      <c r="AE17" s="235">
        <v>800327.46765547618</v>
      </c>
      <c r="AF17" s="96">
        <f t="shared" si="3"/>
        <v>0.117166742133456</v>
      </c>
      <c r="AG17" s="235">
        <v>845054.32234409545</v>
      </c>
      <c r="AH17" s="96">
        <f t="shared" si="4"/>
        <v>0.12371468664558655</v>
      </c>
      <c r="AI17" s="235">
        <v>614864.35098111222</v>
      </c>
      <c r="AJ17" s="96">
        <f t="shared" si="5"/>
        <v>9.0015219731869989E-2</v>
      </c>
      <c r="AK17" s="235">
        <v>374451.8713794967</v>
      </c>
      <c r="AL17" s="96">
        <f t="shared" si="6"/>
        <v>5.4819192928410206E-2</v>
      </c>
    </row>
    <row r="18" spans="2:38" ht="12">
      <c r="B18" s="349">
        <f>D26</f>
        <v>45889</v>
      </c>
      <c r="C18" s="350"/>
      <c r="D18" s="82">
        <v>45881</v>
      </c>
      <c r="E18" s="82" t="s">
        <v>159</v>
      </c>
      <c r="F18" s="230">
        <f t="shared" si="7"/>
        <v>7487434.9999999981</v>
      </c>
      <c r="G18" s="368">
        <f t="shared" ref="G18" si="20">SUM(F18:F24)</f>
        <v>48523585</v>
      </c>
      <c r="H18" s="369"/>
      <c r="I18" s="235">
        <v>558887.26441133756</v>
      </c>
      <c r="J18" s="96">
        <f t="shared" si="8"/>
        <v>7.4643354421285488E-2</v>
      </c>
      <c r="K18" s="235">
        <v>750498.56294156413</v>
      </c>
      <c r="L18" s="96">
        <f t="shared" si="9"/>
        <v>0.10023440109217166</v>
      </c>
      <c r="M18" s="229">
        <f t="shared" si="0"/>
        <v>1309385.8273529017</v>
      </c>
      <c r="N18" s="96">
        <f t="shared" si="10"/>
        <v>0.17487775551345713</v>
      </c>
      <c r="O18" s="235">
        <v>145970.82623112996</v>
      </c>
      <c r="P18" s="96">
        <f t="shared" si="11"/>
        <v>1.9495438188262069E-2</v>
      </c>
      <c r="Q18" s="235">
        <v>114367.45504151593</v>
      </c>
      <c r="R18" s="96">
        <f t="shared" si="12"/>
        <v>1.5274584025305857E-2</v>
      </c>
      <c r="S18" s="229">
        <f t="shared" si="1"/>
        <v>260338.28127264589</v>
      </c>
      <c r="T18" s="96">
        <f t="shared" si="13"/>
        <v>3.4770022213567925E-2</v>
      </c>
      <c r="U18" s="235">
        <v>712087.61078755045</v>
      </c>
      <c r="V18" s="96">
        <f t="shared" si="14"/>
        <v>9.5104346253096106E-2</v>
      </c>
      <c r="W18" s="235">
        <v>13413.744292275822</v>
      </c>
      <c r="X18" s="96">
        <f t="shared" si="15"/>
        <v>1.791500599641376E-3</v>
      </c>
      <c r="Y18" s="235">
        <v>955512.4076488741</v>
      </c>
      <c r="Z18" s="96">
        <f t="shared" si="16"/>
        <v>0.12761545277506575</v>
      </c>
      <c r="AA18" s="235">
        <v>1148666.3565172632</v>
      </c>
      <c r="AB18" s="96">
        <f t="shared" si="17"/>
        <v>0.15341253132978963</v>
      </c>
      <c r="AC18" s="229">
        <f t="shared" si="2"/>
        <v>2104178.7641661372</v>
      </c>
      <c r="AD18" s="96">
        <f t="shared" si="18"/>
        <v>0.28102798410485536</v>
      </c>
      <c r="AE18" s="235">
        <v>859219.61760850262</v>
      </c>
      <c r="AF18" s="96">
        <f t="shared" si="3"/>
        <v>0.11475486833722133</v>
      </c>
      <c r="AG18" s="235">
        <v>1218740.7087907316</v>
      </c>
      <c r="AH18" s="96">
        <f t="shared" si="4"/>
        <v>0.16277145762076492</v>
      </c>
      <c r="AI18" s="235">
        <v>625894.26374757173</v>
      </c>
      <c r="AJ18" s="96">
        <f t="shared" si="5"/>
        <v>8.3592613992318043E-2</v>
      </c>
      <c r="AK18" s="235">
        <v>384176.18198168126</v>
      </c>
      <c r="AL18" s="96">
        <f t="shared" si="6"/>
        <v>5.1309451365077807E-2</v>
      </c>
    </row>
    <row r="19" spans="2:38" ht="12">
      <c r="B19" s="350"/>
      <c r="C19" s="350"/>
      <c r="D19" s="82">
        <v>45882</v>
      </c>
      <c r="E19" s="82" t="s">
        <v>160</v>
      </c>
      <c r="F19" s="230">
        <f t="shared" si="7"/>
        <v>7231344</v>
      </c>
      <c r="G19" s="368"/>
      <c r="H19" s="369"/>
      <c r="I19" s="235">
        <v>542562.79628241493</v>
      </c>
      <c r="J19" s="96">
        <f t="shared" si="8"/>
        <v>7.5029316304467741E-2</v>
      </c>
      <c r="K19" s="235">
        <v>753469.59436665464</v>
      </c>
      <c r="L19" s="96">
        <f t="shared" si="9"/>
        <v>0.10419495938329786</v>
      </c>
      <c r="M19" s="229">
        <f t="shared" si="0"/>
        <v>1296032.3906490696</v>
      </c>
      <c r="N19" s="96">
        <f t="shared" si="10"/>
        <v>0.17922427568776558</v>
      </c>
      <c r="O19" s="235">
        <v>139640.64663209458</v>
      </c>
      <c r="P19" s="96">
        <f t="shared" si="11"/>
        <v>1.931046934457752E-2</v>
      </c>
      <c r="Q19" s="235">
        <v>115956.22460070792</v>
      </c>
      <c r="R19" s="96">
        <f t="shared" si="12"/>
        <v>1.6035224517144796E-2</v>
      </c>
      <c r="S19" s="229">
        <f t="shared" si="1"/>
        <v>255596.87123280251</v>
      </c>
      <c r="T19" s="96">
        <f t="shared" si="13"/>
        <v>3.5345693861722316E-2</v>
      </c>
      <c r="U19" s="235">
        <v>725374.59164544311</v>
      </c>
      <c r="V19" s="96">
        <f t="shared" si="14"/>
        <v>0.1003097891132607</v>
      </c>
      <c r="W19" s="235">
        <v>13676.706402659562</v>
      </c>
      <c r="X19" s="96">
        <f t="shared" si="15"/>
        <v>1.8913090571627573E-3</v>
      </c>
      <c r="Y19" s="235">
        <v>894731.26891480887</v>
      </c>
      <c r="Z19" s="96">
        <f t="shared" si="16"/>
        <v>0.12372959562078763</v>
      </c>
      <c r="AA19" s="235">
        <v>1107829.7308953344</v>
      </c>
      <c r="AB19" s="96">
        <f t="shared" si="17"/>
        <v>0.15319831706185383</v>
      </c>
      <c r="AC19" s="229">
        <f t="shared" si="2"/>
        <v>2002560.9998101434</v>
      </c>
      <c r="AD19" s="96">
        <f t="shared" si="18"/>
        <v>0.2769279126826415</v>
      </c>
      <c r="AE19" s="235">
        <v>839308.29905587935</v>
      </c>
      <c r="AF19" s="96">
        <f t="shared" si="3"/>
        <v>0.11606532603840715</v>
      </c>
      <c r="AG19" s="235">
        <v>1058187.5457646367</v>
      </c>
      <c r="AH19" s="96">
        <f t="shared" si="4"/>
        <v>0.14633345416351881</v>
      </c>
      <c r="AI19" s="235">
        <v>650806.96198406036</v>
      </c>
      <c r="AJ19" s="96">
        <f t="shared" si="5"/>
        <v>8.9998064258049446E-2</v>
      </c>
      <c r="AK19" s="235">
        <v>389799.63345530635</v>
      </c>
      <c r="AL19" s="96">
        <f t="shared" si="6"/>
        <v>5.3904175137471866E-2</v>
      </c>
    </row>
    <row r="20" spans="2:38" ht="12">
      <c r="B20" s="350"/>
      <c r="C20" s="350"/>
      <c r="D20" s="82">
        <v>45883</v>
      </c>
      <c r="E20" s="82" t="s">
        <v>161</v>
      </c>
      <c r="F20" s="230">
        <f t="shared" si="7"/>
        <v>7037092.9999999991</v>
      </c>
      <c r="G20" s="368"/>
      <c r="H20" s="369"/>
      <c r="I20" s="235">
        <v>553845.52188878099</v>
      </c>
      <c r="J20" s="96">
        <f t="shared" si="8"/>
        <v>7.8703737734996684E-2</v>
      </c>
      <c r="K20" s="235">
        <v>738498.31994119647</v>
      </c>
      <c r="L20" s="96">
        <f t="shared" si="9"/>
        <v>0.10494366351861437</v>
      </c>
      <c r="M20" s="229">
        <f t="shared" si="0"/>
        <v>1292343.8418299775</v>
      </c>
      <c r="N20" s="96">
        <f t="shared" si="10"/>
        <v>0.18364740125361106</v>
      </c>
      <c r="O20" s="235">
        <v>142847.72981537477</v>
      </c>
      <c r="P20" s="96">
        <f t="shared" si="11"/>
        <v>2.0299252804442797E-2</v>
      </c>
      <c r="Q20" s="235">
        <v>114503.48787047141</v>
      </c>
      <c r="R20" s="96">
        <f t="shared" si="12"/>
        <v>1.6271418875730564E-2</v>
      </c>
      <c r="S20" s="229">
        <f t="shared" si="1"/>
        <v>257351.21768584618</v>
      </c>
      <c r="T20" s="96">
        <f t="shared" si="13"/>
        <v>3.6570671680173361E-2</v>
      </c>
      <c r="U20" s="235">
        <v>690536.3685103436</v>
      </c>
      <c r="V20" s="96">
        <f t="shared" si="14"/>
        <v>9.812807199085527E-2</v>
      </c>
      <c r="W20" s="235">
        <v>13623.002641666393</v>
      </c>
      <c r="X20" s="96">
        <f t="shared" si="15"/>
        <v>1.9358849800146731E-3</v>
      </c>
      <c r="Y20" s="235">
        <v>807947.03568329499</v>
      </c>
      <c r="Z20" s="96">
        <f t="shared" si="16"/>
        <v>0.11481261306100334</v>
      </c>
      <c r="AA20" s="235">
        <v>1116490.6701877227</v>
      </c>
      <c r="AB20" s="96">
        <f t="shared" si="17"/>
        <v>0.15865793875222664</v>
      </c>
      <c r="AC20" s="229">
        <f t="shared" si="2"/>
        <v>1924437.7058710176</v>
      </c>
      <c r="AD20" s="96">
        <f t="shared" si="18"/>
        <v>0.27347055181322999</v>
      </c>
      <c r="AE20" s="235">
        <v>803753.07527347398</v>
      </c>
      <c r="AF20" s="96">
        <f t="shared" si="3"/>
        <v>0.11421663395289419</v>
      </c>
      <c r="AG20" s="235">
        <v>1007468.4307908778</v>
      </c>
      <c r="AH20" s="96">
        <f t="shared" si="4"/>
        <v>0.14316542793890571</v>
      </c>
      <c r="AI20" s="235">
        <v>668860.72366960126</v>
      </c>
      <c r="AJ20" s="96">
        <f t="shared" si="5"/>
        <v>9.5047873272330108E-2</v>
      </c>
      <c r="AK20" s="235">
        <v>378718.63372719457</v>
      </c>
      <c r="AL20" s="96">
        <f t="shared" si="6"/>
        <v>5.38174831179856E-2</v>
      </c>
    </row>
    <row r="21" spans="2:38" ht="12">
      <c r="B21" s="350"/>
      <c r="C21" s="350"/>
      <c r="D21" s="82">
        <v>45884</v>
      </c>
      <c r="E21" s="82" t="s">
        <v>156</v>
      </c>
      <c r="F21" s="230">
        <f t="shared" si="7"/>
        <v>6388037.9999999991</v>
      </c>
      <c r="G21" s="368"/>
      <c r="H21" s="369"/>
      <c r="I21" s="235">
        <v>471450.9240039108</v>
      </c>
      <c r="J21" s="96">
        <f t="shared" si="8"/>
        <v>7.380214770230091E-2</v>
      </c>
      <c r="K21" s="235">
        <v>686358.98652517761</v>
      </c>
      <c r="L21" s="96">
        <f t="shared" si="9"/>
        <v>0.10744441196579885</v>
      </c>
      <c r="M21" s="229">
        <f t="shared" si="0"/>
        <v>1157809.9105290885</v>
      </c>
      <c r="N21" s="96">
        <f t="shared" si="10"/>
        <v>0.18124655966809974</v>
      </c>
      <c r="O21" s="235">
        <v>124873.80980431048</v>
      </c>
      <c r="P21" s="96">
        <f t="shared" si="11"/>
        <v>1.9548069345284184E-2</v>
      </c>
      <c r="Q21" s="235">
        <v>104864.12401260732</v>
      </c>
      <c r="R21" s="96">
        <f t="shared" si="12"/>
        <v>1.6415701348772085E-2</v>
      </c>
      <c r="S21" s="229">
        <f t="shared" si="1"/>
        <v>229737.93381691782</v>
      </c>
      <c r="T21" s="96">
        <f t="shared" si="13"/>
        <v>3.5963770694056277E-2</v>
      </c>
      <c r="U21" s="235">
        <v>609363.61295305786</v>
      </c>
      <c r="V21" s="96">
        <f t="shared" si="14"/>
        <v>9.5391356931980989E-2</v>
      </c>
      <c r="W21" s="235">
        <v>12509.093972074626</v>
      </c>
      <c r="X21" s="96">
        <f t="shared" si="15"/>
        <v>1.9582059424309356E-3</v>
      </c>
      <c r="Y21" s="235">
        <v>764495.14769605966</v>
      </c>
      <c r="Z21" s="96">
        <f t="shared" si="16"/>
        <v>0.11967604884254912</v>
      </c>
      <c r="AA21" s="235">
        <v>1141615.3714744309</v>
      </c>
      <c r="AB21" s="96">
        <f t="shared" si="17"/>
        <v>0.17871142461494924</v>
      </c>
      <c r="AC21" s="229">
        <f t="shared" si="2"/>
        <v>1906110.5191704906</v>
      </c>
      <c r="AD21" s="96">
        <f t="shared" si="18"/>
        <v>0.29838747345749833</v>
      </c>
      <c r="AE21" s="235">
        <v>724592.66397298314</v>
      </c>
      <c r="AF21" s="96">
        <f t="shared" si="3"/>
        <v>0.11342961077767277</v>
      </c>
      <c r="AG21" s="235">
        <v>792884.95898049406</v>
      </c>
      <c r="AH21" s="96">
        <f t="shared" si="4"/>
        <v>0.12412026337045806</v>
      </c>
      <c r="AI21" s="235">
        <v>596864.24035124609</v>
      </c>
      <c r="AJ21" s="96">
        <f t="shared" si="5"/>
        <v>9.3434672798008739E-2</v>
      </c>
      <c r="AK21" s="235">
        <v>358165.06625364599</v>
      </c>
      <c r="AL21" s="96">
        <f t="shared" si="6"/>
        <v>5.6068086359794045E-2</v>
      </c>
    </row>
    <row r="22" spans="2:38" ht="12">
      <c r="B22" s="350"/>
      <c r="C22" s="350"/>
      <c r="D22" s="82">
        <v>45885</v>
      </c>
      <c r="E22" s="82" t="s">
        <v>157</v>
      </c>
      <c r="F22" s="230">
        <f t="shared" si="7"/>
        <v>6365900.0000000019</v>
      </c>
      <c r="G22" s="368"/>
      <c r="H22" s="369"/>
      <c r="I22" s="235">
        <v>458402.27101831697</v>
      </c>
      <c r="J22" s="96">
        <f t="shared" si="8"/>
        <v>7.2009027948650911E-2</v>
      </c>
      <c r="K22" s="235">
        <v>738962.50421300181</v>
      </c>
      <c r="L22" s="96">
        <f t="shared" si="9"/>
        <v>0.11608138742565884</v>
      </c>
      <c r="M22" s="229">
        <f t="shared" si="0"/>
        <v>1197364.7752313188</v>
      </c>
      <c r="N22" s="96">
        <f t="shared" si="10"/>
        <v>0.18809041537430976</v>
      </c>
      <c r="O22" s="235">
        <v>124808.74504224687</v>
      </c>
      <c r="P22" s="96">
        <f t="shared" si="11"/>
        <v>1.960582871899446E-2</v>
      </c>
      <c r="Q22" s="235">
        <v>104024.37320295154</v>
      </c>
      <c r="R22" s="96">
        <f t="shared" si="12"/>
        <v>1.6340874535093468E-2</v>
      </c>
      <c r="S22" s="229">
        <f t="shared" si="1"/>
        <v>228833.11824519839</v>
      </c>
      <c r="T22" s="96">
        <f t="shared" si="13"/>
        <v>3.5946703254087928E-2</v>
      </c>
      <c r="U22" s="235">
        <v>600837.63326672907</v>
      </c>
      <c r="V22" s="96">
        <f t="shared" si="14"/>
        <v>9.4383768715614269E-2</v>
      </c>
      <c r="W22" s="235">
        <v>13246.387463860847</v>
      </c>
      <c r="X22" s="96">
        <f t="shared" si="15"/>
        <v>2.080834990160204E-3</v>
      </c>
      <c r="Y22" s="235">
        <v>740381.55320511805</v>
      </c>
      <c r="Z22" s="96">
        <f t="shared" si="16"/>
        <v>0.11630430154496894</v>
      </c>
      <c r="AA22" s="235">
        <v>1106517.5026640925</v>
      </c>
      <c r="AB22" s="96">
        <f t="shared" si="17"/>
        <v>0.17381949177085598</v>
      </c>
      <c r="AC22" s="229">
        <f t="shared" si="2"/>
        <v>1846899.0558692105</v>
      </c>
      <c r="AD22" s="96">
        <f t="shared" si="18"/>
        <v>0.29012379331582494</v>
      </c>
      <c r="AE22" s="235">
        <v>731987.30304398818</v>
      </c>
      <c r="AF22" s="96">
        <f t="shared" si="3"/>
        <v>0.11498567414568057</v>
      </c>
      <c r="AG22" s="235">
        <v>846969.10650692508</v>
      </c>
      <c r="AH22" s="96">
        <f t="shared" si="4"/>
        <v>0.13304781829857912</v>
      </c>
      <c r="AI22" s="235">
        <v>551276.210288406</v>
      </c>
      <c r="AJ22" s="96">
        <f t="shared" si="5"/>
        <v>8.6598314502019491E-2</v>
      </c>
      <c r="AK22" s="235">
        <v>348486.4100843636</v>
      </c>
      <c r="AL22" s="96">
        <f t="shared" si="6"/>
        <v>5.4742677403723509E-2</v>
      </c>
    </row>
    <row r="23" spans="2:38" ht="12">
      <c r="B23" s="350"/>
      <c r="C23" s="350"/>
      <c r="D23" s="82">
        <v>45886</v>
      </c>
      <c r="E23" s="82" t="s">
        <v>152</v>
      </c>
      <c r="F23" s="230">
        <f t="shared" si="7"/>
        <v>7153919.9999999991</v>
      </c>
      <c r="G23" s="368"/>
      <c r="H23" s="369"/>
      <c r="I23" s="235">
        <v>564087.79794782691</v>
      </c>
      <c r="J23" s="96">
        <f t="shared" si="8"/>
        <v>7.8850168571612061E-2</v>
      </c>
      <c r="K23" s="235">
        <v>792939.40069789626</v>
      </c>
      <c r="L23" s="96">
        <f t="shared" si="9"/>
        <v>0.11083984734214199</v>
      </c>
      <c r="M23" s="229">
        <f t="shared" si="0"/>
        <v>1357027.1986457231</v>
      </c>
      <c r="N23" s="96">
        <f t="shared" si="10"/>
        <v>0.18969001591375403</v>
      </c>
      <c r="O23" s="235">
        <v>156340.67333933487</v>
      </c>
      <c r="P23" s="96">
        <f t="shared" si="11"/>
        <v>2.1853847029228015E-2</v>
      </c>
      <c r="Q23" s="235">
        <v>117704.57058397861</v>
      </c>
      <c r="R23" s="96">
        <f t="shared" si="12"/>
        <v>1.6453157231836338E-2</v>
      </c>
      <c r="S23" s="229">
        <f t="shared" si="1"/>
        <v>274045.24392331345</v>
      </c>
      <c r="T23" s="96">
        <f t="shared" si="13"/>
        <v>3.8307004261064349E-2</v>
      </c>
      <c r="U23" s="235">
        <v>717127.54328485881</v>
      </c>
      <c r="V23" s="96">
        <f t="shared" si="14"/>
        <v>0.10024260032050385</v>
      </c>
      <c r="W23" s="235">
        <v>12745.484433445856</v>
      </c>
      <c r="X23" s="96">
        <f t="shared" si="15"/>
        <v>1.7816084654910674E-3</v>
      </c>
      <c r="Y23" s="235">
        <v>770890.6161704011</v>
      </c>
      <c r="Z23" s="96">
        <f t="shared" si="16"/>
        <v>0.10775779099715976</v>
      </c>
      <c r="AA23" s="235">
        <v>1093784.9516265444</v>
      </c>
      <c r="AB23" s="96">
        <f t="shared" si="17"/>
        <v>0.1528930924061975</v>
      </c>
      <c r="AC23" s="229">
        <f t="shared" si="2"/>
        <v>1864675.5677969456</v>
      </c>
      <c r="AD23" s="96">
        <f t="shared" si="18"/>
        <v>0.26065088340335729</v>
      </c>
      <c r="AE23" s="235">
        <v>884052.9889343176</v>
      </c>
      <c r="AF23" s="96">
        <f t="shared" si="3"/>
        <v>0.12357602390498044</v>
      </c>
      <c r="AG23" s="235">
        <v>1017835.2624908922</v>
      </c>
      <c r="AH23" s="96">
        <f t="shared" si="4"/>
        <v>0.14227657878350503</v>
      </c>
      <c r="AI23" s="235">
        <v>636158.50696629076</v>
      </c>
      <c r="AJ23" s="96">
        <f t="shared" si="5"/>
        <v>8.8924464764253836E-2</v>
      </c>
      <c r="AK23" s="235">
        <v>390252.20352421177</v>
      </c>
      <c r="AL23" s="96">
        <f t="shared" si="6"/>
        <v>5.4550820183090085E-2</v>
      </c>
    </row>
    <row r="24" spans="2:38" ht="12">
      <c r="B24" s="350"/>
      <c r="C24" s="350"/>
      <c r="D24" s="82">
        <v>45887</v>
      </c>
      <c r="E24" s="82" t="s">
        <v>158</v>
      </c>
      <c r="F24" s="230">
        <f t="shared" si="7"/>
        <v>6859855.0000000009</v>
      </c>
      <c r="G24" s="368"/>
      <c r="H24" s="369"/>
      <c r="I24" s="235">
        <v>559286.04968494747</v>
      </c>
      <c r="J24" s="96">
        <f t="shared" si="8"/>
        <v>8.1530301979407346E-2</v>
      </c>
      <c r="K24" s="235">
        <v>833445.19875080662</v>
      </c>
      <c r="L24" s="96">
        <f t="shared" si="9"/>
        <v>0.12149603727058465</v>
      </c>
      <c r="M24" s="229">
        <f t="shared" si="0"/>
        <v>1392731.2484357541</v>
      </c>
      <c r="N24" s="96">
        <f t="shared" si="10"/>
        <v>0.203026339249992</v>
      </c>
      <c r="O24" s="235">
        <v>149464.12001998207</v>
      </c>
      <c r="P24" s="96">
        <f t="shared" si="11"/>
        <v>2.1788233136120525E-2</v>
      </c>
      <c r="Q24" s="235">
        <v>120215.0615933535</v>
      </c>
      <c r="R24" s="96">
        <f t="shared" si="12"/>
        <v>1.7524431871133353E-2</v>
      </c>
      <c r="S24" s="229">
        <f t="shared" si="1"/>
        <v>269679.18161333556</v>
      </c>
      <c r="T24" s="96">
        <f t="shared" si="13"/>
        <v>3.9312665007253875E-2</v>
      </c>
      <c r="U24" s="235">
        <v>699866.89357226191</v>
      </c>
      <c r="V24" s="96">
        <f t="shared" si="14"/>
        <v>0.10202356953204722</v>
      </c>
      <c r="W24" s="235">
        <v>12981.770682534911</v>
      </c>
      <c r="X24" s="96">
        <f t="shared" si="15"/>
        <v>1.8924263971373898E-3</v>
      </c>
      <c r="Y24" s="235">
        <v>731613.50520396943</v>
      </c>
      <c r="Z24" s="96">
        <f t="shared" si="16"/>
        <v>0.10665145330389189</v>
      </c>
      <c r="AA24" s="235">
        <v>1063991.5541195802</v>
      </c>
      <c r="AB24" s="96">
        <f t="shared" si="17"/>
        <v>0.15510408807760223</v>
      </c>
      <c r="AC24" s="229">
        <f t="shared" si="2"/>
        <v>1795605.0593235497</v>
      </c>
      <c r="AD24" s="96">
        <f t="shared" si="18"/>
        <v>0.26175554138149415</v>
      </c>
      <c r="AE24" s="235">
        <v>872648.97728623997</v>
      </c>
      <c r="AF24" s="96">
        <f t="shared" si="3"/>
        <v>0.12721099458898766</v>
      </c>
      <c r="AG24" s="235">
        <v>782377.15349007549</v>
      </c>
      <c r="AH24" s="96">
        <f t="shared" si="4"/>
        <v>0.1140515584498616</v>
      </c>
      <c r="AI24" s="235">
        <v>649146.42091801716</v>
      </c>
      <c r="AJ24" s="96">
        <f t="shared" si="5"/>
        <v>9.462975834299954E-2</v>
      </c>
      <c r="AK24" s="235">
        <v>384818.29467823054</v>
      </c>
      <c r="AL24" s="96">
        <f t="shared" si="6"/>
        <v>5.6097147050226351E-2</v>
      </c>
    </row>
    <row r="25" spans="2:38" ht="12">
      <c r="B25" s="349">
        <f>D33</f>
        <v>45896</v>
      </c>
      <c r="C25" s="350"/>
      <c r="D25" s="82">
        <v>45888</v>
      </c>
      <c r="E25" s="82" t="s">
        <v>159</v>
      </c>
      <c r="F25" s="230">
        <f t="shared" si="7"/>
        <v>7669791</v>
      </c>
      <c r="G25" s="368">
        <f t="shared" ref="G25" si="21">SUM(F25:F31)</f>
        <v>48798227</v>
      </c>
      <c r="H25" s="369"/>
      <c r="I25" s="235">
        <v>607919.46854440158</v>
      </c>
      <c r="J25" s="96">
        <f t="shared" si="8"/>
        <v>7.9261542921365336E-2</v>
      </c>
      <c r="K25" s="235">
        <v>832702.39674992755</v>
      </c>
      <c r="L25" s="96">
        <f t="shared" si="9"/>
        <v>0.10856911182455005</v>
      </c>
      <c r="M25" s="229">
        <f t="shared" si="0"/>
        <v>1440621.8652943291</v>
      </c>
      <c r="N25" s="96">
        <f t="shared" si="10"/>
        <v>0.1878306547459154</v>
      </c>
      <c r="O25" s="235">
        <v>224155.30529365342</v>
      </c>
      <c r="P25" s="96">
        <f t="shared" si="11"/>
        <v>2.9225738392826273E-2</v>
      </c>
      <c r="Q25" s="235">
        <v>123513.28237149183</v>
      </c>
      <c r="R25" s="96">
        <f t="shared" si="12"/>
        <v>1.6103865460152935E-2</v>
      </c>
      <c r="S25" s="229">
        <f t="shared" si="1"/>
        <v>347668.58766514529</v>
      </c>
      <c r="T25" s="96">
        <f t="shared" si="13"/>
        <v>4.5329603852979211E-2</v>
      </c>
      <c r="U25" s="235">
        <v>690915.53772226849</v>
      </c>
      <c r="V25" s="96">
        <f t="shared" si="14"/>
        <v>9.0082707302228768E-2</v>
      </c>
      <c r="W25" s="235">
        <v>13253.034869267667</v>
      </c>
      <c r="X25" s="96">
        <f t="shared" si="15"/>
        <v>1.7279525438525856E-3</v>
      </c>
      <c r="Y25" s="235">
        <v>765839.81323472853</v>
      </c>
      <c r="Z25" s="96">
        <f t="shared" si="16"/>
        <v>9.9851457912572647E-2</v>
      </c>
      <c r="AA25" s="235">
        <v>1077776.5696036476</v>
      </c>
      <c r="AB25" s="96">
        <f t="shared" si="17"/>
        <v>0.14052228667034702</v>
      </c>
      <c r="AC25" s="229">
        <f t="shared" si="2"/>
        <v>1843616.3828383761</v>
      </c>
      <c r="AD25" s="96">
        <f t="shared" si="18"/>
        <v>0.24037374458291969</v>
      </c>
      <c r="AE25" s="235">
        <v>856379.75984626496</v>
      </c>
      <c r="AF25" s="96">
        <f t="shared" si="3"/>
        <v>0.11165620547499469</v>
      </c>
      <c r="AG25" s="235">
        <v>1231516.6930345737</v>
      </c>
      <c r="AH25" s="96">
        <f t="shared" si="4"/>
        <v>0.16056717751951438</v>
      </c>
      <c r="AI25" s="235">
        <v>609285.30274875567</v>
      </c>
      <c r="AJ25" s="96">
        <f t="shared" si="5"/>
        <v>7.9439622637534152E-2</v>
      </c>
      <c r="AK25" s="235">
        <v>636533.83598101838</v>
      </c>
      <c r="AL25" s="96">
        <f t="shared" si="6"/>
        <v>8.2992331340061079E-2</v>
      </c>
    </row>
    <row r="26" spans="2:38" ht="12">
      <c r="B26" s="350"/>
      <c r="C26" s="350"/>
      <c r="D26" s="82">
        <v>45889</v>
      </c>
      <c r="E26" s="82" t="s">
        <v>160</v>
      </c>
      <c r="F26" s="230">
        <f t="shared" si="7"/>
        <v>7361857.9999999991</v>
      </c>
      <c r="G26" s="368"/>
      <c r="H26" s="369"/>
      <c r="I26" s="235">
        <v>594546.06029676623</v>
      </c>
      <c r="J26" s="96">
        <f t="shared" si="8"/>
        <v>8.0760327120784764E-2</v>
      </c>
      <c r="K26" s="235">
        <v>830968.7763536385</v>
      </c>
      <c r="L26" s="96">
        <f t="shared" si="9"/>
        <v>0.11287487158182603</v>
      </c>
      <c r="M26" s="229">
        <f t="shared" si="0"/>
        <v>1425514.8366504046</v>
      </c>
      <c r="N26" s="96">
        <f t="shared" si="10"/>
        <v>0.19363519870261078</v>
      </c>
      <c r="O26" s="235">
        <v>196772.42572806089</v>
      </c>
      <c r="P26" s="96">
        <f t="shared" si="11"/>
        <v>2.6728636402394736E-2</v>
      </c>
      <c r="Q26" s="235">
        <v>120856.20205696064</v>
      </c>
      <c r="R26" s="96">
        <f t="shared" si="12"/>
        <v>1.6416535344332999E-2</v>
      </c>
      <c r="S26" s="229">
        <f t="shared" si="1"/>
        <v>317628.62778502156</v>
      </c>
      <c r="T26" s="96">
        <f t="shared" si="13"/>
        <v>4.3145171746727738E-2</v>
      </c>
      <c r="U26" s="235">
        <v>685874.37317023252</v>
      </c>
      <c r="V26" s="96">
        <f t="shared" si="14"/>
        <v>9.3165933541537016E-2</v>
      </c>
      <c r="W26" s="235">
        <v>12905.884845743363</v>
      </c>
      <c r="X26" s="96">
        <f t="shared" si="15"/>
        <v>1.7530744067249552E-3</v>
      </c>
      <c r="Y26" s="235">
        <v>764276.2125262575</v>
      </c>
      <c r="Z26" s="96">
        <f t="shared" si="16"/>
        <v>0.10381566888769894</v>
      </c>
      <c r="AA26" s="235">
        <v>1068327.1728723603</v>
      </c>
      <c r="AB26" s="96">
        <f t="shared" si="17"/>
        <v>0.14511651445495966</v>
      </c>
      <c r="AC26" s="229">
        <f t="shared" si="2"/>
        <v>1832603.3853986179</v>
      </c>
      <c r="AD26" s="96">
        <f t="shared" si="18"/>
        <v>0.24893218334265863</v>
      </c>
      <c r="AE26" s="235">
        <v>835491.40897085972</v>
      </c>
      <c r="AF26" s="96">
        <f t="shared" si="3"/>
        <v>0.11348920462346052</v>
      </c>
      <c r="AG26" s="235">
        <v>1044244.4273760145</v>
      </c>
      <c r="AH26" s="96">
        <f t="shared" si="4"/>
        <v>0.14184522811714306</v>
      </c>
      <c r="AI26" s="235">
        <v>678370.87098569155</v>
      </c>
      <c r="AJ26" s="96">
        <f t="shared" si="5"/>
        <v>9.2146693264892041E-2</v>
      </c>
      <c r="AK26" s="235">
        <v>529224.18481741415</v>
      </c>
      <c r="AL26" s="96">
        <f t="shared" si="6"/>
        <v>7.1887312254245356E-2</v>
      </c>
    </row>
    <row r="27" spans="2:38" ht="12">
      <c r="B27" s="350"/>
      <c r="C27" s="350"/>
      <c r="D27" s="82">
        <v>45890</v>
      </c>
      <c r="E27" s="82" t="s">
        <v>161</v>
      </c>
      <c r="F27" s="230">
        <f t="shared" si="7"/>
        <v>7002875.9999999991</v>
      </c>
      <c r="G27" s="368"/>
      <c r="H27" s="369"/>
      <c r="I27" s="235">
        <v>568728.19321773399</v>
      </c>
      <c r="J27" s="96">
        <f t="shared" si="8"/>
        <v>8.1213517591591525E-2</v>
      </c>
      <c r="K27" s="235">
        <v>780398.67448170099</v>
      </c>
      <c r="L27" s="96">
        <f t="shared" si="9"/>
        <v>0.11143973911314453</v>
      </c>
      <c r="M27" s="229">
        <f t="shared" si="0"/>
        <v>1349126.867699435</v>
      </c>
      <c r="N27" s="96">
        <f t="shared" si="10"/>
        <v>0.19265325670473604</v>
      </c>
      <c r="O27" s="235">
        <v>185478.53974416779</v>
      </c>
      <c r="P27" s="96">
        <f t="shared" si="11"/>
        <v>2.6486052265407501E-2</v>
      </c>
      <c r="Q27" s="235">
        <v>121450.38392065842</v>
      </c>
      <c r="R27" s="96">
        <f t="shared" si="12"/>
        <v>1.7342929379394759E-2</v>
      </c>
      <c r="S27" s="229">
        <f t="shared" si="1"/>
        <v>306928.9236648262</v>
      </c>
      <c r="T27" s="96">
        <f t="shared" si="13"/>
        <v>4.3828981644802256E-2</v>
      </c>
      <c r="U27" s="235">
        <v>643674.20583801123</v>
      </c>
      <c r="V27" s="96">
        <f t="shared" si="14"/>
        <v>9.1915693757537803E-2</v>
      </c>
      <c r="W27" s="235">
        <v>11872.64236429532</v>
      </c>
      <c r="X27" s="96">
        <f t="shared" si="15"/>
        <v>1.6953952010995655E-3</v>
      </c>
      <c r="Y27" s="235">
        <v>726904.73405542341</v>
      </c>
      <c r="Z27" s="96">
        <f t="shared" si="16"/>
        <v>0.10380088610099958</v>
      </c>
      <c r="AA27" s="235">
        <v>999381.41057544365</v>
      </c>
      <c r="AB27" s="96">
        <f t="shared" si="17"/>
        <v>0.14271013945919417</v>
      </c>
      <c r="AC27" s="229">
        <f t="shared" si="2"/>
        <v>1726286.1446308671</v>
      </c>
      <c r="AD27" s="96">
        <f t="shared" si="18"/>
        <v>0.24651102556019375</v>
      </c>
      <c r="AE27" s="235">
        <v>810524.18183271657</v>
      </c>
      <c r="AF27" s="96">
        <f t="shared" si="3"/>
        <v>0.11574161556376504</v>
      </c>
      <c r="AG27" s="235">
        <v>999965.11317107384</v>
      </c>
      <c r="AH27" s="96">
        <f t="shared" si="4"/>
        <v>0.1427934912985856</v>
      </c>
      <c r="AI27" s="235">
        <v>652636.92766327085</v>
      </c>
      <c r="AJ27" s="96">
        <f t="shared" si="5"/>
        <v>9.3195556748865885E-2</v>
      </c>
      <c r="AK27" s="235">
        <v>501860.99313550338</v>
      </c>
      <c r="AL27" s="96">
        <f t="shared" si="6"/>
        <v>7.1664983520414102E-2</v>
      </c>
    </row>
    <row r="28" spans="2:38" ht="12">
      <c r="B28" s="350"/>
      <c r="C28" s="350"/>
      <c r="D28" s="82">
        <v>45891</v>
      </c>
      <c r="E28" s="82" t="s">
        <v>156</v>
      </c>
      <c r="F28" s="230">
        <f t="shared" si="7"/>
        <v>6204031.0000000009</v>
      </c>
      <c r="G28" s="368"/>
      <c r="H28" s="369"/>
      <c r="I28" s="235">
        <v>499996.8324084442</v>
      </c>
      <c r="J28" s="96">
        <f t="shared" si="8"/>
        <v>8.0592252425631672E-2</v>
      </c>
      <c r="K28" s="235">
        <v>731141.65607261145</v>
      </c>
      <c r="L28" s="96">
        <f t="shared" si="9"/>
        <v>0.11784945240805718</v>
      </c>
      <c r="M28" s="229">
        <f t="shared" si="0"/>
        <v>1231138.4884810557</v>
      </c>
      <c r="N28" s="96">
        <f t="shared" si="10"/>
        <v>0.19844170483368886</v>
      </c>
      <c r="O28" s="235">
        <v>173126.79240100068</v>
      </c>
      <c r="P28" s="96">
        <f t="shared" si="11"/>
        <v>2.7905533096304752E-2</v>
      </c>
      <c r="Q28" s="235">
        <v>104751.29825506071</v>
      </c>
      <c r="R28" s="96">
        <f t="shared" si="12"/>
        <v>1.6884393107491031E-2</v>
      </c>
      <c r="S28" s="229">
        <f t="shared" si="1"/>
        <v>277878.09065606142</v>
      </c>
      <c r="T28" s="96">
        <f t="shared" si="13"/>
        <v>4.4789926203795787E-2</v>
      </c>
      <c r="U28" s="235">
        <v>555001.44876619615</v>
      </c>
      <c r="V28" s="96">
        <f t="shared" si="14"/>
        <v>8.9458200445193786E-2</v>
      </c>
      <c r="W28" s="235">
        <v>11208.880118308269</v>
      </c>
      <c r="X28" s="96">
        <f t="shared" si="15"/>
        <v>1.8067092376405384E-3</v>
      </c>
      <c r="Y28" s="235">
        <v>658869.66813361773</v>
      </c>
      <c r="Z28" s="96">
        <f t="shared" si="16"/>
        <v>0.10620025401768908</v>
      </c>
      <c r="AA28" s="235">
        <v>1002788.1628648188</v>
      </c>
      <c r="AB28" s="96">
        <f t="shared" si="17"/>
        <v>0.16163493748900007</v>
      </c>
      <c r="AC28" s="229">
        <f t="shared" si="2"/>
        <v>1661657.8309984365</v>
      </c>
      <c r="AD28" s="96">
        <f t="shared" si="18"/>
        <v>0.26783519150668916</v>
      </c>
      <c r="AE28" s="235">
        <v>665464.13643061579</v>
      </c>
      <c r="AF28" s="96">
        <f t="shared" si="3"/>
        <v>0.10726318685877226</v>
      </c>
      <c r="AG28" s="235">
        <v>813011.00030034478</v>
      </c>
      <c r="AH28" s="96">
        <f t="shared" si="4"/>
        <v>0.13104560571994961</v>
      </c>
      <c r="AI28" s="235">
        <v>554084.81254173466</v>
      </c>
      <c r="AJ28" s="96">
        <f t="shared" si="5"/>
        <v>8.9310451953211481E-2</v>
      </c>
      <c r="AK28" s="235">
        <v>434586.31170724763</v>
      </c>
      <c r="AL28" s="96">
        <f t="shared" si="6"/>
        <v>7.0049023241058522E-2</v>
      </c>
    </row>
    <row r="29" spans="2:38" ht="12">
      <c r="B29" s="350"/>
      <c r="C29" s="350"/>
      <c r="D29" s="82">
        <v>45892</v>
      </c>
      <c r="E29" s="82" t="s">
        <v>157</v>
      </c>
      <c r="F29" s="230">
        <f t="shared" si="7"/>
        <v>6323179</v>
      </c>
      <c r="G29" s="368"/>
      <c r="H29" s="369"/>
      <c r="I29" s="235">
        <v>481953.15068428125</v>
      </c>
      <c r="J29" s="96">
        <f t="shared" si="8"/>
        <v>7.6220070740410997E-2</v>
      </c>
      <c r="K29" s="235">
        <v>765037.77628811623</v>
      </c>
      <c r="L29" s="96">
        <f t="shared" si="9"/>
        <v>0.12098942261291611</v>
      </c>
      <c r="M29" s="229">
        <f t="shared" si="0"/>
        <v>1246990.9269723976</v>
      </c>
      <c r="N29" s="96">
        <f t="shared" si="10"/>
        <v>0.1972094933533271</v>
      </c>
      <c r="O29" s="235">
        <v>168482.61282617808</v>
      </c>
      <c r="P29" s="96">
        <f t="shared" si="11"/>
        <v>2.6645238546335329E-2</v>
      </c>
      <c r="Q29" s="235">
        <v>105779.12025039711</v>
      </c>
      <c r="R29" s="96">
        <f t="shared" si="12"/>
        <v>1.6728787885080768E-2</v>
      </c>
      <c r="S29" s="229">
        <f t="shared" si="1"/>
        <v>274261.73307657521</v>
      </c>
      <c r="T29" s="96">
        <f t="shared" si="13"/>
        <v>4.33740264314161E-2</v>
      </c>
      <c r="U29" s="235">
        <v>552843.19002695137</v>
      </c>
      <c r="V29" s="96">
        <f t="shared" si="14"/>
        <v>8.7431209843490329E-2</v>
      </c>
      <c r="W29" s="235">
        <v>11709.925034692744</v>
      </c>
      <c r="X29" s="96">
        <f t="shared" si="15"/>
        <v>1.851904719871562E-3</v>
      </c>
      <c r="Y29" s="235">
        <v>662479.35424756468</v>
      </c>
      <c r="Z29" s="96">
        <f t="shared" si="16"/>
        <v>0.10476998266972432</v>
      </c>
      <c r="AA29" s="235">
        <v>1080025.8196861686</v>
      </c>
      <c r="AB29" s="96">
        <f t="shared" si="17"/>
        <v>0.17080424572610842</v>
      </c>
      <c r="AC29" s="229">
        <f t="shared" si="2"/>
        <v>1742505.1739337333</v>
      </c>
      <c r="AD29" s="96">
        <f t="shared" si="18"/>
        <v>0.27557422839583273</v>
      </c>
      <c r="AE29" s="235">
        <v>676673.08911958453</v>
      </c>
      <c r="AF29" s="96">
        <f t="shared" si="3"/>
        <v>0.10701469768918206</v>
      </c>
      <c r="AG29" s="235">
        <v>836437.21800692216</v>
      </c>
      <c r="AH29" s="96">
        <f t="shared" si="4"/>
        <v>0.13228112283503632</v>
      </c>
      <c r="AI29" s="235">
        <v>539013.59240725182</v>
      </c>
      <c r="AJ29" s="96">
        <f t="shared" si="5"/>
        <v>8.5244082510909758E-2</v>
      </c>
      <c r="AK29" s="235">
        <v>442744.15142189193</v>
      </c>
      <c r="AL29" s="96">
        <f t="shared" si="6"/>
        <v>7.0019234220934118E-2</v>
      </c>
    </row>
    <row r="30" spans="2:38" ht="12">
      <c r="B30" s="350"/>
      <c r="C30" s="350"/>
      <c r="D30" s="82">
        <v>45893</v>
      </c>
      <c r="E30" s="82" t="s">
        <v>152</v>
      </c>
      <c r="F30" s="230">
        <f t="shared" si="7"/>
        <v>7218612</v>
      </c>
      <c r="G30" s="368"/>
      <c r="H30" s="369"/>
      <c r="I30" s="235">
        <v>591387.06884156272</v>
      </c>
      <c r="J30" s="96">
        <f t="shared" si="8"/>
        <v>8.1925315952923183E-2</v>
      </c>
      <c r="K30" s="235">
        <v>825455.84128711233</v>
      </c>
      <c r="L30" s="96">
        <f t="shared" si="9"/>
        <v>0.11435104716628521</v>
      </c>
      <c r="M30" s="229">
        <f t="shared" si="0"/>
        <v>1416842.9101286749</v>
      </c>
      <c r="N30" s="96">
        <f t="shared" si="10"/>
        <v>0.19627636311920837</v>
      </c>
      <c r="O30" s="235">
        <v>214795.814866737</v>
      </c>
      <c r="P30" s="96">
        <f t="shared" si="11"/>
        <v>2.9755833235909756E-2</v>
      </c>
      <c r="Q30" s="235">
        <v>117310.17013337708</v>
      </c>
      <c r="R30" s="96">
        <f t="shared" si="12"/>
        <v>1.62510701688049E-2</v>
      </c>
      <c r="S30" s="229">
        <f t="shared" si="1"/>
        <v>332105.98500011407</v>
      </c>
      <c r="T30" s="96">
        <f t="shared" si="13"/>
        <v>4.6006903404714659E-2</v>
      </c>
      <c r="U30" s="235">
        <v>674550.39295036474</v>
      </c>
      <c r="V30" s="96">
        <f t="shared" si="14"/>
        <v>9.3445996675034587E-2</v>
      </c>
      <c r="W30" s="235">
        <v>12454.029015487155</v>
      </c>
      <c r="X30" s="96">
        <f t="shared" si="15"/>
        <v>1.7252664384077097E-3</v>
      </c>
      <c r="Y30" s="235">
        <v>743647.63896341145</v>
      </c>
      <c r="Z30" s="96">
        <f t="shared" si="16"/>
        <v>0.10301809253128046</v>
      </c>
      <c r="AA30" s="235">
        <v>1093643.0439450918</v>
      </c>
      <c r="AB30" s="96">
        <f t="shared" si="17"/>
        <v>0.15150323136152655</v>
      </c>
      <c r="AC30" s="229">
        <f t="shared" si="2"/>
        <v>1837290.6829085033</v>
      </c>
      <c r="AD30" s="96">
        <f t="shared" si="18"/>
        <v>0.25452132389280702</v>
      </c>
      <c r="AE30" s="235">
        <v>825284.15687706426</v>
      </c>
      <c r="AF30" s="96">
        <f t="shared" si="3"/>
        <v>0.11432726358987909</v>
      </c>
      <c r="AG30" s="235">
        <v>970670.91779926955</v>
      </c>
      <c r="AH30" s="96">
        <f t="shared" si="4"/>
        <v>0.13446780597146232</v>
      </c>
      <c r="AI30" s="235">
        <v>648153.0186022144</v>
      </c>
      <c r="AJ30" s="96">
        <f t="shared" si="5"/>
        <v>8.9789147636999245E-2</v>
      </c>
      <c r="AK30" s="235">
        <v>501259.90671830723</v>
      </c>
      <c r="AL30" s="96">
        <f t="shared" si="6"/>
        <v>6.9439929271486983E-2</v>
      </c>
    </row>
    <row r="31" spans="2:38" ht="12">
      <c r="B31" s="350"/>
      <c r="C31" s="350"/>
      <c r="D31" s="82">
        <v>45894</v>
      </c>
      <c r="E31" s="82" t="s">
        <v>158</v>
      </c>
      <c r="F31" s="230">
        <f t="shared" si="7"/>
        <v>7017880.0000000009</v>
      </c>
      <c r="G31" s="368"/>
      <c r="H31" s="369"/>
      <c r="I31" s="235">
        <v>573896.01289084845</v>
      </c>
      <c r="J31" s="96">
        <f t="shared" si="8"/>
        <v>8.1776264753864181E-2</v>
      </c>
      <c r="K31" s="235">
        <v>804365.326822364</v>
      </c>
      <c r="L31" s="96">
        <f t="shared" si="9"/>
        <v>0.1146165689385347</v>
      </c>
      <c r="M31" s="229">
        <f t="shared" si="0"/>
        <v>1378261.3397132126</v>
      </c>
      <c r="N31" s="96">
        <f t="shared" si="10"/>
        <v>0.1963928336923989</v>
      </c>
      <c r="O31" s="235">
        <v>182922.47642012595</v>
      </c>
      <c r="P31" s="96">
        <f t="shared" si="11"/>
        <v>2.6065204366578786E-2</v>
      </c>
      <c r="Q31" s="235">
        <v>117107.30702718504</v>
      </c>
      <c r="R31" s="96">
        <f t="shared" si="12"/>
        <v>1.6686991944459727E-2</v>
      </c>
      <c r="S31" s="229">
        <f t="shared" si="1"/>
        <v>300029.78344731103</v>
      </c>
      <c r="T31" s="96">
        <f t="shared" si="13"/>
        <v>4.2752196311038514E-2</v>
      </c>
      <c r="U31" s="235">
        <v>671816.30819447106</v>
      </c>
      <c r="V31" s="96">
        <f t="shared" si="14"/>
        <v>9.5729238487188575E-2</v>
      </c>
      <c r="W31" s="235">
        <v>11606.55131847849</v>
      </c>
      <c r="X31" s="96">
        <f t="shared" si="15"/>
        <v>1.6538543432601425E-3</v>
      </c>
      <c r="Y31" s="235">
        <v>735581.79022767558</v>
      </c>
      <c r="Z31" s="96">
        <f t="shared" si="16"/>
        <v>0.10481538445052857</v>
      </c>
      <c r="AA31" s="235">
        <v>1096793.6753068103</v>
      </c>
      <c r="AB31" s="96">
        <f t="shared" si="17"/>
        <v>0.15628561265037449</v>
      </c>
      <c r="AC31" s="229">
        <f t="shared" si="2"/>
        <v>1832375.4655344859</v>
      </c>
      <c r="AD31" s="96">
        <f t="shared" si="18"/>
        <v>0.26110099710090307</v>
      </c>
      <c r="AE31" s="235">
        <v>799438.21166482405</v>
      </c>
      <c r="AF31" s="96">
        <f t="shared" si="3"/>
        <v>0.11391448865823069</v>
      </c>
      <c r="AG31" s="235">
        <v>900605.91941892041</v>
      </c>
      <c r="AH31" s="96">
        <f t="shared" si="4"/>
        <v>0.12833019650078376</v>
      </c>
      <c r="AI31" s="235">
        <v>645782.82927668258</v>
      </c>
      <c r="AJ31" s="96">
        <f t="shared" si="5"/>
        <v>9.2019645430911109E-2</v>
      </c>
      <c r="AK31" s="235">
        <v>477963.59143161413</v>
      </c>
      <c r="AL31" s="96">
        <f t="shared" si="6"/>
        <v>6.8106549475285133E-2</v>
      </c>
    </row>
    <row r="32" spans="2:38" ht="12">
      <c r="B32" s="349">
        <f>D40</f>
        <v>45903</v>
      </c>
      <c r="C32" s="350"/>
      <c r="D32" s="82">
        <v>45895</v>
      </c>
      <c r="E32" s="82" t="s">
        <v>159</v>
      </c>
      <c r="F32" s="230">
        <f t="shared" si="7"/>
        <v>6875105.0000000019</v>
      </c>
      <c r="G32" s="368">
        <f t="shared" ref="G32" si="22">SUM(F32:F38)</f>
        <v>39181352</v>
      </c>
      <c r="H32" s="369"/>
      <c r="I32" s="235">
        <v>567336.53052520892</v>
      </c>
      <c r="J32" s="96">
        <f t="shared" si="8"/>
        <v>8.2520416855482032E-2</v>
      </c>
      <c r="K32" s="235">
        <v>785905.26621996798</v>
      </c>
      <c r="L32" s="96">
        <f t="shared" si="9"/>
        <v>0.11431174741621659</v>
      </c>
      <c r="M32" s="229">
        <f t="shared" si="0"/>
        <v>1353241.7967451769</v>
      </c>
      <c r="N32" s="96">
        <f t="shared" si="10"/>
        <v>0.19683216427169861</v>
      </c>
      <c r="O32" s="235">
        <v>178592.99545281156</v>
      </c>
      <c r="P32" s="96">
        <f t="shared" si="11"/>
        <v>2.597676623888821E-2</v>
      </c>
      <c r="Q32" s="235">
        <v>111805.19236877946</v>
      </c>
      <c r="R32" s="96">
        <f t="shared" si="12"/>
        <v>1.6262325065403281E-2</v>
      </c>
      <c r="S32" s="229">
        <f t="shared" si="1"/>
        <v>290398.18782159104</v>
      </c>
      <c r="T32" s="96">
        <f t="shared" si="13"/>
        <v>4.2239091304291494E-2</v>
      </c>
      <c r="U32" s="235">
        <v>642657.90965008619</v>
      </c>
      <c r="V32" s="96">
        <f t="shared" si="14"/>
        <v>9.3476086496146027E-2</v>
      </c>
      <c r="W32" s="235">
        <v>11632.63916840453</v>
      </c>
      <c r="X32" s="96">
        <f t="shared" si="15"/>
        <v>1.6919944013079839E-3</v>
      </c>
      <c r="Y32" s="235">
        <v>723887.29829911806</v>
      </c>
      <c r="Z32" s="96">
        <f t="shared" si="16"/>
        <v>0.10529108985231758</v>
      </c>
      <c r="AA32" s="235">
        <v>1051236.6653316987</v>
      </c>
      <c r="AB32" s="96">
        <f t="shared" si="17"/>
        <v>0.15290481604742015</v>
      </c>
      <c r="AC32" s="229">
        <f t="shared" si="2"/>
        <v>1775123.9636308169</v>
      </c>
      <c r="AD32" s="96">
        <f t="shared" si="18"/>
        <v>0.25819590589973773</v>
      </c>
      <c r="AE32" s="235">
        <v>744155.78572897625</v>
      </c>
      <c r="AF32" s="96">
        <f t="shared" si="3"/>
        <v>0.10823918845297287</v>
      </c>
      <c r="AG32" s="235">
        <v>967152.27321801032</v>
      </c>
      <c r="AH32" s="96">
        <f t="shared" si="4"/>
        <v>0.14067454580228375</v>
      </c>
      <c r="AI32" s="235">
        <v>634965.37328894797</v>
      </c>
      <c r="AJ32" s="96">
        <f t="shared" si="5"/>
        <v>9.235718920495728E-2</v>
      </c>
      <c r="AK32" s="235">
        <v>455777.07074799127</v>
      </c>
      <c r="AL32" s="96">
        <f t="shared" si="6"/>
        <v>6.6293834166604171E-2</v>
      </c>
    </row>
    <row r="33" spans="2:38" ht="12">
      <c r="B33" s="350"/>
      <c r="C33" s="350"/>
      <c r="D33" s="82">
        <v>45896</v>
      </c>
      <c r="E33" s="82" t="s">
        <v>160</v>
      </c>
      <c r="F33" s="230">
        <f t="shared" si="7"/>
        <v>6713523.0000000019</v>
      </c>
      <c r="G33" s="368"/>
      <c r="H33" s="369"/>
      <c r="I33" s="235">
        <v>558111.33348609903</v>
      </c>
      <c r="J33" s="96">
        <f t="shared" si="8"/>
        <v>8.3132408049558904E-2</v>
      </c>
      <c r="K33" s="235">
        <v>774715.05507143098</v>
      </c>
      <c r="L33" s="96">
        <f t="shared" si="9"/>
        <v>0.11539620182599072</v>
      </c>
      <c r="M33" s="229">
        <f t="shared" si="0"/>
        <v>1332826.38855753</v>
      </c>
      <c r="N33" s="96">
        <f t="shared" si="10"/>
        <v>0.19852860987554963</v>
      </c>
      <c r="O33" s="235">
        <v>177569.33990180268</v>
      </c>
      <c r="P33" s="96">
        <f t="shared" si="11"/>
        <v>2.6449501983057573E-2</v>
      </c>
      <c r="Q33" s="235">
        <v>109021.93501096088</v>
      </c>
      <c r="R33" s="96">
        <f t="shared" si="12"/>
        <v>1.6239154168528336E-2</v>
      </c>
      <c r="S33" s="229">
        <f t="shared" si="1"/>
        <v>286591.27491276356</v>
      </c>
      <c r="T33" s="96">
        <f t="shared" si="13"/>
        <v>4.2688656151585909E-2</v>
      </c>
      <c r="U33" s="235">
        <v>624839.98003463447</v>
      </c>
      <c r="V33" s="96">
        <f t="shared" si="14"/>
        <v>9.3071846187856105E-2</v>
      </c>
      <c r="W33" s="235">
        <v>10969.953097261272</v>
      </c>
      <c r="X33" s="96">
        <f t="shared" si="15"/>
        <v>1.6340084181228349E-3</v>
      </c>
      <c r="Y33" s="235">
        <v>696526.39491243125</v>
      </c>
      <c r="Z33" s="96">
        <f t="shared" si="16"/>
        <v>0.10374975924152358</v>
      </c>
      <c r="AA33" s="235">
        <v>988183.67787085241</v>
      </c>
      <c r="AB33" s="96">
        <f t="shared" si="17"/>
        <v>0.14719301294876805</v>
      </c>
      <c r="AC33" s="229">
        <f t="shared" si="2"/>
        <v>1684710.0727832837</v>
      </c>
      <c r="AD33" s="96">
        <f t="shared" si="18"/>
        <v>0.2509427721902916</v>
      </c>
      <c r="AE33" s="235">
        <v>744162.89300427074</v>
      </c>
      <c r="AF33" s="96">
        <f t="shared" si="3"/>
        <v>0.11084536286004688</v>
      </c>
      <c r="AG33" s="235">
        <v>921233.630522992</v>
      </c>
      <c r="AH33" s="96">
        <f t="shared" si="4"/>
        <v>0.13722059647713902</v>
      </c>
      <c r="AI33" s="235">
        <v>645587.9576787285</v>
      </c>
      <c r="AJ33" s="96">
        <f t="shared" si="5"/>
        <v>9.6162321582681454E-2</v>
      </c>
      <c r="AK33" s="235">
        <v>462600.84940853587</v>
      </c>
      <c r="AL33" s="96">
        <f t="shared" si="6"/>
        <v>6.8905826256726269E-2</v>
      </c>
    </row>
    <row r="34" spans="2:38" ht="12">
      <c r="B34" s="350"/>
      <c r="C34" s="350"/>
      <c r="D34" s="82">
        <v>45897</v>
      </c>
      <c r="E34" s="82" t="s">
        <v>161</v>
      </c>
      <c r="F34" s="230">
        <f t="shared" si="7"/>
        <v>6453701</v>
      </c>
      <c r="G34" s="368"/>
      <c r="H34" s="369"/>
      <c r="I34" s="235">
        <v>551600.36478975462</v>
      </c>
      <c r="J34" s="96">
        <f t="shared" si="8"/>
        <v>8.5470393622164187E-2</v>
      </c>
      <c r="K34" s="235">
        <v>741958.14654309675</v>
      </c>
      <c r="L34" s="96">
        <f t="shared" si="9"/>
        <v>0.11496630329528695</v>
      </c>
      <c r="M34" s="229">
        <f t="shared" si="0"/>
        <v>1293558.5113328514</v>
      </c>
      <c r="N34" s="96">
        <f t="shared" si="10"/>
        <v>0.20043669691745114</v>
      </c>
      <c r="O34" s="235">
        <v>172267.06509382668</v>
      </c>
      <c r="P34" s="96">
        <f t="shared" si="11"/>
        <v>2.669275584564991E-2</v>
      </c>
      <c r="Q34" s="235">
        <v>110101.01485241702</v>
      </c>
      <c r="R34" s="96">
        <f t="shared" si="12"/>
        <v>1.7060135703903391E-2</v>
      </c>
      <c r="S34" s="229">
        <f t="shared" si="1"/>
        <v>282368.07994624367</v>
      </c>
      <c r="T34" s="96">
        <f t="shared" si="13"/>
        <v>4.3752891549553301E-2</v>
      </c>
      <c r="U34" s="235">
        <v>604268.75247858022</v>
      </c>
      <c r="V34" s="96">
        <f t="shared" si="14"/>
        <v>9.3631352378825763E-2</v>
      </c>
      <c r="W34" s="235">
        <v>11076.179409918739</v>
      </c>
      <c r="X34" s="96">
        <f t="shared" si="15"/>
        <v>1.7162523348879565E-3</v>
      </c>
      <c r="Y34" s="235">
        <v>672617.99351120566</v>
      </c>
      <c r="Z34" s="96">
        <f t="shared" si="16"/>
        <v>0.10422205700437713</v>
      </c>
      <c r="AA34" s="235">
        <v>959144.19654772698</v>
      </c>
      <c r="AB34" s="96">
        <f t="shared" si="17"/>
        <v>0.14861924910182964</v>
      </c>
      <c r="AC34" s="229">
        <f t="shared" si="2"/>
        <v>1631762.1900589326</v>
      </c>
      <c r="AD34" s="96">
        <f t="shared" si="18"/>
        <v>0.25284130610620675</v>
      </c>
      <c r="AE34" s="235">
        <v>712515.59407798608</v>
      </c>
      <c r="AF34" s="96">
        <f t="shared" si="3"/>
        <v>0.11040418421584547</v>
      </c>
      <c r="AG34" s="235">
        <v>846602.6554940074</v>
      </c>
      <c r="AH34" s="96">
        <f t="shared" si="4"/>
        <v>0.13118095422982989</v>
      </c>
      <c r="AI34" s="235">
        <v>612473.93478667282</v>
      </c>
      <c r="AJ34" s="96">
        <f t="shared" si="5"/>
        <v>9.4902744144278267E-2</v>
      </c>
      <c r="AK34" s="235">
        <v>459075.10241480725</v>
      </c>
      <c r="AL34" s="96">
        <f t="shared" si="6"/>
        <v>7.1133618123121481E-2</v>
      </c>
    </row>
    <row r="35" spans="2:38" ht="12">
      <c r="B35" s="350"/>
      <c r="C35" s="350"/>
      <c r="D35" s="82">
        <v>45898</v>
      </c>
      <c r="E35" s="82" t="s">
        <v>156</v>
      </c>
      <c r="F35" s="230">
        <f t="shared" si="7"/>
        <v>5903385</v>
      </c>
      <c r="G35" s="368"/>
      <c r="H35" s="369"/>
      <c r="I35" s="235">
        <v>473553.86440311832</v>
      </c>
      <c r="J35" s="96">
        <f t="shared" si="8"/>
        <v>8.0217343846474234E-2</v>
      </c>
      <c r="K35" s="235">
        <v>714232.30586717592</v>
      </c>
      <c r="L35" s="96">
        <f t="shared" si="9"/>
        <v>0.12098690935237595</v>
      </c>
      <c r="M35" s="229">
        <f t="shared" si="0"/>
        <v>1187786.1702702942</v>
      </c>
      <c r="N35" s="96">
        <f t="shared" si="10"/>
        <v>0.20120425319885019</v>
      </c>
      <c r="O35" s="235">
        <v>149093.94484582514</v>
      </c>
      <c r="P35" s="96">
        <f t="shared" si="11"/>
        <v>2.5255670237639107E-2</v>
      </c>
      <c r="Q35" s="235">
        <v>99985.105381442394</v>
      </c>
      <c r="R35" s="96">
        <f t="shared" si="12"/>
        <v>1.6936910836993078E-2</v>
      </c>
      <c r="S35" s="229">
        <f t="shared" si="1"/>
        <v>249079.05022726755</v>
      </c>
      <c r="T35" s="96">
        <f t="shared" si="13"/>
        <v>4.2192581074632189E-2</v>
      </c>
      <c r="U35" s="235">
        <v>545246.71320063248</v>
      </c>
      <c r="V35" s="96">
        <f t="shared" si="14"/>
        <v>9.2361706580314937E-2</v>
      </c>
      <c r="W35" s="235">
        <v>10491.547655279057</v>
      </c>
      <c r="X35" s="96">
        <f t="shared" si="15"/>
        <v>1.7772087802640445E-3</v>
      </c>
      <c r="Y35" s="235">
        <v>620397.51440884685</v>
      </c>
      <c r="Z35" s="96">
        <f t="shared" si="16"/>
        <v>0.10509182687709626</v>
      </c>
      <c r="AA35" s="235">
        <v>957112.04590067186</v>
      </c>
      <c r="AB35" s="96">
        <f t="shared" si="17"/>
        <v>0.16212936237441261</v>
      </c>
      <c r="AC35" s="229">
        <f t="shared" si="2"/>
        <v>1577509.5603095186</v>
      </c>
      <c r="AD35" s="96">
        <f t="shared" si="18"/>
        <v>0.26722118925150884</v>
      </c>
      <c r="AE35" s="235">
        <v>614474.30298429995</v>
      </c>
      <c r="AF35" s="96">
        <f t="shared" si="3"/>
        <v>0.10408846839301518</v>
      </c>
      <c r="AG35" s="235">
        <v>720171.35788004939</v>
      </c>
      <c r="AH35" s="96">
        <f t="shared" si="4"/>
        <v>0.12199295114244614</v>
      </c>
      <c r="AI35" s="235">
        <v>581403.30910720804</v>
      </c>
      <c r="AJ35" s="96">
        <f t="shared" si="5"/>
        <v>9.8486429244782112E-2</v>
      </c>
      <c r="AK35" s="235">
        <v>417222.98836545111</v>
      </c>
      <c r="AL35" s="96">
        <f t="shared" si="6"/>
        <v>7.0675212334186416E-2</v>
      </c>
    </row>
    <row r="36" spans="2:38" ht="12">
      <c r="B36" s="350"/>
      <c r="C36" s="350"/>
      <c r="D36" s="82">
        <v>45899</v>
      </c>
      <c r="E36" s="82" t="s">
        <v>157</v>
      </c>
      <c r="F36" s="230">
        <f t="shared" si="7"/>
        <v>6221025.0000000009</v>
      </c>
      <c r="G36" s="368"/>
      <c r="H36" s="369"/>
      <c r="I36" s="235">
        <v>464629.45979787654</v>
      </c>
      <c r="J36" s="96">
        <f t="shared" si="8"/>
        <v>7.4686962324998926E-2</v>
      </c>
      <c r="K36" s="235">
        <v>770618.94016310235</v>
      </c>
      <c r="L36" s="96">
        <f t="shared" si="9"/>
        <v>0.12387330707770862</v>
      </c>
      <c r="M36" s="229">
        <f t="shared" si="0"/>
        <v>1235248.3999609789</v>
      </c>
      <c r="N36" s="96">
        <f t="shared" si="10"/>
        <v>0.19856026940270755</v>
      </c>
      <c r="O36" s="235">
        <v>148810.33693958397</v>
      </c>
      <c r="P36" s="96">
        <f t="shared" si="11"/>
        <v>2.3920549578177863E-2</v>
      </c>
      <c r="Q36" s="235">
        <v>101640.75895510882</v>
      </c>
      <c r="R36" s="96">
        <f t="shared" si="12"/>
        <v>1.6338265632288698E-2</v>
      </c>
      <c r="S36" s="229">
        <f t="shared" si="1"/>
        <v>250451.09589469279</v>
      </c>
      <c r="T36" s="96">
        <f t="shared" si="13"/>
        <v>4.0258815210466564E-2</v>
      </c>
      <c r="U36" s="235">
        <v>581812.31070977892</v>
      </c>
      <c r="V36" s="96">
        <f t="shared" si="14"/>
        <v>9.3523544867570668E-2</v>
      </c>
      <c r="W36" s="235">
        <v>11523.486047479899</v>
      </c>
      <c r="X36" s="96">
        <f t="shared" si="15"/>
        <v>1.8523452401300264E-3</v>
      </c>
      <c r="Y36" s="235">
        <v>622788.95985257905</v>
      </c>
      <c r="Z36" s="96">
        <f t="shared" si="16"/>
        <v>0.10011034513646529</v>
      </c>
      <c r="AA36" s="235">
        <v>1093062.623907204</v>
      </c>
      <c r="AB36" s="96">
        <f t="shared" si="17"/>
        <v>0.17570458628717997</v>
      </c>
      <c r="AC36" s="229">
        <f t="shared" si="2"/>
        <v>1715851.5837597831</v>
      </c>
      <c r="AD36" s="96">
        <f t="shared" si="18"/>
        <v>0.27581493142364527</v>
      </c>
      <c r="AE36" s="235">
        <v>675209.57298670104</v>
      </c>
      <c r="AF36" s="96">
        <f t="shared" si="3"/>
        <v>0.1085367078554902</v>
      </c>
      <c r="AG36" s="235">
        <v>733348.31945156166</v>
      </c>
      <c r="AH36" s="96">
        <f t="shared" si="4"/>
        <v>0.11788223314511058</v>
      </c>
      <c r="AI36" s="235">
        <v>588342.0590966735</v>
      </c>
      <c r="AJ36" s="96">
        <f t="shared" si="5"/>
        <v>9.4573170674715726E-2</v>
      </c>
      <c r="AK36" s="235">
        <v>429238.17209235148</v>
      </c>
      <c r="AL36" s="96">
        <f t="shared" si="6"/>
        <v>6.8997982180163467E-2</v>
      </c>
    </row>
    <row r="37" spans="2:38" ht="12">
      <c r="B37" s="350"/>
      <c r="C37" s="350"/>
      <c r="D37" s="82">
        <v>45900</v>
      </c>
      <c r="E37" s="82" t="s">
        <v>152</v>
      </c>
      <c r="F37" s="230">
        <f t="shared" si="7"/>
        <v>7014613</v>
      </c>
      <c r="G37" s="368"/>
      <c r="H37" s="369"/>
      <c r="I37" s="235">
        <v>577642.99426437705</v>
      </c>
      <c r="J37" s="96">
        <f t="shared" si="8"/>
        <v>8.2348519335903064E-2</v>
      </c>
      <c r="K37" s="235">
        <v>816886.95251202059</v>
      </c>
      <c r="L37" s="96">
        <f t="shared" si="9"/>
        <v>0.11645502788422121</v>
      </c>
      <c r="M37" s="229">
        <f t="shared" si="0"/>
        <v>1394529.9467763975</v>
      </c>
      <c r="N37" s="96">
        <f t="shared" si="10"/>
        <v>0.19880354722012428</v>
      </c>
      <c r="O37" s="235">
        <v>190884.60388255777</v>
      </c>
      <c r="P37" s="96">
        <f t="shared" si="11"/>
        <v>2.7212421252969732E-2</v>
      </c>
      <c r="Q37" s="235">
        <v>114334.44382570704</v>
      </c>
      <c r="R37" s="96">
        <f t="shared" si="12"/>
        <v>1.6299465676254277E-2</v>
      </c>
      <c r="S37" s="229">
        <f t="shared" si="1"/>
        <v>305219.04770826478</v>
      </c>
      <c r="T37" s="96">
        <f t="shared" si="13"/>
        <v>4.3511886929224003E-2</v>
      </c>
      <c r="U37" s="235">
        <v>678415.55440491694</v>
      </c>
      <c r="V37" s="96">
        <f t="shared" si="14"/>
        <v>9.6714609117412031E-2</v>
      </c>
      <c r="W37" s="235">
        <v>12108.264440733399</v>
      </c>
      <c r="X37" s="96">
        <f t="shared" si="15"/>
        <v>1.7261486044537881E-3</v>
      </c>
      <c r="Y37" s="235">
        <v>720560.86769168533</v>
      </c>
      <c r="Z37" s="96">
        <f t="shared" si="16"/>
        <v>0.10272282557736048</v>
      </c>
      <c r="AA37" s="235">
        <v>1065723.5813288898</v>
      </c>
      <c r="AB37" s="96">
        <f t="shared" si="17"/>
        <v>0.15192906313276153</v>
      </c>
      <c r="AC37" s="229">
        <f t="shared" si="2"/>
        <v>1786284.4490205753</v>
      </c>
      <c r="AD37" s="96">
        <f t="shared" si="18"/>
        <v>0.25465188871012201</v>
      </c>
      <c r="AE37" s="235">
        <v>791498.77383865276</v>
      </c>
      <c r="AF37" s="96">
        <f t="shared" si="3"/>
        <v>0.1128357008203664</v>
      </c>
      <c r="AG37" s="235">
        <v>922334.56654585176</v>
      </c>
      <c r="AH37" s="96">
        <f t="shared" si="4"/>
        <v>0.13148759119652814</v>
      </c>
      <c r="AI37" s="235">
        <v>618884.44759473065</v>
      </c>
      <c r="AJ37" s="96">
        <f t="shared" si="5"/>
        <v>8.8227881936570218E-2</v>
      </c>
      <c r="AK37" s="235">
        <v>505337.9496698766</v>
      </c>
      <c r="AL37" s="96">
        <f t="shared" si="6"/>
        <v>7.2040745465199091E-2</v>
      </c>
    </row>
    <row r="38" spans="2:38" ht="12">
      <c r="B38" s="350"/>
      <c r="C38" s="75"/>
      <c r="D38" s="82">
        <v>45901</v>
      </c>
      <c r="E38" s="82" t="s">
        <v>158</v>
      </c>
      <c r="F38" s="230">
        <f t="shared" si="7"/>
        <v>0</v>
      </c>
      <c r="G38" s="368"/>
      <c r="H38" s="93"/>
      <c r="J38" s="96" t="e">
        <f t="shared" si="8"/>
        <v>#DIV/0!</v>
      </c>
      <c r="L38" s="96" t="e">
        <f t="shared" si="9"/>
        <v>#DIV/0!</v>
      </c>
      <c r="M38" s="229">
        <f t="shared" si="0"/>
        <v>0</v>
      </c>
      <c r="N38" s="96" t="e">
        <f t="shared" si="10"/>
        <v>#DIV/0!</v>
      </c>
      <c r="P38" s="96" t="e">
        <f t="shared" si="11"/>
        <v>#DIV/0!</v>
      </c>
      <c r="R38" s="96" t="e">
        <f t="shared" si="12"/>
        <v>#DIV/0!</v>
      </c>
      <c r="S38" s="229">
        <f t="shared" si="1"/>
        <v>0</v>
      </c>
      <c r="T38" s="96" t="e">
        <f t="shared" si="13"/>
        <v>#DIV/0!</v>
      </c>
      <c r="V38" s="96" t="e">
        <f t="shared" si="14"/>
        <v>#DIV/0!</v>
      </c>
      <c r="X38" s="96" t="e">
        <f t="shared" si="15"/>
        <v>#DIV/0!</v>
      </c>
      <c r="Z38" s="96" t="e">
        <f t="shared" si="16"/>
        <v>#DIV/0!</v>
      </c>
      <c r="AB38" s="96" t="e">
        <f t="shared" si="17"/>
        <v>#DIV/0!</v>
      </c>
      <c r="AC38" s="229">
        <f t="shared" si="2"/>
        <v>0</v>
      </c>
      <c r="AD38" s="96" t="e">
        <f t="shared" si="18"/>
        <v>#DIV/0!</v>
      </c>
      <c r="AF38" s="96" t="e">
        <f t="shared" si="3"/>
        <v>#DIV/0!</v>
      </c>
      <c r="AH38" s="96" t="e">
        <f t="shared" si="4"/>
        <v>#DIV/0!</v>
      </c>
      <c r="AJ38" s="96" t="e">
        <f t="shared" si="5"/>
        <v>#DIV/0!</v>
      </c>
      <c r="AL38" s="96" t="e">
        <f t="shared" si="6"/>
        <v>#DIV/0!</v>
      </c>
    </row>
    <row r="39" spans="2:38" ht="12">
      <c r="B39" s="350"/>
      <c r="C39" s="75"/>
      <c r="D39" s="82">
        <v>45902</v>
      </c>
      <c r="E39" s="82" t="s">
        <v>159</v>
      </c>
      <c r="F39" s="230">
        <f t="shared" si="7"/>
        <v>0</v>
      </c>
      <c r="G39" s="368">
        <f t="shared" ref="G39" si="23">SUM(F39:F45)</f>
        <v>0</v>
      </c>
      <c r="H39" s="93"/>
      <c r="J39" s="96" t="e">
        <f t="shared" si="8"/>
        <v>#DIV/0!</v>
      </c>
      <c r="L39" s="96" t="e">
        <f t="shared" si="9"/>
        <v>#DIV/0!</v>
      </c>
      <c r="M39" s="229">
        <f t="shared" si="0"/>
        <v>0</v>
      </c>
      <c r="N39" s="96" t="e">
        <f t="shared" si="10"/>
        <v>#DIV/0!</v>
      </c>
      <c r="P39" s="96" t="e">
        <f t="shared" si="11"/>
        <v>#DIV/0!</v>
      </c>
      <c r="R39" s="96" t="e">
        <f t="shared" si="12"/>
        <v>#DIV/0!</v>
      </c>
      <c r="S39" s="229">
        <f t="shared" si="1"/>
        <v>0</v>
      </c>
      <c r="T39" s="96" t="e">
        <f t="shared" si="13"/>
        <v>#DIV/0!</v>
      </c>
      <c r="V39" s="96" t="e">
        <f t="shared" si="14"/>
        <v>#DIV/0!</v>
      </c>
      <c r="X39" s="96" t="e">
        <f t="shared" si="15"/>
        <v>#DIV/0!</v>
      </c>
      <c r="Z39" s="96" t="e">
        <f t="shared" si="16"/>
        <v>#DIV/0!</v>
      </c>
      <c r="AB39" s="96" t="e">
        <f t="shared" si="17"/>
        <v>#DIV/0!</v>
      </c>
      <c r="AC39" s="229">
        <f t="shared" si="2"/>
        <v>0</v>
      </c>
      <c r="AD39" s="96" t="e">
        <f t="shared" si="18"/>
        <v>#DIV/0!</v>
      </c>
      <c r="AF39" s="96" t="e">
        <f t="shared" si="3"/>
        <v>#DIV/0!</v>
      </c>
      <c r="AH39" s="96" t="e">
        <f t="shared" si="4"/>
        <v>#DIV/0!</v>
      </c>
      <c r="AJ39" s="96" t="e">
        <f t="shared" si="5"/>
        <v>#DIV/0!</v>
      </c>
      <c r="AL39" s="96" t="e">
        <f t="shared" si="6"/>
        <v>#DIV/0!</v>
      </c>
    </row>
    <row r="40" spans="2:38" ht="12">
      <c r="B40" s="350"/>
      <c r="C40" s="75"/>
      <c r="D40" s="82">
        <v>45903</v>
      </c>
      <c r="E40" s="82" t="s">
        <v>160</v>
      </c>
      <c r="F40" s="230">
        <f t="shared" si="7"/>
        <v>0</v>
      </c>
      <c r="G40" s="368"/>
      <c r="H40" s="93"/>
      <c r="J40" s="96" t="e">
        <f t="shared" si="8"/>
        <v>#DIV/0!</v>
      </c>
      <c r="L40" s="96" t="e">
        <f t="shared" si="9"/>
        <v>#DIV/0!</v>
      </c>
      <c r="M40" s="229">
        <f t="shared" si="0"/>
        <v>0</v>
      </c>
      <c r="N40" s="96" t="e">
        <f t="shared" si="10"/>
        <v>#DIV/0!</v>
      </c>
      <c r="P40" s="96" t="e">
        <f t="shared" si="11"/>
        <v>#DIV/0!</v>
      </c>
      <c r="R40" s="96" t="e">
        <f t="shared" si="12"/>
        <v>#DIV/0!</v>
      </c>
      <c r="S40" s="229">
        <f t="shared" si="1"/>
        <v>0</v>
      </c>
      <c r="T40" s="96" t="e">
        <f t="shared" si="13"/>
        <v>#DIV/0!</v>
      </c>
      <c r="V40" s="96" t="e">
        <f t="shared" si="14"/>
        <v>#DIV/0!</v>
      </c>
      <c r="X40" s="96" t="e">
        <f t="shared" si="15"/>
        <v>#DIV/0!</v>
      </c>
      <c r="Z40" s="96" t="e">
        <f t="shared" si="16"/>
        <v>#DIV/0!</v>
      </c>
      <c r="AB40" s="96" t="e">
        <f t="shared" si="17"/>
        <v>#DIV/0!</v>
      </c>
      <c r="AC40" s="229">
        <f t="shared" si="2"/>
        <v>0</v>
      </c>
      <c r="AD40" s="96" t="e">
        <f t="shared" si="18"/>
        <v>#DIV/0!</v>
      </c>
      <c r="AF40" s="96" t="e">
        <f t="shared" si="3"/>
        <v>#DIV/0!</v>
      </c>
      <c r="AH40" s="96" t="e">
        <f t="shared" si="4"/>
        <v>#DIV/0!</v>
      </c>
      <c r="AJ40" s="96" t="e">
        <f t="shared" si="5"/>
        <v>#DIV/0!</v>
      </c>
      <c r="AL40" s="96" t="e">
        <f t="shared" si="6"/>
        <v>#DIV/0!</v>
      </c>
    </row>
    <row r="41" spans="2:38" ht="12">
      <c r="B41" s="350"/>
      <c r="C41" s="75"/>
      <c r="D41" s="82">
        <v>45904</v>
      </c>
      <c r="E41" s="82" t="s">
        <v>161</v>
      </c>
      <c r="F41" s="230">
        <f t="shared" si="7"/>
        <v>0</v>
      </c>
      <c r="G41" s="368"/>
      <c r="H41" s="93"/>
      <c r="J41" s="96" t="e">
        <f t="shared" ref="J41:J45" si="24">I41/F41</f>
        <v>#DIV/0!</v>
      </c>
      <c r="L41" s="96" t="e">
        <f t="shared" ref="L41:L45" si="25">K41/F41</f>
        <v>#DIV/0!</v>
      </c>
      <c r="M41" s="229">
        <f t="shared" ref="M41:M45" si="26">SUM(I41+K41)</f>
        <v>0</v>
      </c>
      <c r="N41" s="96" t="e">
        <f t="shared" ref="N41:N45" si="27">M41/F41</f>
        <v>#DIV/0!</v>
      </c>
      <c r="P41" s="96" t="e">
        <f t="shared" ref="P41:P45" si="28">O41/F41</f>
        <v>#DIV/0!</v>
      </c>
      <c r="R41" s="96" t="e">
        <f t="shared" si="12"/>
        <v>#DIV/0!</v>
      </c>
      <c r="S41" s="229">
        <f t="shared" si="1"/>
        <v>0</v>
      </c>
      <c r="T41" s="96" t="e">
        <f t="shared" ref="T41:T45" si="29">S41/F41</f>
        <v>#DIV/0!</v>
      </c>
      <c r="V41" s="96" t="e">
        <f t="shared" ref="V41:V45" si="30">U41/F41</f>
        <v>#DIV/0!</v>
      </c>
      <c r="X41" s="96" t="e">
        <f t="shared" ref="X41:X45" si="31">W41/F41</f>
        <v>#DIV/0!</v>
      </c>
      <c r="Z41" s="96" t="e">
        <f t="shared" ref="Z41:Z45" si="32">Y41/F41</f>
        <v>#DIV/0!</v>
      </c>
      <c r="AB41" s="96" t="e">
        <f t="shared" si="17"/>
        <v>#DIV/0!</v>
      </c>
      <c r="AC41" s="229">
        <f t="shared" ref="AC41:AC45" si="33">SUM(Y41+AA41)</f>
        <v>0</v>
      </c>
      <c r="AD41" s="96" t="e">
        <f t="shared" ref="AD41:AD45" si="34">AC41/F41</f>
        <v>#DIV/0!</v>
      </c>
      <c r="AF41" s="96" t="e">
        <f t="shared" ref="AF41:AF45" si="35">AE41/F41</f>
        <v>#DIV/0!</v>
      </c>
      <c r="AH41" s="96" t="e">
        <f t="shared" ref="AH41:AH45" si="36">AG41/F41</f>
        <v>#DIV/0!</v>
      </c>
      <c r="AJ41" s="96" t="e">
        <f t="shared" ref="AJ41:AJ45" si="37">AI41/F41</f>
        <v>#DIV/0!</v>
      </c>
      <c r="AL41" s="96" t="e">
        <f t="shared" ref="AL41:AL45" si="38">AK41/F41</f>
        <v>#DIV/0!</v>
      </c>
    </row>
    <row r="42" spans="2:38" ht="12">
      <c r="B42" s="350"/>
      <c r="C42" s="75"/>
      <c r="D42" s="82">
        <v>45905</v>
      </c>
      <c r="E42" s="82" t="s">
        <v>156</v>
      </c>
      <c r="F42" s="230">
        <f t="shared" si="7"/>
        <v>0</v>
      </c>
      <c r="G42" s="368"/>
      <c r="H42" s="93"/>
      <c r="J42" s="96" t="e">
        <f t="shared" si="24"/>
        <v>#DIV/0!</v>
      </c>
      <c r="L42" s="96" t="e">
        <f t="shared" si="25"/>
        <v>#DIV/0!</v>
      </c>
      <c r="M42" s="229">
        <f t="shared" si="26"/>
        <v>0</v>
      </c>
      <c r="N42" s="96" t="e">
        <f t="shared" si="27"/>
        <v>#DIV/0!</v>
      </c>
      <c r="P42" s="96" t="e">
        <f t="shared" si="28"/>
        <v>#DIV/0!</v>
      </c>
      <c r="R42" s="96" t="e">
        <f t="shared" si="12"/>
        <v>#DIV/0!</v>
      </c>
      <c r="S42" s="229">
        <f t="shared" si="1"/>
        <v>0</v>
      </c>
      <c r="T42" s="96" t="e">
        <f t="shared" si="29"/>
        <v>#DIV/0!</v>
      </c>
      <c r="V42" s="96" t="e">
        <f t="shared" si="30"/>
        <v>#DIV/0!</v>
      </c>
      <c r="X42" s="96" t="e">
        <f t="shared" si="31"/>
        <v>#DIV/0!</v>
      </c>
      <c r="Z42" s="96" t="e">
        <f t="shared" si="32"/>
        <v>#DIV/0!</v>
      </c>
      <c r="AB42" s="96" t="e">
        <f t="shared" si="17"/>
        <v>#DIV/0!</v>
      </c>
      <c r="AC42" s="229">
        <f t="shared" si="33"/>
        <v>0</v>
      </c>
      <c r="AD42" s="96" t="e">
        <f t="shared" si="34"/>
        <v>#DIV/0!</v>
      </c>
      <c r="AF42" s="96" t="e">
        <f t="shared" si="35"/>
        <v>#DIV/0!</v>
      </c>
      <c r="AH42" s="96" t="e">
        <f t="shared" si="36"/>
        <v>#DIV/0!</v>
      </c>
      <c r="AJ42" s="96" t="e">
        <f t="shared" si="37"/>
        <v>#DIV/0!</v>
      </c>
      <c r="AL42" s="96" t="e">
        <f t="shared" si="38"/>
        <v>#DIV/0!</v>
      </c>
    </row>
    <row r="43" spans="2:38" ht="12">
      <c r="B43" s="350"/>
      <c r="C43" s="75"/>
      <c r="D43" s="82">
        <v>45906</v>
      </c>
      <c r="E43" s="82" t="s">
        <v>157</v>
      </c>
      <c r="F43" s="230">
        <f t="shared" si="7"/>
        <v>0</v>
      </c>
      <c r="G43" s="368"/>
      <c r="H43" s="93"/>
      <c r="J43" s="96" t="e">
        <f t="shared" si="24"/>
        <v>#DIV/0!</v>
      </c>
      <c r="L43" s="96" t="e">
        <f t="shared" si="25"/>
        <v>#DIV/0!</v>
      </c>
      <c r="M43" s="229">
        <f t="shared" si="26"/>
        <v>0</v>
      </c>
      <c r="N43" s="96" t="e">
        <f t="shared" si="27"/>
        <v>#DIV/0!</v>
      </c>
      <c r="P43" s="96" t="e">
        <f t="shared" si="28"/>
        <v>#DIV/0!</v>
      </c>
      <c r="R43" s="96" t="e">
        <f t="shared" si="12"/>
        <v>#DIV/0!</v>
      </c>
      <c r="S43" s="229">
        <f t="shared" si="1"/>
        <v>0</v>
      </c>
      <c r="T43" s="96" t="e">
        <f t="shared" si="29"/>
        <v>#DIV/0!</v>
      </c>
      <c r="V43" s="96" t="e">
        <f t="shared" si="30"/>
        <v>#DIV/0!</v>
      </c>
      <c r="X43" s="96" t="e">
        <f t="shared" si="31"/>
        <v>#DIV/0!</v>
      </c>
      <c r="Z43" s="96" t="e">
        <f t="shared" si="32"/>
        <v>#DIV/0!</v>
      </c>
      <c r="AB43" s="96" t="e">
        <f t="shared" si="17"/>
        <v>#DIV/0!</v>
      </c>
      <c r="AC43" s="229">
        <f t="shared" si="33"/>
        <v>0</v>
      </c>
      <c r="AD43" s="96" t="e">
        <f t="shared" si="34"/>
        <v>#DIV/0!</v>
      </c>
      <c r="AF43" s="96" t="e">
        <f t="shared" si="35"/>
        <v>#DIV/0!</v>
      </c>
      <c r="AH43" s="96" t="e">
        <f t="shared" si="36"/>
        <v>#DIV/0!</v>
      </c>
      <c r="AJ43" s="96" t="e">
        <f t="shared" si="37"/>
        <v>#DIV/0!</v>
      </c>
      <c r="AL43" s="96" t="e">
        <f t="shared" si="38"/>
        <v>#DIV/0!</v>
      </c>
    </row>
    <row r="44" spans="2:38" ht="12">
      <c r="B44" s="350"/>
      <c r="C44" s="75"/>
      <c r="D44" s="82">
        <v>45907</v>
      </c>
      <c r="E44" s="82" t="s">
        <v>152</v>
      </c>
      <c r="F44" s="230">
        <f t="shared" si="7"/>
        <v>0</v>
      </c>
      <c r="G44" s="368"/>
      <c r="H44" s="93"/>
      <c r="J44" s="96" t="e">
        <f t="shared" si="24"/>
        <v>#DIV/0!</v>
      </c>
      <c r="L44" s="96" t="e">
        <f t="shared" si="25"/>
        <v>#DIV/0!</v>
      </c>
      <c r="M44" s="229">
        <f t="shared" si="26"/>
        <v>0</v>
      </c>
      <c r="N44" s="96" t="e">
        <f t="shared" si="27"/>
        <v>#DIV/0!</v>
      </c>
      <c r="P44" s="96" t="e">
        <f t="shared" si="28"/>
        <v>#DIV/0!</v>
      </c>
      <c r="R44" s="96" t="e">
        <f t="shared" si="12"/>
        <v>#DIV/0!</v>
      </c>
      <c r="S44" s="229">
        <f t="shared" si="1"/>
        <v>0</v>
      </c>
      <c r="T44" s="96" t="e">
        <f t="shared" si="29"/>
        <v>#DIV/0!</v>
      </c>
      <c r="V44" s="96" t="e">
        <f t="shared" si="30"/>
        <v>#DIV/0!</v>
      </c>
      <c r="X44" s="96" t="e">
        <f t="shared" si="31"/>
        <v>#DIV/0!</v>
      </c>
      <c r="Z44" s="96" t="e">
        <f t="shared" si="32"/>
        <v>#DIV/0!</v>
      </c>
      <c r="AB44" s="96" t="e">
        <f t="shared" si="17"/>
        <v>#DIV/0!</v>
      </c>
      <c r="AC44" s="229">
        <f t="shared" si="33"/>
        <v>0</v>
      </c>
      <c r="AD44" s="96" t="e">
        <f t="shared" si="34"/>
        <v>#DIV/0!</v>
      </c>
      <c r="AF44" s="96" t="e">
        <f t="shared" si="35"/>
        <v>#DIV/0!</v>
      </c>
      <c r="AH44" s="96" t="e">
        <f t="shared" si="36"/>
        <v>#DIV/0!</v>
      </c>
      <c r="AJ44" s="96" t="e">
        <f t="shared" si="37"/>
        <v>#DIV/0!</v>
      </c>
      <c r="AL44" s="96" t="e">
        <f t="shared" si="38"/>
        <v>#DIV/0!</v>
      </c>
    </row>
    <row r="45" spans="2:38" ht="12">
      <c r="B45" s="350"/>
      <c r="C45" s="75"/>
      <c r="D45" s="82">
        <v>45908</v>
      </c>
      <c r="E45" s="82" t="s">
        <v>158</v>
      </c>
      <c r="F45" s="230">
        <f t="shared" si="7"/>
        <v>0</v>
      </c>
      <c r="G45" s="368"/>
      <c r="H45" s="93"/>
      <c r="J45" s="96" t="e">
        <f t="shared" si="24"/>
        <v>#DIV/0!</v>
      </c>
      <c r="L45" s="96" t="e">
        <f t="shared" si="25"/>
        <v>#DIV/0!</v>
      </c>
      <c r="M45" s="229">
        <f t="shared" si="26"/>
        <v>0</v>
      </c>
      <c r="N45" s="96" t="e">
        <f t="shared" si="27"/>
        <v>#DIV/0!</v>
      </c>
      <c r="P45" s="96" t="e">
        <f t="shared" si="28"/>
        <v>#DIV/0!</v>
      </c>
      <c r="R45" s="96" t="e">
        <f t="shared" si="12"/>
        <v>#DIV/0!</v>
      </c>
      <c r="S45" s="229">
        <f t="shared" si="1"/>
        <v>0</v>
      </c>
      <c r="T45" s="96" t="e">
        <f t="shared" si="29"/>
        <v>#DIV/0!</v>
      </c>
      <c r="V45" s="96" t="e">
        <f t="shared" si="30"/>
        <v>#DIV/0!</v>
      </c>
      <c r="X45" s="96" t="e">
        <f t="shared" si="31"/>
        <v>#DIV/0!</v>
      </c>
      <c r="Z45" s="96" t="e">
        <f t="shared" si="32"/>
        <v>#DIV/0!</v>
      </c>
      <c r="AB45" s="96" t="e">
        <f t="shared" si="17"/>
        <v>#DIV/0!</v>
      </c>
      <c r="AC45" s="229">
        <f t="shared" si="33"/>
        <v>0</v>
      </c>
      <c r="AD45" s="96" t="e">
        <f t="shared" si="34"/>
        <v>#DIV/0!</v>
      </c>
      <c r="AF45" s="96" t="e">
        <f t="shared" si="35"/>
        <v>#DIV/0!</v>
      </c>
      <c r="AH45" s="96" t="e">
        <f t="shared" si="36"/>
        <v>#DIV/0!</v>
      </c>
      <c r="AJ45" s="96" t="e">
        <f t="shared" si="37"/>
        <v>#DIV/0!</v>
      </c>
      <c r="AL45" s="96" t="e">
        <f t="shared" si="38"/>
        <v>#DIV/0!</v>
      </c>
    </row>
    <row r="46" spans="2:38" ht="12">
      <c r="B46" s="79"/>
      <c r="C46" s="75"/>
      <c r="D46" s="78"/>
      <c r="F46" s="93"/>
      <c r="G46" s="93"/>
      <c r="H46" s="93"/>
      <c r="M46" s="307">
        <f>SUM(M7:M37)</f>
        <v>40454576.016197108</v>
      </c>
      <c r="S46" s="306">
        <f>SUM(S7:S37)</f>
        <v>8499452.8560444899</v>
      </c>
      <c r="U46" s="306">
        <f>SUM(U7:U37)</f>
        <v>20818277.092871837</v>
      </c>
      <c r="W46" s="306">
        <f>SUM(W7:W37)</f>
        <v>491817.94391799951</v>
      </c>
      <c r="Y46" s="306">
        <f>SUM(Y7:Y37)</f>
        <v>22767163.913132731</v>
      </c>
      <c r="AA46" s="306">
        <f>SUM(AA7:AA37)</f>
        <v>33820812.074871562</v>
      </c>
      <c r="AC46" s="306">
        <f>SUM(AC7:AC37)</f>
        <v>56587975.98800429</v>
      </c>
      <c r="AE46" s="306">
        <f>SUM(AE7:AE37)</f>
        <v>25231124.99739112</v>
      </c>
      <c r="AG46" s="306">
        <f>SUM(AG7:AG37)</f>
        <v>27837422.630438406</v>
      </c>
      <c r="AI46" s="306">
        <f>SUM(AI7:AI37)</f>
        <v>19439937.491760217</v>
      </c>
      <c r="AK46" s="306">
        <f>SUM(AK7:AK37)</f>
        <v>13015564.983374543</v>
      </c>
    </row>
    <row r="47" spans="2:38" ht="12">
      <c r="B47" s="79"/>
      <c r="C47" s="75"/>
      <c r="D47" s="78"/>
      <c r="F47" s="93"/>
      <c r="G47" s="93"/>
      <c r="H47" s="93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46"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39:B45"/>
    <mergeCell ref="G39:G4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bottomRight" activeCell="S46" sqref="S46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53" t="s">
        <v>190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</row>
    <row r="3" spans="1:38" ht="25.35" customHeight="1">
      <c r="B3" s="373" t="s">
        <v>143</v>
      </c>
      <c r="C3" s="374" t="s">
        <v>173</v>
      </c>
      <c r="D3" s="375" t="s">
        <v>145</v>
      </c>
      <c r="E3" s="375"/>
      <c r="F3" s="378" t="s">
        <v>191</v>
      </c>
      <c r="G3" s="379"/>
      <c r="H3" s="379"/>
      <c r="I3" s="382" t="s">
        <v>192</v>
      </c>
      <c r="J3" s="382"/>
      <c r="K3" s="382"/>
      <c r="L3" s="382"/>
      <c r="M3" s="382"/>
      <c r="N3" s="382"/>
      <c r="O3" s="382"/>
      <c r="P3" s="382"/>
      <c r="Q3" s="382"/>
      <c r="R3" s="382"/>
      <c r="S3" s="382"/>
      <c r="T3" s="382"/>
      <c r="U3" s="382"/>
      <c r="V3" s="382"/>
      <c r="W3" s="382"/>
      <c r="X3" s="382"/>
      <c r="Y3" s="382"/>
      <c r="Z3" s="382"/>
      <c r="AA3" s="382"/>
      <c r="AB3" s="382"/>
      <c r="AC3" s="382"/>
      <c r="AD3" s="382"/>
      <c r="AE3" s="382"/>
      <c r="AF3" s="382"/>
      <c r="AG3" s="382"/>
      <c r="AH3" s="382"/>
      <c r="AI3" s="382"/>
      <c r="AJ3" s="382"/>
      <c r="AK3" s="382"/>
      <c r="AL3" s="382"/>
    </row>
    <row r="4" spans="1:38" ht="25.35" customHeight="1">
      <c r="B4" s="373"/>
      <c r="C4" s="374"/>
      <c r="D4" s="375"/>
      <c r="E4" s="375"/>
      <c r="F4" s="379"/>
      <c r="G4" s="379"/>
      <c r="H4" s="379"/>
      <c r="I4" s="380" t="s">
        <v>176</v>
      </c>
      <c r="J4" s="380"/>
      <c r="K4" s="380"/>
      <c r="L4" s="380"/>
      <c r="M4" s="380"/>
      <c r="N4" s="380"/>
      <c r="O4" s="380" t="s">
        <v>177</v>
      </c>
      <c r="P4" s="380"/>
      <c r="Q4" s="380"/>
      <c r="R4" s="380"/>
      <c r="S4" s="380"/>
      <c r="T4" s="380"/>
      <c r="U4" s="380" t="s">
        <v>178</v>
      </c>
      <c r="V4" s="380"/>
      <c r="W4" s="380" t="s">
        <v>179</v>
      </c>
      <c r="X4" s="380"/>
      <c r="Y4" s="380" t="s">
        <v>180</v>
      </c>
      <c r="Z4" s="380"/>
      <c r="AA4" s="380"/>
      <c r="AB4" s="380"/>
      <c r="AC4" s="380"/>
      <c r="AD4" s="380"/>
      <c r="AE4" s="380" t="s">
        <v>181</v>
      </c>
      <c r="AF4" s="380"/>
      <c r="AG4" s="380" t="s">
        <v>182</v>
      </c>
      <c r="AH4" s="380"/>
      <c r="AI4" s="380" t="s">
        <v>183</v>
      </c>
      <c r="AJ4" s="380"/>
      <c r="AK4" s="380" t="s">
        <v>184</v>
      </c>
      <c r="AL4" s="380"/>
    </row>
    <row r="5" spans="1:38" ht="25.35" customHeight="1">
      <c r="B5" s="373"/>
      <c r="C5" s="374"/>
      <c r="D5" s="375"/>
      <c r="E5" s="375"/>
      <c r="F5" s="383" t="s">
        <v>152</v>
      </c>
      <c r="G5" s="383" t="s">
        <v>153</v>
      </c>
      <c r="H5" s="383" t="s">
        <v>154</v>
      </c>
      <c r="I5" s="380" t="s">
        <v>185</v>
      </c>
      <c r="J5" s="380"/>
      <c r="K5" s="380" t="s">
        <v>186</v>
      </c>
      <c r="L5" s="380"/>
      <c r="M5" s="381" t="s">
        <v>187</v>
      </c>
      <c r="N5" s="380"/>
      <c r="O5" s="380" t="s">
        <v>185</v>
      </c>
      <c r="P5" s="380"/>
      <c r="Q5" s="380" t="s">
        <v>186</v>
      </c>
      <c r="R5" s="380"/>
      <c r="S5" s="381" t="s">
        <v>187</v>
      </c>
      <c r="T5" s="380"/>
      <c r="U5" s="380" t="s">
        <v>185</v>
      </c>
      <c r="V5" s="380"/>
      <c r="W5" s="380" t="s">
        <v>185</v>
      </c>
      <c r="X5" s="380"/>
      <c r="Y5" s="380" t="s">
        <v>185</v>
      </c>
      <c r="Z5" s="380"/>
      <c r="AA5" s="380" t="s">
        <v>186</v>
      </c>
      <c r="AB5" s="380"/>
      <c r="AC5" s="381" t="s">
        <v>187</v>
      </c>
      <c r="AD5" s="380"/>
      <c r="AE5" s="380" t="s">
        <v>185</v>
      </c>
      <c r="AF5" s="380"/>
      <c r="AG5" s="380" t="s">
        <v>185</v>
      </c>
      <c r="AH5" s="380"/>
      <c r="AI5" s="380" t="s">
        <v>185</v>
      </c>
      <c r="AJ5" s="380"/>
      <c r="AK5" s="380" t="s">
        <v>185</v>
      </c>
      <c r="AL5" s="380"/>
    </row>
    <row r="6" spans="1:38" s="78" customFormat="1" ht="23.45" customHeight="1">
      <c r="B6" s="373"/>
      <c r="C6" s="374"/>
      <c r="D6" s="375"/>
      <c r="E6" s="375"/>
      <c r="F6" s="383"/>
      <c r="G6" s="383"/>
      <c r="H6" s="383"/>
      <c r="I6" s="100" t="s">
        <v>193</v>
      </c>
      <c r="J6" s="95" t="s">
        <v>189</v>
      </c>
      <c r="K6" s="100" t="s">
        <v>193</v>
      </c>
      <c r="L6" s="95" t="s">
        <v>189</v>
      </c>
      <c r="M6" s="100" t="s">
        <v>193</v>
      </c>
      <c r="N6" s="95" t="s">
        <v>189</v>
      </c>
      <c r="O6" s="100" t="s">
        <v>193</v>
      </c>
      <c r="P6" s="95" t="s">
        <v>189</v>
      </c>
      <c r="Q6" s="100" t="s">
        <v>193</v>
      </c>
      <c r="R6" s="95" t="s">
        <v>189</v>
      </c>
      <c r="S6" s="311" t="s">
        <v>193</v>
      </c>
      <c r="T6" s="95" t="s">
        <v>189</v>
      </c>
      <c r="U6" s="100" t="s">
        <v>193</v>
      </c>
      <c r="V6" s="95" t="s">
        <v>189</v>
      </c>
      <c r="W6" s="100" t="s">
        <v>193</v>
      </c>
      <c r="X6" s="95" t="s">
        <v>189</v>
      </c>
      <c r="Y6" s="100" t="s">
        <v>193</v>
      </c>
      <c r="Z6" s="95" t="s">
        <v>189</v>
      </c>
      <c r="AA6" s="100" t="s">
        <v>193</v>
      </c>
      <c r="AB6" s="95" t="s">
        <v>189</v>
      </c>
      <c r="AC6" s="100" t="s">
        <v>193</v>
      </c>
      <c r="AD6" s="95" t="s">
        <v>189</v>
      </c>
      <c r="AE6" s="100" t="s">
        <v>193</v>
      </c>
      <c r="AF6" s="95" t="s">
        <v>189</v>
      </c>
      <c r="AG6" s="100" t="s">
        <v>193</v>
      </c>
      <c r="AH6" s="95" t="s">
        <v>189</v>
      </c>
      <c r="AI6" s="100" t="s">
        <v>193</v>
      </c>
      <c r="AJ6" s="95" t="s">
        <v>189</v>
      </c>
      <c r="AK6" s="100" t="s">
        <v>193</v>
      </c>
      <c r="AL6" s="95" t="s">
        <v>189</v>
      </c>
    </row>
    <row r="7" spans="1:38" ht="12">
      <c r="B7" s="349">
        <f>D19</f>
        <v>45882</v>
      </c>
      <c r="C7" s="350" t="s">
        <v>155</v>
      </c>
      <c r="D7" s="82">
        <v>45870</v>
      </c>
      <c r="E7" s="82" t="s">
        <v>156</v>
      </c>
      <c r="F7" s="308">
        <f>SUM(M7,S7,U7,W7,AC7,AE7,AG7,AI7,AK7)</f>
        <v>189694</v>
      </c>
      <c r="G7" s="347">
        <f>SUM(F7:F10)</f>
        <v>835562</v>
      </c>
      <c r="H7" s="347">
        <f>SUM(F7:F37)</f>
        <v>6558055</v>
      </c>
      <c r="I7" s="309">
        <v>24297</v>
      </c>
      <c r="J7" s="96">
        <f t="shared" ref="J7:J40" si="0">I7/F7</f>
        <v>0.12808523200522948</v>
      </c>
      <c r="K7" s="309">
        <v>36868</v>
      </c>
      <c r="L7" s="96">
        <f t="shared" ref="L7:L40" si="1">K7/F7</f>
        <v>0.19435511929739474</v>
      </c>
      <c r="M7" s="310">
        <f>SUM(I7+K7)</f>
        <v>61165</v>
      </c>
      <c r="N7" s="96">
        <f t="shared" ref="N7:N40" si="2">M7/F7</f>
        <v>0.32244035130262422</v>
      </c>
      <c r="O7" s="309">
        <v>5748</v>
      </c>
      <c r="P7" s="96">
        <f t="shared" ref="P7:P40" si="3">O7/F7</f>
        <v>3.0301432833932544E-2</v>
      </c>
      <c r="Q7" s="309">
        <v>3941</v>
      </c>
      <c r="R7" s="96">
        <f t="shared" ref="R7:R40" si="4">Q7/D7</f>
        <v>8.5916721168519727E-2</v>
      </c>
      <c r="S7" s="310">
        <f>SUM(O7+Q7)</f>
        <v>9689</v>
      </c>
      <c r="T7" s="96">
        <f>S7/F7</f>
        <v>5.1076997691018165E-2</v>
      </c>
      <c r="U7" s="309">
        <v>17469</v>
      </c>
      <c r="V7" s="96">
        <f t="shared" ref="V7:V40" si="5">U7/F7</f>
        <v>9.209041930688372E-2</v>
      </c>
      <c r="W7" s="309">
        <v>1039</v>
      </c>
      <c r="X7" s="96">
        <f t="shared" ref="X7:X40" si="6">W7/F7</f>
        <v>5.4772422954864151E-3</v>
      </c>
      <c r="Y7" s="309">
        <v>19748</v>
      </c>
      <c r="Z7" s="96">
        <f t="shared" ref="Z7:Z40" si="7">Y7/F7</f>
        <v>0.10410450515040012</v>
      </c>
      <c r="AA7" s="309">
        <v>21070</v>
      </c>
      <c r="AB7" s="96">
        <f t="shared" ref="AB7:AB40" si="8">AA7/D7</f>
        <v>0.45934161761499892</v>
      </c>
      <c r="AC7" s="310">
        <f>SUM(Y7+AA7)</f>
        <v>40818</v>
      </c>
      <c r="AD7" s="96">
        <f t="shared" ref="AD7:AD40" si="9">AC7/F7</f>
        <v>0.21517812898668381</v>
      </c>
      <c r="AE7" s="309">
        <v>14905</v>
      </c>
      <c r="AF7" s="96">
        <f t="shared" ref="AF7:AF40" si="10">AE7/F7</f>
        <v>7.8573913776924936E-2</v>
      </c>
      <c r="AG7" s="309">
        <v>15386</v>
      </c>
      <c r="AH7" s="96">
        <f t="shared" ref="AH7:AH40" si="11">AG7/F7</f>
        <v>8.1109576475797862E-2</v>
      </c>
      <c r="AI7" s="309">
        <v>16873</v>
      </c>
      <c r="AJ7" s="96">
        <f t="shared" ref="AJ7:AJ40" si="12">AI7/F7</f>
        <v>8.8948517085411238E-2</v>
      </c>
      <c r="AK7" s="309">
        <v>12350</v>
      </c>
      <c r="AL7" s="96">
        <f t="shared" ref="AL7:AL40" si="13">AK7/F7</f>
        <v>6.5104853079169606E-2</v>
      </c>
    </row>
    <row r="8" spans="1:38" ht="12">
      <c r="B8" s="350"/>
      <c r="C8" s="350"/>
      <c r="D8" s="82">
        <v>45871</v>
      </c>
      <c r="E8" s="82" t="s">
        <v>157</v>
      </c>
      <c r="F8" s="308">
        <f t="shared" ref="F8:F45" si="14">SUM(M8,S8,U8,W8,AC8,AE8,AG8,AI8,AK8)</f>
        <v>198615</v>
      </c>
      <c r="G8" s="347"/>
      <c r="H8" s="347"/>
      <c r="I8" s="309">
        <v>23770</v>
      </c>
      <c r="J8" s="96">
        <f t="shared" si="0"/>
        <v>0.11967877552047931</v>
      </c>
      <c r="K8" s="309">
        <v>39888</v>
      </c>
      <c r="L8" s="96">
        <f t="shared" si="1"/>
        <v>0.20083075296427763</v>
      </c>
      <c r="M8" s="310">
        <f t="shared" ref="M8:M40" si="15">SUM(I8+K8)</f>
        <v>63658</v>
      </c>
      <c r="N8" s="96">
        <f t="shared" si="2"/>
        <v>0.32050952848475694</v>
      </c>
      <c r="O8" s="309">
        <v>5810</v>
      </c>
      <c r="P8" s="96">
        <f t="shared" si="3"/>
        <v>2.9252574075472649E-2</v>
      </c>
      <c r="Q8" s="309">
        <v>3881</v>
      </c>
      <c r="R8" s="96">
        <f t="shared" si="4"/>
        <v>8.4606832203352883E-2</v>
      </c>
      <c r="S8" s="310">
        <f t="shared" ref="S8:S45" si="16">SUM(O8+Q8)</f>
        <v>9691</v>
      </c>
      <c r="T8" s="96">
        <f t="shared" ref="T8:T40" si="17">S8/F8</f>
        <v>4.8792890768572364E-2</v>
      </c>
      <c r="U8" s="309">
        <v>18974</v>
      </c>
      <c r="V8" s="96">
        <f t="shared" si="5"/>
        <v>9.553155602547643E-2</v>
      </c>
      <c r="W8" s="309">
        <v>1121</v>
      </c>
      <c r="X8" s="96">
        <f t="shared" si="6"/>
        <v>5.6440852906376659E-3</v>
      </c>
      <c r="Y8" s="309">
        <v>20640</v>
      </c>
      <c r="Z8" s="96">
        <f t="shared" si="7"/>
        <v>0.10391964353145533</v>
      </c>
      <c r="AA8" s="309">
        <v>23039</v>
      </c>
      <c r="AB8" s="96">
        <f t="shared" si="8"/>
        <v>0.50225632752719584</v>
      </c>
      <c r="AC8" s="310">
        <f t="shared" ref="AC8:AC40" si="18">SUM(Y8+AA8)</f>
        <v>43679</v>
      </c>
      <c r="AD8" s="96">
        <f t="shared" si="9"/>
        <v>0.21991793167686227</v>
      </c>
      <c r="AE8" s="309">
        <v>15234</v>
      </c>
      <c r="AF8" s="96">
        <f t="shared" si="10"/>
        <v>7.6701155501850318E-2</v>
      </c>
      <c r="AG8" s="309">
        <v>16085</v>
      </c>
      <c r="AH8" s="96">
        <f t="shared" si="11"/>
        <v>8.0985826850942785E-2</v>
      </c>
      <c r="AI8" s="309">
        <v>17509</v>
      </c>
      <c r="AJ8" s="96">
        <f t="shared" si="12"/>
        <v>8.815547667598117E-2</v>
      </c>
      <c r="AK8" s="309">
        <v>12664</v>
      </c>
      <c r="AL8" s="96">
        <f t="shared" si="13"/>
        <v>6.376154872492007E-2</v>
      </c>
    </row>
    <row r="9" spans="1:38" ht="12">
      <c r="B9" s="350"/>
      <c r="C9" s="350"/>
      <c r="D9" s="82">
        <v>45872</v>
      </c>
      <c r="E9" s="82" t="s">
        <v>152</v>
      </c>
      <c r="F9" s="308">
        <f t="shared" si="14"/>
        <v>226309</v>
      </c>
      <c r="G9" s="347"/>
      <c r="H9" s="347"/>
      <c r="I9" s="309">
        <v>28783</v>
      </c>
      <c r="J9" s="96">
        <f t="shared" si="0"/>
        <v>0.12718451320981489</v>
      </c>
      <c r="K9" s="309">
        <v>42271</v>
      </c>
      <c r="L9" s="96">
        <f t="shared" si="1"/>
        <v>0.18678444074252459</v>
      </c>
      <c r="M9" s="310">
        <f t="shared" si="15"/>
        <v>71054</v>
      </c>
      <c r="N9" s="96">
        <f t="shared" si="2"/>
        <v>0.31396895395233948</v>
      </c>
      <c r="O9" s="309">
        <v>6994</v>
      </c>
      <c r="P9" s="96">
        <f t="shared" si="3"/>
        <v>3.0904648069674648E-2</v>
      </c>
      <c r="Q9" s="309">
        <v>4382</v>
      </c>
      <c r="R9" s="96">
        <f t="shared" si="4"/>
        <v>9.5526682943843741E-2</v>
      </c>
      <c r="S9" s="310">
        <f t="shared" si="16"/>
        <v>11376</v>
      </c>
      <c r="T9" s="96">
        <f t="shared" si="17"/>
        <v>5.0267554538264057E-2</v>
      </c>
      <c r="U9" s="309">
        <v>22622</v>
      </c>
      <c r="V9" s="96">
        <f t="shared" si="5"/>
        <v>9.9960673238801812E-2</v>
      </c>
      <c r="W9" s="309">
        <v>1271</v>
      </c>
      <c r="X9" s="96">
        <f t="shared" si="6"/>
        <v>5.6162149980778491E-3</v>
      </c>
      <c r="Y9" s="309">
        <v>22207</v>
      </c>
      <c r="Z9" s="96">
        <f t="shared" si="7"/>
        <v>9.8126897295290949E-2</v>
      </c>
      <c r="AA9" s="309">
        <v>24003</v>
      </c>
      <c r="AB9" s="96">
        <f t="shared" si="8"/>
        <v>0.52326037670038372</v>
      </c>
      <c r="AC9" s="310">
        <f t="shared" si="18"/>
        <v>46210</v>
      </c>
      <c r="AD9" s="96">
        <f t="shared" si="9"/>
        <v>0.20418984662563133</v>
      </c>
      <c r="AE9" s="309">
        <v>19050</v>
      </c>
      <c r="AF9" s="96">
        <f t="shared" si="10"/>
        <v>8.4176943912968552E-2</v>
      </c>
      <c r="AG9" s="309">
        <v>20178</v>
      </c>
      <c r="AH9" s="96">
        <f t="shared" si="11"/>
        <v>8.9161279489547482E-2</v>
      </c>
      <c r="AI9" s="309">
        <v>20163</v>
      </c>
      <c r="AJ9" s="96">
        <f t="shared" si="12"/>
        <v>8.9094998431348285E-2</v>
      </c>
      <c r="AK9" s="309">
        <v>14385</v>
      </c>
      <c r="AL9" s="96">
        <f t="shared" si="13"/>
        <v>6.3563534813021141E-2</v>
      </c>
    </row>
    <row r="10" spans="1:38" ht="12">
      <c r="B10" s="350"/>
      <c r="C10" s="350"/>
      <c r="D10" s="82">
        <v>45873</v>
      </c>
      <c r="E10" s="82" t="s">
        <v>158</v>
      </c>
      <c r="F10" s="308">
        <f t="shared" si="14"/>
        <v>220944</v>
      </c>
      <c r="G10" s="347"/>
      <c r="H10" s="347"/>
      <c r="I10" s="309">
        <v>27707</v>
      </c>
      <c r="J10" s="96">
        <f t="shared" si="0"/>
        <v>0.12540281700340358</v>
      </c>
      <c r="K10" s="309">
        <v>41367</v>
      </c>
      <c r="L10" s="96">
        <f t="shared" si="1"/>
        <v>0.18722843797523353</v>
      </c>
      <c r="M10" s="310">
        <f t="shared" si="15"/>
        <v>69074</v>
      </c>
      <c r="N10" s="96">
        <f t="shared" si="2"/>
        <v>0.31263125497863714</v>
      </c>
      <c r="O10" s="309">
        <v>6496</v>
      </c>
      <c r="P10" s="96">
        <f t="shared" si="3"/>
        <v>2.9401115214715039E-2</v>
      </c>
      <c r="Q10" s="309">
        <v>4347</v>
      </c>
      <c r="R10" s="96">
        <f t="shared" si="4"/>
        <v>9.4761624484991175E-2</v>
      </c>
      <c r="S10" s="310">
        <f t="shared" si="16"/>
        <v>10843</v>
      </c>
      <c r="T10" s="96">
        <f t="shared" si="17"/>
        <v>4.9075783909044823E-2</v>
      </c>
      <c r="U10" s="309">
        <v>21669</v>
      </c>
      <c r="V10" s="96">
        <f t="shared" si="5"/>
        <v>9.8074625244405828E-2</v>
      </c>
      <c r="W10" s="309">
        <v>1163</v>
      </c>
      <c r="X10" s="96">
        <f t="shared" si="6"/>
        <v>5.2637772467231513E-3</v>
      </c>
      <c r="Y10" s="309">
        <v>22556</v>
      </c>
      <c r="Z10" s="96">
        <f t="shared" si="7"/>
        <v>0.10208921717720328</v>
      </c>
      <c r="AA10" s="309">
        <v>24659</v>
      </c>
      <c r="AB10" s="96">
        <f t="shared" si="8"/>
        <v>0.53754932095132213</v>
      </c>
      <c r="AC10" s="310">
        <f t="shared" si="18"/>
        <v>47215</v>
      </c>
      <c r="AD10" s="96">
        <f t="shared" si="9"/>
        <v>0.21369668332247085</v>
      </c>
      <c r="AE10" s="309">
        <v>19050</v>
      </c>
      <c r="AF10" s="96">
        <f t="shared" si="10"/>
        <v>8.6220942863349984E-2</v>
      </c>
      <c r="AG10" s="309">
        <v>19934</v>
      </c>
      <c r="AH10" s="96">
        <f t="shared" si="11"/>
        <v>9.0221956694909122E-2</v>
      </c>
      <c r="AI10" s="309">
        <v>18083</v>
      </c>
      <c r="AJ10" s="96">
        <f t="shared" si="12"/>
        <v>8.1844268230863923E-2</v>
      </c>
      <c r="AK10" s="309">
        <v>13913</v>
      </c>
      <c r="AL10" s="96">
        <f t="shared" si="13"/>
        <v>6.2970707509595186E-2</v>
      </c>
    </row>
    <row r="11" spans="1:38" ht="12">
      <c r="B11" s="350"/>
      <c r="C11" s="350"/>
      <c r="D11" s="82">
        <v>45874</v>
      </c>
      <c r="E11" s="82" t="s">
        <v>159</v>
      </c>
      <c r="F11" s="308">
        <f t="shared" si="14"/>
        <v>237092</v>
      </c>
      <c r="G11" s="347">
        <f t="shared" ref="G11" si="19">SUM(F11:F17)</f>
        <v>1481597</v>
      </c>
      <c r="H11" s="347"/>
      <c r="I11" s="309">
        <v>31215</v>
      </c>
      <c r="J11" s="96">
        <f t="shared" si="0"/>
        <v>0.13165775310849798</v>
      </c>
      <c r="K11" s="309">
        <v>41098</v>
      </c>
      <c r="L11" s="96">
        <f t="shared" si="1"/>
        <v>0.17334199382518178</v>
      </c>
      <c r="M11" s="310">
        <f t="shared" si="15"/>
        <v>72313</v>
      </c>
      <c r="N11" s="96">
        <f t="shared" si="2"/>
        <v>0.30499974693367976</v>
      </c>
      <c r="O11" s="309">
        <v>6557</v>
      </c>
      <c r="P11" s="96">
        <f t="shared" si="3"/>
        <v>2.765593103099219E-2</v>
      </c>
      <c r="Q11" s="309">
        <v>4244</v>
      </c>
      <c r="R11" s="96">
        <f t="shared" si="4"/>
        <v>9.251427824039761E-2</v>
      </c>
      <c r="S11" s="310">
        <f t="shared" si="16"/>
        <v>10801</v>
      </c>
      <c r="T11" s="96">
        <f t="shared" si="17"/>
        <v>4.555615541646281E-2</v>
      </c>
      <c r="U11" s="309">
        <v>27130</v>
      </c>
      <c r="V11" s="96">
        <f t="shared" si="5"/>
        <v>0.11442815447168188</v>
      </c>
      <c r="W11" s="309">
        <v>651</v>
      </c>
      <c r="X11" s="96">
        <f t="shared" si="6"/>
        <v>2.7457695746798713E-3</v>
      </c>
      <c r="Y11" s="309">
        <v>30868</v>
      </c>
      <c r="Z11" s="96">
        <f t="shared" si="7"/>
        <v>0.13019418622306952</v>
      </c>
      <c r="AA11" s="309">
        <v>24259</v>
      </c>
      <c r="AB11" s="96">
        <f t="shared" si="8"/>
        <v>0.52881806687884203</v>
      </c>
      <c r="AC11" s="310">
        <f t="shared" si="18"/>
        <v>55127</v>
      </c>
      <c r="AD11" s="96">
        <f t="shared" si="9"/>
        <v>0.2325131172709328</v>
      </c>
      <c r="AE11" s="309">
        <v>19391</v>
      </c>
      <c r="AF11" s="96">
        <f t="shared" si="10"/>
        <v>8.1786816931823936E-2</v>
      </c>
      <c r="AG11" s="309">
        <v>19755</v>
      </c>
      <c r="AH11" s="96">
        <f t="shared" si="11"/>
        <v>8.3322085941322357E-2</v>
      </c>
      <c r="AI11" s="309">
        <v>18196</v>
      </c>
      <c r="AJ11" s="96">
        <f t="shared" si="12"/>
        <v>7.6746579386904656E-2</v>
      </c>
      <c r="AK11" s="309">
        <v>13728</v>
      </c>
      <c r="AL11" s="96">
        <f t="shared" si="13"/>
        <v>5.7901574072511938E-2</v>
      </c>
    </row>
    <row r="12" spans="1:38" ht="12">
      <c r="B12" s="350"/>
      <c r="C12" s="350"/>
      <c r="D12" s="82">
        <v>45875</v>
      </c>
      <c r="E12" s="82" t="s">
        <v>160</v>
      </c>
      <c r="F12" s="308">
        <f t="shared" si="14"/>
        <v>222453</v>
      </c>
      <c r="G12" s="347"/>
      <c r="H12" s="347"/>
      <c r="I12" s="309">
        <v>30098</v>
      </c>
      <c r="J12" s="96">
        <f t="shared" si="0"/>
        <v>0.13530049044067735</v>
      </c>
      <c r="K12" s="309">
        <v>40918</v>
      </c>
      <c r="L12" s="96">
        <f t="shared" si="1"/>
        <v>0.1839399783325017</v>
      </c>
      <c r="M12" s="310">
        <f t="shared" si="15"/>
        <v>71016</v>
      </c>
      <c r="N12" s="96">
        <f t="shared" si="2"/>
        <v>0.31924046877317908</v>
      </c>
      <c r="O12" s="309">
        <v>6456</v>
      </c>
      <c r="P12" s="96">
        <f t="shared" si="3"/>
        <v>2.9021860797561732E-2</v>
      </c>
      <c r="Q12" s="309">
        <v>4188</v>
      </c>
      <c r="R12" s="96">
        <f t="shared" si="4"/>
        <v>9.1291553133514988E-2</v>
      </c>
      <c r="S12" s="310">
        <f t="shared" si="16"/>
        <v>10644</v>
      </c>
      <c r="T12" s="96">
        <f t="shared" si="17"/>
        <v>4.7848309530552524E-2</v>
      </c>
      <c r="U12" s="309">
        <v>24026</v>
      </c>
      <c r="V12" s="96">
        <f t="shared" si="5"/>
        <v>0.10800483697679959</v>
      </c>
      <c r="W12" s="309">
        <v>711</v>
      </c>
      <c r="X12" s="96">
        <f t="shared" si="6"/>
        <v>3.196180766274224E-3</v>
      </c>
      <c r="Y12" s="309">
        <v>27469</v>
      </c>
      <c r="Z12" s="96">
        <f t="shared" si="7"/>
        <v>0.12348226366917955</v>
      </c>
      <c r="AA12" s="309">
        <v>22639</v>
      </c>
      <c r="AB12" s="96">
        <f t="shared" si="8"/>
        <v>0.4934931880108992</v>
      </c>
      <c r="AC12" s="310">
        <f t="shared" si="18"/>
        <v>50108</v>
      </c>
      <c r="AD12" s="96">
        <f t="shared" si="9"/>
        <v>0.22525207571936545</v>
      </c>
      <c r="AE12" s="309">
        <v>16348</v>
      </c>
      <c r="AF12" s="96">
        <f t="shared" si="10"/>
        <v>7.3489680966316487E-2</v>
      </c>
      <c r="AG12" s="309">
        <v>19784</v>
      </c>
      <c r="AH12" s="96">
        <f t="shared" si="11"/>
        <v>8.8935640337509503E-2</v>
      </c>
      <c r="AI12" s="309">
        <v>15906</v>
      </c>
      <c r="AJ12" s="96">
        <f t="shared" si="12"/>
        <v>7.1502744399940657E-2</v>
      </c>
      <c r="AK12" s="309">
        <v>13910</v>
      </c>
      <c r="AL12" s="96">
        <f t="shared" si="13"/>
        <v>6.2530062530062533E-2</v>
      </c>
    </row>
    <row r="13" spans="1:38" ht="12">
      <c r="B13" s="350"/>
      <c r="C13" s="350"/>
      <c r="D13" s="82">
        <v>45876</v>
      </c>
      <c r="E13" s="82" t="s">
        <v>161</v>
      </c>
      <c r="F13" s="308">
        <f t="shared" si="14"/>
        <v>211393</v>
      </c>
      <c r="G13" s="347"/>
      <c r="H13" s="347"/>
      <c r="I13" s="309">
        <v>29431</v>
      </c>
      <c r="J13" s="96">
        <f t="shared" si="0"/>
        <v>0.13922409918966097</v>
      </c>
      <c r="K13" s="309">
        <v>39687</v>
      </c>
      <c r="L13" s="96">
        <f t="shared" si="1"/>
        <v>0.18774036983249209</v>
      </c>
      <c r="M13" s="310">
        <f t="shared" si="15"/>
        <v>69118</v>
      </c>
      <c r="N13" s="96">
        <f t="shared" si="2"/>
        <v>0.32696446902215304</v>
      </c>
      <c r="O13" s="309">
        <v>6247</v>
      </c>
      <c r="P13" s="96">
        <f t="shared" si="3"/>
        <v>2.9551593477551291E-2</v>
      </c>
      <c r="Q13" s="309">
        <v>4009</v>
      </c>
      <c r="R13" s="96">
        <f t="shared" si="4"/>
        <v>8.7387740866684105E-2</v>
      </c>
      <c r="S13" s="310">
        <f t="shared" si="16"/>
        <v>10256</v>
      </c>
      <c r="T13" s="96">
        <f t="shared" si="17"/>
        <v>4.8516270642831122E-2</v>
      </c>
      <c r="U13" s="309">
        <v>23164</v>
      </c>
      <c r="V13" s="96">
        <f t="shared" si="5"/>
        <v>0.10957789519993566</v>
      </c>
      <c r="W13" s="309">
        <v>706</v>
      </c>
      <c r="X13" s="96">
        <f t="shared" si="6"/>
        <v>3.3397510797424702E-3</v>
      </c>
      <c r="Y13" s="309">
        <v>25319</v>
      </c>
      <c r="Z13" s="96">
        <f t="shared" si="7"/>
        <v>0.11977217788668498</v>
      </c>
      <c r="AA13" s="309">
        <v>19736</v>
      </c>
      <c r="AB13" s="96">
        <f t="shared" si="8"/>
        <v>0.43020315633446682</v>
      </c>
      <c r="AC13" s="310">
        <f t="shared" si="18"/>
        <v>45055</v>
      </c>
      <c r="AD13" s="96">
        <f t="shared" si="9"/>
        <v>0.21313383129999575</v>
      </c>
      <c r="AE13" s="309">
        <v>15331</v>
      </c>
      <c r="AF13" s="96">
        <f t="shared" si="10"/>
        <v>7.2523688106985562E-2</v>
      </c>
      <c r="AG13" s="309">
        <v>18575</v>
      </c>
      <c r="AH13" s="96">
        <f t="shared" si="11"/>
        <v>8.7869513181609613E-2</v>
      </c>
      <c r="AI13" s="309">
        <v>15865</v>
      </c>
      <c r="AJ13" s="96">
        <f t="shared" si="12"/>
        <v>7.5049788782031571E-2</v>
      </c>
      <c r="AK13" s="309">
        <v>13323</v>
      </c>
      <c r="AL13" s="96">
        <f t="shared" si="13"/>
        <v>6.3024792684715197E-2</v>
      </c>
    </row>
    <row r="14" spans="1:38" ht="12">
      <c r="B14" s="350"/>
      <c r="C14" s="350"/>
      <c r="D14" s="82">
        <v>45877</v>
      </c>
      <c r="E14" s="82" t="s">
        <v>156</v>
      </c>
      <c r="F14" s="308">
        <f t="shared" si="14"/>
        <v>189264</v>
      </c>
      <c r="G14" s="347"/>
      <c r="H14" s="347"/>
      <c r="I14" s="309">
        <v>26474</v>
      </c>
      <c r="J14" s="96">
        <f t="shared" si="0"/>
        <v>0.13987868797024264</v>
      </c>
      <c r="K14" s="309">
        <v>37685</v>
      </c>
      <c r="L14" s="96">
        <f t="shared" si="1"/>
        <v>0.19911340772677319</v>
      </c>
      <c r="M14" s="310">
        <f t="shared" si="15"/>
        <v>64159</v>
      </c>
      <c r="N14" s="96">
        <f t="shared" si="2"/>
        <v>0.33899209569701583</v>
      </c>
      <c r="O14" s="309">
        <v>5418</v>
      </c>
      <c r="P14" s="96">
        <f t="shared" si="3"/>
        <v>2.862668019274664E-2</v>
      </c>
      <c r="Q14" s="309">
        <v>3800</v>
      </c>
      <c r="R14" s="96">
        <f t="shared" si="4"/>
        <v>8.2830176341085943E-2</v>
      </c>
      <c r="S14" s="310">
        <f t="shared" si="16"/>
        <v>9218</v>
      </c>
      <c r="T14" s="96">
        <f t="shared" si="17"/>
        <v>4.8704455152591086E-2</v>
      </c>
      <c r="U14" s="309">
        <v>20286</v>
      </c>
      <c r="V14" s="96">
        <f t="shared" si="5"/>
        <v>0.10718361653563277</v>
      </c>
      <c r="W14" s="309">
        <v>644</v>
      </c>
      <c r="X14" s="96">
        <f t="shared" si="6"/>
        <v>3.402654493194691E-3</v>
      </c>
      <c r="Y14" s="309">
        <v>21678</v>
      </c>
      <c r="Z14" s="96">
        <f t="shared" si="7"/>
        <v>0.11453842252092315</v>
      </c>
      <c r="AA14" s="309">
        <v>19043</v>
      </c>
      <c r="AB14" s="96">
        <f t="shared" si="8"/>
        <v>0.41508817054297359</v>
      </c>
      <c r="AC14" s="310">
        <f t="shared" si="18"/>
        <v>40721</v>
      </c>
      <c r="AD14" s="96">
        <f t="shared" si="9"/>
        <v>0.21515449319469102</v>
      </c>
      <c r="AE14" s="309">
        <v>12595</v>
      </c>
      <c r="AF14" s="96">
        <f t="shared" si="10"/>
        <v>6.6547256741905481E-2</v>
      </c>
      <c r="AG14" s="309">
        <v>14396</v>
      </c>
      <c r="AH14" s="96">
        <f t="shared" si="11"/>
        <v>7.6063065347873868E-2</v>
      </c>
      <c r="AI14" s="309">
        <v>15074</v>
      </c>
      <c r="AJ14" s="96">
        <f t="shared" si="12"/>
        <v>7.964536309070927E-2</v>
      </c>
      <c r="AK14" s="309">
        <v>12171</v>
      </c>
      <c r="AL14" s="96">
        <f t="shared" si="13"/>
        <v>6.4306999746385998E-2</v>
      </c>
    </row>
    <row r="15" spans="1:38" ht="12">
      <c r="B15" s="350"/>
      <c r="C15" s="350"/>
      <c r="D15" s="82">
        <v>45878</v>
      </c>
      <c r="E15" s="82" t="s">
        <v>157</v>
      </c>
      <c r="F15" s="308">
        <f t="shared" si="14"/>
        <v>192323</v>
      </c>
      <c r="G15" s="347"/>
      <c r="H15" s="347"/>
      <c r="I15" s="309">
        <v>25438</v>
      </c>
      <c r="J15" s="96">
        <f t="shared" si="0"/>
        <v>0.13226707154110534</v>
      </c>
      <c r="K15" s="309">
        <v>40276</v>
      </c>
      <c r="L15" s="96">
        <f t="shared" si="1"/>
        <v>0.2094185302849893</v>
      </c>
      <c r="M15" s="310">
        <f t="shared" si="15"/>
        <v>65714</v>
      </c>
      <c r="N15" s="96">
        <f t="shared" si="2"/>
        <v>0.34168560182609464</v>
      </c>
      <c r="O15" s="309">
        <v>5422</v>
      </c>
      <c r="P15" s="96">
        <f t="shared" si="3"/>
        <v>2.8192155904390011E-2</v>
      </c>
      <c r="Q15" s="309">
        <v>3828</v>
      </c>
      <c r="R15" s="96">
        <f t="shared" si="4"/>
        <v>8.3438685208596708E-2</v>
      </c>
      <c r="S15" s="310">
        <f t="shared" si="16"/>
        <v>9250</v>
      </c>
      <c r="T15" s="96">
        <f t="shared" si="17"/>
        <v>4.8096171544745041E-2</v>
      </c>
      <c r="U15" s="309">
        <v>21476</v>
      </c>
      <c r="V15" s="96">
        <f t="shared" si="5"/>
        <v>0.11166631136161562</v>
      </c>
      <c r="W15" s="309">
        <v>562</v>
      </c>
      <c r="X15" s="96">
        <f t="shared" si="6"/>
        <v>2.9221673954753203E-3</v>
      </c>
      <c r="Y15" s="309">
        <v>19618</v>
      </c>
      <c r="Z15" s="96">
        <f t="shared" si="7"/>
        <v>0.10200548036376304</v>
      </c>
      <c r="AA15" s="309">
        <v>20751</v>
      </c>
      <c r="AB15" s="96">
        <f t="shared" si="8"/>
        <v>0.45230829591525351</v>
      </c>
      <c r="AC15" s="310">
        <f t="shared" si="18"/>
        <v>40369</v>
      </c>
      <c r="AD15" s="96">
        <f t="shared" si="9"/>
        <v>0.20990209179349323</v>
      </c>
      <c r="AE15" s="309">
        <v>12433</v>
      </c>
      <c r="AF15" s="96">
        <f t="shared" si="10"/>
        <v>6.4646454142250273E-2</v>
      </c>
      <c r="AG15" s="309">
        <v>14047</v>
      </c>
      <c r="AH15" s="96">
        <f t="shared" si="11"/>
        <v>7.3038586128544164E-2</v>
      </c>
      <c r="AI15" s="309">
        <v>16291</v>
      </c>
      <c r="AJ15" s="96">
        <f t="shared" si="12"/>
        <v>8.4706457365993665E-2</v>
      </c>
      <c r="AK15" s="309">
        <v>12181</v>
      </c>
      <c r="AL15" s="96">
        <f t="shared" si="13"/>
        <v>6.333615844178804E-2</v>
      </c>
    </row>
    <row r="16" spans="1:38" ht="12">
      <c r="B16" s="350"/>
      <c r="C16" s="350"/>
      <c r="D16" s="82">
        <v>45879</v>
      </c>
      <c r="E16" s="82" t="s">
        <v>152</v>
      </c>
      <c r="F16" s="308">
        <f t="shared" si="14"/>
        <v>216752</v>
      </c>
      <c r="G16" s="347"/>
      <c r="H16" s="347"/>
      <c r="I16" s="309">
        <v>30754</v>
      </c>
      <c r="J16" s="96">
        <f t="shared" si="0"/>
        <v>0.14188565734110872</v>
      </c>
      <c r="K16" s="309">
        <v>42713</v>
      </c>
      <c r="L16" s="96">
        <f t="shared" si="1"/>
        <v>0.19705931202480254</v>
      </c>
      <c r="M16" s="310">
        <f t="shared" si="15"/>
        <v>73467</v>
      </c>
      <c r="N16" s="96">
        <f t="shared" si="2"/>
        <v>0.33894496936591129</v>
      </c>
      <c r="O16" s="309">
        <v>6692</v>
      </c>
      <c r="P16" s="96">
        <f t="shared" si="3"/>
        <v>3.0873994242267659E-2</v>
      </c>
      <c r="Q16" s="309">
        <v>4244</v>
      </c>
      <c r="R16" s="96">
        <f t="shared" si="4"/>
        <v>9.2504195819438084E-2</v>
      </c>
      <c r="S16" s="310">
        <f t="shared" si="16"/>
        <v>10936</v>
      </c>
      <c r="T16" s="96">
        <f t="shared" si="17"/>
        <v>5.045397504982653E-2</v>
      </c>
      <c r="U16" s="309">
        <v>24468</v>
      </c>
      <c r="V16" s="96">
        <f t="shared" si="5"/>
        <v>0.11288477153613347</v>
      </c>
      <c r="W16" s="309">
        <v>532</v>
      </c>
      <c r="X16" s="96">
        <f t="shared" si="6"/>
        <v>2.4544179523141654E-3</v>
      </c>
      <c r="Y16" s="309">
        <v>22266</v>
      </c>
      <c r="Z16" s="96">
        <f t="shared" si="7"/>
        <v>0.102725695725991</v>
      </c>
      <c r="AA16" s="309">
        <v>20884</v>
      </c>
      <c r="AB16" s="96">
        <f t="shared" si="8"/>
        <v>0.45519736698707469</v>
      </c>
      <c r="AC16" s="310">
        <f t="shared" si="18"/>
        <v>43150</v>
      </c>
      <c r="AD16" s="96">
        <f t="shared" si="9"/>
        <v>0.1990754410570606</v>
      </c>
      <c r="AE16" s="309">
        <v>15278</v>
      </c>
      <c r="AF16" s="96">
        <f t="shared" si="10"/>
        <v>7.0486085480180108E-2</v>
      </c>
      <c r="AG16" s="309">
        <v>18430</v>
      </c>
      <c r="AH16" s="96">
        <f t="shared" si="11"/>
        <v>8.5028050490883592E-2</v>
      </c>
      <c r="AI16" s="309">
        <v>16716</v>
      </c>
      <c r="AJ16" s="96">
        <f t="shared" si="12"/>
        <v>7.7120395659555627E-2</v>
      </c>
      <c r="AK16" s="309">
        <v>13775</v>
      </c>
      <c r="AL16" s="96">
        <f t="shared" si="13"/>
        <v>6.3551893408134649E-2</v>
      </c>
    </row>
    <row r="17" spans="2:38" ht="12">
      <c r="B17" s="350"/>
      <c r="C17" s="350"/>
      <c r="D17" s="82">
        <v>45880</v>
      </c>
      <c r="E17" s="82" t="s">
        <v>158</v>
      </c>
      <c r="F17" s="308">
        <f t="shared" si="14"/>
        <v>212320</v>
      </c>
      <c r="G17" s="347"/>
      <c r="H17" s="347"/>
      <c r="I17" s="309">
        <v>30064</v>
      </c>
      <c r="J17" s="96">
        <f t="shared" si="0"/>
        <v>0.14159758854559157</v>
      </c>
      <c r="K17" s="309">
        <v>41846</v>
      </c>
      <c r="L17" s="96">
        <f t="shared" si="1"/>
        <v>0.19708929917106255</v>
      </c>
      <c r="M17" s="310">
        <f t="shared" si="15"/>
        <v>71910</v>
      </c>
      <c r="N17" s="96">
        <f t="shared" si="2"/>
        <v>0.33868688771665412</v>
      </c>
      <c r="O17" s="309">
        <v>6405</v>
      </c>
      <c r="P17" s="96">
        <f t="shared" si="3"/>
        <v>3.0166729464958554E-2</v>
      </c>
      <c r="Q17" s="309">
        <v>4199</v>
      </c>
      <c r="R17" s="96">
        <f t="shared" si="4"/>
        <v>9.1521360069747162E-2</v>
      </c>
      <c r="S17" s="310">
        <f t="shared" si="16"/>
        <v>10604</v>
      </c>
      <c r="T17" s="96">
        <f t="shared" si="17"/>
        <v>4.9943481537302187E-2</v>
      </c>
      <c r="U17" s="309">
        <v>22841</v>
      </c>
      <c r="V17" s="96">
        <f t="shared" si="5"/>
        <v>0.10757818387339864</v>
      </c>
      <c r="W17" s="309">
        <v>545</v>
      </c>
      <c r="X17" s="96">
        <f t="shared" si="6"/>
        <v>2.5668801808590804E-3</v>
      </c>
      <c r="Y17" s="309">
        <v>22697</v>
      </c>
      <c r="Z17" s="96">
        <f t="shared" si="7"/>
        <v>0.10689996232102487</v>
      </c>
      <c r="AA17" s="309">
        <v>21413</v>
      </c>
      <c r="AB17" s="96">
        <f t="shared" si="8"/>
        <v>0.46671752397558847</v>
      </c>
      <c r="AC17" s="310">
        <f t="shared" si="18"/>
        <v>44110</v>
      </c>
      <c r="AD17" s="96">
        <f t="shared" si="9"/>
        <v>0.20775244913338356</v>
      </c>
      <c r="AE17" s="309">
        <v>14604</v>
      </c>
      <c r="AF17" s="96">
        <f t="shared" si="10"/>
        <v>6.8782969103240388E-2</v>
      </c>
      <c r="AG17" s="309">
        <v>17867</v>
      </c>
      <c r="AH17" s="96">
        <f t="shared" si="11"/>
        <v>8.4151281085154489E-2</v>
      </c>
      <c r="AI17" s="309">
        <v>16601</v>
      </c>
      <c r="AJ17" s="96">
        <f t="shared" si="12"/>
        <v>7.8188583270535045E-2</v>
      </c>
      <c r="AK17" s="309">
        <v>13238</v>
      </c>
      <c r="AL17" s="96">
        <f t="shared" si="13"/>
        <v>6.2349284099472498E-2</v>
      </c>
    </row>
    <row r="18" spans="2:38" ht="12">
      <c r="B18" s="349">
        <f>D26</f>
        <v>45889</v>
      </c>
      <c r="C18" s="350"/>
      <c r="D18" s="82">
        <v>45881</v>
      </c>
      <c r="E18" s="82" t="s">
        <v>159</v>
      </c>
      <c r="F18" s="308">
        <f t="shared" si="14"/>
        <v>224380</v>
      </c>
      <c r="G18" s="347">
        <f t="shared" ref="G18" si="20">SUM(F18:F24)</f>
        <v>1480470</v>
      </c>
      <c r="H18" s="347"/>
      <c r="I18" s="309">
        <v>29738</v>
      </c>
      <c r="J18" s="96">
        <f t="shared" si="0"/>
        <v>0.13253409394776719</v>
      </c>
      <c r="K18" s="309">
        <v>40317</v>
      </c>
      <c r="L18" s="96">
        <f t="shared" si="1"/>
        <v>0.17968178982083965</v>
      </c>
      <c r="M18" s="310">
        <f t="shared" si="15"/>
        <v>70055</v>
      </c>
      <c r="N18" s="96">
        <f t="shared" si="2"/>
        <v>0.31221588376860682</v>
      </c>
      <c r="O18" s="309">
        <v>6102</v>
      </c>
      <c r="P18" s="96">
        <f t="shared" si="3"/>
        <v>2.7194937160174702E-2</v>
      </c>
      <c r="Q18" s="309">
        <v>4030</v>
      </c>
      <c r="R18" s="96">
        <f t="shared" si="4"/>
        <v>8.7835923366971075E-2</v>
      </c>
      <c r="S18" s="310">
        <f t="shared" si="16"/>
        <v>10132</v>
      </c>
      <c r="T18" s="96">
        <f t="shared" si="17"/>
        <v>4.5155539709421516E-2</v>
      </c>
      <c r="U18" s="309">
        <v>21828</v>
      </c>
      <c r="V18" s="96">
        <f t="shared" si="5"/>
        <v>9.7281397629022201E-2</v>
      </c>
      <c r="W18" s="309">
        <v>506</v>
      </c>
      <c r="X18" s="96">
        <f t="shared" si="6"/>
        <v>2.2551029503520815E-3</v>
      </c>
      <c r="Y18" s="309">
        <v>27791</v>
      </c>
      <c r="Z18" s="96">
        <f t="shared" si="7"/>
        <v>0.12385684998662982</v>
      </c>
      <c r="AA18" s="309">
        <v>22172</v>
      </c>
      <c r="AB18" s="96">
        <f t="shared" si="8"/>
        <v>0.48325014711972275</v>
      </c>
      <c r="AC18" s="310">
        <f t="shared" si="18"/>
        <v>49963</v>
      </c>
      <c r="AD18" s="96">
        <f t="shared" si="9"/>
        <v>0.22267136108387556</v>
      </c>
      <c r="AE18" s="309">
        <v>15650</v>
      </c>
      <c r="AF18" s="96">
        <f t="shared" si="10"/>
        <v>6.9747749353774841E-2</v>
      </c>
      <c r="AG18" s="309">
        <v>25790</v>
      </c>
      <c r="AH18" s="96">
        <f t="shared" si="11"/>
        <v>0.11493894286478296</v>
      </c>
      <c r="AI18" s="309">
        <v>16882</v>
      </c>
      <c r="AJ18" s="96">
        <f t="shared" si="12"/>
        <v>7.5238434798110349E-2</v>
      </c>
      <c r="AK18" s="309">
        <v>13574</v>
      </c>
      <c r="AL18" s="96">
        <f t="shared" si="13"/>
        <v>6.0495587842053659E-2</v>
      </c>
    </row>
    <row r="19" spans="2:38" ht="12">
      <c r="B19" s="350"/>
      <c r="C19" s="350"/>
      <c r="D19" s="82">
        <v>45882</v>
      </c>
      <c r="E19" s="82" t="s">
        <v>160</v>
      </c>
      <c r="F19" s="308">
        <f t="shared" si="14"/>
        <v>220130</v>
      </c>
      <c r="G19" s="347"/>
      <c r="H19" s="347"/>
      <c r="I19" s="309">
        <v>28877</v>
      </c>
      <c r="J19" s="96">
        <f t="shared" si="0"/>
        <v>0.13118157452414483</v>
      </c>
      <c r="K19" s="309">
        <v>40445</v>
      </c>
      <c r="L19" s="96">
        <f t="shared" si="1"/>
        <v>0.18373233998092037</v>
      </c>
      <c r="M19" s="310">
        <f t="shared" si="15"/>
        <v>69322</v>
      </c>
      <c r="N19" s="96">
        <f t="shared" si="2"/>
        <v>0.31491391450506517</v>
      </c>
      <c r="O19" s="309">
        <v>5845</v>
      </c>
      <c r="P19" s="96">
        <f t="shared" si="3"/>
        <v>2.6552491709444421E-2</v>
      </c>
      <c r="Q19" s="309">
        <v>4084</v>
      </c>
      <c r="R19" s="96">
        <f t="shared" si="4"/>
        <v>8.9010941109803413E-2</v>
      </c>
      <c r="S19" s="310">
        <f t="shared" si="16"/>
        <v>9929</v>
      </c>
      <c r="T19" s="96">
        <f t="shared" si="17"/>
        <v>4.510516512969609E-2</v>
      </c>
      <c r="U19" s="309">
        <v>22470</v>
      </c>
      <c r="V19" s="96">
        <f t="shared" si="5"/>
        <v>0.10207604597283423</v>
      </c>
      <c r="W19" s="309">
        <v>516</v>
      </c>
      <c r="X19" s="96">
        <f t="shared" si="6"/>
        <v>2.3440694135283698E-3</v>
      </c>
      <c r="Y19" s="309">
        <v>27430</v>
      </c>
      <c r="Z19" s="96">
        <f t="shared" si="7"/>
        <v>0.12460818607186662</v>
      </c>
      <c r="AA19" s="309">
        <v>21391</v>
      </c>
      <c r="AB19" s="96">
        <f t="shared" si="8"/>
        <v>0.46621768885401682</v>
      </c>
      <c r="AC19" s="310">
        <f t="shared" si="18"/>
        <v>48821</v>
      </c>
      <c r="AD19" s="96">
        <f t="shared" si="9"/>
        <v>0.22178258301912507</v>
      </c>
      <c r="AE19" s="309">
        <v>15236</v>
      </c>
      <c r="AF19" s="96">
        <f t="shared" si="10"/>
        <v>6.9213646481624494E-2</v>
      </c>
      <c r="AG19" s="309">
        <v>22394</v>
      </c>
      <c r="AH19" s="96">
        <f t="shared" si="11"/>
        <v>0.10173079543905873</v>
      </c>
      <c r="AI19" s="309">
        <v>17604</v>
      </c>
      <c r="AJ19" s="96">
        <f t="shared" si="12"/>
        <v>7.9970926270839959E-2</v>
      </c>
      <c r="AK19" s="309">
        <v>13838</v>
      </c>
      <c r="AL19" s="96">
        <f t="shared" si="13"/>
        <v>6.2862853768227867E-2</v>
      </c>
    </row>
    <row r="20" spans="2:38" ht="12">
      <c r="B20" s="350"/>
      <c r="C20" s="350"/>
      <c r="D20" s="82">
        <v>45883</v>
      </c>
      <c r="E20" s="82" t="s">
        <v>161</v>
      </c>
      <c r="F20" s="308">
        <f t="shared" si="14"/>
        <v>214387</v>
      </c>
      <c r="G20" s="347"/>
      <c r="H20" s="347"/>
      <c r="I20" s="309">
        <v>29541</v>
      </c>
      <c r="J20" s="96">
        <f t="shared" si="0"/>
        <v>0.13779286990349229</v>
      </c>
      <c r="K20" s="309">
        <v>39657</v>
      </c>
      <c r="L20" s="96">
        <f t="shared" si="1"/>
        <v>0.18497856679742708</v>
      </c>
      <c r="M20" s="310">
        <f t="shared" si="15"/>
        <v>69198</v>
      </c>
      <c r="N20" s="96">
        <f t="shared" si="2"/>
        <v>0.32277143670091935</v>
      </c>
      <c r="O20" s="309">
        <v>5970</v>
      </c>
      <c r="P20" s="96">
        <f t="shared" si="3"/>
        <v>2.7846837728033882E-2</v>
      </c>
      <c r="Q20" s="309">
        <v>4027</v>
      </c>
      <c r="R20" s="96">
        <f t="shared" si="4"/>
        <v>8.7766710982281018E-2</v>
      </c>
      <c r="S20" s="310">
        <f t="shared" si="16"/>
        <v>9997</v>
      </c>
      <c r="T20" s="96">
        <f t="shared" si="17"/>
        <v>4.6630625924146518E-2</v>
      </c>
      <c r="U20" s="309">
        <v>21447</v>
      </c>
      <c r="V20" s="96">
        <f t="shared" si="5"/>
        <v>0.10003871503402725</v>
      </c>
      <c r="W20" s="309">
        <v>514</v>
      </c>
      <c r="X20" s="96">
        <f t="shared" si="6"/>
        <v>2.3975334325308903E-3</v>
      </c>
      <c r="Y20" s="309">
        <v>24388</v>
      </c>
      <c r="Z20" s="96">
        <f t="shared" si="7"/>
        <v>0.11375689757308045</v>
      </c>
      <c r="AA20" s="309">
        <v>21528</v>
      </c>
      <c r="AB20" s="96">
        <f t="shared" si="8"/>
        <v>0.46919338317023734</v>
      </c>
      <c r="AC20" s="310">
        <f t="shared" si="18"/>
        <v>45916</v>
      </c>
      <c r="AD20" s="96">
        <f t="shared" si="9"/>
        <v>0.21417343402351821</v>
      </c>
      <c r="AE20" s="309">
        <v>14615</v>
      </c>
      <c r="AF20" s="96">
        <f t="shared" si="10"/>
        <v>6.8171111121476585E-2</v>
      </c>
      <c r="AG20" s="309">
        <v>21330</v>
      </c>
      <c r="AH20" s="96">
        <f t="shared" si="11"/>
        <v>9.9492972988100961E-2</v>
      </c>
      <c r="AI20" s="309">
        <v>18057</v>
      </c>
      <c r="AJ20" s="96">
        <f t="shared" si="12"/>
        <v>8.4226189087957759E-2</v>
      </c>
      <c r="AK20" s="309">
        <v>13313</v>
      </c>
      <c r="AL20" s="96">
        <f t="shared" si="13"/>
        <v>6.2097981687322459E-2</v>
      </c>
    </row>
    <row r="21" spans="2:38" ht="12">
      <c r="B21" s="350"/>
      <c r="C21" s="350"/>
      <c r="D21" s="82">
        <v>45884</v>
      </c>
      <c r="E21" s="82" t="s">
        <v>156</v>
      </c>
      <c r="F21" s="308">
        <f t="shared" si="14"/>
        <v>194099</v>
      </c>
      <c r="G21" s="347"/>
      <c r="H21" s="347"/>
      <c r="I21" s="309">
        <v>25248</v>
      </c>
      <c r="J21" s="96">
        <f t="shared" si="0"/>
        <v>0.13007794991215824</v>
      </c>
      <c r="K21" s="309">
        <v>36751</v>
      </c>
      <c r="L21" s="96">
        <f t="shared" si="1"/>
        <v>0.18934152159465015</v>
      </c>
      <c r="M21" s="310">
        <f t="shared" si="15"/>
        <v>61999</v>
      </c>
      <c r="N21" s="96">
        <f t="shared" si="2"/>
        <v>0.31941947150680838</v>
      </c>
      <c r="O21" s="309">
        <v>5223</v>
      </c>
      <c r="P21" s="96">
        <f t="shared" si="3"/>
        <v>2.6908948526267525E-2</v>
      </c>
      <c r="Q21" s="309">
        <v>3692</v>
      </c>
      <c r="R21" s="96">
        <f t="shared" si="4"/>
        <v>8.0463778223345828E-2</v>
      </c>
      <c r="S21" s="310">
        <f t="shared" si="16"/>
        <v>8915</v>
      </c>
      <c r="T21" s="96">
        <f t="shared" si="17"/>
        <v>4.5930169655691168E-2</v>
      </c>
      <c r="U21" s="309">
        <v>18829</v>
      </c>
      <c r="V21" s="96">
        <f t="shared" si="5"/>
        <v>9.7007197358049246E-2</v>
      </c>
      <c r="W21" s="309">
        <v>472</v>
      </c>
      <c r="X21" s="96">
        <f t="shared" si="6"/>
        <v>2.4317487467735537E-3</v>
      </c>
      <c r="Y21" s="309">
        <v>23205</v>
      </c>
      <c r="Z21" s="96">
        <f t="shared" si="7"/>
        <v>0.11955239336627185</v>
      </c>
      <c r="AA21" s="309">
        <v>22044</v>
      </c>
      <c r="AB21" s="96">
        <f t="shared" si="8"/>
        <v>0.48042890768023711</v>
      </c>
      <c r="AC21" s="310">
        <f t="shared" si="18"/>
        <v>45249</v>
      </c>
      <c r="AD21" s="96">
        <f t="shared" si="9"/>
        <v>0.23312330305668758</v>
      </c>
      <c r="AE21" s="309">
        <v>13175</v>
      </c>
      <c r="AF21" s="96">
        <f t="shared" si="10"/>
        <v>6.7877732497333837E-2</v>
      </c>
      <c r="AG21" s="309">
        <v>16516</v>
      </c>
      <c r="AH21" s="96">
        <f t="shared" si="11"/>
        <v>8.5090598096847492E-2</v>
      </c>
      <c r="AI21" s="309">
        <v>16257</v>
      </c>
      <c r="AJ21" s="96">
        <f t="shared" si="12"/>
        <v>8.3756227492156068E-2</v>
      </c>
      <c r="AK21" s="309">
        <v>12687</v>
      </c>
      <c r="AL21" s="96">
        <f t="shared" si="13"/>
        <v>6.5363551589652708E-2</v>
      </c>
    </row>
    <row r="22" spans="2:38" ht="12">
      <c r="B22" s="350"/>
      <c r="C22" s="350"/>
      <c r="D22" s="82">
        <v>45885</v>
      </c>
      <c r="E22" s="82" t="s">
        <v>157</v>
      </c>
      <c r="F22" s="308">
        <f t="shared" si="14"/>
        <v>193782</v>
      </c>
      <c r="G22" s="347"/>
      <c r="H22" s="347"/>
      <c r="I22" s="309">
        <v>24555</v>
      </c>
      <c r="J22" s="96">
        <f t="shared" si="0"/>
        <v>0.12671455553147351</v>
      </c>
      <c r="K22" s="309">
        <v>39550</v>
      </c>
      <c r="L22" s="96">
        <f t="shared" si="1"/>
        <v>0.20409532361106811</v>
      </c>
      <c r="M22" s="310">
        <f t="shared" si="15"/>
        <v>64105</v>
      </c>
      <c r="N22" s="96">
        <f t="shared" si="2"/>
        <v>0.33080987914254162</v>
      </c>
      <c r="O22" s="309">
        <v>5197</v>
      </c>
      <c r="P22" s="96">
        <f t="shared" si="3"/>
        <v>2.6818796379436686E-2</v>
      </c>
      <c r="Q22" s="309">
        <v>3667</v>
      </c>
      <c r="R22" s="96">
        <f t="shared" si="4"/>
        <v>7.9917184265010349E-2</v>
      </c>
      <c r="S22" s="310">
        <f t="shared" si="16"/>
        <v>8864</v>
      </c>
      <c r="T22" s="96">
        <f t="shared" si="17"/>
        <v>4.5742122591365557E-2</v>
      </c>
      <c r="U22" s="309">
        <v>18536</v>
      </c>
      <c r="V22" s="96">
        <f t="shared" si="5"/>
        <v>9.565387910125811E-2</v>
      </c>
      <c r="W22" s="309">
        <v>500</v>
      </c>
      <c r="X22" s="96">
        <f t="shared" si="6"/>
        <v>2.5802190089894831E-3</v>
      </c>
      <c r="Y22" s="309">
        <v>22067</v>
      </c>
      <c r="Z22" s="96">
        <f t="shared" si="7"/>
        <v>0.11387538574274185</v>
      </c>
      <c r="AA22" s="309">
        <v>21393</v>
      </c>
      <c r="AB22" s="96">
        <f t="shared" si="8"/>
        <v>0.46623079437724746</v>
      </c>
      <c r="AC22" s="310">
        <f t="shared" si="18"/>
        <v>43460</v>
      </c>
      <c r="AD22" s="96">
        <f t="shared" si="9"/>
        <v>0.22427263626136587</v>
      </c>
      <c r="AE22" s="309">
        <v>13240</v>
      </c>
      <c r="AF22" s="96">
        <f t="shared" si="10"/>
        <v>6.8324199358041515E-2</v>
      </c>
      <c r="AG22" s="309">
        <v>17674</v>
      </c>
      <c r="AH22" s="96">
        <f t="shared" si="11"/>
        <v>9.1205581529760243E-2</v>
      </c>
      <c r="AI22" s="309">
        <v>15045</v>
      </c>
      <c r="AJ22" s="96">
        <f t="shared" si="12"/>
        <v>7.7638789980493547E-2</v>
      </c>
      <c r="AK22" s="309">
        <v>12358</v>
      </c>
      <c r="AL22" s="96">
        <f t="shared" si="13"/>
        <v>6.377269302618406E-2</v>
      </c>
    </row>
    <row r="23" spans="2:38" ht="12">
      <c r="B23" s="350"/>
      <c r="C23" s="350"/>
      <c r="D23" s="82">
        <v>45886</v>
      </c>
      <c r="E23" s="82" t="s">
        <v>152</v>
      </c>
      <c r="F23" s="308">
        <f t="shared" si="14"/>
        <v>218883</v>
      </c>
      <c r="G23" s="347"/>
      <c r="H23" s="347"/>
      <c r="I23" s="309">
        <v>30082</v>
      </c>
      <c r="J23" s="96">
        <f t="shared" si="0"/>
        <v>0.13743415431988779</v>
      </c>
      <c r="K23" s="309">
        <v>42584</v>
      </c>
      <c r="L23" s="96">
        <f t="shared" si="1"/>
        <v>0.19455142701808728</v>
      </c>
      <c r="M23" s="310">
        <f t="shared" si="15"/>
        <v>72666</v>
      </c>
      <c r="N23" s="96">
        <f t="shared" si="2"/>
        <v>0.33198558133797507</v>
      </c>
      <c r="O23" s="309">
        <v>6525</v>
      </c>
      <c r="P23" s="96">
        <f t="shared" si="3"/>
        <v>2.9810446676991818E-2</v>
      </c>
      <c r="Q23" s="309">
        <v>4143</v>
      </c>
      <c r="R23" s="96">
        <f t="shared" si="4"/>
        <v>9.0288977030030942E-2</v>
      </c>
      <c r="S23" s="310">
        <f t="shared" si="16"/>
        <v>10668</v>
      </c>
      <c r="T23" s="96">
        <f t="shared" si="17"/>
        <v>4.8738367072819727E-2</v>
      </c>
      <c r="U23" s="309">
        <v>21957</v>
      </c>
      <c r="V23" s="96">
        <f t="shared" si="5"/>
        <v>0.10031386631213936</v>
      </c>
      <c r="W23" s="309">
        <v>481</v>
      </c>
      <c r="X23" s="96">
        <f t="shared" si="6"/>
        <v>2.1975210500587072E-3</v>
      </c>
      <c r="Y23" s="309">
        <v>23596</v>
      </c>
      <c r="Z23" s="96">
        <f t="shared" si="7"/>
        <v>0.10780188502533317</v>
      </c>
      <c r="AA23" s="309">
        <v>21095</v>
      </c>
      <c r="AB23" s="96">
        <f t="shared" si="8"/>
        <v>0.45972627816763284</v>
      </c>
      <c r="AC23" s="310">
        <f t="shared" si="18"/>
        <v>44691</v>
      </c>
      <c r="AD23" s="96">
        <f t="shared" si="9"/>
        <v>0.20417757432052741</v>
      </c>
      <c r="AE23" s="309">
        <v>15943</v>
      </c>
      <c r="AF23" s="96">
        <f t="shared" si="10"/>
        <v>7.2838000210157933E-2</v>
      </c>
      <c r="AG23" s="309">
        <v>21313</v>
      </c>
      <c r="AH23" s="96">
        <f t="shared" si="11"/>
        <v>9.7371655176509822E-2</v>
      </c>
      <c r="AI23" s="309">
        <v>17338</v>
      </c>
      <c r="AJ23" s="96">
        <f t="shared" si="12"/>
        <v>7.9211268120411363E-2</v>
      </c>
      <c r="AK23" s="309">
        <v>13826</v>
      </c>
      <c r="AL23" s="96">
        <f t="shared" si="13"/>
        <v>6.3166166399400592E-2</v>
      </c>
    </row>
    <row r="24" spans="2:38" ht="12">
      <c r="B24" s="350"/>
      <c r="C24" s="350"/>
      <c r="D24" s="82">
        <v>45887</v>
      </c>
      <c r="E24" s="82" t="s">
        <v>158</v>
      </c>
      <c r="F24" s="308">
        <f t="shared" si="14"/>
        <v>214809</v>
      </c>
      <c r="G24" s="347"/>
      <c r="H24" s="347"/>
      <c r="I24" s="309">
        <v>29864</v>
      </c>
      <c r="J24" s="96">
        <f t="shared" si="0"/>
        <v>0.13902583225097645</v>
      </c>
      <c r="K24" s="309">
        <v>45412</v>
      </c>
      <c r="L24" s="96">
        <f t="shared" si="1"/>
        <v>0.21140641220805459</v>
      </c>
      <c r="M24" s="310">
        <f t="shared" si="15"/>
        <v>75276</v>
      </c>
      <c r="N24" s="96">
        <f t="shared" si="2"/>
        <v>0.35043224445903104</v>
      </c>
      <c r="O24" s="309">
        <v>6222</v>
      </c>
      <c r="P24" s="96">
        <f t="shared" si="3"/>
        <v>2.8965266818429397E-2</v>
      </c>
      <c r="Q24" s="309">
        <v>4233</v>
      </c>
      <c r="R24" s="96">
        <f t="shared" si="4"/>
        <v>9.2248349205657373E-2</v>
      </c>
      <c r="S24" s="310">
        <f t="shared" si="16"/>
        <v>10455</v>
      </c>
      <c r="T24" s="96">
        <f t="shared" si="17"/>
        <v>4.8671145063754313E-2</v>
      </c>
      <c r="U24" s="309">
        <v>21370</v>
      </c>
      <c r="V24" s="96">
        <f t="shared" si="5"/>
        <v>9.948372740434526E-2</v>
      </c>
      <c r="W24" s="309">
        <v>490</v>
      </c>
      <c r="X24" s="96">
        <f t="shared" si="6"/>
        <v>2.2810962296738032E-3</v>
      </c>
      <c r="Y24" s="309">
        <v>23001</v>
      </c>
      <c r="Z24" s="96">
        <f t="shared" si="7"/>
        <v>0.10707651914025948</v>
      </c>
      <c r="AA24" s="309">
        <v>20547</v>
      </c>
      <c r="AB24" s="96">
        <f t="shared" si="8"/>
        <v>0.44777387931222351</v>
      </c>
      <c r="AC24" s="310">
        <f t="shared" si="18"/>
        <v>43548</v>
      </c>
      <c r="AD24" s="96">
        <f t="shared" si="9"/>
        <v>0.20272893593843833</v>
      </c>
      <c r="AE24" s="309">
        <v>15782</v>
      </c>
      <c r="AF24" s="96">
        <f t="shared" si="10"/>
        <v>7.3469919789208082E-2</v>
      </c>
      <c r="AG24" s="309">
        <v>16580</v>
      </c>
      <c r="AH24" s="96">
        <f t="shared" si="11"/>
        <v>7.7184847934676851E-2</v>
      </c>
      <c r="AI24" s="309">
        <v>17705</v>
      </c>
      <c r="AJ24" s="96">
        <f t="shared" si="12"/>
        <v>8.2422058666070788E-2</v>
      </c>
      <c r="AK24" s="309">
        <v>13603</v>
      </c>
      <c r="AL24" s="96">
        <f t="shared" si="13"/>
        <v>6.3326024514801516E-2</v>
      </c>
    </row>
    <row r="25" spans="2:38" ht="12">
      <c r="B25" s="349">
        <f>D33</f>
        <v>45896</v>
      </c>
      <c r="C25" s="350"/>
      <c r="D25" s="82">
        <v>45888</v>
      </c>
      <c r="E25" s="82" t="s">
        <v>159</v>
      </c>
      <c r="F25" s="308">
        <f t="shared" si="14"/>
        <v>237868</v>
      </c>
      <c r="G25" s="347">
        <f t="shared" ref="G25" si="21">SUM(F25:F31)</f>
        <v>1526628</v>
      </c>
      <c r="H25" s="347"/>
      <c r="I25" s="309">
        <v>33069</v>
      </c>
      <c r="J25" s="96">
        <f t="shared" si="0"/>
        <v>0.13902248305783038</v>
      </c>
      <c r="K25" s="309">
        <v>45244</v>
      </c>
      <c r="L25" s="96">
        <f t="shared" si="1"/>
        <v>0.1902063329241428</v>
      </c>
      <c r="M25" s="310">
        <f t="shared" si="15"/>
        <v>78313</v>
      </c>
      <c r="N25" s="96">
        <f t="shared" si="2"/>
        <v>0.32922881598197318</v>
      </c>
      <c r="O25" s="309">
        <v>9326</v>
      </c>
      <c r="P25" s="96">
        <f t="shared" si="3"/>
        <v>3.9206618796979835E-2</v>
      </c>
      <c r="Q25" s="309">
        <v>4335</v>
      </c>
      <c r="R25" s="96">
        <f t="shared" si="4"/>
        <v>9.4469142259414232E-2</v>
      </c>
      <c r="S25" s="310">
        <f t="shared" si="16"/>
        <v>13661</v>
      </c>
      <c r="T25" s="96">
        <f t="shared" si="17"/>
        <v>5.74310121580036E-2</v>
      </c>
      <c r="U25" s="309">
        <v>21093</v>
      </c>
      <c r="V25" s="96">
        <f t="shared" si="5"/>
        <v>8.8675231641078239E-2</v>
      </c>
      <c r="W25" s="309">
        <v>500</v>
      </c>
      <c r="X25" s="96">
        <f t="shared" si="6"/>
        <v>2.102006154674021E-3</v>
      </c>
      <c r="Y25" s="309">
        <v>23898</v>
      </c>
      <c r="Z25" s="96">
        <f t="shared" si="7"/>
        <v>0.1004674861687995</v>
      </c>
      <c r="AA25" s="309">
        <v>20781</v>
      </c>
      <c r="AB25" s="96">
        <f t="shared" si="8"/>
        <v>0.45286349372384938</v>
      </c>
      <c r="AC25" s="310">
        <f t="shared" si="18"/>
        <v>44679</v>
      </c>
      <c r="AD25" s="96">
        <f t="shared" si="9"/>
        <v>0.18783106596936117</v>
      </c>
      <c r="AE25" s="309">
        <v>15477</v>
      </c>
      <c r="AF25" s="96">
        <f t="shared" si="10"/>
        <v>6.5065498511779646E-2</v>
      </c>
      <c r="AG25" s="309">
        <v>24866</v>
      </c>
      <c r="AH25" s="96">
        <f t="shared" si="11"/>
        <v>0.10453697008424841</v>
      </c>
      <c r="AI25" s="309">
        <v>16634</v>
      </c>
      <c r="AJ25" s="96">
        <f t="shared" si="12"/>
        <v>6.9929540753695327E-2</v>
      </c>
      <c r="AK25" s="309">
        <v>22645</v>
      </c>
      <c r="AL25" s="96">
        <f t="shared" si="13"/>
        <v>9.5199858745186411E-2</v>
      </c>
    </row>
    <row r="26" spans="2:38" ht="12">
      <c r="B26" s="350"/>
      <c r="C26" s="350"/>
      <c r="D26" s="82">
        <v>45889</v>
      </c>
      <c r="E26" s="82" t="s">
        <v>160</v>
      </c>
      <c r="F26" s="308">
        <f t="shared" si="14"/>
        <v>229442</v>
      </c>
      <c r="G26" s="347"/>
      <c r="H26" s="347"/>
      <c r="I26" s="309">
        <v>32220</v>
      </c>
      <c r="J26" s="96">
        <f t="shared" si="0"/>
        <v>0.14042764620252612</v>
      </c>
      <c r="K26" s="309">
        <v>45155</v>
      </c>
      <c r="L26" s="96">
        <f t="shared" si="1"/>
        <v>0.19680354948091458</v>
      </c>
      <c r="M26" s="310">
        <f t="shared" si="15"/>
        <v>77375</v>
      </c>
      <c r="N26" s="96">
        <f t="shared" si="2"/>
        <v>0.33723119568344068</v>
      </c>
      <c r="O26" s="309">
        <v>8196</v>
      </c>
      <c r="P26" s="96">
        <f t="shared" si="3"/>
        <v>3.5721445942765495E-2</v>
      </c>
      <c r="Q26" s="309">
        <v>4237</v>
      </c>
      <c r="R26" s="96">
        <f t="shared" si="4"/>
        <v>9.2331495565386043E-2</v>
      </c>
      <c r="S26" s="310">
        <f t="shared" si="16"/>
        <v>12433</v>
      </c>
      <c r="T26" s="96">
        <f t="shared" si="17"/>
        <v>5.4187986506393775E-2</v>
      </c>
      <c r="U26" s="309">
        <v>21014</v>
      </c>
      <c r="V26" s="96">
        <f t="shared" si="5"/>
        <v>9.1587416427681076E-2</v>
      </c>
      <c r="W26" s="309">
        <v>487</v>
      </c>
      <c r="X26" s="96">
        <f t="shared" si="6"/>
        <v>2.1225407728314781E-3</v>
      </c>
      <c r="Y26" s="309">
        <v>23915</v>
      </c>
      <c r="Z26" s="96">
        <f t="shared" si="7"/>
        <v>0.10423113466584148</v>
      </c>
      <c r="AA26" s="309">
        <v>20603</v>
      </c>
      <c r="AB26" s="96">
        <f t="shared" si="8"/>
        <v>0.44897469981912874</v>
      </c>
      <c r="AC26" s="310">
        <f t="shared" si="18"/>
        <v>44518</v>
      </c>
      <c r="AD26" s="96">
        <f t="shared" si="9"/>
        <v>0.19402724871645122</v>
      </c>
      <c r="AE26" s="309">
        <v>15065</v>
      </c>
      <c r="AF26" s="96">
        <f t="shared" si="10"/>
        <v>6.5659295159561024E-2</v>
      </c>
      <c r="AG26" s="309">
        <v>21348</v>
      </c>
      <c r="AH26" s="96">
        <f t="shared" si="11"/>
        <v>9.3043122009048032E-2</v>
      </c>
      <c r="AI26" s="309">
        <v>18480</v>
      </c>
      <c r="AJ26" s="96">
        <f t="shared" si="12"/>
        <v>8.0543230969046642E-2</v>
      </c>
      <c r="AK26" s="309">
        <v>18722</v>
      </c>
      <c r="AL26" s="96">
        <f t="shared" si="13"/>
        <v>8.1597963755546066E-2</v>
      </c>
    </row>
    <row r="27" spans="2:38" ht="12">
      <c r="B27" s="350"/>
      <c r="C27" s="350"/>
      <c r="D27" s="82">
        <v>45890</v>
      </c>
      <c r="E27" s="82" t="s">
        <v>161</v>
      </c>
      <c r="F27" s="308">
        <f t="shared" si="14"/>
        <v>218054</v>
      </c>
      <c r="G27" s="347"/>
      <c r="H27" s="347"/>
      <c r="I27" s="309">
        <v>30841</v>
      </c>
      <c r="J27" s="96">
        <f t="shared" si="0"/>
        <v>0.14143744210149781</v>
      </c>
      <c r="K27" s="309">
        <v>42362</v>
      </c>
      <c r="L27" s="96">
        <f t="shared" si="1"/>
        <v>0.19427297825309328</v>
      </c>
      <c r="M27" s="310">
        <f t="shared" si="15"/>
        <v>73203</v>
      </c>
      <c r="N27" s="96">
        <f t="shared" si="2"/>
        <v>0.33571042035459109</v>
      </c>
      <c r="O27" s="309">
        <v>7728</v>
      </c>
      <c r="P27" s="96">
        <f t="shared" si="3"/>
        <v>3.5440762379960924E-2</v>
      </c>
      <c r="Q27" s="309">
        <v>4256</v>
      </c>
      <c r="R27" s="96">
        <f t="shared" si="4"/>
        <v>9.2743517106123344E-2</v>
      </c>
      <c r="S27" s="310">
        <f t="shared" si="16"/>
        <v>11984</v>
      </c>
      <c r="T27" s="96">
        <f t="shared" si="17"/>
        <v>5.4958863400808973E-2</v>
      </c>
      <c r="U27" s="309">
        <v>19752</v>
      </c>
      <c r="V27" s="96">
        <f t="shared" si="5"/>
        <v>9.0583066579838029E-2</v>
      </c>
      <c r="W27" s="309">
        <v>448</v>
      </c>
      <c r="X27" s="96">
        <f t="shared" si="6"/>
        <v>2.0545369495629522E-3</v>
      </c>
      <c r="Y27" s="309">
        <v>22755</v>
      </c>
      <c r="Z27" s="96">
        <f t="shared" si="7"/>
        <v>0.10435488456987718</v>
      </c>
      <c r="AA27" s="309">
        <v>19291</v>
      </c>
      <c r="AB27" s="96">
        <f t="shared" si="8"/>
        <v>0.42037480932665067</v>
      </c>
      <c r="AC27" s="310">
        <f t="shared" si="18"/>
        <v>42046</v>
      </c>
      <c r="AD27" s="96">
        <f t="shared" si="9"/>
        <v>0.19282379594045512</v>
      </c>
      <c r="AE27" s="309">
        <v>14624</v>
      </c>
      <c r="AF27" s="96">
        <f t="shared" si="10"/>
        <v>6.7065956139304939E-2</v>
      </c>
      <c r="AG27" s="309">
        <v>20445</v>
      </c>
      <c r="AH27" s="96">
        <f t="shared" si="11"/>
        <v>9.376117842369322E-2</v>
      </c>
      <c r="AI27" s="309">
        <v>17703</v>
      </c>
      <c r="AJ27" s="96">
        <f t="shared" si="12"/>
        <v>8.1186311647573534E-2</v>
      </c>
      <c r="AK27" s="309">
        <v>17849</v>
      </c>
      <c r="AL27" s="96">
        <f t="shared" si="13"/>
        <v>8.1855870564172178E-2</v>
      </c>
    </row>
    <row r="28" spans="2:38" ht="12">
      <c r="B28" s="350"/>
      <c r="C28" s="350"/>
      <c r="D28" s="82">
        <v>45891</v>
      </c>
      <c r="E28" s="82" t="s">
        <v>156</v>
      </c>
      <c r="F28" s="308">
        <f t="shared" si="14"/>
        <v>195390</v>
      </c>
      <c r="G28" s="347"/>
      <c r="H28" s="347"/>
      <c r="I28" s="309">
        <v>27396</v>
      </c>
      <c r="J28" s="96">
        <f t="shared" si="0"/>
        <v>0.14021188392445877</v>
      </c>
      <c r="K28" s="309">
        <v>39705</v>
      </c>
      <c r="L28" s="96">
        <f t="shared" si="1"/>
        <v>0.20320896668202057</v>
      </c>
      <c r="M28" s="310">
        <f t="shared" si="15"/>
        <v>67101</v>
      </c>
      <c r="N28" s="96">
        <f t="shared" si="2"/>
        <v>0.34342085060647937</v>
      </c>
      <c r="O28" s="309">
        <v>7065</v>
      </c>
      <c r="P28" s="96">
        <f t="shared" si="3"/>
        <v>3.6158452326116995E-2</v>
      </c>
      <c r="Q28" s="309">
        <v>3680</v>
      </c>
      <c r="R28" s="96">
        <f t="shared" si="4"/>
        <v>8.0190015471443207E-2</v>
      </c>
      <c r="S28" s="310">
        <f t="shared" si="16"/>
        <v>10745</v>
      </c>
      <c r="T28" s="96">
        <f t="shared" si="17"/>
        <v>5.4992578944674755E-2</v>
      </c>
      <c r="U28" s="309">
        <v>17065</v>
      </c>
      <c r="V28" s="96">
        <f t="shared" si="5"/>
        <v>8.7338144224371764E-2</v>
      </c>
      <c r="W28" s="309">
        <v>423</v>
      </c>
      <c r="X28" s="96">
        <f t="shared" si="6"/>
        <v>2.1649009672961767E-3</v>
      </c>
      <c r="Y28" s="309">
        <v>21641</v>
      </c>
      <c r="Z28" s="96">
        <f t="shared" si="7"/>
        <v>0.11075797123701316</v>
      </c>
      <c r="AA28" s="309">
        <v>19340</v>
      </c>
      <c r="AB28" s="96">
        <f t="shared" si="8"/>
        <v>0.42143339652655204</v>
      </c>
      <c r="AC28" s="310">
        <f t="shared" si="18"/>
        <v>40981</v>
      </c>
      <c r="AD28" s="96">
        <f t="shared" si="9"/>
        <v>0.20973949536823788</v>
      </c>
      <c r="AE28" s="309">
        <v>12098</v>
      </c>
      <c r="AF28" s="96">
        <f t="shared" si="10"/>
        <v>6.1917191258508621E-2</v>
      </c>
      <c r="AG28" s="309">
        <v>16376</v>
      </c>
      <c r="AH28" s="96">
        <f t="shared" si="11"/>
        <v>8.3811863452582014E-2</v>
      </c>
      <c r="AI28" s="309">
        <v>15117</v>
      </c>
      <c r="AJ28" s="96">
        <f t="shared" si="12"/>
        <v>7.7368340242591746E-2</v>
      </c>
      <c r="AK28" s="309">
        <v>15484</v>
      </c>
      <c r="AL28" s="96">
        <f t="shared" si="13"/>
        <v>7.9246634935257687E-2</v>
      </c>
    </row>
    <row r="29" spans="2:38" ht="12">
      <c r="B29" s="350"/>
      <c r="C29" s="350"/>
      <c r="D29" s="82">
        <v>45892</v>
      </c>
      <c r="E29" s="82" t="s">
        <v>157</v>
      </c>
      <c r="F29" s="308">
        <f t="shared" si="14"/>
        <v>198181</v>
      </c>
      <c r="G29" s="347"/>
      <c r="H29" s="347"/>
      <c r="I29" s="309">
        <v>26435</v>
      </c>
      <c r="J29" s="96">
        <f t="shared" si="0"/>
        <v>0.13338816536398546</v>
      </c>
      <c r="K29" s="309">
        <v>41426</v>
      </c>
      <c r="L29" s="96">
        <f t="shared" si="1"/>
        <v>0.20903113820194671</v>
      </c>
      <c r="M29" s="310">
        <f t="shared" si="15"/>
        <v>67861</v>
      </c>
      <c r="N29" s="96">
        <f t="shared" si="2"/>
        <v>0.34241930356593214</v>
      </c>
      <c r="O29" s="309">
        <v>6850</v>
      </c>
      <c r="P29" s="96">
        <f t="shared" si="3"/>
        <v>3.4564362880397215E-2</v>
      </c>
      <c r="Q29" s="309">
        <v>3721</v>
      </c>
      <c r="R29" s="96">
        <f t="shared" si="4"/>
        <v>8.1081670007844511E-2</v>
      </c>
      <c r="S29" s="310">
        <f t="shared" si="16"/>
        <v>10571</v>
      </c>
      <c r="T29" s="96">
        <f t="shared" si="17"/>
        <v>5.3340128468420282E-2</v>
      </c>
      <c r="U29" s="309">
        <v>17062</v>
      </c>
      <c r="V29" s="96">
        <f t="shared" si="5"/>
        <v>8.6093015980341206E-2</v>
      </c>
      <c r="W29" s="309">
        <v>442</v>
      </c>
      <c r="X29" s="96">
        <f t="shared" si="6"/>
        <v>2.2302844369540974E-3</v>
      </c>
      <c r="Y29" s="309">
        <v>21814</v>
      </c>
      <c r="Z29" s="96">
        <f t="shared" si="7"/>
        <v>0.1100710966237934</v>
      </c>
      <c r="AA29" s="309">
        <v>20850</v>
      </c>
      <c r="AB29" s="96">
        <f t="shared" si="8"/>
        <v>0.45432755164298788</v>
      </c>
      <c r="AC29" s="310">
        <f t="shared" si="18"/>
        <v>42664</v>
      </c>
      <c r="AD29" s="96">
        <f t="shared" si="9"/>
        <v>0.2152779529823747</v>
      </c>
      <c r="AE29" s="309">
        <v>12312</v>
      </c>
      <c r="AF29" s="96">
        <f t="shared" si="10"/>
        <v>6.2125027121671603E-2</v>
      </c>
      <c r="AG29" s="309">
        <v>16805</v>
      </c>
      <c r="AH29" s="96">
        <f t="shared" si="11"/>
        <v>8.4796221635777394E-2</v>
      </c>
      <c r="AI29" s="309">
        <v>14710</v>
      </c>
      <c r="AJ29" s="96">
        <f t="shared" si="12"/>
        <v>7.4225077076006271E-2</v>
      </c>
      <c r="AK29" s="309">
        <v>15754</v>
      </c>
      <c r="AL29" s="96">
        <f t="shared" si="13"/>
        <v>7.9492988732522293E-2</v>
      </c>
    </row>
    <row r="30" spans="2:38" ht="12">
      <c r="B30" s="350"/>
      <c r="C30" s="350"/>
      <c r="D30" s="82">
        <v>45893</v>
      </c>
      <c r="E30" s="82" t="s">
        <v>152</v>
      </c>
      <c r="F30" s="308">
        <f t="shared" si="14"/>
        <v>227099</v>
      </c>
      <c r="G30" s="347"/>
      <c r="H30" s="347"/>
      <c r="I30" s="309">
        <v>32268</v>
      </c>
      <c r="J30" s="96">
        <f t="shared" si="0"/>
        <v>0.14208781192343428</v>
      </c>
      <c r="K30" s="309">
        <v>44789</v>
      </c>
      <c r="L30" s="96">
        <f t="shared" si="1"/>
        <v>0.19722235676951461</v>
      </c>
      <c r="M30" s="310">
        <f t="shared" si="15"/>
        <v>77057</v>
      </c>
      <c r="N30" s="96">
        <f t="shared" si="2"/>
        <v>0.33931016869294889</v>
      </c>
      <c r="O30" s="309">
        <v>8839</v>
      </c>
      <c r="P30" s="96">
        <f t="shared" si="3"/>
        <v>3.8921351481072133E-2</v>
      </c>
      <c r="Q30" s="309">
        <v>4118</v>
      </c>
      <c r="R30" s="96">
        <f t="shared" si="4"/>
        <v>8.9730459983003941E-2</v>
      </c>
      <c r="S30" s="310">
        <f t="shared" si="16"/>
        <v>12957</v>
      </c>
      <c r="T30" s="96">
        <f t="shared" si="17"/>
        <v>5.7054412392833084E-2</v>
      </c>
      <c r="U30" s="309">
        <v>20712</v>
      </c>
      <c r="V30" s="96">
        <f t="shared" si="5"/>
        <v>9.120251520262089E-2</v>
      </c>
      <c r="W30" s="309">
        <v>470</v>
      </c>
      <c r="X30" s="96">
        <f t="shared" si="6"/>
        <v>2.0695819884719879E-3</v>
      </c>
      <c r="Y30" s="309">
        <v>24570</v>
      </c>
      <c r="Z30" s="96">
        <f t="shared" si="7"/>
        <v>0.10819070097182286</v>
      </c>
      <c r="AA30" s="309">
        <v>21076</v>
      </c>
      <c r="AB30" s="96">
        <f t="shared" si="8"/>
        <v>0.45924215021898762</v>
      </c>
      <c r="AC30" s="310">
        <f t="shared" si="18"/>
        <v>45646</v>
      </c>
      <c r="AD30" s="96">
        <f t="shared" si="9"/>
        <v>0.2009960413740263</v>
      </c>
      <c r="AE30" s="309">
        <v>15094</v>
      </c>
      <c r="AF30" s="96">
        <f t="shared" si="10"/>
        <v>6.6464405391481254E-2</v>
      </c>
      <c r="AG30" s="309">
        <v>19751</v>
      </c>
      <c r="AH30" s="96">
        <f t="shared" si="11"/>
        <v>8.6970880541085607E-2</v>
      </c>
      <c r="AI30" s="309">
        <v>17676</v>
      </c>
      <c r="AJ30" s="96">
        <f t="shared" si="12"/>
        <v>7.7833896230278421E-2</v>
      </c>
      <c r="AK30" s="309">
        <v>17736</v>
      </c>
      <c r="AL30" s="96">
        <f t="shared" si="13"/>
        <v>7.8098098186253573E-2</v>
      </c>
    </row>
    <row r="31" spans="2:38" ht="12">
      <c r="B31" s="350"/>
      <c r="C31" s="350"/>
      <c r="D31" s="82">
        <v>45894</v>
      </c>
      <c r="E31" s="82" t="s">
        <v>158</v>
      </c>
      <c r="F31" s="308">
        <f t="shared" si="14"/>
        <v>220594</v>
      </c>
      <c r="G31" s="347"/>
      <c r="H31" s="347"/>
      <c r="I31" s="309">
        <v>31302</v>
      </c>
      <c r="J31" s="96">
        <f t="shared" si="0"/>
        <v>0.14189869171418987</v>
      </c>
      <c r="K31" s="309">
        <v>43722</v>
      </c>
      <c r="L31" s="96">
        <f t="shared" si="1"/>
        <v>0.19820122034144175</v>
      </c>
      <c r="M31" s="310">
        <f t="shared" si="15"/>
        <v>75024</v>
      </c>
      <c r="N31" s="96">
        <f t="shared" si="2"/>
        <v>0.34009991205563161</v>
      </c>
      <c r="O31" s="309">
        <v>7492</v>
      </c>
      <c r="P31" s="96">
        <f t="shared" si="3"/>
        <v>3.3962845770963854E-2</v>
      </c>
      <c r="Q31" s="309">
        <v>4109</v>
      </c>
      <c r="R31" s="96">
        <f t="shared" si="4"/>
        <v>8.953240074955332E-2</v>
      </c>
      <c r="S31" s="310">
        <f t="shared" si="16"/>
        <v>11601</v>
      </c>
      <c r="T31" s="96">
        <f t="shared" si="17"/>
        <v>5.258982565255628E-2</v>
      </c>
      <c r="U31" s="309">
        <v>20564</v>
      </c>
      <c r="V31" s="96">
        <f t="shared" si="5"/>
        <v>9.3221030490403187E-2</v>
      </c>
      <c r="W31" s="309">
        <v>438</v>
      </c>
      <c r="X31" s="96">
        <f t="shared" si="6"/>
        <v>1.9855481110093655E-3</v>
      </c>
      <c r="Y31" s="309">
        <v>24279</v>
      </c>
      <c r="Z31" s="96">
        <f t="shared" si="7"/>
        <v>0.11006192371506025</v>
      </c>
      <c r="AA31" s="309">
        <v>21132</v>
      </c>
      <c r="AB31" s="96">
        <f t="shared" si="8"/>
        <v>0.46045234671198848</v>
      </c>
      <c r="AC31" s="310">
        <f t="shared" si="18"/>
        <v>45411</v>
      </c>
      <c r="AD31" s="96">
        <f t="shared" si="9"/>
        <v>0.20585782024896415</v>
      </c>
      <c r="AE31" s="309">
        <v>14625</v>
      </c>
      <c r="AF31" s="96">
        <f t="shared" si="10"/>
        <v>6.6298267405278472E-2</v>
      </c>
      <c r="AG31" s="309">
        <v>18404</v>
      </c>
      <c r="AH31" s="96">
        <f t="shared" si="11"/>
        <v>8.3429286381315901E-2</v>
      </c>
      <c r="AI31" s="309">
        <v>17615</v>
      </c>
      <c r="AJ31" s="96">
        <f t="shared" si="12"/>
        <v>7.9852579852579847E-2</v>
      </c>
      <c r="AK31" s="309">
        <v>16912</v>
      </c>
      <c r="AL31" s="96">
        <f t="shared" si="13"/>
        <v>7.6665729802261162E-2</v>
      </c>
    </row>
    <row r="32" spans="2:38" ht="12">
      <c r="B32" s="349">
        <f>D40</f>
        <v>45903</v>
      </c>
      <c r="C32" s="350"/>
      <c r="D32" s="82">
        <v>45895</v>
      </c>
      <c r="E32" s="82" t="s">
        <v>159</v>
      </c>
      <c r="F32" s="308">
        <f t="shared" si="14"/>
        <v>215808</v>
      </c>
      <c r="G32" s="347">
        <f t="shared" ref="G32" si="22">SUM(F32:F38)</f>
        <v>1233798</v>
      </c>
      <c r="H32" s="347"/>
      <c r="I32" s="309">
        <v>31023</v>
      </c>
      <c r="J32" s="96">
        <f t="shared" si="0"/>
        <v>0.14375278024911031</v>
      </c>
      <c r="K32" s="309">
        <v>42788</v>
      </c>
      <c r="L32" s="96">
        <f t="shared" si="1"/>
        <v>0.1982688315539739</v>
      </c>
      <c r="M32" s="310">
        <f t="shared" si="15"/>
        <v>73811</v>
      </c>
      <c r="N32" s="96">
        <f t="shared" si="2"/>
        <v>0.34202161180308421</v>
      </c>
      <c r="O32" s="309">
        <v>7316</v>
      </c>
      <c r="P32" s="96">
        <f t="shared" si="3"/>
        <v>3.3900504151838672E-2</v>
      </c>
      <c r="Q32" s="309">
        <v>3926</v>
      </c>
      <c r="R32" s="96">
        <f t="shared" si="4"/>
        <v>8.554308748229654E-2</v>
      </c>
      <c r="S32" s="310">
        <f t="shared" si="16"/>
        <v>11242</v>
      </c>
      <c r="T32" s="96">
        <f t="shared" si="17"/>
        <v>5.2092600830367736E-2</v>
      </c>
      <c r="U32" s="309">
        <v>19575</v>
      </c>
      <c r="V32" s="96">
        <f t="shared" si="5"/>
        <v>9.0705627224199295E-2</v>
      </c>
      <c r="W32" s="309">
        <v>439</v>
      </c>
      <c r="X32" s="96">
        <f t="shared" si="6"/>
        <v>2.0342155990510083E-3</v>
      </c>
      <c r="Y32" s="309">
        <v>23857</v>
      </c>
      <c r="Z32" s="96">
        <f t="shared" si="7"/>
        <v>0.11054733837485171</v>
      </c>
      <c r="AA32" s="309">
        <v>20246</v>
      </c>
      <c r="AB32" s="96">
        <f t="shared" si="8"/>
        <v>0.44113737879943349</v>
      </c>
      <c r="AC32" s="310">
        <f t="shared" si="18"/>
        <v>44103</v>
      </c>
      <c r="AD32" s="96">
        <f t="shared" si="9"/>
        <v>0.20436221085409254</v>
      </c>
      <c r="AE32" s="309">
        <v>13683</v>
      </c>
      <c r="AF32" s="96">
        <f t="shared" si="10"/>
        <v>6.3403580960854092E-2</v>
      </c>
      <c r="AG32" s="309">
        <v>19475</v>
      </c>
      <c r="AH32" s="96">
        <f t="shared" si="11"/>
        <v>9.0242252372479237E-2</v>
      </c>
      <c r="AI32" s="309">
        <v>17320</v>
      </c>
      <c r="AJ32" s="96">
        <f t="shared" si="12"/>
        <v>8.025652431791222E-2</v>
      </c>
      <c r="AK32" s="309">
        <v>16160</v>
      </c>
      <c r="AL32" s="96">
        <f t="shared" si="13"/>
        <v>7.4881376037959663E-2</v>
      </c>
    </row>
    <row r="33" spans="2:38" ht="12">
      <c r="B33" s="350"/>
      <c r="C33" s="350"/>
      <c r="D33" s="82">
        <v>45896</v>
      </c>
      <c r="E33" s="82" t="s">
        <v>160</v>
      </c>
      <c r="F33" s="308">
        <f t="shared" si="14"/>
        <v>211789</v>
      </c>
      <c r="G33" s="347"/>
      <c r="H33" s="347"/>
      <c r="I33" s="309">
        <v>30486</v>
      </c>
      <c r="J33" s="96">
        <f t="shared" si="0"/>
        <v>0.14394515295884111</v>
      </c>
      <c r="K33" s="309">
        <v>42192</v>
      </c>
      <c r="L33" s="96">
        <f t="shared" si="1"/>
        <v>0.1992171453663788</v>
      </c>
      <c r="M33" s="310">
        <f t="shared" si="15"/>
        <v>72678</v>
      </c>
      <c r="N33" s="96">
        <f t="shared" si="2"/>
        <v>0.34316229832521994</v>
      </c>
      <c r="O33" s="309">
        <v>7281</v>
      </c>
      <c r="P33" s="96">
        <f t="shared" si="3"/>
        <v>3.4378556015657091E-2</v>
      </c>
      <c r="Q33" s="309">
        <v>3825</v>
      </c>
      <c r="R33" s="96">
        <f t="shared" si="4"/>
        <v>8.3340596130381736E-2</v>
      </c>
      <c r="S33" s="310">
        <f t="shared" si="16"/>
        <v>11106</v>
      </c>
      <c r="T33" s="96">
        <f t="shared" si="17"/>
        <v>5.2438984083214901E-2</v>
      </c>
      <c r="U33" s="309">
        <v>19025</v>
      </c>
      <c r="V33" s="96">
        <f t="shared" si="5"/>
        <v>8.9829972283735224E-2</v>
      </c>
      <c r="W33" s="309">
        <v>414</v>
      </c>
      <c r="X33" s="96">
        <f t="shared" si="6"/>
        <v>1.954775743782727E-3</v>
      </c>
      <c r="Y33" s="309">
        <v>23332</v>
      </c>
      <c r="Z33" s="96">
        <f t="shared" si="7"/>
        <v>0.11016625037183234</v>
      </c>
      <c r="AA33" s="309">
        <v>19033</v>
      </c>
      <c r="AB33" s="96">
        <f t="shared" si="8"/>
        <v>0.41469844866655048</v>
      </c>
      <c r="AC33" s="310">
        <f t="shared" si="18"/>
        <v>42365</v>
      </c>
      <c r="AD33" s="96">
        <f t="shared" si="9"/>
        <v>0.20003399609989186</v>
      </c>
      <c r="AE33" s="309">
        <v>13625</v>
      </c>
      <c r="AF33" s="96">
        <f t="shared" si="10"/>
        <v>6.4332897364830097E-2</v>
      </c>
      <c r="AG33" s="309">
        <v>18609</v>
      </c>
      <c r="AH33" s="96">
        <f t="shared" si="11"/>
        <v>8.7865753178871422E-2</v>
      </c>
      <c r="AI33" s="309">
        <v>17609</v>
      </c>
      <c r="AJ33" s="96">
        <f t="shared" si="12"/>
        <v>8.3144072638333441E-2</v>
      </c>
      <c r="AK33" s="309">
        <v>16358</v>
      </c>
      <c r="AL33" s="96">
        <f t="shared" si="13"/>
        <v>7.7237250282120418E-2</v>
      </c>
    </row>
    <row r="34" spans="2:38" ht="12">
      <c r="B34" s="350"/>
      <c r="C34" s="350"/>
      <c r="D34" s="82">
        <v>45897</v>
      </c>
      <c r="E34" s="82" t="s">
        <v>161</v>
      </c>
      <c r="F34" s="308">
        <f t="shared" si="14"/>
        <v>204538</v>
      </c>
      <c r="G34" s="347"/>
      <c r="H34" s="347"/>
      <c r="I34" s="309">
        <v>30126</v>
      </c>
      <c r="J34" s="96">
        <f t="shared" si="0"/>
        <v>0.14728803449725722</v>
      </c>
      <c r="K34" s="309">
        <v>40409</v>
      </c>
      <c r="L34" s="96">
        <f t="shared" si="1"/>
        <v>0.19756231115978448</v>
      </c>
      <c r="M34" s="310">
        <f t="shared" si="15"/>
        <v>70535</v>
      </c>
      <c r="N34" s="96">
        <f t="shared" si="2"/>
        <v>0.3448503456570417</v>
      </c>
      <c r="O34" s="309">
        <v>7062</v>
      </c>
      <c r="P34" s="96">
        <f t="shared" si="3"/>
        <v>3.452659163578406E-2</v>
      </c>
      <c r="Q34" s="309">
        <v>3865</v>
      </c>
      <c r="R34" s="96">
        <f t="shared" si="4"/>
        <v>8.4210296969300824E-2</v>
      </c>
      <c r="S34" s="310">
        <f t="shared" si="16"/>
        <v>10927</v>
      </c>
      <c r="T34" s="96">
        <f t="shared" si="17"/>
        <v>5.3422835854462253E-2</v>
      </c>
      <c r="U34" s="309">
        <v>18405</v>
      </c>
      <c r="V34" s="96">
        <f t="shared" si="5"/>
        <v>8.9983279390626683E-2</v>
      </c>
      <c r="W34" s="309">
        <v>418</v>
      </c>
      <c r="X34" s="96">
        <f t="shared" si="6"/>
        <v>2.0436300345168133E-3</v>
      </c>
      <c r="Y34" s="309">
        <v>22739</v>
      </c>
      <c r="Z34" s="96">
        <f t="shared" si="7"/>
        <v>0.111172496064301</v>
      </c>
      <c r="AA34" s="309">
        <v>18478</v>
      </c>
      <c r="AB34" s="96">
        <f t="shared" si="8"/>
        <v>0.4025971196374491</v>
      </c>
      <c r="AC34" s="310">
        <f t="shared" si="18"/>
        <v>41217</v>
      </c>
      <c r="AD34" s="96">
        <f t="shared" si="9"/>
        <v>0.20151267735090789</v>
      </c>
      <c r="AE34" s="309">
        <v>13034</v>
      </c>
      <c r="AF34" s="96">
        <f t="shared" si="10"/>
        <v>6.3724100167206088E-2</v>
      </c>
      <c r="AG34" s="309">
        <v>17024</v>
      </c>
      <c r="AH34" s="96">
        <f t="shared" si="11"/>
        <v>8.3231477769412046E-2</v>
      </c>
      <c r="AI34" s="309">
        <v>16695</v>
      </c>
      <c r="AJ34" s="96">
        <f t="shared" si="12"/>
        <v>8.1622974703966983E-2</v>
      </c>
      <c r="AK34" s="309">
        <v>16283</v>
      </c>
      <c r="AL34" s="96">
        <f t="shared" si="13"/>
        <v>7.9608679071859506E-2</v>
      </c>
    </row>
    <row r="35" spans="2:38" ht="12">
      <c r="B35" s="350"/>
      <c r="C35" s="350"/>
      <c r="D35" s="82">
        <v>45898</v>
      </c>
      <c r="E35" s="82" t="s">
        <v>156</v>
      </c>
      <c r="F35" s="308">
        <f t="shared" si="14"/>
        <v>187591</v>
      </c>
      <c r="G35" s="347"/>
      <c r="H35" s="347"/>
      <c r="I35" s="309">
        <v>25996</v>
      </c>
      <c r="J35" s="96">
        <f t="shared" si="0"/>
        <v>0.13857807677340597</v>
      </c>
      <c r="K35" s="309">
        <v>38790</v>
      </c>
      <c r="L35" s="96">
        <f t="shared" si="1"/>
        <v>0.20677964294662324</v>
      </c>
      <c r="M35" s="310">
        <f t="shared" si="15"/>
        <v>64786</v>
      </c>
      <c r="N35" s="96">
        <f t="shared" si="2"/>
        <v>0.34535771972002921</v>
      </c>
      <c r="O35" s="309">
        <v>6093</v>
      </c>
      <c r="P35" s="96">
        <f t="shared" si="3"/>
        <v>3.2480236258669123E-2</v>
      </c>
      <c r="Q35" s="309">
        <v>3511</v>
      </c>
      <c r="R35" s="96">
        <f t="shared" si="4"/>
        <v>7.6495707873981439E-2</v>
      </c>
      <c r="S35" s="310">
        <f t="shared" si="16"/>
        <v>9604</v>
      </c>
      <c r="T35" s="96">
        <f t="shared" si="17"/>
        <v>5.119648597214152E-2</v>
      </c>
      <c r="U35" s="309">
        <v>16655</v>
      </c>
      <c r="V35" s="96">
        <f t="shared" si="5"/>
        <v>8.8783577037277905E-2</v>
      </c>
      <c r="W35" s="309">
        <v>396</v>
      </c>
      <c r="X35" s="96">
        <f t="shared" si="6"/>
        <v>2.1109754732369888E-3</v>
      </c>
      <c r="Y35" s="309">
        <v>21278</v>
      </c>
      <c r="Z35" s="96">
        <f t="shared" si="7"/>
        <v>0.11342761646347639</v>
      </c>
      <c r="AA35" s="309">
        <v>18452</v>
      </c>
      <c r="AB35" s="96">
        <f t="shared" si="8"/>
        <v>0.40202187459148547</v>
      </c>
      <c r="AC35" s="310">
        <f t="shared" si="18"/>
        <v>39730</v>
      </c>
      <c r="AD35" s="96">
        <f t="shared" si="9"/>
        <v>0.21179054432248881</v>
      </c>
      <c r="AE35" s="309">
        <v>11269</v>
      </c>
      <c r="AF35" s="96">
        <f t="shared" si="10"/>
        <v>6.0072178302797041E-2</v>
      </c>
      <c r="AG35" s="309">
        <v>14420</v>
      </c>
      <c r="AH35" s="96">
        <f t="shared" si="11"/>
        <v>7.686935940423581E-2</v>
      </c>
      <c r="AI35" s="309">
        <v>15865</v>
      </c>
      <c r="AJ35" s="96">
        <f t="shared" si="12"/>
        <v>8.4572287583093E-2</v>
      </c>
      <c r="AK35" s="309">
        <v>14866</v>
      </c>
      <c r="AL35" s="96">
        <f t="shared" si="13"/>
        <v>7.9246872184699696E-2</v>
      </c>
    </row>
    <row r="36" spans="2:38" ht="12">
      <c r="B36" s="350"/>
      <c r="C36" s="350"/>
      <c r="D36" s="82">
        <v>45899</v>
      </c>
      <c r="E36" s="82" t="s">
        <v>157</v>
      </c>
      <c r="F36" s="308">
        <f t="shared" si="14"/>
        <v>193659</v>
      </c>
      <c r="G36" s="347"/>
      <c r="H36" s="347"/>
      <c r="I36" s="309">
        <v>25439</v>
      </c>
      <c r="J36" s="96">
        <f t="shared" si="0"/>
        <v>0.13135976122979051</v>
      </c>
      <c r="K36" s="309">
        <v>41873</v>
      </c>
      <c r="L36" s="96">
        <f t="shared" si="1"/>
        <v>0.21622026345277007</v>
      </c>
      <c r="M36" s="310">
        <f t="shared" si="15"/>
        <v>67312</v>
      </c>
      <c r="N36" s="96">
        <f t="shared" si="2"/>
        <v>0.34758002468256061</v>
      </c>
      <c r="O36" s="309">
        <v>6067</v>
      </c>
      <c r="P36" s="96">
        <f t="shared" si="3"/>
        <v>3.1328262564610992E-2</v>
      </c>
      <c r="Q36" s="309">
        <v>3572</v>
      </c>
      <c r="R36" s="96">
        <f t="shared" si="4"/>
        <v>7.7823046253731015E-2</v>
      </c>
      <c r="S36" s="310">
        <f t="shared" si="16"/>
        <v>9639</v>
      </c>
      <c r="T36" s="96">
        <f t="shared" si="17"/>
        <v>4.9773054699239386E-2</v>
      </c>
      <c r="U36" s="309">
        <v>17820</v>
      </c>
      <c r="V36" s="96">
        <f t="shared" si="5"/>
        <v>9.2017412049013994E-2</v>
      </c>
      <c r="W36" s="309">
        <v>435</v>
      </c>
      <c r="X36" s="96">
        <f t="shared" si="6"/>
        <v>2.2462162873917555E-3</v>
      </c>
      <c r="Y36" s="309">
        <v>19048</v>
      </c>
      <c r="Z36" s="96">
        <f t="shared" si="7"/>
        <v>9.8358454809742896E-2</v>
      </c>
      <c r="AA36" s="309">
        <v>21077</v>
      </c>
      <c r="AB36" s="96">
        <f t="shared" si="8"/>
        <v>0.45920390422449292</v>
      </c>
      <c r="AC36" s="310">
        <f t="shared" si="18"/>
        <v>40125</v>
      </c>
      <c r="AD36" s="96">
        <f t="shared" si="9"/>
        <v>0.20719408857837746</v>
      </c>
      <c r="AE36" s="309">
        <v>12358</v>
      </c>
      <c r="AF36" s="96">
        <f t="shared" si="10"/>
        <v>6.3813197424338663E-2</v>
      </c>
      <c r="AG36" s="309">
        <v>14650</v>
      </c>
      <c r="AH36" s="96">
        <f t="shared" si="11"/>
        <v>7.5648433586871774E-2</v>
      </c>
      <c r="AI36" s="309">
        <v>16045</v>
      </c>
      <c r="AJ36" s="96">
        <f t="shared" si="12"/>
        <v>8.2851816853334981E-2</v>
      </c>
      <c r="AK36" s="309">
        <v>15275</v>
      </c>
      <c r="AL36" s="96">
        <f t="shared" si="13"/>
        <v>7.8875755838871422E-2</v>
      </c>
    </row>
    <row r="37" spans="2:38" ht="12">
      <c r="B37" s="350"/>
      <c r="C37" s="350"/>
      <c r="D37" s="82">
        <v>45900</v>
      </c>
      <c r="E37" s="82" t="s">
        <v>152</v>
      </c>
      <c r="F37" s="308">
        <f t="shared" si="14"/>
        <v>220413</v>
      </c>
      <c r="G37" s="347"/>
      <c r="H37" s="347"/>
      <c r="I37" s="309">
        <v>31875</v>
      </c>
      <c r="J37" s="96">
        <f t="shared" si="0"/>
        <v>0.1446148820623103</v>
      </c>
      <c r="K37" s="309">
        <v>44645</v>
      </c>
      <c r="L37" s="96">
        <f t="shared" si="1"/>
        <v>0.20255157363676371</v>
      </c>
      <c r="M37" s="310">
        <f t="shared" si="15"/>
        <v>76520</v>
      </c>
      <c r="N37" s="96">
        <f t="shared" si="2"/>
        <v>0.34716645569907401</v>
      </c>
      <c r="O37" s="309">
        <v>7833</v>
      </c>
      <c r="P37" s="96">
        <f t="shared" si="3"/>
        <v>3.5537831253147502E-2</v>
      </c>
      <c r="Q37" s="309">
        <v>4011</v>
      </c>
      <c r="R37" s="96">
        <f t="shared" si="4"/>
        <v>8.7385620915032686E-2</v>
      </c>
      <c r="S37" s="310">
        <f t="shared" si="16"/>
        <v>11844</v>
      </c>
      <c r="T37" s="96">
        <f t="shared" si="17"/>
        <v>5.3735487471247158E-2</v>
      </c>
      <c r="U37" s="309">
        <v>20430</v>
      </c>
      <c r="V37" s="96">
        <f t="shared" si="5"/>
        <v>9.2689632644172529E-2</v>
      </c>
      <c r="W37" s="309">
        <v>457</v>
      </c>
      <c r="X37" s="96">
        <f t="shared" si="6"/>
        <v>2.0733804267443392E-3</v>
      </c>
      <c r="Y37" s="309">
        <v>22740</v>
      </c>
      <c r="Z37" s="96">
        <f t="shared" si="7"/>
        <v>0.10316995821480585</v>
      </c>
      <c r="AA37" s="309">
        <v>20531</v>
      </c>
      <c r="AB37" s="96">
        <f t="shared" si="8"/>
        <v>0.44729847494553376</v>
      </c>
      <c r="AC37" s="310">
        <f t="shared" si="18"/>
        <v>43271</v>
      </c>
      <c r="AD37" s="96">
        <f t="shared" si="9"/>
        <v>0.1963178215441013</v>
      </c>
      <c r="AE37" s="309">
        <v>14486</v>
      </c>
      <c r="AF37" s="96">
        <f t="shared" si="10"/>
        <v>6.5722076284066733E-2</v>
      </c>
      <c r="AG37" s="309">
        <v>18564</v>
      </c>
      <c r="AH37" s="96">
        <f t="shared" si="11"/>
        <v>8.4223707313089521E-2</v>
      </c>
      <c r="AI37" s="309">
        <v>16890</v>
      </c>
      <c r="AJ37" s="96">
        <f t="shared" si="12"/>
        <v>7.6628873977487716E-2</v>
      </c>
      <c r="AK37" s="309">
        <v>17951</v>
      </c>
      <c r="AL37" s="96">
        <f t="shared" si="13"/>
        <v>8.1442564640016701E-2</v>
      </c>
    </row>
    <row r="38" spans="2:38" ht="12">
      <c r="B38" s="350"/>
      <c r="C38" s="75"/>
      <c r="D38" s="82">
        <v>45901</v>
      </c>
      <c r="E38" s="82" t="s">
        <v>158</v>
      </c>
      <c r="F38" s="308">
        <f t="shared" si="14"/>
        <v>0</v>
      </c>
      <c r="G38" s="347"/>
      <c r="H38" s="308"/>
      <c r="J38" s="96" t="e">
        <f t="shared" si="0"/>
        <v>#DIV/0!</v>
      </c>
      <c r="L38" s="96" t="e">
        <f t="shared" si="1"/>
        <v>#DIV/0!</v>
      </c>
      <c r="M38" s="101">
        <f t="shared" si="15"/>
        <v>0</v>
      </c>
      <c r="N38" s="96" t="e">
        <f t="shared" si="2"/>
        <v>#DIV/0!</v>
      </c>
      <c r="O38" s="308"/>
      <c r="P38" s="96" t="e">
        <f t="shared" si="3"/>
        <v>#DIV/0!</v>
      </c>
      <c r="R38" s="96">
        <f t="shared" si="4"/>
        <v>0</v>
      </c>
      <c r="S38" s="101">
        <f t="shared" si="16"/>
        <v>0</v>
      </c>
      <c r="T38" s="96" t="e">
        <f t="shared" si="17"/>
        <v>#DIV/0!</v>
      </c>
      <c r="V38" s="96" t="e">
        <f t="shared" si="5"/>
        <v>#DIV/0!</v>
      </c>
      <c r="X38" s="96" t="e">
        <f t="shared" si="6"/>
        <v>#DIV/0!</v>
      </c>
      <c r="Z38" s="96" t="e">
        <f t="shared" si="7"/>
        <v>#DIV/0!</v>
      </c>
      <c r="AB38" s="96">
        <f t="shared" si="8"/>
        <v>0</v>
      </c>
      <c r="AC38" s="101">
        <f t="shared" si="18"/>
        <v>0</v>
      </c>
      <c r="AD38" s="96" t="e">
        <f t="shared" si="9"/>
        <v>#DIV/0!</v>
      </c>
      <c r="AF38" s="96" t="e">
        <f t="shared" si="10"/>
        <v>#DIV/0!</v>
      </c>
      <c r="AH38" s="96" t="e">
        <f t="shared" si="11"/>
        <v>#DIV/0!</v>
      </c>
      <c r="AJ38" s="96" t="e">
        <f t="shared" si="12"/>
        <v>#DIV/0!</v>
      </c>
      <c r="AL38" s="96" t="e">
        <f t="shared" si="13"/>
        <v>#DIV/0!</v>
      </c>
    </row>
    <row r="39" spans="2:38" ht="12">
      <c r="B39" s="350"/>
      <c r="C39" s="75"/>
      <c r="D39" s="82">
        <v>45902</v>
      </c>
      <c r="E39" s="82" t="s">
        <v>159</v>
      </c>
      <c r="F39" s="84">
        <f t="shared" si="14"/>
        <v>0</v>
      </c>
      <c r="G39" s="352">
        <f t="shared" ref="G39" si="23">SUM(F39:F45)</f>
        <v>0</v>
      </c>
      <c r="H39" s="84"/>
      <c r="J39" s="96" t="e">
        <f t="shared" si="0"/>
        <v>#DIV/0!</v>
      </c>
      <c r="L39" s="96" t="e">
        <f t="shared" si="1"/>
        <v>#DIV/0!</v>
      </c>
      <c r="M39" s="101">
        <f t="shared" si="15"/>
        <v>0</v>
      </c>
      <c r="N39" s="96" t="e">
        <f t="shared" si="2"/>
        <v>#DIV/0!</v>
      </c>
      <c r="P39" s="96" t="e">
        <f t="shared" si="3"/>
        <v>#DIV/0!</v>
      </c>
      <c r="R39" s="96">
        <f t="shared" si="4"/>
        <v>0</v>
      </c>
      <c r="S39" s="101">
        <f t="shared" si="16"/>
        <v>0</v>
      </c>
      <c r="T39" s="96" t="e">
        <f t="shared" si="17"/>
        <v>#DIV/0!</v>
      </c>
      <c r="V39" s="96" t="e">
        <f t="shared" si="5"/>
        <v>#DIV/0!</v>
      </c>
      <c r="X39" s="96" t="e">
        <f t="shared" si="6"/>
        <v>#DIV/0!</v>
      </c>
      <c r="Z39" s="96" t="e">
        <f t="shared" si="7"/>
        <v>#DIV/0!</v>
      </c>
      <c r="AB39" s="96">
        <f t="shared" si="8"/>
        <v>0</v>
      </c>
      <c r="AC39" s="101">
        <f t="shared" si="18"/>
        <v>0</v>
      </c>
      <c r="AD39" s="96" t="e">
        <f t="shared" si="9"/>
        <v>#DIV/0!</v>
      </c>
      <c r="AF39" s="96" t="e">
        <f t="shared" si="10"/>
        <v>#DIV/0!</v>
      </c>
      <c r="AH39" s="96" t="e">
        <f t="shared" si="11"/>
        <v>#DIV/0!</v>
      </c>
      <c r="AJ39" s="96" t="e">
        <f t="shared" si="12"/>
        <v>#DIV/0!</v>
      </c>
      <c r="AL39" s="96" t="e">
        <f t="shared" si="13"/>
        <v>#DIV/0!</v>
      </c>
    </row>
    <row r="40" spans="2:38" ht="12">
      <c r="B40" s="350"/>
      <c r="C40" s="75"/>
      <c r="D40" s="82">
        <v>45903</v>
      </c>
      <c r="E40" s="82" t="s">
        <v>160</v>
      </c>
      <c r="F40" s="84">
        <f t="shared" si="14"/>
        <v>0</v>
      </c>
      <c r="G40" s="352"/>
      <c r="H40" s="84"/>
      <c r="J40" s="96" t="e">
        <f t="shared" si="0"/>
        <v>#DIV/0!</v>
      </c>
      <c r="L40" s="96" t="e">
        <f t="shared" si="1"/>
        <v>#DIV/0!</v>
      </c>
      <c r="M40" s="101">
        <f t="shared" si="15"/>
        <v>0</v>
      </c>
      <c r="N40" s="96" t="e">
        <f t="shared" si="2"/>
        <v>#DIV/0!</v>
      </c>
      <c r="P40" s="96" t="e">
        <f t="shared" si="3"/>
        <v>#DIV/0!</v>
      </c>
      <c r="R40" s="96">
        <f t="shared" si="4"/>
        <v>0</v>
      </c>
      <c r="S40" s="101">
        <f t="shared" si="16"/>
        <v>0</v>
      </c>
      <c r="T40" s="96" t="e">
        <f t="shared" si="17"/>
        <v>#DIV/0!</v>
      </c>
      <c r="V40" s="96" t="e">
        <f t="shared" si="5"/>
        <v>#DIV/0!</v>
      </c>
      <c r="X40" s="96" t="e">
        <f t="shared" si="6"/>
        <v>#DIV/0!</v>
      </c>
      <c r="Z40" s="96" t="e">
        <f t="shared" si="7"/>
        <v>#DIV/0!</v>
      </c>
      <c r="AB40" s="96">
        <f t="shared" si="8"/>
        <v>0</v>
      </c>
      <c r="AC40" s="101">
        <f t="shared" si="18"/>
        <v>0</v>
      </c>
      <c r="AD40" s="96" t="e">
        <f t="shared" si="9"/>
        <v>#DIV/0!</v>
      </c>
      <c r="AF40" s="96" t="e">
        <f t="shared" si="10"/>
        <v>#DIV/0!</v>
      </c>
      <c r="AH40" s="96" t="e">
        <f t="shared" si="11"/>
        <v>#DIV/0!</v>
      </c>
      <c r="AJ40" s="96" t="e">
        <f t="shared" si="12"/>
        <v>#DIV/0!</v>
      </c>
      <c r="AL40" s="96" t="e">
        <f t="shared" si="13"/>
        <v>#DIV/0!</v>
      </c>
    </row>
    <row r="41" spans="2:38" ht="12">
      <c r="B41" s="350"/>
      <c r="C41" s="75"/>
      <c r="D41" s="82">
        <v>45904</v>
      </c>
      <c r="E41" s="82" t="s">
        <v>161</v>
      </c>
      <c r="F41" s="84">
        <f t="shared" si="14"/>
        <v>0</v>
      </c>
      <c r="G41" s="352"/>
      <c r="H41" s="84"/>
      <c r="J41" s="96" t="e">
        <f t="shared" ref="J41:J45" si="24">I41/F41</f>
        <v>#DIV/0!</v>
      </c>
      <c r="L41" s="96" t="e">
        <f t="shared" ref="L41:L45" si="25">K41/F41</f>
        <v>#DIV/0!</v>
      </c>
      <c r="M41" s="101">
        <f t="shared" ref="M41:M45" si="26">SUM(I41+K41)</f>
        <v>0</v>
      </c>
      <c r="N41" s="96" t="e">
        <f t="shared" ref="N41:N45" si="27">M41/F41</f>
        <v>#DIV/0!</v>
      </c>
      <c r="P41" s="96" t="e">
        <f t="shared" ref="P41:P45" si="28">O41/F41</f>
        <v>#DIV/0!</v>
      </c>
      <c r="R41" s="96">
        <f t="shared" ref="R41:R45" si="29">Q41/D41</f>
        <v>0</v>
      </c>
      <c r="S41" s="101">
        <f t="shared" si="16"/>
        <v>0</v>
      </c>
      <c r="T41" s="96" t="e">
        <f t="shared" ref="T41:T45" si="30">S41/F41</f>
        <v>#DIV/0!</v>
      </c>
      <c r="V41" s="96" t="e">
        <f t="shared" ref="V41:V45" si="31">U41/F41</f>
        <v>#DIV/0!</v>
      </c>
      <c r="X41" s="96" t="e">
        <f t="shared" ref="X41:X45" si="32">W41/F41</f>
        <v>#DIV/0!</v>
      </c>
      <c r="Z41" s="96" t="e">
        <f t="shared" ref="Z41:Z45" si="33">Y41/F41</f>
        <v>#DIV/0!</v>
      </c>
      <c r="AB41" s="96">
        <f t="shared" ref="AB41:AB45" si="34">AA41/D41</f>
        <v>0</v>
      </c>
      <c r="AC41" s="101">
        <f t="shared" ref="AC41:AC45" si="35">SUM(Y41+AA41)</f>
        <v>0</v>
      </c>
      <c r="AD41" s="96" t="e">
        <f t="shared" ref="AD41:AD45" si="36">AC41/F41</f>
        <v>#DIV/0!</v>
      </c>
      <c r="AF41" s="96" t="e">
        <f t="shared" ref="AF41:AF45" si="37">AE41/F41</f>
        <v>#DIV/0!</v>
      </c>
      <c r="AH41" s="96" t="e">
        <f t="shared" ref="AH41:AH45" si="38">AG41/F41</f>
        <v>#DIV/0!</v>
      </c>
      <c r="AJ41" s="96" t="e">
        <f t="shared" ref="AJ41:AJ45" si="39">AI41/F41</f>
        <v>#DIV/0!</v>
      </c>
      <c r="AL41" s="96" t="e">
        <f t="shared" ref="AL41:AL45" si="40">AK41/F41</f>
        <v>#DIV/0!</v>
      </c>
    </row>
    <row r="42" spans="2:38" ht="12">
      <c r="B42" s="350"/>
      <c r="C42" s="75"/>
      <c r="D42" s="82">
        <v>45905</v>
      </c>
      <c r="E42" s="82" t="s">
        <v>156</v>
      </c>
      <c r="F42" s="84">
        <f t="shared" si="14"/>
        <v>0</v>
      </c>
      <c r="G42" s="352"/>
      <c r="H42" s="84"/>
      <c r="J42" s="96" t="e">
        <f t="shared" si="24"/>
        <v>#DIV/0!</v>
      </c>
      <c r="L42" s="96" t="e">
        <f t="shared" si="25"/>
        <v>#DIV/0!</v>
      </c>
      <c r="M42" s="101">
        <f t="shared" si="26"/>
        <v>0</v>
      </c>
      <c r="N42" s="96" t="e">
        <f t="shared" si="27"/>
        <v>#DIV/0!</v>
      </c>
      <c r="P42" s="96" t="e">
        <f t="shared" si="28"/>
        <v>#DIV/0!</v>
      </c>
      <c r="R42" s="96">
        <f t="shared" si="29"/>
        <v>0</v>
      </c>
      <c r="S42" s="101">
        <f t="shared" si="16"/>
        <v>0</v>
      </c>
      <c r="T42" s="96" t="e">
        <f t="shared" si="30"/>
        <v>#DIV/0!</v>
      </c>
      <c r="V42" s="96" t="e">
        <f t="shared" si="31"/>
        <v>#DIV/0!</v>
      </c>
      <c r="X42" s="96" t="e">
        <f t="shared" si="32"/>
        <v>#DIV/0!</v>
      </c>
      <c r="Z42" s="96" t="e">
        <f t="shared" si="33"/>
        <v>#DIV/0!</v>
      </c>
      <c r="AB42" s="96">
        <f t="shared" si="34"/>
        <v>0</v>
      </c>
      <c r="AC42" s="101">
        <f t="shared" si="35"/>
        <v>0</v>
      </c>
      <c r="AD42" s="96" t="e">
        <f t="shared" si="36"/>
        <v>#DIV/0!</v>
      </c>
      <c r="AF42" s="96" t="e">
        <f t="shared" si="37"/>
        <v>#DIV/0!</v>
      </c>
      <c r="AH42" s="96" t="e">
        <f t="shared" si="38"/>
        <v>#DIV/0!</v>
      </c>
      <c r="AJ42" s="96" t="e">
        <f t="shared" si="39"/>
        <v>#DIV/0!</v>
      </c>
      <c r="AL42" s="96" t="e">
        <f>AK42/F42</f>
        <v>#DIV/0!</v>
      </c>
    </row>
    <row r="43" spans="2:38" ht="12">
      <c r="B43" s="350"/>
      <c r="C43" s="75"/>
      <c r="D43" s="82">
        <v>45906</v>
      </c>
      <c r="E43" s="82" t="s">
        <v>157</v>
      </c>
      <c r="F43" s="84">
        <f t="shared" si="14"/>
        <v>0</v>
      </c>
      <c r="G43" s="352"/>
      <c r="H43" s="84"/>
      <c r="J43" s="96" t="e">
        <f t="shared" si="24"/>
        <v>#DIV/0!</v>
      </c>
      <c r="L43" s="96" t="e">
        <f t="shared" si="25"/>
        <v>#DIV/0!</v>
      </c>
      <c r="M43" s="101">
        <f t="shared" si="26"/>
        <v>0</v>
      </c>
      <c r="N43" s="96" t="e">
        <f t="shared" si="27"/>
        <v>#DIV/0!</v>
      </c>
      <c r="P43" s="96" t="e">
        <f t="shared" si="28"/>
        <v>#DIV/0!</v>
      </c>
      <c r="R43" s="96">
        <f t="shared" si="29"/>
        <v>0</v>
      </c>
      <c r="S43" s="101">
        <f t="shared" si="16"/>
        <v>0</v>
      </c>
      <c r="T43" s="96" t="e">
        <f t="shared" si="30"/>
        <v>#DIV/0!</v>
      </c>
      <c r="V43" s="96" t="e">
        <f t="shared" si="31"/>
        <v>#DIV/0!</v>
      </c>
      <c r="X43" s="96" t="e">
        <f t="shared" si="32"/>
        <v>#DIV/0!</v>
      </c>
      <c r="Z43" s="96" t="e">
        <f t="shared" si="33"/>
        <v>#DIV/0!</v>
      </c>
      <c r="AB43" s="96">
        <f t="shared" si="34"/>
        <v>0</v>
      </c>
      <c r="AC43" s="101">
        <f t="shared" si="35"/>
        <v>0</v>
      </c>
      <c r="AD43" s="96" t="e">
        <f t="shared" si="36"/>
        <v>#DIV/0!</v>
      </c>
      <c r="AF43" s="96" t="e">
        <f t="shared" si="37"/>
        <v>#DIV/0!</v>
      </c>
      <c r="AH43" s="96" t="e">
        <f t="shared" si="38"/>
        <v>#DIV/0!</v>
      </c>
      <c r="AJ43" s="96" t="e">
        <f t="shared" si="39"/>
        <v>#DIV/0!</v>
      </c>
      <c r="AL43" s="96" t="e">
        <f t="shared" si="40"/>
        <v>#DIV/0!</v>
      </c>
    </row>
    <row r="44" spans="2:38" ht="12">
      <c r="B44" s="350"/>
      <c r="C44" s="75"/>
      <c r="D44" s="82">
        <v>45907</v>
      </c>
      <c r="E44" s="82" t="s">
        <v>152</v>
      </c>
      <c r="F44" s="84">
        <f t="shared" si="14"/>
        <v>0</v>
      </c>
      <c r="G44" s="352"/>
      <c r="H44" s="84"/>
      <c r="J44" s="96" t="e">
        <f t="shared" si="24"/>
        <v>#DIV/0!</v>
      </c>
      <c r="L44" s="96" t="e">
        <f t="shared" si="25"/>
        <v>#DIV/0!</v>
      </c>
      <c r="M44" s="101">
        <f t="shared" si="26"/>
        <v>0</v>
      </c>
      <c r="N44" s="96" t="e">
        <f t="shared" si="27"/>
        <v>#DIV/0!</v>
      </c>
      <c r="P44" s="96" t="e">
        <f t="shared" si="28"/>
        <v>#DIV/0!</v>
      </c>
      <c r="R44" s="96">
        <f t="shared" si="29"/>
        <v>0</v>
      </c>
      <c r="S44" s="101">
        <f t="shared" si="16"/>
        <v>0</v>
      </c>
      <c r="T44" s="96" t="e">
        <f t="shared" si="30"/>
        <v>#DIV/0!</v>
      </c>
      <c r="V44" s="96" t="e">
        <f t="shared" si="31"/>
        <v>#DIV/0!</v>
      </c>
      <c r="X44" s="96" t="e">
        <f t="shared" si="32"/>
        <v>#DIV/0!</v>
      </c>
      <c r="Z44" s="96" t="e">
        <f t="shared" si="33"/>
        <v>#DIV/0!</v>
      </c>
      <c r="AB44" s="96">
        <f t="shared" si="34"/>
        <v>0</v>
      </c>
      <c r="AC44" s="101">
        <f t="shared" si="35"/>
        <v>0</v>
      </c>
      <c r="AD44" s="96" t="e">
        <f t="shared" si="36"/>
        <v>#DIV/0!</v>
      </c>
      <c r="AF44" s="96" t="e">
        <f t="shared" si="37"/>
        <v>#DIV/0!</v>
      </c>
      <c r="AH44" s="96" t="e">
        <f t="shared" si="38"/>
        <v>#DIV/0!</v>
      </c>
      <c r="AJ44" s="96" t="e">
        <f t="shared" si="39"/>
        <v>#DIV/0!</v>
      </c>
      <c r="AL44" s="96" t="e">
        <f t="shared" si="40"/>
        <v>#DIV/0!</v>
      </c>
    </row>
    <row r="45" spans="2:38" ht="12">
      <c r="B45" s="350"/>
      <c r="C45" s="75"/>
      <c r="D45" s="82">
        <v>45908</v>
      </c>
      <c r="E45" s="82" t="s">
        <v>158</v>
      </c>
      <c r="F45" s="84">
        <f t="shared" si="14"/>
        <v>0</v>
      </c>
      <c r="G45" s="352"/>
      <c r="H45" s="84"/>
      <c r="J45" s="96" t="e">
        <f t="shared" si="24"/>
        <v>#DIV/0!</v>
      </c>
      <c r="L45" s="96" t="e">
        <f t="shared" si="25"/>
        <v>#DIV/0!</v>
      </c>
      <c r="M45" s="101">
        <f t="shared" si="26"/>
        <v>0</v>
      </c>
      <c r="N45" s="96" t="e">
        <f t="shared" si="27"/>
        <v>#DIV/0!</v>
      </c>
      <c r="P45" s="96" t="e">
        <f t="shared" si="28"/>
        <v>#DIV/0!</v>
      </c>
      <c r="R45" s="96">
        <f t="shared" si="29"/>
        <v>0</v>
      </c>
      <c r="S45" s="101">
        <f t="shared" si="16"/>
        <v>0</v>
      </c>
      <c r="T45" s="96" t="e">
        <f t="shared" si="30"/>
        <v>#DIV/0!</v>
      </c>
      <c r="V45" s="96" t="e">
        <f t="shared" si="31"/>
        <v>#DIV/0!</v>
      </c>
      <c r="X45" s="96" t="e">
        <f t="shared" si="32"/>
        <v>#DIV/0!</v>
      </c>
      <c r="Z45" s="96" t="e">
        <f t="shared" si="33"/>
        <v>#DIV/0!</v>
      </c>
      <c r="AB45" s="96">
        <f t="shared" si="34"/>
        <v>0</v>
      </c>
      <c r="AC45" s="101">
        <f t="shared" si="35"/>
        <v>0</v>
      </c>
      <c r="AD45" s="96" t="e">
        <f t="shared" si="36"/>
        <v>#DIV/0!</v>
      </c>
      <c r="AF45" s="96" t="e">
        <f t="shared" si="37"/>
        <v>#DIV/0!</v>
      </c>
      <c r="AH45" s="96" t="e">
        <f t="shared" si="38"/>
        <v>#DIV/0!</v>
      </c>
      <c r="AJ45" s="96" t="e">
        <f t="shared" si="39"/>
        <v>#DIV/0!</v>
      </c>
      <c r="AL45" s="96" t="e">
        <f t="shared" si="40"/>
        <v>#DIV/0!</v>
      </c>
    </row>
    <row r="46" spans="2:38" ht="12">
      <c r="B46" s="79"/>
      <c r="C46" s="75"/>
      <c r="D46" s="78"/>
      <c r="F46" s="93"/>
      <c r="G46" s="93"/>
      <c r="H46" s="93"/>
      <c r="I46" s="306">
        <f>SUM(I7:I38)</f>
        <v>894412</v>
      </c>
      <c r="J46" s="313"/>
      <c r="K46" s="306">
        <f>SUM(K7:K38)</f>
        <v>1282433</v>
      </c>
      <c r="L46" s="313"/>
      <c r="M46" s="313">
        <f>SUM(M7:M38)</f>
        <v>2176845</v>
      </c>
      <c r="N46" s="313"/>
      <c r="O46" s="306">
        <f>SUM(O7:O38)</f>
        <v>206477</v>
      </c>
      <c r="P46" s="313"/>
      <c r="Q46" s="306">
        <f>SUM(Q7:Q38)</f>
        <v>124105</v>
      </c>
      <c r="R46" s="313"/>
      <c r="S46" s="306">
        <f>SUM(S7:S38)</f>
        <v>330582</v>
      </c>
      <c r="T46" s="313"/>
      <c r="U46" s="306">
        <f>SUM(U7:U38)</f>
        <v>639734</v>
      </c>
      <c r="V46" s="313"/>
      <c r="W46" s="306">
        <f>SUM(W7:W38)</f>
        <v>18191</v>
      </c>
      <c r="X46" s="313"/>
      <c r="Y46" s="306">
        <f>SUM(Y7:Y38)</f>
        <v>722410</v>
      </c>
      <c r="Z46" s="313"/>
      <c r="AA46" s="306">
        <f>SUM(AA7:AA38)</f>
        <v>652556</v>
      </c>
      <c r="AB46" s="313"/>
      <c r="AC46" s="306">
        <f>SUM(AC7:AC38)</f>
        <v>1374966</v>
      </c>
      <c r="AD46" s="313"/>
      <c r="AE46" s="306">
        <f>SUM(AE7:AE38)</f>
        <v>455610</v>
      </c>
      <c r="AF46" s="313"/>
      <c r="AG46" s="306">
        <f>SUM(AG7:AG38)</f>
        <v>576771</v>
      </c>
      <c r="AH46" s="313"/>
      <c r="AI46" s="306">
        <f>SUM(AI7:AI38)</f>
        <v>524524</v>
      </c>
      <c r="AJ46" s="313"/>
      <c r="AK46" s="306">
        <f>SUM(AK7:AK38)</f>
        <v>460832</v>
      </c>
      <c r="AL46" s="313"/>
    </row>
    <row r="47" spans="2:38" ht="12">
      <c r="B47" s="79"/>
      <c r="C47" s="75"/>
      <c r="D47" s="78"/>
      <c r="F47" s="93"/>
      <c r="G47" s="93"/>
      <c r="H47" s="93"/>
      <c r="I47" s="93"/>
      <c r="K47" s="93"/>
      <c r="M47" s="86"/>
      <c r="O47" s="93"/>
      <c r="Q47" s="93"/>
      <c r="S47" s="93"/>
      <c r="U47" s="93"/>
      <c r="W47" s="93"/>
      <c r="Y47" s="93"/>
      <c r="AA47" s="93"/>
      <c r="AC47" s="93"/>
      <c r="AE47" s="93"/>
      <c r="AG47" s="93"/>
      <c r="AI47" s="93"/>
      <c r="AK47" s="93"/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46">
    <mergeCell ref="B18:B24"/>
    <mergeCell ref="B25:B31"/>
    <mergeCell ref="B32:B38"/>
    <mergeCell ref="AI4:AJ4"/>
    <mergeCell ref="AI5:AJ5"/>
    <mergeCell ref="K5:L5"/>
    <mergeCell ref="S5:T5"/>
    <mergeCell ref="Y4:AD4"/>
    <mergeCell ref="I4:N4"/>
    <mergeCell ref="M5:N5"/>
    <mergeCell ref="Q5:R5"/>
    <mergeCell ref="AA5:AB5"/>
    <mergeCell ref="C7:C37"/>
    <mergeCell ref="C3:C6"/>
    <mergeCell ref="G5:G6"/>
    <mergeCell ref="H5:H6"/>
    <mergeCell ref="B39:B45"/>
    <mergeCell ref="I3:AL3"/>
    <mergeCell ref="D3:E6"/>
    <mergeCell ref="B3:B6"/>
    <mergeCell ref="G7:G10"/>
    <mergeCell ref="H7:H37"/>
    <mergeCell ref="G11:G17"/>
    <mergeCell ref="G18:G24"/>
    <mergeCell ref="G25:G31"/>
    <mergeCell ref="G32:G38"/>
    <mergeCell ref="O4:T4"/>
    <mergeCell ref="O5:P5"/>
    <mergeCell ref="I5:J5"/>
    <mergeCell ref="B7:B17"/>
    <mergeCell ref="G39:G45"/>
    <mergeCell ref="F5:F6"/>
    <mergeCell ref="F3:H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76"/>
  <sheetViews>
    <sheetView zoomScale="50" zoomScaleNormal="50" workbookViewId="0">
      <pane xSplit="15" topLeftCell="P1" activePane="topRight" state="frozen"/>
      <selection pane="topRight" activeCell="C1" sqref="C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194</v>
      </c>
      <c r="C1" s="217">
        <f>AVERAGE(L7,L42,L77,L112,L147)</f>
        <v>717.52753492795955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98" t="s">
        <v>210</v>
      </c>
      <c r="C7" s="105">
        <v>1</v>
      </c>
      <c r="D7" s="105" t="s">
        <v>211</v>
      </c>
      <c r="E7" s="175">
        <v>4</v>
      </c>
      <c r="F7" s="175">
        <v>2200</v>
      </c>
      <c r="G7" s="202">
        <v>550</v>
      </c>
      <c r="H7" s="384">
        <f>AVERAGE(G7:G36)</f>
        <v>927.17391304347825</v>
      </c>
      <c r="I7" s="175">
        <f>AVERAGE(P7,U7,Z7,AE7,AJ7,AO7,AT7)</f>
        <v>4</v>
      </c>
      <c r="J7" s="175">
        <f>AVERAGE(Q7,V7,AA7,AF7,AK7,AP7,AU7)</f>
        <v>1972.0304320292707</v>
      </c>
      <c r="K7" s="202">
        <f>AVERAGE(R7,W7,AB7,AG7,AL7,AQ7,AV7)</f>
        <v>493.00760800731769</v>
      </c>
      <c r="L7" s="384">
        <f>IFERROR(AVERAGE(K7:K36),"-")</f>
        <v>708.82128985571921</v>
      </c>
      <c r="M7" s="203">
        <f>RANK(K7, K$7:$K$36)</f>
        <v>23</v>
      </c>
      <c r="N7" s="387"/>
      <c r="O7" s="387"/>
      <c r="P7" s="175"/>
      <c r="Q7" s="175"/>
      <c r="R7" s="202"/>
      <c r="S7" s="105" t="e">
        <f>RANK(R7, R$7:R$36)</f>
        <v>#N/A</v>
      </c>
      <c r="T7" s="412" t="e">
        <f>AVERAGE(R7:R36)</f>
        <v>#DIV/0!</v>
      </c>
      <c r="U7" s="175"/>
      <c r="V7" s="175"/>
      <c r="W7" s="202"/>
      <c r="X7" s="105" t="e">
        <f>RANK(W7, W$7:W$36)</f>
        <v>#N/A</v>
      </c>
      <c r="Y7" s="402" t="e">
        <f>AVERAGE(W7:W36)</f>
        <v>#DIV/0!</v>
      </c>
      <c r="Z7" s="105"/>
      <c r="AA7" s="175"/>
      <c r="AB7" s="202"/>
      <c r="AC7" s="105" t="e">
        <f>RANK(AB7, AB$7:AB$36)</f>
        <v>#N/A</v>
      </c>
      <c r="AD7" s="402" t="e">
        <f>AVERAGE(AB7:AB36)</f>
        <v>#DIV/0!</v>
      </c>
      <c r="AE7" s="175">
        <v>4</v>
      </c>
      <c r="AF7" s="175">
        <v>1996.5789473684206</v>
      </c>
      <c r="AG7" s="175">
        <v>499.14473684210515</v>
      </c>
      <c r="AH7" s="105">
        <f>RANK(AG7, AG$7:AG$36)</f>
        <v>23</v>
      </c>
      <c r="AI7" s="402">
        <f>AVERAGE(AG7:AG36)</f>
        <v>729.49372789520771</v>
      </c>
      <c r="AJ7" s="175">
        <v>4</v>
      </c>
      <c r="AK7" s="175">
        <v>1840.4999999999993</v>
      </c>
      <c r="AL7" s="175">
        <v>460.12499999999983</v>
      </c>
      <c r="AM7" s="105">
        <f>RANK(AL7, AL$7:AL$36)</f>
        <v>21</v>
      </c>
      <c r="AN7" s="402">
        <f>AVERAGE(AL7:AL36)</f>
        <v>667.8744259363832</v>
      </c>
      <c r="AO7" s="175">
        <v>4</v>
      </c>
      <c r="AP7" s="175">
        <v>2050.5882352941176</v>
      </c>
      <c r="AQ7" s="175">
        <v>512.64705882352939</v>
      </c>
      <c r="AR7" s="105">
        <f>RANK(AQ7, AQ$7:AQ$36)</f>
        <v>22</v>
      </c>
      <c r="AS7" s="402">
        <f>AVERAGE(AQ7:AQ36)</f>
        <v>715.87098790526181</v>
      </c>
      <c r="AT7" s="175">
        <v>4</v>
      </c>
      <c r="AU7" s="175">
        <v>2000.4545454545455</v>
      </c>
      <c r="AV7" s="175">
        <v>500.11363636363637</v>
      </c>
      <c r="AW7" s="105">
        <f>RANK(AV7, AV$7:AV$36)</f>
        <v>22</v>
      </c>
      <c r="AX7" s="402">
        <f>AVERAGE(AV7:AV36)</f>
        <v>718.49679066744636</v>
      </c>
    </row>
    <row r="8" spans="1:50" ht="15" customHeight="1">
      <c r="A8" s="79"/>
      <c r="B8" s="398"/>
      <c r="C8" s="105">
        <v>2</v>
      </c>
      <c r="D8" s="105" t="s">
        <v>212</v>
      </c>
      <c r="E8" s="175">
        <v>3</v>
      </c>
      <c r="F8" s="175">
        <v>2700</v>
      </c>
      <c r="G8" s="202">
        <v>900</v>
      </c>
      <c r="H8" s="385"/>
      <c r="I8" s="175">
        <f t="shared" ref="I8:I16" si="0">AVERAGE(P8,U8,Z8,AE8,AJ8,AO8,AT8)</f>
        <v>3</v>
      </c>
      <c r="J8" s="175">
        <f t="shared" ref="J8:J16" si="1">AVERAGE(Q8,V8,AA8,AF8,AK8,AP8,AU8)</f>
        <v>2854.4720274862671</v>
      </c>
      <c r="K8" s="202">
        <f t="shared" ref="K8:K16" si="2">AVERAGE(R8,W8,AB8,AG8,AL8,AQ8,AV8)</f>
        <v>951.49067582875568</v>
      </c>
      <c r="L8" s="385"/>
      <c r="M8" s="203">
        <f>RANK(K8, K$7:$K$36)</f>
        <v>1</v>
      </c>
      <c r="N8" s="387"/>
      <c r="O8" s="387"/>
      <c r="P8" s="175"/>
      <c r="Q8" s="175"/>
      <c r="R8" s="202"/>
      <c r="S8" s="105" t="e">
        <f t="shared" ref="S8:S36" si="3">RANK(R8, R$7:R$36)</f>
        <v>#N/A</v>
      </c>
      <c r="T8" s="412"/>
      <c r="U8" s="175"/>
      <c r="V8" s="175"/>
      <c r="W8" s="202"/>
      <c r="X8" s="105" t="e">
        <f t="shared" ref="X8:X36" si="4">RANK(W8, W$7:W$36)</f>
        <v>#N/A</v>
      </c>
      <c r="Y8" s="403"/>
      <c r="Z8" s="105"/>
      <c r="AA8" s="175"/>
      <c r="AB8" s="202"/>
      <c r="AC8" s="105" t="e">
        <f t="shared" ref="AC8:AC36" si="5">RANK(AB8, AB$7:AB$36)</f>
        <v>#N/A</v>
      </c>
      <c r="AD8" s="403"/>
      <c r="AE8" s="175">
        <v>3</v>
      </c>
      <c r="AF8" s="175">
        <v>2968.8461538461534</v>
      </c>
      <c r="AG8" s="175">
        <v>989.61538461538441</v>
      </c>
      <c r="AH8" s="105">
        <f t="shared" ref="AH8:AH36" si="6">RANK(AG8, AG$7:AG$36)</f>
        <v>1</v>
      </c>
      <c r="AI8" s="403"/>
      <c r="AJ8" s="175">
        <v>3</v>
      </c>
      <c r="AK8" s="175">
        <v>2478.0000000000009</v>
      </c>
      <c r="AL8" s="175">
        <v>826.00000000000034</v>
      </c>
      <c r="AM8" s="105">
        <f t="shared" ref="AM8:AM36" si="7">RANK(AL8, AL$7:AL$36)</f>
        <v>4</v>
      </c>
      <c r="AN8" s="403"/>
      <c r="AO8" s="175">
        <v>3</v>
      </c>
      <c r="AP8" s="175">
        <v>2984.2622950819659</v>
      </c>
      <c r="AQ8" s="175">
        <v>994.75409836065535</v>
      </c>
      <c r="AR8" s="105">
        <f t="shared" ref="AR8:AR36" si="8">RANK(AQ8, AQ$7:AQ$36)</f>
        <v>1</v>
      </c>
      <c r="AS8" s="403"/>
      <c r="AT8" s="175">
        <v>3</v>
      </c>
      <c r="AU8" s="175">
        <v>2986.7796610169476</v>
      </c>
      <c r="AV8" s="175">
        <v>995.59322033898252</v>
      </c>
      <c r="AW8" s="105">
        <f t="shared" ref="AW8:AW36" si="9">RANK(AV8, AV$7:AV$36)</f>
        <v>1</v>
      </c>
      <c r="AX8" s="403"/>
    </row>
    <row r="9" spans="1:50">
      <c r="A9" s="79"/>
      <c r="B9" s="398"/>
      <c r="C9" s="105">
        <v>3</v>
      </c>
      <c r="D9" s="105" t="s">
        <v>213</v>
      </c>
      <c r="E9" s="175">
        <v>4</v>
      </c>
      <c r="F9" s="175">
        <v>3600</v>
      </c>
      <c r="G9" s="202">
        <v>900</v>
      </c>
      <c r="H9" s="385"/>
      <c r="I9" s="175">
        <f t="shared" si="0"/>
        <v>4</v>
      </c>
      <c r="J9" s="175">
        <f t="shared" si="1"/>
        <v>2896.7546583850917</v>
      </c>
      <c r="K9" s="202">
        <f t="shared" si="2"/>
        <v>724.18866459627293</v>
      </c>
      <c r="L9" s="385"/>
      <c r="M9" s="203">
        <f>RANK(K9, K$7:$K$36)</f>
        <v>10</v>
      </c>
      <c r="N9" s="387"/>
      <c r="O9" s="387"/>
      <c r="P9" s="175"/>
      <c r="Q9" s="175"/>
      <c r="R9" s="202"/>
      <c r="S9" s="105" t="e">
        <f t="shared" si="3"/>
        <v>#N/A</v>
      </c>
      <c r="T9" s="412"/>
      <c r="U9" s="175"/>
      <c r="V9" s="175"/>
      <c r="W9" s="202"/>
      <c r="X9" s="105" t="e">
        <f t="shared" si="4"/>
        <v>#N/A</v>
      </c>
      <c r="Y9" s="403"/>
      <c r="Z9" s="105"/>
      <c r="AA9" s="175"/>
      <c r="AB9" s="202"/>
      <c r="AC9" s="105" t="e">
        <f t="shared" si="5"/>
        <v>#N/A</v>
      </c>
      <c r="AD9" s="403"/>
      <c r="AE9" s="175">
        <v>4</v>
      </c>
      <c r="AF9" s="175">
        <v>2885.7142857142849</v>
      </c>
      <c r="AG9" s="175">
        <v>721.42857142857122</v>
      </c>
      <c r="AH9" s="105">
        <f t="shared" si="6"/>
        <v>14</v>
      </c>
      <c r="AI9" s="403"/>
      <c r="AJ9" s="175">
        <v>4</v>
      </c>
      <c r="AK9" s="175">
        <v>2910.0000000000045</v>
      </c>
      <c r="AL9" s="175">
        <v>727.50000000000114</v>
      </c>
      <c r="AM9" s="105">
        <f t="shared" si="7"/>
        <v>9</v>
      </c>
      <c r="AN9" s="403"/>
      <c r="AO9" s="175">
        <v>4</v>
      </c>
      <c r="AP9" s="175">
        <v>2900.8695652173865</v>
      </c>
      <c r="AQ9" s="175">
        <v>725.21739130434662</v>
      </c>
      <c r="AR9" s="105">
        <f t="shared" si="8"/>
        <v>9</v>
      </c>
      <c r="AS9" s="403"/>
      <c r="AT9" s="175">
        <v>4</v>
      </c>
      <c r="AU9" s="175">
        <v>2890.434782608691</v>
      </c>
      <c r="AV9" s="175">
        <v>722.60869565217274</v>
      </c>
      <c r="AW9" s="105">
        <f t="shared" si="9"/>
        <v>10</v>
      </c>
      <c r="AX9" s="403"/>
    </row>
    <row r="10" spans="1:50">
      <c r="A10" s="79"/>
      <c r="B10" s="398"/>
      <c r="C10" s="105">
        <v>4</v>
      </c>
      <c r="D10" s="105" t="s">
        <v>214</v>
      </c>
      <c r="E10" s="175">
        <v>4</v>
      </c>
      <c r="F10" s="175">
        <v>3600</v>
      </c>
      <c r="G10" s="202">
        <v>900</v>
      </c>
      <c r="H10" s="385"/>
      <c r="I10" s="175">
        <f t="shared" si="0"/>
        <v>4</v>
      </c>
      <c r="J10" s="175">
        <f t="shared" si="1"/>
        <v>2851.8125000000027</v>
      </c>
      <c r="K10" s="202">
        <f t="shared" si="2"/>
        <v>712.95312500000068</v>
      </c>
      <c r="L10" s="385"/>
      <c r="M10" s="203">
        <f>RANK(K10, K$7:$K$36)</f>
        <v>13</v>
      </c>
      <c r="N10" s="387"/>
      <c r="O10" s="387"/>
      <c r="P10" s="175"/>
      <c r="Q10" s="175"/>
      <c r="R10" s="202"/>
      <c r="S10" s="105" t="e">
        <f t="shared" si="3"/>
        <v>#N/A</v>
      </c>
      <c r="T10" s="412"/>
      <c r="U10" s="175"/>
      <c r="V10" s="175"/>
      <c r="W10" s="202"/>
      <c r="X10" s="105" t="e">
        <f t="shared" si="4"/>
        <v>#N/A</v>
      </c>
      <c r="Y10" s="403"/>
      <c r="Z10" s="105"/>
      <c r="AA10" s="175"/>
      <c r="AB10" s="202"/>
      <c r="AC10" s="105" t="e">
        <f t="shared" si="5"/>
        <v>#N/A</v>
      </c>
      <c r="AD10" s="403"/>
      <c r="AE10" s="175">
        <v>4</v>
      </c>
      <c r="AF10" s="175">
        <v>2910.00000000001</v>
      </c>
      <c r="AG10" s="175">
        <v>727.5000000000025</v>
      </c>
      <c r="AH10" s="105">
        <f t="shared" si="6"/>
        <v>13</v>
      </c>
      <c r="AI10" s="403"/>
      <c r="AJ10" s="175">
        <v>4</v>
      </c>
      <c r="AK10" s="175">
        <v>2636.0000000000091</v>
      </c>
      <c r="AL10" s="175">
        <v>659.00000000000227</v>
      </c>
      <c r="AM10" s="105">
        <f t="shared" si="7"/>
        <v>13</v>
      </c>
      <c r="AN10" s="403"/>
      <c r="AO10" s="175">
        <v>4</v>
      </c>
      <c r="AP10" s="175">
        <v>2936.2499999999964</v>
      </c>
      <c r="AQ10" s="175">
        <v>734.06249999999909</v>
      </c>
      <c r="AR10" s="105">
        <f t="shared" si="8"/>
        <v>8</v>
      </c>
      <c r="AS10" s="403"/>
      <c r="AT10" s="175">
        <v>4</v>
      </c>
      <c r="AU10" s="175">
        <v>2924.9999999999964</v>
      </c>
      <c r="AV10" s="175">
        <v>731.24999999999909</v>
      </c>
      <c r="AW10" s="105">
        <f t="shared" si="9"/>
        <v>8</v>
      </c>
      <c r="AX10" s="403"/>
    </row>
    <row r="11" spans="1:50">
      <c r="A11" s="79"/>
      <c r="B11" s="398"/>
      <c r="C11" s="105">
        <v>5</v>
      </c>
      <c r="D11" s="105" t="s">
        <v>215</v>
      </c>
      <c r="E11" s="175">
        <v>3</v>
      </c>
      <c r="F11" s="175">
        <v>3600</v>
      </c>
      <c r="G11" s="202">
        <v>1200</v>
      </c>
      <c r="H11" s="385"/>
      <c r="I11" s="175">
        <f t="shared" si="0"/>
        <v>3</v>
      </c>
      <c r="J11" s="175">
        <f t="shared" si="1"/>
        <v>2799.9333333333343</v>
      </c>
      <c r="K11" s="202">
        <f t="shared" si="2"/>
        <v>933.31111111111125</v>
      </c>
      <c r="L11" s="385"/>
      <c r="M11" s="203">
        <f>RANK(K11, K$7:$K$36)</f>
        <v>2</v>
      </c>
      <c r="N11" s="387"/>
      <c r="O11" s="387"/>
      <c r="P11" s="175"/>
      <c r="Q11" s="175"/>
      <c r="R11" s="202"/>
      <c r="S11" s="105" t="e">
        <f t="shared" si="3"/>
        <v>#N/A</v>
      </c>
      <c r="T11" s="412"/>
      <c r="U11" s="175"/>
      <c r="V11" s="175"/>
      <c r="W11" s="202"/>
      <c r="X11" s="105" t="e">
        <f t="shared" si="4"/>
        <v>#N/A</v>
      </c>
      <c r="Y11" s="403"/>
      <c r="Z11" s="105"/>
      <c r="AA11" s="175"/>
      <c r="AB11" s="202"/>
      <c r="AC11" s="105" t="e">
        <f t="shared" si="5"/>
        <v>#N/A</v>
      </c>
      <c r="AD11" s="403"/>
      <c r="AE11" s="175">
        <v>3</v>
      </c>
      <c r="AF11" s="175">
        <v>2953.3333333333362</v>
      </c>
      <c r="AG11" s="175">
        <v>984.44444444444537</v>
      </c>
      <c r="AH11" s="105">
        <f t="shared" si="6"/>
        <v>2</v>
      </c>
      <c r="AI11" s="403"/>
      <c r="AJ11" s="175">
        <v>3</v>
      </c>
      <c r="AK11" s="175">
        <v>2686.4000000000042</v>
      </c>
      <c r="AL11" s="175">
        <v>895.46666666666806</v>
      </c>
      <c r="AM11" s="105">
        <f t="shared" si="7"/>
        <v>1</v>
      </c>
      <c r="AN11" s="403"/>
      <c r="AO11" s="175">
        <v>3</v>
      </c>
      <c r="AP11" s="175">
        <v>2786.6666666666765</v>
      </c>
      <c r="AQ11" s="175">
        <v>928.88888888889221</v>
      </c>
      <c r="AR11" s="105">
        <f t="shared" si="8"/>
        <v>2</v>
      </c>
      <c r="AS11" s="403"/>
      <c r="AT11" s="175">
        <v>3</v>
      </c>
      <c r="AU11" s="175">
        <v>2773.3333333333185</v>
      </c>
      <c r="AV11" s="175">
        <v>924.44444444443945</v>
      </c>
      <c r="AW11" s="105">
        <f t="shared" si="9"/>
        <v>2</v>
      </c>
      <c r="AX11" s="403"/>
    </row>
    <row r="12" spans="1:50">
      <c r="A12" s="79"/>
      <c r="B12" s="398"/>
      <c r="C12" s="105">
        <v>6</v>
      </c>
      <c r="D12" s="105" t="s">
        <v>216</v>
      </c>
      <c r="E12" s="175">
        <v>3</v>
      </c>
      <c r="F12" s="175">
        <v>3600</v>
      </c>
      <c r="G12" s="202">
        <v>1200</v>
      </c>
      <c r="H12" s="385"/>
      <c r="I12" s="175">
        <f t="shared" si="0"/>
        <v>4</v>
      </c>
      <c r="J12" s="175">
        <f t="shared" si="1"/>
        <v>2880.0220588235352</v>
      </c>
      <c r="K12" s="202">
        <f t="shared" si="2"/>
        <v>720.0055147058838</v>
      </c>
      <c r="L12" s="385"/>
      <c r="M12" s="203">
        <f>RANK(K12, K$7:$K$36)</f>
        <v>11</v>
      </c>
      <c r="N12" s="387"/>
      <c r="O12" s="387"/>
      <c r="P12" s="175"/>
      <c r="Q12" s="175"/>
      <c r="R12" s="202"/>
      <c r="S12" s="105" t="e">
        <f t="shared" si="3"/>
        <v>#N/A</v>
      </c>
      <c r="T12" s="412"/>
      <c r="U12" s="175"/>
      <c r="V12" s="175"/>
      <c r="W12" s="202"/>
      <c r="X12" s="105" t="e">
        <f t="shared" si="4"/>
        <v>#N/A</v>
      </c>
      <c r="Y12" s="403"/>
      <c r="Z12" s="105"/>
      <c r="AA12" s="175"/>
      <c r="AB12" s="202"/>
      <c r="AC12" s="105" t="e">
        <f t="shared" si="5"/>
        <v>#N/A</v>
      </c>
      <c r="AD12" s="403"/>
      <c r="AE12" s="175">
        <v>4</v>
      </c>
      <c r="AF12" s="175">
        <v>2980.5882352941212</v>
      </c>
      <c r="AG12" s="175">
        <v>745.1470588235303</v>
      </c>
      <c r="AH12" s="105">
        <f t="shared" si="6"/>
        <v>9</v>
      </c>
      <c r="AI12" s="403"/>
      <c r="AJ12" s="175">
        <v>4</v>
      </c>
      <c r="AK12" s="175">
        <v>2791.4999999999991</v>
      </c>
      <c r="AL12" s="175">
        <v>697.87499999999977</v>
      </c>
      <c r="AM12" s="105">
        <f t="shared" si="7"/>
        <v>10</v>
      </c>
      <c r="AN12" s="403"/>
      <c r="AO12" s="175">
        <v>4</v>
      </c>
      <c r="AP12" s="175">
        <v>2880.00000000001</v>
      </c>
      <c r="AQ12" s="175">
        <v>720.0000000000025</v>
      </c>
      <c r="AR12" s="105">
        <f t="shared" si="8"/>
        <v>10</v>
      </c>
      <c r="AS12" s="403"/>
      <c r="AT12" s="175">
        <v>4</v>
      </c>
      <c r="AU12" s="175">
        <v>2868.00000000001</v>
      </c>
      <c r="AV12" s="175">
        <v>717.0000000000025</v>
      </c>
      <c r="AW12" s="105">
        <f t="shared" si="9"/>
        <v>11</v>
      </c>
      <c r="AX12" s="403"/>
    </row>
    <row r="13" spans="1:50">
      <c r="A13" s="79"/>
      <c r="B13" s="398"/>
      <c r="C13" s="105">
        <v>7</v>
      </c>
      <c r="D13" s="105" t="s">
        <v>217</v>
      </c>
      <c r="E13" s="175">
        <v>4</v>
      </c>
      <c r="F13" s="175">
        <v>3600</v>
      </c>
      <c r="G13" s="202">
        <v>900</v>
      </c>
      <c r="H13" s="385"/>
      <c r="I13" s="175">
        <f t="shared" si="0"/>
        <v>4</v>
      </c>
      <c r="J13" s="175">
        <f t="shared" si="1"/>
        <v>2634.4999999999895</v>
      </c>
      <c r="K13" s="202">
        <f t="shared" si="2"/>
        <v>658.62499999999739</v>
      </c>
      <c r="L13" s="385"/>
      <c r="M13" s="203">
        <f>RANK(K13, K$7:$K$36)</f>
        <v>14</v>
      </c>
      <c r="N13" s="387"/>
      <c r="O13" s="387"/>
      <c r="P13" s="175"/>
      <c r="Q13" s="175"/>
      <c r="R13" s="202"/>
      <c r="S13" s="105" t="e">
        <f t="shared" si="3"/>
        <v>#N/A</v>
      </c>
      <c r="T13" s="412"/>
      <c r="U13" s="175"/>
      <c r="V13" s="175"/>
      <c r="W13" s="202"/>
      <c r="X13" s="105" t="e">
        <f t="shared" si="4"/>
        <v>#N/A</v>
      </c>
      <c r="Y13" s="403"/>
      <c r="Z13" s="105"/>
      <c r="AA13" s="175"/>
      <c r="AB13" s="202"/>
      <c r="AC13" s="105" t="e">
        <f t="shared" si="5"/>
        <v>#N/A</v>
      </c>
      <c r="AD13" s="403"/>
      <c r="AE13" s="175">
        <v>4</v>
      </c>
      <c r="AF13" s="175">
        <v>2940.00000000001</v>
      </c>
      <c r="AG13" s="175">
        <v>735.0000000000025</v>
      </c>
      <c r="AH13" s="105">
        <f t="shared" si="6"/>
        <v>11</v>
      </c>
      <c r="AI13" s="403"/>
      <c r="AJ13" s="175">
        <v>4</v>
      </c>
      <c r="AK13" s="175">
        <v>2218.0000000000023</v>
      </c>
      <c r="AL13" s="175">
        <v>554.50000000000057</v>
      </c>
      <c r="AM13" s="105">
        <f t="shared" si="7"/>
        <v>18</v>
      </c>
      <c r="AN13" s="403"/>
      <c r="AO13" s="175">
        <v>4</v>
      </c>
      <c r="AP13" s="175">
        <v>2779.9999999999359</v>
      </c>
      <c r="AQ13" s="175">
        <v>694.99999999998397</v>
      </c>
      <c r="AR13" s="105">
        <f t="shared" si="8"/>
        <v>12</v>
      </c>
      <c r="AS13" s="403"/>
      <c r="AT13" s="175">
        <v>4</v>
      </c>
      <c r="AU13" s="175">
        <v>2600.0000000000091</v>
      </c>
      <c r="AV13" s="175">
        <v>650.00000000000227</v>
      </c>
      <c r="AW13" s="105">
        <f t="shared" si="9"/>
        <v>13</v>
      </c>
      <c r="AX13" s="403"/>
    </row>
    <row r="14" spans="1:50">
      <c r="A14" s="79"/>
      <c r="B14" s="398"/>
      <c r="C14" s="105">
        <v>8</v>
      </c>
      <c r="D14" s="105" t="s">
        <v>215</v>
      </c>
      <c r="E14" s="175">
        <v>3</v>
      </c>
      <c r="F14" s="175">
        <v>3600</v>
      </c>
      <c r="G14" s="202">
        <v>1200</v>
      </c>
      <c r="H14" s="385"/>
      <c r="I14" s="175">
        <f t="shared" si="0"/>
        <v>3</v>
      </c>
      <c r="J14" s="175">
        <f t="shared" si="1"/>
        <v>2799.9333333333343</v>
      </c>
      <c r="K14" s="202">
        <f t="shared" si="2"/>
        <v>933.31111111111125</v>
      </c>
      <c r="L14" s="385"/>
      <c r="M14" s="203">
        <f>RANK(K14, K$7:$K$36)</f>
        <v>2</v>
      </c>
      <c r="N14" s="387"/>
      <c r="O14" s="387"/>
      <c r="P14" s="175"/>
      <c r="Q14" s="175"/>
      <c r="R14" s="202"/>
      <c r="S14" s="105" t="e">
        <f t="shared" si="3"/>
        <v>#N/A</v>
      </c>
      <c r="T14" s="412"/>
      <c r="U14" s="175"/>
      <c r="V14" s="175"/>
      <c r="W14" s="202"/>
      <c r="X14" s="105" t="e">
        <f t="shared" si="4"/>
        <v>#N/A</v>
      </c>
      <c r="Y14" s="403"/>
      <c r="Z14" s="105"/>
      <c r="AA14" s="175"/>
      <c r="AB14" s="202"/>
      <c r="AC14" s="105" t="e">
        <f t="shared" si="5"/>
        <v>#N/A</v>
      </c>
      <c r="AD14" s="403"/>
      <c r="AE14" s="175">
        <v>3</v>
      </c>
      <c r="AF14" s="175">
        <v>2953.3333333333362</v>
      </c>
      <c r="AG14" s="175">
        <v>984.44444444444537</v>
      </c>
      <c r="AH14" s="105">
        <f t="shared" si="6"/>
        <v>2</v>
      </c>
      <c r="AI14" s="403"/>
      <c r="AJ14" s="175">
        <v>3</v>
      </c>
      <c r="AK14" s="175">
        <v>2686.4000000000042</v>
      </c>
      <c r="AL14" s="175">
        <v>895.46666666666806</v>
      </c>
      <c r="AM14" s="105">
        <f t="shared" si="7"/>
        <v>1</v>
      </c>
      <c r="AN14" s="403"/>
      <c r="AO14" s="175">
        <v>3</v>
      </c>
      <c r="AP14" s="175">
        <v>2786.6666666666765</v>
      </c>
      <c r="AQ14" s="175">
        <v>928.88888888889221</v>
      </c>
      <c r="AR14" s="105">
        <f t="shared" si="8"/>
        <v>2</v>
      </c>
      <c r="AS14" s="403"/>
      <c r="AT14" s="175">
        <v>3</v>
      </c>
      <c r="AU14" s="175">
        <v>2773.3333333333185</v>
      </c>
      <c r="AV14" s="175">
        <v>924.44444444443945</v>
      </c>
      <c r="AW14" s="105">
        <f t="shared" si="9"/>
        <v>2</v>
      </c>
      <c r="AX14" s="403"/>
    </row>
    <row r="15" spans="1:50">
      <c r="A15" s="79"/>
      <c r="B15" s="398"/>
      <c r="C15" s="105">
        <v>9</v>
      </c>
      <c r="D15" s="105" t="s">
        <v>216</v>
      </c>
      <c r="E15" s="175">
        <v>3</v>
      </c>
      <c r="F15" s="175">
        <v>3600</v>
      </c>
      <c r="G15" s="202">
        <v>1200</v>
      </c>
      <c r="H15" s="385"/>
      <c r="I15" s="175">
        <f t="shared" si="0"/>
        <v>4</v>
      </c>
      <c r="J15" s="175">
        <f t="shared" si="1"/>
        <v>2880.0220588235352</v>
      </c>
      <c r="K15" s="202">
        <f t="shared" si="2"/>
        <v>720.0055147058838</v>
      </c>
      <c r="L15" s="385"/>
      <c r="M15" s="203">
        <f>RANK(K15, K$7:$K$36)</f>
        <v>11</v>
      </c>
      <c r="N15" s="387"/>
      <c r="O15" s="387"/>
      <c r="P15" s="175"/>
      <c r="Q15" s="175"/>
      <c r="R15" s="202"/>
      <c r="S15" s="105" t="e">
        <f t="shared" si="3"/>
        <v>#N/A</v>
      </c>
      <c r="T15" s="412"/>
      <c r="U15" s="175"/>
      <c r="V15" s="175"/>
      <c r="W15" s="202"/>
      <c r="X15" s="105" t="e">
        <f t="shared" si="4"/>
        <v>#N/A</v>
      </c>
      <c r="Y15" s="403"/>
      <c r="Z15" s="105"/>
      <c r="AA15" s="175"/>
      <c r="AB15" s="202"/>
      <c r="AC15" s="105" t="e">
        <f t="shared" si="5"/>
        <v>#N/A</v>
      </c>
      <c r="AD15" s="403"/>
      <c r="AE15" s="175">
        <v>4</v>
      </c>
      <c r="AF15" s="175">
        <v>2980.5882352941212</v>
      </c>
      <c r="AG15" s="175">
        <v>745.1470588235303</v>
      </c>
      <c r="AH15" s="105">
        <f t="shared" si="6"/>
        <v>9</v>
      </c>
      <c r="AI15" s="403"/>
      <c r="AJ15" s="175">
        <v>4</v>
      </c>
      <c r="AK15" s="175">
        <v>2791.4999999999991</v>
      </c>
      <c r="AL15" s="175">
        <v>697.87499999999977</v>
      </c>
      <c r="AM15" s="105">
        <f t="shared" si="7"/>
        <v>10</v>
      </c>
      <c r="AN15" s="403"/>
      <c r="AO15" s="175">
        <v>4</v>
      </c>
      <c r="AP15" s="175">
        <v>2880.00000000001</v>
      </c>
      <c r="AQ15" s="175">
        <v>720.0000000000025</v>
      </c>
      <c r="AR15" s="105">
        <f t="shared" si="8"/>
        <v>10</v>
      </c>
      <c r="AS15" s="403"/>
      <c r="AT15" s="175">
        <v>4</v>
      </c>
      <c r="AU15" s="175">
        <v>2868.00000000001</v>
      </c>
      <c r="AV15" s="175">
        <v>717.0000000000025</v>
      </c>
      <c r="AW15" s="105">
        <f t="shared" si="9"/>
        <v>11</v>
      </c>
      <c r="AX15" s="403"/>
    </row>
    <row r="16" spans="1:50">
      <c r="A16" s="79"/>
      <c r="B16" s="398"/>
      <c r="C16" s="105">
        <v>10</v>
      </c>
      <c r="D16" s="105" t="s">
        <v>217</v>
      </c>
      <c r="E16" s="175">
        <v>4</v>
      </c>
      <c r="F16" s="175">
        <v>3600</v>
      </c>
      <c r="G16" s="202">
        <v>900</v>
      </c>
      <c r="H16" s="385"/>
      <c r="I16" s="175">
        <f t="shared" si="0"/>
        <v>4</v>
      </c>
      <c r="J16" s="175">
        <f t="shared" si="1"/>
        <v>2634.4999999999895</v>
      </c>
      <c r="K16" s="202">
        <f t="shared" si="2"/>
        <v>658.62499999999739</v>
      </c>
      <c r="L16" s="385"/>
      <c r="M16" s="203">
        <f>RANK(K16, K$7:$K$36)</f>
        <v>14</v>
      </c>
      <c r="N16" s="387"/>
      <c r="O16" s="387"/>
      <c r="P16" s="175"/>
      <c r="Q16" s="175"/>
      <c r="R16" s="202"/>
      <c r="S16" s="105" t="e">
        <f t="shared" si="3"/>
        <v>#N/A</v>
      </c>
      <c r="T16" s="412"/>
      <c r="U16" s="175"/>
      <c r="V16" s="175"/>
      <c r="W16" s="202"/>
      <c r="X16" s="105" t="e">
        <f t="shared" si="4"/>
        <v>#N/A</v>
      </c>
      <c r="Y16" s="403"/>
      <c r="Z16" s="105"/>
      <c r="AA16" s="175"/>
      <c r="AB16" s="202"/>
      <c r="AC16" s="105" t="e">
        <f t="shared" si="5"/>
        <v>#N/A</v>
      </c>
      <c r="AD16" s="403"/>
      <c r="AE16" s="175">
        <v>4</v>
      </c>
      <c r="AF16" s="175">
        <v>2940.00000000001</v>
      </c>
      <c r="AG16" s="175">
        <v>735.0000000000025</v>
      </c>
      <c r="AH16" s="105">
        <f t="shared" si="6"/>
        <v>11</v>
      </c>
      <c r="AI16" s="403"/>
      <c r="AJ16" s="175">
        <v>4</v>
      </c>
      <c r="AK16" s="175">
        <v>2218.0000000000023</v>
      </c>
      <c r="AL16" s="175">
        <v>554.50000000000057</v>
      </c>
      <c r="AM16" s="105">
        <f t="shared" si="7"/>
        <v>18</v>
      </c>
      <c r="AN16" s="403"/>
      <c r="AO16" s="175">
        <v>4</v>
      </c>
      <c r="AP16" s="175">
        <v>2779.9999999999359</v>
      </c>
      <c r="AQ16" s="175">
        <v>694.99999999998397</v>
      </c>
      <c r="AR16" s="105">
        <f t="shared" si="8"/>
        <v>12</v>
      </c>
      <c r="AS16" s="403"/>
      <c r="AT16" s="175">
        <v>4</v>
      </c>
      <c r="AU16" s="175">
        <v>2600.0000000000091</v>
      </c>
      <c r="AV16" s="175">
        <v>650.00000000000227</v>
      </c>
      <c r="AW16" s="105">
        <f t="shared" si="9"/>
        <v>13</v>
      </c>
      <c r="AX16" s="403"/>
    </row>
    <row r="17" spans="2:50">
      <c r="B17" s="398"/>
      <c r="C17" s="105">
        <v>11</v>
      </c>
      <c r="D17" s="105" t="s">
        <v>218</v>
      </c>
      <c r="E17" s="105">
        <v>4</v>
      </c>
      <c r="F17" s="175">
        <v>3300</v>
      </c>
      <c r="G17" s="202">
        <v>825</v>
      </c>
      <c r="H17" s="385"/>
      <c r="I17" s="175">
        <f t="shared" ref="I17:I29" si="10">AVERAGE(P17,U17,Z17,AE17,AJ17,AO17,AT17)</f>
        <v>4</v>
      </c>
      <c r="J17" s="175">
        <f t="shared" ref="J17:J29" si="11">AVERAGE(Q17,V17,AA17,AF17,AK17,AP17,AU17)</f>
        <v>2253.6271008403346</v>
      </c>
      <c r="K17" s="202">
        <f t="shared" ref="K17:K29" si="12">AVERAGE(R17,W17,AB17,AG17,AL17,AQ17,AV17)</f>
        <v>563.40677521008365</v>
      </c>
      <c r="L17" s="385"/>
      <c r="M17" s="203">
        <f>RANK(K17, K$7:$K$36)</f>
        <v>21</v>
      </c>
      <c r="N17" s="387"/>
      <c r="O17" s="387"/>
      <c r="P17" s="175"/>
      <c r="Q17" s="175"/>
      <c r="R17" s="202"/>
      <c r="S17" s="105" t="e">
        <f t="shared" si="3"/>
        <v>#N/A</v>
      </c>
      <c r="T17" s="412"/>
      <c r="U17" s="105"/>
      <c r="V17" s="105"/>
      <c r="W17" s="105"/>
      <c r="X17" s="105" t="e">
        <f t="shared" si="4"/>
        <v>#N/A</v>
      </c>
      <c r="Y17" s="403"/>
      <c r="Z17" s="105"/>
      <c r="AA17" s="105"/>
      <c r="AB17" s="105"/>
      <c r="AC17" s="105" t="e">
        <f t="shared" si="5"/>
        <v>#N/A</v>
      </c>
      <c r="AD17" s="403"/>
      <c r="AE17" s="175">
        <v>4</v>
      </c>
      <c r="AF17" s="175">
        <v>2425.7142857142876</v>
      </c>
      <c r="AG17" s="175">
        <v>606.4285714285719</v>
      </c>
      <c r="AH17" s="105">
        <f t="shared" si="6"/>
        <v>17</v>
      </c>
      <c r="AI17" s="403"/>
      <c r="AJ17" s="175">
        <v>4</v>
      </c>
      <c r="AK17" s="175">
        <v>1715.9999999999995</v>
      </c>
      <c r="AL17" s="175">
        <v>428.99999999999989</v>
      </c>
      <c r="AM17" s="105">
        <f t="shared" si="7"/>
        <v>23</v>
      </c>
      <c r="AN17" s="403"/>
      <c r="AO17" s="175">
        <v>4</v>
      </c>
      <c r="AP17" s="175">
        <v>2375.2941176470558</v>
      </c>
      <c r="AQ17" s="175">
        <v>593.82352941176396</v>
      </c>
      <c r="AR17" s="105">
        <f t="shared" si="8"/>
        <v>20</v>
      </c>
      <c r="AS17" s="403"/>
      <c r="AT17" s="175">
        <v>4</v>
      </c>
      <c r="AU17" s="175">
        <v>2497.4999999999964</v>
      </c>
      <c r="AV17" s="175">
        <v>624.37499999999909</v>
      </c>
      <c r="AW17" s="105">
        <f t="shared" si="9"/>
        <v>17</v>
      </c>
      <c r="AX17" s="403"/>
    </row>
    <row r="18" spans="2:50">
      <c r="B18" s="398"/>
      <c r="C18" s="105">
        <v>12</v>
      </c>
      <c r="D18" s="105" t="s">
        <v>219</v>
      </c>
      <c r="E18" s="105">
        <v>3</v>
      </c>
      <c r="F18" s="175">
        <v>3300</v>
      </c>
      <c r="G18" s="202">
        <v>1100</v>
      </c>
      <c r="H18" s="385"/>
      <c r="I18" s="175">
        <f t="shared" si="10"/>
        <v>3</v>
      </c>
      <c r="J18" s="175">
        <f t="shared" si="11"/>
        <v>2440.3205324357414</v>
      </c>
      <c r="K18" s="202">
        <f t="shared" si="12"/>
        <v>813.44017747858061</v>
      </c>
      <c r="L18" s="385"/>
      <c r="M18" s="203">
        <f>RANK(K18, K$7:$K$36)</f>
        <v>4</v>
      </c>
      <c r="N18" s="387"/>
      <c r="O18" s="387"/>
      <c r="P18" s="175"/>
      <c r="Q18" s="175"/>
      <c r="R18" s="202"/>
      <c r="S18" s="105" t="e">
        <f t="shared" si="3"/>
        <v>#N/A</v>
      </c>
      <c r="T18" s="412"/>
      <c r="U18" s="105"/>
      <c r="V18" s="105"/>
      <c r="W18" s="105"/>
      <c r="X18" s="105" t="e">
        <f t="shared" si="4"/>
        <v>#N/A</v>
      </c>
      <c r="Y18" s="403"/>
      <c r="Z18" s="105"/>
      <c r="AA18" s="105"/>
      <c r="AB18" s="105"/>
      <c r="AC18" s="105" t="e">
        <f t="shared" si="5"/>
        <v>#N/A</v>
      </c>
      <c r="AD18" s="403"/>
      <c r="AE18" s="175">
        <v>3</v>
      </c>
      <c r="AF18" s="175">
        <v>2480.5263157894774</v>
      </c>
      <c r="AG18" s="175">
        <v>826.84210526315917</v>
      </c>
      <c r="AH18" s="105">
        <f t="shared" si="6"/>
        <v>4</v>
      </c>
      <c r="AI18" s="403"/>
      <c r="AJ18" s="175">
        <v>3</v>
      </c>
      <c r="AK18" s="175">
        <v>2317.4999999999991</v>
      </c>
      <c r="AL18" s="175">
        <v>772.49999999999966</v>
      </c>
      <c r="AM18" s="105">
        <f t="shared" si="7"/>
        <v>5</v>
      </c>
      <c r="AN18" s="403"/>
      <c r="AO18" s="175">
        <v>3</v>
      </c>
      <c r="AP18" s="175">
        <v>2497.6744186046531</v>
      </c>
      <c r="AQ18" s="175">
        <v>832.55813953488439</v>
      </c>
      <c r="AR18" s="105">
        <f t="shared" si="8"/>
        <v>4</v>
      </c>
      <c r="AS18" s="403"/>
      <c r="AT18" s="175">
        <v>3</v>
      </c>
      <c r="AU18" s="175">
        <v>2465.5813953488368</v>
      </c>
      <c r="AV18" s="175">
        <v>821.86046511627899</v>
      </c>
      <c r="AW18" s="105">
        <f t="shared" si="9"/>
        <v>6</v>
      </c>
      <c r="AX18" s="403"/>
    </row>
    <row r="19" spans="2:50">
      <c r="B19" s="398"/>
      <c r="C19" s="105">
        <v>13</v>
      </c>
      <c r="D19" s="105" t="s">
        <v>220</v>
      </c>
      <c r="E19" s="105">
        <v>3</v>
      </c>
      <c r="F19" s="175">
        <v>3300</v>
      </c>
      <c r="G19" s="202">
        <v>1100</v>
      </c>
      <c r="H19" s="385"/>
      <c r="I19" s="175">
        <f t="shared" si="10"/>
        <v>3</v>
      </c>
      <c r="J19" s="175">
        <f t="shared" si="11"/>
        <v>2421.7378871128885</v>
      </c>
      <c r="K19" s="202">
        <f t="shared" si="12"/>
        <v>807.24596237096296</v>
      </c>
      <c r="L19" s="385"/>
      <c r="M19" s="203">
        <f>RANK(K19, K$7:$K$36)</f>
        <v>6</v>
      </c>
      <c r="N19" s="387"/>
      <c r="O19" s="387"/>
      <c r="P19" s="175"/>
      <c r="Q19" s="175"/>
      <c r="R19" s="202"/>
      <c r="S19" s="105" t="e">
        <f t="shared" si="3"/>
        <v>#N/A</v>
      </c>
      <c r="T19" s="412"/>
      <c r="U19" s="105"/>
      <c r="V19" s="105"/>
      <c r="W19" s="105"/>
      <c r="X19" s="105" t="e">
        <f t="shared" si="4"/>
        <v>#N/A</v>
      </c>
      <c r="Y19" s="403"/>
      <c r="Z19" s="105"/>
      <c r="AA19" s="105"/>
      <c r="AB19" s="105"/>
      <c r="AC19" s="105" t="e">
        <f t="shared" si="5"/>
        <v>#N/A</v>
      </c>
      <c r="AD19" s="403"/>
      <c r="AE19" s="175">
        <v>3</v>
      </c>
      <c r="AF19" s="175">
        <v>2449.2307692307727</v>
      </c>
      <c r="AG19" s="175">
        <v>816.4102564102576</v>
      </c>
      <c r="AH19" s="105">
        <f t="shared" si="6"/>
        <v>7</v>
      </c>
      <c r="AI19" s="403"/>
      <c r="AJ19" s="175">
        <v>3</v>
      </c>
      <c r="AK19" s="175">
        <v>2308.4999999999991</v>
      </c>
      <c r="AL19" s="175">
        <v>769.49999999999966</v>
      </c>
      <c r="AM19" s="105">
        <f t="shared" si="7"/>
        <v>6</v>
      </c>
      <c r="AN19" s="403"/>
      <c r="AO19" s="175">
        <v>3</v>
      </c>
      <c r="AP19" s="175">
        <v>2446.3636363636388</v>
      </c>
      <c r="AQ19" s="175">
        <v>815.45454545454629</v>
      </c>
      <c r="AR19" s="105">
        <f t="shared" si="8"/>
        <v>6</v>
      </c>
      <c r="AS19" s="403"/>
      <c r="AT19" s="175">
        <v>3</v>
      </c>
      <c r="AU19" s="175">
        <v>2482.8571428571445</v>
      </c>
      <c r="AV19" s="175">
        <v>827.61904761904816</v>
      </c>
      <c r="AW19" s="105">
        <f t="shared" si="9"/>
        <v>5</v>
      </c>
      <c r="AX19" s="403"/>
    </row>
    <row r="20" spans="2:50">
      <c r="B20" s="398"/>
      <c r="C20" s="105">
        <v>14</v>
      </c>
      <c r="D20" s="105" t="s">
        <v>221</v>
      </c>
      <c r="E20" s="105">
        <v>4</v>
      </c>
      <c r="F20" s="175">
        <v>3300</v>
      </c>
      <c r="G20" s="202">
        <v>825</v>
      </c>
      <c r="H20" s="385"/>
      <c r="I20" s="175">
        <f t="shared" si="10"/>
        <v>3</v>
      </c>
      <c r="J20" s="175">
        <f t="shared" si="11"/>
        <v>2274.0000000000018</v>
      </c>
      <c r="K20" s="202">
        <f t="shared" si="12"/>
        <v>758.00000000000068</v>
      </c>
      <c r="L20" s="385"/>
      <c r="M20" s="203">
        <f>RANK(K20, K$7:$K$36)</f>
        <v>8</v>
      </c>
      <c r="N20" s="387"/>
      <c r="O20" s="387"/>
      <c r="P20" s="175"/>
      <c r="Q20" s="175"/>
      <c r="R20" s="202"/>
      <c r="S20" s="105" t="e">
        <f t="shared" si="3"/>
        <v>#N/A</v>
      </c>
      <c r="T20" s="412"/>
      <c r="U20" s="105"/>
      <c r="V20" s="105"/>
      <c r="W20" s="105"/>
      <c r="X20" s="105" t="e">
        <f t="shared" si="4"/>
        <v>#N/A</v>
      </c>
      <c r="Y20" s="403"/>
      <c r="Z20" s="105"/>
      <c r="AA20" s="105"/>
      <c r="AB20" s="105"/>
      <c r="AC20" s="105" t="e">
        <f t="shared" si="5"/>
        <v>#N/A</v>
      </c>
      <c r="AD20" s="403"/>
      <c r="AE20" s="175">
        <v>3</v>
      </c>
      <c r="AF20" s="175">
        <v>2251.9999999999959</v>
      </c>
      <c r="AG20" s="175">
        <v>750.66666666666526</v>
      </c>
      <c r="AH20" s="105">
        <f t="shared" si="6"/>
        <v>8</v>
      </c>
      <c r="AI20" s="403"/>
      <c r="AJ20" s="175">
        <v>3</v>
      </c>
      <c r="AK20" s="175">
        <v>2296.0000000000082</v>
      </c>
      <c r="AL20" s="175">
        <v>765.3333333333361</v>
      </c>
      <c r="AM20" s="105">
        <f t="shared" si="7"/>
        <v>7</v>
      </c>
      <c r="AN20" s="403"/>
      <c r="AO20" s="175"/>
      <c r="AP20" s="175"/>
      <c r="AQ20" s="175"/>
      <c r="AR20" s="105" t="e">
        <f t="shared" si="8"/>
        <v>#N/A</v>
      </c>
      <c r="AS20" s="403"/>
      <c r="AT20" s="175"/>
      <c r="AU20" s="175"/>
      <c r="AV20" s="175"/>
      <c r="AW20" s="105" t="e">
        <f t="shared" si="9"/>
        <v>#N/A</v>
      </c>
      <c r="AX20" s="403"/>
    </row>
    <row r="21" spans="2:50">
      <c r="B21" s="398"/>
      <c r="C21" s="105">
        <v>15</v>
      </c>
      <c r="D21" s="105" t="s">
        <v>222</v>
      </c>
      <c r="E21" s="105">
        <v>4</v>
      </c>
      <c r="F21" s="175">
        <v>3300</v>
      </c>
      <c r="G21" s="202">
        <v>825</v>
      </c>
      <c r="H21" s="385"/>
      <c r="I21" s="175">
        <f t="shared" si="10"/>
        <v>4</v>
      </c>
      <c r="J21" s="175">
        <f t="shared" si="11"/>
        <v>2285.1519849319043</v>
      </c>
      <c r="K21" s="202">
        <f t="shared" si="12"/>
        <v>571.28799623297607</v>
      </c>
      <c r="L21" s="385"/>
      <c r="M21" s="175">
        <f>RANK(K21, K$7:$K$36)</f>
        <v>20</v>
      </c>
      <c r="N21" s="387"/>
      <c r="O21" s="387"/>
      <c r="P21" s="175"/>
      <c r="Q21" s="175"/>
      <c r="R21" s="202"/>
      <c r="S21" s="105" t="e">
        <f t="shared" ref="S21:S35" si="13">RANK(R21, R$7:R$36)</f>
        <v>#N/A</v>
      </c>
      <c r="T21" s="412"/>
      <c r="U21" s="105"/>
      <c r="V21" s="105"/>
      <c r="W21" s="105"/>
      <c r="X21" s="105" t="e">
        <f t="shared" ref="X21:X35" si="14">RANK(W21, W$7:W$36)</f>
        <v>#N/A</v>
      </c>
      <c r="Y21" s="403"/>
      <c r="Z21" s="105"/>
      <c r="AA21" s="105"/>
      <c r="AB21" s="105"/>
      <c r="AC21" s="105" t="e">
        <f t="shared" ref="AC21:AC35" si="15">RANK(AB21, AB$7:AB$36)</f>
        <v>#N/A</v>
      </c>
      <c r="AD21" s="403"/>
      <c r="AE21" s="175">
        <v>4</v>
      </c>
      <c r="AF21" s="175">
        <v>2443.4482758620707</v>
      </c>
      <c r="AG21" s="175">
        <v>610.86206896551766</v>
      </c>
      <c r="AH21" s="105">
        <f t="shared" ref="AH21:AH35" si="16">RANK(AG21, AG$7:AG$36)</f>
        <v>16</v>
      </c>
      <c r="AI21" s="403"/>
      <c r="AJ21" s="175">
        <v>4</v>
      </c>
      <c r="AK21" s="175">
        <v>1739.9999999999993</v>
      </c>
      <c r="AL21" s="175">
        <v>434.99999999999983</v>
      </c>
      <c r="AM21" s="105">
        <f t="shared" ref="AM21:AM35" si="17">RANK(AL21, AL$7:AL$36)</f>
        <v>22</v>
      </c>
      <c r="AN21" s="403"/>
      <c r="AO21" s="175">
        <v>4</v>
      </c>
      <c r="AP21" s="175">
        <v>2456.5714285714262</v>
      </c>
      <c r="AQ21" s="175">
        <v>614.14285714285654</v>
      </c>
      <c r="AR21" s="105">
        <f t="shared" ref="AR21:AR35" si="18">RANK(AQ21, AQ$7:AQ$36)</f>
        <v>16</v>
      </c>
      <c r="AS21" s="403"/>
      <c r="AT21" s="175">
        <v>4</v>
      </c>
      <c r="AU21" s="175">
        <v>2500.5882352941208</v>
      </c>
      <c r="AV21" s="175">
        <v>625.14705882353019</v>
      </c>
      <c r="AW21" s="105">
        <f t="shared" ref="AW21:AW35" si="19">RANK(AV21, AV$7:AV$36)</f>
        <v>16</v>
      </c>
      <c r="AX21" s="403"/>
    </row>
    <row r="22" spans="2:50">
      <c r="B22" s="398"/>
      <c r="C22" s="105">
        <v>16</v>
      </c>
      <c r="D22" s="105" t="s">
        <v>223</v>
      </c>
      <c r="E22" s="105">
        <v>3</v>
      </c>
      <c r="F22" s="175">
        <v>3300</v>
      </c>
      <c r="G22" s="202">
        <v>1100</v>
      </c>
      <c r="H22" s="385"/>
      <c r="I22" s="175">
        <f t="shared" si="10"/>
        <v>3</v>
      </c>
      <c r="J22" s="175">
        <f t="shared" si="11"/>
        <v>2341.4948717948723</v>
      </c>
      <c r="K22" s="202">
        <f t="shared" si="12"/>
        <v>780.49829059829074</v>
      </c>
      <c r="L22" s="385"/>
      <c r="M22" s="175">
        <f>RANK(K22, K$7:$K$36)</f>
        <v>7</v>
      </c>
      <c r="N22" s="387"/>
      <c r="O22" s="387"/>
      <c r="P22" s="175"/>
      <c r="Q22" s="175"/>
      <c r="R22" s="202"/>
      <c r="S22" s="105" t="e">
        <f t="shared" si="13"/>
        <v>#N/A</v>
      </c>
      <c r="T22" s="412"/>
      <c r="U22" s="105"/>
      <c r="V22" s="105"/>
      <c r="W22" s="105"/>
      <c r="X22" s="105" t="e">
        <f t="shared" si="14"/>
        <v>#N/A</v>
      </c>
      <c r="Y22" s="403"/>
      <c r="Z22" s="105"/>
      <c r="AA22" s="105"/>
      <c r="AB22" s="105"/>
      <c r="AC22" s="105" t="e">
        <f t="shared" si="15"/>
        <v>#N/A</v>
      </c>
      <c r="AD22" s="403"/>
      <c r="AE22" s="175">
        <v>3</v>
      </c>
      <c r="AF22" s="175">
        <v>2477.9999999999991</v>
      </c>
      <c r="AG22" s="175">
        <v>825.99999999999966</v>
      </c>
      <c r="AH22" s="105">
        <f t="shared" si="16"/>
        <v>5</v>
      </c>
      <c r="AI22" s="403"/>
      <c r="AJ22" s="175">
        <v>3</v>
      </c>
      <c r="AK22" s="175">
        <v>2020.8000000000004</v>
      </c>
      <c r="AL22" s="175">
        <v>673.60000000000014</v>
      </c>
      <c r="AM22" s="105">
        <f t="shared" si="17"/>
        <v>12</v>
      </c>
      <c r="AN22" s="403"/>
      <c r="AO22" s="175">
        <v>3</v>
      </c>
      <c r="AP22" s="175">
        <v>2453.3333333333421</v>
      </c>
      <c r="AQ22" s="175">
        <v>817.77777777778067</v>
      </c>
      <c r="AR22" s="105">
        <f t="shared" si="18"/>
        <v>5</v>
      </c>
      <c r="AS22" s="403"/>
      <c r="AT22" s="175">
        <v>3</v>
      </c>
      <c r="AU22" s="175">
        <v>2413.8461538461474</v>
      </c>
      <c r="AV22" s="175">
        <v>804.61538461538248</v>
      </c>
      <c r="AW22" s="105">
        <f t="shared" si="19"/>
        <v>7</v>
      </c>
      <c r="AX22" s="403"/>
    </row>
    <row r="23" spans="2:50">
      <c r="B23" s="398"/>
      <c r="C23" s="105">
        <v>17</v>
      </c>
      <c r="D23" s="105" t="s">
        <v>224</v>
      </c>
      <c r="E23" s="105">
        <v>4</v>
      </c>
      <c r="F23" s="175">
        <v>3300</v>
      </c>
      <c r="G23" s="202">
        <v>825</v>
      </c>
      <c r="H23" s="385"/>
      <c r="I23" s="175">
        <f t="shared" si="10"/>
        <v>4</v>
      </c>
      <c r="J23" s="175">
        <f t="shared" si="11"/>
        <v>2381.3684210526308</v>
      </c>
      <c r="K23" s="202">
        <f t="shared" si="12"/>
        <v>595.34210526315769</v>
      </c>
      <c r="L23" s="385"/>
      <c r="M23" s="175">
        <f>RANK(K23, K$7:$K$36)</f>
        <v>18</v>
      </c>
      <c r="N23" s="387"/>
      <c r="O23" s="387"/>
      <c r="P23" s="175"/>
      <c r="Q23" s="175"/>
      <c r="R23" s="202"/>
      <c r="S23" s="105" t="e">
        <f t="shared" si="13"/>
        <v>#N/A</v>
      </c>
      <c r="T23" s="412"/>
      <c r="U23" s="105"/>
      <c r="V23" s="105"/>
      <c r="W23" s="105"/>
      <c r="X23" s="105" t="e">
        <f t="shared" si="14"/>
        <v>#N/A</v>
      </c>
      <c r="Y23" s="403"/>
      <c r="Z23" s="105"/>
      <c r="AA23" s="105"/>
      <c r="AB23" s="105"/>
      <c r="AC23" s="105" t="e">
        <f t="shared" si="15"/>
        <v>#N/A</v>
      </c>
      <c r="AD23" s="403"/>
      <c r="AE23" s="175">
        <v>4</v>
      </c>
      <c r="AF23" s="175">
        <v>2369.4736842105249</v>
      </c>
      <c r="AG23" s="175">
        <v>592.36842105263122</v>
      </c>
      <c r="AH23" s="105">
        <f t="shared" si="16"/>
        <v>21</v>
      </c>
      <c r="AI23" s="403"/>
      <c r="AJ23" s="175">
        <v>4</v>
      </c>
      <c r="AK23" s="175">
        <v>2386.9090909090892</v>
      </c>
      <c r="AL23" s="175">
        <v>596.72727272727229</v>
      </c>
      <c r="AM23" s="105">
        <f t="shared" si="17"/>
        <v>16</v>
      </c>
      <c r="AN23" s="403"/>
      <c r="AO23" s="175">
        <v>4</v>
      </c>
      <c r="AP23" s="175">
        <v>2383.6363636363635</v>
      </c>
      <c r="AQ23" s="175">
        <v>595.90909090909088</v>
      </c>
      <c r="AR23" s="105">
        <f t="shared" si="18"/>
        <v>19</v>
      </c>
      <c r="AS23" s="403"/>
      <c r="AT23" s="175">
        <v>4</v>
      </c>
      <c r="AU23" s="175">
        <v>2385.4545454545455</v>
      </c>
      <c r="AV23" s="175">
        <v>596.36363636363637</v>
      </c>
      <c r="AW23" s="105">
        <f t="shared" si="19"/>
        <v>19</v>
      </c>
      <c r="AX23" s="403"/>
    </row>
    <row r="24" spans="2:50">
      <c r="B24" s="398"/>
      <c r="C24" s="105">
        <v>18</v>
      </c>
      <c r="D24" s="105" t="s">
        <v>225</v>
      </c>
      <c r="E24" s="105">
        <v>4</v>
      </c>
      <c r="F24" s="175">
        <v>3300</v>
      </c>
      <c r="G24" s="202">
        <v>825</v>
      </c>
      <c r="H24" s="385"/>
      <c r="I24" s="175">
        <f t="shared" si="10"/>
        <v>4</v>
      </c>
      <c r="J24" s="175">
        <f t="shared" si="11"/>
        <v>2414.0789473684204</v>
      </c>
      <c r="K24" s="202">
        <f t="shared" si="12"/>
        <v>603.51973684210509</v>
      </c>
      <c r="L24" s="385"/>
      <c r="M24" s="175">
        <f>RANK(K24, K$7:$K$36)</f>
        <v>17</v>
      </c>
      <c r="N24" s="387"/>
      <c r="O24" s="387"/>
      <c r="P24" s="175"/>
      <c r="Q24" s="175"/>
      <c r="R24" s="202"/>
      <c r="S24" s="105" t="e">
        <f t="shared" si="13"/>
        <v>#N/A</v>
      </c>
      <c r="T24" s="412"/>
      <c r="U24" s="105"/>
      <c r="V24" s="105"/>
      <c r="W24" s="105"/>
      <c r="X24" s="105" t="e">
        <f t="shared" si="14"/>
        <v>#N/A</v>
      </c>
      <c r="Y24" s="403"/>
      <c r="Z24" s="105"/>
      <c r="AA24" s="105"/>
      <c r="AB24" s="105"/>
      <c r="AC24" s="105" t="e">
        <f t="shared" si="15"/>
        <v>#N/A</v>
      </c>
      <c r="AD24" s="403"/>
      <c r="AE24" s="175">
        <v>4</v>
      </c>
      <c r="AF24" s="175">
        <v>2399.9999999999995</v>
      </c>
      <c r="AG24" s="175">
        <v>599.99999999999989</v>
      </c>
      <c r="AH24" s="105">
        <f t="shared" si="16"/>
        <v>19</v>
      </c>
      <c r="AI24" s="403"/>
      <c r="AJ24" s="175">
        <v>4</v>
      </c>
      <c r="AK24" s="175">
        <v>2479.9999999999991</v>
      </c>
      <c r="AL24" s="175">
        <v>619.99999999999977</v>
      </c>
      <c r="AM24" s="105">
        <f t="shared" si="17"/>
        <v>15</v>
      </c>
      <c r="AN24" s="403"/>
      <c r="AO24" s="175">
        <v>4</v>
      </c>
      <c r="AP24" s="175">
        <v>2396.0526315789466</v>
      </c>
      <c r="AQ24" s="175">
        <v>599.01315789473665</v>
      </c>
      <c r="AR24" s="105">
        <f t="shared" si="18"/>
        <v>18</v>
      </c>
      <c r="AS24" s="403"/>
      <c r="AT24" s="175">
        <v>4</v>
      </c>
      <c r="AU24" s="175">
        <v>2380.2631578947362</v>
      </c>
      <c r="AV24" s="175">
        <v>595.06578947368405</v>
      </c>
      <c r="AW24" s="105">
        <f t="shared" si="19"/>
        <v>20</v>
      </c>
      <c r="AX24" s="403"/>
    </row>
    <row r="25" spans="2:50">
      <c r="B25" s="398"/>
      <c r="C25" s="105">
        <v>19</v>
      </c>
      <c r="D25" s="105" t="s">
        <v>226</v>
      </c>
      <c r="E25" s="105">
        <v>4</v>
      </c>
      <c r="F25" s="175">
        <v>3600</v>
      </c>
      <c r="G25" s="202">
        <v>900</v>
      </c>
      <c r="H25" s="385"/>
      <c r="I25" s="175">
        <f t="shared" si="10"/>
        <v>4</v>
      </c>
      <c r="J25" s="175">
        <f t="shared" si="11"/>
        <v>2554.0000000000091</v>
      </c>
      <c r="K25" s="202">
        <f t="shared" si="12"/>
        <v>638.50000000000227</v>
      </c>
      <c r="L25" s="385"/>
      <c r="M25" s="175">
        <f>RANK(K25, K$7:$K$36)</f>
        <v>16</v>
      </c>
      <c r="N25" s="387"/>
      <c r="O25" s="387"/>
      <c r="P25" s="175"/>
      <c r="Q25" s="175"/>
      <c r="R25" s="202"/>
      <c r="S25" s="105" t="e">
        <f t="shared" si="13"/>
        <v>#N/A</v>
      </c>
      <c r="T25" s="412"/>
      <c r="U25" s="105"/>
      <c r="V25" s="105"/>
      <c r="W25" s="105"/>
      <c r="X25" s="105" t="e">
        <f t="shared" si="14"/>
        <v>#N/A</v>
      </c>
      <c r="Y25" s="403"/>
      <c r="Z25" s="105"/>
      <c r="AA25" s="105"/>
      <c r="AB25" s="105"/>
      <c r="AC25" s="105" t="e">
        <f t="shared" si="15"/>
        <v>#N/A</v>
      </c>
      <c r="AD25" s="403"/>
      <c r="AE25" s="175">
        <v>4</v>
      </c>
      <c r="AF25" s="175">
        <v>2410.0000000000082</v>
      </c>
      <c r="AG25" s="175">
        <v>602.50000000000205</v>
      </c>
      <c r="AH25" s="105">
        <f t="shared" si="16"/>
        <v>18</v>
      </c>
      <c r="AI25" s="403"/>
      <c r="AJ25" s="175">
        <v>4</v>
      </c>
      <c r="AK25" s="175">
        <v>2614.0000000000091</v>
      </c>
      <c r="AL25" s="175">
        <v>653.50000000000227</v>
      </c>
      <c r="AM25" s="105">
        <f t="shared" si="17"/>
        <v>14</v>
      </c>
      <c r="AN25" s="403"/>
      <c r="AO25" s="175">
        <v>4</v>
      </c>
      <c r="AP25" s="175">
        <v>2636.0000000000091</v>
      </c>
      <c r="AQ25" s="175">
        <v>659.00000000000227</v>
      </c>
      <c r="AR25" s="105">
        <f t="shared" si="18"/>
        <v>15</v>
      </c>
      <c r="AS25" s="403"/>
      <c r="AT25" s="175">
        <v>4</v>
      </c>
      <c r="AU25" s="175">
        <v>2556.0000000000091</v>
      </c>
      <c r="AV25" s="175">
        <v>639.00000000000227</v>
      </c>
      <c r="AW25" s="105">
        <f t="shared" si="19"/>
        <v>15</v>
      </c>
      <c r="AX25" s="403"/>
    </row>
    <row r="26" spans="2:50">
      <c r="B26" s="398"/>
      <c r="C26" s="105">
        <v>20</v>
      </c>
      <c r="D26" s="105" t="s">
        <v>227</v>
      </c>
      <c r="E26" s="105">
        <v>4</v>
      </c>
      <c r="F26" s="175">
        <v>3000</v>
      </c>
      <c r="G26" s="202">
        <v>750</v>
      </c>
      <c r="H26" s="385"/>
      <c r="I26" s="175">
        <f t="shared" si="10"/>
        <v>3</v>
      </c>
      <c r="J26" s="175">
        <f t="shared" si="11"/>
        <v>2178.8571428571504</v>
      </c>
      <c r="K26" s="202">
        <f t="shared" si="12"/>
        <v>726.28571428571684</v>
      </c>
      <c r="L26" s="385"/>
      <c r="M26" s="175">
        <f>RANK(K26, K$7:$K$36)</f>
        <v>9</v>
      </c>
      <c r="N26" s="387"/>
      <c r="O26" s="387"/>
      <c r="P26" s="175"/>
      <c r="Q26" s="175"/>
      <c r="R26" s="202"/>
      <c r="S26" s="105" t="e">
        <f t="shared" si="13"/>
        <v>#N/A</v>
      </c>
      <c r="T26" s="412"/>
      <c r="U26" s="105"/>
      <c r="V26" s="105"/>
      <c r="W26" s="105"/>
      <c r="X26" s="105" t="e">
        <f t="shared" si="14"/>
        <v>#N/A</v>
      </c>
      <c r="Y26" s="403"/>
      <c r="Z26" s="105"/>
      <c r="AA26" s="105"/>
      <c r="AB26" s="105"/>
      <c r="AC26" s="105" t="e">
        <f t="shared" si="15"/>
        <v>#N/A</v>
      </c>
      <c r="AD26" s="403"/>
      <c r="AE26" s="175">
        <v>3</v>
      </c>
      <c r="AF26" s="175">
        <v>2045.1428571428646</v>
      </c>
      <c r="AG26" s="175">
        <v>681.71428571428817</v>
      </c>
      <c r="AH26" s="105">
        <f t="shared" si="16"/>
        <v>15</v>
      </c>
      <c r="AI26" s="403"/>
      <c r="AJ26" s="175">
        <v>3</v>
      </c>
      <c r="AK26" s="175">
        <v>2235.4285714285797</v>
      </c>
      <c r="AL26" s="175">
        <v>745.14285714285995</v>
      </c>
      <c r="AM26" s="105">
        <f t="shared" si="17"/>
        <v>8</v>
      </c>
      <c r="AN26" s="403"/>
      <c r="AO26" s="175">
        <v>3</v>
      </c>
      <c r="AP26" s="175">
        <v>2252.5714285714366</v>
      </c>
      <c r="AQ26" s="175">
        <v>750.8571428571455</v>
      </c>
      <c r="AR26" s="105">
        <f t="shared" si="18"/>
        <v>7</v>
      </c>
      <c r="AS26" s="403"/>
      <c r="AT26" s="175">
        <v>3</v>
      </c>
      <c r="AU26" s="175">
        <v>2182.285714285722</v>
      </c>
      <c r="AV26" s="175">
        <v>727.42857142857395</v>
      </c>
      <c r="AW26" s="105">
        <f t="shared" si="19"/>
        <v>9</v>
      </c>
      <c r="AX26" s="403"/>
    </row>
    <row r="27" spans="2:50">
      <c r="B27" s="398"/>
      <c r="C27" s="105">
        <v>21</v>
      </c>
      <c r="D27" s="105" t="s">
        <v>228</v>
      </c>
      <c r="E27" s="105">
        <v>4</v>
      </c>
      <c r="F27" s="175">
        <v>3000</v>
      </c>
      <c r="G27" s="202">
        <v>750</v>
      </c>
      <c r="H27" s="385"/>
      <c r="I27" s="175">
        <f t="shared" si="10"/>
        <v>4</v>
      </c>
      <c r="J27" s="175">
        <f t="shared" si="11"/>
        <v>2148.3999999999992</v>
      </c>
      <c r="K27" s="202">
        <f t="shared" si="12"/>
        <v>537.0999999999998</v>
      </c>
      <c r="L27" s="385"/>
      <c r="M27" s="175">
        <f>RANK(K27, K$7:$K$36)</f>
        <v>22</v>
      </c>
      <c r="N27" s="387"/>
      <c r="O27" s="387"/>
      <c r="P27" s="175"/>
      <c r="Q27" s="175"/>
      <c r="R27" s="202"/>
      <c r="S27" s="105" t="e">
        <f t="shared" si="13"/>
        <v>#N/A</v>
      </c>
      <c r="T27" s="412"/>
      <c r="U27" s="105"/>
      <c r="V27" s="105"/>
      <c r="W27" s="105"/>
      <c r="X27" s="105" t="e">
        <f t="shared" si="14"/>
        <v>#N/A</v>
      </c>
      <c r="Y27" s="403"/>
      <c r="Z27" s="105"/>
      <c r="AA27" s="105"/>
      <c r="AB27" s="105"/>
      <c r="AC27" s="105" t="e">
        <f t="shared" si="15"/>
        <v>#N/A</v>
      </c>
      <c r="AD27" s="403"/>
      <c r="AE27" s="175">
        <v>4</v>
      </c>
      <c r="AF27" s="175">
        <v>2301.6000000000081</v>
      </c>
      <c r="AG27" s="175">
        <v>575.40000000000202</v>
      </c>
      <c r="AH27" s="105">
        <f t="shared" si="16"/>
        <v>22</v>
      </c>
      <c r="AI27" s="403"/>
      <c r="AJ27" s="175">
        <v>4</v>
      </c>
      <c r="AK27" s="175">
        <v>2049.9999999999964</v>
      </c>
      <c r="AL27" s="175">
        <v>512.49999999999909</v>
      </c>
      <c r="AM27" s="105">
        <f t="shared" si="17"/>
        <v>20</v>
      </c>
      <c r="AN27" s="403"/>
      <c r="AO27" s="175">
        <v>4</v>
      </c>
      <c r="AP27" s="175">
        <v>2149.9999999999964</v>
      </c>
      <c r="AQ27" s="175">
        <v>537.49999999999909</v>
      </c>
      <c r="AR27" s="105">
        <f t="shared" si="18"/>
        <v>21</v>
      </c>
      <c r="AS27" s="403"/>
      <c r="AT27" s="175">
        <v>4</v>
      </c>
      <c r="AU27" s="175">
        <v>2091.9999999999964</v>
      </c>
      <c r="AV27" s="175">
        <v>522.99999999999909</v>
      </c>
      <c r="AW27" s="105">
        <f t="shared" si="19"/>
        <v>21</v>
      </c>
      <c r="AX27" s="403"/>
    </row>
    <row r="28" spans="2:50">
      <c r="B28" s="398"/>
      <c r="C28" s="105">
        <v>22</v>
      </c>
      <c r="D28" s="105" t="s">
        <v>229</v>
      </c>
      <c r="E28" s="105">
        <v>4</v>
      </c>
      <c r="F28" s="175">
        <v>3000</v>
      </c>
      <c r="G28" s="202">
        <v>750</v>
      </c>
      <c r="H28" s="385"/>
      <c r="I28" s="175">
        <f t="shared" si="10"/>
        <v>3</v>
      </c>
      <c r="J28" s="175">
        <f t="shared" si="11"/>
        <v>2429.5000000000023</v>
      </c>
      <c r="K28" s="202">
        <f t="shared" si="12"/>
        <v>809.83333333333405</v>
      </c>
      <c r="L28" s="385"/>
      <c r="M28" s="175">
        <f>RANK(K28, K$7:$K$36)</f>
        <v>5</v>
      </c>
      <c r="N28" s="387"/>
      <c r="O28" s="387"/>
      <c r="P28" s="175"/>
      <c r="Q28" s="175"/>
      <c r="R28" s="202"/>
      <c r="S28" s="105" t="e">
        <f t="shared" si="13"/>
        <v>#N/A</v>
      </c>
      <c r="T28" s="412"/>
      <c r="U28" s="105"/>
      <c r="V28" s="105"/>
      <c r="W28" s="105"/>
      <c r="X28" s="105" t="e">
        <f t="shared" si="14"/>
        <v>#N/A</v>
      </c>
      <c r="Y28" s="403"/>
      <c r="Z28" s="105"/>
      <c r="AA28" s="105"/>
      <c r="AB28" s="105"/>
      <c r="AC28" s="105" t="e">
        <f t="shared" si="15"/>
        <v>#N/A</v>
      </c>
      <c r="AD28" s="403"/>
      <c r="AE28" s="175">
        <v>3</v>
      </c>
      <c r="AF28" s="175">
        <v>2467.9999999999827</v>
      </c>
      <c r="AG28" s="175">
        <v>822.66666666666094</v>
      </c>
      <c r="AH28" s="105">
        <f t="shared" si="16"/>
        <v>6</v>
      </c>
      <c r="AI28" s="403"/>
      <c r="AJ28" s="175">
        <v>3</v>
      </c>
      <c r="AK28" s="175">
        <v>2568.0000000000091</v>
      </c>
      <c r="AL28" s="175">
        <v>856.00000000000307</v>
      </c>
      <c r="AM28" s="105">
        <f t="shared" si="17"/>
        <v>3</v>
      </c>
      <c r="AN28" s="403"/>
      <c r="AO28" s="175">
        <v>3</v>
      </c>
      <c r="AP28" s="175">
        <v>2022.000000000007</v>
      </c>
      <c r="AQ28" s="175">
        <v>674.00000000000239</v>
      </c>
      <c r="AR28" s="105">
        <f t="shared" si="18"/>
        <v>14</v>
      </c>
      <c r="AS28" s="403"/>
      <c r="AT28" s="175">
        <v>3</v>
      </c>
      <c r="AU28" s="175">
        <v>2660.0000000000095</v>
      </c>
      <c r="AV28" s="175">
        <v>886.66666666666981</v>
      </c>
      <c r="AW28" s="105">
        <f t="shared" si="19"/>
        <v>4</v>
      </c>
      <c r="AX28" s="403"/>
    </row>
    <row r="29" spans="2:50">
      <c r="B29" s="398"/>
      <c r="C29" s="105">
        <v>23</v>
      </c>
      <c r="D29" s="105" t="s">
        <v>230</v>
      </c>
      <c r="E29" s="105">
        <v>4</v>
      </c>
      <c r="F29" s="175">
        <v>3600</v>
      </c>
      <c r="G29" s="202">
        <v>900</v>
      </c>
      <c r="H29" s="385"/>
      <c r="I29" s="175">
        <f t="shared" si="10"/>
        <v>4</v>
      </c>
      <c r="J29" s="175">
        <f t="shared" si="11"/>
        <v>2371.6250000000023</v>
      </c>
      <c r="K29" s="202">
        <f t="shared" si="12"/>
        <v>592.90625000000057</v>
      </c>
      <c r="L29" s="385"/>
      <c r="M29" s="175">
        <f>RANK(K29, K$7:$K$36)</f>
        <v>19</v>
      </c>
      <c r="N29" s="387"/>
      <c r="O29" s="387"/>
      <c r="P29" s="175"/>
      <c r="Q29" s="175"/>
      <c r="R29" s="202"/>
      <c r="S29" s="105" t="e">
        <f t="shared" si="13"/>
        <v>#N/A</v>
      </c>
      <c r="T29" s="412"/>
      <c r="U29" s="105"/>
      <c r="V29" s="105"/>
      <c r="W29" s="105"/>
      <c r="X29" s="105" t="e">
        <f t="shared" si="14"/>
        <v>#N/A</v>
      </c>
      <c r="Y29" s="403"/>
      <c r="Z29" s="105"/>
      <c r="AA29" s="105"/>
      <c r="AB29" s="105"/>
      <c r="AC29" s="105" t="e">
        <f t="shared" si="15"/>
        <v>#N/A</v>
      </c>
      <c r="AD29" s="403"/>
      <c r="AE29" s="175">
        <v>4</v>
      </c>
      <c r="AF29" s="175">
        <v>2398.5000000000086</v>
      </c>
      <c r="AG29" s="175">
        <v>599.62500000000216</v>
      </c>
      <c r="AH29" s="105">
        <f t="shared" si="16"/>
        <v>20</v>
      </c>
      <c r="AI29" s="403"/>
      <c r="AJ29" s="175">
        <v>4</v>
      </c>
      <c r="AK29" s="175">
        <v>2256</v>
      </c>
      <c r="AL29" s="175">
        <v>564</v>
      </c>
      <c r="AM29" s="105">
        <f t="shared" si="17"/>
        <v>17</v>
      </c>
      <c r="AN29" s="403"/>
      <c r="AO29" s="175">
        <v>4</v>
      </c>
      <c r="AP29" s="175">
        <v>2418.6666666666665</v>
      </c>
      <c r="AQ29" s="175">
        <v>604.66666666666663</v>
      </c>
      <c r="AR29" s="105">
        <f t="shared" si="18"/>
        <v>17</v>
      </c>
      <c r="AS29" s="403"/>
      <c r="AT29" s="175">
        <v>4</v>
      </c>
      <c r="AU29" s="175">
        <v>2413.3333333333335</v>
      </c>
      <c r="AV29" s="175">
        <v>603.33333333333337</v>
      </c>
      <c r="AW29" s="105">
        <f t="shared" si="19"/>
        <v>18</v>
      </c>
      <c r="AX29" s="403"/>
    </row>
    <row r="30" spans="2:50">
      <c r="B30" s="398"/>
      <c r="C30" s="105">
        <v>24</v>
      </c>
      <c r="D30" s="105"/>
      <c r="E30" s="105"/>
      <c r="F30" s="175"/>
      <c r="G30" s="202"/>
      <c r="H30" s="385"/>
      <c r="I30" s="175"/>
      <c r="J30" s="175"/>
      <c r="K30" s="202"/>
      <c r="L30" s="385"/>
      <c r="M30" s="175" t="e">
        <f>RANK(K30, K$7:$K$36)</f>
        <v>#N/A</v>
      </c>
      <c r="N30" s="387"/>
      <c r="O30" s="387"/>
      <c r="P30" s="175"/>
      <c r="Q30" s="175"/>
      <c r="R30" s="202"/>
      <c r="S30" s="105" t="e">
        <f t="shared" si="13"/>
        <v>#N/A</v>
      </c>
      <c r="T30" s="412"/>
      <c r="U30" s="105"/>
      <c r="V30" s="105"/>
      <c r="W30" s="105"/>
      <c r="X30" s="105" t="e">
        <f t="shared" si="14"/>
        <v>#N/A</v>
      </c>
      <c r="Y30" s="403"/>
      <c r="Z30" s="105"/>
      <c r="AA30" s="105"/>
      <c r="AB30" s="105"/>
      <c r="AC30" s="105" t="e">
        <f t="shared" si="15"/>
        <v>#N/A</v>
      </c>
      <c r="AD30" s="403"/>
      <c r="AE30" s="175"/>
      <c r="AF30" s="175"/>
      <c r="AG30" s="175"/>
      <c r="AH30" s="105" t="e">
        <f t="shared" si="16"/>
        <v>#N/A</v>
      </c>
      <c r="AI30" s="403"/>
      <c r="AJ30" s="105"/>
      <c r="AK30" s="105"/>
      <c r="AL30" s="105"/>
      <c r="AM30" s="105" t="e">
        <f t="shared" si="17"/>
        <v>#N/A</v>
      </c>
      <c r="AN30" s="403"/>
      <c r="AO30" s="105"/>
      <c r="AP30" s="105"/>
      <c r="AQ30" s="105"/>
      <c r="AR30" s="105" t="e">
        <f t="shared" si="18"/>
        <v>#N/A</v>
      </c>
      <c r="AS30" s="403"/>
      <c r="AT30" s="105"/>
      <c r="AU30" s="105"/>
      <c r="AV30" s="105"/>
      <c r="AW30" s="105" t="e">
        <f t="shared" si="19"/>
        <v>#N/A</v>
      </c>
      <c r="AX30" s="403"/>
    </row>
    <row r="31" spans="2:50">
      <c r="B31" s="398"/>
      <c r="C31" s="105">
        <v>25</v>
      </c>
      <c r="D31" s="105"/>
      <c r="E31" s="105"/>
      <c r="F31" s="175"/>
      <c r="G31" s="202"/>
      <c r="H31" s="385"/>
      <c r="I31" s="175"/>
      <c r="J31" s="175"/>
      <c r="K31" s="202"/>
      <c r="L31" s="385"/>
      <c r="M31" s="175" t="e">
        <f>RANK(K31, K$7:$K$36)</f>
        <v>#N/A</v>
      </c>
      <c r="N31" s="387"/>
      <c r="O31" s="387"/>
      <c r="P31" s="175"/>
      <c r="Q31" s="175"/>
      <c r="R31" s="202"/>
      <c r="S31" s="105" t="e">
        <f t="shared" si="13"/>
        <v>#N/A</v>
      </c>
      <c r="T31" s="412"/>
      <c r="U31" s="105"/>
      <c r="V31" s="105"/>
      <c r="W31" s="105"/>
      <c r="X31" s="105" t="e">
        <f t="shared" si="14"/>
        <v>#N/A</v>
      </c>
      <c r="Y31" s="403"/>
      <c r="Z31" s="105"/>
      <c r="AA31" s="105"/>
      <c r="AB31" s="105"/>
      <c r="AC31" s="105" t="e">
        <f t="shared" si="15"/>
        <v>#N/A</v>
      </c>
      <c r="AD31" s="403"/>
      <c r="AE31" s="175"/>
      <c r="AF31" s="175"/>
      <c r="AG31" s="175"/>
      <c r="AH31" s="105" t="e">
        <f t="shared" si="16"/>
        <v>#N/A</v>
      </c>
      <c r="AI31" s="403"/>
      <c r="AJ31" s="105"/>
      <c r="AK31" s="105"/>
      <c r="AL31" s="105"/>
      <c r="AM31" s="105" t="e">
        <f t="shared" si="17"/>
        <v>#N/A</v>
      </c>
      <c r="AN31" s="403"/>
      <c r="AO31" s="105"/>
      <c r="AP31" s="105"/>
      <c r="AQ31" s="105"/>
      <c r="AR31" s="105" t="e">
        <f t="shared" si="18"/>
        <v>#N/A</v>
      </c>
      <c r="AS31" s="403"/>
      <c r="AT31" s="105"/>
      <c r="AU31" s="105"/>
      <c r="AV31" s="105"/>
      <c r="AW31" s="105" t="e">
        <f t="shared" si="19"/>
        <v>#N/A</v>
      </c>
      <c r="AX31" s="403"/>
    </row>
    <row r="32" spans="2:50">
      <c r="B32" s="398"/>
      <c r="C32" s="105">
        <v>26</v>
      </c>
      <c r="D32" s="105"/>
      <c r="E32" s="105"/>
      <c r="F32" s="175"/>
      <c r="G32" s="202"/>
      <c r="H32" s="385"/>
      <c r="I32" s="175"/>
      <c r="J32" s="175"/>
      <c r="K32" s="202"/>
      <c r="L32" s="385"/>
      <c r="M32" s="175" t="e">
        <f>RANK(K32, K$7:$K$36)</f>
        <v>#N/A</v>
      </c>
      <c r="N32" s="387"/>
      <c r="O32" s="387"/>
      <c r="P32" s="175"/>
      <c r="Q32" s="175"/>
      <c r="R32" s="202"/>
      <c r="S32" s="105" t="e">
        <f t="shared" si="13"/>
        <v>#N/A</v>
      </c>
      <c r="T32" s="412"/>
      <c r="U32" s="105"/>
      <c r="V32" s="105"/>
      <c r="W32" s="105"/>
      <c r="X32" s="105" t="e">
        <f t="shared" si="14"/>
        <v>#N/A</v>
      </c>
      <c r="Y32" s="403"/>
      <c r="Z32" s="105"/>
      <c r="AA32" s="105"/>
      <c r="AB32" s="105"/>
      <c r="AC32" s="105" t="e">
        <f t="shared" si="15"/>
        <v>#N/A</v>
      </c>
      <c r="AD32" s="403"/>
      <c r="AE32" s="175"/>
      <c r="AF32" s="175"/>
      <c r="AG32" s="175"/>
      <c r="AH32" s="105" t="e">
        <f t="shared" si="16"/>
        <v>#N/A</v>
      </c>
      <c r="AI32" s="403"/>
      <c r="AJ32" s="105"/>
      <c r="AK32" s="105"/>
      <c r="AL32" s="105"/>
      <c r="AM32" s="105" t="e">
        <f t="shared" si="17"/>
        <v>#N/A</v>
      </c>
      <c r="AN32" s="403"/>
      <c r="AO32" s="105"/>
      <c r="AP32" s="105"/>
      <c r="AQ32" s="105"/>
      <c r="AR32" s="105" t="e">
        <f t="shared" si="18"/>
        <v>#N/A</v>
      </c>
      <c r="AS32" s="403"/>
      <c r="AT32" s="105"/>
      <c r="AU32" s="105"/>
      <c r="AV32" s="105"/>
      <c r="AW32" s="105" t="e">
        <f t="shared" si="19"/>
        <v>#N/A</v>
      </c>
      <c r="AX32" s="403"/>
    </row>
    <row r="33" spans="2:50">
      <c r="B33" s="398"/>
      <c r="C33" s="105">
        <v>27</v>
      </c>
      <c r="D33" s="105"/>
      <c r="E33" s="105"/>
      <c r="F33" s="175"/>
      <c r="G33" s="202"/>
      <c r="H33" s="385"/>
      <c r="I33" s="175"/>
      <c r="J33" s="175"/>
      <c r="K33" s="202"/>
      <c r="L33" s="385"/>
      <c r="M33" s="175" t="e">
        <f>RANK(K33, K$7:$K$36)</f>
        <v>#N/A</v>
      </c>
      <c r="N33" s="387"/>
      <c r="O33" s="387"/>
      <c r="P33" s="175"/>
      <c r="Q33" s="175"/>
      <c r="R33" s="202"/>
      <c r="S33" s="105" t="e">
        <f t="shared" si="13"/>
        <v>#N/A</v>
      </c>
      <c r="T33" s="412"/>
      <c r="U33" s="105"/>
      <c r="V33" s="105"/>
      <c r="W33" s="105"/>
      <c r="X33" s="105" t="e">
        <f t="shared" si="14"/>
        <v>#N/A</v>
      </c>
      <c r="Y33" s="403"/>
      <c r="Z33" s="105"/>
      <c r="AA33" s="105"/>
      <c r="AB33" s="105"/>
      <c r="AC33" s="105" t="e">
        <f t="shared" si="15"/>
        <v>#N/A</v>
      </c>
      <c r="AD33" s="403"/>
      <c r="AE33" s="175"/>
      <c r="AF33" s="175"/>
      <c r="AG33" s="175"/>
      <c r="AH33" s="105" t="e">
        <f t="shared" si="16"/>
        <v>#N/A</v>
      </c>
      <c r="AI33" s="403"/>
      <c r="AJ33" s="105"/>
      <c r="AK33" s="105"/>
      <c r="AL33" s="105"/>
      <c r="AM33" s="105" t="e">
        <f t="shared" si="17"/>
        <v>#N/A</v>
      </c>
      <c r="AN33" s="403"/>
      <c r="AO33" s="105"/>
      <c r="AP33" s="105"/>
      <c r="AQ33" s="105"/>
      <c r="AR33" s="105" t="e">
        <f t="shared" si="18"/>
        <v>#N/A</v>
      </c>
      <c r="AS33" s="403"/>
      <c r="AT33" s="105"/>
      <c r="AU33" s="105"/>
      <c r="AV33" s="105"/>
      <c r="AW33" s="105" t="e">
        <f t="shared" si="19"/>
        <v>#N/A</v>
      </c>
      <c r="AX33" s="403"/>
    </row>
    <row r="34" spans="2:50">
      <c r="B34" s="398"/>
      <c r="C34" s="105">
        <v>28</v>
      </c>
      <c r="D34" s="105"/>
      <c r="E34" s="105"/>
      <c r="F34" s="175"/>
      <c r="G34" s="202"/>
      <c r="H34" s="385"/>
      <c r="I34" s="175"/>
      <c r="J34" s="175"/>
      <c r="K34" s="202"/>
      <c r="L34" s="385"/>
      <c r="M34" s="175" t="e">
        <f>RANK(K34, K$7:$K$36)</f>
        <v>#N/A</v>
      </c>
      <c r="N34" s="387"/>
      <c r="O34" s="387"/>
      <c r="P34" s="175"/>
      <c r="Q34" s="175"/>
      <c r="R34" s="202"/>
      <c r="S34" s="105" t="e">
        <f t="shared" si="13"/>
        <v>#N/A</v>
      </c>
      <c r="T34" s="412"/>
      <c r="U34" s="105"/>
      <c r="V34" s="105"/>
      <c r="W34" s="105"/>
      <c r="X34" s="105" t="e">
        <f t="shared" si="14"/>
        <v>#N/A</v>
      </c>
      <c r="Y34" s="403"/>
      <c r="Z34" s="105"/>
      <c r="AA34" s="105"/>
      <c r="AB34" s="105"/>
      <c r="AC34" s="105" t="e">
        <f t="shared" si="15"/>
        <v>#N/A</v>
      </c>
      <c r="AD34" s="403"/>
      <c r="AE34" s="175"/>
      <c r="AF34" s="175"/>
      <c r="AG34" s="175"/>
      <c r="AH34" s="105" t="e">
        <f t="shared" si="16"/>
        <v>#N/A</v>
      </c>
      <c r="AI34" s="403"/>
      <c r="AJ34" s="105"/>
      <c r="AK34" s="105"/>
      <c r="AL34" s="105"/>
      <c r="AM34" s="105" t="e">
        <f t="shared" si="17"/>
        <v>#N/A</v>
      </c>
      <c r="AN34" s="403"/>
      <c r="AO34" s="105"/>
      <c r="AP34" s="105"/>
      <c r="AQ34" s="105"/>
      <c r="AR34" s="105" t="e">
        <f t="shared" si="18"/>
        <v>#N/A</v>
      </c>
      <c r="AS34" s="403"/>
      <c r="AT34" s="105"/>
      <c r="AU34" s="105"/>
      <c r="AV34" s="105"/>
      <c r="AW34" s="105" t="e">
        <f t="shared" si="19"/>
        <v>#N/A</v>
      </c>
      <c r="AX34" s="403"/>
    </row>
    <row r="35" spans="2:50">
      <c r="B35" s="398"/>
      <c r="C35" s="105">
        <v>29</v>
      </c>
      <c r="D35" s="105"/>
      <c r="E35" s="105"/>
      <c r="F35" s="175"/>
      <c r="G35" s="202"/>
      <c r="H35" s="385"/>
      <c r="I35" s="175"/>
      <c r="J35" s="175"/>
      <c r="K35" s="202"/>
      <c r="L35" s="385"/>
      <c r="M35" s="175" t="e">
        <f>RANK(K35, K$7:$K$36)</f>
        <v>#N/A</v>
      </c>
      <c r="N35" s="387"/>
      <c r="O35" s="387"/>
      <c r="P35" s="175"/>
      <c r="Q35" s="175"/>
      <c r="R35" s="202"/>
      <c r="S35" s="105" t="e">
        <f t="shared" si="13"/>
        <v>#N/A</v>
      </c>
      <c r="T35" s="412"/>
      <c r="U35" s="105"/>
      <c r="V35" s="105"/>
      <c r="W35" s="105"/>
      <c r="X35" s="105" t="e">
        <f t="shared" si="14"/>
        <v>#N/A</v>
      </c>
      <c r="Y35" s="403"/>
      <c r="Z35" s="105"/>
      <c r="AA35" s="105"/>
      <c r="AB35" s="105"/>
      <c r="AC35" s="105" t="e">
        <f t="shared" si="15"/>
        <v>#N/A</v>
      </c>
      <c r="AD35" s="403"/>
      <c r="AE35" s="175"/>
      <c r="AF35" s="175"/>
      <c r="AG35" s="175"/>
      <c r="AH35" s="105" t="e">
        <f t="shared" si="16"/>
        <v>#N/A</v>
      </c>
      <c r="AI35" s="403"/>
      <c r="AJ35" s="105"/>
      <c r="AK35" s="105"/>
      <c r="AL35" s="105"/>
      <c r="AM35" s="105" t="e">
        <f t="shared" si="17"/>
        <v>#N/A</v>
      </c>
      <c r="AN35" s="403"/>
      <c r="AO35" s="105"/>
      <c r="AP35" s="105"/>
      <c r="AQ35" s="105"/>
      <c r="AR35" s="105" t="e">
        <f t="shared" si="18"/>
        <v>#N/A</v>
      </c>
      <c r="AS35" s="403"/>
      <c r="AT35" s="105"/>
      <c r="AU35" s="105"/>
      <c r="AV35" s="105"/>
      <c r="AW35" s="105" t="e">
        <f t="shared" si="19"/>
        <v>#N/A</v>
      </c>
      <c r="AX35" s="403"/>
    </row>
    <row r="36" spans="2:50">
      <c r="B36" s="398"/>
      <c r="C36" s="105">
        <v>30</v>
      </c>
      <c r="D36" s="105"/>
      <c r="E36" s="105"/>
      <c r="F36" s="175"/>
      <c r="G36" s="202"/>
      <c r="H36" s="386"/>
      <c r="I36" s="175"/>
      <c r="J36" s="175"/>
      <c r="K36" s="202"/>
      <c r="L36" s="386"/>
      <c r="M36" s="175" t="e">
        <f>RANK(K36, K$7:$K$36)</f>
        <v>#N/A</v>
      </c>
      <c r="N36" s="387"/>
      <c r="O36" s="387"/>
      <c r="P36" s="175"/>
      <c r="Q36" s="175"/>
      <c r="R36" s="202"/>
      <c r="S36" s="105" t="e">
        <f t="shared" si="3"/>
        <v>#N/A</v>
      </c>
      <c r="T36" s="412"/>
      <c r="U36" s="105"/>
      <c r="V36" s="105"/>
      <c r="W36" s="105"/>
      <c r="X36" s="105" t="e">
        <f t="shared" si="4"/>
        <v>#N/A</v>
      </c>
      <c r="Y36" s="404"/>
      <c r="Z36" s="105"/>
      <c r="AA36" s="105"/>
      <c r="AB36" s="105"/>
      <c r="AC36" s="105" t="e">
        <f t="shared" si="5"/>
        <v>#N/A</v>
      </c>
      <c r="AD36" s="404"/>
      <c r="AE36" s="175"/>
      <c r="AF36" s="175"/>
      <c r="AG36" s="175"/>
      <c r="AH36" s="105" t="e">
        <f t="shared" si="6"/>
        <v>#N/A</v>
      </c>
      <c r="AI36" s="404"/>
      <c r="AJ36" s="105"/>
      <c r="AK36" s="105"/>
      <c r="AL36" s="105"/>
      <c r="AM36" s="105" t="e">
        <f t="shared" si="7"/>
        <v>#N/A</v>
      </c>
      <c r="AN36" s="404"/>
      <c r="AO36" s="105"/>
      <c r="AP36" s="105"/>
      <c r="AQ36" s="105"/>
      <c r="AR36" s="105" t="e">
        <f t="shared" si="8"/>
        <v>#N/A</v>
      </c>
      <c r="AS36" s="404"/>
      <c r="AT36" s="105"/>
      <c r="AU36" s="105"/>
      <c r="AV36" s="105"/>
      <c r="AW36" s="105" t="e">
        <f t="shared" si="9"/>
        <v>#N/A</v>
      </c>
      <c r="AX36" s="404"/>
    </row>
    <row r="37" spans="2:50" ht="15.75">
      <c r="B37" s="408" t="s">
        <v>195</v>
      </c>
      <c r="C37" s="409"/>
      <c r="D37" s="409"/>
      <c r="E37" s="409"/>
      <c r="F37" s="409"/>
      <c r="G37" s="409"/>
      <c r="H37" s="409"/>
      <c r="I37" s="174"/>
      <c r="J37" s="174"/>
      <c r="K37" s="174"/>
      <c r="L37" s="174"/>
      <c r="M37" s="171"/>
      <c r="N37" s="399" t="s">
        <v>196</v>
      </c>
      <c r="O37" s="399" t="s">
        <v>145</v>
      </c>
      <c r="P37" s="410">
        <v>45874</v>
      </c>
      <c r="Q37" s="411"/>
      <c r="R37" s="411"/>
      <c r="S37" s="411"/>
      <c r="T37" s="411"/>
      <c r="U37" s="397">
        <f>P37+1</f>
        <v>45875</v>
      </c>
      <c r="V37" s="398"/>
      <c r="W37" s="398"/>
      <c r="X37" s="398"/>
      <c r="Y37" s="398"/>
      <c r="Z37" s="397">
        <f>U37+1</f>
        <v>45876</v>
      </c>
      <c r="AA37" s="398"/>
      <c r="AB37" s="398"/>
      <c r="AC37" s="398"/>
      <c r="AD37" s="398"/>
      <c r="AE37" s="397">
        <f>Z37+1</f>
        <v>45877</v>
      </c>
      <c r="AF37" s="398"/>
      <c r="AG37" s="398"/>
      <c r="AH37" s="398"/>
      <c r="AI37" s="398"/>
      <c r="AJ37" s="397">
        <f>AE37+1</f>
        <v>45878</v>
      </c>
      <c r="AK37" s="398"/>
      <c r="AL37" s="398"/>
      <c r="AM37" s="398"/>
      <c r="AN37" s="398"/>
      <c r="AO37" s="397">
        <f>AJ37+1</f>
        <v>45879</v>
      </c>
      <c r="AP37" s="398"/>
      <c r="AQ37" s="398"/>
      <c r="AR37" s="398"/>
      <c r="AS37" s="398"/>
      <c r="AT37" s="397">
        <f>AO37+1</f>
        <v>45880</v>
      </c>
      <c r="AU37" s="398"/>
      <c r="AV37" s="398"/>
      <c r="AW37" s="398"/>
      <c r="AX37" s="398"/>
    </row>
    <row r="38" spans="2:50" ht="15.75">
      <c r="B38" s="407"/>
      <c r="C38" s="407"/>
      <c r="D38" s="407"/>
      <c r="E38" s="407"/>
      <c r="F38" s="407"/>
      <c r="G38" s="407"/>
      <c r="H38" s="407"/>
      <c r="I38" s="172"/>
      <c r="J38" s="172"/>
      <c r="K38" s="172"/>
      <c r="L38" s="172"/>
      <c r="M38" s="173"/>
      <c r="N38" s="401"/>
      <c r="O38" s="401"/>
      <c r="P38" s="397" t="s">
        <v>159</v>
      </c>
      <c r="Q38" s="398"/>
      <c r="R38" s="398"/>
      <c r="S38" s="398"/>
      <c r="T38" s="398"/>
      <c r="U38" s="397" t="s">
        <v>160</v>
      </c>
      <c r="V38" s="398"/>
      <c r="W38" s="398"/>
      <c r="X38" s="398"/>
      <c r="Y38" s="398"/>
      <c r="Z38" s="397" t="s">
        <v>161</v>
      </c>
      <c r="AA38" s="398"/>
      <c r="AB38" s="398"/>
      <c r="AC38" s="398"/>
      <c r="AD38" s="398"/>
      <c r="AE38" s="397" t="s">
        <v>156</v>
      </c>
      <c r="AF38" s="398"/>
      <c r="AG38" s="398"/>
      <c r="AH38" s="398"/>
      <c r="AI38" s="398"/>
      <c r="AJ38" s="397" t="s">
        <v>157</v>
      </c>
      <c r="AK38" s="398"/>
      <c r="AL38" s="398"/>
      <c r="AM38" s="398"/>
      <c r="AN38" s="398"/>
      <c r="AO38" s="397" t="s">
        <v>152</v>
      </c>
      <c r="AP38" s="398"/>
      <c r="AQ38" s="398"/>
      <c r="AR38" s="398"/>
      <c r="AS38" s="398"/>
      <c r="AT38" s="397" t="s">
        <v>158</v>
      </c>
      <c r="AU38" s="398"/>
      <c r="AV38" s="398"/>
      <c r="AW38" s="398"/>
      <c r="AX38" s="398"/>
    </row>
    <row r="39" spans="2:50">
      <c r="B39" s="387" t="s">
        <v>197</v>
      </c>
      <c r="C39" s="387" t="s">
        <v>198</v>
      </c>
      <c r="D39" s="387"/>
      <c r="E39" s="387" t="s">
        <v>199</v>
      </c>
      <c r="F39" s="387"/>
      <c r="G39" s="387"/>
      <c r="H39" s="388" t="s">
        <v>200</v>
      </c>
      <c r="I39" s="387" t="s">
        <v>201</v>
      </c>
      <c r="J39" s="387"/>
      <c r="K39" s="387"/>
      <c r="L39" s="388" t="s">
        <v>200</v>
      </c>
      <c r="M39" s="399" t="s">
        <v>202</v>
      </c>
      <c r="N39" s="387"/>
      <c r="O39" s="387" t="s">
        <v>203</v>
      </c>
      <c r="P39" s="391" t="s">
        <v>204</v>
      </c>
      <c r="Q39" s="392"/>
      <c r="R39" s="392"/>
      <c r="S39" s="393"/>
      <c r="T39" s="387" t="s">
        <v>200</v>
      </c>
      <c r="U39" s="391" t="s">
        <v>204</v>
      </c>
      <c r="V39" s="392"/>
      <c r="W39" s="392"/>
      <c r="X39" s="393"/>
      <c r="Y39" s="387" t="s">
        <v>200</v>
      </c>
      <c r="Z39" s="391" t="s">
        <v>204</v>
      </c>
      <c r="AA39" s="392"/>
      <c r="AB39" s="392"/>
      <c r="AC39" s="393"/>
      <c r="AD39" s="387" t="s">
        <v>200</v>
      </c>
      <c r="AE39" s="391" t="s">
        <v>204</v>
      </c>
      <c r="AF39" s="392"/>
      <c r="AG39" s="392"/>
      <c r="AH39" s="393"/>
      <c r="AI39" s="387" t="s">
        <v>200</v>
      </c>
      <c r="AJ39" s="391" t="s">
        <v>204</v>
      </c>
      <c r="AK39" s="392"/>
      <c r="AL39" s="392"/>
      <c r="AM39" s="393"/>
      <c r="AN39" s="387" t="s">
        <v>200</v>
      </c>
      <c r="AO39" s="391" t="s">
        <v>204</v>
      </c>
      <c r="AP39" s="392"/>
      <c r="AQ39" s="392"/>
      <c r="AR39" s="393"/>
      <c r="AS39" s="387" t="s">
        <v>200</v>
      </c>
      <c r="AT39" s="391" t="s">
        <v>204</v>
      </c>
      <c r="AU39" s="392"/>
      <c r="AV39" s="392"/>
      <c r="AW39" s="393"/>
      <c r="AX39" s="387" t="s">
        <v>200</v>
      </c>
    </row>
    <row r="40" spans="2:50">
      <c r="B40" s="387"/>
      <c r="C40" s="387"/>
      <c r="D40" s="387"/>
      <c r="E40" s="387" t="s">
        <v>205</v>
      </c>
      <c r="F40" s="387"/>
      <c r="G40" s="387"/>
      <c r="H40" s="389"/>
      <c r="I40" s="387" t="s">
        <v>205</v>
      </c>
      <c r="J40" s="387"/>
      <c r="K40" s="387"/>
      <c r="L40" s="389"/>
      <c r="M40" s="400"/>
      <c r="N40" s="387"/>
      <c r="O40" s="387"/>
      <c r="P40" s="391" t="s">
        <v>206</v>
      </c>
      <c r="Q40" s="392"/>
      <c r="R40" s="392"/>
      <c r="S40" s="393"/>
      <c r="T40" s="387"/>
      <c r="U40" s="391" t="s">
        <v>206</v>
      </c>
      <c r="V40" s="392"/>
      <c r="W40" s="392"/>
      <c r="X40" s="393"/>
      <c r="Y40" s="387"/>
      <c r="Z40" s="391" t="s">
        <v>206</v>
      </c>
      <c r="AA40" s="392"/>
      <c r="AB40" s="392"/>
      <c r="AC40" s="393"/>
      <c r="AD40" s="387"/>
      <c r="AE40" s="391" t="s">
        <v>206</v>
      </c>
      <c r="AF40" s="392"/>
      <c r="AG40" s="392"/>
      <c r="AH40" s="393"/>
      <c r="AI40" s="387"/>
      <c r="AJ40" s="391" t="s">
        <v>206</v>
      </c>
      <c r="AK40" s="392"/>
      <c r="AL40" s="392"/>
      <c r="AM40" s="393"/>
      <c r="AN40" s="387"/>
      <c r="AO40" s="391" t="s">
        <v>206</v>
      </c>
      <c r="AP40" s="392"/>
      <c r="AQ40" s="392"/>
      <c r="AR40" s="393"/>
      <c r="AS40" s="387"/>
      <c r="AT40" s="391" t="s">
        <v>206</v>
      </c>
      <c r="AU40" s="392"/>
      <c r="AV40" s="392"/>
      <c r="AW40" s="393"/>
      <c r="AX40" s="387"/>
    </row>
    <row r="41" spans="2:50">
      <c r="B41" s="387"/>
      <c r="C41" s="387"/>
      <c r="D41" s="387"/>
      <c r="E41" s="104" t="s">
        <v>207</v>
      </c>
      <c r="F41" s="104" t="s">
        <v>208</v>
      </c>
      <c r="G41" s="104" t="s">
        <v>209</v>
      </c>
      <c r="H41" s="390"/>
      <c r="I41" s="104" t="s">
        <v>207</v>
      </c>
      <c r="J41" s="104" t="s">
        <v>208</v>
      </c>
      <c r="K41" s="104" t="s">
        <v>209</v>
      </c>
      <c r="L41" s="390"/>
      <c r="M41" s="401"/>
      <c r="N41" s="387"/>
      <c r="O41" s="387"/>
      <c r="P41" s="104" t="s">
        <v>207</v>
      </c>
      <c r="Q41" s="104" t="s">
        <v>208</v>
      </c>
      <c r="R41" s="104" t="s">
        <v>209</v>
      </c>
      <c r="S41" s="104" t="s">
        <v>202</v>
      </c>
      <c r="T41" s="387"/>
      <c r="U41" s="104" t="s">
        <v>207</v>
      </c>
      <c r="V41" s="104" t="s">
        <v>208</v>
      </c>
      <c r="W41" s="104" t="s">
        <v>209</v>
      </c>
      <c r="X41" s="104" t="s">
        <v>202</v>
      </c>
      <c r="Y41" s="387"/>
      <c r="Z41" s="104" t="s">
        <v>207</v>
      </c>
      <c r="AA41" s="104" t="s">
        <v>208</v>
      </c>
      <c r="AB41" s="104" t="s">
        <v>209</v>
      </c>
      <c r="AC41" s="104" t="s">
        <v>202</v>
      </c>
      <c r="AD41" s="387"/>
      <c r="AE41" s="104" t="s">
        <v>207</v>
      </c>
      <c r="AF41" s="104" t="s">
        <v>208</v>
      </c>
      <c r="AG41" s="104" t="s">
        <v>209</v>
      </c>
      <c r="AH41" s="104" t="s">
        <v>202</v>
      </c>
      <c r="AI41" s="387"/>
      <c r="AJ41" s="104" t="s">
        <v>207</v>
      </c>
      <c r="AK41" s="104" t="s">
        <v>208</v>
      </c>
      <c r="AL41" s="104" t="s">
        <v>209</v>
      </c>
      <c r="AM41" s="104" t="s">
        <v>202</v>
      </c>
      <c r="AN41" s="387"/>
      <c r="AO41" s="104" t="s">
        <v>207</v>
      </c>
      <c r="AP41" s="104" t="s">
        <v>208</v>
      </c>
      <c r="AQ41" s="104" t="s">
        <v>209</v>
      </c>
      <c r="AR41" s="104" t="s">
        <v>202</v>
      </c>
      <c r="AS41" s="387"/>
      <c r="AT41" s="104" t="s">
        <v>207</v>
      </c>
      <c r="AU41" s="104" t="s">
        <v>208</v>
      </c>
      <c r="AV41" s="104" t="s">
        <v>209</v>
      </c>
      <c r="AW41" s="104" t="s">
        <v>202</v>
      </c>
      <c r="AX41" s="387"/>
    </row>
    <row r="42" spans="2:50">
      <c r="B42" s="398" t="s">
        <v>210</v>
      </c>
      <c r="C42" s="105">
        <v>1</v>
      </c>
      <c r="D42" s="105" t="s">
        <v>211</v>
      </c>
      <c r="E42" s="105">
        <v>4</v>
      </c>
      <c r="F42" s="105">
        <v>2200</v>
      </c>
      <c r="G42" s="105">
        <v>550</v>
      </c>
      <c r="H42" s="402">
        <f>AVERAGE(G42:G71)</f>
        <v>927.17391304347825</v>
      </c>
      <c r="I42" s="175">
        <f>AVERAGE(P42,U42,Z42,AE42,AJ42,AO42,AT42)</f>
        <v>4</v>
      </c>
      <c r="J42" s="175">
        <f>AVERAGE(Q42,V42,AA42,AF42,AK42,AP42,AU42)</f>
        <v>1992.7122469182359</v>
      </c>
      <c r="K42" s="202">
        <f>AVERAGE(R42,W42,AB42,AG42,AL42,AQ42,AV42)</f>
        <v>498.17806172955898</v>
      </c>
      <c r="L42" s="384">
        <f>IFERROR(AVERAGE(K42:K71),"-")</f>
        <v>705.43473466582293</v>
      </c>
      <c r="M42" s="203">
        <f>RANK(K42, K$42:$K$71)</f>
        <v>23</v>
      </c>
      <c r="N42" s="387"/>
      <c r="O42" s="387"/>
      <c r="P42" s="105">
        <v>4</v>
      </c>
      <c r="Q42" s="175">
        <v>2002.7586206896549</v>
      </c>
      <c r="R42" s="202">
        <v>500.68965517241372</v>
      </c>
      <c r="S42" s="105">
        <f>RANK(R42, R$42:R$71)</f>
        <v>22</v>
      </c>
      <c r="T42" s="402">
        <f>AVERAGE(R42:R71)</f>
        <v>700.34161036758587</v>
      </c>
      <c r="U42" s="105">
        <v>4</v>
      </c>
      <c r="V42" s="175">
        <v>1986.1363636363635</v>
      </c>
      <c r="W42" s="202">
        <v>496.53409090909088</v>
      </c>
      <c r="X42" s="105">
        <f>RANK(W42, W$42:W$71)</f>
        <v>23</v>
      </c>
      <c r="Y42" s="402">
        <f>AVERAGE(W42:W71)</f>
        <v>707.64367738032524</v>
      </c>
      <c r="Z42" s="105">
        <v>4</v>
      </c>
      <c r="AA42" s="175">
        <v>2003.4482758620684</v>
      </c>
      <c r="AB42" s="202">
        <v>500.8620689655171</v>
      </c>
      <c r="AC42" s="105">
        <f>RANK(AB42, AB$42:AB$71)</f>
        <v>23</v>
      </c>
      <c r="AD42" s="402">
        <f>AVERAGE(AB42:AB71)</f>
        <v>697.23037691285174</v>
      </c>
      <c r="AE42" s="105">
        <v>4</v>
      </c>
      <c r="AF42" s="175">
        <v>2000.0000000000002</v>
      </c>
      <c r="AG42" s="202">
        <v>500.00000000000006</v>
      </c>
      <c r="AH42" s="105">
        <f>RANK(AG42, AG$42:AG$71)</f>
        <v>23</v>
      </c>
      <c r="AI42" s="402">
        <f>AVERAGE(AG42:AG71)</f>
        <v>706.50643147957805</v>
      </c>
      <c r="AJ42" s="105">
        <v>4</v>
      </c>
      <c r="AK42" s="175">
        <v>1975.2631578947362</v>
      </c>
      <c r="AL42" s="202">
        <v>493.81578947368405</v>
      </c>
      <c r="AM42" s="105">
        <f>RANK(AL42, AL$42:AL$71)</f>
        <v>23</v>
      </c>
      <c r="AN42" s="402">
        <f>AVERAGE(AL42:AL71)</f>
        <v>705.88440713995681</v>
      </c>
      <c r="AO42" s="105">
        <v>4</v>
      </c>
      <c r="AP42" s="175">
        <v>1994.4827586206895</v>
      </c>
      <c r="AQ42" s="175">
        <v>498.62068965517238</v>
      </c>
      <c r="AR42" s="105">
        <f>RANK(AQ42, AQ$42:AQ$71)</f>
        <v>23</v>
      </c>
      <c r="AS42" s="402">
        <f>AVERAGE(AQ42:AQ71)</f>
        <v>699.17787463178411</v>
      </c>
      <c r="AT42" s="105">
        <v>4</v>
      </c>
      <c r="AU42" s="175">
        <v>1986.8965517241375</v>
      </c>
      <c r="AV42" s="175">
        <v>496.72413793103436</v>
      </c>
      <c r="AW42" s="105">
        <f>RANK(AV42, AV$42:AV$71)</f>
        <v>22</v>
      </c>
      <c r="AX42" s="402">
        <f>AVERAGE(AV42:AV71)</f>
        <v>719.70387992194435</v>
      </c>
    </row>
    <row r="43" spans="2:50">
      <c r="B43" s="398"/>
      <c r="C43" s="105">
        <v>2</v>
      </c>
      <c r="D43" s="105" t="s">
        <v>212</v>
      </c>
      <c r="E43" s="105">
        <v>3</v>
      </c>
      <c r="F43" s="105">
        <v>2700</v>
      </c>
      <c r="G43" s="105">
        <v>900</v>
      </c>
      <c r="H43" s="403"/>
      <c r="I43" s="175">
        <f t="shared" ref="I43:I51" si="20">AVERAGE(P43,U43,Z43,AE43,AJ43,AO43,AT43)</f>
        <v>3</v>
      </c>
      <c r="J43" s="175">
        <f t="shared" ref="J43:J51" si="21">AVERAGE(Q43,V43,AA43,AF43,AK43,AP43,AU43)</f>
        <v>2954.7147343485512</v>
      </c>
      <c r="K43" s="202">
        <f t="shared" ref="K43:K51" si="22">AVERAGE(R43,W43,AB43,AG43,AL43,AQ43,AV43)</f>
        <v>984.90491144951716</v>
      </c>
      <c r="L43" s="385"/>
      <c r="M43" s="203">
        <f>RANK(K43, K$42:$K$71)</f>
        <v>1</v>
      </c>
      <c r="N43" s="387"/>
      <c r="O43" s="387"/>
      <c r="P43" s="105">
        <v>3</v>
      </c>
      <c r="Q43" s="175">
        <v>2986.4150943396244</v>
      </c>
      <c r="R43" s="202">
        <v>995.47169811320816</v>
      </c>
      <c r="S43" s="105">
        <f t="shared" ref="S43:S71" si="23">RANK(R43, R$42:R$71)</f>
        <v>1</v>
      </c>
      <c r="T43" s="403"/>
      <c r="U43" s="105">
        <v>3</v>
      </c>
      <c r="V43" s="175">
        <v>2960.7692307692273</v>
      </c>
      <c r="W43" s="202">
        <v>986.92307692307577</v>
      </c>
      <c r="X43" s="105">
        <f t="shared" ref="X43:X71" si="24">RANK(W43, W$42:W$71)</f>
        <v>1</v>
      </c>
      <c r="Y43" s="403"/>
      <c r="Z43" s="105">
        <v>3</v>
      </c>
      <c r="AA43" s="175">
        <v>2944.3902439024382</v>
      </c>
      <c r="AB43" s="202">
        <v>981.46341463414603</v>
      </c>
      <c r="AC43" s="105">
        <f t="shared" ref="AC43:AC71" si="25">RANK(AB43, AB$42:AB$71)</f>
        <v>1</v>
      </c>
      <c r="AD43" s="403"/>
      <c r="AE43" s="105">
        <v>3</v>
      </c>
      <c r="AF43" s="175">
        <v>2939.9999999999977</v>
      </c>
      <c r="AG43" s="202">
        <v>979.9999999999992</v>
      </c>
      <c r="AH43" s="105">
        <f t="shared" ref="AH43:AH71" si="26">RANK(AG43, AG$42:AG$71)</f>
        <v>1</v>
      </c>
      <c r="AI43" s="403"/>
      <c r="AJ43" s="105">
        <v>3</v>
      </c>
      <c r="AK43" s="175">
        <v>2920.0000000000009</v>
      </c>
      <c r="AL43" s="202">
        <v>973.3333333333336</v>
      </c>
      <c r="AM43" s="105">
        <f t="shared" ref="AM43:AM71" si="27">RANK(AL43, AL$42:AL$71)</f>
        <v>1</v>
      </c>
      <c r="AN43" s="403"/>
      <c r="AO43" s="105">
        <v>3</v>
      </c>
      <c r="AP43" s="175">
        <v>2999.9999999999991</v>
      </c>
      <c r="AQ43" s="175">
        <v>999.99999999999966</v>
      </c>
      <c r="AR43" s="105">
        <f t="shared" ref="AR43:AR71" si="28">RANK(AQ43, AQ$42:AQ$71)</f>
        <v>1</v>
      </c>
      <c r="AS43" s="403"/>
      <c r="AT43" s="105">
        <v>3</v>
      </c>
      <c r="AU43" s="175">
        <v>2931.4285714285702</v>
      </c>
      <c r="AV43" s="175">
        <v>977.14285714285677</v>
      </c>
      <c r="AW43" s="105">
        <f t="shared" ref="AW43:AW71" si="29">RANK(AV43, AV$42:AV$71)</f>
        <v>1</v>
      </c>
      <c r="AX43" s="403"/>
    </row>
    <row r="44" spans="2:50">
      <c r="B44" s="398"/>
      <c r="C44" s="105">
        <v>3</v>
      </c>
      <c r="D44" s="105" t="s">
        <v>213</v>
      </c>
      <c r="E44" s="105">
        <v>4</v>
      </c>
      <c r="F44" s="105">
        <v>3600</v>
      </c>
      <c r="G44" s="105">
        <v>900</v>
      </c>
      <c r="H44" s="403"/>
      <c r="I44" s="175">
        <f t="shared" si="20"/>
        <v>4</v>
      </c>
      <c r="J44" s="175">
        <f t="shared" si="21"/>
        <v>2949.3949701092574</v>
      </c>
      <c r="K44" s="202">
        <f t="shared" si="22"/>
        <v>737.34874252731436</v>
      </c>
      <c r="L44" s="385"/>
      <c r="M44" s="203">
        <f>RANK(K44, K$42:$K$71)</f>
        <v>8</v>
      </c>
      <c r="N44" s="387"/>
      <c r="O44" s="387"/>
      <c r="P44" s="105">
        <v>4</v>
      </c>
      <c r="Q44" s="175">
        <v>2997.7777777777751</v>
      </c>
      <c r="R44" s="202">
        <v>749.44444444444377</v>
      </c>
      <c r="S44" s="105">
        <f t="shared" si="23"/>
        <v>8</v>
      </c>
      <c r="T44" s="403"/>
      <c r="U44" s="105">
        <v>4</v>
      </c>
      <c r="V44" s="175">
        <v>2988.888888888886</v>
      </c>
      <c r="W44" s="202">
        <v>747.22222222222149</v>
      </c>
      <c r="X44" s="105">
        <f t="shared" si="24"/>
        <v>9</v>
      </c>
      <c r="Y44" s="403"/>
      <c r="Z44" s="105">
        <v>4</v>
      </c>
      <c r="AA44" s="175">
        <v>2910.0000000000023</v>
      </c>
      <c r="AB44" s="202">
        <v>727.50000000000057</v>
      </c>
      <c r="AC44" s="105">
        <f t="shared" si="25"/>
        <v>8</v>
      </c>
      <c r="AD44" s="403"/>
      <c r="AE44" s="105">
        <v>4</v>
      </c>
      <c r="AF44" s="175">
        <v>2967.2727272727329</v>
      </c>
      <c r="AG44" s="202">
        <v>741.81818181818323</v>
      </c>
      <c r="AH44" s="105">
        <f t="shared" si="26"/>
        <v>8</v>
      </c>
      <c r="AI44" s="403"/>
      <c r="AJ44" s="105">
        <v>4</v>
      </c>
      <c r="AK44" s="175">
        <v>2920.000000000005</v>
      </c>
      <c r="AL44" s="202">
        <v>730.00000000000125</v>
      </c>
      <c r="AM44" s="105">
        <f t="shared" si="27"/>
        <v>8</v>
      </c>
      <c r="AN44" s="403"/>
      <c r="AO44" s="105">
        <v>4</v>
      </c>
      <c r="AP44" s="175">
        <v>2950.7142857142881</v>
      </c>
      <c r="AQ44" s="175">
        <v>737.67857142857201</v>
      </c>
      <c r="AR44" s="105">
        <f t="shared" si="28"/>
        <v>8</v>
      </c>
      <c r="AS44" s="403"/>
      <c r="AT44" s="105">
        <v>4</v>
      </c>
      <c r="AU44" s="175">
        <v>2911.1111111111127</v>
      </c>
      <c r="AV44" s="175">
        <v>727.77777777777817</v>
      </c>
      <c r="AW44" s="105">
        <f t="shared" si="29"/>
        <v>10</v>
      </c>
      <c r="AX44" s="403"/>
    </row>
    <row r="45" spans="2:50">
      <c r="B45" s="398"/>
      <c r="C45" s="105">
        <v>4</v>
      </c>
      <c r="D45" s="105" t="s">
        <v>214</v>
      </c>
      <c r="E45" s="105">
        <v>4</v>
      </c>
      <c r="F45" s="105">
        <v>3600</v>
      </c>
      <c r="G45" s="105">
        <v>900</v>
      </c>
      <c r="H45" s="403"/>
      <c r="I45" s="175">
        <f t="shared" si="20"/>
        <v>4</v>
      </c>
      <c r="J45" s="175">
        <f t="shared" si="21"/>
        <v>2903.2067669172902</v>
      </c>
      <c r="K45" s="202">
        <f t="shared" si="22"/>
        <v>725.80169172932256</v>
      </c>
      <c r="L45" s="385"/>
      <c r="M45" s="203">
        <f>RANK(K45, K$42:$K$71)</f>
        <v>9</v>
      </c>
      <c r="N45" s="387"/>
      <c r="O45" s="387"/>
      <c r="P45" s="105">
        <v>4</v>
      </c>
      <c r="Q45" s="175">
        <v>2873.9999999999991</v>
      </c>
      <c r="R45" s="202">
        <v>718.49999999999977</v>
      </c>
      <c r="S45" s="105">
        <f t="shared" si="23"/>
        <v>10</v>
      </c>
      <c r="T45" s="403"/>
      <c r="U45" s="105">
        <v>4</v>
      </c>
      <c r="V45" s="175">
        <v>2996.8421052631556</v>
      </c>
      <c r="W45" s="202">
        <v>749.21052631578891</v>
      </c>
      <c r="X45" s="105">
        <f t="shared" si="24"/>
        <v>8</v>
      </c>
      <c r="Y45" s="403"/>
      <c r="Z45" s="105">
        <v>4</v>
      </c>
      <c r="AA45" s="175">
        <v>2861.9999999999927</v>
      </c>
      <c r="AB45" s="202">
        <v>715.49999999999818</v>
      </c>
      <c r="AC45" s="105">
        <f t="shared" si="25"/>
        <v>10</v>
      </c>
      <c r="AD45" s="403"/>
      <c r="AE45" s="105">
        <v>4</v>
      </c>
      <c r="AF45" s="175">
        <v>2887.5000000000036</v>
      </c>
      <c r="AG45" s="202">
        <v>721.87500000000091</v>
      </c>
      <c r="AH45" s="105">
        <f t="shared" si="26"/>
        <v>10</v>
      </c>
      <c r="AI45" s="403"/>
      <c r="AJ45" s="105">
        <v>4</v>
      </c>
      <c r="AK45" s="175">
        <v>2860.0000000000027</v>
      </c>
      <c r="AL45" s="202">
        <v>715.00000000000068</v>
      </c>
      <c r="AM45" s="105">
        <f t="shared" si="27"/>
        <v>10</v>
      </c>
      <c r="AN45" s="403"/>
      <c r="AO45" s="105">
        <v>4</v>
      </c>
      <c r="AP45" s="175">
        <v>2949.4736842105181</v>
      </c>
      <c r="AQ45" s="175">
        <v>737.36842105262951</v>
      </c>
      <c r="AR45" s="105">
        <f t="shared" si="28"/>
        <v>9</v>
      </c>
      <c r="AS45" s="403"/>
      <c r="AT45" s="105">
        <v>4</v>
      </c>
      <c r="AU45" s="175">
        <v>2892.6315789473601</v>
      </c>
      <c r="AV45" s="175">
        <v>723.15789473684003</v>
      </c>
      <c r="AW45" s="105">
        <f t="shared" si="29"/>
        <v>11</v>
      </c>
      <c r="AX45" s="403"/>
    </row>
    <row r="46" spans="2:50">
      <c r="B46" s="398"/>
      <c r="C46" s="105">
        <v>5</v>
      </c>
      <c r="D46" s="105" t="s">
        <v>215</v>
      </c>
      <c r="E46" s="105">
        <v>3</v>
      </c>
      <c r="F46" s="105">
        <v>3600</v>
      </c>
      <c r="G46" s="105">
        <v>1200</v>
      </c>
      <c r="H46" s="403"/>
      <c r="I46" s="175">
        <f t="shared" si="20"/>
        <v>3</v>
      </c>
      <c r="J46" s="175">
        <f t="shared" si="21"/>
        <v>2770.9013605442201</v>
      </c>
      <c r="K46" s="202">
        <f t="shared" si="22"/>
        <v>923.63378684807356</v>
      </c>
      <c r="L46" s="385"/>
      <c r="M46" s="203">
        <f>RANK(K46, K$42:$K$71)</f>
        <v>2</v>
      </c>
      <c r="N46" s="387"/>
      <c r="O46" s="387"/>
      <c r="P46" s="105">
        <v>3</v>
      </c>
      <c r="Q46" s="175">
        <v>2753.333333333343</v>
      </c>
      <c r="R46" s="202">
        <v>917.77777777778101</v>
      </c>
      <c r="S46" s="105">
        <f t="shared" si="23"/>
        <v>2</v>
      </c>
      <c r="T46" s="403"/>
      <c r="U46" s="105">
        <v>3</v>
      </c>
      <c r="V46" s="175">
        <v>2759.9999999999854</v>
      </c>
      <c r="W46" s="202">
        <v>919.99999999999511</v>
      </c>
      <c r="X46" s="105">
        <f t="shared" si="24"/>
        <v>2</v>
      </c>
      <c r="Y46" s="403"/>
      <c r="Z46" s="105">
        <v>3</v>
      </c>
      <c r="AA46" s="175">
        <v>2793.333333333343</v>
      </c>
      <c r="AB46" s="202">
        <v>931.11111111111438</v>
      </c>
      <c r="AC46" s="105">
        <f t="shared" si="25"/>
        <v>2</v>
      </c>
      <c r="AD46" s="403"/>
      <c r="AE46" s="105">
        <v>3</v>
      </c>
      <c r="AF46" s="175">
        <v>2632.5000000000095</v>
      </c>
      <c r="AG46" s="202">
        <v>877.50000000000318</v>
      </c>
      <c r="AH46" s="105">
        <f t="shared" si="26"/>
        <v>2</v>
      </c>
      <c r="AI46" s="403"/>
      <c r="AJ46" s="105">
        <v>3</v>
      </c>
      <c r="AK46" s="175">
        <v>2897.1428571428673</v>
      </c>
      <c r="AL46" s="202">
        <v>965.71428571428908</v>
      </c>
      <c r="AM46" s="105">
        <f t="shared" si="27"/>
        <v>2</v>
      </c>
      <c r="AN46" s="403"/>
      <c r="AO46" s="105">
        <v>3</v>
      </c>
      <c r="AP46" s="175">
        <v>2773.333333333343</v>
      </c>
      <c r="AQ46" s="175">
        <v>924.44444444444764</v>
      </c>
      <c r="AR46" s="105">
        <f t="shared" si="28"/>
        <v>2</v>
      </c>
      <c r="AS46" s="403"/>
      <c r="AT46" s="105">
        <v>3</v>
      </c>
      <c r="AU46" s="175">
        <v>2786.6666666666515</v>
      </c>
      <c r="AV46" s="175">
        <v>928.8888888888838</v>
      </c>
      <c r="AW46" s="105">
        <f t="shared" si="29"/>
        <v>2</v>
      </c>
      <c r="AX46" s="403"/>
    </row>
    <row r="47" spans="2:50">
      <c r="B47" s="398"/>
      <c r="C47" s="105">
        <v>6</v>
      </c>
      <c r="D47" s="105" t="s">
        <v>216</v>
      </c>
      <c r="E47" s="105">
        <v>3</v>
      </c>
      <c r="F47" s="105">
        <v>3600</v>
      </c>
      <c r="G47" s="105">
        <v>1200</v>
      </c>
      <c r="H47" s="403"/>
      <c r="I47" s="175">
        <f t="shared" si="20"/>
        <v>4</v>
      </c>
      <c r="J47" s="175">
        <f t="shared" si="21"/>
        <v>2825.1428571428673</v>
      </c>
      <c r="K47" s="202">
        <f t="shared" si="22"/>
        <v>706.28571428571684</v>
      </c>
      <c r="L47" s="385"/>
      <c r="M47" s="203">
        <f>RANK(K47, K$42:$K$71)</f>
        <v>11</v>
      </c>
      <c r="N47" s="387"/>
      <c r="O47" s="387"/>
      <c r="P47" s="105">
        <v>4</v>
      </c>
      <c r="Q47" s="175">
        <v>2796.00000000001</v>
      </c>
      <c r="R47" s="202">
        <v>699.0000000000025</v>
      </c>
      <c r="S47" s="105">
        <f t="shared" si="23"/>
        <v>11</v>
      </c>
      <c r="T47" s="403"/>
      <c r="U47" s="105">
        <v>4</v>
      </c>
      <c r="V47" s="175">
        <v>2868.00000000001</v>
      </c>
      <c r="W47" s="202">
        <v>717.0000000000025</v>
      </c>
      <c r="X47" s="105">
        <f t="shared" si="24"/>
        <v>11</v>
      </c>
      <c r="Y47" s="403"/>
      <c r="Z47" s="105">
        <v>4</v>
      </c>
      <c r="AA47" s="175">
        <v>2772.00000000001</v>
      </c>
      <c r="AB47" s="202">
        <v>693.0000000000025</v>
      </c>
      <c r="AC47" s="105">
        <f t="shared" si="25"/>
        <v>11</v>
      </c>
      <c r="AD47" s="403"/>
      <c r="AE47" s="105">
        <v>4</v>
      </c>
      <c r="AF47" s="175">
        <v>2790.00000000001</v>
      </c>
      <c r="AG47" s="202">
        <v>697.5000000000025</v>
      </c>
      <c r="AH47" s="105">
        <f t="shared" si="26"/>
        <v>11</v>
      </c>
      <c r="AI47" s="403"/>
      <c r="AJ47" s="105">
        <v>4</v>
      </c>
      <c r="AK47" s="175">
        <v>2730.00000000001</v>
      </c>
      <c r="AL47" s="202">
        <v>682.5000000000025</v>
      </c>
      <c r="AM47" s="105">
        <f t="shared" si="27"/>
        <v>12</v>
      </c>
      <c r="AN47" s="403"/>
      <c r="AO47" s="105">
        <v>4</v>
      </c>
      <c r="AP47" s="175">
        <v>2748.0000000000095</v>
      </c>
      <c r="AQ47" s="175">
        <v>687.00000000000239</v>
      </c>
      <c r="AR47" s="105">
        <f t="shared" si="28"/>
        <v>11</v>
      </c>
      <c r="AS47" s="403"/>
      <c r="AT47" s="105">
        <v>4</v>
      </c>
      <c r="AU47" s="175">
        <v>3072.0000000000109</v>
      </c>
      <c r="AV47" s="175">
        <v>768.00000000000273</v>
      </c>
      <c r="AW47" s="105">
        <f t="shared" si="29"/>
        <v>7</v>
      </c>
      <c r="AX47" s="403"/>
    </row>
    <row r="48" spans="2:50">
      <c r="B48" s="398"/>
      <c r="C48" s="105">
        <v>7</v>
      </c>
      <c r="D48" s="105" t="s">
        <v>217</v>
      </c>
      <c r="E48" s="105">
        <v>4</v>
      </c>
      <c r="F48" s="105">
        <v>3600</v>
      </c>
      <c r="G48" s="105">
        <v>900</v>
      </c>
      <c r="H48" s="403"/>
      <c r="I48" s="175">
        <f t="shared" si="20"/>
        <v>4</v>
      </c>
      <c r="J48" s="175">
        <f t="shared" si="21"/>
        <v>2391.4285714285543</v>
      </c>
      <c r="K48" s="202">
        <f t="shared" si="22"/>
        <v>597.85714285713857</v>
      </c>
      <c r="L48" s="385"/>
      <c r="M48" s="203">
        <f>RANK(K48, K$42:$K$71)</f>
        <v>17</v>
      </c>
      <c r="N48" s="387"/>
      <c r="O48" s="387"/>
      <c r="P48" s="105">
        <v>4</v>
      </c>
      <c r="Q48" s="175">
        <v>2419.9999999999445</v>
      </c>
      <c r="R48" s="202">
        <v>604.99999999998613</v>
      </c>
      <c r="S48" s="105">
        <f t="shared" si="23"/>
        <v>16</v>
      </c>
      <c r="T48" s="403"/>
      <c r="U48" s="105">
        <v>4</v>
      </c>
      <c r="V48" s="175">
        <v>2320.0000000000082</v>
      </c>
      <c r="W48" s="202">
        <v>580.00000000000205</v>
      </c>
      <c r="X48" s="105">
        <f t="shared" si="24"/>
        <v>20</v>
      </c>
      <c r="Y48" s="403"/>
      <c r="Z48" s="105">
        <v>4</v>
      </c>
      <c r="AA48" s="175">
        <v>2120.0000000000073</v>
      </c>
      <c r="AB48" s="202">
        <v>530.00000000000182</v>
      </c>
      <c r="AC48" s="105">
        <f t="shared" si="25"/>
        <v>21</v>
      </c>
      <c r="AD48" s="403"/>
      <c r="AE48" s="105">
        <v>4</v>
      </c>
      <c r="AF48" s="175">
        <v>2550.0000000000091</v>
      </c>
      <c r="AG48" s="202">
        <v>637.50000000000227</v>
      </c>
      <c r="AH48" s="105">
        <f t="shared" si="26"/>
        <v>14</v>
      </c>
      <c r="AI48" s="403"/>
      <c r="AJ48" s="105">
        <v>4</v>
      </c>
      <c r="AK48" s="175">
        <v>2370.0000000000086</v>
      </c>
      <c r="AL48" s="202">
        <v>592.50000000000216</v>
      </c>
      <c r="AM48" s="105">
        <f t="shared" si="27"/>
        <v>19</v>
      </c>
      <c r="AN48" s="403"/>
      <c r="AO48" s="105">
        <v>4</v>
      </c>
      <c r="AP48" s="175">
        <v>2080.0000000000077</v>
      </c>
      <c r="AQ48" s="175">
        <v>520.00000000000193</v>
      </c>
      <c r="AR48" s="105">
        <f t="shared" si="28"/>
        <v>20</v>
      </c>
      <c r="AS48" s="403"/>
      <c r="AT48" s="105">
        <v>4</v>
      </c>
      <c r="AU48" s="175">
        <v>2879.999999999895</v>
      </c>
      <c r="AV48" s="175">
        <v>719.99999999997374</v>
      </c>
      <c r="AW48" s="105">
        <f t="shared" si="29"/>
        <v>12</v>
      </c>
      <c r="AX48" s="403"/>
    </row>
    <row r="49" spans="2:50">
      <c r="B49" s="398"/>
      <c r="C49" s="105">
        <v>8</v>
      </c>
      <c r="D49" s="105" t="s">
        <v>215</v>
      </c>
      <c r="E49" s="105">
        <v>3</v>
      </c>
      <c r="F49" s="105">
        <v>3600</v>
      </c>
      <c r="G49" s="105">
        <v>1200</v>
      </c>
      <c r="H49" s="403"/>
      <c r="I49" s="175">
        <f t="shared" si="20"/>
        <v>3</v>
      </c>
      <c r="J49" s="175">
        <f t="shared" si="21"/>
        <v>2770.9013605442201</v>
      </c>
      <c r="K49" s="202">
        <f t="shared" si="22"/>
        <v>923.63378684807356</v>
      </c>
      <c r="L49" s="385"/>
      <c r="M49" s="203">
        <f>RANK(K49, K$42:$K$71)</f>
        <v>2</v>
      </c>
      <c r="N49" s="387"/>
      <c r="O49" s="387"/>
      <c r="P49" s="105">
        <v>3</v>
      </c>
      <c r="Q49" s="175">
        <v>2753.333333333343</v>
      </c>
      <c r="R49" s="202">
        <v>917.77777777778101</v>
      </c>
      <c r="S49" s="105">
        <f t="shared" si="23"/>
        <v>2</v>
      </c>
      <c r="T49" s="403"/>
      <c r="U49" s="105">
        <v>3</v>
      </c>
      <c r="V49" s="175">
        <v>2759.9999999999854</v>
      </c>
      <c r="W49" s="202">
        <v>919.99999999999511</v>
      </c>
      <c r="X49" s="105">
        <f t="shared" si="24"/>
        <v>2</v>
      </c>
      <c r="Y49" s="403"/>
      <c r="Z49" s="105">
        <v>3</v>
      </c>
      <c r="AA49" s="175">
        <v>2793.333333333343</v>
      </c>
      <c r="AB49" s="202">
        <v>931.11111111111438</v>
      </c>
      <c r="AC49" s="105">
        <f t="shared" si="25"/>
        <v>2</v>
      </c>
      <c r="AD49" s="403"/>
      <c r="AE49" s="105">
        <v>3</v>
      </c>
      <c r="AF49" s="175">
        <v>2632.5000000000095</v>
      </c>
      <c r="AG49" s="202">
        <v>877.50000000000318</v>
      </c>
      <c r="AH49" s="105">
        <f t="shared" si="26"/>
        <v>2</v>
      </c>
      <c r="AI49" s="403"/>
      <c r="AJ49" s="105">
        <v>3</v>
      </c>
      <c r="AK49" s="175">
        <v>2897.1428571428673</v>
      </c>
      <c r="AL49" s="202">
        <v>965.71428571428908</v>
      </c>
      <c r="AM49" s="105">
        <f t="shared" si="27"/>
        <v>2</v>
      </c>
      <c r="AN49" s="403"/>
      <c r="AO49" s="105">
        <v>3</v>
      </c>
      <c r="AP49" s="175">
        <v>2773.333333333343</v>
      </c>
      <c r="AQ49" s="175">
        <v>924.44444444444764</v>
      </c>
      <c r="AR49" s="105">
        <f t="shared" si="28"/>
        <v>2</v>
      </c>
      <c r="AS49" s="403"/>
      <c r="AT49" s="105">
        <v>3</v>
      </c>
      <c r="AU49" s="175">
        <v>2786.6666666666515</v>
      </c>
      <c r="AV49" s="175">
        <v>928.8888888888838</v>
      </c>
      <c r="AW49" s="105">
        <f t="shared" si="29"/>
        <v>2</v>
      </c>
      <c r="AX49" s="403"/>
    </row>
    <row r="50" spans="2:50">
      <c r="B50" s="398"/>
      <c r="C50" s="105">
        <v>9</v>
      </c>
      <c r="D50" s="105" t="s">
        <v>216</v>
      </c>
      <c r="E50" s="105">
        <v>3</v>
      </c>
      <c r="F50" s="105">
        <v>3600</v>
      </c>
      <c r="G50" s="105">
        <v>1200</v>
      </c>
      <c r="H50" s="403"/>
      <c r="I50" s="175">
        <f t="shared" si="20"/>
        <v>4</v>
      </c>
      <c r="J50" s="175">
        <f t="shared" si="21"/>
        <v>2825.1428571428673</v>
      </c>
      <c r="K50" s="202">
        <f t="shared" si="22"/>
        <v>706.28571428571684</v>
      </c>
      <c r="L50" s="385"/>
      <c r="M50" s="203">
        <f>RANK(K50, K$42:$K$71)</f>
        <v>11</v>
      </c>
      <c r="N50" s="387"/>
      <c r="O50" s="387"/>
      <c r="P50" s="105">
        <v>4</v>
      </c>
      <c r="Q50" s="175">
        <v>2796.00000000001</v>
      </c>
      <c r="R50" s="202">
        <v>699.0000000000025</v>
      </c>
      <c r="S50" s="105">
        <f t="shared" si="23"/>
        <v>11</v>
      </c>
      <c r="T50" s="403"/>
      <c r="U50" s="105">
        <v>4</v>
      </c>
      <c r="V50" s="175">
        <v>2868.00000000001</v>
      </c>
      <c r="W50" s="202">
        <v>717.0000000000025</v>
      </c>
      <c r="X50" s="105">
        <f t="shared" si="24"/>
        <v>11</v>
      </c>
      <c r="Y50" s="403"/>
      <c r="Z50" s="105">
        <v>4</v>
      </c>
      <c r="AA50" s="175">
        <v>2772.00000000001</v>
      </c>
      <c r="AB50" s="202">
        <v>693.0000000000025</v>
      </c>
      <c r="AC50" s="105">
        <f t="shared" si="25"/>
        <v>11</v>
      </c>
      <c r="AD50" s="403"/>
      <c r="AE50" s="105">
        <v>4</v>
      </c>
      <c r="AF50" s="175">
        <v>2790.00000000001</v>
      </c>
      <c r="AG50" s="202">
        <v>697.5000000000025</v>
      </c>
      <c r="AH50" s="105">
        <f t="shared" si="26"/>
        <v>11</v>
      </c>
      <c r="AI50" s="403"/>
      <c r="AJ50" s="105">
        <v>4</v>
      </c>
      <c r="AK50" s="175">
        <v>2730.00000000001</v>
      </c>
      <c r="AL50" s="202">
        <v>682.5000000000025</v>
      </c>
      <c r="AM50" s="105">
        <f t="shared" si="27"/>
        <v>12</v>
      </c>
      <c r="AN50" s="403"/>
      <c r="AO50" s="105">
        <v>4</v>
      </c>
      <c r="AP50" s="175">
        <v>2748.0000000000095</v>
      </c>
      <c r="AQ50" s="175">
        <v>687.00000000000239</v>
      </c>
      <c r="AR50" s="105">
        <f t="shared" si="28"/>
        <v>11</v>
      </c>
      <c r="AS50" s="403"/>
      <c r="AT50" s="105">
        <v>4</v>
      </c>
      <c r="AU50" s="175">
        <v>3072.0000000000109</v>
      </c>
      <c r="AV50" s="175">
        <v>768.00000000000273</v>
      </c>
      <c r="AW50" s="105">
        <f t="shared" si="29"/>
        <v>7</v>
      </c>
      <c r="AX50" s="403"/>
    </row>
    <row r="51" spans="2:50">
      <c r="B51" s="398"/>
      <c r="C51" s="105">
        <v>10</v>
      </c>
      <c r="D51" s="105" t="s">
        <v>217</v>
      </c>
      <c r="E51" s="105">
        <v>4</v>
      </c>
      <c r="F51" s="105">
        <v>3600</v>
      </c>
      <c r="G51" s="105">
        <v>900</v>
      </c>
      <c r="H51" s="403"/>
      <c r="I51" s="175">
        <f t="shared" si="20"/>
        <v>4</v>
      </c>
      <c r="J51" s="175">
        <f t="shared" si="21"/>
        <v>2391.4285714285543</v>
      </c>
      <c r="K51" s="202">
        <f t="shared" si="22"/>
        <v>597.85714285713857</v>
      </c>
      <c r="L51" s="385"/>
      <c r="M51" s="203">
        <f>RANK(K51, K$42:$K$71)</f>
        <v>17</v>
      </c>
      <c r="N51" s="387"/>
      <c r="O51" s="387"/>
      <c r="P51" s="105">
        <v>4</v>
      </c>
      <c r="Q51" s="175">
        <v>2419.9999999999445</v>
      </c>
      <c r="R51" s="202">
        <v>604.99999999998613</v>
      </c>
      <c r="S51" s="105">
        <f t="shared" si="23"/>
        <v>16</v>
      </c>
      <c r="T51" s="403"/>
      <c r="U51" s="105">
        <v>4</v>
      </c>
      <c r="V51" s="175">
        <v>2320.0000000000082</v>
      </c>
      <c r="W51" s="202">
        <v>580.00000000000205</v>
      </c>
      <c r="X51" s="105">
        <f t="shared" si="24"/>
        <v>20</v>
      </c>
      <c r="Y51" s="403"/>
      <c r="Z51" s="105">
        <v>4</v>
      </c>
      <c r="AA51" s="175">
        <v>2120.0000000000073</v>
      </c>
      <c r="AB51" s="202">
        <v>530.00000000000182</v>
      </c>
      <c r="AC51" s="105">
        <f t="shared" si="25"/>
        <v>21</v>
      </c>
      <c r="AD51" s="403"/>
      <c r="AE51" s="105">
        <v>4</v>
      </c>
      <c r="AF51" s="175">
        <v>2550.0000000000091</v>
      </c>
      <c r="AG51" s="202">
        <v>637.50000000000227</v>
      </c>
      <c r="AH51" s="105">
        <f t="shared" si="26"/>
        <v>14</v>
      </c>
      <c r="AI51" s="403"/>
      <c r="AJ51" s="105">
        <v>4</v>
      </c>
      <c r="AK51" s="175">
        <v>2370.0000000000086</v>
      </c>
      <c r="AL51" s="202">
        <v>592.50000000000216</v>
      </c>
      <c r="AM51" s="105">
        <f t="shared" si="27"/>
        <v>19</v>
      </c>
      <c r="AN51" s="403"/>
      <c r="AO51" s="105">
        <v>4</v>
      </c>
      <c r="AP51" s="175">
        <v>2080.0000000000077</v>
      </c>
      <c r="AQ51" s="175">
        <v>520.00000000000193</v>
      </c>
      <c r="AR51" s="105">
        <f t="shared" si="28"/>
        <v>20</v>
      </c>
      <c r="AS51" s="403"/>
      <c r="AT51" s="105">
        <v>4</v>
      </c>
      <c r="AU51" s="175">
        <v>2879.999999999895</v>
      </c>
      <c r="AV51" s="175">
        <v>719.99999999997374</v>
      </c>
      <c r="AW51" s="105">
        <f t="shared" si="29"/>
        <v>12</v>
      </c>
      <c r="AX51" s="403"/>
    </row>
    <row r="52" spans="2:50">
      <c r="B52" s="398"/>
      <c r="C52" s="105">
        <v>11</v>
      </c>
      <c r="D52" s="105" t="s">
        <v>218</v>
      </c>
      <c r="E52" s="105">
        <v>4</v>
      </c>
      <c r="F52" s="105">
        <v>3300</v>
      </c>
      <c r="G52" s="105">
        <v>825</v>
      </c>
      <c r="H52" s="403"/>
      <c r="I52" s="175">
        <f t="shared" ref="I52:I64" si="30">AVERAGE(P52,U52,Z52,AE52,AJ52,AO52,AT52)</f>
        <v>4</v>
      </c>
      <c r="J52" s="175">
        <f t="shared" ref="J52:J64" si="31">AVERAGE(Q52,V52,AA52,AF52,AK52,AP52,AU52)</f>
        <v>2362.5571070533447</v>
      </c>
      <c r="K52" s="202">
        <f t="shared" ref="K52:K64" si="32">AVERAGE(R52,W52,AB52,AG52,AL52,AQ52,AV52)</f>
        <v>590.63927676333617</v>
      </c>
      <c r="L52" s="385"/>
      <c r="M52" s="203">
        <f>RANK(K52, K$42:$K$71)</f>
        <v>21</v>
      </c>
      <c r="N52" s="387"/>
      <c r="O52" s="387"/>
      <c r="P52" s="105">
        <v>4</v>
      </c>
      <c r="Q52" s="175">
        <v>1815.7894736842093</v>
      </c>
      <c r="R52" s="202">
        <v>453.94736842105232</v>
      </c>
      <c r="S52" s="105">
        <f t="shared" si="23"/>
        <v>23</v>
      </c>
      <c r="T52" s="403"/>
      <c r="U52" s="105">
        <v>4</v>
      </c>
      <c r="V52" s="175">
        <v>2499.9999999999982</v>
      </c>
      <c r="W52" s="202">
        <v>624.99999999999955</v>
      </c>
      <c r="X52" s="105">
        <f t="shared" si="24"/>
        <v>15</v>
      </c>
      <c r="Y52" s="403"/>
      <c r="Z52" s="105">
        <v>4</v>
      </c>
      <c r="AA52" s="175">
        <v>2403.1578947368407</v>
      </c>
      <c r="AB52" s="202">
        <v>600.78947368421018</v>
      </c>
      <c r="AC52" s="105">
        <f t="shared" si="25"/>
        <v>17</v>
      </c>
      <c r="AD52" s="403"/>
      <c r="AE52" s="105">
        <v>4</v>
      </c>
      <c r="AF52" s="175">
        <v>2427.9999999999959</v>
      </c>
      <c r="AG52" s="202">
        <v>606.99999999999898</v>
      </c>
      <c r="AH52" s="105">
        <f t="shared" si="26"/>
        <v>19</v>
      </c>
      <c r="AI52" s="403"/>
      <c r="AJ52" s="105">
        <v>4</v>
      </c>
      <c r="AK52" s="175">
        <v>2494.2857142857092</v>
      </c>
      <c r="AL52" s="202">
        <v>623.5714285714273</v>
      </c>
      <c r="AM52" s="105">
        <f t="shared" si="27"/>
        <v>14</v>
      </c>
      <c r="AN52" s="403"/>
      <c r="AO52" s="105">
        <v>4</v>
      </c>
      <c r="AP52" s="175">
        <v>2486.6666666666647</v>
      </c>
      <c r="AQ52" s="175">
        <v>621.66666666666617</v>
      </c>
      <c r="AR52" s="105">
        <f t="shared" si="28"/>
        <v>16</v>
      </c>
      <c r="AS52" s="403"/>
      <c r="AT52" s="105">
        <v>4</v>
      </c>
      <c r="AU52" s="175">
        <v>2409.9999999999982</v>
      </c>
      <c r="AV52" s="175">
        <v>602.49999999999955</v>
      </c>
      <c r="AW52" s="105">
        <f t="shared" si="29"/>
        <v>18</v>
      </c>
      <c r="AX52" s="403"/>
    </row>
    <row r="53" spans="2:50">
      <c r="B53" s="398"/>
      <c r="C53" s="105">
        <v>12</v>
      </c>
      <c r="D53" s="105" t="s">
        <v>219</v>
      </c>
      <c r="E53" s="105">
        <v>3</v>
      </c>
      <c r="F53" s="105">
        <v>3300</v>
      </c>
      <c r="G53" s="105">
        <v>1100</v>
      </c>
      <c r="H53" s="403"/>
      <c r="I53" s="175">
        <f t="shared" si="30"/>
        <v>3</v>
      </c>
      <c r="J53" s="175">
        <f t="shared" si="31"/>
        <v>2464.84700122399</v>
      </c>
      <c r="K53" s="202">
        <f t="shared" si="32"/>
        <v>821.61566707466329</v>
      </c>
      <c r="L53" s="385"/>
      <c r="M53" s="203">
        <f>RANK(K53, K$42:$K$71)</f>
        <v>5</v>
      </c>
      <c r="N53" s="387"/>
      <c r="O53" s="387"/>
      <c r="P53" s="105">
        <v>3</v>
      </c>
      <c r="Q53" s="175">
        <v>2447.4418604651182</v>
      </c>
      <c r="R53" s="202">
        <v>815.8139534883727</v>
      </c>
      <c r="S53" s="105">
        <f t="shared" si="23"/>
        <v>6</v>
      </c>
      <c r="T53" s="403"/>
      <c r="U53" s="105">
        <v>3</v>
      </c>
      <c r="V53" s="175">
        <v>2453.0232558139528</v>
      </c>
      <c r="W53" s="202">
        <v>817.6744186046509</v>
      </c>
      <c r="X53" s="105">
        <f t="shared" si="24"/>
        <v>5</v>
      </c>
      <c r="Y53" s="403"/>
      <c r="Z53" s="105">
        <v>3</v>
      </c>
      <c r="AA53" s="175">
        <v>2454.418604651165</v>
      </c>
      <c r="AB53" s="202">
        <v>818.13953488372169</v>
      </c>
      <c r="AC53" s="105">
        <f t="shared" si="25"/>
        <v>5</v>
      </c>
      <c r="AD53" s="403"/>
      <c r="AE53" s="105">
        <v>3</v>
      </c>
      <c r="AF53" s="175">
        <v>2478.9473684210507</v>
      </c>
      <c r="AG53" s="202">
        <v>826.31578947368359</v>
      </c>
      <c r="AH53" s="105">
        <f t="shared" si="26"/>
        <v>5</v>
      </c>
      <c r="AI53" s="403"/>
      <c r="AJ53" s="105">
        <v>3</v>
      </c>
      <c r="AK53" s="175">
        <v>2456.8421052631561</v>
      </c>
      <c r="AL53" s="202">
        <v>818.94736842105203</v>
      </c>
      <c r="AM53" s="105">
        <f t="shared" si="27"/>
        <v>5</v>
      </c>
      <c r="AN53" s="403"/>
      <c r="AO53" s="105">
        <v>3</v>
      </c>
      <c r="AP53" s="175">
        <v>2487.9069767441856</v>
      </c>
      <c r="AQ53" s="175">
        <v>829.30232558139517</v>
      </c>
      <c r="AR53" s="105">
        <f t="shared" si="28"/>
        <v>5</v>
      </c>
      <c r="AS53" s="403"/>
      <c r="AT53" s="105">
        <v>3</v>
      </c>
      <c r="AU53" s="175">
        <v>2475.348837209302</v>
      </c>
      <c r="AV53" s="175">
        <v>825.1162790697673</v>
      </c>
      <c r="AW53" s="105">
        <f t="shared" si="29"/>
        <v>4</v>
      </c>
      <c r="AX53" s="403"/>
    </row>
    <row r="54" spans="2:50">
      <c r="B54" s="398"/>
      <c r="C54" s="105">
        <v>13</v>
      </c>
      <c r="D54" s="105" t="s">
        <v>220</v>
      </c>
      <c r="E54" s="105">
        <v>3</v>
      </c>
      <c r="F54" s="105">
        <v>3300</v>
      </c>
      <c r="G54" s="105">
        <v>1100</v>
      </c>
      <c r="H54" s="403"/>
      <c r="I54" s="175">
        <f t="shared" si="30"/>
        <v>3</v>
      </c>
      <c r="J54" s="175">
        <f t="shared" si="31"/>
        <v>2478.2374759118948</v>
      </c>
      <c r="K54" s="202">
        <f t="shared" si="32"/>
        <v>826.07915863729818</v>
      </c>
      <c r="L54" s="385"/>
      <c r="M54" s="203">
        <f>RANK(K54, K$42:$K$71)</f>
        <v>4</v>
      </c>
      <c r="N54" s="387"/>
      <c r="O54" s="387"/>
      <c r="P54" s="105">
        <v>3</v>
      </c>
      <c r="Q54" s="175">
        <v>2479.5348837209322</v>
      </c>
      <c r="R54" s="202">
        <v>826.51162790697742</v>
      </c>
      <c r="S54" s="105">
        <f t="shared" si="23"/>
        <v>5</v>
      </c>
      <c r="T54" s="403"/>
      <c r="U54" s="105">
        <v>3</v>
      </c>
      <c r="V54" s="175">
        <v>2483.72093023256</v>
      </c>
      <c r="W54" s="202">
        <v>827.90697674418664</v>
      </c>
      <c r="X54" s="105">
        <f t="shared" si="24"/>
        <v>4</v>
      </c>
      <c r="Y54" s="403"/>
      <c r="Z54" s="105">
        <v>3</v>
      </c>
      <c r="AA54" s="175">
        <v>2478.1395348837227</v>
      </c>
      <c r="AB54" s="202">
        <v>826.04651162790753</v>
      </c>
      <c r="AC54" s="105">
        <f t="shared" si="25"/>
        <v>4</v>
      </c>
      <c r="AD54" s="403"/>
      <c r="AE54" s="105">
        <v>3</v>
      </c>
      <c r="AF54" s="175">
        <v>2466.1538461538421</v>
      </c>
      <c r="AG54" s="202">
        <v>822.05128205128074</v>
      </c>
      <c r="AH54" s="105">
        <f t="shared" si="26"/>
        <v>6</v>
      </c>
      <c r="AI54" s="403"/>
      <c r="AJ54" s="105">
        <v>3</v>
      </c>
      <c r="AK54" s="175">
        <v>2490.8108108108058</v>
      </c>
      <c r="AL54" s="202">
        <v>830.27027027026861</v>
      </c>
      <c r="AM54" s="105">
        <f t="shared" si="27"/>
        <v>4</v>
      </c>
      <c r="AN54" s="403"/>
      <c r="AO54" s="105">
        <v>3</v>
      </c>
      <c r="AP54" s="175">
        <v>2493.4883720930256</v>
      </c>
      <c r="AQ54" s="175">
        <v>831.16279069767518</v>
      </c>
      <c r="AR54" s="105">
        <f t="shared" si="28"/>
        <v>4</v>
      </c>
      <c r="AS54" s="403"/>
      <c r="AT54" s="105">
        <v>3</v>
      </c>
      <c r="AU54" s="175">
        <v>2455.8139534883744</v>
      </c>
      <c r="AV54" s="175">
        <v>818.60465116279147</v>
      </c>
      <c r="AW54" s="105">
        <f t="shared" si="29"/>
        <v>5</v>
      </c>
      <c r="AX54" s="403"/>
    </row>
    <row r="55" spans="2:50">
      <c r="B55" s="398"/>
      <c r="C55" s="105">
        <v>14</v>
      </c>
      <c r="D55" s="105" t="s">
        <v>222</v>
      </c>
      <c r="E55" s="105">
        <v>4</v>
      </c>
      <c r="F55" s="105">
        <v>3300</v>
      </c>
      <c r="G55" s="105">
        <v>825</v>
      </c>
      <c r="H55" s="403"/>
      <c r="I55" s="175">
        <f t="shared" si="30"/>
        <v>4</v>
      </c>
      <c r="J55" s="175">
        <f t="shared" si="31"/>
        <v>2468.9567112111304</v>
      </c>
      <c r="K55" s="202">
        <f t="shared" si="32"/>
        <v>617.23917780278259</v>
      </c>
      <c r="L55" s="385"/>
      <c r="M55" s="203">
        <f>RANK(K55, K$42:$K$71)</f>
        <v>15</v>
      </c>
      <c r="N55" s="387"/>
      <c r="O55" s="387"/>
      <c r="P55" s="105">
        <v>4</v>
      </c>
      <c r="Q55" s="175">
        <v>2492.7272727272752</v>
      </c>
      <c r="R55" s="202">
        <v>623.18181818181881</v>
      </c>
      <c r="S55" s="105">
        <f t="shared" si="23"/>
        <v>14</v>
      </c>
      <c r="T55" s="403"/>
      <c r="U55" s="105">
        <v>4</v>
      </c>
      <c r="V55" s="175">
        <v>2500.0000000000027</v>
      </c>
      <c r="W55" s="202">
        <v>625.00000000000068</v>
      </c>
      <c r="X55" s="105">
        <f t="shared" si="24"/>
        <v>14</v>
      </c>
      <c r="Y55" s="403"/>
      <c r="Z55" s="105">
        <v>4</v>
      </c>
      <c r="AA55" s="175">
        <v>2467.0588235294149</v>
      </c>
      <c r="AB55" s="202">
        <v>616.76470588235372</v>
      </c>
      <c r="AC55" s="105">
        <f t="shared" si="25"/>
        <v>15</v>
      </c>
      <c r="AD55" s="403"/>
      <c r="AE55" s="105">
        <v>4</v>
      </c>
      <c r="AF55" s="175">
        <v>2447.5862068965466</v>
      </c>
      <c r="AG55" s="202">
        <v>611.89655172413666</v>
      </c>
      <c r="AH55" s="105">
        <f t="shared" si="26"/>
        <v>18</v>
      </c>
      <c r="AI55" s="403"/>
      <c r="AJ55" s="105">
        <v>4</v>
      </c>
      <c r="AK55" s="175">
        <v>2447.1428571428519</v>
      </c>
      <c r="AL55" s="202">
        <v>611.78571428571297</v>
      </c>
      <c r="AM55" s="105">
        <f t="shared" si="27"/>
        <v>17</v>
      </c>
      <c r="AN55" s="403"/>
      <c r="AO55" s="105">
        <v>4</v>
      </c>
      <c r="AP55" s="175">
        <v>2430.0000000000032</v>
      </c>
      <c r="AQ55" s="175">
        <v>607.5000000000008</v>
      </c>
      <c r="AR55" s="105">
        <f t="shared" si="28"/>
        <v>17</v>
      </c>
      <c r="AS55" s="403"/>
      <c r="AT55" s="105">
        <v>4</v>
      </c>
      <c r="AU55" s="175">
        <v>2498.1818181818207</v>
      </c>
      <c r="AV55" s="175">
        <v>624.54545454545519</v>
      </c>
      <c r="AW55" s="105">
        <f t="shared" si="29"/>
        <v>15</v>
      </c>
      <c r="AX55" s="403"/>
    </row>
    <row r="56" spans="2:50">
      <c r="B56" s="398"/>
      <c r="C56" s="105">
        <v>15</v>
      </c>
      <c r="D56" s="105" t="s">
        <v>231</v>
      </c>
      <c r="E56" s="105">
        <v>4</v>
      </c>
      <c r="F56" s="105">
        <v>3300</v>
      </c>
      <c r="G56" s="105">
        <v>825</v>
      </c>
      <c r="H56" s="403"/>
      <c r="I56" s="175">
        <f t="shared" si="30"/>
        <v>4</v>
      </c>
      <c r="J56" s="175">
        <f t="shared" si="31"/>
        <v>2495.2943062978343</v>
      </c>
      <c r="K56" s="202">
        <f t="shared" si="32"/>
        <v>623.82357657445857</v>
      </c>
      <c r="L56" s="385"/>
      <c r="M56" s="175">
        <f>RANK(K56, K$42:$K$71)</f>
        <v>14</v>
      </c>
      <c r="N56" s="387"/>
      <c r="O56" s="387"/>
      <c r="P56" s="105">
        <v>4</v>
      </c>
      <c r="Q56" s="175">
        <v>2492</v>
      </c>
      <c r="R56" s="202">
        <v>623</v>
      </c>
      <c r="S56" s="105">
        <f t="shared" ref="S56:S70" si="33">RANK(R56, R$42:R$71)</f>
        <v>15</v>
      </c>
      <c r="T56" s="403"/>
      <c r="U56" s="105">
        <v>4</v>
      </c>
      <c r="V56" s="175">
        <v>2487.6923076923104</v>
      </c>
      <c r="W56" s="202">
        <v>621.92307692307759</v>
      </c>
      <c r="X56" s="105">
        <f t="shared" ref="X56:X70" si="34">RANK(W56, W$42:W$71)</f>
        <v>17</v>
      </c>
      <c r="Y56" s="403"/>
      <c r="Z56" s="105">
        <v>4</v>
      </c>
      <c r="AA56" s="175">
        <v>2499.6774193548408</v>
      </c>
      <c r="AB56" s="202">
        <v>624.91935483871021</v>
      </c>
      <c r="AC56" s="105">
        <f t="shared" ref="AC56:AC70" si="35">RANK(AB56, AB$42:AB$71)</f>
        <v>14</v>
      </c>
      <c r="AD56" s="403"/>
      <c r="AE56" s="105">
        <v>4</v>
      </c>
      <c r="AF56" s="175">
        <v>2515.6626506024113</v>
      </c>
      <c r="AG56" s="202">
        <v>628.91566265060283</v>
      </c>
      <c r="AH56" s="105">
        <f t="shared" ref="AH56:AH70" si="36">RANK(AG56, AG$42:AG$71)</f>
        <v>16</v>
      </c>
      <c r="AI56" s="403"/>
      <c r="AJ56" s="105">
        <v>4</v>
      </c>
      <c r="AK56" s="175">
        <v>2491.898734177214</v>
      </c>
      <c r="AL56" s="202">
        <v>622.9746835443035</v>
      </c>
      <c r="AM56" s="105">
        <f t="shared" ref="AM56:AM70" si="37">RANK(AL56, AL$42:AL$71)</f>
        <v>15</v>
      </c>
      <c r="AN56" s="403"/>
      <c r="AO56" s="105">
        <v>4</v>
      </c>
      <c r="AP56" s="175">
        <v>2496.1290322580626</v>
      </c>
      <c r="AQ56" s="175">
        <v>624.03225806451564</v>
      </c>
      <c r="AR56" s="105">
        <f t="shared" ref="AR56:AR70" si="38">RANK(AQ56, AQ$42:AQ$71)</f>
        <v>15</v>
      </c>
      <c r="AS56" s="403"/>
      <c r="AT56" s="105">
        <v>4</v>
      </c>
      <c r="AU56" s="175">
        <v>2484.0000000000018</v>
      </c>
      <c r="AV56" s="175">
        <v>621.00000000000045</v>
      </c>
      <c r="AW56" s="105">
        <f t="shared" ref="AW56:AW70" si="39">RANK(AV56, AV$42:AV$71)</f>
        <v>16</v>
      </c>
      <c r="AX56" s="403"/>
    </row>
    <row r="57" spans="2:50">
      <c r="B57" s="398"/>
      <c r="C57" s="105">
        <v>16</v>
      </c>
      <c r="D57" s="105" t="s">
        <v>223</v>
      </c>
      <c r="E57" s="105">
        <v>3</v>
      </c>
      <c r="F57" s="105">
        <v>3300</v>
      </c>
      <c r="G57" s="105">
        <v>1100</v>
      </c>
      <c r="H57" s="403"/>
      <c r="I57" s="175">
        <f t="shared" si="30"/>
        <v>3</v>
      </c>
      <c r="J57" s="175">
        <f t="shared" si="31"/>
        <v>2444.2755600263813</v>
      </c>
      <c r="K57" s="202">
        <f t="shared" si="32"/>
        <v>814.75852000879365</v>
      </c>
      <c r="L57" s="385"/>
      <c r="M57" s="175">
        <f>RANK(K57, K$42:$K$71)</f>
        <v>6</v>
      </c>
      <c r="N57" s="387"/>
      <c r="O57" s="387"/>
      <c r="P57" s="105">
        <v>3</v>
      </c>
      <c r="Q57" s="175">
        <v>2499.1304347826085</v>
      </c>
      <c r="R57" s="202">
        <v>833.04347826086951</v>
      </c>
      <c r="S57" s="105">
        <f t="shared" si="33"/>
        <v>4</v>
      </c>
      <c r="T57" s="403"/>
      <c r="U57" s="105">
        <v>3</v>
      </c>
      <c r="V57" s="175">
        <v>2400.0000000000009</v>
      </c>
      <c r="W57" s="202">
        <v>800.00000000000034</v>
      </c>
      <c r="X57" s="105">
        <f t="shared" si="34"/>
        <v>6</v>
      </c>
      <c r="Y57" s="403"/>
      <c r="Z57" s="105">
        <v>3</v>
      </c>
      <c r="AA57" s="175">
        <v>2397.391304347826</v>
      </c>
      <c r="AB57" s="202">
        <v>799.13043478260863</v>
      </c>
      <c r="AC57" s="105">
        <f t="shared" si="35"/>
        <v>6</v>
      </c>
      <c r="AD57" s="403"/>
      <c r="AE57" s="105">
        <v>3</v>
      </c>
      <c r="AF57" s="175">
        <v>2502.3529411764675</v>
      </c>
      <c r="AG57" s="202">
        <v>834.11764705882251</v>
      </c>
      <c r="AH57" s="105">
        <f t="shared" si="36"/>
        <v>4</v>
      </c>
      <c r="AI57" s="403"/>
      <c r="AJ57" s="105">
        <v>3</v>
      </c>
      <c r="AK57" s="175">
        <v>2442.3529411764675</v>
      </c>
      <c r="AL57" s="202">
        <v>814.11764705882251</v>
      </c>
      <c r="AM57" s="105">
        <f t="shared" si="37"/>
        <v>6</v>
      </c>
      <c r="AN57" s="403"/>
      <c r="AO57" s="105">
        <v>3</v>
      </c>
      <c r="AP57" s="175">
        <v>2457.2727272727361</v>
      </c>
      <c r="AQ57" s="175">
        <v>819.09090909091208</v>
      </c>
      <c r="AR57" s="105">
        <f t="shared" si="38"/>
        <v>6</v>
      </c>
      <c r="AS57" s="403"/>
      <c r="AT57" s="105">
        <v>3</v>
      </c>
      <c r="AU57" s="175">
        <v>2411.4285714285616</v>
      </c>
      <c r="AV57" s="175">
        <v>803.80952380952056</v>
      </c>
      <c r="AW57" s="105">
        <f t="shared" si="39"/>
        <v>6</v>
      </c>
      <c r="AX57" s="403"/>
    </row>
    <row r="58" spans="2:50">
      <c r="B58" s="398"/>
      <c r="C58" s="105">
        <v>17</v>
      </c>
      <c r="D58" s="105" t="s">
        <v>224</v>
      </c>
      <c r="E58" s="105">
        <v>4</v>
      </c>
      <c r="F58" s="105">
        <v>3300</v>
      </c>
      <c r="G58" s="105">
        <v>825</v>
      </c>
      <c r="H58" s="403"/>
      <c r="I58" s="175">
        <f t="shared" si="30"/>
        <v>4</v>
      </c>
      <c r="J58" s="175">
        <f t="shared" si="31"/>
        <v>2389.1667561761537</v>
      </c>
      <c r="K58" s="202">
        <f t="shared" si="32"/>
        <v>597.29168904403843</v>
      </c>
      <c r="L58" s="385"/>
      <c r="M58" s="175">
        <f>RANK(K58, K$42:$K$71)</f>
        <v>19</v>
      </c>
      <c r="N58" s="387"/>
      <c r="O58" s="387"/>
      <c r="P58" s="105">
        <v>4</v>
      </c>
      <c r="Q58" s="175">
        <v>2404.6874999999995</v>
      </c>
      <c r="R58" s="202">
        <v>601.17187499999989</v>
      </c>
      <c r="S58" s="105">
        <f t="shared" si="33"/>
        <v>18</v>
      </c>
      <c r="T58" s="403"/>
      <c r="U58" s="105">
        <v>4</v>
      </c>
      <c r="V58" s="175">
        <v>2384.0624999999995</v>
      </c>
      <c r="W58" s="202">
        <v>596.01562499999989</v>
      </c>
      <c r="X58" s="105">
        <f t="shared" si="34"/>
        <v>19</v>
      </c>
      <c r="Y58" s="403"/>
      <c r="Z58" s="105">
        <v>4</v>
      </c>
      <c r="AA58" s="175">
        <v>2370.4615384615381</v>
      </c>
      <c r="AB58" s="202">
        <v>592.61538461538453</v>
      </c>
      <c r="AC58" s="105">
        <f t="shared" si="35"/>
        <v>19</v>
      </c>
      <c r="AD58" s="403"/>
      <c r="AE58" s="105">
        <v>4</v>
      </c>
      <c r="AF58" s="175">
        <v>2392.631578947367</v>
      </c>
      <c r="AG58" s="202">
        <v>598.15789473684174</v>
      </c>
      <c r="AH58" s="105">
        <f t="shared" si="36"/>
        <v>20</v>
      </c>
      <c r="AI58" s="403"/>
      <c r="AJ58" s="105">
        <v>4</v>
      </c>
      <c r="AK58" s="175">
        <v>2366.7857142857124</v>
      </c>
      <c r="AL58" s="202">
        <v>591.6964285714281</v>
      </c>
      <c r="AM58" s="105">
        <f t="shared" si="37"/>
        <v>21</v>
      </c>
      <c r="AN58" s="403"/>
      <c r="AO58" s="105">
        <v>4</v>
      </c>
      <c r="AP58" s="175">
        <v>2419.3846153846148</v>
      </c>
      <c r="AQ58" s="175">
        <v>604.8461538461537</v>
      </c>
      <c r="AR58" s="105">
        <f t="shared" si="38"/>
        <v>18</v>
      </c>
      <c r="AS58" s="403"/>
      <c r="AT58" s="105">
        <v>4</v>
      </c>
      <c r="AU58" s="175">
        <v>2386.1538461538457</v>
      </c>
      <c r="AV58" s="175">
        <v>596.53846153846143</v>
      </c>
      <c r="AW58" s="105">
        <f t="shared" si="39"/>
        <v>19</v>
      </c>
      <c r="AX58" s="403"/>
    </row>
    <row r="59" spans="2:50">
      <c r="B59" s="398"/>
      <c r="C59" s="105">
        <v>18</v>
      </c>
      <c r="D59" s="105" t="s">
        <v>225</v>
      </c>
      <c r="E59" s="105">
        <v>4</v>
      </c>
      <c r="F59" s="105">
        <v>3300</v>
      </c>
      <c r="G59" s="105">
        <v>825</v>
      </c>
      <c r="H59" s="403"/>
      <c r="I59" s="175">
        <f t="shared" si="30"/>
        <v>4</v>
      </c>
      <c r="J59" s="175">
        <f t="shared" si="31"/>
        <v>2380.1236858379712</v>
      </c>
      <c r="K59" s="202">
        <f t="shared" si="32"/>
        <v>595.03092145949279</v>
      </c>
      <c r="L59" s="385"/>
      <c r="M59" s="175">
        <f>RANK(K59, K$42:$K$71)</f>
        <v>20</v>
      </c>
      <c r="N59" s="387"/>
      <c r="O59" s="387"/>
      <c r="P59" s="105">
        <v>4</v>
      </c>
      <c r="Q59" s="175">
        <v>2379.4736842105258</v>
      </c>
      <c r="R59" s="202">
        <v>594.86842105263145</v>
      </c>
      <c r="S59" s="105">
        <f t="shared" si="33"/>
        <v>19</v>
      </c>
      <c r="T59" s="403"/>
      <c r="U59" s="105">
        <v>4</v>
      </c>
      <c r="V59" s="175">
        <v>2390.5263157894733</v>
      </c>
      <c r="W59" s="202">
        <v>597.63157894736833</v>
      </c>
      <c r="X59" s="105">
        <f t="shared" si="34"/>
        <v>18</v>
      </c>
      <c r="Y59" s="403"/>
      <c r="Z59" s="105">
        <v>4</v>
      </c>
      <c r="AA59" s="175">
        <v>2384.4155844155844</v>
      </c>
      <c r="AB59" s="202">
        <v>596.10389610389609</v>
      </c>
      <c r="AC59" s="105">
        <f t="shared" si="35"/>
        <v>18</v>
      </c>
      <c r="AD59" s="403"/>
      <c r="AE59" s="105">
        <v>4</v>
      </c>
      <c r="AF59" s="175">
        <v>2368.181818181818</v>
      </c>
      <c r="AG59" s="202">
        <v>592.0454545454545</v>
      </c>
      <c r="AH59" s="105">
        <f t="shared" si="36"/>
        <v>21</v>
      </c>
      <c r="AI59" s="403"/>
      <c r="AJ59" s="105">
        <v>4</v>
      </c>
      <c r="AK59" s="175">
        <v>2381.9047619047615</v>
      </c>
      <c r="AL59" s="202">
        <v>595.47619047619037</v>
      </c>
      <c r="AM59" s="105">
        <f t="shared" si="37"/>
        <v>18</v>
      </c>
      <c r="AN59" s="403"/>
      <c r="AO59" s="105">
        <v>4</v>
      </c>
      <c r="AP59" s="175">
        <v>2380.5194805194806</v>
      </c>
      <c r="AQ59" s="175">
        <v>595.12987012987014</v>
      </c>
      <c r="AR59" s="105">
        <f t="shared" si="38"/>
        <v>19</v>
      </c>
      <c r="AS59" s="403"/>
      <c r="AT59" s="105">
        <v>4</v>
      </c>
      <c r="AU59" s="175">
        <v>2375.8441558441559</v>
      </c>
      <c r="AV59" s="175">
        <v>593.96103896103898</v>
      </c>
      <c r="AW59" s="105">
        <f t="shared" si="39"/>
        <v>20</v>
      </c>
      <c r="AX59" s="403"/>
    </row>
    <row r="60" spans="2:50">
      <c r="B60" s="398"/>
      <c r="C60" s="105">
        <v>19</v>
      </c>
      <c r="D60" s="105" t="s">
        <v>226</v>
      </c>
      <c r="E60" s="105">
        <v>4</v>
      </c>
      <c r="F60" s="105">
        <v>3600</v>
      </c>
      <c r="G60" s="105">
        <v>900</v>
      </c>
      <c r="H60" s="403"/>
      <c r="I60" s="175">
        <f t="shared" si="30"/>
        <v>4</v>
      </c>
      <c r="J60" s="175">
        <f t="shared" si="31"/>
        <v>2796.6168847026011</v>
      </c>
      <c r="K60" s="202">
        <f t="shared" si="32"/>
        <v>699.15422117565026</v>
      </c>
      <c r="L60" s="385"/>
      <c r="M60" s="175">
        <f>RANK(K60, K$42:$K$71)</f>
        <v>13</v>
      </c>
      <c r="N60" s="387"/>
      <c r="O60" s="387"/>
      <c r="P60" s="105">
        <v>4</v>
      </c>
      <c r="Q60" s="175">
        <v>3023.9999999999914</v>
      </c>
      <c r="R60" s="202">
        <v>755.99999999999784</v>
      </c>
      <c r="S60" s="105">
        <f t="shared" si="33"/>
        <v>7</v>
      </c>
      <c r="T60" s="403"/>
      <c r="U60" s="105">
        <v>4</v>
      </c>
      <c r="V60" s="175">
        <v>2755.5555555555488</v>
      </c>
      <c r="W60" s="202">
        <v>688.88888888888721</v>
      </c>
      <c r="X60" s="105">
        <f t="shared" si="34"/>
        <v>13</v>
      </c>
      <c r="Y60" s="403"/>
      <c r="Z60" s="105">
        <v>4</v>
      </c>
      <c r="AA60" s="175">
        <v>2894.3999999999915</v>
      </c>
      <c r="AB60" s="202">
        <v>723.59999999999786</v>
      </c>
      <c r="AC60" s="105">
        <f t="shared" si="35"/>
        <v>9</v>
      </c>
      <c r="AD60" s="403"/>
      <c r="AE60" s="105">
        <v>4</v>
      </c>
      <c r="AF60" s="175">
        <v>2753.0769230769329</v>
      </c>
      <c r="AG60" s="202">
        <v>688.26923076923322</v>
      </c>
      <c r="AH60" s="105">
        <f t="shared" si="36"/>
        <v>13</v>
      </c>
      <c r="AI60" s="403"/>
      <c r="AJ60" s="105">
        <v>4</v>
      </c>
      <c r="AK60" s="175">
        <v>2742.8571428571527</v>
      </c>
      <c r="AL60" s="202">
        <v>685.71428571428817</v>
      </c>
      <c r="AM60" s="105">
        <f t="shared" si="37"/>
        <v>11</v>
      </c>
      <c r="AN60" s="403"/>
      <c r="AO60" s="105">
        <v>4</v>
      </c>
      <c r="AP60" s="175">
        <v>2640.0000000000095</v>
      </c>
      <c r="AQ60" s="175">
        <v>660.00000000000239</v>
      </c>
      <c r="AR60" s="105">
        <f t="shared" si="38"/>
        <v>13</v>
      </c>
      <c r="AS60" s="403"/>
      <c r="AT60" s="105">
        <v>4</v>
      </c>
      <c r="AU60" s="175">
        <v>2766.4285714285811</v>
      </c>
      <c r="AV60" s="175">
        <v>691.60714285714528</v>
      </c>
      <c r="AW60" s="105">
        <f t="shared" si="39"/>
        <v>14</v>
      </c>
      <c r="AX60" s="403"/>
    </row>
    <row r="61" spans="2:50">
      <c r="B61" s="398"/>
      <c r="C61" s="105">
        <v>20</v>
      </c>
      <c r="D61" s="105" t="s">
        <v>227</v>
      </c>
      <c r="E61" s="105">
        <v>4</v>
      </c>
      <c r="F61" s="105">
        <v>3000</v>
      </c>
      <c r="G61" s="105">
        <v>750</v>
      </c>
      <c r="H61" s="403"/>
      <c r="I61" s="175">
        <f t="shared" si="30"/>
        <v>3</v>
      </c>
      <c r="J61" s="175">
        <f t="shared" si="31"/>
        <v>2177.0213375672911</v>
      </c>
      <c r="K61" s="202">
        <f t="shared" si="32"/>
        <v>725.6737791890971</v>
      </c>
      <c r="L61" s="385"/>
      <c r="M61" s="175">
        <f>RANK(K61, K$42:$K$71)</f>
        <v>10</v>
      </c>
      <c r="N61" s="387"/>
      <c r="O61" s="387"/>
      <c r="P61" s="105">
        <v>3</v>
      </c>
      <c r="Q61" s="175">
        <v>2084.5714285714362</v>
      </c>
      <c r="R61" s="202">
        <v>694.85714285714539</v>
      </c>
      <c r="S61" s="105">
        <f t="shared" si="33"/>
        <v>13</v>
      </c>
      <c r="T61" s="403"/>
      <c r="U61" s="105">
        <v>3</v>
      </c>
      <c r="V61" s="175">
        <v>2158.1818181818257</v>
      </c>
      <c r="W61" s="202">
        <v>719.39393939394188</v>
      </c>
      <c r="X61" s="105">
        <f t="shared" si="34"/>
        <v>10</v>
      </c>
      <c r="Y61" s="403"/>
      <c r="Z61" s="105">
        <v>3</v>
      </c>
      <c r="AA61" s="175">
        <v>2300.0000000000082</v>
      </c>
      <c r="AB61" s="202">
        <v>766.66666666666936</v>
      </c>
      <c r="AC61" s="105">
        <f t="shared" si="35"/>
        <v>7</v>
      </c>
      <c r="AD61" s="403"/>
      <c r="AE61" s="105">
        <v>3</v>
      </c>
      <c r="AF61" s="175">
        <v>2200.6451612903302</v>
      </c>
      <c r="AG61" s="202">
        <v>733.54838709677676</v>
      </c>
      <c r="AH61" s="105">
        <f t="shared" si="36"/>
        <v>9</v>
      </c>
      <c r="AI61" s="403"/>
      <c r="AJ61" s="105">
        <v>3</v>
      </c>
      <c r="AK61" s="175">
        <v>2147.6470588235265</v>
      </c>
      <c r="AL61" s="202">
        <v>715.88235294117555</v>
      </c>
      <c r="AM61" s="105">
        <f t="shared" si="37"/>
        <v>9</v>
      </c>
      <c r="AN61" s="403"/>
      <c r="AO61" s="105">
        <v>3</v>
      </c>
      <c r="AP61" s="175">
        <v>2146.285714285722</v>
      </c>
      <c r="AQ61" s="175">
        <v>715.42857142857395</v>
      </c>
      <c r="AR61" s="105">
        <f t="shared" si="38"/>
        <v>10</v>
      </c>
      <c r="AS61" s="403"/>
      <c r="AT61" s="105">
        <v>3</v>
      </c>
      <c r="AU61" s="175">
        <v>2201.8181818181893</v>
      </c>
      <c r="AV61" s="175">
        <v>733.93939393939638</v>
      </c>
      <c r="AW61" s="105">
        <f t="shared" si="39"/>
        <v>9</v>
      </c>
      <c r="AX61" s="403"/>
    </row>
    <row r="62" spans="2:50">
      <c r="B62" s="398"/>
      <c r="C62" s="105">
        <v>21</v>
      </c>
      <c r="D62" s="105" t="s">
        <v>228</v>
      </c>
      <c r="E62" s="105">
        <v>4</v>
      </c>
      <c r="F62" s="105">
        <v>3000</v>
      </c>
      <c r="G62" s="105">
        <v>750</v>
      </c>
      <c r="H62" s="403"/>
      <c r="I62" s="175">
        <f t="shared" si="30"/>
        <v>4</v>
      </c>
      <c r="J62" s="175">
        <f t="shared" si="31"/>
        <v>2176.2666666666705</v>
      </c>
      <c r="K62" s="202">
        <f t="shared" si="32"/>
        <v>544.06666666666763</v>
      </c>
      <c r="L62" s="385"/>
      <c r="M62" s="175">
        <f>RANK(K62, K$42:$K$71)</f>
        <v>22</v>
      </c>
      <c r="N62" s="387"/>
      <c r="O62" s="387"/>
      <c r="P62" s="105">
        <v>4</v>
      </c>
      <c r="Q62" s="175">
        <v>2311.2000000000085</v>
      </c>
      <c r="R62" s="202">
        <v>577.80000000000211</v>
      </c>
      <c r="S62" s="105">
        <f t="shared" si="33"/>
        <v>20</v>
      </c>
      <c r="T62" s="403"/>
      <c r="U62" s="105">
        <v>4</v>
      </c>
      <c r="V62" s="175">
        <v>2140.7142857142935</v>
      </c>
      <c r="W62" s="202">
        <v>535.17857142857338</v>
      </c>
      <c r="X62" s="105">
        <f t="shared" si="34"/>
        <v>22</v>
      </c>
      <c r="Y62" s="403"/>
      <c r="Z62" s="105">
        <v>4</v>
      </c>
      <c r="AA62" s="175">
        <v>2198.3999999999937</v>
      </c>
      <c r="AB62" s="202">
        <v>549.59999999999843</v>
      </c>
      <c r="AC62" s="105">
        <f t="shared" si="35"/>
        <v>20</v>
      </c>
      <c r="AD62" s="403"/>
      <c r="AE62" s="105">
        <v>4</v>
      </c>
      <c r="AF62" s="175">
        <v>2169.6000000000081</v>
      </c>
      <c r="AG62" s="202">
        <v>542.40000000000202</v>
      </c>
      <c r="AH62" s="105">
        <f t="shared" si="36"/>
        <v>22</v>
      </c>
      <c r="AI62" s="403"/>
      <c r="AJ62" s="105">
        <v>4</v>
      </c>
      <c r="AK62" s="175">
        <v>2206.6666666666742</v>
      </c>
      <c r="AL62" s="202">
        <v>551.66666666666856</v>
      </c>
      <c r="AM62" s="105">
        <f t="shared" si="37"/>
        <v>22</v>
      </c>
      <c r="AN62" s="403"/>
      <c r="AO62" s="105">
        <v>4</v>
      </c>
      <c r="AP62" s="175">
        <v>2027.9999999999964</v>
      </c>
      <c r="AQ62" s="175">
        <v>506.99999999999909</v>
      </c>
      <c r="AR62" s="105">
        <f t="shared" si="38"/>
        <v>22</v>
      </c>
      <c r="AS62" s="403"/>
      <c r="AT62" s="105">
        <v>4</v>
      </c>
      <c r="AU62" s="175">
        <v>2179.285714285722</v>
      </c>
      <c r="AV62" s="175">
        <v>544.82142857143049</v>
      </c>
      <c r="AW62" s="105">
        <f t="shared" si="39"/>
        <v>21</v>
      </c>
      <c r="AX62" s="403"/>
    </row>
    <row r="63" spans="2:50">
      <c r="B63" s="398"/>
      <c r="C63" s="105">
        <v>22</v>
      </c>
      <c r="D63" s="105" t="s">
        <v>229</v>
      </c>
      <c r="E63" s="105">
        <v>4</v>
      </c>
      <c r="F63" s="105">
        <v>3000</v>
      </c>
      <c r="G63" s="105">
        <v>750</v>
      </c>
      <c r="H63" s="403"/>
      <c r="I63" s="175">
        <f t="shared" si="30"/>
        <v>3</v>
      </c>
      <c r="J63" s="175">
        <f t="shared" si="31"/>
        <v>2266.3986928104569</v>
      </c>
      <c r="K63" s="202">
        <f t="shared" si="32"/>
        <v>755.46623093681899</v>
      </c>
      <c r="L63" s="385"/>
      <c r="M63" s="175">
        <f>RANK(K63, K$42:$K$71)</f>
        <v>7</v>
      </c>
      <c r="N63" s="387"/>
      <c r="O63" s="387"/>
      <c r="P63" s="105">
        <v>3</v>
      </c>
      <c r="Q63" s="175">
        <v>2172.0000000000077</v>
      </c>
      <c r="R63" s="202">
        <v>724.00000000000261</v>
      </c>
      <c r="S63" s="105">
        <f t="shared" si="33"/>
        <v>9</v>
      </c>
      <c r="T63" s="403"/>
      <c r="U63" s="105">
        <v>3</v>
      </c>
      <c r="V63" s="175">
        <v>2353.3333333333626</v>
      </c>
      <c r="W63" s="202">
        <v>784.44444444445423</v>
      </c>
      <c r="X63" s="105">
        <f t="shared" si="34"/>
        <v>7</v>
      </c>
      <c r="Y63" s="403"/>
      <c r="Z63" s="105">
        <v>3</v>
      </c>
      <c r="AA63" s="175">
        <v>2045.9999999999745</v>
      </c>
      <c r="AB63" s="202">
        <v>681.99999999999147</v>
      </c>
      <c r="AC63" s="105">
        <f t="shared" si="35"/>
        <v>13</v>
      </c>
      <c r="AD63" s="403"/>
      <c r="AE63" s="105">
        <v>3</v>
      </c>
      <c r="AF63" s="175">
        <v>2351.9999999999832</v>
      </c>
      <c r="AG63" s="202">
        <v>783.99999999999443</v>
      </c>
      <c r="AH63" s="105">
        <f t="shared" si="36"/>
        <v>7</v>
      </c>
      <c r="AI63" s="403"/>
      <c r="AJ63" s="105">
        <v>3</v>
      </c>
      <c r="AK63" s="175">
        <v>2287.0588235294417</v>
      </c>
      <c r="AL63" s="202">
        <v>762.35294117648061</v>
      </c>
      <c r="AM63" s="105">
        <f t="shared" si="37"/>
        <v>7</v>
      </c>
      <c r="AN63" s="403"/>
      <c r="AO63" s="105">
        <v>3</v>
      </c>
      <c r="AP63" s="175">
        <v>2387.9999999999704</v>
      </c>
      <c r="AQ63" s="175">
        <v>795.99999999999011</v>
      </c>
      <c r="AR63" s="105">
        <f t="shared" si="38"/>
        <v>7</v>
      </c>
      <c r="AS63" s="403"/>
      <c r="AT63" s="105"/>
      <c r="AU63" s="175"/>
      <c r="AV63" s="175"/>
      <c r="AW63" s="105" t="e">
        <f t="shared" si="39"/>
        <v>#N/A</v>
      </c>
      <c r="AX63" s="403"/>
    </row>
    <row r="64" spans="2:50">
      <c r="B64" s="398"/>
      <c r="C64" s="105">
        <v>23</v>
      </c>
      <c r="D64" s="105" t="s">
        <v>230</v>
      </c>
      <c r="E64" s="105">
        <v>4</v>
      </c>
      <c r="F64" s="105">
        <v>3600</v>
      </c>
      <c r="G64" s="105">
        <v>900</v>
      </c>
      <c r="H64" s="403"/>
      <c r="I64" s="175">
        <f t="shared" si="30"/>
        <v>4</v>
      </c>
      <c r="J64" s="175">
        <f t="shared" si="31"/>
        <v>2449.4932662530205</v>
      </c>
      <c r="K64" s="202">
        <f t="shared" si="32"/>
        <v>612.37331656325512</v>
      </c>
      <c r="L64" s="385"/>
      <c r="M64" s="175">
        <f>RANK(K64, K$42:$K$71)</f>
        <v>16</v>
      </c>
      <c r="N64" s="387"/>
      <c r="O64" s="387"/>
      <c r="P64" s="105">
        <v>4</v>
      </c>
      <c r="Q64" s="105">
        <v>2304</v>
      </c>
      <c r="R64" s="202">
        <v>576</v>
      </c>
      <c r="S64" s="105">
        <f t="shared" si="33"/>
        <v>21</v>
      </c>
      <c r="T64" s="403"/>
      <c r="U64" s="105">
        <v>4</v>
      </c>
      <c r="V64" s="175">
        <v>2491.4285720086523</v>
      </c>
      <c r="W64" s="202">
        <v>622.85714300216307</v>
      </c>
      <c r="X64" s="105">
        <f t="shared" si="34"/>
        <v>16</v>
      </c>
      <c r="Y64" s="403"/>
      <c r="Z64" s="105">
        <v>4</v>
      </c>
      <c r="AA64" s="175">
        <v>2425.5000003529567</v>
      </c>
      <c r="AB64" s="202">
        <v>606.37500008823918</v>
      </c>
      <c r="AC64" s="105">
        <f t="shared" si="35"/>
        <v>16</v>
      </c>
      <c r="AD64" s="403"/>
      <c r="AE64" s="105">
        <v>4</v>
      </c>
      <c r="AF64" s="175">
        <v>2448.9473684210611</v>
      </c>
      <c r="AG64" s="202">
        <v>612.23684210526528</v>
      </c>
      <c r="AH64" s="105">
        <f t="shared" si="36"/>
        <v>17</v>
      </c>
      <c r="AI64" s="403"/>
      <c r="AJ64" s="105">
        <v>4</v>
      </c>
      <c r="AK64" s="175">
        <v>2469.2307691423212</v>
      </c>
      <c r="AL64" s="202">
        <v>617.30769228558029</v>
      </c>
      <c r="AM64" s="105">
        <f t="shared" si="37"/>
        <v>16</v>
      </c>
      <c r="AN64" s="403"/>
      <c r="AO64" s="105">
        <v>4</v>
      </c>
      <c r="AP64" s="175">
        <v>2533.5</v>
      </c>
      <c r="AQ64" s="175">
        <v>633.375</v>
      </c>
      <c r="AR64" s="105">
        <f t="shared" si="38"/>
        <v>14</v>
      </c>
      <c r="AS64" s="403"/>
      <c r="AT64" s="105">
        <v>4</v>
      </c>
      <c r="AU64" s="175">
        <v>2473.8461538461538</v>
      </c>
      <c r="AV64" s="175">
        <v>618.46153846153845</v>
      </c>
      <c r="AW64" s="105">
        <f t="shared" si="39"/>
        <v>17</v>
      </c>
      <c r="AX64" s="403"/>
    </row>
    <row r="65" spans="2:50">
      <c r="B65" s="398"/>
      <c r="C65" s="105">
        <v>24</v>
      </c>
      <c r="D65" s="105"/>
      <c r="E65" s="105"/>
      <c r="F65" s="105"/>
      <c r="G65" s="105"/>
      <c r="H65" s="403"/>
      <c r="I65" s="105"/>
      <c r="J65" s="105"/>
      <c r="K65" s="105"/>
      <c r="L65" s="385"/>
      <c r="M65" s="175" t="e">
        <f>RANK(K65, K$42:$K$71)</f>
        <v>#N/A</v>
      </c>
      <c r="N65" s="387"/>
      <c r="O65" s="387"/>
      <c r="P65" s="105"/>
      <c r="Q65" s="105"/>
      <c r="R65" s="105"/>
      <c r="S65" s="105" t="e">
        <f t="shared" si="33"/>
        <v>#N/A</v>
      </c>
      <c r="T65" s="403"/>
      <c r="U65" s="105"/>
      <c r="V65" s="105"/>
      <c r="W65" s="105"/>
      <c r="X65" s="105" t="e">
        <f t="shared" si="34"/>
        <v>#N/A</v>
      </c>
      <c r="Y65" s="403"/>
      <c r="Z65" s="105"/>
      <c r="AA65" s="105"/>
      <c r="AB65" s="105"/>
      <c r="AC65" s="105" t="e">
        <f t="shared" si="35"/>
        <v>#N/A</v>
      </c>
      <c r="AD65" s="403"/>
      <c r="AE65" s="105"/>
      <c r="AF65" s="105"/>
      <c r="AG65" s="105"/>
      <c r="AH65" s="105" t="e">
        <f t="shared" si="36"/>
        <v>#N/A</v>
      </c>
      <c r="AI65" s="403"/>
      <c r="AJ65" s="105"/>
      <c r="AK65" s="105"/>
      <c r="AL65" s="105"/>
      <c r="AM65" s="105" t="e">
        <f t="shared" si="37"/>
        <v>#N/A</v>
      </c>
      <c r="AN65" s="403"/>
      <c r="AO65" s="105"/>
      <c r="AP65" s="105"/>
      <c r="AQ65" s="105"/>
      <c r="AR65" s="105" t="e">
        <f t="shared" si="38"/>
        <v>#N/A</v>
      </c>
      <c r="AS65" s="403"/>
      <c r="AT65" s="105"/>
      <c r="AU65" s="105"/>
      <c r="AV65" s="105"/>
      <c r="AW65" s="105" t="e">
        <f t="shared" si="39"/>
        <v>#N/A</v>
      </c>
      <c r="AX65" s="403"/>
    </row>
    <row r="66" spans="2:50">
      <c r="B66" s="398"/>
      <c r="C66" s="105">
        <v>25</v>
      </c>
      <c r="D66" s="105"/>
      <c r="E66" s="105"/>
      <c r="F66" s="105"/>
      <c r="G66" s="105"/>
      <c r="H66" s="403"/>
      <c r="I66" s="105"/>
      <c r="J66" s="105"/>
      <c r="K66" s="105"/>
      <c r="L66" s="385"/>
      <c r="M66" s="175" t="e">
        <f>RANK(K66, K$42:$K$71)</f>
        <v>#N/A</v>
      </c>
      <c r="N66" s="387"/>
      <c r="O66" s="387"/>
      <c r="P66" s="105"/>
      <c r="Q66" s="105"/>
      <c r="R66" s="105"/>
      <c r="S66" s="105" t="e">
        <f t="shared" si="33"/>
        <v>#N/A</v>
      </c>
      <c r="T66" s="403"/>
      <c r="U66" s="105"/>
      <c r="V66" s="105"/>
      <c r="W66" s="105"/>
      <c r="X66" s="105" t="e">
        <f t="shared" si="34"/>
        <v>#N/A</v>
      </c>
      <c r="Y66" s="403"/>
      <c r="Z66" s="105"/>
      <c r="AA66" s="105"/>
      <c r="AB66" s="105"/>
      <c r="AC66" s="105" t="e">
        <f t="shared" si="35"/>
        <v>#N/A</v>
      </c>
      <c r="AD66" s="403"/>
      <c r="AE66" s="105"/>
      <c r="AF66" s="105"/>
      <c r="AG66" s="105"/>
      <c r="AH66" s="105" t="e">
        <f t="shared" si="36"/>
        <v>#N/A</v>
      </c>
      <c r="AI66" s="403"/>
      <c r="AJ66" s="105"/>
      <c r="AK66" s="105"/>
      <c r="AL66" s="105"/>
      <c r="AM66" s="105" t="e">
        <f t="shared" si="37"/>
        <v>#N/A</v>
      </c>
      <c r="AN66" s="403"/>
      <c r="AO66" s="105"/>
      <c r="AP66" s="105"/>
      <c r="AQ66" s="105"/>
      <c r="AR66" s="105" t="e">
        <f t="shared" si="38"/>
        <v>#N/A</v>
      </c>
      <c r="AS66" s="403"/>
      <c r="AT66" s="105"/>
      <c r="AU66" s="105"/>
      <c r="AV66" s="105"/>
      <c r="AW66" s="105" t="e">
        <f t="shared" si="39"/>
        <v>#N/A</v>
      </c>
      <c r="AX66" s="403"/>
    </row>
    <row r="67" spans="2:50">
      <c r="B67" s="398"/>
      <c r="C67" s="105">
        <v>26</v>
      </c>
      <c r="D67" s="105"/>
      <c r="E67" s="105"/>
      <c r="F67" s="105"/>
      <c r="G67" s="105"/>
      <c r="H67" s="403"/>
      <c r="I67" s="105"/>
      <c r="J67" s="105"/>
      <c r="K67" s="105"/>
      <c r="L67" s="385"/>
      <c r="M67" s="175" t="e">
        <f>RANK(K67, K$42:$K$71)</f>
        <v>#N/A</v>
      </c>
      <c r="N67" s="387"/>
      <c r="O67" s="387"/>
      <c r="P67" s="105"/>
      <c r="Q67" s="105"/>
      <c r="R67" s="105"/>
      <c r="S67" s="105" t="e">
        <f t="shared" si="33"/>
        <v>#N/A</v>
      </c>
      <c r="T67" s="403"/>
      <c r="U67" s="105"/>
      <c r="V67" s="105"/>
      <c r="W67" s="105"/>
      <c r="X67" s="105" t="e">
        <f t="shared" si="34"/>
        <v>#N/A</v>
      </c>
      <c r="Y67" s="403"/>
      <c r="Z67" s="105"/>
      <c r="AA67" s="105"/>
      <c r="AB67" s="105"/>
      <c r="AC67" s="105" t="e">
        <f t="shared" si="35"/>
        <v>#N/A</v>
      </c>
      <c r="AD67" s="403"/>
      <c r="AE67" s="105"/>
      <c r="AF67" s="105"/>
      <c r="AG67" s="105"/>
      <c r="AH67" s="105" t="e">
        <f t="shared" si="36"/>
        <v>#N/A</v>
      </c>
      <c r="AI67" s="403"/>
      <c r="AJ67" s="105"/>
      <c r="AK67" s="105"/>
      <c r="AL67" s="105"/>
      <c r="AM67" s="105" t="e">
        <f t="shared" si="37"/>
        <v>#N/A</v>
      </c>
      <c r="AN67" s="403"/>
      <c r="AO67" s="105"/>
      <c r="AP67" s="105"/>
      <c r="AQ67" s="105"/>
      <c r="AR67" s="105" t="e">
        <f t="shared" si="38"/>
        <v>#N/A</v>
      </c>
      <c r="AS67" s="403"/>
      <c r="AT67" s="105"/>
      <c r="AU67" s="105"/>
      <c r="AV67" s="105"/>
      <c r="AW67" s="105" t="e">
        <f t="shared" si="39"/>
        <v>#N/A</v>
      </c>
      <c r="AX67" s="403"/>
    </row>
    <row r="68" spans="2:50">
      <c r="B68" s="398"/>
      <c r="C68" s="105">
        <v>27</v>
      </c>
      <c r="D68" s="105"/>
      <c r="E68" s="105"/>
      <c r="F68" s="105"/>
      <c r="G68" s="105"/>
      <c r="H68" s="403"/>
      <c r="I68" s="105"/>
      <c r="J68" s="105"/>
      <c r="K68" s="105"/>
      <c r="L68" s="385"/>
      <c r="M68" s="175" t="e">
        <f>RANK(K68, K$42:$K$71)</f>
        <v>#N/A</v>
      </c>
      <c r="N68" s="387"/>
      <c r="O68" s="387"/>
      <c r="P68" s="105"/>
      <c r="Q68" s="105"/>
      <c r="R68" s="105"/>
      <c r="S68" s="105" t="e">
        <f t="shared" si="33"/>
        <v>#N/A</v>
      </c>
      <c r="T68" s="403"/>
      <c r="U68" s="105"/>
      <c r="V68" s="105"/>
      <c r="W68" s="105"/>
      <c r="X68" s="105" t="e">
        <f t="shared" si="34"/>
        <v>#N/A</v>
      </c>
      <c r="Y68" s="403"/>
      <c r="Z68" s="105"/>
      <c r="AA68" s="105"/>
      <c r="AB68" s="105"/>
      <c r="AC68" s="105" t="e">
        <f t="shared" si="35"/>
        <v>#N/A</v>
      </c>
      <c r="AD68" s="403"/>
      <c r="AE68" s="105"/>
      <c r="AF68" s="105"/>
      <c r="AG68" s="105"/>
      <c r="AH68" s="105" t="e">
        <f t="shared" si="36"/>
        <v>#N/A</v>
      </c>
      <c r="AI68" s="403"/>
      <c r="AJ68" s="105"/>
      <c r="AK68" s="105"/>
      <c r="AL68" s="105"/>
      <c r="AM68" s="105" t="e">
        <f t="shared" si="37"/>
        <v>#N/A</v>
      </c>
      <c r="AN68" s="403"/>
      <c r="AO68" s="105"/>
      <c r="AP68" s="105"/>
      <c r="AQ68" s="105"/>
      <c r="AR68" s="105" t="e">
        <f t="shared" si="38"/>
        <v>#N/A</v>
      </c>
      <c r="AS68" s="403"/>
      <c r="AT68" s="105"/>
      <c r="AU68" s="105"/>
      <c r="AV68" s="105"/>
      <c r="AW68" s="105" t="e">
        <f t="shared" si="39"/>
        <v>#N/A</v>
      </c>
      <c r="AX68" s="403"/>
    </row>
    <row r="69" spans="2:50">
      <c r="B69" s="398"/>
      <c r="C69" s="105">
        <v>28</v>
      </c>
      <c r="D69" s="105"/>
      <c r="E69" s="105"/>
      <c r="F69" s="105"/>
      <c r="G69" s="105"/>
      <c r="H69" s="403"/>
      <c r="I69" s="105"/>
      <c r="J69" s="105"/>
      <c r="K69" s="105"/>
      <c r="L69" s="385"/>
      <c r="M69" s="175" t="e">
        <f>RANK(K69, K$42:$K$71)</f>
        <v>#N/A</v>
      </c>
      <c r="N69" s="387"/>
      <c r="O69" s="387"/>
      <c r="P69" s="105"/>
      <c r="Q69" s="105"/>
      <c r="R69" s="105"/>
      <c r="S69" s="105" t="e">
        <f t="shared" si="33"/>
        <v>#N/A</v>
      </c>
      <c r="T69" s="403"/>
      <c r="U69" s="105"/>
      <c r="V69" s="105"/>
      <c r="W69" s="105"/>
      <c r="X69" s="105" t="e">
        <f t="shared" si="34"/>
        <v>#N/A</v>
      </c>
      <c r="Y69" s="403"/>
      <c r="Z69" s="105"/>
      <c r="AA69" s="105"/>
      <c r="AB69" s="105"/>
      <c r="AC69" s="105" t="e">
        <f t="shared" si="35"/>
        <v>#N/A</v>
      </c>
      <c r="AD69" s="403"/>
      <c r="AE69" s="105"/>
      <c r="AF69" s="105"/>
      <c r="AG69" s="105"/>
      <c r="AH69" s="105" t="e">
        <f t="shared" si="36"/>
        <v>#N/A</v>
      </c>
      <c r="AI69" s="403"/>
      <c r="AJ69" s="105"/>
      <c r="AK69" s="105"/>
      <c r="AL69" s="105"/>
      <c r="AM69" s="105" t="e">
        <f t="shared" si="37"/>
        <v>#N/A</v>
      </c>
      <c r="AN69" s="403"/>
      <c r="AO69" s="105"/>
      <c r="AP69" s="105"/>
      <c r="AQ69" s="105"/>
      <c r="AR69" s="105" t="e">
        <f t="shared" si="38"/>
        <v>#N/A</v>
      </c>
      <c r="AS69" s="403"/>
      <c r="AT69" s="105"/>
      <c r="AU69" s="105"/>
      <c r="AV69" s="105"/>
      <c r="AW69" s="105" t="e">
        <f t="shared" si="39"/>
        <v>#N/A</v>
      </c>
      <c r="AX69" s="403"/>
    </row>
    <row r="70" spans="2:50">
      <c r="B70" s="398"/>
      <c r="C70" s="105">
        <v>29</v>
      </c>
      <c r="D70" s="105"/>
      <c r="E70" s="105"/>
      <c r="F70" s="105"/>
      <c r="G70" s="105"/>
      <c r="H70" s="403"/>
      <c r="I70" s="105"/>
      <c r="J70" s="105"/>
      <c r="K70" s="105"/>
      <c r="L70" s="385"/>
      <c r="M70" s="175" t="e">
        <f>RANK(K70, K$42:$K$71)</f>
        <v>#N/A</v>
      </c>
      <c r="N70" s="387"/>
      <c r="O70" s="387"/>
      <c r="P70" s="105"/>
      <c r="Q70" s="105"/>
      <c r="R70" s="105"/>
      <c r="S70" s="105" t="e">
        <f t="shared" si="33"/>
        <v>#N/A</v>
      </c>
      <c r="T70" s="403"/>
      <c r="U70" s="105"/>
      <c r="V70" s="105"/>
      <c r="W70" s="105"/>
      <c r="X70" s="105" t="e">
        <f t="shared" si="34"/>
        <v>#N/A</v>
      </c>
      <c r="Y70" s="403"/>
      <c r="Z70" s="105"/>
      <c r="AA70" s="105"/>
      <c r="AB70" s="105"/>
      <c r="AC70" s="105" t="e">
        <f t="shared" si="35"/>
        <v>#N/A</v>
      </c>
      <c r="AD70" s="403"/>
      <c r="AE70" s="105"/>
      <c r="AF70" s="105"/>
      <c r="AG70" s="105"/>
      <c r="AH70" s="105" t="e">
        <f t="shared" si="36"/>
        <v>#N/A</v>
      </c>
      <c r="AI70" s="403"/>
      <c r="AJ70" s="105"/>
      <c r="AK70" s="105"/>
      <c r="AL70" s="105"/>
      <c r="AM70" s="105" t="e">
        <f t="shared" si="37"/>
        <v>#N/A</v>
      </c>
      <c r="AN70" s="403"/>
      <c r="AO70" s="105"/>
      <c r="AP70" s="105"/>
      <c r="AQ70" s="105"/>
      <c r="AR70" s="105" t="e">
        <f t="shared" si="38"/>
        <v>#N/A</v>
      </c>
      <c r="AS70" s="403"/>
      <c r="AT70" s="105"/>
      <c r="AU70" s="105"/>
      <c r="AV70" s="105"/>
      <c r="AW70" s="105" t="e">
        <f t="shared" si="39"/>
        <v>#N/A</v>
      </c>
      <c r="AX70" s="403"/>
    </row>
    <row r="71" spans="2:50">
      <c r="B71" s="398"/>
      <c r="C71" s="105">
        <v>30</v>
      </c>
      <c r="D71" s="105"/>
      <c r="E71" s="105"/>
      <c r="F71" s="105"/>
      <c r="G71" s="105"/>
      <c r="H71" s="404"/>
      <c r="I71" s="105"/>
      <c r="J71" s="105"/>
      <c r="K71" s="105"/>
      <c r="L71" s="386"/>
      <c r="M71" s="175" t="e">
        <f>RANK(K71, K$42:$K$71)</f>
        <v>#N/A</v>
      </c>
      <c r="N71" s="387"/>
      <c r="O71" s="387"/>
      <c r="P71" s="105"/>
      <c r="Q71" s="105"/>
      <c r="R71" s="105"/>
      <c r="S71" s="105" t="e">
        <f t="shared" si="23"/>
        <v>#N/A</v>
      </c>
      <c r="T71" s="404"/>
      <c r="U71" s="105"/>
      <c r="V71" s="105"/>
      <c r="W71" s="105"/>
      <c r="X71" s="105" t="e">
        <f t="shared" si="24"/>
        <v>#N/A</v>
      </c>
      <c r="Y71" s="404"/>
      <c r="Z71" s="105"/>
      <c r="AA71" s="105"/>
      <c r="AB71" s="105"/>
      <c r="AC71" s="105" t="e">
        <f t="shared" si="25"/>
        <v>#N/A</v>
      </c>
      <c r="AD71" s="404"/>
      <c r="AE71" s="105"/>
      <c r="AF71" s="105"/>
      <c r="AG71" s="105"/>
      <c r="AH71" s="105" t="e">
        <f t="shared" si="26"/>
        <v>#N/A</v>
      </c>
      <c r="AI71" s="404"/>
      <c r="AJ71" s="105"/>
      <c r="AK71" s="105"/>
      <c r="AL71" s="105"/>
      <c r="AM71" s="105" t="e">
        <f t="shared" si="27"/>
        <v>#N/A</v>
      </c>
      <c r="AN71" s="404"/>
      <c r="AO71" s="105"/>
      <c r="AP71" s="105"/>
      <c r="AQ71" s="105"/>
      <c r="AR71" s="105" t="e">
        <f t="shared" si="28"/>
        <v>#N/A</v>
      </c>
      <c r="AS71" s="404"/>
      <c r="AT71" s="105"/>
      <c r="AU71" s="105"/>
      <c r="AV71" s="105"/>
      <c r="AW71" s="105" t="e">
        <f t="shared" si="29"/>
        <v>#N/A</v>
      </c>
      <c r="AX71" s="404"/>
    </row>
    <row r="72" spans="2:50" ht="15.75">
      <c r="B72" s="408" t="s">
        <v>195</v>
      </c>
      <c r="C72" s="409"/>
      <c r="D72" s="409"/>
      <c r="E72" s="409"/>
      <c r="F72" s="409"/>
      <c r="G72" s="409"/>
      <c r="H72" s="409"/>
      <c r="I72" s="205"/>
      <c r="J72" s="174"/>
      <c r="K72" s="205"/>
      <c r="L72" s="205"/>
      <c r="M72" s="171"/>
      <c r="N72" s="399" t="s">
        <v>196</v>
      </c>
      <c r="O72" s="399" t="s">
        <v>145</v>
      </c>
      <c r="P72" s="397">
        <f>P37+7</f>
        <v>45881</v>
      </c>
      <c r="Q72" s="398"/>
      <c r="R72" s="398"/>
      <c r="S72" s="398"/>
      <c r="T72" s="398"/>
      <c r="U72" s="394">
        <f>P72+1</f>
        <v>45882</v>
      </c>
      <c r="V72" s="395"/>
      <c r="W72" s="395"/>
      <c r="X72" s="395"/>
      <c r="Y72" s="396"/>
      <c r="Z72" s="394">
        <f>U72+1</f>
        <v>45883</v>
      </c>
      <c r="AA72" s="395"/>
      <c r="AB72" s="395"/>
      <c r="AC72" s="395"/>
      <c r="AD72" s="396"/>
      <c r="AE72" s="394">
        <f t="shared" ref="AE72" si="40">Z72+1</f>
        <v>45884</v>
      </c>
      <c r="AF72" s="395"/>
      <c r="AG72" s="395"/>
      <c r="AH72" s="395"/>
      <c r="AI72" s="396"/>
      <c r="AJ72" s="394">
        <f t="shared" ref="AJ72" si="41">AE72+1</f>
        <v>45885</v>
      </c>
      <c r="AK72" s="395"/>
      <c r="AL72" s="395"/>
      <c r="AM72" s="395"/>
      <c r="AN72" s="396"/>
      <c r="AO72" s="394">
        <f t="shared" ref="AO72" si="42">AJ72+1</f>
        <v>45886</v>
      </c>
      <c r="AP72" s="395"/>
      <c r="AQ72" s="395"/>
      <c r="AR72" s="395"/>
      <c r="AS72" s="396"/>
      <c r="AT72" s="394">
        <f t="shared" ref="AT72" si="43">AO72+1</f>
        <v>45887</v>
      </c>
      <c r="AU72" s="395"/>
      <c r="AV72" s="395"/>
      <c r="AW72" s="395"/>
      <c r="AX72" s="396"/>
    </row>
    <row r="73" spans="2:50" ht="15.75">
      <c r="B73" s="407"/>
      <c r="C73" s="407"/>
      <c r="D73" s="407"/>
      <c r="E73" s="407"/>
      <c r="F73" s="407"/>
      <c r="G73" s="407"/>
      <c r="H73" s="407"/>
      <c r="I73" s="172"/>
      <c r="J73" s="172"/>
      <c r="K73" s="172"/>
      <c r="L73" s="172"/>
      <c r="M73" s="173"/>
      <c r="N73" s="401"/>
      <c r="O73" s="401"/>
      <c r="P73" s="397" t="s">
        <v>159</v>
      </c>
      <c r="Q73" s="398"/>
      <c r="R73" s="398"/>
      <c r="S73" s="398"/>
      <c r="T73" s="398"/>
      <c r="U73" s="397" t="s">
        <v>160</v>
      </c>
      <c r="V73" s="398"/>
      <c r="W73" s="398"/>
      <c r="X73" s="398"/>
      <c r="Y73" s="398"/>
      <c r="Z73" s="397" t="s">
        <v>161</v>
      </c>
      <c r="AA73" s="398"/>
      <c r="AB73" s="398"/>
      <c r="AC73" s="398"/>
      <c r="AD73" s="398"/>
      <c r="AE73" s="397" t="s">
        <v>156</v>
      </c>
      <c r="AF73" s="398"/>
      <c r="AG73" s="398"/>
      <c r="AH73" s="398"/>
      <c r="AI73" s="398"/>
      <c r="AJ73" s="397" t="s">
        <v>157</v>
      </c>
      <c r="AK73" s="398"/>
      <c r="AL73" s="398"/>
      <c r="AM73" s="398"/>
      <c r="AN73" s="398"/>
      <c r="AO73" s="397" t="s">
        <v>152</v>
      </c>
      <c r="AP73" s="398"/>
      <c r="AQ73" s="398"/>
      <c r="AR73" s="398"/>
      <c r="AS73" s="398"/>
      <c r="AT73" s="397" t="s">
        <v>158</v>
      </c>
      <c r="AU73" s="398"/>
      <c r="AV73" s="398"/>
      <c r="AW73" s="398"/>
      <c r="AX73" s="398"/>
    </row>
    <row r="74" spans="2:50">
      <c r="B74" s="387" t="s">
        <v>197</v>
      </c>
      <c r="C74" s="387" t="s">
        <v>198</v>
      </c>
      <c r="D74" s="387"/>
      <c r="E74" s="387" t="s">
        <v>199</v>
      </c>
      <c r="F74" s="387"/>
      <c r="G74" s="387"/>
      <c r="H74" s="388" t="s">
        <v>200</v>
      </c>
      <c r="I74" s="387" t="s">
        <v>201</v>
      </c>
      <c r="J74" s="387"/>
      <c r="K74" s="387"/>
      <c r="L74" s="388" t="s">
        <v>200</v>
      </c>
      <c r="M74" s="399" t="s">
        <v>202</v>
      </c>
      <c r="N74" s="387"/>
      <c r="O74" s="387" t="s">
        <v>203</v>
      </c>
      <c r="P74" s="391" t="s">
        <v>204</v>
      </c>
      <c r="Q74" s="392"/>
      <c r="R74" s="392"/>
      <c r="S74" s="393"/>
      <c r="T74" s="387" t="s">
        <v>200</v>
      </c>
      <c r="U74" s="391" t="s">
        <v>204</v>
      </c>
      <c r="V74" s="392"/>
      <c r="W74" s="392"/>
      <c r="X74" s="393"/>
      <c r="Y74" s="387" t="s">
        <v>200</v>
      </c>
      <c r="Z74" s="391" t="s">
        <v>204</v>
      </c>
      <c r="AA74" s="392"/>
      <c r="AB74" s="392"/>
      <c r="AC74" s="393"/>
      <c r="AD74" s="387" t="s">
        <v>200</v>
      </c>
      <c r="AE74" s="391" t="s">
        <v>204</v>
      </c>
      <c r="AF74" s="392"/>
      <c r="AG74" s="392"/>
      <c r="AH74" s="393"/>
      <c r="AI74" s="387" t="s">
        <v>200</v>
      </c>
      <c r="AJ74" s="391" t="s">
        <v>204</v>
      </c>
      <c r="AK74" s="392"/>
      <c r="AL74" s="392"/>
      <c r="AM74" s="393"/>
      <c r="AN74" s="387" t="s">
        <v>200</v>
      </c>
      <c r="AO74" s="391" t="s">
        <v>204</v>
      </c>
      <c r="AP74" s="392"/>
      <c r="AQ74" s="392"/>
      <c r="AR74" s="393"/>
      <c r="AS74" s="387" t="s">
        <v>200</v>
      </c>
      <c r="AT74" s="391" t="s">
        <v>204</v>
      </c>
      <c r="AU74" s="392"/>
      <c r="AV74" s="392"/>
      <c r="AW74" s="393"/>
      <c r="AX74" s="387" t="s">
        <v>200</v>
      </c>
    </row>
    <row r="75" spans="2:50">
      <c r="B75" s="387"/>
      <c r="C75" s="387"/>
      <c r="D75" s="387"/>
      <c r="E75" s="387" t="s">
        <v>205</v>
      </c>
      <c r="F75" s="387"/>
      <c r="G75" s="387"/>
      <c r="H75" s="389"/>
      <c r="I75" s="387" t="s">
        <v>205</v>
      </c>
      <c r="J75" s="387"/>
      <c r="K75" s="387"/>
      <c r="L75" s="389"/>
      <c r="M75" s="400"/>
      <c r="N75" s="387"/>
      <c r="O75" s="387"/>
      <c r="P75" s="391" t="s">
        <v>206</v>
      </c>
      <c r="Q75" s="392"/>
      <c r="R75" s="392"/>
      <c r="S75" s="393"/>
      <c r="T75" s="387"/>
      <c r="U75" s="391" t="s">
        <v>206</v>
      </c>
      <c r="V75" s="392"/>
      <c r="W75" s="392"/>
      <c r="X75" s="393"/>
      <c r="Y75" s="387"/>
      <c r="Z75" s="391" t="s">
        <v>206</v>
      </c>
      <c r="AA75" s="392"/>
      <c r="AB75" s="392"/>
      <c r="AC75" s="393"/>
      <c r="AD75" s="387"/>
      <c r="AE75" s="391" t="s">
        <v>206</v>
      </c>
      <c r="AF75" s="392"/>
      <c r="AG75" s="392"/>
      <c r="AH75" s="393"/>
      <c r="AI75" s="387"/>
      <c r="AJ75" s="391" t="s">
        <v>206</v>
      </c>
      <c r="AK75" s="392"/>
      <c r="AL75" s="392"/>
      <c r="AM75" s="393"/>
      <c r="AN75" s="387"/>
      <c r="AO75" s="391" t="s">
        <v>206</v>
      </c>
      <c r="AP75" s="392"/>
      <c r="AQ75" s="392"/>
      <c r="AR75" s="393"/>
      <c r="AS75" s="387"/>
      <c r="AT75" s="391" t="s">
        <v>206</v>
      </c>
      <c r="AU75" s="392"/>
      <c r="AV75" s="392"/>
      <c r="AW75" s="393"/>
      <c r="AX75" s="387"/>
    </row>
    <row r="76" spans="2:50">
      <c r="B76" s="387"/>
      <c r="C76" s="387"/>
      <c r="D76" s="387"/>
      <c r="E76" s="104" t="s">
        <v>207</v>
      </c>
      <c r="F76" s="104" t="s">
        <v>208</v>
      </c>
      <c r="G76" s="104" t="s">
        <v>209</v>
      </c>
      <c r="H76" s="390"/>
      <c r="I76" s="104" t="s">
        <v>207</v>
      </c>
      <c r="J76" s="104" t="s">
        <v>208</v>
      </c>
      <c r="K76" s="104" t="s">
        <v>209</v>
      </c>
      <c r="L76" s="390"/>
      <c r="M76" s="401"/>
      <c r="N76" s="387"/>
      <c r="O76" s="387"/>
      <c r="P76" s="104" t="s">
        <v>207</v>
      </c>
      <c r="Q76" s="104" t="s">
        <v>208</v>
      </c>
      <c r="R76" s="104" t="s">
        <v>209</v>
      </c>
      <c r="S76" s="104" t="s">
        <v>202</v>
      </c>
      <c r="T76" s="387"/>
      <c r="U76" s="104" t="s">
        <v>207</v>
      </c>
      <c r="V76" s="104" t="s">
        <v>208</v>
      </c>
      <c r="W76" s="104" t="s">
        <v>209</v>
      </c>
      <c r="X76" s="104" t="s">
        <v>202</v>
      </c>
      <c r="Y76" s="387"/>
      <c r="Z76" s="104" t="s">
        <v>207</v>
      </c>
      <c r="AA76" s="104" t="s">
        <v>208</v>
      </c>
      <c r="AB76" s="104" t="s">
        <v>209</v>
      </c>
      <c r="AC76" s="104" t="s">
        <v>202</v>
      </c>
      <c r="AD76" s="387"/>
      <c r="AE76" s="104" t="s">
        <v>207</v>
      </c>
      <c r="AF76" s="104" t="s">
        <v>208</v>
      </c>
      <c r="AG76" s="104" t="s">
        <v>209</v>
      </c>
      <c r="AH76" s="104" t="s">
        <v>202</v>
      </c>
      <c r="AI76" s="387"/>
      <c r="AJ76" s="104" t="s">
        <v>207</v>
      </c>
      <c r="AK76" s="104" t="s">
        <v>208</v>
      </c>
      <c r="AL76" s="104" t="s">
        <v>209</v>
      </c>
      <c r="AM76" s="104" t="s">
        <v>202</v>
      </c>
      <c r="AN76" s="387"/>
      <c r="AO76" s="104" t="s">
        <v>207</v>
      </c>
      <c r="AP76" s="104" t="s">
        <v>208</v>
      </c>
      <c r="AQ76" s="104" t="s">
        <v>209</v>
      </c>
      <c r="AR76" s="104" t="s">
        <v>202</v>
      </c>
      <c r="AS76" s="387"/>
      <c r="AT76" s="104" t="s">
        <v>207</v>
      </c>
      <c r="AU76" s="104" t="s">
        <v>208</v>
      </c>
      <c r="AV76" s="104" t="s">
        <v>209</v>
      </c>
      <c r="AW76" s="104" t="s">
        <v>202</v>
      </c>
      <c r="AX76" s="387"/>
    </row>
    <row r="77" spans="2:50">
      <c r="B77" s="398" t="s">
        <v>210</v>
      </c>
      <c r="C77" s="105">
        <v>1</v>
      </c>
      <c r="D77" s="105" t="s">
        <v>211</v>
      </c>
      <c r="E77" s="105">
        <v>4</v>
      </c>
      <c r="F77" s="105">
        <v>2200</v>
      </c>
      <c r="G77" s="105">
        <v>550</v>
      </c>
      <c r="H77" s="402">
        <f>AVERAGE(G77:G106)</f>
        <v>909.21052631578948</v>
      </c>
      <c r="I77" s="175">
        <f>AVERAGE(P77,U77,Z77,AE77,AJ77,AO77,AT77)</f>
        <v>4</v>
      </c>
      <c r="J77" s="175">
        <f>AVERAGE(Q77,V77,AA77,AF77,AK77,AP77,AU77)</f>
        <v>1992.310662607704</v>
      </c>
      <c r="K77" s="202">
        <f>AVERAGE(R77,W77,AB77,AG77,AL77,AQ77,AV77)</f>
        <v>498.077665651926</v>
      </c>
      <c r="L77" s="384">
        <f>IFERROR(AVERAGE(K77:K106),"-")</f>
        <v>696.94695413036732</v>
      </c>
      <c r="M77" s="175">
        <f>RANK(K77, K$77:$K$106)</f>
        <v>19</v>
      </c>
      <c r="N77" s="387"/>
      <c r="O77" s="387"/>
      <c r="P77" s="105">
        <v>4</v>
      </c>
      <c r="Q77" s="175">
        <v>1988.2758620689654</v>
      </c>
      <c r="R77" s="202">
        <v>497.06896551724134</v>
      </c>
      <c r="S77" s="105">
        <f>RANK(R77, R$77:R$106)</f>
        <v>19</v>
      </c>
      <c r="T77" s="402">
        <f>AVERAGE(R77:R106)</f>
        <v>703.81146781580401</v>
      </c>
      <c r="U77" s="105">
        <v>4</v>
      </c>
      <c r="V77" s="175">
        <v>1987.7647058823527</v>
      </c>
      <c r="W77" s="202">
        <v>496.94117647058818</v>
      </c>
      <c r="X77" s="105">
        <f>RANK(W77, W$77:W$106)</f>
        <v>19</v>
      </c>
      <c r="Y77" s="402">
        <f>AVERAGE(W77:W106)</f>
        <v>700.61180479638551</v>
      </c>
      <c r="Z77" s="105">
        <v>4</v>
      </c>
      <c r="AA77" s="175">
        <v>1997.7272727272727</v>
      </c>
      <c r="AB77" s="202">
        <v>499.43181818181819</v>
      </c>
      <c r="AC77" s="105">
        <f>RANK(AB77, AB$77:AB$106)</f>
        <v>19</v>
      </c>
      <c r="AD77" s="402">
        <f>AVERAGE(AB77:AB106)</f>
        <v>700.11389341820939</v>
      </c>
      <c r="AE77" s="105">
        <v>4</v>
      </c>
      <c r="AF77" s="175">
        <v>1992.4675324675327</v>
      </c>
      <c r="AG77" s="202">
        <v>498.11688311688317</v>
      </c>
      <c r="AH77" s="105">
        <f>RANK(AG77, AG$77:AG$106)</f>
        <v>18</v>
      </c>
      <c r="AI77" s="402">
        <f>AVERAGE(AG77:AG106)</f>
        <v>690.55321551522161</v>
      </c>
      <c r="AJ77" s="105">
        <v>4</v>
      </c>
      <c r="AK77" s="175">
        <v>1992.9729729729727</v>
      </c>
      <c r="AL77" s="202">
        <v>498.24324324324317</v>
      </c>
      <c r="AM77" s="105">
        <f>RANK(AL77, AL$77:AL$106)</f>
        <v>18</v>
      </c>
      <c r="AN77" s="402">
        <f>AVERAGE(AL77:AL106)</f>
        <v>685.29762543529421</v>
      </c>
      <c r="AO77" s="105">
        <v>4</v>
      </c>
      <c r="AP77" s="175">
        <v>1990.1123595505617</v>
      </c>
      <c r="AQ77" s="175">
        <v>497.52808988764042</v>
      </c>
      <c r="AR77" s="105">
        <f>RANK(AQ77, AQ$77:AQ$106)</f>
        <v>19</v>
      </c>
      <c r="AS77" s="402">
        <f>AVERAGE(AQ77:AQ106)</f>
        <v>698.4832322307991</v>
      </c>
      <c r="AT77" s="105">
        <v>4</v>
      </c>
      <c r="AU77" s="175">
        <v>1996.8539325842696</v>
      </c>
      <c r="AV77" s="175">
        <v>499.2134831460674</v>
      </c>
      <c r="AW77" s="105">
        <f>RANK(AV77, AV$77:AV$106)</f>
        <v>19</v>
      </c>
      <c r="AX77" s="402">
        <f>AVERAGE(AV77:AV106)</f>
        <v>699.75743970085773</v>
      </c>
    </row>
    <row r="78" spans="2:50">
      <c r="B78" s="398"/>
      <c r="C78" s="105">
        <v>2</v>
      </c>
      <c r="D78" s="105" t="s">
        <v>212</v>
      </c>
      <c r="E78" s="105">
        <v>3</v>
      </c>
      <c r="F78" s="105">
        <v>2700</v>
      </c>
      <c r="G78" s="105">
        <v>900</v>
      </c>
      <c r="H78" s="403"/>
      <c r="I78" s="175">
        <f t="shared" ref="I78:I86" si="44">AVERAGE(P78,U78,Z78,AE78,AJ78,AO78,AT78)</f>
        <v>3</v>
      </c>
      <c r="J78" s="175">
        <f t="shared" ref="J78:J86" si="45">AVERAGE(Q78,V78,AA78,AF78,AK78,AP78,AU78)</f>
        <v>2958.6908457396253</v>
      </c>
      <c r="K78" s="202">
        <f t="shared" ref="K78:K86" si="46">AVERAGE(R78,W78,AB78,AG78,AL78,AQ78,AV78)</f>
        <v>986.2302819132085</v>
      </c>
      <c r="L78" s="385"/>
      <c r="M78" s="175">
        <f>RANK(K78, K$77:$K$106)</f>
        <v>1</v>
      </c>
      <c r="N78" s="387"/>
      <c r="O78" s="387"/>
      <c r="P78" s="105">
        <v>3</v>
      </c>
      <c r="Q78" s="175">
        <v>2951.7073170731701</v>
      </c>
      <c r="R78" s="202">
        <v>983.90243902438999</v>
      </c>
      <c r="S78" s="105">
        <f t="shared" ref="S78:S106" si="47">RANK(R78, R$77:R$106)</f>
        <v>1</v>
      </c>
      <c r="T78" s="403"/>
      <c r="U78" s="105">
        <v>3</v>
      </c>
      <c r="V78" s="175">
        <v>2979.9999999999986</v>
      </c>
      <c r="W78" s="202">
        <v>993.33333333333292</v>
      </c>
      <c r="X78" s="105">
        <f t="shared" ref="X78:X106" si="48">RANK(W78, W$77:W$106)</f>
        <v>2</v>
      </c>
      <c r="Y78" s="403"/>
      <c r="Z78" s="105">
        <v>3</v>
      </c>
      <c r="AA78" s="175">
        <v>2959.9999999999986</v>
      </c>
      <c r="AB78" s="202">
        <v>986.66666666666617</v>
      </c>
      <c r="AC78" s="105">
        <f t="shared" ref="AC78:AC106" si="49">RANK(AB78, AB$77:AB$106)</f>
        <v>1</v>
      </c>
      <c r="AD78" s="403"/>
      <c r="AE78" s="105">
        <v>3</v>
      </c>
      <c r="AF78" s="175">
        <v>3000</v>
      </c>
      <c r="AG78" s="202">
        <v>1000</v>
      </c>
      <c r="AH78" s="105">
        <f t="shared" ref="AH78:AH106" si="50">RANK(AG78, AG$77:AG$106)</f>
        <v>1</v>
      </c>
      <c r="AI78" s="403"/>
      <c r="AJ78" s="105">
        <v>3</v>
      </c>
      <c r="AK78" s="175">
        <v>2950.909090909091</v>
      </c>
      <c r="AL78" s="202">
        <v>983.63636363636363</v>
      </c>
      <c r="AM78" s="105">
        <f t="shared" ref="AM78:AM106" si="51">RANK(AL78, AL$77:AL$106)</f>
        <v>1</v>
      </c>
      <c r="AN78" s="403"/>
      <c r="AO78" s="105">
        <v>3</v>
      </c>
      <c r="AP78" s="175">
        <v>2931.2195121951208</v>
      </c>
      <c r="AQ78" s="175">
        <v>977.07317073170691</v>
      </c>
      <c r="AR78" s="105">
        <f t="shared" ref="AR78:AR106" si="52">RANK(AQ78, AQ$77:AQ$106)</f>
        <v>1</v>
      </c>
      <c r="AS78" s="403"/>
      <c r="AT78" s="105">
        <v>3</v>
      </c>
      <c r="AU78" s="175">
        <v>2936.9999999999991</v>
      </c>
      <c r="AV78" s="175">
        <v>978.99999999999966</v>
      </c>
      <c r="AW78" s="105">
        <f t="shared" ref="AW78:AW106" si="53">RANK(AV78, AV$77:AV$106)</f>
        <v>1</v>
      </c>
      <c r="AX78" s="403"/>
    </row>
    <row r="79" spans="2:50">
      <c r="B79" s="398"/>
      <c r="C79" s="105">
        <v>3</v>
      </c>
      <c r="D79" s="105" t="s">
        <v>213</v>
      </c>
      <c r="E79" s="105">
        <v>4</v>
      </c>
      <c r="F79" s="105">
        <v>3600</v>
      </c>
      <c r="G79" s="105">
        <v>900</v>
      </c>
      <c r="H79" s="403"/>
      <c r="I79" s="175">
        <f t="shared" si="44"/>
        <v>4</v>
      </c>
      <c r="J79" s="175">
        <f t="shared" si="45"/>
        <v>2930.1676323676315</v>
      </c>
      <c r="K79" s="202">
        <f t="shared" si="46"/>
        <v>732.54190809190789</v>
      </c>
      <c r="L79" s="385"/>
      <c r="M79" s="175">
        <f>RANK(K79, K$77:$K$106)</f>
        <v>7</v>
      </c>
      <c r="N79" s="387"/>
      <c r="O79" s="387"/>
      <c r="P79" s="105">
        <v>4</v>
      </c>
      <c r="Q79" s="175">
        <v>2992.8000000000011</v>
      </c>
      <c r="R79" s="202">
        <v>748.20000000000027</v>
      </c>
      <c r="S79" s="105">
        <f t="shared" si="47"/>
        <v>6</v>
      </c>
      <c r="T79" s="403"/>
      <c r="U79" s="105">
        <v>4</v>
      </c>
      <c r="V79" s="175">
        <v>2940.0000000000009</v>
      </c>
      <c r="W79" s="202">
        <v>735.00000000000023</v>
      </c>
      <c r="X79" s="105">
        <f t="shared" si="48"/>
        <v>8</v>
      </c>
      <c r="Y79" s="403"/>
      <c r="Z79" s="105">
        <v>4</v>
      </c>
      <c r="AA79" s="175">
        <v>2935.0000000000009</v>
      </c>
      <c r="AB79" s="202">
        <v>733.75000000000023</v>
      </c>
      <c r="AC79" s="105">
        <f t="shared" si="49"/>
        <v>7</v>
      </c>
      <c r="AD79" s="403"/>
      <c r="AE79" s="105">
        <v>4</v>
      </c>
      <c r="AF79" s="175">
        <v>2929.0909090909031</v>
      </c>
      <c r="AG79" s="202">
        <v>732.27272727272577</v>
      </c>
      <c r="AH79" s="105">
        <f t="shared" si="50"/>
        <v>8</v>
      </c>
      <c r="AI79" s="403"/>
      <c r="AJ79" s="105">
        <v>4</v>
      </c>
      <c r="AK79" s="175">
        <v>2893.6363636363581</v>
      </c>
      <c r="AL79" s="202">
        <v>723.40909090908951</v>
      </c>
      <c r="AM79" s="105">
        <f t="shared" si="51"/>
        <v>7</v>
      </c>
      <c r="AN79" s="403"/>
      <c r="AO79" s="105">
        <v>4</v>
      </c>
      <c r="AP79" s="175">
        <v>2923.8461538461552</v>
      </c>
      <c r="AQ79" s="175">
        <v>730.96153846153879</v>
      </c>
      <c r="AR79" s="105">
        <f t="shared" si="52"/>
        <v>7</v>
      </c>
      <c r="AS79" s="403"/>
      <c r="AT79" s="105">
        <v>4</v>
      </c>
      <c r="AU79" s="175">
        <v>2896.8000000000011</v>
      </c>
      <c r="AV79" s="175">
        <v>724.20000000000027</v>
      </c>
      <c r="AW79" s="105">
        <f t="shared" si="53"/>
        <v>8</v>
      </c>
      <c r="AX79" s="403"/>
    </row>
    <row r="80" spans="2:50">
      <c r="B80" s="398"/>
      <c r="C80" s="105">
        <v>4</v>
      </c>
      <c r="D80" s="105" t="s">
        <v>214</v>
      </c>
      <c r="E80" s="105">
        <v>4</v>
      </c>
      <c r="F80" s="105">
        <v>3600</v>
      </c>
      <c r="G80" s="105">
        <v>900</v>
      </c>
      <c r="H80" s="403"/>
      <c r="I80" s="175">
        <f t="shared" si="44"/>
        <v>4</v>
      </c>
      <c r="J80" s="175">
        <f t="shared" si="45"/>
        <v>2951.9719887955193</v>
      </c>
      <c r="K80" s="202">
        <f t="shared" si="46"/>
        <v>737.99299719887983</v>
      </c>
      <c r="L80" s="385"/>
      <c r="M80" s="175">
        <f>RANK(K80, K$77:$K$106)</f>
        <v>6</v>
      </c>
      <c r="N80" s="387"/>
      <c r="O80" s="387"/>
      <c r="P80" s="105">
        <v>4</v>
      </c>
      <c r="Q80" s="175">
        <v>2946.6666666666706</v>
      </c>
      <c r="R80" s="202">
        <v>736.66666666666765</v>
      </c>
      <c r="S80" s="105">
        <f t="shared" si="47"/>
        <v>7</v>
      </c>
      <c r="T80" s="403"/>
      <c r="U80" s="105">
        <v>4</v>
      </c>
      <c r="V80" s="175">
        <v>2971.7647058823568</v>
      </c>
      <c r="W80" s="202">
        <v>742.9411764705892</v>
      </c>
      <c r="X80" s="105">
        <f t="shared" si="48"/>
        <v>7</v>
      </c>
      <c r="Y80" s="403"/>
      <c r="Z80" s="105">
        <v>4</v>
      </c>
      <c r="AA80" s="175">
        <v>2964.7058823529446</v>
      </c>
      <c r="AB80" s="202">
        <v>741.17647058823616</v>
      </c>
      <c r="AC80" s="105">
        <f t="shared" si="49"/>
        <v>6</v>
      </c>
      <c r="AD80" s="403"/>
      <c r="AE80" s="105">
        <v>4</v>
      </c>
      <c r="AF80" s="175">
        <v>2999.999999999995</v>
      </c>
      <c r="AG80" s="202">
        <v>749.99999999999875</v>
      </c>
      <c r="AH80" s="105">
        <f t="shared" si="50"/>
        <v>6</v>
      </c>
      <c r="AI80" s="403"/>
      <c r="AJ80" s="105">
        <v>4</v>
      </c>
      <c r="AK80" s="175">
        <v>2903.999999999995</v>
      </c>
      <c r="AL80" s="202">
        <v>725.99999999999875</v>
      </c>
      <c r="AM80" s="105">
        <f t="shared" si="51"/>
        <v>6</v>
      </c>
      <c r="AN80" s="403"/>
      <c r="AO80" s="105">
        <v>4</v>
      </c>
      <c r="AP80" s="175">
        <v>2926.6666666666706</v>
      </c>
      <c r="AQ80" s="175">
        <v>731.66666666666765</v>
      </c>
      <c r="AR80" s="105">
        <f t="shared" si="52"/>
        <v>6</v>
      </c>
      <c r="AS80" s="403"/>
      <c r="AT80" s="105">
        <v>4</v>
      </c>
      <c r="AU80" s="175">
        <v>2950.0000000000041</v>
      </c>
      <c r="AV80" s="175">
        <v>737.50000000000102</v>
      </c>
      <c r="AW80" s="105">
        <f t="shared" si="53"/>
        <v>6</v>
      </c>
      <c r="AX80" s="403"/>
    </row>
    <row r="81" spans="2:50">
      <c r="B81" s="398"/>
      <c r="C81" s="105">
        <v>5</v>
      </c>
      <c r="D81" s="105" t="s">
        <v>215</v>
      </c>
      <c r="E81" s="105">
        <v>3</v>
      </c>
      <c r="F81" s="105">
        <v>3600</v>
      </c>
      <c r="G81" s="105">
        <v>1200</v>
      </c>
      <c r="H81" s="403"/>
      <c r="I81" s="175">
        <f t="shared" si="44"/>
        <v>3</v>
      </c>
      <c r="J81" s="175">
        <f t="shared" si="45"/>
        <v>2886.9217687074929</v>
      </c>
      <c r="K81" s="202">
        <f t="shared" si="46"/>
        <v>962.30725623583101</v>
      </c>
      <c r="L81" s="385"/>
      <c r="M81" s="175">
        <f>RANK(K81, K$77:$K$106)</f>
        <v>2</v>
      </c>
      <c r="N81" s="387"/>
      <c r="O81" s="387"/>
      <c r="P81" s="105">
        <v>3</v>
      </c>
      <c r="Q81" s="175">
        <v>2813.3333333333435</v>
      </c>
      <c r="R81" s="202">
        <v>937.77777777778113</v>
      </c>
      <c r="S81" s="105">
        <f t="shared" si="47"/>
        <v>2</v>
      </c>
      <c r="T81" s="403"/>
      <c r="U81" s="105">
        <v>3</v>
      </c>
      <c r="V81" s="175">
        <v>3007.5000000000105</v>
      </c>
      <c r="W81" s="202">
        <v>1002.5000000000035</v>
      </c>
      <c r="X81" s="105">
        <f t="shared" si="48"/>
        <v>1</v>
      </c>
      <c r="Y81" s="403"/>
      <c r="Z81" s="105">
        <v>3</v>
      </c>
      <c r="AA81" s="175">
        <v>2820.00000000001</v>
      </c>
      <c r="AB81" s="202">
        <v>940.0000000000033</v>
      </c>
      <c r="AC81" s="105">
        <f t="shared" si="49"/>
        <v>2</v>
      </c>
      <c r="AD81" s="403"/>
      <c r="AE81" s="105">
        <v>3</v>
      </c>
      <c r="AF81" s="175">
        <v>2982.8571428571536</v>
      </c>
      <c r="AG81" s="202">
        <v>994.28571428571786</v>
      </c>
      <c r="AH81" s="105">
        <f t="shared" si="50"/>
        <v>2</v>
      </c>
      <c r="AI81" s="403"/>
      <c r="AJ81" s="105">
        <v>3</v>
      </c>
      <c r="AK81" s="175">
        <v>2931.428571428582</v>
      </c>
      <c r="AL81" s="202">
        <v>977.14285714286063</v>
      </c>
      <c r="AM81" s="105">
        <f t="shared" si="51"/>
        <v>2</v>
      </c>
      <c r="AN81" s="403"/>
      <c r="AO81" s="105">
        <v>3</v>
      </c>
      <c r="AP81" s="175">
        <v>2826.6666666666765</v>
      </c>
      <c r="AQ81" s="175">
        <v>942.22222222222547</v>
      </c>
      <c r="AR81" s="105">
        <f t="shared" si="52"/>
        <v>2</v>
      </c>
      <c r="AS81" s="403"/>
      <c r="AT81" s="105">
        <v>3</v>
      </c>
      <c r="AU81" s="175">
        <v>2826.6666666666765</v>
      </c>
      <c r="AV81" s="175">
        <v>942.22222222222547</v>
      </c>
      <c r="AW81" s="105">
        <f t="shared" si="53"/>
        <v>2</v>
      </c>
      <c r="AX81" s="403"/>
    </row>
    <row r="82" spans="2:50">
      <c r="B82" s="398"/>
      <c r="C82" s="105">
        <v>6</v>
      </c>
      <c r="D82" s="105" t="s">
        <v>216</v>
      </c>
      <c r="E82" s="105">
        <v>3</v>
      </c>
      <c r="F82" s="105">
        <v>3600</v>
      </c>
      <c r="G82" s="105">
        <v>1200</v>
      </c>
      <c r="H82" s="403"/>
      <c r="I82" s="175">
        <f t="shared" si="44"/>
        <v>4</v>
      </c>
      <c r="J82" s="175">
        <f t="shared" si="45"/>
        <v>2715.8571428571399</v>
      </c>
      <c r="K82" s="202">
        <f t="shared" si="46"/>
        <v>678.96428571428498</v>
      </c>
      <c r="L82" s="385"/>
      <c r="M82" s="175">
        <f>RANK(K82, K$77:$K$106)</f>
        <v>9</v>
      </c>
      <c r="N82" s="387"/>
      <c r="O82" s="387"/>
      <c r="P82" s="105">
        <v>4</v>
      </c>
      <c r="Q82" s="175">
        <v>2711.9999999999659</v>
      </c>
      <c r="R82" s="202">
        <v>677.99999999999147</v>
      </c>
      <c r="S82" s="105">
        <f t="shared" si="47"/>
        <v>11</v>
      </c>
      <c r="T82" s="403"/>
      <c r="U82" s="105">
        <v>4</v>
      </c>
      <c r="V82" s="175">
        <v>2652.0000000000095</v>
      </c>
      <c r="W82" s="202">
        <v>663.00000000000239</v>
      </c>
      <c r="X82" s="105">
        <f t="shared" si="48"/>
        <v>10</v>
      </c>
      <c r="Y82" s="403"/>
      <c r="Z82" s="105">
        <v>4</v>
      </c>
      <c r="AA82" s="175">
        <v>2771.9999999999654</v>
      </c>
      <c r="AB82" s="202">
        <v>692.99999999999136</v>
      </c>
      <c r="AC82" s="105">
        <f t="shared" si="49"/>
        <v>9</v>
      </c>
      <c r="AD82" s="403"/>
      <c r="AE82" s="105">
        <v>4</v>
      </c>
      <c r="AF82" s="175">
        <v>2715.00000000001</v>
      </c>
      <c r="AG82" s="202">
        <v>678.7500000000025</v>
      </c>
      <c r="AH82" s="105">
        <f t="shared" si="50"/>
        <v>10</v>
      </c>
      <c r="AI82" s="403"/>
      <c r="AJ82" s="105">
        <v>4</v>
      </c>
      <c r="AK82" s="175">
        <v>2640.0000000000095</v>
      </c>
      <c r="AL82" s="202">
        <v>660.00000000000239</v>
      </c>
      <c r="AM82" s="105">
        <f t="shared" si="51"/>
        <v>10</v>
      </c>
      <c r="AN82" s="403"/>
      <c r="AO82" s="105">
        <v>4</v>
      </c>
      <c r="AP82" s="175">
        <v>2748.0000000000095</v>
      </c>
      <c r="AQ82" s="175">
        <v>687.00000000000239</v>
      </c>
      <c r="AR82" s="105">
        <f t="shared" si="52"/>
        <v>10</v>
      </c>
      <c r="AS82" s="403"/>
      <c r="AT82" s="105">
        <v>4</v>
      </c>
      <c r="AU82" s="175">
        <v>2772.00000000001</v>
      </c>
      <c r="AV82" s="175">
        <v>693.0000000000025</v>
      </c>
      <c r="AW82" s="105">
        <f t="shared" si="53"/>
        <v>9</v>
      </c>
      <c r="AX82" s="403"/>
    </row>
    <row r="83" spans="2:50">
      <c r="B83" s="398"/>
      <c r="C83" s="105">
        <v>7</v>
      </c>
      <c r="D83" s="105" t="s">
        <v>217</v>
      </c>
      <c r="E83" s="105">
        <v>4</v>
      </c>
      <c r="F83" s="105">
        <v>3600</v>
      </c>
      <c r="G83" s="105">
        <v>900</v>
      </c>
      <c r="H83" s="403"/>
      <c r="I83" s="175">
        <f t="shared" si="44"/>
        <v>4</v>
      </c>
      <c r="J83" s="175">
        <f t="shared" si="45"/>
        <v>2400.0000000000086</v>
      </c>
      <c r="K83" s="202">
        <f t="shared" si="46"/>
        <v>600.00000000000216</v>
      </c>
      <c r="L83" s="385"/>
      <c r="M83" s="175">
        <f>RANK(K83, K$77:$K$106)</f>
        <v>15</v>
      </c>
      <c r="N83" s="387"/>
      <c r="O83" s="387"/>
      <c r="P83" s="105">
        <v>4</v>
      </c>
      <c r="Q83" s="175">
        <v>2850.00000000001</v>
      </c>
      <c r="R83" s="202">
        <v>712.5000000000025</v>
      </c>
      <c r="S83" s="105">
        <f t="shared" si="47"/>
        <v>9</v>
      </c>
      <c r="T83" s="403"/>
      <c r="U83" s="105">
        <v>4</v>
      </c>
      <c r="V83" s="175">
        <v>2670.0000000000095</v>
      </c>
      <c r="W83" s="202">
        <v>667.50000000000239</v>
      </c>
      <c r="X83" s="105">
        <f t="shared" si="48"/>
        <v>9</v>
      </c>
      <c r="Y83" s="403"/>
      <c r="Z83" s="105">
        <v>4</v>
      </c>
      <c r="AA83" s="175">
        <v>2580.0000000000095</v>
      </c>
      <c r="AB83" s="202">
        <v>645.00000000000239</v>
      </c>
      <c r="AC83" s="105">
        <f t="shared" si="49"/>
        <v>11</v>
      </c>
      <c r="AD83" s="403"/>
      <c r="AE83" s="105">
        <v>4</v>
      </c>
      <c r="AF83" s="175">
        <v>1860.0000000000066</v>
      </c>
      <c r="AG83" s="202">
        <v>465.00000000000165</v>
      </c>
      <c r="AH83" s="105">
        <f t="shared" si="50"/>
        <v>19</v>
      </c>
      <c r="AI83" s="403"/>
      <c r="AJ83" s="105">
        <v>4</v>
      </c>
      <c r="AK83" s="175">
        <v>1800.0000000000064</v>
      </c>
      <c r="AL83" s="202">
        <v>450.00000000000159</v>
      </c>
      <c r="AM83" s="105">
        <f t="shared" si="51"/>
        <v>19</v>
      </c>
      <c r="AN83" s="403"/>
      <c r="AO83" s="105">
        <v>4</v>
      </c>
      <c r="AP83" s="175">
        <v>2550.0000000000091</v>
      </c>
      <c r="AQ83" s="175">
        <v>637.50000000000227</v>
      </c>
      <c r="AR83" s="105">
        <f t="shared" si="52"/>
        <v>11</v>
      </c>
      <c r="AS83" s="403"/>
      <c r="AT83" s="105">
        <v>4</v>
      </c>
      <c r="AU83" s="175">
        <v>2490.0000000000091</v>
      </c>
      <c r="AV83" s="175">
        <v>622.50000000000227</v>
      </c>
      <c r="AW83" s="105">
        <f t="shared" si="53"/>
        <v>11</v>
      </c>
      <c r="AX83" s="403"/>
    </row>
    <row r="84" spans="2:50">
      <c r="B84" s="398"/>
      <c r="C84" s="105">
        <v>8</v>
      </c>
      <c r="D84" s="105" t="s">
        <v>218</v>
      </c>
      <c r="E84" s="105">
        <v>4</v>
      </c>
      <c r="F84" s="105">
        <v>3300</v>
      </c>
      <c r="G84" s="105">
        <v>825</v>
      </c>
      <c r="H84" s="403"/>
      <c r="I84" s="175">
        <f t="shared" si="44"/>
        <v>4</v>
      </c>
      <c r="J84" s="175">
        <f t="shared" si="45"/>
        <v>2437.5270108043183</v>
      </c>
      <c r="K84" s="202">
        <f t="shared" si="46"/>
        <v>609.38175270107956</v>
      </c>
      <c r="L84" s="385"/>
      <c r="M84" s="175">
        <f>RANK(K84, K$77:$K$106)</f>
        <v>13</v>
      </c>
      <c r="N84" s="387"/>
      <c r="O84" s="387"/>
      <c r="P84" s="105">
        <v>4</v>
      </c>
      <c r="Q84" s="175">
        <v>2481.1764705882324</v>
      </c>
      <c r="R84" s="202">
        <v>620.2941176470581</v>
      </c>
      <c r="S84" s="105">
        <f t="shared" si="47"/>
        <v>13</v>
      </c>
      <c r="T84" s="403"/>
      <c r="U84" s="105">
        <v>4</v>
      </c>
      <c r="V84" s="175">
        <v>2396.470588235291</v>
      </c>
      <c r="W84" s="202">
        <v>599.11764705882274</v>
      </c>
      <c r="X84" s="105">
        <f t="shared" si="48"/>
        <v>14</v>
      </c>
      <c r="Y84" s="403"/>
      <c r="Z84" s="105">
        <v>4</v>
      </c>
      <c r="AA84" s="175">
        <v>2410.5882352941144</v>
      </c>
      <c r="AB84" s="202">
        <v>602.6470588235286</v>
      </c>
      <c r="AC84" s="105">
        <f t="shared" si="49"/>
        <v>15</v>
      </c>
      <c r="AD84" s="403"/>
      <c r="AE84" s="105">
        <v>4</v>
      </c>
      <c r="AF84" s="175">
        <v>2399.9999999999959</v>
      </c>
      <c r="AG84" s="202">
        <v>599.99999999999898</v>
      </c>
      <c r="AH84" s="105">
        <f t="shared" si="50"/>
        <v>13</v>
      </c>
      <c r="AI84" s="403"/>
      <c r="AJ84" s="105">
        <v>4</v>
      </c>
      <c r="AK84" s="175">
        <v>2468.571428571423</v>
      </c>
      <c r="AL84" s="202">
        <v>617.14285714285575</v>
      </c>
      <c r="AM84" s="105">
        <f t="shared" si="51"/>
        <v>12</v>
      </c>
      <c r="AN84" s="403"/>
      <c r="AO84" s="105">
        <v>4</v>
      </c>
      <c r="AP84" s="175">
        <v>2463.5294117647027</v>
      </c>
      <c r="AQ84" s="175">
        <v>615.88235294117567</v>
      </c>
      <c r="AR84" s="105">
        <f t="shared" si="52"/>
        <v>13</v>
      </c>
      <c r="AS84" s="403"/>
      <c r="AT84" s="105">
        <v>4</v>
      </c>
      <c r="AU84" s="175">
        <v>2442.3529411764675</v>
      </c>
      <c r="AV84" s="175">
        <v>610.58823529411688</v>
      </c>
      <c r="AW84" s="105">
        <f t="shared" si="53"/>
        <v>15</v>
      </c>
      <c r="AX84" s="403"/>
    </row>
    <row r="85" spans="2:50">
      <c r="B85" s="398"/>
      <c r="C85" s="105">
        <v>9</v>
      </c>
      <c r="D85" s="105" t="s">
        <v>219</v>
      </c>
      <c r="E85" s="105">
        <v>3</v>
      </c>
      <c r="F85" s="105">
        <v>3300</v>
      </c>
      <c r="G85" s="105">
        <v>1100</v>
      </c>
      <c r="H85" s="403"/>
      <c r="I85" s="175">
        <f t="shared" si="44"/>
        <v>3</v>
      </c>
      <c r="J85" s="175">
        <f t="shared" si="45"/>
        <v>2467.7886077319554</v>
      </c>
      <c r="K85" s="202">
        <f t="shared" si="46"/>
        <v>822.59620257731842</v>
      </c>
      <c r="L85" s="385"/>
      <c r="M85" s="175">
        <f>RANK(K85, K$77:$K$106)</f>
        <v>4</v>
      </c>
      <c r="N85" s="387"/>
      <c r="O85" s="387"/>
      <c r="P85" s="105">
        <v>3</v>
      </c>
      <c r="Q85" s="175">
        <v>2472.5581395348854</v>
      </c>
      <c r="R85" s="202">
        <v>824.18604651162843</v>
      </c>
      <c r="S85" s="105">
        <f t="shared" si="47"/>
        <v>4</v>
      </c>
      <c r="T85" s="403"/>
      <c r="U85" s="105">
        <v>3</v>
      </c>
      <c r="V85" s="175">
        <v>2497.1428571428587</v>
      </c>
      <c r="W85" s="202">
        <v>832.38095238095286</v>
      </c>
      <c r="X85" s="105">
        <f t="shared" si="48"/>
        <v>3</v>
      </c>
      <c r="Y85" s="403"/>
      <c r="Z85" s="105">
        <v>3</v>
      </c>
      <c r="AA85" s="175">
        <v>2460.0000000000023</v>
      </c>
      <c r="AB85" s="202">
        <v>820.0000000000008</v>
      </c>
      <c r="AC85" s="105">
        <f t="shared" si="49"/>
        <v>5</v>
      </c>
      <c r="AD85" s="403"/>
      <c r="AE85" s="105">
        <v>3</v>
      </c>
      <c r="AF85" s="175">
        <v>2452.1052631578928</v>
      </c>
      <c r="AG85" s="202">
        <v>817.36842105263088</v>
      </c>
      <c r="AH85" s="105">
        <f t="shared" si="50"/>
        <v>4</v>
      </c>
      <c r="AI85" s="403"/>
      <c r="AJ85" s="105">
        <v>3</v>
      </c>
      <c r="AK85" s="175">
        <v>2439.4736842105244</v>
      </c>
      <c r="AL85" s="202">
        <v>813.15789473684151</v>
      </c>
      <c r="AM85" s="105">
        <f t="shared" si="51"/>
        <v>4</v>
      </c>
      <c r="AN85" s="403"/>
      <c r="AO85" s="105">
        <v>3</v>
      </c>
      <c r="AP85" s="175">
        <v>2465.3333333333358</v>
      </c>
      <c r="AQ85" s="175">
        <v>821.77777777777862</v>
      </c>
      <c r="AR85" s="105">
        <f t="shared" si="52"/>
        <v>4</v>
      </c>
      <c r="AS85" s="403"/>
      <c r="AT85" s="105">
        <v>3</v>
      </c>
      <c r="AU85" s="175">
        <v>2487.9069767441883</v>
      </c>
      <c r="AV85" s="175">
        <v>829.30232558139608</v>
      </c>
      <c r="AW85" s="105">
        <f t="shared" si="53"/>
        <v>4</v>
      </c>
      <c r="AX85" s="403"/>
    </row>
    <row r="86" spans="2:50">
      <c r="B86" s="398"/>
      <c r="C86" s="105">
        <v>10</v>
      </c>
      <c r="D86" s="105" t="s">
        <v>220</v>
      </c>
      <c r="E86" s="105">
        <v>3</v>
      </c>
      <c r="F86" s="105">
        <v>3300</v>
      </c>
      <c r="G86" s="105">
        <v>1100</v>
      </c>
      <c r="H86" s="403"/>
      <c r="I86" s="175">
        <f t="shared" si="44"/>
        <v>3</v>
      </c>
      <c r="J86" s="175">
        <f t="shared" si="45"/>
        <v>2470.4205267660413</v>
      </c>
      <c r="K86" s="202">
        <f t="shared" si="46"/>
        <v>823.47350892201405</v>
      </c>
      <c r="L86" s="385"/>
      <c r="M86" s="175">
        <f>RANK(K86, K$77:$K$106)</f>
        <v>3</v>
      </c>
      <c r="N86" s="387"/>
      <c r="O86" s="387"/>
      <c r="P86" s="105">
        <v>3</v>
      </c>
      <c r="Q86" s="175">
        <v>2461.3953488372117</v>
      </c>
      <c r="R86" s="202">
        <v>820.46511627907057</v>
      </c>
      <c r="S86" s="105">
        <f t="shared" si="47"/>
        <v>5</v>
      </c>
      <c r="T86" s="403"/>
      <c r="U86" s="105">
        <v>3</v>
      </c>
      <c r="V86" s="175">
        <v>2447.1428571428587</v>
      </c>
      <c r="W86" s="202">
        <v>815.71428571428623</v>
      </c>
      <c r="X86" s="105">
        <f t="shared" si="48"/>
        <v>5</v>
      </c>
      <c r="Y86" s="403"/>
      <c r="Z86" s="105">
        <v>3</v>
      </c>
      <c r="AA86" s="175">
        <v>2498.5714285714303</v>
      </c>
      <c r="AB86" s="202">
        <v>832.85714285714346</v>
      </c>
      <c r="AC86" s="105">
        <f t="shared" si="49"/>
        <v>3</v>
      </c>
      <c r="AD86" s="403"/>
      <c r="AE86" s="105">
        <v>3</v>
      </c>
      <c r="AF86" s="175">
        <v>2441.5384615384573</v>
      </c>
      <c r="AG86" s="202">
        <v>813.84615384615245</v>
      </c>
      <c r="AH86" s="105">
        <f t="shared" si="50"/>
        <v>5</v>
      </c>
      <c r="AI86" s="403"/>
      <c r="AJ86" s="105">
        <v>3</v>
      </c>
      <c r="AK86" s="175">
        <v>2474.59459459459</v>
      </c>
      <c r="AL86" s="202">
        <v>824.86486486486331</v>
      </c>
      <c r="AM86" s="105">
        <f t="shared" si="51"/>
        <v>3</v>
      </c>
      <c r="AN86" s="403"/>
      <c r="AO86" s="105">
        <v>3</v>
      </c>
      <c r="AP86" s="175">
        <v>2472.5581395348854</v>
      </c>
      <c r="AQ86" s="175">
        <v>824.18604651162843</v>
      </c>
      <c r="AR86" s="105">
        <f t="shared" si="52"/>
        <v>3</v>
      </c>
      <c r="AS86" s="403"/>
      <c r="AT86" s="105">
        <v>3</v>
      </c>
      <c r="AU86" s="175">
        <v>2497.1428571428587</v>
      </c>
      <c r="AV86" s="175">
        <v>832.38095238095286</v>
      </c>
      <c r="AW86" s="105">
        <f t="shared" si="53"/>
        <v>3</v>
      </c>
      <c r="AX86" s="403"/>
    </row>
    <row r="87" spans="2:50">
      <c r="B87" s="398"/>
      <c r="C87" s="105">
        <v>11</v>
      </c>
      <c r="D87" s="105" t="s">
        <v>222</v>
      </c>
      <c r="E87" s="105">
        <v>4</v>
      </c>
      <c r="F87" s="105">
        <v>3300</v>
      </c>
      <c r="G87" s="105">
        <v>825</v>
      </c>
      <c r="H87" s="403"/>
      <c r="I87" s="175">
        <f t="shared" ref="I87:I95" si="54">AVERAGE(P87,U87,Z87,AE87,AJ87,AO87,AT87)</f>
        <v>4</v>
      </c>
      <c r="J87" s="175">
        <f t="shared" ref="J87:J95" si="55">AVERAGE(Q87,V87,AA87,AF87,AK87,AP87,AU87)</f>
        <v>2441.2698412698414</v>
      </c>
      <c r="K87" s="202">
        <f t="shared" ref="K87:K95" si="56">AVERAGE(R87,W87,AB87,AG87,AL87,AQ87,AV87)</f>
        <v>610.31746031746036</v>
      </c>
      <c r="L87" s="385"/>
      <c r="M87" s="175">
        <f>RANK(K87, K$77:$K$106)</f>
        <v>12</v>
      </c>
      <c r="N87" s="387"/>
      <c r="O87" s="387"/>
      <c r="P87" s="105">
        <v>4</v>
      </c>
      <c r="Q87" s="175">
        <v>2440.0000000000023</v>
      </c>
      <c r="R87" s="202">
        <v>610.00000000000057</v>
      </c>
      <c r="S87" s="105">
        <f t="shared" si="47"/>
        <v>14</v>
      </c>
      <c r="T87" s="403"/>
      <c r="U87" s="105">
        <v>4</v>
      </c>
      <c r="V87" s="175">
        <v>2445.4545454545482</v>
      </c>
      <c r="W87" s="202">
        <v>611.36363636363706</v>
      </c>
      <c r="X87" s="105">
        <f t="shared" si="48"/>
        <v>13</v>
      </c>
      <c r="Y87" s="403"/>
      <c r="Z87" s="105">
        <v>4</v>
      </c>
      <c r="AA87" s="175">
        <v>2443.6363636363662</v>
      </c>
      <c r="AB87" s="202">
        <v>610.90909090909156</v>
      </c>
      <c r="AC87" s="105">
        <f t="shared" si="49"/>
        <v>14</v>
      </c>
      <c r="AD87" s="403"/>
      <c r="AE87" s="105">
        <v>4</v>
      </c>
      <c r="AF87" s="175">
        <v>2435.5555555555497</v>
      </c>
      <c r="AG87" s="202">
        <v>608.88888888888744</v>
      </c>
      <c r="AH87" s="105">
        <f t="shared" si="50"/>
        <v>12</v>
      </c>
      <c r="AI87" s="403"/>
      <c r="AJ87" s="105">
        <v>4</v>
      </c>
      <c r="AK87" s="175">
        <v>2413.3333333333276</v>
      </c>
      <c r="AL87" s="202">
        <v>603.33333333333189</v>
      </c>
      <c r="AM87" s="105">
        <f t="shared" si="51"/>
        <v>14</v>
      </c>
      <c r="AN87" s="403"/>
      <c r="AO87" s="105">
        <v>4</v>
      </c>
      <c r="AP87" s="175">
        <v>2454.5454545454572</v>
      </c>
      <c r="AQ87" s="175">
        <v>613.63636363636431</v>
      </c>
      <c r="AR87" s="105">
        <f t="shared" si="52"/>
        <v>14</v>
      </c>
      <c r="AS87" s="403"/>
      <c r="AT87" s="105">
        <v>4</v>
      </c>
      <c r="AU87" s="175">
        <v>2456.3636363636388</v>
      </c>
      <c r="AV87" s="175">
        <v>614.09090909090969</v>
      </c>
      <c r="AW87" s="105">
        <f t="shared" si="53"/>
        <v>13</v>
      </c>
      <c r="AX87" s="403"/>
    </row>
    <row r="88" spans="2:50">
      <c r="B88" s="398"/>
      <c r="C88" s="105">
        <v>12</v>
      </c>
      <c r="D88" s="105" t="s">
        <v>231</v>
      </c>
      <c r="E88" s="105">
        <v>4</v>
      </c>
      <c r="F88" s="105">
        <v>3300</v>
      </c>
      <c r="G88" s="105">
        <v>825</v>
      </c>
      <c r="H88" s="403"/>
      <c r="I88" s="175">
        <f t="shared" si="54"/>
        <v>4</v>
      </c>
      <c r="J88" s="175">
        <f t="shared" si="55"/>
        <v>2479.7098107274874</v>
      </c>
      <c r="K88" s="202">
        <f t="shared" si="56"/>
        <v>619.92745268187184</v>
      </c>
      <c r="L88" s="385"/>
      <c r="M88" s="175">
        <f>RANK(K88, K$77:$K$106)</f>
        <v>11</v>
      </c>
      <c r="N88" s="387"/>
      <c r="O88" s="387"/>
      <c r="P88" s="105">
        <v>4</v>
      </c>
      <c r="Q88" s="175">
        <v>2487.5294117647031</v>
      </c>
      <c r="R88" s="202">
        <v>621.88235294117578</v>
      </c>
      <c r="S88" s="105">
        <f t="shared" si="47"/>
        <v>12</v>
      </c>
      <c r="T88" s="403"/>
      <c r="U88" s="105">
        <v>4</v>
      </c>
      <c r="V88" s="175">
        <v>2492.9268292682918</v>
      </c>
      <c r="W88" s="202">
        <v>623.23170731707296</v>
      </c>
      <c r="X88" s="105">
        <f t="shared" si="48"/>
        <v>11</v>
      </c>
      <c r="Y88" s="403"/>
      <c r="Z88" s="105">
        <v>4</v>
      </c>
      <c r="AA88" s="175">
        <v>2480.9638554216863</v>
      </c>
      <c r="AB88" s="202">
        <v>620.24096385542157</v>
      </c>
      <c r="AC88" s="105">
        <f t="shared" si="49"/>
        <v>12</v>
      </c>
      <c r="AD88" s="403"/>
      <c r="AE88" s="105">
        <v>4</v>
      </c>
      <c r="AF88" s="175">
        <v>2469.041095890409</v>
      </c>
      <c r="AG88" s="202">
        <v>617.26027397260225</v>
      </c>
      <c r="AH88" s="105">
        <f t="shared" si="50"/>
        <v>11</v>
      </c>
      <c r="AI88" s="403"/>
      <c r="AJ88" s="105">
        <v>4</v>
      </c>
      <c r="AK88" s="175">
        <v>2469.2957746478878</v>
      </c>
      <c r="AL88" s="202">
        <v>617.32394366197195</v>
      </c>
      <c r="AM88" s="105">
        <f t="shared" si="51"/>
        <v>11</v>
      </c>
      <c r="AN88" s="403"/>
      <c r="AO88" s="105">
        <v>4</v>
      </c>
      <c r="AP88" s="175">
        <v>2473.7931034482735</v>
      </c>
      <c r="AQ88" s="175">
        <v>618.44827586206839</v>
      </c>
      <c r="AR88" s="105">
        <f t="shared" si="52"/>
        <v>12</v>
      </c>
      <c r="AS88" s="403"/>
      <c r="AT88" s="105">
        <v>4</v>
      </c>
      <c r="AU88" s="175">
        <v>2484.41860465116</v>
      </c>
      <c r="AV88" s="175">
        <v>621.10465116278999</v>
      </c>
      <c r="AW88" s="105">
        <f t="shared" si="53"/>
        <v>12</v>
      </c>
      <c r="AX88" s="403"/>
    </row>
    <row r="89" spans="2:50">
      <c r="B89" s="398"/>
      <c r="C89" s="105">
        <v>13</v>
      </c>
      <c r="D89" s="105" t="s">
        <v>223</v>
      </c>
      <c r="E89" s="105">
        <v>3</v>
      </c>
      <c r="F89" s="105">
        <v>3300</v>
      </c>
      <c r="G89" s="105">
        <v>1100</v>
      </c>
      <c r="H89" s="403"/>
      <c r="I89" s="175">
        <f t="shared" si="54"/>
        <v>3</v>
      </c>
      <c r="J89" s="175">
        <f t="shared" si="55"/>
        <v>2462.3408521303272</v>
      </c>
      <c r="K89" s="202">
        <f t="shared" si="56"/>
        <v>820.78028404344229</v>
      </c>
      <c r="L89" s="385"/>
      <c r="M89" s="175">
        <f>RANK(K89, K$77:$K$106)</f>
        <v>5</v>
      </c>
      <c r="N89" s="387"/>
      <c r="O89" s="387"/>
      <c r="P89" s="105">
        <v>3</v>
      </c>
      <c r="Q89" s="175">
        <v>2477.9999999999991</v>
      </c>
      <c r="R89" s="202">
        <v>825.99999999999966</v>
      </c>
      <c r="S89" s="105">
        <f t="shared" si="47"/>
        <v>3</v>
      </c>
      <c r="T89" s="403"/>
      <c r="U89" s="105">
        <v>3</v>
      </c>
      <c r="V89" s="175">
        <v>2494.7368421052611</v>
      </c>
      <c r="W89" s="202">
        <v>831.57894736842036</v>
      </c>
      <c r="X89" s="105">
        <f t="shared" si="48"/>
        <v>4</v>
      </c>
      <c r="Y89" s="403"/>
      <c r="Z89" s="105">
        <v>3</v>
      </c>
      <c r="AA89" s="175">
        <v>2466.3157894736823</v>
      </c>
      <c r="AB89" s="202">
        <v>822.10526315789411</v>
      </c>
      <c r="AC89" s="105">
        <f t="shared" si="49"/>
        <v>4</v>
      </c>
      <c r="AD89" s="403"/>
      <c r="AE89" s="105">
        <v>3</v>
      </c>
      <c r="AF89" s="175">
        <v>2495.9999999999955</v>
      </c>
      <c r="AG89" s="202">
        <v>831.99999999999852</v>
      </c>
      <c r="AH89" s="105">
        <f t="shared" si="50"/>
        <v>3</v>
      </c>
      <c r="AI89" s="403"/>
      <c r="AJ89" s="105">
        <v>3</v>
      </c>
      <c r="AK89" s="175">
        <v>2388.0000000000082</v>
      </c>
      <c r="AL89" s="202">
        <v>796.00000000000273</v>
      </c>
      <c r="AM89" s="105">
        <f t="shared" si="51"/>
        <v>5</v>
      </c>
      <c r="AN89" s="403"/>
      <c r="AO89" s="105">
        <v>3</v>
      </c>
      <c r="AP89" s="175">
        <v>2429.9999999999991</v>
      </c>
      <c r="AQ89" s="175">
        <v>809.99999999999966</v>
      </c>
      <c r="AR89" s="105">
        <f t="shared" si="52"/>
        <v>5</v>
      </c>
      <c r="AS89" s="403"/>
      <c r="AT89" s="105">
        <v>3</v>
      </c>
      <c r="AU89" s="175">
        <v>2483.3333333333421</v>
      </c>
      <c r="AV89" s="175">
        <v>827.77777777778067</v>
      </c>
      <c r="AW89" s="105">
        <f t="shared" si="53"/>
        <v>5</v>
      </c>
      <c r="AX89" s="403"/>
    </row>
    <row r="90" spans="2:50">
      <c r="B90" s="398"/>
      <c r="C90" s="105">
        <v>14</v>
      </c>
      <c r="D90" s="105" t="s">
        <v>224</v>
      </c>
      <c r="E90" s="105">
        <v>4</v>
      </c>
      <c r="F90" s="105">
        <v>3300</v>
      </c>
      <c r="G90" s="105">
        <v>825</v>
      </c>
      <c r="H90" s="403"/>
      <c r="I90" s="175">
        <f t="shared" si="54"/>
        <v>4</v>
      </c>
      <c r="J90" s="175">
        <f t="shared" si="55"/>
        <v>2377.5350722669755</v>
      </c>
      <c r="K90" s="202">
        <f t="shared" si="56"/>
        <v>594.38376806674387</v>
      </c>
      <c r="L90" s="385"/>
      <c r="M90" s="175">
        <f>RANK(K90, K$77:$K$106)</f>
        <v>17</v>
      </c>
      <c r="N90" s="387"/>
      <c r="O90" s="387"/>
      <c r="P90" s="105">
        <v>4</v>
      </c>
      <c r="Q90" s="175">
        <v>2373.2307692307686</v>
      </c>
      <c r="R90" s="202">
        <v>593.30769230769215</v>
      </c>
      <c r="S90" s="105">
        <f t="shared" si="47"/>
        <v>17</v>
      </c>
      <c r="T90" s="403"/>
      <c r="U90" s="105">
        <v>4</v>
      </c>
      <c r="V90" s="175">
        <v>2374.2857142857138</v>
      </c>
      <c r="W90" s="202">
        <v>593.57142857142844</v>
      </c>
      <c r="X90" s="105">
        <f t="shared" si="48"/>
        <v>16</v>
      </c>
      <c r="Y90" s="403"/>
      <c r="Z90" s="105">
        <v>4</v>
      </c>
      <c r="AA90" s="175">
        <v>2378.181818181818</v>
      </c>
      <c r="AB90" s="202">
        <v>594.5454545454545</v>
      </c>
      <c r="AC90" s="105">
        <f t="shared" si="49"/>
        <v>17</v>
      </c>
      <c r="AD90" s="403"/>
      <c r="AE90" s="105">
        <v>4</v>
      </c>
      <c r="AF90" s="175">
        <v>2381.0526315789461</v>
      </c>
      <c r="AG90" s="202">
        <v>595.26315789473654</v>
      </c>
      <c r="AH90" s="105">
        <f t="shared" si="50"/>
        <v>15</v>
      </c>
      <c r="AI90" s="403"/>
      <c r="AJ90" s="105">
        <v>4</v>
      </c>
      <c r="AK90" s="175">
        <v>2374.9090909090892</v>
      </c>
      <c r="AL90" s="202">
        <v>593.72727272727229</v>
      </c>
      <c r="AM90" s="105">
        <f t="shared" si="51"/>
        <v>15</v>
      </c>
      <c r="AN90" s="403"/>
      <c r="AO90" s="105">
        <v>4</v>
      </c>
      <c r="AP90" s="175">
        <v>2372.727272727273</v>
      </c>
      <c r="AQ90" s="175">
        <v>593.18181818181824</v>
      </c>
      <c r="AR90" s="105">
        <f t="shared" si="52"/>
        <v>17</v>
      </c>
      <c r="AS90" s="403"/>
      <c r="AT90" s="105">
        <v>4</v>
      </c>
      <c r="AU90" s="175">
        <v>2388.3582089552237</v>
      </c>
      <c r="AV90" s="175">
        <v>597.08955223880594</v>
      </c>
      <c r="AW90" s="105">
        <f t="shared" si="53"/>
        <v>16</v>
      </c>
      <c r="AX90" s="403"/>
    </row>
    <row r="91" spans="2:50">
      <c r="B91" s="398"/>
      <c r="C91" s="105">
        <v>15</v>
      </c>
      <c r="D91" s="105" t="s">
        <v>225</v>
      </c>
      <c r="E91" s="105">
        <v>4</v>
      </c>
      <c r="F91" s="105">
        <v>3300</v>
      </c>
      <c r="G91" s="105">
        <v>825</v>
      </c>
      <c r="H91" s="403"/>
      <c r="I91" s="175">
        <f t="shared" si="54"/>
        <v>4</v>
      </c>
      <c r="J91" s="175">
        <f t="shared" si="55"/>
        <v>2386.7885339284776</v>
      </c>
      <c r="K91" s="202">
        <f t="shared" si="56"/>
        <v>596.6971334821194</v>
      </c>
      <c r="L91" s="385"/>
      <c r="M91" s="175">
        <f>RANK(K91, K$77:$K$106)</f>
        <v>16</v>
      </c>
      <c r="N91" s="387"/>
      <c r="O91" s="387"/>
      <c r="P91" s="105">
        <v>4</v>
      </c>
      <c r="Q91" s="175">
        <v>2378.6842105263154</v>
      </c>
      <c r="R91" s="202">
        <v>594.67105263157885</v>
      </c>
      <c r="S91" s="105">
        <f t="shared" ref="S91:S105" si="57">RANK(R91, R$77:R$106)</f>
        <v>16</v>
      </c>
      <c r="T91" s="403"/>
      <c r="U91" s="105">
        <v>4</v>
      </c>
      <c r="V91" s="175">
        <v>2392.7999999999997</v>
      </c>
      <c r="W91" s="202">
        <v>598.19999999999993</v>
      </c>
      <c r="X91" s="105">
        <f t="shared" ref="X91:X105" si="58">RANK(W91, W$77:W$106)</f>
        <v>15</v>
      </c>
      <c r="Y91" s="403"/>
      <c r="Z91" s="105">
        <v>4</v>
      </c>
      <c r="AA91" s="175">
        <v>2398.4415584415588</v>
      </c>
      <c r="AB91" s="202">
        <v>599.61038961038969</v>
      </c>
      <c r="AC91" s="105">
        <f t="shared" ref="AC91:AC105" si="59">RANK(AB91, AB$77:AB$106)</f>
        <v>16</v>
      </c>
      <c r="AD91" s="403"/>
      <c r="AE91" s="105">
        <v>4</v>
      </c>
      <c r="AF91" s="175">
        <v>2385.4545454545455</v>
      </c>
      <c r="AG91" s="202">
        <v>596.36363636363637</v>
      </c>
      <c r="AH91" s="105">
        <f t="shared" ref="AH91:AH105" si="60">RANK(AG91, AG$77:AG$106)</f>
        <v>14</v>
      </c>
      <c r="AI91" s="403"/>
      <c r="AJ91" s="105">
        <v>4</v>
      </c>
      <c r="AK91" s="175">
        <v>2369.0624999999995</v>
      </c>
      <c r="AL91" s="202">
        <v>592.26562499999989</v>
      </c>
      <c r="AM91" s="105">
        <f t="shared" ref="AM91:AM105" si="61">RANK(AL91, AL$77:AL$106)</f>
        <v>16</v>
      </c>
      <c r="AN91" s="403"/>
      <c r="AO91" s="105">
        <v>4</v>
      </c>
      <c r="AP91" s="175">
        <v>2398.4615384615381</v>
      </c>
      <c r="AQ91" s="175">
        <v>599.61538461538453</v>
      </c>
      <c r="AR91" s="105">
        <f t="shared" ref="AR91:AR105" si="62">RANK(AQ91, AQ$77:AQ$106)</f>
        <v>16</v>
      </c>
      <c r="AS91" s="403"/>
      <c r="AT91" s="105">
        <v>4</v>
      </c>
      <c r="AU91" s="175">
        <v>2384.6153846153848</v>
      </c>
      <c r="AV91" s="175">
        <v>596.15384615384619</v>
      </c>
      <c r="AW91" s="105">
        <f t="shared" ref="AW91:AW105" si="63">RANK(AV91, AV$77:AV$106)</f>
        <v>17</v>
      </c>
      <c r="AX91" s="403"/>
    </row>
    <row r="92" spans="2:50">
      <c r="B92" s="398"/>
      <c r="C92" s="105">
        <v>16</v>
      </c>
      <c r="D92" s="105" t="s">
        <v>226</v>
      </c>
      <c r="E92" s="105">
        <v>4</v>
      </c>
      <c r="F92" s="105">
        <v>3600</v>
      </c>
      <c r="G92" s="105">
        <v>900</v>
      </c>
      <c r="H92" s="403"/>
      <c r="I92" s="175">
        <f t="shared" si="54"/>
        <v>4</v>
      </c>
      <c r="J92" s="175">
        <f t="shared" si="55"/>
        <v>2698.1459535538379</v>
      </c>
      <c r="K92" s="202">
        <f t="shared" si="56"/>
        <v>674.53648838845947</v>
      </c>
      <c r="L92" s="385"/>
      <c r="M92" s="175">
        <f>RANK(K92, K$77:$K$106)</f>
        <v>10</v>
      </c>
      <c r="N92" s="387"/>
      <c r="O92" s="387"/>
      <c r="P92" s="105">
        <v>4</v>
      </c>
      <c r="Q92" s="175">
        <v>2724.444444444438</v>
      </c>
      <c r="R92" s="202">
        <v>681.11111111110949</v>
      </c>
      <c r="S92" s="105">
        <f t="shared" si="57"/>
        <v>10</v>
      </c>
      <c r="T92" s="403"/>
      <c r="U92" s="105">
        <v>4</v>
      </c>
      <c r="V92" s="175">
        <v>2474.0000000000086</v>
      </c>
      <c r="W92" s="202">
        <v>618.50000000000216</v>
      </c>
      <c r="X92" s="105">
        <f t="shared" si="58"/>
        <v>12</v>
      </c>
      <c r="Y92" s="403"/>
      <c r="Z92" s="105">
        <v>4</v>
      </c>
      <c r="AA92" s="175">
        <v>2733.333333333343</v>
      </c>
      <c r="AB92" s="202">
        <v>683.33333333333576</v>
      </c>
      <c r="AC92" s="105">
        <f t="shared" si="59"/>
        <v>10</v>
      </c>
      <c r="AD92" s="403"/>
      <c r="AE92" s="105">
        <v>4</v>
      </c>
      <c r="AF92" s="175">
        <v>2752.799999999992</v>
      </c>
      <c r="AG92" s="202">
        <v>688.199999999998</v>
      </c>
      <c r="AH92" s="105">
        <f t="shared" si="60"/>
        <v>9</v>
      </c>
      <c r="AI92" s="403"/>
      <c r="AJ92" s="105">
        <v>4</v>
      </c>
      <c r="AK92" s="175">
        <v>2742.2222222222317</v>
      </c>
      <c r="AL92" s="202">
        <v>685.55555555555793</v>
      </c>
      <c r="AM92" s="105">
        <f t="shared" si="61"/>
        <v>9</v>
      </c>
      <c r="AN92" s="403"/>
      <c r="AO92" s="105">
        <v>4</v>
      </c>
      <c r="AP92" s="175">
        <v>2753.7931034482708</v>
      </c>
      <c r="AQ92" s="175">
        <v>688.4482758620677</v>
      </c>
      <c r="AR92" s="105">
        <f t="shared" si="62"/>
        <v>9</v>
      </c>
      <c r="AS92" s="403"/>
      <c r="AT92" s="105">
        <v>4</v>
      </c>
      <c r="AU92" s="175">
        <v>2706.4285714285811</v>
      </c>
      <c r="AV92" s="175">
        <v>676.60714285714528</v>
      </c>
      <c r="AW92" s="105">
        <f t="shared" si="63"/>
        <v>10</v>
      </c>
      <c r="AX92" s="403"/>
    </row>
    <row r="93" spans="2:50">
      <c r="B93" s="398"/>
      <c r="C93" s="105">
        <v>17</v>
      </c>
      <c r="D93" s="105" t="s">
        <v>227</v>
      </c>
      <c r="E93" s="105">
        <v>4</v>
      </c>
      <c r="F93" s="105">
        <v>3000</v>
      </c>
      <c r="G93" s="105">
        <v>750</v>
      </c>
      <c r="H93" s="403"/>
      <c r="I93" s="175">
        <f t="shared" si="54"/>
        <v>3</v>
      </c>
      <c r="J93" s="175">
        <f t="shared" si="55"/>
        <v>2192.4073104315057</v>
      </c>
      <c r="K93" s="202">
        <f t="shared" si="56"/>
        <v>730.80243681050183</v>
      </c>
      <c r="L93" s="385"/>
      <c r="M93" s="175">
        <f>RANK(K93, K$77:$K$106)</f>
        <v>8</v>
      </c>
      <c r="N93" s="387"/>
      <c r="O93" s="387"/>
      <c r="P93" s="105">
        <v>3</v>
      </c>
      <c r="Q93" s="175">
        <v>2173.548387096771</v>
      </c>
      <c r="R93" s="202">
        <v>724.51612903225703</v>
      </c>
      <c r="S93" s="105">
        <f t="shared" si="57"/>
        <v>8</v>
      </c>
      <c r="T93" s="403"/>
      <c r="U93" s="105">
        <v>3</v>
      </c>
      <c r="V93" s="175">
        <v>2292.0000000000082</v>
      </c>
      <c r="W93" s="202">
        <v>764.00000000000273</v>
      </c>
      <c r="X93" s="105">
        <f t="shared" si="58"/>
        <v>6</v>
      </c>
      <c r="Y93" s="403"/>
      <c r="Z93" s="105">
        <v>3</v>
      </c>
      <c r="AA93" s="175">
        <v>2163.8709677419429</v>
      </c>
      <c r="AB93" s="202">
        <v>721.29032258064763</v>
      </c>
      <c r="AC93" s="105">
        <f t="shared" si="59"/>
        <v>8</v>
      </c>
      <c r="AD93" s="403"/>
      <c r="AE93" s="105">
        <v>3</v>
      </c>
      <c r="AF93" s="175">
        <v>2198.0000000000077</v>
      </c>
      <c r="AG93" s="202">
        <v>732.66666666666924</v>
      </c>
      <c r="AH93" s="105">
        <f t="shared" si="60"/>
        <v>7</v>
      </c>
      <c r="AI93" s="403"/>
      <c r="AJ93" s="105">
        <v>3</v>
      </c>
      <c r="AK93" s="175">
        <v>2136.3636363636338</v>
      </c>
      <c r="AL93" s="202">
        <v>712.12121212121122</v>
      </c>
      <c r="AM93" s="105">
        <f t="shared" si="61"/>
        <v>8</v>
      </c>
      <c r="AN93" s="403"/>
      <c r="AO93" s="105">
        <v>3</v>
      </c>
      <c r="AP93" s="175">
        <v>2181.8181818181793</v>
      </c>
      <c r="AQ93" s="175">
        <v>727.27272727272646</v>
      </c>
      <c r="AR93" s="105">
        <f t="shared" si="62"/>
        <v>8</v>
      </c>
      <c r="AS93" s="403"/>
      <c r="AT93" s="105">
        <v>3</v>
      </c>
      <c r="AU93" s="175">
        <v>2201.2499999999968</v>
      </c>
      <c r="AV93" s="175">
        <v>733.74999999999898</v>
      </c>
      <c r="AW93" s="105">
        <f t="shared" si="63"/>
        <v>7</v>
      </c>
      <c r="AX93" s="403"/>
    </row>
    <row r="94" spans="2:50">
      <c r="B94" s="398"/>
      <c r="C94" s="105">
        <v>18</v>
      </c>
      <c r="D94" s="105" t="s">
        <v>228</v>
      </c>
      <c r="E94" s="105">
        <v>4</v>
      </c>
      <c r="F94" s="105">
        <v>3000</v>
      </c>
      <c r="G94" s="105">
        <v>750</v>
      </c>
      <c r="H94" s="403"/>
      <c r="I94" s="175">
        <f t="shared" si="54"/>
        <v>4</v>
      </c>
      <c r="J94" s="175">
        <f t="shared" si="55"/>
        <v>2168.0234432234429</v>
      </c>
      <c r="K94" s="202">
        <f t="shared" si="56"/>
        <v>542.00586080586072</v>
      </c>
      <c r="L94" s="385"/>
      <c r="M94" s="175">
        <f>RANK(K94, K$77:$K$106)</f>
        <v>18</v>
      </c>
      <c r="N94" s="387"/>
      <c r="O94" s="387"/>
      <c r="P94" s="105">
        <v>4</v>
      </c>
      <c r="Q94" s="175">
        <v>2207.9999999999936</v>
      </c>
      <c r="R94" s="202">
        <v>551.99999999999841</v>
      </c>
      <c r="S94" s="105">
        <f t="shared" si="57"/>
        <v>18</v>
      </c>
      <c r="T94" s="403"/>
      <c r="U94" s="105">
        <v>4</v>
      </c>
      <c r="V94" s="175">
        <v>2231.9999999999936</v>
      </c>
      <c r="W94" s="202">
        <v>557.99999999999841</v>
      </c>
      <c r="X94" s="105">
        <f t="shared" si="58"/>
        <v>18</v>
      </c>
      <c r="Y94" s="403"/>
      <c r="Z94" s="105">
        <v>4</v>
      </c>
      <c r="AA94" s="175">
        <v>2162.4000000000078</v>
      </c>
      <c r="AB94" s="202">
        <v>540.60000000000196</v>
      </c>
      <c r="AC94" s="105">
        <f t="shared" si="59"/>
        <v>18</v>
      </c>
      <c r="AD94" s="403"/>
      <c r="AE94" s="105">
        <v>4</v>
      </c>
      <c r="AF94" s="175">
        <v>2071.1999999999944</v>
      </c>
      <c r="AG94" s="202">
        <v>517.79999999999859</v>
      </c>
      <c r="AH94" s="105">
        <f t="shared" si="60"/>
        <v>17</v>
      </c>
      <c r="AI94" s="403"/>
      <c r="AJ94" s="105">
        <v>4</v>
      </c>
      <c r="AK94" s="175">
        <v>2136.9230769230844</v>
      </c>
      <c r="AL94" s="202">
        <v>534.2307692307711</v>
      </c>
      <c r="AM94" s="105">
        <f t="shared" si="61"/>
        <v>17</v>
      </c>
      <c r="AN94" s="403"/>
      <c r="AO94" s="105">
        <v>4</v>
      </c>
      <c r="AP94" s="175">
        <v>2173.3333333333408</v>
      </c>
      <c r="AQ94" s="175">
        <v>543.33333333333519</v>
      </c>
      <c r="AR94" s="105">
        <f t="shared" si="62"/>
        <v>18</v>
      </c>
      <c r="AS94" s="403"/>
      <c r="AT94" s="105">
        <v>4</v>
      </c>
      <c r="AU94" s="175">
        <v>2192.3076923076865</v>
      </c>
      <c r="AV94" s="175">
        <v>548.07692307692162</v>
      </c>
      <c r="AW94" s="105">
        <f t="shared" si="63"/>
        <v>18</v>
      </c>
      <c r="AX94" s="403"/>
    </row>
    <row r="95" spans="2:50">
      <c r="B95" s="398"/>
      <c r="C95" s="105">
        <v>19</v>
      </c>
      <c r="D95" s="105" t="s">
        <v>230</v>
      </c>
      <c r="E95" s="105">
        <v>4</v>
      </c>
      <c r="F95" s="105">
        <v>3600</v>
      </c>
      <c r="G95" s="105">
        <v>900</v>
      </c>
      <c r="H95" s="403"/>
      <c r="I95" s="175">
        <f t="shared" si="54"/>
        <v>4</v>
      </c>
      <c r="J95" s="175">
        <f t="shared" si="55"/>
        <v>2403.9015394962694</v>
      </c>
      <c r="K95" s="202">
        <f t="shared" si="56"/>
        <v>600.97538487406734</v>
      </c>
      <c r="L95" s="385"/>
      <c r="M95" s="175">
        <f>RANK(K95, K$77:$K$106)</f>
        <v>14</v>
      </c>
      <c r="N95" s="387"/>
      <c r="O95" s="387"/>
      <c r="P95" s="105">
        <v>4</v>
      </c>
      <c r="Q95" s="175">
        <v>2439.4736842105262</v>
      </c>
      <c r="R95" s="202">
        <v>609.86842105263156</v>
      </c>
      <c r="S95" s="105">
        <f t="shared" si="57"/>
        <v>15</v>
      </c>
      <c r="T95" s="403"/>
      <c r="U95" s="105">
        <v>4</v>
      </c>
      <c r="V95" s="175">
        <v>2259.0000003287278</v>
      </c>
      <c r="W95" s="202">
        <v>564.75000008218194</v>
      </c>
      <c r="X95" s="105">
        <f t="shared" si="58"/>
        <v>17</v>
      </c>
      <c r="Y95" s="403"/>
      <c r="Z95" s="105">
        <v>4</v>
      </c>
      <c r="AA95" s="175">
        <v>2459.999999345413</v>
      </c>
      <c r="AB95" s="202">
        <v>614.99999983635325</v>
      </c>
      <c r="AC95" s="105">
        <f t="shared" si="59"/>
        <v>13</v>
      </c>
      <c r="AD95" s="403"/>
      <c r="AE95" s="105">
        <v>4</v>
      </c>
      <c r="AF95" s="175">
        <v>2329.7142857142831</v>
      </c>
      <c r="AG95" s="202">
        <v>582.42857142857076</v>
      </c>
      <c r="AH95" s="105">
        <f t="shared" si="60"/>
        <v>16</v>
      </c>
      <c r="AI95" s="403"/>
      <c r="AJ95" s="105">
        <v>4</v>
      </c>
      <c r="AK95" s="175">
        <v>2449.9999998573912</v>
      </c>
      <c r="AL95" s="202">
        <v>612.49999996434781</v>
      </c>
      <c r="AM95" s="105">
        <f t="shared" si="61"/>
        <v>13</v>
      </c>
      <c r="AN95" s="403"/>
      <c r="AO95" s="105">
        <v>4</v>
      </c>
      <c r="AP95" s="175">
        <v>2445.78947368421</v>
      </c>
      <c r="AQ95" s="175">
        <v>611.44736842105249</v>
      </c>
      <c r="AR95" s="105">
        <f t="shared" si="62"/>
        <v>15</v>
      </c>
      <c r="AS95" s="403"/>
      <c r="AT95" s="105">
        <v>4</v>
      </c>
      <c r="AU95" s="175">
        <v>2443.333333333333</v>
      </c>
      <c r="AV95" s="175">
        <v>610.83333333333326</v>
      </c>
      <c r="AW95" s="105">
        <f t="shared" si="63"/>
        <v>14</v>
      </c>
      <c r="AX95" s="403"/>
    </row>
    <row r="96" spans="2:50">
      <c r="B96" s="398"/>
      <c r="C96" s="105">
        <v>20</v>
      </c>
      <c r="D96" s="105"/>
      <c r="E96" s="105"/>
      <c r="F96" s="105"/>
      <c r="G96" s="105"/>
      <c r="H96" s="403"/>
      <c r="I96" s="105"/>
      <c r="J96" s="105"/>
      <c r="K96" s="105"/>
      <c r="L96" s="385"/>
      <c r="M96" s="175" t="e">
        <f>RANK(K96, K$77:$K$106)</f>
        <v>#N/A</v>
      </c>
      <c r="N96" s="387"/>
      <c r="O96" s="387"/>
      <c r="P96" s="105"/>
      <c r="Q96" s="175"/>
      <c r="R96" s="202"/>
      <c r="S96" s="105" t="e">
        <f t="shared" si="57"/>
        <v>#N/A</v>
      </c>
      <c r="T96" s="403"/>
      <c r="U96" s="105"/>
      <c r="V96" s="175"/>
      <c r="W96" s="202"/>
      <c r="X96" s="105" t="e">
        <f t="shared" si="58"/>
        <v>#N/A</v>
      </c>
      <c r="Y96" s="403"/>
      <c r="Z96" s="105"/>
      <c r="AA96" s="175"/>
      <c r="AB96" s="202"/>
      <c r="AC96" s="105" t="e">
        <f t="shared" si="59"/>
        <v>#N/A</v>
      </c>
      <c r="AD96" s="403"/>
      <c r="AE96" s="105"/>
      <c r="AF96" s="175"/>
      <c r="AG96" s="202"/>
      <c r="AH96" s="105" t="e">
        <f t="shared" si="60"/>
        <v>#N/A</v>
      </c>
      <c r="AI96" s="403"/>
      <c r="AJ96" s="105"/>
      <c r="AK96" s="175"/>
      <c r="AL96" s="202"/>
      <c r="AM96" s="105" t="e">
        <f t="shared" si="61"/>
        <v>#N/A</v>
      </c>
      <c r="AN96" s="403"/>
      <c r="AO96" s="105"/>
      <c r="AP96" s="175"/>
      <c r="AQ96" s="175"/>
      <c r="AR96" s="105" t="e">
        <f t="shared" si="62"/>
        <v>#N/A</v>
      </c>
      <c r="AS96" s="403"/>
      <c r="AT96" s="105"/>
      <c r="AU96" s="175"/>
      <c r="AV96" s="175"/>
      <c r="AW96" s="105" t="e">
        <f t="shared" si="63"/>
        <v>#N/A</v>
      </c>
      <c r="AX96" s="403"/>
    </row>
    <row r="97" spans="2:50">
      <c r="B97" s="398"/>
      <c r="C97" s="105">
        <v>21</v>
      </c>
      <c r="D97" s="105"/>
      <c r="E97" s="105"/>
      <c r="F97" s="105"/>
      <c r="G97" s="105"/>
      <c r="H97" s="403"/>
      <c r="I97" s="105"/>
      <c r="J97" s="105"/>
      <c r="K97" s="105"/>
      <c r="L97" s="385"/>
      <c r="M97" s="175" t="e">
        <f>RANK(K97, K$77:$K$106)</f>
        <v>#N/A</v>
      </c>
      <c r="N97" s="387"/>
      <c r="O97" s="387"/>
      <c r="P97" s="105"/>
      <c r="Q97" s="175"/>
      <c r="R97" s="202"/>
      <c r="S97" s="105" t="e">
        <f t="shared" si="57"/>
        <v>#N/A</v>
      </c>
      <c r="T97" s="403"/>
      <c r="U97" s="105"/>
      <c r="V97" s="175"/>
      <c r="W97" s="202"/>
      <c r="X97" s="105" t="e">
        <f t="shared" si="58"/>
        <v>#N/A</v>
      </c>
      <c r="Y97" s="403"/>
      <c r="Z97" s="105"/>
      <c r="AA97" s="175"/>
      <c r="AB97" s="202"/>
      <c r="AC97" s="105" t="e">
        <f t="shared" si="59"/>
        <v>#N/A</v>
      </c>
      <c r="AD97" s="403"/>
      <c r="AE97" s="105"/>
      <c r="AF97" s="175"/>
      <c r="AG97" s="202"/>
      <c r="AH97" s="105" t="e">
        <f t="shared" si="60"/>
        <v>#N/A</v>
      </c>
      <c r="AI97" s="403"/>
      <c r="AJ97" s="105"/>
      <c r="AK97" s="175"/>
      <c r="AL97" s="202"/>
      <c r="AM97" s="105" t="e">
        <f t="shared" si="61"/>
        <v>#N/A</v>
      </c>
      <c r="AN97" s="403"/>
      <c r="AO97" s="105"/>
      <c r="AP97" s="175"/>
      <c r="AQ97" s="175"/>
      <c r="AR97" s="105" t="e">
        <f t="shared" si="62"/>
        <v>#N/A</v>
      </c>
      <c r="AS97" s="403"/>
      <c r="AT97" s="105"/>
      <c r="AU97" s="175"/>
      <c r="AV97" s="175"/>
      <c r="AW97" s="105" t="e">
        <f t="shared" si="63"/>
        <v>#N/A</v>
      </c>
      <c r="AX97" s="403"/>
    </row>
    <row r="98" spans="2:50">
      <c r="B98" s="398"/>
      <c r="C98" s="105">
        <v>22</v>
      </c>
      <c r="D98" s="105"/>
      <c r="E98" s="105"/>
      <c r="F98" s="105"/>
      <c r="G98" s="105"/>
      <c r="H98" s="403"/>
      <c r="I98" s="105"/>
      <c r="J98" s="105"/>
      <c r="K98" s="105"/>
      <c r="L98" s="385"/>
      <c r="M98" s="175" t="e">
        <f>RANK(K98, K$77:$K$106)</f>
        <v>#N/A</v>
      </c>
      <c r="N98" s="387"/>
      <c r="O98" s="387"/>
      <c r="P98" s="105"/>
      <c r="Q98" s="175"/>
      <c r="R98" s="202"/>
      <c r="S98" s="105" t="e">
        <f t="shared" si="57"/>
        <v>#N/A</v>
      </c>
      <c r="T98" s="403"/>
      <c r="U98" s="105"/>
      <c r="V98" s="175"/>
      <c r="W98" s="202"/>
      <c r="X98" s="105" t="e">
        <f t="shared" si="58"/>
        <v>#N/A</v>
      </c>
      <c r="Y98" s="403"/>
      <c r="Z98" s="105"/>
      <c r="AA98" s="175"/>
      <c r="AB98" s="202"/>
      <c r="AC98" s="105" t="e">
        <f t="shared" si="59"/>
        <v>#N/A</v>
      </c>
      <c r="AD98" s="403"/>
      <c r="AE98" s="105"/>
      <c r="AF98" s="175"/>
      <c r="AG98" s="202"/>
      <c r="AH98" s="105" t="e">
        <f t="shared" si="60"/>
        <v>#N/A</v>
      </c>
      <c r="AI98" s="403"/>
      <c r="AJ98" s="105"/>
      <c r="AK98" s="175"/>
      <c r="AL98" s="202"/>
      <c r="AM98" s="105" t="e">
        <f t="shared" si="61"/>
        <v>#N/A</v>
      </c>
      <c r="AN98" s="403"/>
      <c r="AO98" s="105"/>
      <c r="AP98" s="175"/>
      <c r="AQ98" s="175"/>
      <c r="AR98" s="105" t="e">
        <f t="shared" si="62"/>
        <v>#N/A</v>
      </c>
      <c r="AS98" s="403"/>
      <c r="AT98" s="105"/>
      <c r="AU98" s="175"/>
      <c r="AV98" s="175"/>
      <c r="AW98" s="105" t="e">
        <f t="shared" si="63"/>
        <v>#N/A</v>
      </c>
      <c r="AX98" s="403"/>
    </row>
    <row r="99" spans="2:50">
      <c r="B99" s="398"/>
      <c r="C99" s="105">
        <v>23</v>
      </c>
      <c r="D99" s="105"/>
      <c r="E99" s="105"/>
      <c r="F99" s="105"/>
      <c r="G99" s="105"/>
      <c r="H99" s="403"/>
      <c r="I99" s="105"/>
      <c r="J99" s="105"/>
      <c r="K99" s="105"/>
      <c r="L99" s="385"/>
      <c r="M99" s="175" t="e">
        <f>RANK(K99, K$77:$K$106)</f>
        <v>#N/A</v>
      </c>
      <c r="N99" s="387"/>
      <c r="O99" s="387"/>
      <c r="P99" s="105"/>
      <c r="Q99" s="105"/>
      <c r="R99" s="202"/>
      <c r="S99" s="105" t="e">
        <f t="shared" si="57"/>
        <v>#N/A</v>
      </c>
      <c r="T99" s="403"/>
      <c r="U99" s="105"/>
      <c r="V99" s="175"/>
      <c r="W99" s="202"/>
      <c r="X99" s="105" t="e">
        <f t="shared" si="58"/>
        <v>#N/A</v>
      </c>
      <c r="Y99" s="403"/>
      <c r="Z99" s="105"/>
      <c r="AA99" s="175"/>
      <c r="AB99" s="202"/>
      <c r="AC99" s="105" t="e">
        <f t="shared" si="59"/>
        <v>#N/A</v>
      </c>
      <c r="AD99" s="403"/>
      <c r="AE99" s="105"/>
      <c r="AF99" s="175"/>
      <c r="AG99" s="202"/>
      <c r="AH99" s="105" t="e">
        <f t="shared" si="60"/>
        <v>#N/A</v>
      </c>
      <c r="AI99" s="403"/>
      <c r="AJ99" s="105"/>
      <c r="AK99" s="175"/>
      <c r="AL99" s="202"/>
      <c r="AM99" s="105" t="e">
        <f t="shared" si="61"/>
        <v>#N/A</v>
      </c>
      <c r="AN99" s="403"/>
      <c r="AO99" s="105"/>
      <c r="AP99" s="175"/>
      <c r="AQ99" s="175"/>
      <c r="AR99" s="105" t="e">
        <f t="shared" si="62"/>
        <v>#N/A</v>
      </c>
      <c r="AS99" s="403"/>
      <c r="AT99" s="105"/>
      <c r="AU99" s="175"/>
      <c r="AV99" s="175"/>
      <c r="AW99" s="105" t="e">
        <f t="shared" si="63"/>
        <v>#N/A</v>
      </c>
      <c r="AX99" s="403"/>
    </row>
    <row r="100" spans="2:50">
      <c r="B100" s="398"/>
      <c r="C100" s="105">
        <v>24</v>
      </c>
      <c r="D100" s="105"/>
      <c r="E100" s="105"/>
      <c r="F100" s="105"/>
      <c r="G100" s="105"/>
      <c r="H100" s="403"/>
      <c r="I100" s="105"/>
      <c r="J100" s="105"/>
      <c r="K100" s="105"/>
      <c r="L100" s="385"/>
      <c r="M100" s="175" t="e">
        <f>RANK(K100, K$77:$K$106)</f>
        <v>#N/A</v>
      </c>
      <c r="N100" s="387"/>
      <c r="O100" s="387"/>
      <c r="P100" s="105"/>
      <c r="Q100" s="105"/>
      <c r="R100" s="105"/>
      <c r="S100" s="105" t="e">
        <f t="shared" si="57"/>
        <v>#N/A</v>
      </c>
      <c r="T100" s="403"/>
      <c r="U100" s="105"/>
      <c r="V100" s="105"/>
      <c r="W100" s="105"/>
      <c r="X100" s="105" t="e">
        <f t="shared" si="58"/>
        <v>#N/A</v>
      </c>
      <c r="Y100" s="403"/>
      <c r="Z100" s="105"/>
      <c r="AA100" s="105"/>
      <c r="AB100" s="105"/>
      <c r="AC100" s="105" t="e">
        <f t="shared" si="59"/>
        <v>#N/A</v>
      </c>
      <c r="AD100" s="403"/>
      <c r="AE100" s="105"/>
      <c r="AF100" s="105"/>
      <c r="AG100" s="105"/>
      <c r="AH100" s="105" t="e">
        <f t="shared" si="60"/>
        <v>#N/A</v>
      </c>
      <c r="AI100" s="403"/>
      <c r="AJ100" s="105"/>
      <c r="AK100" s="105"/>
      <c r="AL100" s="105"/>
      <c r="AM100" s="105" t="e">
        <f t="shared" si="61"/>
        <v>#N/A</v>
      </c>
      <c r="AN100" s="403"/>
      <c r="AO100" s="105"/>
      <c r="AP100" s="105"/>
      <c r="AQ100" s="105"/>
      <c r="AR100" s="105" t="e">
        <f t="shared" si="62"/>
        <v>#N/A</v>
      </c>
      <c r="AS100" s="403"/>
      <c r="AT100" s="105"/>
      <c r="AU100" s="105"/>
      <c r="AV100" s="105"/>
      <c r="AW100" s="105" t="e">
        <f t="shared" si="63"/>
        <v>#N/A</v>
      </c>
      <c r="AX100" s="403"/>
    </row>
    <row r="101" spans="2:50">
      <c r="B101" s="398"/>
      <c r="C101" s="105">
        <v>25</v>
      </c>
      <c r="D101" s="105"/>
      <c r="E101" s="105"/>
      <c r="F101" s="105"/>
      <c r="G101" s="105"/>
      <c r="H101" s="403"/>
      <c r="I101" s="105"/>
      <c r="J101" s="105"/>
      <c r="K101" s="105"/>
      <c r="L101" s="385"/>
      <c r="M101" s="175" t="e">
        <f>RANK(K101, K$77:$K$106)</f>
        <v>#N/A</v>
      </c>
      <c r="N101" s="387"/>
      <c r="O101" s="387"/>
      <c r="P101" s="105"/>
      <c r="Q101" s="105"/>
      <c r="R101" s="105"/>
      <c r="S101" s="105" t="e">
        <f t="shared" si="57"/>
        <v>#N/A</v>
      </c>
      <c r="T101" s="403"/>
      <c r="U101" s="105"/>
      <c r="V101" s="105"/>
      <c r="W101" s="105"/>
      <c r="X101" s="105" t="e">
        <f t="shared" si="58"/>
        <v>#N/A</v>
      </c>
      <c r="Y101" s="403"/>
      <c r="Z101" s="105"/>
      <c r="AA101" s="105"/>
      <c r="AB101" s="105"/>
      <c r="AC101" s="105" t="e">
        <f t="shared" si="59"/>
        <v>#N/A</v>
      </c>
      <c r="AD101" s="403"/>
      <c r="AE101" s="105"/>
      <c r="AF101" s="105"/>
      <c r="AG101" s="105"/>
      <c r="AH101" s="105" t="e">
        <f t="shared" si="60"/>
        <v>#N/A</v>
      </c>
      <c r="AI101" s="403"/>
      <c r="AJ101" s="105"/>
      <c r="AK101" s="105"/>
      <c r="AL101" s="105"/>
      <c r="AM101" s="105" t="e">
        <f t="shared" si="61"/>
        <v>#N/A</v>
      </c>
      <c r="AN101" s="403"/>
      <c r="AO101" s="105"/>
      <c r="AP101" s="105"/>
      <c r="AQ101" s="105"/>
      <c r="AR101" s="105" t="e">
        <f t="shared" si="62"/>
        <v>#N/A</v>
      </c>
      <c r="AS101" s="403"/>
      <c r="AT101" s="105"/>
      <c r="AU101" s="105"/>
      <c r="AV101" s="105"/>
      <c r="AW101" s="105" t="e">
        <f t="shared" si="63"/>
        <v>#N/A</v>
      </c>
      <c r="AX101" s="403"/>
    </row>
    <row r="102" spans="2:50">
      <c r="B102" s="398"/>
      <c r="C102" s="105">
        <v>26</v>
      </c>
      <c r="D102" s="105"/>
      <c r="E102" s="105"/>
      <c r="F102" s="105"/>
      <c r="G102" s="105"/>
      <c r="H102" s="403"/>
      <c r="I102" s="105"/>
      <c r="J102" s="105"/>
      <c r="K102" s="105"/>
      <c r="L102" s="385"/>
      <c r="M102" s="175" t="e">
        <f>RANK(K102, K$77:$K$106)</f>
        <v>#N/A</v>
      </c>
      <c r="N102" s="387"/>
      <c r="O102" s="387"/>
      <c r="P102" s="105"/>
      <c r="Q102" s="105"/>
      <c r="R102" s="105"/>
      <c r="S102" s="105" t="e">
        <f t="shared" si="57"/>
        <v>#N/A</v>
      </c>
      <c r="T102" s="403"/>
      <c r="U102" s="105"/>
      <c r="V102" s="105"/>
      <c r="W102" s="105"/>
      <c r="X102" s="105" t="e">
        <f t="shared" si="58"/>
        <v>#N/A</v>
      </c>
      <c r="Y102" s="403"/>
      <c r="Z102" s="105"/>
      <c r="AA102" s="105"/>
      <c r="AB102" s="105"/>
      <c r="AC102" s="105" t="e">
        <f t="shared" si="59"/>
        <v>#N/A</v>
      </c>
      <c r="AD102" s="403"/>
      <c r="AE102" s="105"/>
      <c r="AF102" s="105"/>
      <c r="AG102" s="105"/>
      <c r="AH102" s="105" t="e">
        <f t="shared" si="60"/>
        <v>#N/A</v>
      </c>
      <c r="AI102" s="403"/>
      <c r="AJ102" s="105"/>
      <c r="AK102" s="105"/>
      <c r="AL102" s="105"/>
      <c r="AM102" s="105" t="e">
        <f t="shared" si="61"/>
        <v>#N/A</v>
      </c>
      <c r="AN102" s="403"/>
      <c r="AO102" s="105"/>
      <c r="AP102" s="105"/>
      <c r="AQ102" s="105"/>
      <c r="AR102" s="105" t="e">
        <f t="shared" si="62"/>
        <v>#N/A</v>
      </c>
      <c r="AS102" s="403"/>
      <c r="AT102" s="105"/>
      <c r="AU102" s="105"/>
      <c r="AV102" s="105"/>
      <c r="AW102" s="105" t="e">
        <f t="shared" si="63"/>
        <v>#N/A</v>
      </c>
      <c r="AX102" s="403"/>
    </row>
    <row r="103" spans="2:50">
      <c r="B103" s="398"/>
      <c r="C103" s="105">
        <v>27</v>
      </c>
      <c r="D103" s="105"/>
      <c r="E103" s="105"/>
      <c r="F103" s="105"/>
      <c r="G103" s="105"/>
      <c r="H103" s="403"/>
      <c r="I103" s="105"/>
      <c r="J103" s="105"/>
      <c r="K103" s="105"/>
      <c r="L103" s="385"/>
      <c r="M103" s="175" t="e">
        <f>RANK(K103, K$77:$K$106)</f>
        <v>#N/A</v>
      </c>
      <c r="N103" s="387"/>
      <c r="O103" s="387"/>
      <c r="P103" s="105"/>
      <c r="Q103" s="105"/>
      <c r="R103" s="105"/>
      <c r="S103" s="105" t="e">
        <f t="shared" si="57"/>
        <v>#N/A</v>
      </c>
      <c r="T103" s="403"/>
      <c r="U103" s="105"/>
      <c r="V103" s="105"/>
      <c r="W103" s="105"/>
      <c r="X103" s="105" t="e">
        <f t="shared" si="58"/>
        <v>#N/A</v>
      </c>
      <c r="Y103" s="403"/>
      <c r="Z103" s="105"/>
      <c r="AA103" s="105"/>
      <c r="AB103" s="105"/>
      <c r="AC103" s="105" t="e">
        <f t="shared" si="59"/>
        <v>#N/A</v>
      </c>
      <c r="AD103" s="403"/>
      <c r="AE103" s="105"/>
      <c r="AF103" s="105"/>
      <c r="AG103" s="105"/>
      <c r="AH103" s="105" t="e">
        <f t="shared" si="60"/>
        <v>#N/A</v>
      </c>
      <c r="AI103" s="403"/>
      <c r="AJ103" s="105"/>
      <c r="AK103" s="105"/>
      <c r="AL103" s="105"/>
      <c r="AM103" s="105" t="e">
        <f t="shared" si="61"/>
        <v>#N/A</v>
      </c>
      <c r="AN103" s="403"/>
      <c r="AO103" s="105"/>
      <c r="AP103" s="105"/>
      <c r="AQ103" s="105"/>
      <c r="AR103" s="105" t="e">
        <f t="shared" si="62"/>
        <v>#N/A</v>
      </c>
      <c r="AS103" s="403"/>
      <c r="AT103" s="105"/>
      <c r="AU103" s="105"/>
      <c r="AV103" s="105"/>
      <c r="AW103" s="105" t="e">
        <f t="shared" si="63"/>
        <v>#N/A</v>
      </c>
      <c r="AX103" s="403"/>
    </row>
    <row r="104" spans="2:50">
      <c r="B104" s="398"/>
      <c r="C104" s="105">
        <v>28</v>
      </c>
      <c r="D104" s="105"/>
      <c r="E104" s="105"/>
      <c r="F104" s="105"/>
      <c r="G104" s="105"/>
      <c r="H104" s="403"/>
      <c r="I104" s="105"/>
      <c r="J104" s="105"/>
      <c r="K104" s="105"/>
      <c r="L104" s="385"/>
      <c r="M104" s="175" t="e">
        <f>RANK(K104, K$77:$K$106)</f>
        <v>#N/A</v>
      </c>
      <c r="N104" s="387"/>
      <c r="O104" s="387"/>
      <c r="P104" s="105"/>
      <c r="Q104" s="105"/>
      <c r="R104" s="105"/>
      <c r="S104" s="105" t="e">
        <f t="shared" si="57"/>
        <v>#N/A</v>
      </c>
      <c r="T104" s="403"/>
      <c r="U104" s="105"/>
      <c r="V104" s="105"/>
      <c r="W104" s="105"/>
      <c r="X104" s="105" t="e">
        <f t="shared" si="58"/>
        <v>#N/A</v>
      </c>
      <c r="Y104" s="403"/>
      <c r="Z104" s="105"/>
      <c r="AA104" s="105"/>
      <c r="AB104" s="105"/>
      <c r="AC104" s="105" t="e">
        <f t="shared" si="59"/>
        <v>#N/A</v>
      </c>
      <c r="AD104" s="403"/>
      <c r="AE104" s="105"/>
      <c r="AF104" s="105"/>
      <c r="AG104" s="105"/>
      <c r="AH104" s="105" t="e">
        <f t="shared" si="60"/>
        <v>#N/A</v>
      </c>
      <c r="AI104" s="403"/>
      <c r="AJ104" s="105"/>
      <c r="AK104" s="105"/>
      <c r="AL104" s="105"/>
      <c r="AM104" s="105" t="e">
        <f t="shared" si="61"/>
        <v>#N/A</v>
      </c>
      <c r="AN104" s="403"/>
      <c r="AO104" s="105"/>
      <c r="AP104" s="105"/>
      <c r="AQ104" s="105"/>
      <c r="AR104" s="105" t="e">
        <f t="shared" si="62"/>
        <v>#N/A</v>
      </c>
      <c r="AS104" s="403"/>
      <c r="AT104" s="105"/>
      <c r="AU104" s="105"/>
      <c r="AV104" s="105"/>
      <c r="AW104" s="105" t="e">
        <f t="shared" si="63"/>
        <v>#N/A</v>
      </c>
      <c r="AX104" s="403"/>
    </row>
    <row r="105" spans="2:50">
      <c r="B105" s="398"/>
      <c r="C105" s="105">
        <v>29</v>
      </c>
      <c r="D105" s="105"/>
      <c r="E105" s="105"/>
      <c r="F105" s="105"/>
      <c r="G105" s="105"/>
      <c r="H105" s="403"/>
      <c r="I105" s="105"/>
      <c r="J105" s="105"/>
      <c r="K105" s="105"/>
      <c r="L105" s="385"/>
      <c r="M105" s="175" t="e">
        <f>RANK(K105, K$77:$K$106)</f>
        <v>#N/A</v>
      </c>
      <c r="N105" s="387"/>
      <c r="O105" s="387"/>
      <c r="P105" s="105"/>
      <c r="Q105" s="105"/>
      <c r="R105" s="105"/>
      <c r="S105" s="105" t="e">
        <f t="shared" si="57"/>
        <v>#N/A</v>
      </c>
      <c r="T105" s="403"/>
      <c r="U105" s="105"/>
      <c r="V105" s="105"/>
      <c r="W105" s="105"/>
      <c r="X105" s="105" t="e">
        <f t="shared" si="58"/>
        <v>#N/A</v>
      </c>
      <c r="Y105" s="403"/>
      <c r="Z105" s="105"/>
      <c r="AA105" s="105"/>
      <c r="AB105" s="105"/>
      <c r="AC105" s="105" t="e">
        <f t="shared" si="59"/>
        <v>#N/A</v>
      </c>
      <c r="AD105" s="403"/>
      <c r="AE105" s="105"/>
      <c r="AF105" s="105"/>
      <c r="AG105" s="105"/>
      <c r="AH105" s="105" t="e">
        <f t="shared" si="60"/>
        <v>#N/A</v>
      </c>
      <c r="AI105" s="403"/>
      <c r="AJ105" s="105"/>
      <c r="AK105" s="105"/>
      <c r="AL105" s="105"/>
      <c r="AM105" s="105" t="e">
        <f t="shared" si="61"/>
        <v>#N/A</v>
      </c>
      <c r="AN105" s="403"/>
      <c r="AO105" s="105"/>
      <c r="AP105" s="105"/>
      <c r="AQ105" s="105"/>
      <c r="AR105" s="105" t="e">
        <f t="shared" si="62"/>
        <v>#N/A</v>
      </c>
      <c r="AS105" s="403"/>
      <c r="AT105" s="105"/>
      <c r="AU105" s="105"/>
      <c r="AV105" s="105"/>
      <c r="AW105" s="105" t="e">
        <f t="shared" si="63"/>
        <v>#N/A</v>
      </c>
      <c r="AX105" s="403"/>
    </row>
    <row r="106" spans="2:50">
      <c r="B106" s="398"/>
      <c r="C106" s="105">
        <v>30</v>
      </c>
      <c r="D106" s="105"/>
      <c r="E106" s="105"/>
      <c r="F106" s="105"/>
      <c r="G106" s="105"/>
      <c r="H106" s="404"/>
      <c r="I106" s="105"/>
      <c r="J106" s="105"/>
      <c r="K106" s="105"/>
      <c r="L106" s="386"/>
      <c r="M106" s="175" t="e">
        <f>RANK(K106, K$77:$K$106)</f>
        <v>#N/A</v>
      </c>
      <c r="N106" s="387"/>
      <c r="O106" s="387"/>
      <c r="P106" s="105"/>
      <c r="Q106" s="105"/>
      <c r="R106" s="105"/>
      <c r="S106" s="105" t="e">
        <f t="shared" si="47"/>
        <v>#N/A</v>
      </c>
      <c r="T106" s="404"/>
      <c r="U106" s="105"/>
      <c r="V106" s="105"/>
      <c r="W106" s="105"/>
      <c r="X106" s="105" t="e">
        <f t="shared" si="48"/>
        <v>#N/A</v>
      </c>
      <c r="Y106" s="404"/>
      <c r="Z106" s="105"/>
      <c r="AA106" s="105"/>
      <c r="AB106" s="105"/>
      <c r="AC106" s="105" t="e">
        <f t="shared" si="49"/>
        <v>#N/A</v>
      </c>
      <c r="AD106" s="404"/>
      <c r="AE106" s="105"/>
      <c r="AF106" s="105"/>
      <c r="AG106" s="105"/>
      <c r="AH106" s="105" t="e">
        <f t="shared" si="50"/>
        <v>#N/A</v>
      </c>
      <c r="AI106" s="404"/>
      <c r="AJ106" s="105"/>
      <c r="AK106" s="105"/>
      <c r="AL106" s="105"/>
      <c r="AM106" s="105" t="e">
        <f t="shared" si="51"/>
        <v>#N/A</v>
      </c>
      <c r="AN106" s="404"/>
      <c r="AO106" s="105"/>
      <c r="AP106" s="105"/>
      <c r="AQ106" s="105"/>
      <c r="AR106" s="105" t="e">
        <f t="shared" si="52"/>
        <v>#N/A</v>
      </c>
      <c r="AS106" s="404"/>
      <c r="AT106" s="105"/>
      <c r="AU106" s="105"/>
      <c r="AV106" s="105"/>
      <c r="AW106" s="105" t="e">
        <f t="shared" si="53"/>
        <v>#N/A</v>
      </c>
      <c r="AX106" s="404"/>
    </row>
    <row r="107" spans="2:50" ht="15.75">
      <c r="B107" s="405" t="s">
        <v>195</v>
      </c>
      <c r="C107" s="406"/>
      <c r="D107" s="406"/>
      <c r="E107" s="406"/>
      <c r="F107" s="406"/>
      <c r="G107" s="406"/>
      <c r="H107" s="406"/>
      <c r="I107" s="205"/>
      <c r="J107" s="205"/>
      <c r="K107" s="205"/>
      <c r="L107" s="205"/>
      <c r="M107" s="204"/>
      <c r="N107" s="399" t="s">
        <v>196</v>
      </c>
      <c r="O107" s="399" t="s">
        <v>145</v>
      </c>
      <c r="P107" s="397">
        <f>P72+7</f>
        <v>45888</v>
      </c>
      <c r="Q107" s="398"/>
      <c r="R107" s="398"/>
      <c r="S107" s="398"/>
      <c r="T107" s="398"/>
      <c r="U107" s="394">
        <f>P107+1</f>
        <v>45889</v>
      </c>
      <c r="V107" s="395"/>
      <c r="W107" s="395"/>
      <c r="X107" s="395"/>
      <c r="Y107" s="396"/>
      <c r="Z107" s="394">
        <f>U107+1</f>
        <v>45890</v>
      </c>
      <c r="AA107" s="395"/>
      <c r="AB107" s="395"/>
      <c r="AC107" s="395"/>
      <c r="AD107" s="396"/>
      <c r="AE107" s="394">
        <f t="shared" ref="AE107" si="64">Z107+1</f>
        <v>45891</v>
      </c>
      <c r="AF107" s="395"/>
      <c r="AG107" s="395"/>
      <c r="AH107" s="395"/>
      <c r="AI107" s="396"/>
      <c r="AJ107" s="394">
        <f t="shared" ref="AJ107" si="65">AE107+1</f>
        <v>45892</v>
      </c>
      <c r="AK107" s="395"/>
      <c r="AL107" s="395"/>
      <c r="AM107" s="395"/>
      <c r="AN107" s="396"/>
      <c r="AO107" s="394">
        <f t="shared" ref="AO107" si="66">AJ107+1</f>
        <v>45893</v>
      </c>
      <c r="AP107" s="395"/>
      <c r="AQ107" s="395"/>
      <c r="AR107" s="395"/>
      <c r="AS107" s="396"/>
      <c r="AT107" s="394">
        <f t="shared" ref="AT107" si="67">AO107+1</f>
        <v>45894</v>
      </c>
      <c r="AU107" s="395"/>
      <c r="AV107" s="395"/>
      <c r="AW107" s="395"/>
      <c r="AX107" s="396"/>
    </row>
    <row r="108" spans="2:50" ht="15.75">
      <c r="B108" s="407"/>
      <c r="C108" s="407"/>
      <c r="D108" s="407"/>
      <c r="E108" s="407"/>
      <c r="F108" s="407"/>
      <c r="G108" s="407"/>
      <c r="H108" s="407"/>
      <c r="I108" s="172"/>
      <c r="J108" s="172"/>
      <c r="K108" s="172"/>
      <c r="L108" s="172"/>
      <c r="M108" s="173"/>
      <c r="N108" s="401"/>
      <c r="O108" s="401"/>
      <c r="P108" s="397" t="s">
        <v>159</v>
      </c>
      <c r="Q108" s="398"/>
      <c r="R108" s="398"/>
      <c r="S108" s="398"/>
      <c r="T108" s="398"/>
      <c r="U108" s="397" t="s">
        <v>160</v>
      </c>
      <c r="V108" s="398"/>
      <c r="W108" s="398"/>
      <c r="X108" s="398"/>
      <c r="Y108" s="398"/>
      <c r="Z108" s="397" t="s">
        <v>161</v>
      </c>
      <c r="AA108" s="398"/>
      <c r="AB108" s="398"/>
      <c r="AC108" s="398"/>
      <c r="AD108" s="398"/>
      <c r="AE108" s="397" t="s">
        <v>156</v>
      </c>
      <c r="AF108" s="398"/>
      <c r="AG108" s="398"/>
      <c r="AH108" s="398"/>
      <c r="AI108" s="398"/>
      <c r="AJ108" s="397" t="s">
        <v>157</v>
      </c>
      <c r="AK108" s="398"/>
      <c r="AL108" s="398"/>
      <c r="AM108" s="398"/>
      <c r="AN108" s="398"/>
      <c r="AO108" s="397" t="s">
        <v>152</v>
      </c>
      <c r="AP108" s="398"/>
      <c r="AQ108" s="398"/>
      <c r="AR108" s="398"/>
      <c r="AS108" s="398"/>
      <c r="AT108" s="397" t="s">
        <v>158</v>
      </c>
      <c r="AU108" s="398"/>
      <c r="AV108" s="398"/>
      <c r="AW108" s="398"/>
      <c r="AX108" s="398"/>
    </row>
    <row r="109" spans="2:50">
      <c r="B109" s="387" t="s">
        <v>197</v>
      </c>
      <c r="C109" s="387" t="s">
        <v>198</v>
      </c>
      <c r="D109" s="387"/>
      <c r="E109" s="387" t="s">
        <v>199</v>
      </c>
      <c r="F109" s="387"/>
      <c r="G109" s="387"/>
      <c r="H109" s="388" t="s">
        <v>200</v>
      </c>
      <c r="I109" s="387" t="s">
        <v>201</v>
      </c>
      <c r="J109" s="387"/>
      <c r="K109" s="387"/>
      <c r="L109" s="388" t="s">
        <v>200</v>
      </c>
      <c r="M109" s="399" t="s">
        <v>202</v>
      </c>
      <c r="N109" s="387"/>
      <c r="O109" s="387" t="s">
        <v>203</v>
      </c>
      <c r="P109" s="391" t="s">
        <v>204</v>
      </c>
      <c r="Q109" s="392"/>
      <c r="R109" s="392"/>
      <c r="S109" s="393"/>
      <c r="T109" s="387" t="s">
        <v>200</v>
      </c>
      <c r="U109" s="391" t="s">
        <v>204</v>
      </c>
      <c r="V109" s="392"/>
      <c r="W109" s="392"/>
      <c r="X109" s="393"/>
      <c r="Y109" s="387" t="s">
        <v>200</v>
      </c>
      <c r="Z109" s="391" t="s">
        <v>204</v>
      </c>
      <c r="AA109" s="392"/>
      <c r="AB109" s="392"/>
      <c r="AC109" s="393"/>
      <c r="AD109" s="387" t="s">
        <v>200</v>
      </c>
      <c r="AE109" s="391" t="s">
        <v>204</v>
      </c>
      <c r="AF109" s="392"/>
      <c r="AG109" s="392"/>
      <c r="AH109" s="393"/>
      <c r="AI109" s="387" t="s">
        <v>200</v>
      </c>
      <c r="AJ109" s="391" t="s">
        <v>204</v>
      </c>
      <c r="AK109" s="392"/>
      <c r="AL109" s="392"/>
      <c r="AM109" s="393"/>
      <c r="AN109" s="387" t="s">
        <v>200</v>
      </c>
      <c r="AO109" s="391" t="s">
        <v>204</v>
      </c>
      <c r="AP109" s="392"/>
      <c r="AQ109" s="392"/>
      <c r="AR109" s="393"/>
      <c r="AS109" s="387" t="s">
        <v>200</v>
      </c>
      <c r="AT109" s="391" t="s">
        <v>204</v>
      </c>
      <c r="AU109" s="392"/>
      <c r="AV109" s="392"/>
      <c r="AW109" s="393"/>
      <c r="AX109" s="387" t="s">
        <v>200</v>
      </c>
    </row>
    <row r="110" spans="2:50">
      <c r="B110" s="387"/>
      <c r="C110" s="387"/>
      <c r="D110" s="387"/>
      <c r="E110" s="387" t="s">
        <v>205</v>
      </c>
      <c r="F110" s="387"/>
      <c r="G110" s="387"/>
      <c r="H110" s="389"/>
      <c r="I110" s="387" t="s">
        <v>205</v>
      </c>
      <c r="J110" s="387"/>
      <c r="K110" s="387"/>
      <c r="L110" s="389"/>
      <c r="M110" s="400"/>
      <c r="N110" s="387"/>
      <c r="O110" s="387"/>
      <c r="P110" s="391" t="s">
        <v>206</v>
      </c>
      <c r="Q110" s="392"/>
      <c r="R110" s="392"/>
      <c r="S110" s="393"/>
      <c r="T110" s="387"/>
      <c r="U110" s="391" t="s">
        <v>206</v>
      </c>
      <c r="V110" s="392"/>
      <c r="W110" s="392"/>
      <c r="X110" s="393"/>
      <c r="Y110" s="387"/>
      <c r="Z110" s="391" t="s">
        <v>206</v>
      </c>
      <c r="AA110" s="392"/>
      <c r="AB110" s="392"/>
      <c r="AC110" s="393"/>
      <c r="AD110" s="387"/>
      <c r="AE110" s="391" t="s">
        <v>206</v>
      </c>
      <c r="AF110" s="392"/>
      <c r="AG110" s="392"/>
      <c r="AH110" s="393"/>
      <c r="AI110" s="387"/>
      <c r="AJ110" s="391" t="s">
        <v>206</v>
      </c>
      <c r="AK110" s="392"/>
      <c r="AL110" s="392"/>
      <c r="AM110" s="393"/>
      <c r="AN110" s="387"/>
      <c r="AO110" s="391" t="s">
        <v>206</v>
      </c>
      <c r="AP110" s="392"/>
      <c r="AQ110" s="392"/>
      <c r="AR110" s="393"/>
      <c r="AS110" s="387"/>
      <c r="AT110" s="391" t="s">
        <v>206</v>
      </c>
      <c r="AU110" s="392"/>
      <c r="AV110" s="392"/>
      <c r="AW110" s="393"/>
      <c r="AX110" s="387"/>
    </row>
    <row r="111" spans="2:50">
      <c r="B111" s="387"/>
      <c r="C111" s="387"/>
      <c r="D111" s="387"/>
      <c r="E111" s="104" t="s">
        <v>207</v>
      </c>
      <c r="F111" s="104" t="s">
        <v>208</v>
      </c>
      <c r="G111" s="104" t="s">
        <v>209</v>
      </c>
      <c r="H111" s="390"/>
      <c r="I111" s="104" t="s">
        <v>207</v>
      </c>
      <c r="J111" s="104" t="s">
        <v>208</v>
      </c>
      <c r="K111" s="104" t="s">
        <v>209</v>
      </c>
      <c r="L111" s="390"/>
      <c r="M111" s="401"/>
      <c r="N111" s="387"/>
      <c r="O111" s="387"/>
      <c r="P111" s="104" t="s">
        <v>207</v>
      </c>
      <c r="Q111" s="104" t="s">
        <v>208</v>
      </c>
      <c r="R111" s="104" t="s">
        <v>209</v>
      </c>
      <c r="S111" s="104" t="s">
        <v>202</v>
      </c>
      <c r="T111" s="387"/>
      <c r="U111" s="104" t="s">
        <v>207</v>
      </c>
      <c r="V111" s="104" t="s">
        <v>208</v>
      </c>
      <c r="W111" s="104" t="s">
        <v>209</v>
      </c>
      <c r="X111" s="104" t="s">
        <v>202</v>
      </c>
      <c r="Y111" s="387"/>
      <c r="Z111" s="104" t="s">
        <v>207</v>
      </c>
      <c r="AA111" s="104" t="s">
        <v>208</v>
      </c>
      <c r="AB111" s="104" t="s">
        <v>209</v>
      </c>
      <c r="AC111" s="104" t="s">
        <v>202</v>
      </c>
      <c r="AD111" s="387"/>
      <c r="AE111" s="104" t="s">
        <v>207</v>
      </c>
      <c r="AF111" s="104" t="s">
        <v>208</v>
      </c>
      <c r="AG111" s="104" t="s">
        <v>209</v>
      </c>
      <c r="AH111" s="104" t="s">
        <v>202</v>
      </c>
      <c r="AI111" s="387"/>
      <c r="AJ111" s="104" t="s">
        <v>207</v>
      </c>
      <c r="AK111" s="104" t="s">
        <v>208</v>
      </c>
      <c r="AL111" s="104" t="s">
        <v>209</v>
      </c>
      <c r="AM111" s="104" t="s">
        <v>202</v>
      </c>
      <c r="AN111" s="387"/>
      <c r="AO111" s="104" t="s">
        <v>207</v>
      </c>
      <c r="AP111" s="104" t="s">
        <v>208</v>
      </c>
      <c r="AQ111" s="104" t="s">
        <v>209</v>
      </c>
      <c r="AR111" s="104" t="s">
        <v>202</v>
      </c>
      <c r="AS111" s="387"/>
      <c r="AT111" s="104" t="s">
        <v>207</v>
      </c>
      <c r="AU111" s="104" t="s">
        <v>208</v>
      </c>
      <c r="AV111" s="104" t="s">
        <v>209</v>
      </c>
      <c r="AW111" s="104" t="s">
        <v>202</v>
      </c>
      <c r="AX111" s="387"/>
    </row>
    <row r="112" spans="2:50">
      <c r="B112" s="398" t="s">
        <v>210</v>
      </c>
      <c r="C112" s="105">
        <v>1</v>
      </c>
      <c r="D112" s="105" t="s">
        <v>211</v>
      </c>
      <c r="E112" s="105">
        <v>4</v>
      </c>
      <c r="F112" s="105">
        <v>2200</v>
      </c>
      <c r="G112" s="105">
        <v>550</v>
      </c>
      <c r="H112" s="402">
        <f>AVERAGE(G112:G141)</f>
        <v>908.75</v>
      </c>
      <c r="I112" s="175">
        <f>AVERAGE(P112,U112,Z112,AE112,AJ112,AO112,AT112)</f>
        <v>4</v>
      </c>
      <c r="J112" s="175">
        <f>AVERAGE(Q112,V112,AA112,AF112,AK112,AP112,AU112)</f>
        <v>1994.0800482021989</v>
      </c>
      <c r="K112" s="202">
        <f>AVERAGE(R112,W112,AB112,AG112,AL112,AQ112,AV112)</f>
        <v>498.52001205054972</v>
      </c>
      <c r="L112" s="384">
        <f>IFERROR(AVERAGE(K112:K141),"-")</f>
        <v>713.33240287485989</v>
      </c>
      <c r="M112" s="175">
        <f>RANK(K112, K$112:$K$141)</f>
        <v>20</v>
      </c>
      <c r="N112" s="387"/>
      <c r="O112" s="387"/>
      <c r="P112" s="105">
        <v>4</v>
      </c>
      <c r="Q112" s="175">
        <v>1992.8089887640451</v>
      </c>
      <c r="R112" s="202">
        <v>498.20224719101128</v>
      </c>
      <c r="S112" s="105">
        <f>RANK(R112, R$112:R$141)</f>
        <v>20</v>
      </c>
      <c r="T112" s="402">
        <f>AVERAGE(R112:R141)</f>
        <v>722.74848361730869</v>
      </c>
      <c r="U112" s="105">
        <v>4</v>
      </c>
      <c r="V112" s="175">
        <v>2002.4175824175823</v>
      </c>
      <c r="W112" s="202">
        <v>500.60439560439556</v>
      </c>
      <c r="X112" s="105">
        <f>RANK(W112, W$112:W$141)</f>
        <v>20</v>
      </c>
      <c r="Y112" s="402">
        <f>AVERAGE(W112:W141)</f>
        <v>711.99306361079232</v>
      </c>
      <c r="Z112" s="105">
        <v>4</v>
      </c>
      <c r="AA112" s="175">
        <v>1967.9999999999998</v>
      </c>
      <c r="AB112" s="202">
        <v>491.99999999999994</v>
      </c>
      <c r="AC112" s="105">
        <f>RANK(AB112, AB$112:AB$141)</f>
        <v>20</v>
      </c>
      <c r="AD112" s="402">
        <f>AVERAGE(AB112:AB141)</f>
        <v>714.77083756460706</v>
      </c>
      <c r="AE112" s="105">
        <v>4</v>
      </c>
      <c r="AF112" s="175">
        <v>1997.1428571428571</v>
      </c>
      <c r="AG112" s="202">
        <v>499.28571428571428</v>
      </c>
      <c r="AH112" s="105">
        <f>RANK(AG112, AG$112:AG$141)</f>
        <v>20</v>
      </c>
      <c r="AI112" s="402">
        <f>AVERAGE(AG112:AG141)</f>
        <v>695.13723160096959</v>
      </c>
      <c r="AJ112" s="105">
        <v>4</v>
      </c>
      <c r="AK112" s="175">
        <v>1981.6000000000006</v>
      </c>
      <c r="AL112" s="202">
        <v>495.40000000000015</v>
      </c>
      <c r="AM112" s="105">
        <f>RANK(AL112, AL$112:AL$141)</f>
        <v>20</v>
      </c>
      <c r="AN112" s="402">
        <f>AVERAGE(AL112:AL141)</f>
        <v>716.24272777641011</v>
      </c>
      <c r="AO112" s="105">
        <v>4</v>
      </c>
      <c r="AP112" s="175">
        <v>2028.4090909090908</v>
      </c>
      <c r="AQ112" s="175">
        <v>507.10227272727269</v>
      </c>
      <c r="AR112" s="105">
        <f>RANK(AQ112, AQ$112:AQ$141)</f>
        <v>20</v>
      </c>
      <c r="AS112" s="402">
        <f>AVERAGE(AQ112:AQ141)</f>
        <v>719.29741211780652</v>
      </c>
      <c r="AT112" s="105">
        <v>4</v>
      </c>
      <c r="AU112" s="175">
        <v>1988.181818181818</v>
      </c>
      <c r="AV112" s="175">
        <v>497.0454545454545</v>
      </c>
      <c r="AW112" s="105">
        <f>RANK(AV112, AV$112:AV$141)</f>
        <v>20</v>
      </c>
      <c r="AX112" s="402">
        <f>AVERAGE(AV112:AV141)</f>
        <v>713.13706383612487</v>
      </c>
    </row>
    <row r="113" spans="2:50">
      <c r="B113" s="398"/>
      <c r="C113" s="105">
        <v>2</v>
      </c>
      <c r="D113" s="105" t="s">
        <v>212</v>
      </c>
      <c r="E113" s="105">
        <v>3</v>
      </c>
      <c r="F113" s="105">
        <v>2700</v>
      </c>
      <c r="G113" s="105">
        <v>900</v>
      </c>
      <c r="H113" s="403"/>
      <c r="I113" s="175">
        <f t="shared" ref="I113:I121" si="68">AVERAGE(P113,U113,Z113,AE113,AJ113,AO113,AT113)</f>
        <v>3</v>
      </c>
      <c r="J113" s="175">
        <f t="shared" ref="J113:J121" si="69">AVERAGE(Q113,V113,AA113,AF113,AK113,AP113,AU113)</f>
        <v>2989.5515363948539</v>
      </c>
      <c r="K113" s="202">
        <f t="shared" ref="K113:K121" si="70">AVERAGE(R113,W113,AB113,AG113,AL113,AQ113,AV113)</f>
        <v>996.51717879828448</v>
      </c>
      <c r="L113" s="385"/>
      <c r="M113" s="175">
        <f>RANK(K113, K$112:$K$141)</f>
        <v>1</v>
      </c>
      <c r="N113" s="387"/>
      <c r="O113" s="387"/>
      <c r="P113" s="105">
        <v>3</v>
      </c>
      <c r="Q113" s="175">
        <v>3157.7142857142862</v>
      </c>
      <c r="R113" s="202">
        <v>1052.5714285714287</v>
      </c>
      <c r="S113" s="105">
        <f t="shared" ref="S113:S141" si="71">RANK(R113, R$112:R$141)</f>
        <v>1</v>
      </c>
      <c r="T113" s="403"/>
      <c r="U113" s="105">
        <v>3</v>
      </c>
      <c r="V113" s="175">
        <v>2935.1351351351332</v>
      </c>
      <c r="W113" s="202">
        <v>978.37837837837776</v>
      </c>
      <c r="X113" s="105">
        <f t="shared" ref="X113:X141" si="72">RANK(W113, W$112:W$141)</f>
        <v>1</v>
      </c>
      <c r="Y113" s="403"/>
      <c r="Z113" s="105">
        <v>3</v>
      </c>
      <c r="AA113" s="175">
        <v>2941.666666666667</v>
      </c>
      <c r="AB113" s="202">
        <v>980.55555555555566</v>
      </c>
      <c r="AC113" s="105">
        <f t="shared" ref="AC113:AC141" si="73">RANK(AB113, AB$112:AB$141)</f>
        <v>1</v>
      </c>
      <c r="AD113" s="403"/>
      <c r="AE113" s="105">
        <v>3</v>
      </c>
      <c r="AF113" s="175">
        <v>2972.9032258064508</v>
      </c>
      <c r="AG113" s="202">
        <v>990.96774193548356</v>
      </c>
      <c r="AH113" s="105">
        <f t="shared" ref="AH113:AH141" si="74">RANK(AG113, AG$112:AG$141)</f>
        <v>1</v>
      </c>
      <c r="AI113" s="403"/>
      <c r="AJ113" s="105">
        <v>3</v>
      </c>
      <c r="AK113" s="175">
        <v>2997.9999999999982</v>
      </c>
      <c r="AL113" s="202">
        <v>999.33333333333269</v>
      </c>
      <c r="AM113" s="105">
        <f t="shared" ref="AM113:AM141" si="75">RANK(AL113, AL$112:AL$141)</f>
        <v>1</v>
      </c>
      <c r="AN113" s="403"/>
      <c r="AO113" s="105">
        <v>3</v>
      </c>
      <c r="AP113" s="175">
        <v>2948.1081081081056</v>
      </c>
      <c r="AQ113" s="175">
        <v>982.70270270270191</v>
      </c>
      <c r="AR113" s="105">
        <f t="shared" ref="AR113:AR141" si="76">RANK(AQ113, AQ$112:AQ$141)</f>
        <v>1</v>
      </c>
      <c r="AS113" s="403"/>
      <c r="AT113" s="105">
        <v>3</v>
      </c>
      <c r="AU113" s="175">
        <v>2973.3333333333339</v>
      </c>
      <c r="AV113" s="175">
        <v>991.11111111111131</v>
      </c>
      <c r="AW113" s="105">
        <f t="shared" ref="AW113:AW141" si="77">RANK(AV113, AV$112:AV$141)</f>
        <v>1</v>
      </c>
      <c r="AX113" s="403"/>
    </row>
    <row r="114" spans="2:50">
      <c r="B114" s="398"/>
      <c r="C114" s="105">
        <v>3</v>
      </c>
      <c r="D114" s="105" t="s">
        <v>213</v>
      </c>
      <c r="E114" s="105">
        <v>4</v>
      </c>
      <c r="F114" s="105">
        <v>3600</v>
      </c>
      <c r="G114" s="105">
        <v>900</v>
      </c>
      <c r="H114" s="403"/>
      <c r="I114" s="175">
        <f t="shared" si="68"/>
        <v>4</v>
      </c>
      <c r="J114" s="175">
        <f t="shared" si="69"/>
        <v>2942.5571428571452</v>
      </c>
      <c r="K114" s="202">
        <f t="shared" si="70"/>
        <v>735.6392857142863</v>
      </c>
      <c r="L114" s="385"/>
      <c r="M114" s="175">
        <f>RANK(K114, K$112:$K$141)</f>
        <v>7</v>
      </c>
      <c r="N114" s="387"/>
      <c r="O114" s="387"/>
      <c r="P114" s="105">
        <v>4</v>
      </c>
      <c r="Q114" s="175">
        <v>2910.0000000000059</v>
      </c>
      <c r="R114" s="202">
        <v>727.50000000000148</v>
      </c>
      <c r="S114" s="105">
        <f t="shared" si="71"/>
        <v>10</v>
      </c>
      <c r="T114" s="403"/>
      <c r="U114" s="105">
        <v>4</v>
      </c>
      <c r="V114" s="175">
        <v>2911.2000000000057</v>
      </c>
      <c r="W114" s="202">
        <v>727.80000000000143</v>
      </c>
      <c r="X114" s="105">
        <f t="shared" si="72"/>
        <v>8</v>
      </c>
      <c r="Y114" s="403"/>
      <c r="Z114" s="105">
        <v>4</v>
      </c>
      <c r="AA114" s="175">
        <v>2997.5000000000055</v>
      </c>
      <c r="AB114" s="202">
        <v>749.37500000000136</v>
      </c>
      <c r="AC114" s="105">
        <f t="shared" si="73"/>
        <v>8</v>
      </c>
      <c r="AD114" s="403"/>
      <c r="AE114" s="105">
        <v>4</v>
      </c>
      <c r="AF114" s="175">
        <v>2939.9999999999945</v>
      </c>
      <c r="AG114" s="202">
        <v>734.99999999999864</v>
      </c>
      <c r="AH114" s="105">
        <f t="shared" si="74"/>
        <v>7</v>
      </c>
      <c r="AI114" s="403"/>
      <c r="AJ114" s="105">
        <v>4</v>
      </c>
      <c r="AK114" s="175">
        <v>3011.9999999999927</v>
      </c>
      <c r="AL114" s="202">
        <v>752.99999999999818</v>
      </c>
      <c r="AM114" s="105">
        <f t="shared" si="75"/>
        <v>7</v>
      </c>
      <c r="AN114" s="403"/>
      <c r="AO114" s="105">
        <v>4</v>
      </c>
      <c r="AP114" s="175">
        <v>2935.2000000000057</v>
      </c>
      <c r="AQ114" s="175">
        <v>733.80000000000143</v>
      </c>
      <c r="AR114" s="105">
        <f t="shared" si="76"/>
        <v>9</v>
      </c>
      <c r="AS114" s="403"/>
      <c r="AT114" s="105">
        <v>4</v>
      </c>
      <c r="AU114" s="175">
        <v>2892.0000000000059</v>
      </c>
      <c r="AV114" s="175">
        <v>723.00000000000148</v>
      </c>
      <c r="AW114" s="105">
        <f t="shared" si="77"/>
        <v>10</v>
      </c>
      <c r="AX114" s="403"/>
    </row>
    <row r="115" spans="2:50">
      <c r="B115" s="398"/>
      <c r="C115" s="105">
        <v>4</v>
      </c>
      <c r="D115" s="105" t="s">
        <v>214</v>
      </c>
      <c r="E115" s="105">
        <v>4</v>
      </c>
      <c r="F115" s="105">
        <v>3600</v>
      </c>
      <c r="G115" s="105">
        <v>900</v>
      </c>
      <c r="H115" s="403"/>
      <c r="I115" s="175">
        <f t="shared" si="68"/>
        <v>4</v>
      </c>
      <c r="J115" s="175">
        <f t="shared" si="69"/>
        <v>2919.3846222699617</v>
      </c>
      <c r="K115" s="202">
        <f t="shared" si="70"/>
        <v>729.84615556749043</v>
      </c>
      <c r="L115" s="385"/>
      <c r="M115" s="175">
        <f>RANK(K115, K$112:$K$141)</f>
        <v>9</v>
      </c>
      <c r="N115" s="387"/>
      <c r="O115" s="387"/>
      <c r="P115" s="105">
        <v>4</v>
      </c>
      <c r="Q115" s="175">
        <v>2955.789473684215</v>
      </c>
      <c r="R115" s="202">
        <v>738.94736842105374</v>
      </c>
      <c r="S115" s="105">
        <f t="shared" si="71"/>
        <v>8</v>
      </c>
      <c r="T115" s="403"/>
      <c r="U115" s="105">
        <v>4</v>
      </c>
      <c r="V115" s="175">
        <v>2908.4210526315833</v>
      </c>
      <c r="W115" s="202">
        <v>727.10526315789582</v>
      </c>
      <c r="X115" s="105">
        <f t="shared" si="72"/>
        <v>9</v>
      </c>
      <c r="Y115" s="403"/>
      <c r="Z115" s="105">
        <v>4</v>
      </c>
      <c r="AA115" s="175">
        <v>2873.6842105263204</v>
      </c>
      <c r="AB115" s="202">
        <v>718.4210526315801</v>
      </c>
      <c r="AC115" s="105">
        <f t="shared" si="73"/>
        <v>9</v>
      </c>
      <c r="AD115" s="403"/>
      <c r="AE115" s="105">
        <v>4</v>
      </c>
      <c r="AF115" s="175">
        <v>2838.7499999999964</v>
      </c>
      <c r="AG115" s="202">
        <v>709.68749999999909</v>
      </c>
      <c r="AH115" s="105">
        <f t="shared" si="74"/>
        <v>10</v>
      </c>
      <c r="AI115" s="403"/>
      <c r="AJ115" s="105">
        <v>4</v>
      </c>
      <c r="AK115" s="175">
        <v>2965.7142857142794</v>
      </c>
      <c r="AL115" s="202">
        <v>741.42857142856985</v>
      </c>
      <c r="AM115" s="105">
        <f t="shared" si="75"/>
        <v>9</v>
      </c>
      <c r="AN115" s="403"/>
      <c r="AO115" s="105">
        <v>4</v>
      </c>
      <c r="AP115" s="175">
        <v>2990.0000000000041</v>
      </c>
      <c r="AQ115" s="175">
        <v>747.50000000000102</v>
      </c>
      <c r="AR115" s="105">
        <f t="shared" si="76"/>
        <v>8</v>
      </c>
      <c r="AS115" s="403"/>
      <c r="AT115" s="105">
        <v>4</v>
      </c>
      <c r="AU115" s="175">
        <v>2903.3333333333376</v>
      </c>
      <c r="AV115" s="175">
        <v>725.83333333333439</v>
      </c>
      <c r="AW115" s="105">
        <f t="shared" si="77"/>
        <v>9</v>
      </c>
      <c r="AX115" s="403"/>
    </row>
    <row r="116" spans="2:50">
      <c r="B116" s="398"/>
      <c r="C116" s="105">
        <v>5</v>
      </c>
      <c r="D116" s="105" t="s">
        <v>217</v>
      </c>
      <c r="E116" s="105">
        <v>4</v>
      </c>
      <c r="F116" s="105">
        <v>3600</v>
      </c>
      <c r="G116" s="105">
        <v>900</v>
      </c>
      <c r="H116" s="403"/>
      <c r="I116" s="175">
        <f t="shared" si="68"/>
        <v>4</v>
      </c>
      <c r="J116" s="175">
        <f t="shared" si="69"/>
        <v>2909.2098377812727</v>
      </c>
      <c r="K116" s="202">
        <f t="shared" si="70"/>
        <v>727.30245944531816</v>
      </c>
      <c r="L116" s="385"/>
      <c r="M116" s="175">
        <f>RANK(K116, K$112:$K$141)</f>
        <v>10</v>
      </c>
      <c r="N116" s="387"/>
      <c r="O116" s="387"/>
      <c r="P116" s="105">
        <v>4</v>
      </c>
      <c r="Q116" s="175">
        <v>2940.00000000001</v>
      </c>
      <c r="R116" s="202">
        <v>735.0000000000025</v>
      </c>
      <c r="S116" s="105">
        <f t="shared" si="71"/>
        <v>9</v>
      </c>
      <c r="T116" s="403"/>
      <c r="U116" s="105">
        <v>4</v>
      </c>
      <c r="V116" s="175">
        <v>2880.00000000001</v>
      </c>
      <c r="W116" s="202">
        <v>720.0000000000025</v>
      </c>
      <c r="X116" s="105">
        <f t="shared" si="72"/>
        <v>10</v>
      </c>
      <c r="Y116" s="403"/>
      <c r="Z116" s="105">
        <v>4</v>
      </c>
      <c r="AA116" s="175">
        <v>3004.6153846153957</v>
      </c>
      <c r="AB116" s="202">
        <v>751.15384615384892</v>
      </c>
      <c r="AC116" s="105">
        <f t="shared" si="73"/>
        <v>7</v>
      </c>
      <c r="AD116" s="403"/>
      <c r="AE116" s="105">
        <v>4</v>
      </c>
      <c r="AF116" s="175">
        <v>2910.00000000001</v>
      </c>
      <c r="AG116" s="202">
        <v>727.5000000000025</v>
      </c>
      <c r="AH116" s="105">
        <f t="shared" si="74"/>
        <v>8</v>
      </c>
      <c r="AI116" s="403"/>
      <c r="AJ116" s="105">
        <v>4</v>
      </c>
      <c r="AK116" s="175">
        <v>3006.6666666666506</v>
      </c>
      <c r="AL116" s="202">
        <v>751.66666666666265</v>
      </c>
      <c r="AM116" s="105">
        <f t="shared" si="75"/>
        <v>8</v>
      </c>
      <c r="AN116" s="403"/>
      <c r="AO116" s="105">
        <v>4</v>
      </c>
      <c r="AP116" s="175">
        <v>2798.5714285714384</v>
      </c>
      <c r="AQ116" s="175">
        <v>699.64285714285961</v>
      </c>
      <c r="AR116" s="105">
        <f t="shared" si="76"/>
        <v>10</v>
      </c>
      <c r="AS116" s="403"/>
      <c r="AT116" s="105">
        <v>4</v>
      </c>
      <c r="AU116" s="175">
        <v>2824.6153846153948</v>
      </c>
      <c r="AV116" s="175">
        <v>706.15384615384869</v>
      </c>
      <c r="AW116" s="105">
        <f t="shared" si="77"/>
        <v>11</v>
      </c>
      <c r="AX116" s="403"/>
    </row>
    <row r="117" spans="2:50">
      <c r="B117" s="398"/>
      <c r="C117" s="105">
        <v>6</v>
      </c>
      <c r="D117" s="105" t="s">
        <v>216</v>
      </c>
      <c r="E117" s="105">
        <v>3</v>
      </c>
      <c r="F117" s="105">
        <v>3600</v>
      </c>
      <c r="G117" s="105">
        <v>1200</v>
      </c>
      <c r="H117" s="403"/>
      <c r="I117" s="175">
        <f t="shared" si="68"/>
        <v>4</v>
      </c>
      <c r="J117" s="175">
        <f t="shared" si="69"/>
        <v>2577.8571428571449</v>
      </c>
      <c r="K117" s="202">
        <f t="shared" si="70"/>
        <v>644.46428571428623</v>
      </c>
      <c r="L117" s="385"/>
      <c r="M117" s="175">
        <f>RANK(K117, K$112:$K$141)</f>
        <v>12</v>
      </c>
      <c r="N117" s="387"/>
      <c r="O117" s="387"/>
      <c r="P117" s="105">
        <v>4</v>
      </c>
      <c r="Q117" s="175">
        <v>2688.0000000000095</v>
      </c>
      <c r="R117" s="202">
        <v>672.00000000000239</v>
      </c>
      <c r="S117" s="105">
        <f t="shared" si="71"/>
        <v>12</v>
      </c>
      <c r="T117" s="403"/>
      <c r="U117" s="105">
        <v>4</v>
      </c>
      <c r="V117" s="175">
        <v>2688.0000000000095</v>
      </c>
      <c r="W117" s="202">
        <v>672.00000000000239</v>
      </c>
      <c r="X117" s="105">
        <f t="shared" si="72"/>
        <v>12</v>
      </c>
      <c r="Y117" s="403"/>
      <c r="Z117" s="105">
        <v>4</v>
      </c>
      <c r="AA117" s="175">
        <v>2700.0000000000095</v>
      </c>
      <c r="AB117" s="202">
        <v>675.00000000000239</v>
      </c>
      <c r="AC117" s="105">
        <f t="shared" si="73"/>
        <v>11</v>
      </c>
      <c r="AD117" s="403"/>
      <c r="AE117" s="105">
        <v>4</v>
      </c>
      <c r="AF117" s="175">
        <v>2124.0000000000077</v>
      </c>
      <c r="AG117" s="202">
        <v>531.00000000000193</v>
      </c>
      <c r="AH117" s="105">
        <f t="shared" si="74"/>
        <v>18</v>
      </c>
      <c r="AI117" s="403"/>
      <c r="AJ117" s="105">
        <v>4</v>
      </c>
      <c r="AK117" s="175">
        <v>2564.9999999999577</v>
      </c>
      <c r="AL117" s="202">
        <v>641.24999999998943</v>
      </c>
      <c r="AM117" s="105">
        <f t="shared" si="75"/>
        <v>12</v>
      </c>
      <c r="AN117" s="403"/>
      <c r="AO117" s="105">
        <v>4</v>
      </c>
      <c r="AP117" s="175">
        <v>2664.0000000000091</v>
      </c>
      <c r="AQ117" s="175">
        <v>666.00000000000227</v>
      </c>
      <c r="AR117" s="105">
        <f t="shared" si="76"/>
        <v>12</v>
      </c>
      <c r="AS117" s="403"/>
      <c r="AT117" s="105">
        <v>4</v>
      </c>
      <c r="AU117" s="175">
        <v>2616.0000000000095</v>
      </c>
      <c r="AV117" s="175">
        <v>654.00000000000239</v>
      </c>
      <c r="AW117" s="105">
        <f t="shared" si="77"/>
        <v>13</v>
      </c>
      <c r="AX117" s="403"/>
    </row>
    <row r="118" spans="2:50">
      <c r="B118" s="398"/>
      <c r="C118" s="105">
        <v>7</v>
      </c>
      <c r="D118" s="105" t="s">
        <v>215</v>
      </c>
      <c r="E118" s="105">
        <v>3</v>
      </c>
      <c r="F118" s="105">
        <v>3600</v>
      </c>
      <c r="G118" s="105">
        <v>1200</v>
      </c>
      <c r="H118" s="403"/>
      <c r="I118" s="175">
        <f t="shared" si="68"/>
        <v>3</v>
      </c>
      <c r="J118" s="175">
        <f t="shared" si="69"/>
        <v>2800.11904761904</v>
      </c>
      <c r="K118" s="202">
        <f t="shared" si="70"/>
        <v>933.37301587301329</v>
      </c>
      <c r="L118" s="385"/>
      <c r="M118" s="175">
        <f>RANK(K118, K$112:$K$141)</f>
        <v>2</v>
      </c>
      <c r="N118" s="387"/>
      <c r="O118" s="387"/>
      <c r="P118" s="105">
        <v>3</v>
      </c>
      <c r="Q118" s="175">
        <v>2873.333333333318</v>
      </c>
      <c r="R118" s="202">
        <v>957.77777777777271</v>
      </c>
      <c r="S118" s="105">
        <f t="shared" si="71"/>
        <v>2</v>
      </c>
      <c r="T118" s="403"/>
      <c r="U118" s="105">
        <v>3</v>
      </c>
      <c r="V118" s="175">
        <v>2819.999999999985</v>
      </c>
      <c r="W118" s="202">
        <v>939.999999999995</v>
      </c>
      <c r="X118" s="105">
        <f t="shared" si="72"/>
        <v>2</v>
      </c>
      <c r="Y118" s="403"/>
      <c r="Z118" s="105">
        <v>3</v>
      </c>
      <c r="AA118" s="175">
        <v>2806.666666666652</v>
      </c>
      <c r="AB118" s="202">
        <v>935.55555555555065</v>
      </c>
      <c r="AC118" s="105">
        <f t="shared" si="73"/>
        <v>2</v>
      </c>
      <c r="AD118" s="403"/>
      <c r="AE118" s="105">
        <v>3</v>
      </c>
      <c r="AF118" s="175">
        <v>2647.5000000000095</v>
      </c>
      <c r="AG118" s="202">
        <v>882.50000000000318</v>
      </c>
      <c r="AH118" s="105">
        <f t="shared" si="74"/>
        <v>2</v>
      </c>
      <c r="AI118" s="403"/>
      <c r="AJ118" s="105">
        <v>3</v>
      </c>
      <c r="AK118" s="175">
        <v>2880.00000000001</v>
      </c>
      <c r="AL118" s="202">
        <v>960.0000000000033</v>
      </c>
      <c r="AM118" s="105">
        <f t="shared" si="75"/>
        <v>2</v>
      </c>
      <c r="AN118" s="403"/>
      <c r="AO118" s="105">
        <v>3</v>
      </c>
      <c r="AP118" s="175">
        <v>2806.666666666652</v>
      </c>
      <c r="AQ118" s="175">
        <v>935.55555555555065</v>
      </c>
      <c r="AR118" s="105">
        <f t="shared" si="76"/>
        <v>2</v>
      </c>
      <c r="AS118" s="403"/>
      <c r="AT118" s="105">
        <v>3</v>
      </c>
      <c r="AU118" s="175">
        <v>2766.666666666652</v>
      </c>
      <c r="AV118" s="175">
        <v>922.22222222221728</v>
      </c>
      <c r="AW118" s="105">
        <f t="shared" si="77"/>
        <v>2</v>
      </c>
      <c r="AX118" s="403"/>
    </row>
    <row r="119" spans="2:50">
      <c r="B119" s="398"/>
      <c r="C119" s="105">
        <v>8</v>
      </c>
      <c r="D119" s="105" t="s">
        <v>218</v>
      </c>
      <c r="E119" s="105">
        <v>4</v>
      </c>
      <c r="F119" s="105">
        <v>3300</v>
      </c>
      <c r="G119" s="105">
        <v>825</v>
      </c>
      <c r="H119" s="403"/>
      <c r="I119" s="175">
        <f t="shared" si="68"/>
        <v>4</v>
      </c>
      <c r="J119" s="175">
        <f t="shared" si="69"/>
        <v>2459.7431972789086</v>
      </c>
      <c r="K119" s="202">
        <f t="shared" si="70"/>
        <v>614.93579931972715</v>
      </c>
      <c r="L119" s="385"/>
      <c r="M119" s="175">
        <f>RANK(K119, K$112:$K$141)</f>
        <v>18</v>
      </c>
      <c r="N119" s="387"/>
      <c r="O119" s="387"/>
      <c r="P119" s="105">
        <v>4</v>
      </c>
      <c r="Q119" s="175">
        <v>2459.9999999999977</v>
      </c>
      <c r="R119" s="202">
        <v>614.99999999999943</v>
      </c>
      <c r="S119" s="105">
        <f t="shared" si="71"/>
        <v>17</v>
      </c>
      <c r="T119" s="403"/>
      <c r="U119" s="105">
        <v>4</v>
      </c>
      <c r="V119" s="175">
        <v>2449.9999999999982</v>
      </c>
      <c r="W119" s="202">
        <v>612.49999999999955</v>
      </c>
      <c r="X119" s="105">
        <f t="shared" si="72"/>
        <v>17</v>
      </c>
      <c r="Y119" s="403"/>
      <c r="Z119" s="105">
        <v>4</v>
      </c>
      <c r="AA119" s="175">
        <v>2446.6666666666647</v>
      </c>
      <c r="AB119" s="202">
        <v>611.66666666666617</v>
      </c>
      <c r="AC119" s="105">
        <f t="shared" si="73"/>
        <v>19</v>
      </c>
      <c r="AD119" s="403"/>
      <c r="AE119" s="105">
        <v>4</v>
      </c>
      <c r="AF119" s="175">
        <v>2375.9999999999959</v>
      </c>
      <c r="AG119" s="202">
        <v>593.99999999999898</v>
      </c>
      <c r="AH119" s="105">
        <f t="shared" si="74"/>
        <v>17</v>
      </c>
      <c r="AI119" s="403"/>
      <c r="AJ119" s="105">
        <v>4</v>
      </c>
      <c r="AK119" s="175">
        <v>2404.2857142857092</v>
      </c>
      <c r="AL119" s="202">
        <v>601.0714285714273</v>
      </c>
      <c r="AM119" s="105">
        <f t="shared" si="75"/>
        <v>18</v>
      </c>
      <c r="AN119" s="403"/>
      <c r="AO119" s="105">
        <v>4</v>
      </c>
      <c r="AP119" s="175">
        <v>2681.2499999999964</v>
      </c>
      <c r="AQ119" s="175">
        <v>670.31249999999909</v>
      </c>
      <c r="AR119" s="105">
        <f t="shared" si="76"/>
        <v>11</v>
      </c>
      <c r="AS119" s="403"/>
      <c r="AT119" s="105">
        <v>4</v>
      </c>
      <c r="AU119" s="175">
        <v>2399.9999999999982</v>
      </c>
      <c r="AV119" s="175">
        <v>599.99999999999955</v>
      </c>
      <c r="AW119" s="105">
        <f t="shared" si="77"/>
        <v>18</v>
      </c>
      <c r="AX119" s="403"/>
    </row>
    <row r="120" spans="2:50">
      <c r="B120" s="398"/>
      <c r="C120" s="105">
        <v>9</v>
      </c>
      <c r="D120" s="105" t="s">
        <v>219</v>
      </c>
      <c r="E120" s="105">
        <v>3</v>
      </c>
      <c r="F120" s="105">
        <v>3300</v>
      </c>
      <c r="G120" s="105">
        <v>1100</v>
      </c>
      <c r="H120" s="403"/>
      <c r="I120" s="175">
        <f t="shared" si="68"/>
        <v>3</v>
      </c>
      <c r="J120" s="175">
        <f t="shared" si="69"/>
        <v>2484.4453620603285</v>
      </c>
      <c r="K120" s="202">
        <f t="shared" si="70"/>
        <v>828.14845402010963</v>
      </c>
      <c r="L120" s="385"/>
      <c r="M120" s="175">
        <f>RANK(K120, K$112:$K$141)</f>
        <v>5</v>
      </c>
      <c r="N120" s="387"/>
      <c r="O120" s="387"/>
      <c r="P120" s="105">
        <v>3</v>
      </c>
      <c r="Q120" s="175">
        <v>2449.090909090909</v>
      </c>
      <c r="R120" s="202">
        <v>816.36363636363637</v>
      </c>
      <c r="S120" s="105">
        <f t="shared" si="71"/>
        <v>6</v>
      </c>
      <c r="T120" s="403"/>
      <c r="U120" s="105">
        <v>3</v>
      </c>
      <c r="V120" s="175">
        <v>2513.0232558139528</v>
      </c>
      <c r="W120" s="202">
        <v>837.6744186046509</v>
      </c>
      <c r="X120" s="105">
        <f t="shared" si="72"/>
        <v>3</v>
      </c>
      <c r="Y120" s="403"/>
      <c r="Z120" s="105">
        <v>3</v>
      </c>
      <c r="AA120" s="175">
        <v>2469.7674418604647</v>
      </c>
      <c r="AB120" s="202">
        <v>823.2558139534882</v>
      </c>
      <c r="AC120" s="105">
        <f t="shared" si="73"/>
        <v>5</v>
      </c>
      <c r="AD120" s="403"/>
      <c r="AE120" s="105">
        <v>3</v>
      </c>
      <c r="AF120" s="175">
        <v>2456.8421052631561</v>
      </c>
      <c r="AG120" s="202">
        <v>818.94736842105203</v>
      </c>
      <c r="AH120" s="105">
        <f t="shared" si="74"/>
        <v>5</v>
      </c>
      <c r="AI120" s="403"/>
      <c r="AJ120" s="105">
        <v>3</v>
      </c>
      <c r="AK120" s="175">
        <v>2468.1081081081061</v>
      </c>
      <c r="AL120" s="202">
        <v>822.70270270270203</v>
      </c>
      <c r="AM120" s="105">
        <f t="shared" si="75"/>
        <v>4</v>
      </c>
      <c r="AN120" s="403"/>
      <c r="AO120" s="105">
        <v>3</v>
      </c>
      <c r="AP120" s="175">
        <v>2568.5714285714275</v>
      </c>
      <c r="AQ120" s="175">
        <v>856.19047619047581</v>
      </c>
      <c r="AR120" s="105">
        <f t="shared" si="76"/>
        <v>4</v>
      </c>
      <c r="AS120" s="403"/>
      <c r="AT120" s="105">
        <v>3</v>
      </c>
      <c r="AU120" s="175">
        <v>2465.7142857142849</v>
      </c>
      <c r="AV120" s="175">
        <v>821.90476190476159</v>
      </c>
      <c r="AW120" s="105">
        <f t="shared" si="77"/>
        <v>5</v>
      </c>
      <c r="AX120" s="403"/>
    </row>
    <row r="121" spans="2:50">
      <c r="B121" s="398"/>
      <c r="C121" s="105">
        <v>10</v>
      </c>
      <c r="D121" s="105" t="s">
        <v>220</v>
      </c>
      <c r="E121" s="105">
        <v>3</v>
      </c>
      <c r="F121" s="105">
        <v>3300</v>
      </c>
      <c r="G121" s="105">
        <v>1100</v>
      </c>
      <c r="H121" s="403"/>
      <c r="I121" s="175">
        <f t="shared" si="68"/>
        <v>3</v>
      </c>
      <c r="J121" s="175">
        <f t="shared" si="69"/>
        <v>2486.5180859936886</v>
      </c>
      <c r="K121" s="202">
        <f t="shared" si="70"/>
        <v>828.83936199789628</v>
      </c>
      <c r="L121" s="385"/>
      <c r="M121" s="175">
        <f>RANK(K121, K$112:$K$141)</f>
        <v>4</v>
      </c>
      <c r="N121" s="387"/>
      <c r="O121" s="387"/>
      <c r="P121" s="105">
        <v>3</v>
      </c>
      <c r="Q121" s="175">
        <v>2468.3720930232575</v>
      </c>
      <c r="R121" s="202">
        <v>822.79069767441922</v>
      </c>
      <c r="S121" s="105">
        <f t="shared" si="71"/>
        <v>5</v>
      </c>
      <c r="T121" s="403"/>
      <c r="U121" s="105">
        <v>3</v>
      </c>
      <c r="V121" s="175">
        <v>2461.3953488372117</v>
      </c>
      <c r="W121" s="202">
        <v>820.46511627907057</v>
      </c>
      <c r="X121" s="105">
        <f t="shared" si="72"/>
        <v>5</v>
      </c>
      <c r="Y121" s="403"/>
      <c r="Z121" s="105">
        <v>3</v>
      </c>
      <c r="AA121" s="175">
        <v>2471.4285714285729</v>
      </c>
      <c r="AB121" s="202">
        <v>823.80952380952431</v>
      </c>
      <c r="AC121" s="105">
        <f t="shared" si="73"/>
        <v>4</v>
      </c>
      <c r="AD121" s="403"/>
      <c r="AE121" s="105">
        <v>3</v>
      </c>
      <c r="AF121" s="175">
        <v>2475.7894736842063</v>
      </c>
      <c r="AG121" s="202">
        <v>825.2631578947354</v>
      </c>
      <c r="AH121" s="105">
        <f t="shared" si="74"/>
        <v>4</v>
      </c>
      <c r="AI121" s="403"/>
      <c r="AJ121" s="105">
        <v>3</v>
      </c>
      <c r="AK121" s="175">
        <v>2459.9999999999955</v>
      </c>
      <c r="AL121" s="202">
        <v>819.99999999999852</v>
      </c>
      <c r="AM121" s="105">
        <f t="shared" si="75"/>
        <v>6</v>
      </c>
      <c r="AN121" s="403"/>
      <c r="AO121" s="105">
        <v>3</v>
      </c>
      <c r="AP121" s="175">
        <v>2582.9268292682891</v>
      </c>
      <c r="AQ121" s="175">
        <v>860.97560975609633</v>
      </c>
      <c r="AR121" s="105">
        <f t="shared" si="76"/>
        <v>3</v>
      </c>
      <c r="AS121" s="403"/>
      <c r="AT121" s="105">
        <v>3</v>
      </c>
      <c r="AU121" s="175">
        <v>2485.7142857142876</v>
      </c>
      <c r="AV121" s="175">
        <v>828.57142857142924</v>
      </c>
      <c r="AW121" s="105">
        <f t="shared" si="77"/>
        <v>4</v>
      </c>
      <c r="AX121" s="403"/>
    </row>
    <row r="122" spans="2:50">
      <c r="B122" s="398"/>
      <c r="C122" s="105">
        <v>11</v>
      </c>
      <c r="D122" s="105" t="s">
        <v>222</v>
      </c>
      <c r="E122" s="105">
        <v>4</v>
      </c>
      <c r="F122" s="105">
        <v>3300</v>
      </c>
      <c r="G122" s="105">
        <v>825</v>
      </c>
      <c r="H122" s="403"/>
      <c r="I122" s="175">
        <f t="shared" ref="I122:I131" si="78">AVERAGE(P122,U122,Z122,AE122,AJ122,AO122,AT122)</f>
        <v>4</v>
      </c>
      <c r="J122" s="175">
        <f t="shared" ref="J122:J131" si="79">AVERAGE(Q122,V122,AA122,AF122,AK122,AP122,AU122)</f>
        <v>2466.7254874158107</v>
      </c>
      <c r="K122" s="202">
        <f t="shared" ref="K122:K131" si="80">AVERAGE(R122,W122,AB122,AG122,AL122,AQ122,AV122)</f>
        <v>616.68137185395267</v>
      </c>
      <c r="L122" s="385"/>
      <c r="M122" s="175">
        <f>RANK(K122, K$112:$K$141)</f>
        <v>17</v>
      </c>
      <c r="N122" s="387"/>
      <c r="O122" s="387"/>
      <c r="P122" s="105">
        <v>4</v>
      </c>
      <c r="Q122" s="175">
        <v>2424.3750000000027</v>
      </c>
      <c r="R122" s="202">
        <v>606.09375000000068</v>
      </c>
      <c r="S122" s="105">
        <f t="shared" si="71"/>
        <v>18</v>
      </c>
      <c r="T122" s="403"/>
      <c r="U122" s="105">
        <v>4</v>
      </c>
      <c r="V122" s="175">
        <v>2435.6250000000027</v>
      </c>
      <c r="W122" s="202">
        <v>608.90625000000068</v>
      </c>
      <c r="X122" s="105">
        <f t="shared" si="72"/>
        <v>18</v>
      </c>
      <c r="Y122" s="403"/>
      <c r="Z122" s="105">
        <v>4</v>
      </c>
      <c r="AA122" s="175">
        <v>2475.4838709677442</v>
      </c>
      <c r="AB122" s="202">
        <v>618.87096774193606</v>
      </c>
      <c r="AC122" s="105">
        <f t="shared" si="73"/>
        <v>17</v>
      </c>
      <c r="AD122" s="403"/>
      <c r="AE122" s="105">
        <v>4</v>
      </c>
      <c r="AF122" s="175">
        <v>2473.8461538461474</v>
      </c>
      <c r="AG122" s="202">
        <v>618.46153846153686</v>
      </c>
      <c r="AH122" s="105">
        <f t="shared" si="74"/>
        <v>13</v>
      </c>
      <c r="AI122" s="403"/>
      <c r="AJ122" s="105">
        <v>4</v>
      </c>
      <c r="AK122" s="175">
        <v>2539.2000000000007</v>
      </c>
      <c r="AL122" s="202">
        <v>634.80000000000018</v>
      </c>
      <c r="AM122" s="105">
        <f t="shared" si="75"/>
        <v>13</v>
      </c>
      <c r="AN122" s="403"/>
      <c r="AO122" s="105">
        <v>4</v>
      </c>
      <c r="AP122" s="175">
        <v>2445.0000000000027</v>
      </c>
      <c r="AQ122" s="175">
        <v>611.25000000000068</v>
      </c>
      <c r="AR122" s="105">
        <f t="shared" si="76"/>
        <v>17</v>
      </c>
      <c r="AS122" s="403"/>
      <c r="AT122" s="105">
        <v>4</v>
      </c>
      <c r="AU122" s="175">
        <v>2473.5483870967764</v>
      </c>
      <c r="AV122" s="175">
        <v>618.38709677419411</v>
      </c>
      <c r="AW122" s="105">
        <f t="shared" si="77"/>
        <v>16</v>
      </c>
      <c r="AX122" s="403"/>
    </row>
    <row r="123" spans="2:50">
      <c r="B123" s="398"/>
      <c r="C123" s="105">
        <v>12</v>
      </c>
      <c r="D123" s="105" t="s">
        <v>231</v>
      </c>
      <c r="E123" s="105">
        <v>4</v>
      </c>
      <c r="F123" s="105">
        <v>3300</v>
      </c>
      <c r="G123" s="105">
        <v>825</v>
      </c>
      <c r="H123" s="403"/>
      <c r="I123" s="175">
        <f t="shared" si="78"/>
        <v>4</v>
      </c>
      <c r="J123" s="175">
        <f t="shared" si="79"/>
        <v>2489.1482596460578</v>
      </c>
      <c r="K123" s="202">
        <f t="shared" si="80"/>
        <v>622.28706491151445</v>
      </c>
      <c r="L123" s="385"/>
      <c r="M123" s="175">
        <f>RANK(K123, K$112:$K$141)</f>
        <v>16</v>
      </c>
      <c r="N123" s="387"/>
      <c r="O123" s="387"/>
      <c r="P123" s="105">
        <v>4</v>
      </c>
      <c r="Q123" s="175">
        <v>2491.5789473684249</v>
      </c>
      <c r="R123" s="202">
        <v>622.89473684210623</v>
      </c>
      <c r="S123" s="105">
        <f t="shared" si="71"/>
        <v>14</v>
      </c>
      <c r="T123" s="403"/>
      <c r="U123" s="105">
        <v>4</v>
      </c>
      <c r="V123" s="175">
        <v>2483.684210526314</v>
      </c>
      <c r="W123" s="202">
        <v>620.9210526315785</v>
      </c>
      <c r="X123" s="105">
        <f t="shared" si="72"/>
        <v>16</v>
      </c>
      <c r="Y123" s="403"/>
      <c r="Z123" s="105">
        <v>4</v>
      </c>
      <c r="AA123" s="175">
        <v>2497.6271186440667</v>
      </c>
      <c r="AB123" s="202">
        <v>624.40677966101669</v>
      </c>
      <c r="AC123" s="105">
        <f t="shared" si="73"/>
        <v>16</v>
      </c>
      <c r="AD123" s="403"/>
      <c r="AE123" s="105">
        <v>4</v>
      </c>
      <c r="AF123" s="175">
        <v>2483.9999999999968</v>
      </c>
      <c r="AG123" s="202">
        <v>620.9999999999992</v>
      </c>
      <c r="AH123" s="105">
        <f t="shared" si="74"/>
        <v>12</v>
      </c>
      <c r="AI123" s="403"/>
      <c r="AJ123" s="105">
        <v>4</v>
      </c>
      <c r="AK123" s="175">
        <v>2489.9999999999968</v>
      </c>
      <c r="AL123" s="202">
        <v>622.4999999999992</v>
      </c>
      <c r="AM123" s="105">
        <f t="shared" si="75"/>
        <v>15</v>
      </c>
      <c r="AN123" s="403"/>
      <c r="AO123" s="105">
        <v>4</v>
      </c>
      <c r="AP123" s="175">
        <v>2511.1475409836057</v>
      </c>
      <c r="AQ123" s="175">
        <v>627.78688524590143</v>
      </c>
      <c r="AR123" s="105">
        <f t="shared" si="76"/>
        <v>14</v>
      </c>
      <c r="AS123" s="403"/>
      <c r="AT123" s="105">
        <v>4</v>
      </c>
      <c r="AU123" s="175">
        <v>2465.9999999999986</v>
      </c>
      <c r="AV123" s="175">
        <v>616.49999999999966</v>
      </c>
      <c r="AW123" s="105">
        <f t="shared" si="77"/>
        <v>17</v>
      </c>
      <c r="AX123" s="403"/>
    </row>
    <row r="124" spans="2:50">
      <c r="B124" s="398"/>
      <c r="C124" s="105">
        <v>13</v>
      </c>
      <c r="D124" s="105" t="s">
        <v>223</v>
      </c>
      <c r="E124" s="105">
        <v>3</v>
      </c>
      <c r="F124" s="105">
        <v>3300</v>
      </c>
      <c r="G124" s="105">
        <v>1100</v>
      </c>
      <c r="H124" s="403"/>
      <c r="I124" s="175">
        <f t="shared" si="78"/>
        <v>3</v>
      </c>
      <c r="J124" s="175">
        <f t="shared" si="79"/>
        <v>2433.8982362175616</v>
      </c>
      <c r="K124" s="202">
        <f t="shared" si="80"/>
        <v>811.29941207252045</v>
      </c>
      <c r="L124" s="385"/>
      <c r="M124" s="175">
        <f>RANK(K124, K$112:$K$141)</f>
        <v>6</v>
      </c>
      <c r="N124" s="387"/>
      <c r="O124" s="387"/>
      <c r="P124" s="105">
        <v>3</v>
      </c>
      <c r="Q124" s="175">
        <v>2501.9999999999891</v>
      </c>
      <c r="R124" s="202">
        <v>833.99999999999636</v>
      </c>
      <c r="S124" s="105">
        <f t="shared" si="71"/>
        <v>4</v>
      </c>
      <c r="T124" s="403"/>
      <c r="U124" s="105">
        <v>3</v>
      </c>
      <c r="V124" s="175">
        <v>2420.0000000000005</v>
      </c>
      <c r="W124" s="202">
        <v>806.66666666666686</v>
      </c>
      <c r="X124" s="105">
        <f t="shared" si="72"/>
        <v>6</v>
      </c>
      <c r="Y124" s="403"/>
      <c r="Z124" s="105">
        <v>3</v>
      </c>
      <c r="AA124" s="175">
        <v>2431.76470588235</v>
      </c>
      <c r="AB124" s="202">
        <v>810.58823529411666</v>
      </c>
      <c r="AC124" s="105">
        <f t="shared" si="73"/>
        <v>6</v>
      </c>
      <c r="AD124" s="403"/>
      <c r="AE124" s="105">
        <v>3</v>
      </c>
      <c r="AF124" s="175">
        <v>2327.1428571428387</v>
      </c>
      <c r="AG124" s="202">
        <v>775.71428571427953</v>
      </c>
      <c r="AH124" s="105">
        <f t="shared" si="74"/>
        <v>6</v>
      </c>
      <c r="AI124" s="403"/>
      <c r="AJ124" s="105">
        <v>3</v>
      </c>
      <c r="AK124" s="175">
        <v>2464.6153846153934</v>
      </c>
      <c r="AL124" s="202">
        <v>821.5384615384645</v>
      </c>
      <c r="AM124" s="105">
        <f t="shared" si="75"/>
        <v>5</v>
      </c>
      <c r="AN124" s="403"/>
      <c r="AO124" s="105">
        <v>3</v>
      </c>
      <c r="AP124" s="175">
        <v>2491.7647058823495</v>
      </c>
      <c r="AQ124" s="175">
        <v>830.58823529411654</v>
      </c>
      <c r="AR124" s="105">
        <f t="shared" si="76"/>
        <v>6</v>
      </c>
      <c r="AS124" s="403"/>
      <c r="AT124" s="105">
        <v>3</v>
      </c>
      <c r="AU124" s="175">
        <v>2400.0000000000086</v>
      </c>
      <c r="AV124" s="175">
        <v>800.00000000000284</v>
      </c>
      <c r="AW124" s="105">
        <f t="shared" si="77"/>
        <v>6</v>
      </c>
      <c r="AX124" s="403"/>
    </row>
    <row r="125" spans="2:50">
      <c r="B125" s="398"/>
      <c r="C125" s="105">
        <v>14</v>
      </c>
      <c r="D125" s="105" t="s">
        <v>224</v>
      </c>
      <c r="E125" s="105">
        <v>4</v>
      </c>
      <c r="F125" s="105">
        <v>3300</v>
      </c>
      <c r="G125" s="105">
        <v>825</v>
      </c>
      <c r="H125" s="403"/>
      <c r="I125" s="175">
        <f t="shared" si="78"/>
        <v>4</v>
      </c>
      <c r="J125" s="175">
        <f t="shared" si="79"/>
        <v>2492.2415322700072</v>
      </c>
      <c r="K125" s="202">
        <f t="shared" si="80"/>
        <v>623.06038306750179</v>
      </c>
      <c r="L125" s="385"/>
      <c r="M125" s="175">
        <f>RANK(K125, K$112:$K$141)</f>
        <v>15</v>
      </c>
      <c r="N125" s="387"/>
      <c r="O125" s="387"/>
      <c r="P125" s="105">
        <v>4</v>
      </c>
      <c r="Q125" s="175">
        <v>2477.1428571428569</v>
      </c>
      <c r="R125" s="202">
        <v>619.28571428571422</v>
      </c>
      <c r="S125" s="105">
        <f t="shared" si="71"/>
        <v>16</v>
      </c>
      <c r="T125" s="403"/>
      <c r="U125" s="105">
        <v>4</v>
      </c>
      <c r="V125" s="175">
        <v>2558.7096774193542</v>
      </c>
      <c r="W125" s="202">
        <v>639.67741935483855</v>
      </c>
      <c r="X125" s="105">
        <f t="shared" si="72"/>
        <v>13</v>
      </c>
      <c r="Y125" s="403"/>
      <c r="Z125" s="105">
        <v>4</v>
      </c>
      <c r="AA125" s="175">
        <v>2524.8387096774186</v>
      </c>
      <c r="AB125" s="202">
        <v>631.20967741935465</v>
      </c>
      <c r="AC125" s="105">
        <f t="shared" si="73"/>
        <v>14</v>
      </c>
      <c r="AD125" s="403"/>
      <c r="AE125" s="105">
        <v>4</v>
      </c>
      <c r="AF125" s="175">
        <v>2458.9285714285697</v>
      </c>
      <c r="AG125" s="202">
        <v>614.73214285714243</v>
      </c>
      <c r="AH125" s="105">
        <f t="shared" si="74"/>
        <v>15</v>
      </c>
      <c r="AI125" s="403"/>
      <c r="AJ125" s="105">
        <v>4</v>
      </c>
      <c r="AK125" s="175">
        <v>2487.169811320754</v>
      </c>
      <c r="AL125" s="202">
        <v>621.79245283018849</v>
      </c>
      <c r="AM125" s="105">
        <f t="shared" si="75"/>
        <v>16</v>
      </c>
      <c r="AN125" s="403"/>
      <c r="AO125" s="105">
        <v>4</v>
      </c>
      <c r="AP125" s="175">
        <v>2464.6153846153838</v>
      </c>
      <c r="AQ125" s="175">
        <v>616.15384615384596</v>
      </c>
      <c r="AR125" s="105">
        <f t="shared" si="76"/>
        <v>16</v>
      </c>
      <c r="AS125" s="403"/>
      <c r="AT125" s="105">
        <v>4</v>
      </c>
      <c r="AU125" s="175">
        <v>2474.2857142857138</v>
      </c>
      <c r="AV125" s="175">
        <v>618.57142857142844</v>
      </c>
      <c r="AW125" s="105">
        <f t="shared" si="77"/>
        <v>15</v>
      </c>
      <c r="AX125" s="403"/>
    </row>
    <row r="126" spans="2:50">
      <c r="B126" s="398"/>
      <c r="C126" s="105">
        <v>15</v>
      </c>
      <c r="D126" s="105" t="s">
        <v>225</v>
      </c>
      <c r="E126" s="105">
        <v>4</v>
      </c>
      <c r="F126" s="105">
        <v>3300</v>
      </c>
      <c r="G126" s="105">
        <v>825</v>
      </c>
      <c r="H126" s="403"/>
      <c r="I126" s="175">
        <f t="shared" si="78"/>
        <v>4</v>
      </c>
      <c r="J126" s="175">
        <f t="shared" si="79"/>
        <v>2495.0234531245469</v>
      </c>
      <c r="K126" s="202">
        <f t="shared" si="80"/>
        <v>623.75586328113673</v>
      </c>
      <c r="L126" s="385"/>
      <c r="M126" s="175">
        <f>RANK(K126, K$112:$K$141)</f>
        <v>14</v>
      </c>
      <c r="N126" s="387"/>
      <c r="O126" s="387"/>
      <c r="P126" s="105">
        <v>4</v>
      </c>
      <c r="Q126" s="175">
        <v>2489.58904109589</v>
      </c>
      <c r="R126" s="202">
        <v>622.39726027397251</v>
      </c>
      <c r="S126" s="105">
        <f t="shared" ref="S126:S140" si="81">RANK(R126, R$112:R$141)</f>
        <v>15</v>
      </c>
      <c r="T126" s="403"/>
      <c r="U126" s="105">
        <v>4</v>
      </c>
      <c r="V126" s="175">
        <v>2495.6756756756768</v>
      </c>
      <c r="W126" s="202">
        <v>623.91891891891919</v>
      </c>
      <c r="X126" s="105">
        <f t="shared" ref="X126:X140" si="82">RANK(W126, W$112:W$141)</f>
        <v>14</v>
      </c>
      <c r="Y126" s="403"/>
      <c r="Z126" s="105">
        <v>4</v>
      </c>
      <c r="AA126" s="175">
        <v>2562.5000000000005</v>
      </c>
      <c r="AB126" s="202">
        <v>640.62500000000011</v>
      </c>
      <c r="AC126" s="105">
        <f t="shared" ref="AC126:AC140" si="83">RANK(AB126, AB$112:AB$141)</f>
        <v>12</v>
      </c>
      <c r="AD126" s="403"/>
      <c r="AE126" s="105">
        <v>4</v>
      </c>
      <c r="AF126" s="175">
        <v>2473.1249999999995</v>
      </c>
      <c r="AG126" s="202">
        <v>618.28124999999989</v>
      </c>
      <c r="AH126" s="105">
        <f t="shared" ref="AH126:AH140" si="84">RANK(AG126, AG$112:AG$141)</f>
        <v>14</v>
      </c>
      <c r="AI126" s="403"/>
      <c r="AJ126" s="105">
        <v>4</v>
      </c>
      <c r="AK126" s="175">
        <v>2483.2258064516141</v>
      </c>
      <c r="AL126" s="202">
        <v>620.80645161290352</v>
      </c>
      <c r="AM126" s="105">
        <f t="shared" ref="AM126:AM140" si="85">RANK(AL126, AL$112:AL$141)</f>
        <v>17</v>
      </c>
      <c r="AN126" s="403"/>
      <c r="AO126" s="105">
        <v>4</v>
      </c>
      <c r="AP126" s="175">
        <v>2482.3999999999996</v>
      </c>
      <c r="AQ126" s="175">
        <v>620.59999999999991</v>
      </c>
      <c r="AR126" s="105">
        <f t="shared" ref="AR126:AR140" si="86">RANK(AQ126, AQ$112:AQ$141)</f>
        <v>15</v>
      </c>
      <c r="AS126" s="403"/>
      <c r="AT126" s="105">
        <v>4</v>
      </c>
      <c r="AU126" s="175">
        <v>2478.6486486486478</v>
      </c>
      <c r="AV126" s="175">
        <v>619.66216216216196</v>
      </c>
      <c r="AW126" s="105">
        <f t="shared" ref="AW126:AW140" si="87">RANK(AV126, AV$112:AV$141)</f>
        <v>14</v>
      </c>
      <c r="AX126" s="403"/>
    </row>
    <row r="127" spans="2:50">
      <c r="B127" s="398"/>
      <c r="C127" s="105">
        <v>16</v>
      </c>
      <c r="D127" s="105" t="s">
        <v>226</v>
      </c>
      <c r="E127" s="105">
        <v>4</v>
      </c>
      <c r="F127" s="105">
        <v>3600</v>
      </c>
      <c r="G127" s="105">
        <v>900</v>
      </c>
      <c r="H127" s="403"/>
      <c r="I127" s="175">
        <f t="shared" si="78"/>
        <v>4</v>
      </c>
      <c r="J127" s="175">
        <f t="shared" si="79"/>
        <v>2703.0415140415212</v>
      </c>
      <c r="K127" s="202">
        <f t="shared" si="80"/>
        <v>675.76037851038029</v>
      </c>
      <c r="L127" s="385"/>
      <c r="M127" s="175">
        <f>RANK(K127, K$112:$K$141)</f>
        <v>11</v>
      </c>
      <c r="N127" s="387"/>
      <c r="O127" s="387"/>
      <c r="P127" s="105">
        <v>4</v>
      </c>
      <c r="Q127" s="175">
        <v>2602.0000000000095</v>
      </c>
      <c r="R127" s="202">
        <v>650.50000000000239</v>
      </c>
      <c r="S127" s="105">
        <f t="shared" si="81"/>
        <v>13</v>
      </c>
      <c r="T127" s="403"/>
      <c r="U127" s="105">
        <v>4</v>
      </c>
      <c r="V127" s="175">
        <v>2715.00000000001</v>
      </c>
      <c r="W127" s="202">
        <v>678.7500000000025</v>
      </c>
      <c r="X127" s="105">
        <f t="shared" si="82"/>
        <v>11</v>
      </c>
      <c r="Y127" s="403"/>
      <c r="Z127" s="105">
        <v>4</v>
      </c>
      <c r="AA127" s="175">
        <v>2456.0000000000086</v>
      </c>
      <c r="AB127" s="202">
        <v>614.00000000000216</v>
      </c>
      <c r="AC127" s="105">
        <f t="shared" si="83"/>
        <v>18</v>
      </c>
      <c r="AD127" s="403"/>
      <c r="AE127" s="105">
        <v>4</v>
      </c>
      <c r="AF127" s="175">
        <v>2743.8461538461634</v>
      </c>
      <c r="AG127" s="202">
        <v>685.96153846154084</v>
      </c>
      <c r="AH127" s="105">
        <f t="shared" si="84"/>
        <v>11</v>
      </c>
      <c r="AI127" s="403"/>
      <c r="AJ127" s="105">
        <v>4</v>
      </c>
      <c r="AK127" s="175">
        <v>2784.4444444444543</v>
      </c>
      <c r="AL127" s="202">
        <v>696.11111111111359</v>
      </c>
      <c r="AM127" s="105">
        <f t="shared" si="85"/>
        <v>11</v>
      </c>
      <c r="AN127" s="403"/>
      <c r="AO127" s="105">
        <v>4</v>
      </c>
      <c r="AP127" s="175">
        <v>2632.0000000000095</v>
      </c>
      <c r="AQ127" s="175">
        <v>658.00000000000239</v>
      </c>
      <c r="AR127" s="105">
        <f t="shared" si="86"/>
        <v>13</v>
      </c>
      <c r="AS127" s="403"/>
      <c r="AT127" s="105">
        <v>4</v>
      </c>
      <c r="AU127" s="175">
        <v>2987.9999999999914</v>
      </c>
      <c r="AV127" s="175">
        <v>746.99999999999784</v>
      </c>
      <c r="AW127" s="105">
        <f t="shared" si="87"/>
        <v>7</v>
      </c>
      <c r="AX127" s="403"/>
    </row>
    <row r="128" spans="2:50">
      <c r="B128" s="398"/>
      <c r="C128" s="105">
        <v>17</v>
      </c>
      <c r="D128" s="105" t="s">
        <v>227</v>
      </c>
      <c r="E128" s="105">
        <v>4</v>
      </c>
      <c r="F128" s="105">
        <v>3000</v>
      </c>
      <c r="G128" s="105">
        <v>750</v>
      </c>
      <c r="H128" s="403"/>
      <c r="I128" s="175">
        <f t="shared" si="78"/>
        <v>3</v>
      </c>
      <c r="J128" s="175">
        <f t="shared" si="79"/>
        <v>2197.9106944223799</v>
      </c>
      <c r="K128" s="202">
        <f t="shared" si="80"/>
        <v>732.63689814079328</v>
      </c>
      <c r="L128" s="385"/>
      <c r="M128" s="175">
        <f>RANK(K128, K$112:$K$141)</f>
        <v>8</v>
      </c>
      <c r="N128" s="387"/>
      <c r="O128" s="387"/>
      <c r="P128" s="105">
        <v>3</v>
      </c>
      <c r="Q128" s="175">
        <v>2292.0000000000082</v>
      </c>
      <c r="R128" s="202">
        <v>764.00000000000273</v>
      </c>
      <c r="S128" s="105">
        <f t="shared" si="81"/>
        <v>7</v>
      </c>
      <c r="T128" s="403"/>
      <c r="U128" s="105">
        <v>3</v>
      </c>
      <c r="V128" s="175">
        <v>2198.7096774193628</v>
      </c>
      <c r="W128" s="202">
        <v>732.90322580645432</v>
      </c>
      <c r="X128" s="105">
        <f t="shared" si="82"/>
        <v>7</v>
      </c>
      <c r="Y128" s="403"/>
      <c r="Z128" s="105">
        <v>3</v>
      </c>
      <c r="AA128" s="175">
        <v>2100.0000000000077</v>
      </c>
      <c r="AB128" s="202">
        <v>700.00000000000261</v>
      </c>
      <c r="AC128" s="105">
        <f t="shared" si="83"/>
        <v>10</v>
      </c>
      <c r="AD128" s="403"/>
      <c r="AE128" s="105">
        <v>3</v>
      </c>
      <c r="AF128" s="175">
        <v>2139.310344827582</v>
      </c>
      <c r="AG128" s="202">
        <v>713.10344827586061</v>
      </c>
      <c r="AH128" s="105">
        <f t="shared" si="84"/>
        <v>9</v>
      </c>
      <c r="AI128" s="403"/>
      <c r="AJ128" s="105">
        <v>3</v>
      </c>
      <c r="AK128" s="175">
        <v>2179.3548387096848</v>
      </c>
      <c r="AL128" s="202">
        <v>726.45161290322824</v>
      </c>
      <c r="AM128" s="105">
        <f t="shared" si="85"/>
        <v>10</v>
      </c>
      <c r="AN128" s="403"/>
      <c r="AO128" s="105">
        <v>3</v>
      </c>
      <c r="AP128" s="175">
        <v>2290.0000000000082</v>
      </c>
      <c r="AQ128" s="175">
        <v>763.3333333333361</v>
      </c>
      <c r="AR128" s="105">
        <f t="shared" si="86"/>
        <v>7</v>
      </c>
      <c r="AS128" s="403"/>
      <c r="AT128" s="105">
        <v>3</v>
      </c>
      <c r="AU128" s="175">
        <v>2186.0000000000077</v>
      </c>
      <c r="AV128" s="175">
        <v>728.66666666666924</v>
      </c>
      <c r="AW128" s="105">
        <f t="shared" si="87"/>
        <v>8</v>
      </c>
      <c r="AX128" s="403"/>
    </row>
    <row r="129" spans="2:50">
      <c r="B129" s="398"/>
      <c r="C129" s="105">
        <v>18</v>
      </c>
      <c r="D129" s="105" t="s">
        <v>228</v>
      </c>
      <c r="E129" s="105">
        <v>4</v>
      </c>
      <c r="F129" s="105">
        <v>3000</v>
      </c>
      <c r="G129" s="105">
        <v>750</v>
      </c>
      <c r="H129" s="403"/>
      <c r="I129" s="175">
        <f t="shared" si="78"/>
        <v>4</v>
      </c>
      <c r="J129" s="175">
        <f t="shared" si="79"/>
        <v>2196.3428571428512</v>
      </c>
      <c r="K129" s="202">
        <f t="shared" si="80"/>
        <v>549.08571428571281</v>
      </c>
      <c r="L129" s="385"/>
      <c r="M129" s="175">
        <f>RANK(K129, K$112:$K$141)</f>
        <v>19</v>
      </c>
      <c r="N129" s="387"/>
      <c r="O129" s="387"/>
      <c r="P129" s="105">
        <v>4</v>
      </c>
      <c r="Q129" s="175">
        <v>2176.7999999999938</v>
      </c>
      <c r="R129" s="202">
        <v>544.19999999999845</v>
      </c>
      <c r="S129" s="105">
        <f t="shared" si="81"/>
        <v>19</v>
      </c>
      <c r="T129" s="403"/>
      <c r="U129" s="105">
        <v>4</v>
      </c>
      <c r="V129" s="175">
        <v>2143.2000000000075</v>
      </c>
      <c r="W129" s="202">
        <v>535.80000000000189</v>
      </c>
      <c r="X129" s="105">
        <f t="shared" si="82"/>
        <v>19</v>
      </c>
      <c r="Y129" s="403"/>
      <c r="Z129" s="105">
        <v>4</v>
      </c>
      <c r="AA129" s="175">
        <v>2519.9999999999686</v>
      </c>
      <c r="AB129" s="202">
        <v>629.99999999999216</v>
      </c>
      <c r="AC129" s="105">
        <f t="shared" si="83"/>
        <v>15</v>
      </c>
      <c r="AD129" s="403"/>
      <c r="AE129" s="105">
        <v>4</v>
      </c>
      <c r="AF129" s="175">
        <v>2023.1999999999944</v>
      </c>
      <c r="AG129" s="202">
        <v>505.79999999999859</v>
      </c>
      <c r="AH129" s="105">
        <f t="shared" si="84"/>
        <v>19</v>
      </c>
      <c r="AI129" s="403"/>
      <c r="AJ129" s="105">
        <v>4</v>
      </c>
      <c r="AK129" s="175">
        <v>2145.6000000000076</v>
      </c>
      <c r="AL129" s="202">
        <v>536.40000000000191</v>
      </c>
      <c r="AM129" s="105">
        <f t="shared" si="85"/>
        <v>19</v>
      </c>
      <c r="AN129" s="403"/>
      <c r="AO129" s="105">
        <v>4</v>
      </c>
      <c r="AP129" s="175">
        <v>2212.7999999999938</v>
      </c>
      <c r="AQ129" s="175">
        <v>553.19999999999845</v>
      </c>
      <c r="AR129" s="105">
        <f t="shared" si="86"/>
        <v>19</v>
      </c>
      <c r="AS129" s="403"/>
      <c r="AT129" s="105">
        <v>4</v>
      </c>
      <c r="AU129" s="175">
        <v>2152.7999999999938</v>
      </c>
      <c r="AV129" s="175">
        <v>538.19999999999845</v>
      </c>
      <c r="AW129" s="105">
        <f t="shared" si="87"/>
        <v>19</v>
      </c>
      <c r="AX129" s="403"/>
    </row>
    <row r="130" spans="2:50">
      <c r="B130" s="398"/>
      <c r="C130" s="105">
        <v>19</v>
      </c>
      <c r="D130" s="105" t="s">
        <v>230</v>
      </c>
      <c r="E130" s="105">
        <v>4</v>
      </c>
      <c r="F130" s="105">
        <v>3600</v>
      </c>
      <c r="G130" s="105">
        <v>900</v>
      </c>
      <c r="H130" s="403"/>
      <c r="I130" s="175">
        <f t="shared" si="78"/>
        <v>4</v>
      </c>
      <c r="J130" s="175">
        <f t="shared" si="79"/>
        <v>2560.967204586947</v>
      </c>
      <c r="K130" s="202">
        <f t="shared" si="80"/>
        <v>640.24180114673675</v>
      </c>
      <c r="L130" s="385"/>
      <c r="M130" s="175">
        <f>RANK(K130, K$112:$K$141)</f>
        <v>13</v>
      </c>
      <c r="N130" s="387"/>
      <c r="O130" s="387"/>
      <c r="P130" s="105">
        <v>4</v>
      </c>
      <c r="Q130" s="175">
        <v>2882</v>
      </c>
      <c r="R130" s="202">
        <v>720.5</v>
      </c>
      <c r="S130" s="105">
        <f t="shared" si="81"/>
        <v>11</v>
      </c>
      <c r="T130" s="403"/>
      <c r="U130" s="105">
        <v>4</v>
      </c>
      <c r="V130" s="175">
        <v>2488.2352941176464</v>
      </c>
      <c r="W130" s="202">
        <v>622.0588235294116</v>
      </c>
      <c r="X130" s="105">
        <f t="shared" si="82"/>
        <v>15</v>
      </c>
      <c r="Y130" s="403"/>
      <c r="Z130" s="105">
        <v>4</v>
      </c>
      <c r="AA130" s="175">
        <v>2527.9999997057021</v>
      </c>
      <c r="AB130" s="202">
        <v>631.99999992642552</v>
      </c>
      <c r="AC130" s="105">
        <f t="shared" si="83"/>
        <v>13</v>
      </c>
      <c r="AD130" s="403"/>
      <c r="AE130" s="105">
        <v>4</v>
      </c>
      <c r="AF130" s="175">
        <v>2434.8387096774281</v>
      </c>
      <c r="AG130" s="202">
        <v>608.70967741935704</v>
      </c>
      <c r="AH130" s="105">
        <f t="shared" si="84"/>
        <v>16</v>
      </c>
      <c r="AI130" s="403"/>
      <c r="AJ130" s="105">
        <v>4</v>
      </c>
      <c r="AK130" s="175">
        <v>2503.1250000364253</v>
      </c>
      <c r="AL130" s="202">
        <v>625.78125000910632</v>
      </c>
      <c r="AM130" s="105">
        <f t="shared" si="85"/>
        <v>14</v>
      </c>
      <c r="AN130" s="403"/>
      <c r="AO130" s="105">
        <v>4</v>
      </c>
      <c r="AP130" s="175">
        <v>2384.571428571428</v>
      </c>
      <c r="AQ130" s="175">
        <v>596.142857142857</v>
      </c>
      <c r="AR130" s="105">
        <f t="shared" si="86"/>
        <v>18</v>
      </c>
      <c r="AS130" s="403"/>
      <c r="AT130" s="105">
        <v>4</v>
      </c>
      <c r="AU130" s="175">
        <v>2706</v>
      </c>
      <c r="AV130" s="175">
        <v>676.5</v>
      </c>
      <c r="AW130" s="105">
        <f t="shared" si="87"/>
        <v>12</v>
      </c>
      <c r="AX130" s="403"/>
    </row>
    <row r="131" spans="2:50">
      <c r="B131" s="398"/>
      <c r="C131" s="105">
        <v>20</v>
      </c>
      <c r="D131" s="105" t="s">
        <v>232</v>
      </c>
      <c r="E131" s="105">
        <v>3</v>
      </c>
      <c r="F131" s="105">
        <v>2700</v>
      </c>
      <c r="G131" s="105">
        <v>900</v>
      </c>
      <c r="H131" s="403"/>
      <c r="I131" s="175">
        <f t="shared" si="78"/>
        <v>3</v>
      </c>
      <c r="J131" s="175">
        <f t="shared" si="79"/>
        <v>2502.759485177959</v>
      </c>
      <c r="K131" s="202">
        <f t="shared" si="80"/>
        <v>834.2531617259865</v>
      </c>
      <c r="L131" s="385"/>
      <c r="M131" s="175">
        <f>RANK(K131, K$112:$K$141)</f>
        <v>3</v>
      </c>
      <c r="N131" s="387"/>
      <c r="O131" s="387"/>
      <c r="P131" s="105">
        <v>3</v>
      </c>
      <c r="Q131" s="175">
        <v>2504.8351648351645</v>
      </c>
      <c r="R131" s="202">
        <v>834.94505494505484</v>
      </c>
      <c r="S131" s="105">
        <f t="shared" si="81"/>
        <v>3</v>
      </c>
      <c r="T131" s="403"/>
      <c r="U131" s="105">
        <v>3</v>
      </c>
      <c r="V131" s="175">
        <v>2501.1940298507461</v>
      </c>
      <c r="W131" s="202">
        <v>833.73134328358208</v>
      </c>
      <c r="X131" s="105">
        <f t="shared" si="82"/>
        <v>4</v>
      </c>
      <c r="Y131" s="403"/>
      <c r="Z131" s="105">
        <v>3</v>
      </c>
      <c r="AA131" s="175">
        <v>2498.7692307692337</v>
      </c>
      <c r="AB131" s="202">
        <v>832.92307692307793</v>
      </c>
      <c r="AC131" s="105">
        <f t="shared" si="83"/>
        <v>3</v>
      </c>
      <c r="AD131" s="403"/>
      <c r="AE131" s="105">
        <v>3</v>
      </c>
      <c r="AF131" s="175">
        <v>2480.4878048780506</v>
      </c>
      <c r="AG131" s="202">
        <v>826.82926829268354</v>
      </c>
      <c r="AH131" s="105">
        <f t="shared" si="84"/>
        <v>3</v>
      </c>
      <c r="AI131" s="403"/>
      <c r="AJ131" s="105">
        <v>3</v>
      </c>
      <c r="AK131" s="175">
        <v>2498.4615384615399</v>
      </c>
      <c r="AL131" s="202">
        <v>832.82051282051327</v>
      </c>
      <c r="AM131" s="105">
        <f t="shared" si="85"/>
        <v>3</v>
      </c>
      <c r="AN131" s="403"/>
      <c r="AO131" s="105">
        <v>3</v>
      </c>
      <c r="AP131" s="175">
        <v>2547.3333333333335</v>
      </c>
      <c r="AQ131" s="175">
        <v>849.1111111111112</v>
      </c>
      <c r="AR131" s="105">
        <f t="shared" si="86"/>
        <v>5</v>
      </c>
      <c r="AS131" s="403"/>
      <c r="AT131" s="105">
        <v>3</v>
      </c>
      <c r="AU131" s="175">
        <v>2488.2352941176464</v>
      </c>
      <c r="AV131" s="175">
        <v>829.41176470588209</v>
      </c>
      <c r="AW131" s="105">
        <f t="shared" si="87"/>
        <v>3</v>
      </c>
      <c r="AX131" s="403"/>
    </row>
    <row r="132" spans="2:50">
      <c r="B132" s="398"/>
      <c r="C132" s="105">
        <v>21</v>
      </c>
      <c r="D132" s="105"/>
      <c r="E132" s="105"/>
      <c r="F132" s="105"/>
      <c r="G132" s="105"/>
      <c r="H132" s="403"/>
      <c r="I132" s="105"/>
      <c r="J132" s="105"/>
      <c r="K132" s="105"/>
      <c r="L132" s="385"/>
      <c r="M132" s="175" t="e">
        <f>RANK(K132, K$112:$K$141)</f>
        <v>#N/A</v>
      </c>
      <c r="N132" s="387"/>
      <c r="O132" s="387"/>
      <c r="P132" s="105"/>
      <c r="Q132" s="175"/>
      <c r="R132" s="202"/>
      <c r="S132" s="105" t="e">
        <f t="shared" si="81"/>
        <v>#N/A</v>
      </c>
      <c r="T132" s="403"/>
      <c r="U132" s="105"/>
      <c r="V132" s="175"/>
      <c r="W132" s="202"/>
      <c r="X132" s="105" t="e">
        <f t="shared" si="82"/>
        <v>#N/A</v>
      </c>
      <c r="Y132" s="403"/>
      <c r="Z132" s="105"/>
      <c r="AA132" s="175"/>
      <c r="AB132" s="202"/>
      <c r="AC132" s="105" t="e">
        <f t="shared" si="83"/>
        <v>#N/A</v>
      </c>
      <c r="AD132" s="403"/>
      <c r="AE132" s="105"/>
      <c r="AF132" s="175"/>
      <c r="AG132" s="202"/>
      <c r="AH132" s="105" t="e">
        <f t="shared" si="84"/>
        <v>#N/A</v>
      </c>
      <c r="AI132" s="403"/>
      <c r="AJ132" s="105"/>
      <c r="AK132" s="175"/>
      <c r="AL132" s="202"/>
      <c r="AM132" s="105" t="e">
        <f t="shared" si="85"/>
        <v>#N/A</v>
      </c>
      <c r="AN132" s="403"/>
      <c r="AO132" s="105"/>
      <c r="AP132" s="175"/>
      <c r="AQ132" s="175"/>
      <c r="AR132" s="105" t="e">
        <f t="shared" si="86"/>
        <v>#N/A</v>
      </c>
      <c r="AS132" s="403"/>
      <c r="AT132" s="105"/>
      <c r="AU132" s="175"/>
      <c r="AV132" s="175"/>
      <c r="AW132" s="105" t="e">
        <f t="shared" si="87"/>
        <v>#N/A</v>
      </c>
      <c r="AX132" s="403"/>
    </row>
    <row r="133" spans="2:50">
      <c r="B133" s="398"/>
      <c r="C133" s="105">
        <v>22</v>
      </c>
      <c r="D133" s="105"/>
      <c r="E133" s="105"/>
      <c r="F133" s="105"/>
      <c r="G133" s="105"/>
      <c r="H133" s="403"/>
      <c r="I133" s="105"/>
      <c r="J133" s="105"/>
      <c r="K133" s="105"/>
      <c r="L133" s="385"/>
      <c r="M133" s="175" t="e">
        <f>RANK(K133, K$112:$K$141)</f>
        <v>#N/A</v>
      </c>
      <c r="N133" s="387"/>
      <c r="O133" s="387"/>
      <c r="P133" s="105"/>
      <c r="Q133" s="175"/>
      <c r="R133" s="202"/>
      <c r="S133" s="105" t="e">
        <f t="shared" si="81"/>
        <v>#N/A</v>
      </c>
      <c r="T133" s="403"/>
      <c r="U133" s="105"/>
      <c r="V133" s="175"/>
      <c r="W133" s="202"/>
      <c r="X133" s="105" t="e">
        <f t="shared" si="82"/>
        <v>#N/A</v>
      </c>
      <c r="Y133" s="403"/>
      <c r="Z133" s="105"/>
      <c r="AA133" s="175"/>
      <c r="AB133" s="202"/>
      <c r="AC133" s="105" t="e">
        <f t="shared" si="83"/>
        <v>#N/A</v>
      </c>
      <c r="AD133" s="403"/>
      <c r="AE133" s="105"/>
      <c r="AF133" s="175"/>
      <c r="AG133" s="202"/>
      <c r="AH133" s="105" t="e">
        <f t="shared" si="84"/>
        <v>#N/A</v>
      </c>
      <c r="AI133" s="403"/>
      <c r="AJ133" s="105"/>
      <c r="AK133" s="175"/>
      <c r="AL133" s="202"/>
      <c r="AM133" s="105" t="e">
        <f t="shared" si="85"/>
        <v>#N/A</v>
      </c>
      <c r="AN133" s="403"/>
      <c r="AO133" s="105"/>
      <c r="AP133" s="175"/>
      <c r="AQ133" s="175"/>
      <c r="AR133" s="105" t="e">
        <f t="shared" si="86"/>
        <v>#N/A</v>
      </c>
      <c r="AS133" s="403"/>
      <c r="AT133" s="105"/>
      <c r="AU133" s="175"/>
      <c r="AV133" s="175"/>
      <c r="AW133" s="105" t="e">
        <f t="shared" si="87"/>
        <v>#N/A</v>
      </c>
      <c r="AX133" s="403"/>
    </row>
    <row r="134" spans="2:50">
      <c r="B134" s="398"/>
      <c r="C134" s="105">
        <v>23</v>
      </c>
      <c r="D134" s="105"/>
      <c r="E134" s="105"/>
      <c r="F134" s="105"/>
      <c r="G134" s="105"/>
      <c r="H134" s="403"/>
      <c r="I134" s="105"/>
      <c r="J134" s="105"/>
      <c r="K134" s="105"/>
      <c r="L134" s="385"/>
      <c r="M134" s="175" t="e">
        <f>RANK(K134, K$112:$K$141)</f>
        <v>#N/A</v>
      </c>
      <c r="N134" s="387"/>
      <c r="O134" s="387"/>
      <c r="P134" s="105"/>
      <c r="Q134" s="105"/>
      <c r="R134" s="202"/>
      <c r="S134" s="105" t="e">
        <f t="shared" si="81"/>
        <v>#N/A</v>
      </c>
      <c r="T134" s="403"/>
      <c r="U134" s="105"/>
      <c r="V134" s="175"/>
      <c r="W134" s="202"/>
      <c r="X134" s="105" t="e">
        <f t="shared" si="82"/>
        <v>#N/A</v>
      </c>
      <c r="Y134" s="403"/>
      <c r="Z134" s="105"/>
      <c r="AA134" s="175"/>
      <c r="AB134" s="202"/>
      <c r="AC134" s="105" t="e">
        <f t="shared" si="83"/>
        <v>#N/A</v>
      </c>
      <c r="AD134" s="403"/>
      <c r="AE134" s="105"/>
      <c r="AF134" s="175"/>
      <c r="AG134" s="202"/>
      <c r="AH134" s="105" t="e">
        <f t="shared" si="84"/>
        <v>#N/A</v>
      </c>
      <c r="AI134" s="403"/>
      <c r="AJ134" s="105"/>
      <c r="AK134" s="175"/>
      <c r="AL134" s="202"/>
      <c r="AM134" s="105" t="e">
        <f t="shared" si="85"/>
        <v>#N/A</v>
      </c>
      <c r="AN134" s="403"/>
      <c r="AO134" s="105"/>
      <c r="AP134" s="175"/>
      <c r="AQ134" s="175"/>
      <c r="AR134" s="105" t="e">
        <f t="shared" si="86"/>
        <v>#N/A</v>
      </c>
      <c r="AS134" s="403"/>
      <c r="AT134" s="105"/>
      <c r="AU134" s="175"/>
      <c r="AV134" s="175"/>
      <c r="AW134" s="105" t="e">
        <f t="shared" si="87"/>
        <v>#N/A</v>
      </c>
      <c r="AX134" s="403"/>
    </row>
    <row r="135" spans="2:50">
      <c r="B135" s="398"/>
      <c r="C135" s="105">
        <v>24</v>
      </c>
      <c r="D135" s="105"/>
      <c r="E135" s="105"/>
      <c r="F135" s="105"/>
      <c r="G135" s="105"/>
      <c r="H135" s="403"/>
      <c r="I135" s="105"/>
      <c r="J135" s="105"/>
      <c r="K135" s="105"/>
      <c r="L135" s="385"/>
      <c r="M135" s="175" t="e">
        <f>RANK(K135, K$112:$K$141)</f>
        <v>#N/A</v>
      </c>
      <c r="N135" s="387"/>
      <c r="O135" s="387"/>
      <c r="P135" s="105"/>
      <c r="Q135" s="105"/>
      <c r="R135" s="105"/>
      <c r="S135" s="105" t="e">
        <f t="shared" si="81"/>
        <v>#N/A</v>
      </c>
      <c r="T135" s="403"/>
      <c r="U135" s="105"/>
      <c r="V135" s="105"/>
      <c r="W135" s="105"/>
      <c r="X135" s="105" t="e">
        <f t="shared" si="82"/>
        <v>#N/A</v>
      </c>
      <c r="Y135" s="403"/>
      <c r="Z135" s="105"/>
      <c r="AA135" s="105"/>
      <c r="AB135" s="105"/>
      <c r="AC135" s="105" t="e">
        <f t="shared" si="83"/>
        <v>#N/A</v>
      </c>
      <c r="AD135" s="403"/>
      <c r="AE135" s="105"/>
      <c r="AF135" s="105"/>
      <c r="AG135" s="105"/>
      <c r="AH135" s="105" t="e">
        <f t="shared" si="84"/>
        <v>#N/A</v>
      </c>
      <c r="AI135" s="403"/>
      <c r="AJ135" s="105"/>
      <c r="AK135" s="105"/>
      <c r="AL135" s="105"/>
      <c r="AM135" s="105" t="e">
        <f t="shared" si="85"/>
        <v>#N/A</v>
      </c>
      <c r="AN135" s="403"/>
      <c r="AO135" s="105"/>
      <c r="AP135" s="105"/>
      <c r="AQ135" s="105"/>
      <c r="AR135" s="105" t="e">
        <f t="shared" si="86"/>
        <v>#N/A</v>
      </c>
      <c r="AS135" s="403"/>
      <c r="AT135" s="105"/>
      <c r="AU135" s="105"/>
      <c r="AV135" s="105"/>
      <c r="AW135" s="105" t="e">
        <f t="shared" si="87"/>
        <v>#N/A</v>
      </c>
      <c r="AX135" s="403"/>
    </row>
    <row r="136" spans="2:50">
      <c r="B136" s="398"/>
      <c r="C136" s="105">
        <v>25</v>
      </c>
      <c r="D136" s="105"/>
      <c r="E136" s="105"/>
      <c r="F136" s="105"/>
      <c r="G136" s="105"/>
      <c r="H136" s="403"/>
      <c r="I136" s="105"/>
      <c r="J136" s="105"/>
      <c r="K136" s="105"/>
      <c r="L136" s="385"/>
      <c r="M136" s="175" t="e">
        <f>RANK(K136, K$112:$K$141)</f>
        <v>#N/A</v>
      </c>
      <c r="N136" s="387"/>
      <c r="O136" s="387"/>
      <c r="P136" s="105"/>
      <c r="Q136" s="105"/>
      <c r="R136" s="105"/>
      <c r="S136" s="105" t="e">
        <f t="shared" si="81"/>
        <v>#N/A</v>
      </c>
      <c r="T136" s="403"/>
      <c r="U136" s="105"/>
      <c r="V136" s="105"/>
      <c r="W136" s="105"/>
      <c r="X136" s="105" t="e">
        <f t="shared" si="82"/>
        <v>#N/A</v>
      </c>
      <c r="Y136" s="403"/>
      <c r="Z136" s="105"/>
      <c r="AA136" s="105"/>
      <c r="AB136" s="105"/>
      <c r="AC136" s="105" t="e">
        <f t="shared" si="83"/>
        <v>#N/A</v>
      </c>
      <c r="AD136" s="403"/>
      <c r="AE136" s="105"/>
      <c r="AF136" s="105"/>
      <c r="AG136" s="105"/>
      <c r="AH136" s="105" t="e">
        <f t="shared" si="84"/>
        <v>#N/A</v>
      </c>
      <c r="AI136" s="403"/>
      <c r="AJ136" s="105"/>
      <c r="AK136" s="105"/>
      <c r="AL136" s="105"/>
      <c r="AM136" s="105" t="e">
        <f t="shared" si="85"/>
        <v>#N/A</v>
      </c>
      <c r="AN136" s="403"/>
      <c r="AO136" s="105"/>
      <c r="AP136" s="105"/>
      <c r="AQ136" s="105"/>
      <c r="AR136" s="105" t="e">
        <f t="shared" si="86"/>
        <v>#N/A</v>
      </c>
      <c r="AS136" s="403"/>
      <c r="AT136" s="105"/>
      <c r="AU136" s="105"/>
      <c r="AV136" s="105"/>
      <c r="AW136" s="105" t="e">
        <f t="shared" si="87"/>
        <v>#N/A</v>
      </c>
      <c r="AX136" s="403"/>
    </row>
    <row r="137" spans="2:50">
      <c r="B137" s="398"/>
      <c r="C137" s="105">
        <v>26</v>
      </c>
      <c r="D137" s="105"/>
      <c r="E137" s="105"/>
      <c r="F137" s="105"/>
      <c r="G137" s="105"/>
      <c r="H137" s="403"/>
      <c r="I137" s="105"/>
      <c r="J137" s="105"/>
      <c r="K137" s="105"/>
      <c r="L137" s="385"/>
      <c r="M137" s="175" t="e">
        <f>RANK(K137, K$112:$K$141)</f>
        <v>#N/A</v>
      </c>
      <c r="N137" s="387"/>
      <c r="O137" s="387"/>
      <c r="P137" s="105"/>
      <c r="Q137" s="105"/>
      <c r="R137" s="105"/>
      <c r="S137" s="105" t="e">
        <f t="shared" si="81"/>
        <v>#N/A</v>
      </c>
      <c r="T137" s="403"/>
      <c r="U137" s="105"/>
      <c r="V137" s="105"/>
      <c r="W137" s="105"/>
      <c r="X137" s="105" t="e">
        <f t="shared" si="82"/>
        <v>#N/A</v>
      </c>
      <c r="Y137" s="403"/>
      <c r="Z137" s="105"/>
      <c r="AA137" s="105"/>
      <c r="AB137" s="105"/>
      <c r="AC137" s="105" t="e">
        <f t="shared" si="83"/>
        <v>#N/A</v>
      </c>
      <c r="AD137" s="403"/>
      <c r="AE137" s="105"/>
      <c r="AF137" s="105"/>
      <c r="AG137" s="105"/>
      <c r="AH137" s="105" t="e">
        <f t="shared" si="84"/>
        <v>#N/A</v>
      </c>
      <c r="AI137" s="403"/>
      <c r="AJ137" s="105"/>
      <c r="AK137" s="105"/>
      <c r="AL137" s="105"/>
      <c r="AM137" s="105" t="e">
        <f t="shared" si="85"/>
        <v>#N/A</v>
      </c>
      <c r="AN137" s="403"/>
      <c r="AO137" s="105"/>
      <c r="AP137" s="105"/>
      <c r="AQ137" s="105"/>
      <c r="AR137" s="105" t="e">
        <f t="shared" si="86"/>
        <v>#N/A</v>
      </c>
      <c r="AS137" s="403"/>
      <c r="AT137" s="105"/>
      <c r="AU137" s="105"/>
      <c r="AV137" s="105"/>
      <c r="AW137" s="105" t="e">
        <f t="shared" si="87"/>
        <v>#N/A</v>
      </c>
      <c r="AX137" s="403"/>
    </row>
    <row r="138" spans="2:50">
      <c r="B138" s="398"/>
      <c r="C138" s="105">
        <v>27</v>
      </c>
      <c r="D138" s="105"/>
      <c r="E138" s="105"/>
      <c r="F138" s="105"/>
      <c r="G138" s="105"/>
      <c r="H138" s="403"/>
      <c r="I138" s="105"/>
      <c r="J138" s="105"/>
      <c r="K138" s="105"/>
      <c r="L138" s="385"/>
      <c r="M138" s="175" t="e">
        <f>RANK(K138, K$112:$K$141)</f>
        <v>#N/A</v>
      </c>
      <c r="N138" s="387"/>
      <c r="O138" s="387"/>
      <c r="P138" s="105"/>
      <c r="Q138" s="105"/>
      <c r="R138" s="105"/>
      <c r="S138" s="105" t="e">
        <f t="shared" si="81"/>
        <v>#N/A</v>
      </c>
      <c r="T138" s="403"/>
      <c r="U138" s="105"/>
      <c r="V138" s="105"/>
      <c r="W138" s="105"/>
      <c r="X138" s="105" t="e">
        <f t="shared" si="82"/>
        <v>#N/A</v>
      </c>
      <c r="Y138" s="403"/>
      <c r="Z138" s="105"/>
      <c r="AA138" s="105"/>
      <c r="AB138" s="105"/>
      <c r="AC138" s="105" t="e">
        <f t="shared" si="83"/>
        <v>#N/A</v>
      </c>
      <c r="AD138" s="403"/>
      <c r="AE138" s="105"/>
      <c r="AF138" s="105"/>
      <c r="AG138" s="105"/>
      <c r="AH138" s="105" t="e">
        <f t="shared" si="84"/>
        <v>#N/A</v>
      </c>
      <c r="AI138" s="403"/>
      <c r="AJ138" s="105"/>
      <c r="AK138" s="105"/>
      <c r="AL138" s="105"/>
      <c r="AM138" s="105" t="e">
        <f t="shared" si="85"/>
        <v>#N/A</v>
      </c>
      <c r="AN138" s="403"/>
      <c r="AO138" s="105"/>
      <c r="AP138" s="105"/>
      <c r="AQ138" s="105"/>
      <c r="AR138" s="105" t="e">
        <f t="shared" si="86"/>
        <v>#N/A</v>
      </c>
      <c r="AS138" s="403"/>
      <c r="AT138" s="105"/>
      <c r="AU138" s="105"/>
      <c r="AV138" s="105"/>
      <c r="AW138" s="105" t="e">
        <f t="shared" si="87"/>
        <v>#N/A</v>
      </c>
      <c r="AX138" s="403"/>
    </row>
    <row r="139" spans="2:50">
      <c r="B139" s="398"/>
      <c r="C139" s="105">
        <v>28</v>
      </c>
      <c r="D139" s="105"/>
      <c r="E139" s="105"/>
      <c r="F139" s="105"/>
      <c r="G139" s="105"/>
      <c r="H139" s="403"/>
      <c r="I139" s="105"/>
      <c r="J139" s="105"/>
      <c r="K139" s="105"/>
      <c r="L139" s="385"/>
      <c r="M139" s="175" t="e">
        <f>RANK(K139, K$112:$K$141)</f>
        <v>#N/A</v>
      </c>
      <c r="N139" s="387"/>
      <c r="O139" s="387"/>
      <c r="P139" s="105"/>
      <c r="Q139" s="105"/>
      <c r="R139" s="105"/>
      <c r="S139" s="105" t="e">
        <f t="shared" si="81"/>
        <v>#N/A</v>
      </c>
      <c r="T139" s="403"/>
      <c r="U139" s="105"/>
      <c r="V139" s="105"/>
      <c r="W139" s="105"/>
      <c r="X139" s="105" t="e">
        <f t="shared" si="82"/>
        <v>#N/A</v>
      </c>
      <c r="Y139" s="403"/>
      <c r="Z139" s="105"/>
      <c r="AA139" s="105"/>
      <c r="AB139" s="105"/>
      <c r="AC139" s="105" t="e">
        <f t="shared" si="83"/>
        <v>#N/A</v>
      </c>
      <c r="AD139" s="403"/>
      <c r="AE139" s="105"/>
      <c r="AF139" s="105"/>
      <c r="AG139" s="105"/>
      <c r="AH139" s="105" t="e">
        <f t="shared" si="84"/>
        <v>#N/A</v>
      </c>
      <c r="AI139" s="403"/>
      <c r="AJ139" s="105"/>
      <c r="AK139" s="105"/>
      <c r="AL139" s="105"/>
      <c r="AM139" s="105" t="e">
        <f t="shared" si="85"/>
        <v>#N/A</v>
      </c>
      <c r="AN139" s="403"/>
      <c r="AO139" s="105"/>
      <c r="AP139" s="105"/>
      <c r="AQ139" s="105"/>
      <c r="AR139" s="105" t="e">
        <f t="shared" si="86"/>
        <v>#N/A</v>
      </c>
      <c r="AS139" s="403"/>
      <c r="AT139" s="105"/>
      <c r="AU139" s="105"/>
      <c r="AV139" s="105"/>
      <c r="AW139" s="105" t="e">
        <f t="shared" si="87"/>
        <v>#N/A</v>
      </c>
      <c r="AX139" s="403"/>
    </row>
    <row r="140" spans="2:50">
      <c r="B140" s="398"/>
      <c r="C140" s="105">
        <v>29</v>
      </c>
      <c r="D140" s="105"/>
      <c r="E140" s="105"/>
      <c r="F140" s="105"/>
      <c r="G140" s="105"/>
      <c r="H140" s="403"/>
      <c r="I140" s="105"/>
      <c r="J140" s="105"/>
      <c r="K140" s="105"/>
      <c r="L140" s="385"/>
      <c r="M140" s="175" t="e">
        <f>RANK(K140, K$112:$K$141)</f>
        <v>#N/A</v>
      </c>
      <c r="N140" s="387"/>
      <c r="O140" s="387"/>
      <c r="P140" s="105"/>
      <c r="Q140" s="105"/>
      <c r="R140" s="105"/>
      <c r="S140" s="105" t="e">
        <f t="shared" si="81"/>
        <v>#N/A</v>
      </c>
      <c r="T140" s="403"/>
      <c r="U140" s="105"/>
      <c r="V140" s="105"/>
      <c r="W140" s="105"/>
      <c r="X140" s="105" t="e">
        <f t="shared" si="82"/>
        <v>#N/A</v>
      </c>
      <c r="Y140" s="403"/>
      <c r="Z140" s="105"/>
      <c r="AA140" s="105"/>
      <c r="AB140" s="105"/>
      <c r="AC140" s="105" t="e">
        <f t="shared" si="83"/>
        <v>#N/A</v>
      </c>
      <c r="AD140" s="403"/>
      <c r="AE140" s="105"/>
      <c r="AF140" s="105"/>
      <c r="AG140" s="105"/>
      <c r="AH140" s="105" t="e">
        <f t="shared" si="84"/>
        <v>#N/A</v>
      </c>
      <c r="AI140" s="403"/>
      <c r="AJ140" s="105"/>
      <c r="AK140" s="105"/>
      <c r="AL140" s="105"/>
      <c r="AM140" s="105" t="e">
        <f t="shared" si="85"/>
        <v>#N/A</v>
      </c>
      <c r="AN140" s="403"/>
      <c r="AO140" s="105"/>
      <c r="AP140" s="105"/>
      <c r="AQ140" s="105"/>
      <c r="AR140" s="105" t="e">
        <f t="shared" si="86"/>
        <v>#N/A</v>
      </c>
      <c r="AS140" s="403"/>
      <c r="AT140" s="105"/>
      <c r="AU140" s="105"/>
      <c r="AV140" s="105"/>
      <c r="AW140" s="105" t="e">
        <f t="shared" si="87"/>
        <v>#N/A</v>
      </c>
      <c r="AX140" s="403"/>
    </row>
    <row r="141" spans="2:50">
      <c r="B141" s="398"/>
      <c r="C141" s="105">
        <v>30</v>
      </c>
      <c r="D141" s="105"/>
      <c r="E141" s="105"/>
      <c r="F141" s="105"/>
      <c r="G141" s="105"/>
      <c r="H141" s="404"/>
      <c r="I141" s="105"/>
      <c r="J141" s="105"/>
      <c r="K141" s="105"/>
      <c r="L141" s="386"/>
      <c r="M141" s="175" t="e">
        <f>RANK(K141, K$112:$K$141)</f>
        <v>#N/A</v>
      </c>
      <c r="N141" s="387"/>
      <c r="O141" s="387"/>
      <c r="P141" s="105"/>
      <c r="Q141" s="105"/>
      <c r="R141" s="105"/>
      <c r="S141" s="105" t="e">
        <f t="shared" si="71"/>
        <v>#N/A</v>
      </c>
      <c r="T141" s="404"/>
      <c r="U141" s="105"/>
      <c r="V141" s="105"/>
      <c r="W141" s="105"/>
      <c r="X141" s="105" t="e">
        <f t="shared" si="72"/>
        <v>#N/A</v>
      </c>
      <c r="Y141" s="404"/>
      <c r="Z141" s="105"/>
      <c r="AA141" s="105"/>
      <c r="AB141" s="105"/>
      <c r="AC141" s="105" t="e">
        <f t="shared" si="73"/>
        <v>#N/A</v>
      </c>
      <c r="AD141" s="404"/>
      <c r="AE141" s="105"/>
      <c r="AF141" s="105"/>
      <c r="AG141" s="105"/>
      <c r="AH141" s="105" t="e">
        <f t="shared" si="74"/>
        <v>#N/A</v>
      </c>
      <c r="AI141" s="404"/>
      <c r="AJ141" s="105"/>
      <c r="AK141" s="105"/>
      <c r="AL141" s="105"/>
      <c r="AM141" s="105" t="e">
        <f t="shared" si="75"/>
        <v>#N/A</v>
      </c>
      <c r="AN141" s="404"/>
      <c r="AO141" s="105"/>
      <c r="AP141" s="105"/>
      <c r="AQ141" s="105"/>
      <c r="AR141" s="105" t="e">
        <f t="shared" si="76"/>
        <v>#N/A</v>
      </c>
      <c r="AS141" s="404"/>
      <c r="AT141" s="105"/>
      <c r="AU141" s="105"/>
      <c r="AV141" s="105"/>
      <c r="AW141" s="105" t="e">
        <f t="shared" si="77"/>
        <v>#N/A</v>
      </c>
      <c r="AX141" s="404"/>
    </row>
    <row r="142" spans="2:50" ht="15.75">
      <c r="B142" s="405" t="s">
        <v>195</v>
      </c>
      <c r="C142" s="406"/>
      <c r="D142" s="406"/>
      <c r="E142" s="406"/>
      <c r="F142" s="406"/>
      <c r="G142" s="406"/>
      <c r="H142" s="406"/>
      <c r="I142" s="205"/>
      <c r="J142" s="205"/>
      <c r="K142" s="205"/>
      <c r="L142" s="205"/>
      <c r="M142" s="204"/>
      <c r="N142" s="399" t="s">
        <v>196</v>
      </c>
      <c r="O142" s="399" t="s">
        <v>145</v>
      </c>
      <c r="P142" s="397">
        <f>P107+7</f>
        <v>45895</v>
      </c>
      <c r="Q142" s="398"/>
      <c r="R142" s="398"/>
      <c r="S142" s="398"/>
      <c r="T142" s="398"/>
      <c r="U142" s="394">
        <f>P142+1</f>
        <v>45896</v>
      </c>
      <c r="V142" s="395"/>
      <c r="W142" s="395"/>
      <c r="X142" s="395"/>
      <c r="Y142" s="396"/>
      <c r="Z142" s="394">
        <f>U142+1</f>
        <v>45897</v>
      </c>
      <c r="AA142" s="395"/>
      <c r="AB142" s="395"/>
      <c r="AC142" s="395"/>
      <c r="AD142" s="396"/>
      <c r="AE142" s="394">
        <f t="shared" ref="AE142" si="88">Z142+1</f>
        <v>45898</v>
      </c>
      <c r="AF142" s="395"/>
      <c r="AG142" s="395"/>
      <c r="AH142" s="395"/>
      <c r="AI142" s="396"/>
      <c r="AJ142" s="394">
        <f t="shared" ref="AJ142" si="89">AE142+1</f>
        <v>45899</v>
      </c>
      <c r="AK142" s="395"/>
      <c r="AL142" s="395"/>
      <c r="AM142" s="395"/>
      <c r="AN142" s="396"/>
      <c r="AO142" s="394">
        <f t="shared" ref="AO142" si="90">AJ142+1</f>
        <v>45900</v>
      </c>
      <c r="AP142" s="395"/>
      <c r="AQ142" s="395"/>
      <c r="AR142" s="395"/>
      <c r="AS142" s="396"/>
      <c r="AT142" s="394">
        <f t="shared" ref="AT142" si="91">AO142+1</f>
        <v>45901</v>
      </c>
      <c r="AU142" s="395"/>
      <c r="AV142" s="395"/>
      <c r="AW142" s="395"/>
      <c r="AX142" s="396"/>
    </row>
    <row r="143" spans="2:50" ht="15.75">
      <c r="B143" s="407"/>
      <c r="C143" s="407"/>
      <c r="D143" s="407"/>
      <c r="E143" s="407"/>
      <c r="F143" s="407"/>
      <c r="G143" s="407"/>
      <c r="H143" s="407"/>
      <c r="I143" s="172"/>
      <c r="J143" s="172"/>
      <c r="K143" s="172"/>
      <c r="L143" s="172"/>
      <c r="M143" s="173"/>
      <c r="N143" s="401"/>
      <c r="O143" s="401"/>
      <c r="P143" s="397" t="s">
        <v>159</v>
      </c>
      <c r="Q143" s="398"/>
      <c r="R143" s="398"/>
      <c r="S143" s="398"/>
      <c r="T143" s="398"/>
      <c r="U143" s="397" t="s">
        <v>160</v>
      </c>
      <c r="V143" s="398"/>
      <c r="W143" s="398"/>
      <c r="X143" s="398"/>
      <c r="Y143" s="398"/>
      <c r="Z143" s="397" t="s">
        <v>161</v>
      </c>
      <c r="AA143" s="398"/>
      <c r="AB143" s="398"/>
      <c r="AC143" s="398"/>
      <c r="AD143" s="398"/>
      <c r="AE143" s="397" t="s">
        <v>156</v>
      </c>
      <c r="AF143" s="398"/>
      <c r="AG143" s="398"/>
      <c r="AH143" s="398"/>
      <c r="AI143" s="398"/>
      <c r="AJ143" s="397" t="s">
        <v>157</v>
      </c>
      <c r="AK143" s="398"/>
      <c r="AL143" s="398"/>
      <c r="AM143" s="398"/>
      <c r="AN143" s="398"/>
      <c r="AO143" s="397" t="s">
        <v>152</v>
      </c>
      <c r="AP143" s="398"/>
      <c r="AQ143" s="398"/>
      <c r="AR143" s="398"/>
      <c r="AS143" s="398"/>
      <c r="AT143" s="397" t="s">
        <v>158</v>
      </c>
      <c r="AU143" s="398"/>
      <c r="AV143" s="398"/>
      <c r="AW143" s="398"/>
      <c r="AX143" s="398"/>
    </row>
    <row r="144" spans="2:50">
      <c r="B144" s="387" t="s">
        <v>197</v>
      </c>
      <c r="C144" s="387" t="s">
        <v>198</v>
      </c>
      <c r="D144" s="387"/>
      <c r="E144" s="387" t="s">
        <v>199</v>
      </c>
      <c r="F144" s="387"/>
      <c r="G144" s="387"/>
      <c r="H144" s="388" t="s">
        <v>200</v>
      </c>
      <c r="I144" s="387" t="s">
        <v>201</v>
      </c>
      <c r="J144" s="387"/>
      <c r="K144" s="387"/>
      <c r="L144" s="388" t="s">
        <v>200</v>
      </c>
      <c r="M144" s="399" t="s">
        <v>202</v>
      </c>
      <c r="N144" s="387"/>
      <c r="O144" s="387" t="s">
        <v>203</v>
      </c>
      <c r="P144" s="391" t="s">
        <v>204</v>
      </c>
      <c r="Q144" s="392"/>
      <c r="R144" s="392"/>
      <c r="S144" s="393"/>
      <c r="T144" s="387" t="s">
        <v>200</v>
      </c>
      <c r="U144" s="391" t="s">
        <v>204</v>
      </c>
      <c r="V144" s="392"/>
      <c r="W144" s="392"/>
      <c r="X144" s="393"/>
      <c r="Y144" s="387" t="s">
        <v>200</v>
      </c>
      <c r="Z144" s="391" t="s">
        <v>204</v>
      </c>
      <c r="AA144" s="392"/>
      <c r="AB144" s="392"/>
      <c r="AC144" s="393"/>
      <c r="AD144" s="387" t="s">
        <v>200</v>
      </c>
      <c r="AE144" s="391" t="s">
        <v>204</v>
      </c>
      <c r="AF144" s="392"/>
      <c r="AG144" s="392"/>
      <c r="AH144" s="393"/>
      <c r="AI144" s="387" t="s">
        <v>200</v>
      </c>
      <c r="AJ144" s="391" t="s">
        <v>204</v>
      </c>
      <c r="AK144" s="392"/>
      <c r="AL144" s="392"/>
      <c r="AM144" s="393"/>
      <c r="AN144" s="387" t="s">
        <v>200</v>
      </c>
      <c r="AO144" s="391" t="s">
        <v>204</v>
      </c>
      <c r="AP144" s="392"/>
      <c r="AQ144" s="392"/>
      <c r="AR144" s="393"/>
      <c r="AS144" s="387" t="s">
        <v>200</v>
      </c>
      <c r="AT144" s="391" t="s">
        <v>204</v>
      </c>
      <c r="AU144" s="392"/>
      <c r="AV144" s="392"/>
      <c r="AW144" s="393"/>
      <c r="AX144" s="387" t="s">
        <v>200</v>
      </c>
    </row>
    <row r="145" spans="2:50">
      <c r="B145" s="387"/>
      <c r="C145" s="387"/>
      <c r="D145" s="387"/>
      <c r="E145" s="387" t="s">
        <v>205</v>
      </c>
      <c r="F145" s="387"/>
      <c r="G145" s="387"/>
      <c r="H145" s="389"/>
      <c r="I145" s="387" t="s">
        <v>205</v>
      </c>
      <c r="J145" s="387"/>
      <c r="K145" s="387"/>
      <c r="L145" s="389"/>
      <c r="M145" s="400"/>
      <c r="N145" s="387"/>
      <c r="O145" s="387"/>
      <c r="P145" s="391" t="s">
        <v>206</v>
      </c>
      <c r="Q145" s="392"/>
      <c r="R145" s="392"/>
      <c r="S145" s="393"/>
      <c r="T145" s="387"/>
      <c r="U145" s="391" t="s">
        <v>206</v>
      </c>
      <c r="V145" s="392"/>
      <c r="W145" s="392"/>
      <c r="X145" s="393"/>
      <c r="Y145" s="387"/>
      <c r="Z145" s="391" t="s">
        <v>206</v>
      </c>
      <c r="AA145" s="392"/>
      <c r="AB145" s="392"/>
      <c r="AC145" s="393"/>
      <c r="AD145" s="387"/>
      <c r="AE145" s="391" t="s">
        <v>206</v>
      </c>
      <c r="AF145" s="392"/>
      <c r="AG145" s="392"/>
      <c r="AH145" s="393"/>
      <c r="AI145" s="387"/>
      <c r="AJ145" s="391" t="s">
        <v>206</v>
      </c>
      <c r="AK145" s="392"/>
      <c r="AL145" s="392"/>
      <c r="AM145" s="393"/>
      <c r="AN145" s="387"/>
      <c r="AO145" s="391" t="s">
        <v>206</v>
      </c>
      <c r="AP145" s="392"/>
      <c r="AQ145" s="392"/>
      <c r="AR145" s="393"/>
      <c r="AS145" s="387"/>
      <c r="AT145" s="391" t="s">
        <v>206</v>
      </c>
      <c r="AU145" s="392"/>
      <c r="AV145" s="392"/>
      <c r="AW145" s="393"/>
      <c r="AX145" s="387"/>
    </row>
    <row r="146" spans="2:50">
      <c r="B146" s="387"/>
      <c r="C146" s="387"/>
      <c r="D146" s="387"/>
      <c r="E146" s="104" t="s">
        <v>207</v>
      </c>
      <c r="F146" s="104" t="s">
        <v>208</v>
      </c>
      <c r="G146" s="104" t="s">
        <v>209</v>
      </c>
      <c r="H146" s="390"/>
      <c r="I146" s="104" t="s">
        <v>207</v>
      </c>
      <c r="J146" s="104" t="s">
        <v>208</v>
      </c>
      <c r="K146" s="104" t="s">
        <v>209</v>
      </c>
      <c r="L146" s="390"/>
      <c r="M146" s="401"/>
      <c r="N146" s="387"/>
      <c r="O146" s="387"/>
      <c r="P146" s="104" t="s">
        <v>207</v>
      </c>
      <c r="Q146" s="104" t="s">
        <v>208</v>
      </c>
      <c r="R146" s="104" t="s">
        <v>209</v>
      </c>
      <c r="S146" s="104" t="s">
        <v>202</v>
      </c>
      <c r="T146" s="387"/>
      <c r="U146" s="104" t="s">
        <v>207</v>
      </c>
      <c r="V146" s="104" t="s">
        <v>208</v>
      </c>
      <c r="W146" s="104" t="s">
        <v>209</v>
      </c>
      <c r="X146" s="104" t="s">
        <v>202</v>
      </c>
      <c r="Y146" s="387"/>
      <c r="Z146" s="104" t="s">
        <v>207</v>
      </c>
      <c r="AA146" s="104" t="s">
        <v>208</v>
      </c>
      <c r="AB146" s="104" t="s">
        <v>209</v>
      </c>
      <c r="AC146" s="104" t="s">
        <v>202</v>
      </c>
      <c r="AD146" s="387"/>
      <c r="AE146" s="104" t="s">
        <v>207</v>
      </c>
      <c r="AF146" s="104" t="s">
        <v>208</v>
      </c>
      <c r="AG146" s="104" t="s">
        <v>209</v>
      </c>
      <c r="AH146" s="104" t="s">
        <v>202</v>
      </c>
      <c r="AI146" s="387"/>
      <c r="AJ146" s="104" t="s">
        <v>207</v>
      </c>
      <c r="AK146" s="104" t="s">
        <v>208</v>
      </c>
      <c r="AL146" s="104" t="s">
        <v>209</v>
      </c>
      <c r="AM146" s="104" t="s">
        <v>202</v>
      </c>
      <c r="AN146" s="387"/>
      <c r="AO146" s="104" t="s">
        <v>207</v>
      </c>
      <c r="AP146" s="104" t="s">
        <v>208</v>
      </c>
      <c r="AQ146" s="104" t="s">
        <v>209</v>
      </c>
      <c r="AR146" s="104" t="s">
        <v>202</v>
      </c>
      <c r="AS146" s="387"/>
      <c r="AT146" s="104" t="s">
        <v>207</v>
      </c>
      <c r="AU146" s="104" t="s">
        <v>208</v>
      </c>
      <c r="AV146" s="104" t="s">
        <v>209</v>
      </c>
      <c r="AW146" s="104" t="s">
        <v>202</v>
      </c>
      <c r="AX146" s="387"/>
    </row>
    <row r="147" spans="2:50">
      <c r="B147" s="398" t="s">
        <v>210</v>
      </c>
      <c r="C147" s="105">
        <v>1</v>
      </c>
      <c r="D147" s="105" t="s">
        <v>211</v>
      </c>
      <c r="E147" s="105">
        <v>4</v>
      </c>
      <c r="F147" s="105">
        <v>2200</v>
      </c>
      <c r="G147" s="105">
        <v>550</v>
      </c>
      <c r="H147" s="402">
        <f>AVERAGE(G147:G176)</f>
        <v>908.75</v>
      </c>
      <c r="I147" s="175">
        <f>AVERAGE(P147,U147,Z147,AE147,AJ147,AO147,AT147)</f>
        <v>4</v>
      </c>
      <c r="J147" s="175">
        <f>AVERAGE(Q147,V147,AA147,AF147,AK147,AP147,AU147)</f>
        <v>2001.2715190383726</v>
      </c>
      <c r="K147" s="202">
        <f>AVERAGE(R147,W147,AB147,AG147,AL147,AQ147,AV147)</f>
        <v>500.31787975959315</v>
      </c>
      <c r="L147" s="384">
        <f>IFERROR(AVERAGE(K147:K176),"-")</f>
        <v>763.10229311302828</v>
      </c>
      <c r="M147" s="175">
        <f>RANK(K147, K$147:$K$176)</f>
        <v>20</v>
      </c>
      <c r="N147" s="387"/>
      <c r="O147" s="387"/>
      <c r="P147" s="105">
        <v>4</v>
      </c>
      <c r="Q147" s="175">
        <v>1987.3333333333333</v>
      </c>
      <c r="R147" s="202">
        <v>496.83333333333331</v>
      </c>
      <c r="S147" s="105">
        <f>RANK(R147, R$147:R$176)</f>
        <v>20</v>
      </c>
      <c r="T147" s="402">
        <f>AVERAGE(R147:R176)</f>
        <v>711.99698581355005</v>
      </c>
      <c r="U147" s="105">
        <v>4</v>
      </c>
      <c r="V147" s="175">
        <v>1996.1797752808989</v>
      </c>
      <c r="W147" s="202">
        <v>499.04494382022472</v>
      </c>
      <c r="X147" s="105">
        <f>RANK(W147, W$147:W$176)</f>
        <v>19</v>
      </c>
      <c r="Y147" s="402">
        <f>AVERAGE(W147:W176)</f>
        <v>716.72988607773027</v>
      </c>
      <c r="Z147" s="105">
        <v>4</v>
      </c>
      <c r="AA147" s="175">
        <v>2013.4090909090908</v>
      </c>
      <c r="AB147" s="202">
        <v>503.35227272727269</v>
      </c>
      <c r="AC147" s="105">
        <f>RANK(AB147, AB$147:AB$176)</f>
        <v>19</v>
      </c>
      <c r="AD147" s="402">
        <f>AVERAGE(AB147:AB176)</f>
        <v>1004.3056727679992</v>
      </c>
      <c r="AE147" s="105">
        <v>4</v>
      </c>
      <c r="AF147" s="175">
        <v>1983.8961038961038</v>
      </c>
      <c r="AG147" s="202">
        <v>495.97402597402595</v>
      </c>
      <c r="AH147" s="105">
        <f>RANK(AG147, AG$147:AG$176)</f>
        <v>20</v>
      </c>
      <c r="AI147" s="402">
        <f>AVERAGE(AG147:AG176)</f>
        <v>723.02914874806686</v>
      </c>
      <c r="AJ147" s="105">
        <v>4</v>
      </c>
      <c r="AK147" s="175">
        <v>1980.8108108108106</v>
      </c>
      <c r="AL147" s="202">
        <v>495.20270270270265</v>
      </c>
      <c r="AM147" s="105">
        <f>RANK(AL147, AL$147:AL$176)</f>
        <v>20</v>
      </c>
      <c r="AN147" s="402">
        <f>AVERAGE(AL147:AL176)</f>
        <v>707.03372325430007</v>
      </c>
      <c r="AO147" s="105">
        <v>4</v>
      </c>
      <c r="AP147" s="175">
        <v>2046</v>
      </c>
      <c r="AQ147" s="175">
        <v>511.5</v>
      </c>
      <c r="AR147" s="105">
        <f>RANK(AQ147, AQ$147:AQ$176)</f>
        <v>19</v>
      </c>
      <c r="AS147" s="402">
        <f>AVERAGE(AQ147:AQ176)</f>
        <v>715.30519255327783</v>
      </c>
      <c r="AT147" s="105"/>
      <c r="AU147" s="175"/>
      <c r="AV147" s="175"/>
      <c r="AW147" s="105" t="e">
        <f>RANK(AV147, AV$147:AV$176)</f>
        <v>#N/A</v>
      </c>
      <c r="AX147" s="402" t="e">
        <f>AVERAGE(AV147:AV176)</f>
        <v>#DIV/0!</v>
      </c>
    </row>
    <row r="148" spans="2:50">
      <c r="B148" s="398"/>
      <c r="C148" s="105">
        <v>2</v>
      </c>
      <c r="D148" s="105" t="s">
        <v>212</v>
      </c>
      <c r="E148" s="105">
        <v>3</v>
      </c>
      <c r="F148" s="105">
        <v>2700</v>
      </c>
      <c r="G148" s="105">
        <v>900</v>
      </c>
      <c r="H148" s="403"/>
      <c r="I148" s="175">
        <f t="shared" ref="I148:I156" si="92">AVERAGE(P148,U148,Z148,AE148,AJ148,AO148,AT148)</f>
        <v>3</v>
      </c>
      <c r="J148" s="175">
        <f t="shared" ref="J148:J156" si="93">AVERAGE(Q148,V148,AA148,AF148,AK148,AP148,AU148)</f>
        <v>2691</v>
      </c>
      <c r="K148" s="202">
        <f t="shared" ref="K148:K156" si="94">AVERAGE(R148,W148,AB148,AG148,AL148,AQ148,AV148)</f>
        <v>897.00000000000011</v>
      </c>
      <c r="L148" s="385"/>
      <c r="M148" s="175">
        <f>RANK(K148, K$147:$K$176)</f>
        <v>3</v>
      </c>
      <c r="N148" s="387"/>
      <c r="O148" s="387"/>
      <c r="P148" s="105">
        <v>3</v>
      </c>
      <c r="Q148" s="175">
        <v>2730.0000000000009</v>
      </c>
      <c r="R148" s="202">
        <v>910.00000000000034</v>
      </c>
      <c r="S148" s="105">
        <f t="shared" ref="S148:S176" si="95">RANK(R148, R$147:R$176)</f>
        <v>2</v>
      </c>
      <c r="T148" s="403"/>
      <c r="U148" s="105">
        <v>3</v>
      </c>
      <c r="V148" s="175">
        <v>2670.0000000000009</v>
      </c>
      <c r="W148" s="202">
        <v>890.00000000000034</v>
      </c>
      <c r="X148" s="105">
        <f t="shared" ref="X148:X176" si="96">RANK(W148, W$147:W$176)</f>
        <v>3</v>
      </c>
      <c r="Y148" s="403"/>
      <c r="Z148" s="105">
        <v>3</v>
      </c>
      <c r="AA148" s="175">
        <v>2805.0000000000005</v>
      </c>
      <c r="AB148" s="202">
        <v>935.00000000000011</v>
      </c>
      <c r="AC148" s="105">
        <f t="shared" ref="AC148:AC176" si="97">RANK(AB148, AB$147:AB$176)</f>
        <v>2</v>
      </c>
      <c r="AD148" s="403"/>
      <c r="AE148" s="105">
        <v>3</v>
      </c>
      <c r="AF148" s="175">
        <v>2669.9999999999995</v>
      </c>
      <c r="AG148" s="202">
        <v>889.99999999999989</v>
      </c>
      <c r="AH148" s="105">
        <f t="shared" ref="AH148:AH176" si="98">RANK(AG148, AG$147:AG$176)</f>
        <v>4</v>
      </c>
      <c r="AI148" s="403"/>
      <c r="AJ148" s="105">
        <v>3</v>
      </c>
      <c r="AK148" s="175">
        <v>2632.4999999999995</v>
      </c>
      <c r="AL148" s="202">
        <v>877.49999999999989</v>
      </c>
      <c r="AM148" s="105">
        <f t="shared" ref="AM148:AM176" si="99">RANK(AL148, AL$147:AL$176)</f>
        <v>3</v>
      </c>
      <c r="AN148" s="403"/>
      <c r="AO148" s="105">
        <v>3</v>
      </c>
      <c r="AP148" s="175">
        <v>2638.4999999999991</v>
      </c>
      <c r="AQ148" s="175">
        <v>879.49999999999966</v>
      </c>
      <c r="AR148" s="105">
        <f t="shared" ref="AR148:AR176" si="100">RANK(AQ148, AQ$147:AQ$176)</f>
        <v>3</v>
      </c>
      <c r="AS148" s="403"/>
      <c r="AT148" s="105"/>
      <c r="AU148" s="175"/>
      <c r="AV148" s="175"/>
      <c r="AW148" s="105" t="e">
        <f t="shared" ref="AW148:AW176" si="101">RANK(AV148, AV$147:AV$176)</f>
        <v>#N/A</v>
      </c>
      <c r="AX148" s="403"/>
    </row>
    <row r="149" spans="2:50">
      <c r="B149" s="398"/>
      <c r="C149" s="105">
        <v>3</v>
      </c>
      <c r="D149" s="105" t="s">
        <v>213</v>
      </c>
      <c r="E149" s="105">
        <v>4</v>
      </c>
      <c r="F149" s="105">
        <v>3600</v>
      </c>
      <c r="G149" s="105">
        <v>900</v>
      </c>
      <c r="H149" s="403"/>
      <c r="I149" s="175">
        <f t="shared" si="92"/>
        <v>4</v>
      </c>
      <c r="J149" s="175">
        <f t="shared" si="93"/>
        <v>2942.1785714285761</v>
      </c>
      <c r="K149" s="202">
        <f t="shared" si="94"/>
        <v>735.54464285714403</v>
      </c>
      <c r="L149" s="385"/>
      <c r="M149" s="175">
        <f>RANK(K149, K$147:$K$176)</f>
        <v>9</v>
      </c>
      <c r="N149" s="387"/>
      <c r="O149" s="387"/>
      <c r="P149" s="105">
        <v>4</v>
      </c>
      <c r="Q149" s="175">
        <v>2945.0000000000055</v>
      </c>
      <c r="R149" s="202">
        <v>736.25000000000136</v>
      </c>
      <c r="S149" s="105">
        <f t="shared" si="95"/>
        <v>8</v>
      </c>
      <c r="T149" s="403"/>
      <c r="U149" s="105">
        <v>4</v>
      </c>
      <c r="V149" s="175">
        <v>2920.0000000000059</v>
      </c>
      <c r="W149" s="202">
        <v>730.00000000000148</v>
      </c>
      <c r="X149" s="105">
        <f t="shared" si="96"/>
        <v>10</v>
      </c>
      <c r="Y149" s="403"/>
      <c r="Z149" s="105">
        <v>4</v>
      </c>
      <c r="AA149" s="175">
        <v>2887.5000000000055</v>
      </c>
      <c r="AB149" s="202">
        <v>721.87500000000136</v>
      </c>
      <c r="AC149" s="105">
        <f t="shared" si="97"/>
        <v>11</v>
      </c>
      <c r="AD149" s="403"/>
      <c r="AE149" s="105">
        <v>4</v>
      </c>
      <c r="AF149" s="175">
        <v>3000.000000000005</v>
      </c>
      <c r="AG149" s="202">
        <v>750.00000000000125</v>
      </c>
      <c r="AH149" s="105">
        <f t="shared" si="98"/>
        <v>7</v>
      </c>
      <c r="AI149" s="403"/>
      <c r="AJ149" s="105">
        <v>4</v>
      </c>
      <c r="AK149" s="175">
        <v>2888.5714285714334</v>
      </c>
      <c r="AL149" s="202">
        <v>722.14285714285836</v>
      </c>
      <c r="AM149" s="105">
        <f t="shared" si="99"/>
        <v>8</v>
      </c>
      <c r="AN149" s="403"/>
      <c r="AO149" s="105">
        <v>4</v>
      </c>
      <c r="AP149" s="175">
        <v>3012.0000000000009</v>
      </c>
      <c r="AQ149" s="175">
        <v>753.00000000000023</v>
      </c>
      <c r="AR149" s="105">
        <f t="shared" si="100"/>
        <v>8</v>
      </c>
      <c r="AS149" s="403"/>
      <c r="AT149" s="105"/>
      <c r="AU149" s="175"/>
      <c r="AV149" s="175"/>
      <c r="AW149" s="105" t="e">
        <f t="shared" si="101"/>
        <v>#N/A</v>
      </c>
      <c r="AX149" s="403"/>
    </row>
    <row r="150" spans="2:50">
      <c r="B150" s="398"/>
      <c r="C150" s="105">
        <v>4</v>
      </c>
      <c r="D150" s="105" t="s">
        <v>214</v>
      </c>
      <c r="E150" s="105">
        <v>4</v>
      </c>
      <c r="F150" s="105">
        <v>3600</v>
      </c>
      <c r="G150" s="105">
        <v>900</v>
      </c>
      <c r="H150" s="403"/>
      <c r="I150" s="175">
        <f t="shared" si="92"/>
        <v>4</v>
      </c>
      <c r="J150" s="175">
        <f t="shared" si="93"/>
        <v>2926.8227922748051</v>
      </c>
      <c r="K150" s="202">
        <f t="shared" si="94"/>
        <v>731.70569806870128</v>
      </c>
      <c r="L150" s="385"/>
      <c r="M150" s="175">
        <f>RANK(K150, K$147:$K$176)</f>
        <v>10</v>
      </c>
      <c r="N150" s="387"/>
      <c r="O150" s="387"/>
      <c r="P150" s="105">
        <v>4</v>
      </c>
      <c r="Q150" s="175">
        <v>2978.8235294117685</v>
      </c>
      <c r="R150" s="202">
        <v>744.70588235294213</v>
      </c>
      <c r="S150" s="105">
        <f t="shared" si="95"/>
        <v>7</v>
      </c>
      <c r="T150" s="403"/>
      <c r="U150" s="105">
        <v>4</v>
      </c>
      <c r="V150" s="175">
        <v>2971.7647058823568</v>
      </c>
      <c r="W150" s="202">
        <v>742.9411764705892</v>
      </c>
      <c r="X150" s="105">
        <f t="shared" si="96"/>
        <v>9</v>
      </c>
      <c r="Y150" s="403"/>
      <c r="Z150" s="105">
        <v>4</v>
      </c>
      <c r="AA150" s="175">
        <v>2925.8823529411798</v>
      </c>
      <c r="AB150" s="202">
        <v>731.47058823529494</v>
      </c>
      <c r="AC150" s="105">
        <f t="shared" si="97"/>
        <v>9</v>
      </c>
      <c r="AD150" s="403"/>
      <c r="AE150" s="105">
        <v>4</v>
      </c>
      <c r="AF150" s="175">
        <v>2847.999999999995</v>
      </c>
      <c r="AG150" s="202">
        <v>711.99999999999875</v>
      </c>
      <c r="AH150" s="105">
        <f t="shared" si="98"/>
        <v>9</v>
      </c>
      <c r="AI150" s="403"/>
      <c r="AJ150" s="105">
        <v>4</v>
      </c>
      <c r="AK150" s="175">
        <v>2978.5714285714225</v>
      </c>
      <c r="AL150" s="202">
        <v>744.64285714285563</v>
      </c>
      <c r="AM150" s="105">
        <f t="shared" si="99"/>
        <v>7</v>
      </c>
      <c r="AN150" s="403"/>
      <c r="AO150" s="105">
        <v>4</v>
      </c>
      <c r="AP150" s="175">
        <v>2857.8947368421095</v>
      </c>
      <c r="AQ150" s="175">
        <v>714.47368421052738</v>
      </c>
      <c r="AR150" s="105">
        <f t="shared" si="100"/>
        <v>9</v>
      </c>
      <c r="AS150" s="403"/>
      <c r="AT150" s="105"/>
      <c r="AU150" s="175"/>
      <c r="AV150" s="175"/>
      <c r="AW150" s="105" t="e">
        <f t="shared" si="101"/>
        <v>#N/A</v>
      </c>
      <c r="AX150" s="403"/>
    </row>
    <row r="151" spans="2:50">
      <c r="B151" s="398"/>
      <c r="C151" s="105">
        <v>5</v>
      </c>
      <c r="D151" s="105" t="s">
        <v>217</v>
      </c>
      <c r="E151" s="105">
        <v>4</v>
      </c>
      <c r="F151" s="105">
        <v>3600</v>
      </c>
      <c r="G151" s="105">
        <v>900</v>
      </c>
      <c r="H151" s="403"/>
      <c r="I151" s="175">
        <f t="shared" si="92"/>
        <v>4</v>
      </c>
      <c r="J151" s="175">
        <f t="shared" si="93"/>
        <v>2878.2727272727316</v>
      </c>
      <c r="K151" s="202">
        <f t="shared" si="94"/>
        <v>719.56818181818289</v>
      </c>
      <c r="L151" s="385"/>
      <c r="M151" s="175">
        <f>RANK(K151, K$147:$K$176)</f>
        <v>11</v>
      </c>
      <c r="N151" s="387"/>
      <c r="O151" s="387"/>
      <c r="P151" s="105">
        <v>4</v>
      </c>
      <c r="Q151" s="175">
        <v>2870.0000000000105</v>
      </c>
      <c r="R151" s="202">
        <v>717.50000000000261</v>
      </c>
      <c r="S151" s="105">
        <f t="shared" si="95"/>
        <v>9</v>
      </c>
      <c r="T151" s="403"/>
      <c r="U151" s="105">
        <v>4</v>
      </c>
      <c r="V151" s="175">
        <v>3000.0000000000105</v>
      </c>
      <c r="W151" s="202">
        <v>750.00000000000261</v>
      </c>
      <c r="X151" s="105">
        <f t="shared" si="96"/>
        <v>8</v>
      </c>
      <c r="Y151" s="403"/>
      <c r="Z151" s="105">
        <v>4</v>
      </c>
      <c r="AA151" s="175">
        <v>2896.3636363636465</v>
      </c>
      <c r="AB151" s="202">
        <v>724.09090909091162</v>
      </c>
      <c r="AC151" s="105">
        <f t="shared" si="97"/>
        <v>10</v>
      </c>
      <c r="AD151" s="403"/>
      <c r="AE151" s="105">
        <v>4</v>
      </c>
      <c r="AF151" s="175">
        <v>2775.00000000001</v>
      </c>
      <c r="AG151" s="202">
        <v>693.7500000000025</v>
      </c>
      <c r="AH151" s="105">
        <f t="shared" si="98"/>
        <v>10</v>
      </c>
      <c r="AI151" s="403"/>
      <c r="AJ151" s="105">
        <v>4</v>
      </c>
      <c r="AK151" s="175">
        <v>2849.9999999999818</v>
      </c>
      <c r="AL151" s="202">
        <v>712.49999999999545</v>
      </c>
      <c r="AM151" s="105">
        <f t="shared" si="99"/>
        <v>10</v>
      </c>
      <c r="AN151" s="403"/>
      <c r="AO151" s="105"/>
      <c r="AP151" s="175"/>
      <c r="AQ151" s="175"/>
      <c r="AR151" s="105" t="e">
        <f t="shared" si="100"/>
        <v>#N/A</v>
      </c>
      <c r="AS151" s="403"/>
      <c r="AT151" s="105"/>
      <c r="AU151" s="175"/>
      <c r="AV151" s="175"/>
      <c r="AW151" s="105" t="e">
        <f t="shared" si="101"/>
        <v>#N/A</v>
      </c>
      <c r="AX151" s="403"/>
    </row>
    <row r="152" spans="2:50">
      <c r="B152" s="398"/>
      <c r="C152" s="105">
        <v>6</v>
      </c>
      <c r="D152" s="105" t="s">
        <v>216</v>
      </c>
      <c r="E152" s="105">
        <v>3</v>
      </c>
      <c r="F152" s="105">
        <v>3600</v>
      </c>
      <c r="G152" s="105">
        <v>1200</v>
      </c>
      <c r="H152" s="403"/>
      <c r="I152" s="175">
        <f t="shared" si="92"/>
        <v>4</v>
      </c>
      <c r="J152" s="175">
        <f t="shared" si="93"/>
        <v>6571.4999999999918</v>
      </c>
      <c r="K152" s="202">
        <f t="shared" si="94"/>
        <v>1642.874999999998</v>
      </c>
      <c r="L152" s="385"/>
      <c r="M152" s="175">
        <f>RANK(K152, K$147:$K$176)</f>
        <v>1</v>
      </c>
      <c r="N152" s="387"/>
      <c r="O152" s="387"/>
      <c r="P152" s="105">
        <v>4</v>
      </c>
      <c r="Q152" s="175">
        <v>2591.9999999999677</v>
      </c>
      <c r="R152" s="202">
        <v>647.99999999999193</v>
      </c>
      <c r="S152" s="105">
        <f t="shared" si="95"/>
        <v>12</v>
      </c>
      <c r="T152" s="403"/>
      <c r="U152" s="105">
        <v>4</v>
      </c>
      <c r="V152" s="175">
        <v>2675.9999999999668</v>
      </c>
      <c r="W152" s="202">
        <v>668.9999999999917</v>
      </c>
      <c r="X152" s="105">
        <f t="shared" si="96"/>
        <v>12</v>
      </c>
      <c r="Y152" s="403"/>
      <c r="Z152" s="105">
        <v>4</v>
      </c>
      <c r="AA152" s="175">
        <v>26220.000000000091</v>
      </c>
      <c r="AB152" s="202">
        <v>6555.0000000000227</v>
      </c>
      <c r="AC152" s="105">
        <f t="shared" si="97"/>
        <v>1</v>
      </c>
      <c r="AD152" s="403"/>
      <c r="AE152" s="105">
        <v>4</v>
      </c>
      <c r="AF152" s="175">
        <v>2579.9999999999577</v>
      </c>
      <c r="AG152" s="202">
        <v>644.99999999998943</v>
      </c>
      <c r="AH152" s="105">
        <f t="shared" si="98"/>
        <v>12</v>
      </c>
      <c r="AI152" s="403"/>
      <c r="AJ152" s="105">
        <v>4</v>
      </c>
      <c r="AK152" s="175">
        <v>2624.9999999999568</v>
      </c>
      <c r="AL152" s="202">
        <v>656.2499999999892</v>
      </c>
      <c r="AM152" s="105">
        <f t="shared" si="99"/>
        <v>12</v>
      </c>
      <c r="AN152" s="403"/>
      <c r="AO152" s="105">
        <v>4</v>
      </c>
      <c r="AP152" s="175">
        <v>2736.00000000001</v>
      </c>
      <c r="AQ152" s="175">
        <v>684.0000000000025</v>
      </c>
      <c r="AR152" s="105">
        <f t="shared" si="100"/>
        <v>10</v>
      </c>
      <c r="AS152" s="403"/>
      <c r="AT152" s="105"/>
      <c r="AU152" s="175"/>
      <c r="AV152" s="175"/>
      <c r="AW152" s="105" t="e">
        <f t="shared" si="101"/>
        <v>#N/A</v>
      </c>
      <c r="AX152" s="403"/>
    </row>
    <row r="153" spans="2:50">
      <c r="B153" s="398"/>
      <c r="C153" s="105">
        <v>7</v>
      </c>
      <c r="D153" s="105" t="s">
        <v>215</v>
      </c>
      <c r="E153" s="105">
        <v>3</v>
      </c>
      <c r="F153" s="105">
        <v>3600</v>
      </c>
      <c r="G153" s="105">
        <v>1200</v>
      </c>
      <c r="H153" s="403"/>
      <c r="I153" s="175">
        <f t="shared" si="92"/>
        <v>3</v>
      </c>
      <c r="J153" s="175">
        <f t="shared" si="93"/>
        <v>2853.8095238095211</v>
      </c>
      <c r="K153" s="202">
        <f t="shared" si="94"/>
        <v>951.26984126984019</v>
      </c>
      <c r="L153" s="385"/>
      <c r="M153" s="175">
        <f>RANK(K153, K$147:$K$176)</f>
        <v>2</v>
      </c>
      <c r="N153" s="387"/>
      <c r="O153" s="387"/>
      <c r="P153" s="105">
        <v>3</v>
      </c>
      <c r="Q153" s="175">
        <v>2833.3333333333185</v>
      </c>
      <c r="R153" s="202">
        <v>944.44444444443945</v>
      </c>
      <c r="S153" s="105">
        <f t="shared" si="95"/>
        <v>1</v>
      </c>
      <c r="T153" s="403"/>
      <c r="U153" s="105">
        <v>3</v>
      </c>
      <c r="V153" s="175">
        <v>2813.333333333318</v>
      </c>
      <c r="W153" s="202">
        <v>937.77777777777271</v>
      </c>
      <c r="X153" s="105">
        <f t="shared" si="96"/>
        <v>1</v>
      </c>
      <c r="Y153" s="403"/>
      <c r="Z153" s="105">
        <v>3</v>
      </c>
      <c r="AA153" s="175">
        <v>2720.0000000000095</v>
      </c>
      <c r="AB153" s="202">
        <v>906.66666666666981</v>
      </c>
      <c r="AC153" s="105">
        <f t="shared" si="97"/>
        <v>3</v>
      </c>
      <c r="AD153" s="403"/>
      <c r="AE153" s="105">
        <v>3</v>
      </c>
      <c r="AF153" s="175">
        <v>2948.5714285714389</v>
      </c>
      <c r="AG153" s="202">
        <v>982.8571428571463</v>
      </c>
      <c r="AH153" s="105">
        <f t="shared" si="98"/>
        <v>2</v>
      </c>
      <c r="AI153" s="403"/>
      <c r="AJ153" s="105">
        <v>3</v>
      </c>
      <c r="AK153" s="175">
        <v>2854.2857142857242</v>
      </c>
      <c r="AL153" s="202">
        <v>951.42857142857474</v>
      </c>
      <c r="AM153" s="105">
        <f t="shared" si="99"/>
        <v>1</v>
      </c>
      <c r="AN153" s="403"/>
      <c r="AO153" s="105">
        <v>3</v>
      </c>
      <c r="AP153" s="175">
        <v>2953.3333333333176</v>
      </c>
      <c r="AQ153" s="175">
        <v>984.44444444443923</v>
      </c>
      <c r="AR153" s="105">
        <f t="shared" si="100"/>
        <v>1</v>
      </c>
      <c r="AS153" s="403"/>
      <c r="AT153" s="105"/>
      <c r="AU153" s="175"/>
      <c r="AV153" s="175"/>
      <c r="AW153" s="105" t="e">
        <f t="shared" si="101"/>
        <v>#N/A</v>
      </c>
      <c r="AX153" s="403"/>
    </row>
    <row r="154" spans="2:50">
      <c r="B154" s="398"/>
      <c r="C154" s="105">
        <v>8</v>
      </c>
      <c r="D154" s="105" t="s">
        <v>218</v>
      </c>
      <c r="E154" s="105">
        <v>4</v>
      </c>
      <c r="F154" s="105">
        <v>3300</v>
      </c>
      <c r="G154" s="105">
        <v>825</v>
      </c>
      <c r="H154" s="403"/>
      <c r="I154" s="175">
        <f t="shared" si="92"/>
        <v>4</v>
      </c>
      <c r="J154" s="175">
        <f t="shared" si="93"/>
        <v>2430.8263305322093</v>
      </c>
      <c r="K154" s="202">
        <f t="shared" si="94"/>
        <v>607.70658263305234</v>
      </c>
      <c r="L154" s="385"/>
      <c r="M154" s="175">
        <f>RANK(K154, K$147:$K$176)</f>
        <v>18</v>
      </c>
      <c r="N154" s="387"/>
      <c r="O154" s="387"/>
      <c r="P154" s="105">
        <v>4</v>
      </c>
      <c r="Q154" s="175">
        <v>2407.058823529409</v>
      </c>
      <c r="R154" s="202">
        <v>601.76470588235225</v>
      </c>
      <c r="S154" s="105">
        <f t="shared" si="95"/>
        <v>18</v>
      </c>
      <c r="T154" s="403"/>
      <c r="U154" s="105">
        <v>4</v>
      </c>
      <c r="V154" s="175">
        <v>2396.470588235291</v>
      </c>
      <c r="W154" s="202">
        <v>599.11764705882274</v>
      </c>
      <c r="X154" s="105">
        <f t="shared" si="96"/>
        <v>18</v>
      </c>
      <c r="Y154" s="403"/>
      <c r="Z154" s="105">
        <v>4</v>
      </c>
      <c r="AA154" s="175">
        <v>2489.9999999999964</v>
      </c>
      <c r="AB154" s="202">
        <v>622.49999999999909</v>
      </c>
      <c r="AC154" s="105">
        <f t="shared" si="97"/>
        <v>13</v>
      </c>
      <c r="AD154" s="403"/>
      <c r="AE154" s="105">
        <v>4</v>
      </c>
      <c r="AF154" s="175">
        <v>2404.2857142857092</v>
      </c>
      <c r="AG154" s="202">
        <v>601.0714285714273</v>
      </c>
      <c r="AH154" s="105">
        <f t="shared" si="98"/>
        <v>18</v>
      </c>
      <c r="AI154" s="403"/>
      <c r="AJ154" s="105">
        <v>4</v>
      </c>
      <c r="AK154" s="175">
        <v>2387.1428571428519</v>
      </c>
      <c r="AL154" s="202">
        <v>596.78571428571297</v>
      </c>
      <c r="AM154" s="105">
        <f t="shared" si="99"/>
        <v>18</v>
      </c>
      <c r="AN154" s="403"/>
      <c r="AO154" s="105">
        <v>4</v>
      </c>
      <c r="AP154" s="175">
        <v>2499.9999999999982</v>
      </c>
      <c r="AQ154" s="175">
        <v>624.99999999999955</v>
      </c>
      <c r="AR154" s="105">
        <f t="shared" si="100"/>
        <v>14</v>
      </c>
      <c r="AS154" s="403"/>
      <c r="AT154" s="105"/>
      <c r="AU154" s="175"/>
      <c r="AV154" s="175"/>
      <c r="AW154" s="105" t="e">
        <f t="shared" si="101"/>
        <v>#N/A</v>
      </c>
      <c r="AX154" s="403"/>
    </row>
    <row r="155" spans="2:50">
      <c r="B155" s="398"/>
      <c r="C155" s="105">
        <v>9</v>
      </c>
      <c r="D155" s="105" t="s">
        <v>219</v>
      </c>
      <c r="E155" s="105">
        <v>3</v>
      </c>
      <c r="F155" s="105">
        <v>3300</v>
      </c>
      <c r="G155" s="105">
        <v>1100</v>
      </c>
      <c r="H155" s="403"/>
      <c r="I155" s="175">
        <f t="shared" si="92"/>
        <v>3</v>
      </c>
      <c r="J155" s="175">
        <f t="shared" si="93"/>
        <v>2489.0663780663781</v>
      </c>
      <c r="K155" s="202">
        <f t="shared" si="94"/>
        <v>829.68879268879266</v>
      </c>
      <c r="L155" s="385"/>
      <c r="M155" s="175">
        <f>RANK(K155, K$147:$K$176)</f>
        <v>6</v>
      </c>
      <c r="N155" s="387"/>
      <c r="O155" s="387"/>
      <c r="P155" s="105">
        <v>3</v>
      </c>
      <c r="Q155" s="175">
        <v>2505.7142857142871</v>
      </c>
      <c r="R155" s="202">
        <v>835.23809523809575</v>
      </c>
      <c r="S155" s="105">
        <f t="shared" si="95"/>
        <v>5</v>
      </c>
      <c r="T155" s="403"/>
      <c r="U155" s="105">
        <v>3</v>
      </c>
      <c r="V155" s="175">
        <v>2465.7142857142876</v>
      </c>
      <c r="W155" s="202">
        <v>821.90476190476249</v>
      </c>
      <c r="X155" s="105">
        <f t="shared" si="96"/>
        <v>5</v>
      </c>
      <c r="Y155" s="403"/>
      <c r="Z155" s="105">
        <v>3</v>
      </c>
      <c r="AA155" s="175">
        <v>2510.9999999999991</v>
      </c>
      <c r="AB155" s="202">
        <v>836.99999999999966</v>
      </c>
      <c r="AC155" s="105">
        <f t="shared" si="97"/>
        <v>6</v>
      </c>
      <c r="AD155" s="403"/>
      <c r="AE155" s="105">
        <v>3</v>
      </c>
      <c r="AF155" s="175">
        <v>2479.9999999999982</v>
      </c>
      <c r="AG155" s="202">
        <v>826.66666666666606</v>
      </c>
      <c r="AH155" s="105">
        <f t="shared" si="98"/>
        <v>5</v>
      </c>
      <c r="AI155" s="403"/>
      <c r="AJ155" s="105">
        <v>3</v>
      </c>
      <c r="AK155" s="175">
        <v>2498.3333333333312</v>
      </c>
      <c r="AL155" s="202">
        <v>832.77777777777703</v>
      </c>
      <c r="AM155" s="105">
        <f t="shared" si="99"/>
        <v>4</v>
      </c>
      <c r="AN155" s="403"/>
      <c r="AO155" s="105">
        <v>3</v>
      </c>
      <c r="AP155" s="175">
        <v>2473.6363636363635</v>
      </c>
      <c r="AQ155" s="175">
        <v>824.5454545454545</v>
      </c>
      <c r="AR155" s="105">
        <f t="shared" si="100"/>
        <v>5</v>
      </c>
      <c r="AS155" s="403"/>
      <c r="AT155" s="105"/>
      <c r="AU155" s="175"/>
      <c r="AV155" s="175"/>
      <c r="AW155" s="105" t="e">
        <f t="shared" si="101"/>
        <v>#N/A</v>
      </c>
      <c r="AX155" s="403"/>
    </row>
    <row r="156" spans="2:50">
      <c r="B156" s="398"/>
      <c r="C156" s="105">
        <v>10</v>
      </c>
      <c r="D156" s="105" t="s">
        <v>220</v>
      </c>
      <c r="E156" s="105">
        <v>3</v>
      </c>
      <c r="F156" s="105">
        <v>3300</v>
      </c>
      <c r="G156" s="105">
        <v>1100</v>
      </c>
      <c r="H156" s="403"/>
      <c r="I156" s="175">
        <f t="shared" si="92"/>
        <v>3</v>
      </c>
      <c r="J156" s="175">
        <f t="shared" si="93"/>
        <v>2476.7387644682626</v>
      </c>
      <c r="K156" s="202">
        <f t="shared" si="94"/>
        <v>825.57958815608742</v>
      </c>
      <c r="L156" s="385"/>
      <c r="M156" s="175">
        <f>RANK(K156, K$147:$K$176)</f>
        <v>7</v>
      </c>
      <c r="N156" s="387"/>
      <c r="O156" s="387"/>
      <c r="P156" s="105">
        <v>3</v>
      </c>
      <c r="Q156" s="175">
        <v>2471.1627906976764</v>
      </c>
      <c r="R156" s="202">
        <v>823.72093023255877</v>
      </c>
      <c r="S156" s="105">
        <f t="shared" si="95"/>
        <v>6</v>
      </c>
      <c r="T156" s="403"/>
      <c r="U156" s="105">
        <v>3</v>
      </c>
      <c r="V156" s="175">
        <v>2450.0000000000018</v>
      </c>
      <c r="W156" s="202">
        <v>816.66666666666731</v>
      </c>
      <c r="X156" s="105">
        <f t="shared" si="96"/>
        <v>7</v>
      </c>
      <c r="Y156" s="403"/>
      <c r="Z156" s="105">
        <v>3</v>
      </c>
      <c r="AA156" s="175">
        <v>2555.9999999999964</v>
      </c>
      <c r="AB156" s="202">
        <v>851.99999999999875</v>
      </c>
      <c r="AC156" s="105">
        <f t="shared" si="97"/>
        <v>5</v>
      </c>
      <c r="AD156" s="403"/>
      <c r="AE156" s="105">
        <v>3</v>
      </c>
      <c r="AF156" s="175">
        <v>2453.6842105263117</v>
      </c>
      <c r="AG156" s="202">
        <v>817.89473684210395</v>
      </c>
      <c r="AH156" s="105">
        <f t="shared" si="98"/>
        <v>6</v>
      </c>
      <c r="AI156" s="403"/>
      <c r="AJ156" s="105">
        <v>3</v>
      </c>
      <c r="AK156" s="175">
        <v>2438.9189189189201</v>
      </c>
      <c r="AL156" s="202">
        <v>812.97297297297337</v>
      </c>
      <c r="AM156" s="105">
        <f t="shared" si="99"/>
        <v>5</v>
      </c>
      <c r="AN156" s="403"/>
      <c r="AO156" s="105">
        <v>3</v>
      </c>
      <c r="AP156" s="175">
        <v>2490.6666666666688</v>
      </c>
      <c r="AQ156" s="175">
        <v>830.22222222222297</v>
      </c>
      <c r="AR156" s="105">
        <f t="shared" si="100"/>
        <v>4</v>
      </c>
      <c r="AS156" s="403"/>
      <c r="AT156" s="105"/>
      <c r="AU156" s="175"/>
      <c r="AV156" s="175"/>
      <c r="AW156" s="105" t="e">
        <f t="shared" si="101"/>
        <v>#N/A</v>
      </c>
      <c r="AX156" s="403"/>
    </row>
    <row r="157" spans="2:50">
      <c r="B157" s="398"/>
      <c r="C157" s="105">
        <v>11</v>
      </c>
      <c r="D157" s="105" t="s">
        <v>222</v>
      </c>
      <c r="E157" s="105">
        <v>4</v>
      </c>
      <c r="F157" s="105">
        <v>3300</v>
      </c>
      <c r="G157" s="105">
        <v>825</v>
      </c>
      <c r="H157" s="403"/>
      <c r="I157" s="175">
        <f t="shared" ref="I157:I166" si="102">AVERAGE(P157,U157,Z157,AE157,AJ157,AO157,AT157)</f>
        <v>4</v>
      </c>
      <c r="J157" s="175">
        <f t="shared" ref="J157:J166" si="103">AVERAGE(Q157,V157,AA157,AF157,AK157,AP157,AU157)</f>
        <v>2477.279310344828</v>
      </c>
      <c r="K157" s="202">
        <f t="shared" ref="K157:K166" si="104">AVERAGE(R157,W157,AB157,AG157,AL157,AQ157,AV157)</f>
        <v>619.319827586207</v>
      </c>
      <c r="L157" s="385"/>
      <c r="M157" s="175">
        <f>RANK(K157, K$147:$K$176)</f>
        <v>16</v>
      </c>
      <c r="N157" s="387"/>
      <c r="O157" s="387"/>
      <c r="P157" s="105">
        <v>4</v>
      </c>
      <c r="Q157" s="175">
        <v>2470.0000000000023</v>
      </c>
      <c r="R157" s="202">
        <v>617.50000000000057</v>
      </c>
      <c r="S157" s="105">
        <f t="shared" si="95"/>
        <v>16</v>
      </c>
      <c r="T157" s="403"/>
      <c r="U157" s="105">
        <v>4</v>
      </c>
      <c r="V157" s="175">
        <v>2472.4137931034502</v>
      </c>
      <c r="W157" s="202">
        <v>618.10344827586255</v>
      </c>
      <c r="X157" s="105">
        <f t="shared" si="96"/>
        <v>15</v>
      </c>
      <c r="Y157" s="403"/>
      <c r="Z157" s="105">
        <v>4</v>
      </c>
      <c r="AA157" s="175">
        <v>2455.8620689655127</v>
      </c>
      <c r="AB157" s="202">
        <v>613.96551724137817</v>
      </c>
      <c r="AC157" s="105">
        <f t="shared" si="97"/>
        <v>17</v>
      </c>
      <c r="AD157" s="403"/>
      <c r="AE157" s="105">
        <v>4</v>
      </c>
      <c r="AF157" s="175">
        <v>2414.4000000000005</v>
      </c>
      <c r="AG157" s="202">
        <v>603.60000000000014</v>
      </c>
      <c r="AH157" s="105">
        <f t="shared" si="98"/>
        <v>17</v>
      </c>
      <c r="AI157" s="403"/>
      <c r="AJ157" s="105">
        <v>4</v>
      </c>
      <c r="AK157" s="175">
        <v>2495.0000000000005</v>
      </c>
      <c r="AL157" s="202">
        <v>623.75000000000011</v>
      </c>
      <c r="AM157" s="105">
        <f t="shared" si="99"/>
        <v>13</v>
      </c>
      <c r="AN157" s="403"/>
      <c r="AO157" s="105">
        <v>4</v>
      </c>
      <c r="AP157" s="175">
        <v>2556.0000000000023</v>
      </c>
      <c r="AQ157" s="175">
        <v>639.00000000000057</v>
      </c>
      <c r="AR157" s="105">
        <f t="shared" si="100"/>
        <v>13</v>
      </c>
      <c r="AS157" s="403"/>
      <c r="AT157" s="105"/>
      <c r="AU157" s="175"/>
      <c r="AV157" s="175"/>
      <c r="AW157" s="105" t="e">
        <f t="shared" si="101"/>
        <v>#N/A</v>
      </c>
      <c r="AX157" s="403"/>
    </row>
    <row r="158" spans="2:50">
      <c r="B158" s="398"/>
      <c r="C158" s="105">
        <v>12</v>
      </c>
      <c r="D158" s="105" t="s">
        <v>231</v>
      </c>
      <c r="E158" s="105">
        <v>4</v>
      </c>
      <c r="F158" s="105">
        <v>3300</v>
      </c>
      <c r="G158" s="105">
        <v>825</v>
      </c>
      <c r="H158" s="403"/>
      <c r="I158" s="175">
        <f t="shared" si="102"/>
        <v>4</v>
      </c>
      <c r="J158" s="175">
        <f t="shared" si="103"/>
        <v>2476.5827888044873</v>
      </c>
      <c r="K158" s="202">
        <f t="shared" si="104"/>
        <v>619.14569720112183</v>
      </c>
      <c r="L158" s="385"/>
      <c r="M158" s="175">
        <f>RANK(K158, K$147:$K$176)</f>
        <v>17</v>
      </c>
      <c r="N158" s="387"/>
      <c r="O158" s="387"/>
      <c r="P158" s="105">
        <v>4</v>
      </c>
      <c r="Q158" s="175">
        <v>2469.8181818181833</v>
      </c>
      <c r="R158" s="202">
        <v>617.45454545454584</v>
      </c>
      <c r="S158" s="105">
        <f t="shared" si="95"/>
        <v>17</v>
      </c>
      <c r="T158" s="403"/>
      <c r="U158" s="105">
        <v>4</v>
      </c>
      <c r="V158" s="175">
        <v>2464.3636363636379</v>
      </c>
      <c r="W158" s="202">
        <v>616.09090909090946</v>
      </c>
      <c r="X158" s="105">
        <f t="shared" si="96"/>
        <v>17</v>
      </c>
      <c r="Y158" s="403"/>
      <c r="Z158" s="105">
        <v>4</v>
      </c>
      <c r="AA158" s="175">
        <v>2489.4339622641487</v>
      </c>
      <c r="AB158" s="202">
        <v>622.35849056603718</v>
      </c>
      <c r="AC158" s="105">
        <f t="shared" si="97"/>
        <v>14</v>
      </c>
      <c r="AD158" s="403"/>
      <c r="AE158" s="105">
        <v>4</v>
      </c>
      <c r="AF158" s="175">
        <v>2486.6666666666665</v>
      </c>
      <c r="AG158" s="202">
        <v>621.66666666666663</v>
      </c>
      <c r="AH158" s="105">
        <f t="shared" si="98"/>
        <v>14</v>
      </c>
      <c r="AI158" s="403"/>
      <c r="AJ158" s="105">
        <v>4</v>
      </c>
      <c r="AK158" s="175">
        <v>2456</v>
      </c>
      <c r="AL158" s="202">
        <v>614</v>
      </c>
      <c r="AM158" s="105">
        <f t="shared" si="99"/>
        <v>16</v>
      </c>
      <c r="AN158" s="403"/>
      <c r="AO158" s="105">
        <v>4</v>
      </c>
      <c r="AP158" s="175">
        <v>2493.2142857142876</v>
      </c>
      <c r="AQ158" s="175">
        <v>623.3035714285719</v>
      </c>
      <c r="AR158" s="105">
        <f t="shared" si="100"/>
        <v>15</v>
      </c>
      <c r="AS158" s="403"/>
      <c r="AT158" s="105"/>
      <c r="AU158" s="175"/>
      <c r="AV158" s="175"/>
      <c r="AW158" s="105" t="e">
        <f t="shared" si="101"/>
        <v>#N/A</v>
      </c>
      <c r="AX158" s="403"/>
    </row>
    <row r="159" spans="2:50">
      <c r="B159" s="398"/>
      <c r="C159" s="105">
        <v>13</v>
      </c>
      <c r="D159" s="105" t="s">
        <v>223</v>
      </c>
      <c r="E159" s="105">
        <v>3</v>
      </c>
      <c r="F159" s="105">
        <v>3300</v>
      </c>
      <c r="G159" s="105">
        <v>1100</v>
      </c>
      <c r="H159" s="403"/>
      <c r="I159" s="175">
        <f t="shared" si="102"/>
        <v>3</v>
      </c>
      <c r="J159" s="175">
        <f t="shared" si="103"/>
        <v>2591.7765151515177</v>
      </c>
      <c r="K159" s="202">
        <f t="shared" si="104"/>
        <v>863.9255050505061</v>
      </c>
      <c r="L159" s="385"/>
      <c r="M159" s="175">
        <f>RANK(K159, K$147:$K$176)</f>
        <v>5</v>
      </c>
      <c r="N159" s="387"/>
      <c r="O159" s="387"/>
      <c r="P159" s="105">
        <v>3</v>
      </c>
      <c r="Q159" s="175">
        <v>2555.9999999999955</v>
      </c>
      <c r="R159" s="202">
        <v>851.99999999999852</v>
      </c>
      <c r="S159" s="105">
        <f t="shared" si="95"/>
        <v>4</v>
      </c>
      <c r="T159" s="403"/>
      <c r="U159" s="105">
        <v>3</v>
      </c>
      <c r="V159" s="175">
        <v>2460.0000000000086</v>
      </c>
      <c r="W159" s="202">
        <v>820.00000000000284</v>
      </c>
      <c r="X159" s="105">
        <f t="shared" si="96"/>
        <v>6</v>
      </c>
      <c r="Y159" s="403"/>
      <c r="Z159" s="105">
        <v>3</v>
      </c>
      <c r="AA159" s="175">
        <v>2359.9999999999959</v>
      </c>
      <c r="AB159" s="202">
        <v>786.66666666666526</v>
      </c>
      <c r="AC159" s="105">
        <f t="shared" si="97"/>
        <v>8</v>
      </c>
      <c r="AD159" s="403"/>
      <c r="AE159" s="105">
        <v>3</v>
      </c>
      <c r="AF159" s="175">
        <v>3390.0000000000118</v>
      </c>
      <c r="AG159" s="202">
        <v>1130.0000000000039</v>
      </c>
      <c r="AH159" s="105">
        <f t="shared" si="98"/>
        <v>1</v>
      </c>
      <c r="AI159" s="403"/>
      <c r="AJ159" s="105">
        <v>3</v>
      </c>
      <c r="AK159" s="175">
        <v>2410.9090909090992</v>
      </c>
      <c r="AL159" s="202">
        <v>803.63636363636635</v>
      </c>
      <c r="AM159" s="105">
        <f t="shared" si="99"/>
        <v>6</v>
      </c>
      <c r="AN159" s="403"/>
      <c r="AO159" s="105">
        <v>3</v>
      </c>
      <c r="AP159" s="175">
        <v>2373.7499999999968</v>
      </c>
      <c r="AQ159" s="175">
        <v>791.24999999999898</v>
      </c>
      <c r="AR159" s="105">
        <f t="shared" si="100"/>
        <v>6</v>
      </c>
      <c r="AS159" s="403"/>
      <c r="AT159" s="105"/>
      <c r="AU159" s="175"/>
      <c r="AV159" s="175"/>
      <c r="AW159" s="105" t="e">
        <f t="shared" si="101"/>
        <v>#N/A</v>
      </c>
      <c r="AX159" s="403"/>
    </row>
    <row r="160" spans="2:50">
      <c r="B160" s="398"/>
      <c r="C160" s="105">
        <v>14</v>
      </c>
      <c r="D160" s="105" t="s">
        <v>224</v>
      </c>
      <c r="E160" s="105">
        <v>4</v>
      </c>
      <c r="F160" s="105">
        <v>3300</v>
      </c>
      <c r="G160" s="105">
        <v>825</v>
      </c>
      <c r="H160" s="403"/>
      <c r="I160" s="175">
        <f t="shared" si="102"/>
        <v>4</v>
      </c>
      <c r="J160" s="175">
        <f t="shared" si="103"/>
        <v>2482.9982175463006</v>
      </c>
      <c r="K160" s="202">
        <f t="shared" si="104"/>
        <v>620.74955438657514</v>
      </c>
      <c r="L160" s="385"/>
      <c r="M160" s="175">
        <f>RANK(K160, K$147:$K$176)</f>
        <v>14</v>
      </c>
      <c r="N160" s="387"/>
      <c r="O160" s="387"/>
      <c r="P160" s="105">
        <v>4</v>
      </c>
      <c r="Q160" s="175">
        <v>2487.6190476190468</v>
      </c>
      <c r="R160" s="202">
        <v>621.9047619047617</v>
      </c>
      <c r="S160" s="105">
        <f t="shared" si="95"/>
        <v>14</v>
      </c>
      <c r="T160" s="403"/>
      <c r="U160" s="105">
        <v>4</v>
      </c>
      <c r="V160" s="175">
        <v>2493.8709677419347</v>
      </c>
      <c r="W160" s="202">
        <v>623.46774193548367</v>
      </c>
      <c r="X160" s="105">
        <f t="shared" si="96"/>
        <v>14</v>
      </c>
      <c r="Y160" s="403"/>
      <c r="Z160" s="105">
        <v>4</v>
      </c>
      <c r="AA160" s="175">
        <v>2487.0967741935492</v>
      </c>
      <c r="AB160" s="202">
        <v>621.7741935483873</v>
      </c>
      <c r="AC160" s="105">
        <f t="shared" si="97"/>
        <v>15</v>
      </c>
      <c r="AD160" s="403"/>
      <c r="AE160" s="105">
        <v>4</v>
      </c>
      <c r="AF160" s="175">
        <v>2496.6666666666665</v>
      </c>
      <c r="AG160" s="202">
        <v>624.16666666666663</v>
      </c>
      <c r="AH160" s="105">
        <f t="shared" si="98"/>
        <v>13</v>
      </c>
      <c r="AI160" s="403"/>
      <c r="AJ160" s="105">
        <v>4</v>
      </c>
      <c r="AK160" s="175">
        <v>2457.7358490566053</v>
      </c>
      <c r="AL160" s="202">
        <v>614.43396226415132</v>
      </c>
      <c r="AM160" s="105">
        <f t="shared" si="99"/>
        <v>15</v>
      </c>
      <c r="AN160" s="403"/>
      <c r="AO160" s="105">
        <v>4</v>
      </c>
      <c r="AP160" s="175">
        <v>2475</v>
      </c>
      <c r="AQ160" s="175">
        <v>618.75</v>
      </c>
      <c r="AR160" s="105">
        <f t="shared" si="100"/>
        <v>17</v>
      </c>
      <c r="AS160" s="403"/>
      <c r="AT160" s="105"/>
      <c r="AU160" s="175"/>
      <c r="AV160" s="175"/>
      <c r="AW160" s="105" t="e">
        <f t="shared" si="101"/>
        <v>#N/A</v>
      </c>
      <c r="AX160" s="403"/>
    </row>
    <row r="161" spans="2:50">
      <c r="B161" s="398"/>
      <c r="C161" s="105">
        <v>15</v>
      </c>
      <c r="D161" s="105" t="s">
        <v>225</v>
      </c>
      <c r="E161" s="105">
        <v>4</v>
      </c>
      <c r="F161" s="105">
        <v>3300</v>
      </c>
      <c r="G161" s="105">
        <v>825</v>
      </c>
      <c r="H161" s="403"/>
      <c r="I161" s="175">
        <f t="shared" si="102"/>
        <v>4</v>
      </c>
      <c r="J161" s="175">
        <f t="shared" si="103"/>
        <v>2481.7052747708776</v>
      </c>
      <c r="K161" s="202">
        <f t="shared" si="104"/>
        <v>620.42631869271941</v>
      </c>
      <c r="L161" s="385"/>
      <c r="M161" s="175">
        <f>RANK(K161, K$147:$K$176)</f>
        <v>15</v>
      </c>
      <c r="N161" s="387"/>
      <c r="O161" s="387"/>
      <c r="P161" s="105">
        <v>4</v>
      </c>
      <c r="Q161" s="175">
        <v>2487.9999999999995</v>
      </c>
      <c r="R161" s="202">
        <v>621.99999999999989</v>
      </c>
      <c r="S161" s="105">
        <f t="shared" ref="S161:S175" si="105">RANK(R161, R$147:R$176)</f>
        <v>13</v>
      </c>
      <c r="T161" s="403"/>
      <c r="U161" s="105">
        <v>4</v>
      </c>
      <c r="V161" s="175">
        <v>2467.3972602739732</v>
      </c>
      <c r="W161" s="202">
        <v>616.8493150684933</v>
      </c>
      <c r="X161" s="105">
        <f t="shared" ref="X161:X175" si="106">RANK(W161, W$147:W$176)</f>
        <v>16</v>
      </c>
      <c r="Y161" s="403"/>
      <c r="Z161" s="105">
        <v>4</v>
      </c>
      <c r="AA161" s="175">
        <v>2473.9726027397255</v>
      </c>
      <c r="AB161" s="202">
        <v>618.49315068493138</v>
      </c>
      <c r="AC161" s="105">
        <f t="shared" ref="AC161:AC175" si="107">RANK(AB161, AB$147:AB$176)</f>
        <v>16</v>
      </c>
      <c r="AD161" s="403"/>
      <c r="AE161" s="105">
        <v>4</v>
      </c>
      <c r="AF161" s="175">
        <v>2480.9523809523789</v>
      </c>
      <c r="AG161" s="202">
        <v>620.23809523809473</v>
      </c>
      <c r="AH161" s="105">
        <f t="shared" ref="AH161:AH175" si="108">RANK(AG161, AG$147:AG$176)</f>
        <v>15</v>
      </c>
      <c r="AI161" s="403"/>
      <c r="AJ161" s="105">
        <v>4</v>
      </c>
      <c r="AK161" s="175">
        <v>2487.5409836065564</v>
      </c>
      <c r="AL161" s="202">
        <v>621.88524590163911</v>
      </c>
      <c r="AM161" s="105">
        <f t="shared" ref="AM161:AM175" si="109">RANK(AL161, AL$147:AL$176)</f>
        <v>14</v>
      </c>
      <c r="AN161" s="403"/>
      <c r="AO161" s="105">
        <v>4</v>
      </c>
      <c r="AP161" s="175">
        <v>2492.3684210526312</v>
      </c>
      <c r="AQ161" s="175">
        <v>623.0921052631578</v>
      </c>
      <c r="AR161" s="105">
        <f t="shared" ref="AR161:AR175" si="110">RANK(AQ161, AQ$147:AQ$176)</f>
        <v>16</v>
      </c>
      <c r="AS161" s="403"/>
      <c r="AT161" s="105"/>
      <c r="AU161" s="175"/>
      <c r="AV161" s="175"/>
      <c r="AW161" s="105" t="e">
        <f t="shared" ref="AW161:AW175" si="111">RANK(AV161, AV$147:AV$176)</f>
        <v>#N/A</v>
      </c>
      <c r="AX161" s="403"/>
    </row>
    <row r="162" spans="2:50">
      <c r="B162" s="398"/>
      <c r="C162" s="105">
        <v>16</v>
      </c>
      <c r="D162" s="105" t="s">
        <v>226</v>
      </c>
      <c r="E162" s="105">
        <v>4</v>
      </c>
      <c r="F162" s="105">
        <v>3600</v>
      </c>
      <c r="G162" s="105">
        <v>900</v>
      </c>
      <c r="H162" s="403"/>
      <c r="I162" s="175">
        <f t="shared" si="102"/>
        <v>4</v>
      </c>
      <c r="J162" s="175">
        <f t="shared" si="103"/>
        <v>2736.0763532763572</v>
      </c>
      <c r="K162" s="202">
        <f t="shared" si="104"/>
        <v>684.01908831908929</v>
      </c>
      <c r="L162" s="385"/>
      <c r="M162" s="175">
        <f>RANK(K162, K$147:$K$176)</f>
        <v>12</v>
      </c>
      <c r="N162" s="387"/>
      <c r="O162" s="387"/>
      <c r="P162" s="105">
        <v>4</v>
      </c>
      <c r="Q162" s="175">
        <v>2706.6666666666761</v>
      </c>
      <c r="R162" s="202">
        <v>676.66666666666902</v>
      </c>
      <c r="S162" s="105">
        <f t="shared" si="105"/>
        <v>11</v>
      </c>
      <c r="T162" s="403"/>
      <c r="U162" s="105">
        <v>4</v>
      </c>
      <c r="V162" s="175">
        <v>2875.1999999999921</v>
      </c>
      <c r="W162" s="202">
        <v>718.79999999999802</v>
      </c>
      <c r="X162" s="105">
        <f t="shared" si="106"/>
        <v>11</v>
      </c>
      <c r="Y162" s="403"/>
      <c r="Z162" s="105">
        <v>4</v>
      </c>
      <c r="AA162" s="175">
        <v>2769.5999999999922</v>
      </c>
      <c r="AB162" s="202">
        <v>692.39999999999804</v>
      </c>
      <c r="AC162" s="105">
        <f t="shared" si="107"/>
        <v>12</v>
      </c>
      <c r="AD162" s="403"/>
      <c r="AE162" s="105">
        <v>4</v>
      </c>
      <c r="AF162" s="175">
        <v>2720.7692307692405</v>
      </c>
      <c r="AG162" s="202">
        <v>680.19230769231012</v>
      </c>
      <c r="AH162" s="105">
        <f t="shared" si="108"/>
        <v>11</v>
      </c>
      <c r="AI162" s="403"/>
      <c r="AJ162" s="105">
        <v>4</v>
      </c>
      <c r="AK162" s="175">
        <v>2762.2222222222322</v>
      </c>
      <c r="AL162" s="202">
        <v>690.55555555555804</v>
      </c>
      <c r="AM162" s="105">
        <f t="shared" si="109"/>
        <v>11</v>
      </c>
      <c r="AN162" s="403"/>
      <c r="AO162" s="105">
        <v>4</v>
      </c>
      <c r="AP162" s="175">
        <v>2582.0000000000091</v>
      </c>
      <c r="AQ162" s="175">
        <v>645.50000000000227</v>
      </c>
      <c r="AR162" s="105">
        <f t="shared" si="110"/>
        <v>12</v>
      </c>
      <c r="AS162" s="403"/>
      <c r="AT162" s="105"/>
      <c r="AU162" s="175"/>
      <c r="AV162" s="175"/>
      <c r="AW162" s="105" t="e">
        <f t="shared" si="111"/>
        <v>#N/A</v>
      </c>
      <c r="AX162" s="403"/>
    </row>
    <row r="163" spans="2:50">
      <c r="B163" s="398"/>
      <c r="C163" s="105">
        <v>17</v>
      </c>
      <c r="D163" s="105" t="s">
        <v>227</v>
      </c>
      <c r="E163" s="105">
        <v>4</v>
      </c>
      <c r="F163" s="105">
        <v>3000</v>
      </c>
      <c r="G163" s="105">
        <v>750</v>
      </c>
      <c r="H163" s="403"/>
      <c r="I163" s="175">
        <f t="shared" si="102"/>
        <v>3</v>
      </c>
      <c r="J163" s="175">
        <f t="shared" si="103"/>
        <v>2269.9330049261093</v>
      </c>
      <c r="K163" s="202">
        <f t="shared" si="104"/>
        <v>756.64433497536982</v>
      </c>
      <c r="L163" s="385"/>
      <c r="M163" s="175">
        <f>RANK(K163, K$147:$K$176)</f>
        <v>8</v>
      </c>
      <c r="N163" s="387"/>
      <c r="O163" s="387"/>
      <c r="P163" s="105">
        <v>3</v>
      </c>
      <c r="Q163" s="175">
        <v>2149.6551724137889</v>
      </c>
      <c r="R163" s="202">
        <v>716.55172413792968</v>
      </c>
      <c r="S163" s="105">
        <f t="shared" si="105"/>
        <v>10</v>
      </c>
      <c r="T163" s="403"/>
      <c r="U163" s="105">
        <v>3</v>
      </c>
      <c r="V163" s="175">
        <v>2471.9999999999927</v>
      </c>
      <c r="W163" s="202">
        <v>823.99999999999761</v>
      </c>
      <c r="X163" s="105">
        <f t="shared" si="106"/>
        <v>4</v>
      </c>
      <c r="Y163" s="403"/>
      <c r="Z163" s="105">
        <v>3</v>
      </c>
      <c r="AA163" s="175">
        <v>2392.7999999999934</v>
      </c>
      <c r="AB163" s="202">
        <v>797.59999999999775</v>
      </c>
      <c r="AC163" s="105">
        <f t="shared" si="107"/>
        <v>7</v>
      </c>
      <c r="AD163" s="403"/>
      <c r="AE163" s="105">
        <v>3</v>
      </c>
      <c r="AF163" s="175">
        <v>2177.1428571428646</v>
      </c>
      <c r="AG163" s="202">
        <v>725.71428571428817</v>
      </c>
      <c r="AH163" s="105">
        <f t="shared" si="108"/>
        <v>8</v>
      </c>
      <c r="AI163" s="403"/>
      <c r="AJ163" s="105">
        <v>3</v>
      </c>
      <c r="AK163" s="175">
        <v>2158.0000000000077</v>
      </c>
      <c r="AL163" s="202">
        <v>719.33333333333587</v>
      </c>
      <c r="AM163" s="105">
        <f t="shared" si="109"/>
        <v>9</v>
      </c>
      <c r="AN163" s="403"/>
      <c r="AO163" s="105">
        <v>3</v>
      </c>
      <c r="AP163" s="175">
        <v>2270.0000000000082</v>
      </c>
      <c r="AQ163" s="175">
        <v>756.66666666666936</v>
      </c>
      <c r="AR163" s="105">
        <f t="shared" si="110"/>
        <v>7</v>
      </c>
      <c r="AS163" s="403"/>
      <c r="AT163" s="105"/>
      <c r="AU163" s="175"/>
      <c r="AV163" s="175"/>
      <c r="AW163" s="105" t="e">
        <f t="shared" si="111"/>
        <v>#N/A</v>
      </c>
      <c r="AX163" s="403"/>
    </row>
    <row r="164" spans="2:50">
      <c r="B164" s="398"/>
      <c r="C164" s="105">
        <v>18</v>
      </c>
      <c r="D164" s="105" t="s">
        <v>228</v>
      </c>
      <c r="E164" s="105">
        <v>4</v>
      </c>
      <c r="F164" s="105">
        <v>3000</v>
      </c>
      <c r="G164" s="105">
        <v>750</v>
      </c>
      <c r="H164" s="403"/>
      <c r="I164" s="175">
        <f t="shared" si="102"/>
        <v>4</v>
      </c>
      <c r="J164" s="175">
        <f t="shared" si="103"/>
        <v>2070.8872352285357</v>
      </c>
      <c r="K164" s="202">
        <f t="shared" si="104"/>
        <v>517.72180880713393</v>
      </c>
      <c r="L164" s="385"/>
      <c r="M164" s="175">
        <f>RANK(K164, K$147:$K$176)</f>
        <v>19</v>
      </c>
      <c r="N164" s="387"/>
      <c r="O164" s="387"/>
      <c r="P164" s="105">
        <v>4</v>
      </c>
      <c r="Q164" s="175">
        <v>2162.5000000000077</v>
      </c>
      <c r="R164" s="202">
        <v>540.62500000000193</v>
      </c>
      <c r="S164" s="105">
        <f t="shared" si="105"/>
        <v>19</v>
      </c>
      <c r="T164" s="403"/>
      <c r="U164" s="105">
        <v>4</v>
      </c>
      <c r="V164" s="175">
        <v>1987.1999999999944</v>
      </c>
      <c r="W164" s="202">
        <v>496.79999999999859</v>
      </c>
      <c r="X164" s="105">
        <f t="shared" si="106"/>
        <v>20</v>
      </c>
      <c r="Y164" s="403"/>
      <c r="Z164" s="105">
        <v>4</v>
      </c>
      <c r="AA164" s="175">
        <v>1893.5999999999947</v>
      </c>
      <c r="AB164" s="202">
        <v>473.39999999999867</v>
      </c>
      <c r="AC164" s="105">
        <f t="shared" si="107"/>
        <v>20</v>
      </c>
      <c r="AD164" s="403"/>
      <c r="AE164" s="105">
        <v>4</v>
      </c>
      <c r="AF164" s="175">
        <v>2120.8695652173988</v>
      </c>
      <c r="AG164" s="202">
        <v>530.21739130434969</v>
      </c>
      <c r="AH164" s="105">
        <f t="shared" si="108"/>
        <v>19</v>
      </c>
      <c r="AI164" s="403"/>
      <c r="AJ164" s="105">
        <v>4</v>
      </c>
      <c r="AK164" s="175">
        <v>2174.9999999999786</v>
      </c>
      <c r="AL164" s="202">
        <v>543.74999999999466</v>
      </c>
      <c r="AM164" s="105">
        <f t="shared" si="109"/>
        <v>19</v>
      </c>
      <c r="AN164" s="403"/>
      <c r="AO164" s="105">
        <v>4</v>
      </c>
      <c r="AP164" s="175">
        <v>2086.1538461538407</v>
      </c>
      <c r="AQ164" s="175">
        <v>521.53846153846018</v>
      </c>
      <c r="AR164" s="105">
        <f t="shared" si="110"/>
        <v>18</v>
      </c>
      <c r="AS164" s="403"/>
      <c r="AT164" s="105"/>
      <c r="AU164" s="175"/>
      <c r="AV164" s="175"/>
      <c r="AW164" s="105" t="e">
        <f t="shared" si="111"/>
        <v>#N/A</v>
      </c>
      <c r="AX164" s="403"/>
    </row>
    <row r="165" spans="2:50">
      <c r="B165" s="398"/>
      <c r="C165" s="105">
        <v>19</v>
      </c>
      <c r="D165" s="105" t="s">
        <v>230</v>
      </c>
      <c r="E165" s="105">
        <v>4</v>
      </c>
      <c r="F165" s="105">
        <v>3600</v>
      </c>
      <c r="G165" s="105">
        <v>900</v>
      </c>
      <c r="H165" s="403"/>
      <c r="I165" s="175">
        <f t="shared" si="102"/>
        <v>4</v>
      </c>
      <c r="J165" s="175">
        <f t="shared" si="103"/>
        <v>2496.5035523321058</v>
      </c>
      <c r="K165" s="202">
        <f t="shared" si="104"/>
        <v>624.12588808302644</v>
      </c>
      <c r="L165" s="385"/>
      <c r="M165" s="175">
        <f>RANK(K165, K$147:$K$176)</f>
        <v>13</v>
      </c>
      <c r="N165" s="387"/>
      <c r="O165" s="387"/>
      <c r="P165" s="105">
        <v>4</v>
      </c>
      <c r="Q165" s="175">
        <v>2480.625</v>
      </c>
      <c r="R165" s="202">
        <v>620.15625</v>
      </c>
      <c r="S165" s="105">
        <f t="shared" si="105"/>
        <v>15</v>
      </c>
      <c r="T165" s="403"/>
      <c r="U165" s="105">
        <v>4</v>
      </c>
      <c r="V165" s="175">
        <v>2606.0000006067567</v>
      </c>
      <c r="W165" s="202">
        <v>651.50000015168916</v>
      </c>
      <c r="X165" s="105">
        <f t="shared" si="106"/>
        <v>13</v>
      </c>
      <c r="Y165" s="403"/>
      <c r="Z165" s="105">
        <v>4</v>
      </c>
      <c r="AA165" s="175">
        <v>2321.9999997296836</v>
      </c>
      <c r="AB165" s="202">
        <v>580.49999993242091</v>
      </c>
      <c r="AC165" s="105">
        <f t="shared" si="107"/>
        <v>18</v>
      </c>
      <c r="AD165" s="403"/>
      <c r="AE165" s="105">
        <v>4</v>
      </c>
      <c r="AF165" s="175">
        <v>2451.4285714285802</v>
      </c>
      <c r="AG165" s="202">
        <v>612.85714285714505</v>
      </c>
      <c r="AH165" s="105">
        <f t="shared" si="108"/>
        <v>16</v>
      </c>
      <c r="AI165" s="403"/>
      <c r="AJ165" s="105">
        <v>4</v>
      </c>
      <c r="AK165" s="175">
        <v>2430.967742227615</v>
      </c>
      <c r="AL165" s="202">
        <v>607.74193555690374</v>
      </c>
      <c r="AM165" s="105">
        <f t="shared" si="109"/>
        <v>17</v>
      </c>
      <c r="AN165" s="403"/>
      <c r="AO165" s="105">
        <v>4</v>
      </c>
      <c r="AP165" s="175">
        <v>2688</v>
      </c>
      <c r="AQ165" s="175">
        <v>672</v>
      </c>
      <c r="AR165" s="105">
        <f t="shared" si="110"/>
        <v>11</v>
      </c>
      <c r="AS165" s="403"/>
      <c r="AT165" s="105"/>
      <c r="AU165" s="175"/>
      <c r="AV165" s="175"/>
      <c r="AW165" s="105" t="e">
        <f t="shared" si="111"/>
        <v>#N/A</v>
      </c>
      <c r="AX165" s="403"/>
    </row>
    <row r="166" spans="2:50">
      <c r="B166" s="398"/>
      <c r="C166" s="105">
        <v>20</v>
      </c>
      <c r="D166" s="105" t="s">
        <v>232</v>
      </c>
      <c r="E166" s="105">
        <v>3</v>
      </c>
      <c r="F166" s="105">
        <v>2700</v>
      </c>
      <c r="G166" s="105">
        <v>900</v>
      </c>
      <c r="H166" s="403"/>
      <c r="I166" s="175">
        <f t="shared" si="102"/>
        <v>3</v>
      </c>
      <c r="J166" s="175">
        <f t="shared" si="103"/>
        <v>2684.1348957222726</v>
      </c>
      <c r="K166" s="202">
        <f t="shared" si="104"/>
        <v>894.71163190742425</v>
      </c>
      <c r="L166" s="385"/>
      <c r="M166" s="175">
        <f>RANK(K166, K$147:$K$176)</f>
        <v>4</v>
      </c>
      <c r="N166" s="387"/>
      <c r="O166" s="387"/>
      <c r="P166" s="105">
        <v>3</v>
      </c>
      <c r="Q166" s="175">
        <v>2689.870129870128</v>
      </c>
      <c r="R166" s="202">
        <v>896.62337662337598</v>
      </c>
      <c r="S166" s="105">
        <f t="shared" si="105"/>
        <v>3</v>
      </c>
      <c r="T166" s="403"/>
      <c r="U166" s="105">
        <v>3</v>
      </c>
      <c r="V166" s="175">
        <v>2677.600000000004</v>
      </c>
      <c r="W166" s="202">
        <v>892.53333333333467</v>
      </c>
      <c r="X166" s="105">
        <f t="shared" si="106"/>
        <v>2</v>
      </c>
      <c r="Y166" s="403"/>
      <c r="Z166" s="105">
        <v>3</v>
      </c>
      <c r="AA166" s="175">
        <v>2670.0000000000009</v>
      </c>
      <c r="AB166" s="202">
        <v>890.00000000000034</v>
      </c>
      <c r="AC166" s="105">
        <f t="shared" si="107"/>
        <v>4</v>
      </c>
      <c r="AD166" s="403"/>
      <c r="AE166" s="105">
        <v>3</v>
      </c>
      <c r="AF166" s="175">
        <v>2690.1492537313466</v>
      </c>
      <c r="AG166" s="202">
        <v>896.71641791044885</v>
      </c>
      <c r="AH166" s="105">
        <f t="shared" si="108"/>
        <v>3</v>
      </c>
      <c r="AI166" s="403"/>
      <c r="AJ166" s="105">
        <v>3</v>
      </c>
      <c r="AK166" s="175">
        <v>2698.1538461538426</v>
      </c>
      <c r="AL166" s="202">
        <v>899.38461538461422</v>
      </c>
      <c r="AM166" s="105">
        <f t="shared" si="109"/>
        <v>2</v>
      </c>
      <c r="AN166" s="403"/>
      <c r="AO166" s="105">
        <v>3</v>
      </c>
      <c r="AP166" s="175">
        <v>2679.0361445783151</v>
      </c>
      <c r="AQ166" s="175">
        <v>893.01204819277166</v>
      </c>
      <c r="AR166" s="105">
        <f t="shared" si="110"/>
        <v>2</v>
      </c>
      <c r="AS166" s="403"/>
      <c r="AT166" s="105"/>
      <c r="AU166" s="175"/>
      <c r="AV166" s="175"/>
      <c r="AW166" s="105" t="e">
        <f t="shared" si="111"/>
        <v>#N/A</v>
      </c>
      <c r="AX166" s="403"/>
    </row>
    <row r="167" spans="2:50">
      <c r="B167" s="398"/>
      <c r="C167" s="105">
        <v>21</v>
      </c>
      <c r="D167" s="105"/>
      <c r="E167" s="105"/>
      <c r="F167" s="105"/>
      <c r="G167" s="105"/>
      <c r="H167" s="403"/>
      <c r="I167" s="105"/>
      <c r="J167" s="105"/>
      <c r="K167" s="105"/>
      <c r="L167" s="385"/>
      <c r="M167" s="175" t="e">
        <f>RANK(K167, K$147:$K$176)</f>
        <v>#N/A</v>
      </c>
      <c r="N167" s="387"/>
      <c r="O167" s="387"/>
      <c r="P167" s="105"/>
      <c r="Q167" s="175"/>
      <c r="R167" s="202"/>
      <c r="S167" s="105" t="e">
        <f t="shared" si="105"/>
        <v>#N/A</v>
      </c>
      <c r="T167" s="403"/>
      <c r="U167" s="105"/>
      <c r="V167" s="175"/>
      <c r="W167" s="202"/>
      <c r="X167" s="105" t="e">
        <f t="shared" si="106"/>
        <v>#N/A</v>
      </c>
      <c r="Y167" s="403"/>
      <c r="Z167" s="105"/>
      <c r="AA167" s="175"/>
      <c r="AB167" s="202"/>
      <c r="AC167" s="105" t="e">
        <f t="shared" si="107"/>
        <v>#N/A</v>
      </c>
      <c r="AD167" s="403"/>
      <c r="AE167" s="105"/>
      <c r="AF167" s="175"/>
      <c r="AG167" s="202"/>
      <c r="AH167" s="105" t="e">
        <f t="shared" si="108"/>
        <v>#N/A</v>
      </c>
      <c r="AI167" s="403"/>
      <c r="AJ167" s="105"/>
      <c r="AK167" s="175"/>
      <c r="AL167" s="202"/>
      <c r="AM167" s="105" t="e">
        <f t="shared" si="109"/>
        <v>#N/A</v>
      </c>
      <c r="AN167" s="403"/>
      <c r="AO167" s="105"/>
      <c r="AP167" s="175"/>
      <c r="AQ167" s="175"/>
      <c r="AR167" s="105" t="e">
        <f t="shared" si="110"/>
        <v>#N/A</v>
      </c>
      <c r="AS167" s="403"/>
      <c r="AT167" s="105"/>
      <c r="AU167" s="175"/>
      <c r="AV167" s="175"/>
      <c r="AW167" s="105" t="e">
        <f t="shared" si="111"/>
        <v>#N/A</v>
      </c>
      <c r="AX167" s="403"/>
    </row>
    <row r="168" spans="2:50">
      <c r="B168" s="398"/>
      <c r="C168" s="105">
        <v>22</v>
      </c>
      <c r="D168" s="105"/>
      <c r="E168" s="105"/>
      <c r="F168" s="105"/>
      <c r="G168" s="105"/>
      <c r="H168" s="403"/>
      <c r="I168" s="105"/>
      <c r="J168" s="105"/>
      <c r="K168" s="105"/>
      <c r="L168" s="385"/>
      <c r="M168" s="175" t="e">
        <f>RANK(K168, K$147:$K$176)</f>
        <v>#N/A</v>
      </c>
      <c r="N168" s="387"/>
      <c r="O168" s="387"/>
      <c r="P168" s="105"/>
      <c r="Q168" s="175"/>
      <c r="R168" s="202"/>
      <c r="S168" s="105" t="e">
        <f t="shared" si="105"/>
        <v>#N/A</v>
      </c>
      <c r="T168" s="403"/>
      <c r="U168" s="105"/>
      <c r="V168" s="175"/>
      <c r="W168" s="202"/>
      <c r="X168" s="105" t="e">
        <f t="shared" si="106"/>
        <v>#N/A</v>
      </c>
      <c r="Y168" s="403"/>
      <c r="Z168" s="105"/>
      <c r="AA168" s="175"/>
      <c r="AB168" s="202"/>
      <c r="AC168" s="105" t="e">
        <f t="shared" si="107"/>
        <v>#N/A</v>
      </c>
      <c r="AD168" s="403"/>
      <c r="AE168" s="105"/>
      <c r="AF168" s="175"/>
      <c r="AG168" s="202"/>
      <c r="AH168" s="105" t="e">
        <f t="shared" si="108"/>
        <v>#N/A</v>
      </c>
      <c r="AI168" s="403"/>
      <c r="AJ168" s="105"/>
      <c r="AK168" s="175"/>
      <c r="AL168" s="202"/>
      <c r="AM168" s="105" t="e">
        <f t="shared" si="109"/>
        <v>#N/A</v>
      </c>
      <c r="AN168" s="403"/>
      <c r="AO168" s="105"/>
      <c r="AP168" s="175"/>
      <c r="AQ168" s="175"/>
      <c r="AR168" s="105" t="e">
        <f t="shared" si="110"/>
        <v>#N/A</v>
      </c>
      <c r="AS168" s="403"/>
      <c r="AT168" s="105"/>
      <c r="AU168" s="175"/>
      <c r="AV168" s="175"/>
      <c r="AW168" s="105" t="e">
        <f t="shared" si="111"/>
        <v>#N/A</v>
      </c>
      <c r="AX168" s="403"/>
    </row>
    <row r="169" spans="2:50">
      <c r="B169" s="398"/>
      <c r="C169" s="105">
        <v>23</v>
      </c>
      <c r="D169" s="105"/>
      <c r="E169" s="105"/>
      <c r="F169" s="105"/>
      <c r="G169" s="105"/>
      <c r="H169" s="403"/>
      <c r="I169" s="105"/>
      <c r="J169" s="105"/>
      <c r="K169" s="105"/>
      <c r="L169" s="385"/>
      <c r="M169" s="175" t="e">
        <f>RANK(K169, K$147:$K$176)</f>
        <v>#N/A</v>
      </c>
      <c r="N169" s="387"/>
      <c r="O169" s="387"/>
      <c r="P169" s="105"/>
      <c r="Q169" s="105"/>
      <c r="R169" s="202"/>
      <c r="S169" s="105" t="e">
        <f t="shared" si="105"/>
        <v>#N/A</v>
      </c>
      <c r="T169" s="403"/>
      <c r="U169" s="105"/>
      <c r="V169" s="175"/>
      <c r="W169" s="202"/>
      <c r="X169" s="105" t="e">
        <f t="shared" si="106"/>
        <v>#N/A</v>
      </c>
      <c r="Y169" s="403"/>
      <c r="Z169" s="105"/>
      <c r="AA169" s="175"/>
      <c r="AB169" s="202"/>
      <c r="AC169" s="105" t="e">
        <f t="shared" si="107"/>
        <v>#N/A</v>
      </c>
      <c r="AD169" s="403"/>
      <c r="AE169" s="105"/>
      <c r="AF169" s="175"/>
      <c r="AG169" s="202"/>
      <c r="AH169" s="105" t="e">
        <f t="shared" si="108"/>
        <v>#N/A</v>
      </c>
      <c r="AI169" s="403"/>
      <c r="AJ169" s="105"/>
      <c r="AK169" s="175"/>
      <c r="AL169" s="202"/>
      <c r="AM169" s="105" t="e">
        <f t="shared" si="109"/>
        <v>#N/A</v>
      </c>
      <c r="AN169" s="403"/>
      <c r="AO169" s="105"/>
      <c r="AP169" s="175"/>
      <c r="AQ169" s="175"/>
      <c r="AR169" s="105" t="e">
        <f t="shared" si="110"/>
        <v>#N/A</v>
      </c>
      <c r="AS169" s="403"/>
      <c r="AT169" s="105"/>
      <c r="AU169" s="175"/>
      <c r="AV169" s="175"/>
      <c r="AW169" s="105" t="e">
        <f t="shared" si="111"/>
        <v>#N/A</v>
      </c>
      <c r="AX169" s="403"/>
    </row>
    <row r="170" spans="2:50">
      <c r="B170" s="398"/>
      <c r="C170" s="105">
        <v>24</v>
      </c>
      <c r="D170" s="105"/>
      <c r="E170" s="105"/>
      <c r="F170" s="105"/>
      <c r="G170" s="105"/>
      <c r="H170" s="403"/>
      <c r="I170" s="105"/>
      <c r="J170" s="105"/>
      <c r="K170" s="105"/>
      <c r="L170" s="385"/>
      <c r="M170" s="175" t="e">
        <f>RANK(K170, K$147:$K$176)</f>
        <v>#N/A</v>
      </c>
      <c r="N170" s="387"/>
      <c r="O170" s="387"/>
      <c r="P170" s="105"/>
      <c r="Q170" s="105"/>
      <c r="R170" s="105"/>
      <c r="S170" s="105" t="e">
        <f t="shared" si="105"/>
        <v>#N/A</v>
      </c>
      <c r="T170" s="403"/>
      <c r="U170" s="105"/>
      <c r="V170" s="105"/>
      <c r="W170" s="105"/>
      <c r="X170" s="105" t="e">
        <f t="shared" si="106"/>
        <v>#N/A</v>
      </c>
      <c r="Y170" s="403"/>
      <c r="Z170" s="105"/>
      <c r="AA170" s="105"/>
      <c r="AB170" s="105"/>
      <c r="AC170" s="105" t="e">
        <f t="shared" si="107"/>
        <v>#N/A</v>
      </c>
      <c r="AD170" s="403"/>
      <c r="AE170" s="105"/>
      <c r="AF170" s="105"/>
      <c r="AG170" s="105"/>
      <c r="AH170" s="105" t="e">
        <f t="shared" si="108"/>
        <v>#N/A</v>
      </c>
      <c r="AI170" s="403"/>
      <c r="AJ170" s="105"/>
      <c r="AK170" s="105"/>
      <c r="AL170" s="105"/>
      <c r="AM170" s="105" t="e">
        <f t="shared" si="109"/>
        <v>#N/A</v>
      </c>
      <c r="AN170" s="403"/>
      <c r="AO170" s="105"/>
      <c r="AP170" s="105"/>
      <c r="AQ170" s="105"/>
      <c r="AR170" s="105" t="e">
        <f t="shared" si="110"/>
        <v>#N/A</v>
      </c>
      <c r="AS170" s="403"/>
      <c r="AT170" s="105"/>
      <c r="AU170" s="105"/>
      <c r="AV170" s="105"/>
      <c r="AW170" s="105" t="e">
        <f t="shared" si="111"/>
        <v>#N/A</v>
      </c>
      <c r="AX170" s="403"/>
    </row>
    <row r="171" spans="2:50">
      <c r="B171" s="398"/>
      <c r="C171" s="105">
        <v>25</v>
      </c>
      <c r="D171" s="105"/>
      <c r="E171" s="105"/>
      <c r="F171" s="105"/>
      <c r="G171" s="105"/>
      <c r="H171" s="403"/>
      <c r="I171" s="105"/>
      <c r="J171" s="105"/>
      <c r="K171" s="105"/>
      <c r="L171" s="385"/>
      <c r="M171" s="175" t="e">
        <f>RANK(K171, K$147:$K$176)</f>
        <v>#N/A</v>
      </c>
      <c r="N171" s="387"/>
      <c r="O171" s="387"/>
      <c r="P171" s="105"/>
      <c r="Q171" s="105"/>
      <c r="R171" s="105"/>
      <c r="S171" s="105" t="e">
        <f t="shared" si="105"/>
        <v>#N/A</v>
      </c>
      <c r="T171" s="403"/>
      <c r="U171" s="105"/>
      <c r="V171" s="105"/>
      <c r="W171" s="105"/>
      <c r="X171" s="105" t="e">
        <f t="shared" si="106"/>
        <v>#N/A</v>
      </c>
      <c r="Y171" s="403"/>
      <c r="Z171" s="105"/>
      <c r="AA171" s="105"/>
      <c r="AB171" s="105"/>
      <c r="AC171" s="105" t="e">
        <f t="shared" si="107"/>
        <v>#N/A</v>
      </c>
      <c r="AD171" s="403"/>
      <c r="AE171" s="105"/>
      <c r="AF171" s="105"/>
      <c r="AG171" s="105"/>
      <c r="AH171" s="105" t="e">
        <f t="shared" si="108"/>
        <v>#N/A</v>
      </c>
      <c r="AI171" s="403"/>
      <c r="AJ171" s="105"/>
      <c r="AK171" s="105"/>
      <c r="AL171" s="105"/>
      <c r="AM171" s="105" t="e">
        <f t="shared" si="109"/>
        <v>#N/A</v>
      </c>
      <c r="AN171" s="403"/>
      <c r="AO171" s="105"/>
      <c r="AP171" s="105"/>
      <c r="AQ171" s="105"/>
      <c r="AR171" s="105" t="e">
        <f t="shared" si="110"/>
        <v>#N/A</v>
      </c>
      <c r="AS171" s="403"/>
      <c r="AT171" s="105"/>
      <c r="AU171" s="105"/>
      <c r="AV171" s="105"/>
      <c r="AW171" s="105" t="e">
        <f t="shared" si="111"/>
        <v>#N/A</v>
      </c>
      <c r="AX171" s="403"/>
    </row>
    <row r="172" spans="2:50">
      <c r="B172" s="398"/>
      <c r="C172" s="105">
        <v>26</v>
      </c>
      <c r="D172" s="105"/>
      <c r="E172" s="105"/>
      <c r="F172" s="105"/>
      <c r="G172" s="105"/>
      <c r="H172" s="403"/>
      <c r="I172" s="105"/>
      <c r="J172" s="105"/>
      <c r="K172" s="105"/>
      <c r="L172" s="385"/>
      <c r="M172" s="175" t="e">
        <f>RANK(K172, K$147:$K$176)</f>
        <v>#N/A</v>
      </c>
      <c r="N172" s="387"/>
      <c r="O172" s="387"/>
      <c r="P172" s="105"/>
      <c r="Q172" s="105"/>
      <c r="R172" s="105"/>
      <c r="S172" s="105" t="e">
        <f t="shared" si="105"/>
        <v>#N/A</v>
      </c>
      <c r="T172" s="403"/>
      <c r="U172" s="105"/>
      <c r="V172" s="105"/>
      <c r="W172" s="105"/>
      <c r="X172" s="105" t="e">
        <f t="shared" si="106"/>
        <v>#N/A</v>
      </c>
      <c r="Y172" s="403"/>
      <c r="Z172" s="105"/>
      <c r="AA172" s="105"/>
      <c r="AB172" s="105"/>
      <c r="AC172" s="105" t="e">
        <f t="shared" si="107"/>
        <v>#N/A</v>
      </c>
      <c r="AD172" s="403"/>
      <c r="AE172" s="105"/>
      <c r="AF172" s="105"/>
      <c r="AG172" s="105"/>
      <c r="AH172" s="105" t="e">
        <f t="shared" si="108"/>
        <v>#N/A</v>
      </c>
      <c r="AI172" s="403"/>
      <c r="AJ172" s="105"/>
      <c r="AK172" s="105"/>
      <c r="AL172" s="105"/>
      <c r="AM172" s="105" t="e">
        <f t="shared" si="109"/>
        <v>#N/A</v>
      </c>
      <c r="AN172" s="403"/>
      <c r="AO172" s="105"/>
      <c r="AP172" s="105"/>
      <c r="AQ172" s="105"/>
      <c r="AR172" s="105" t="e">
        <f t="shared" si="110"/>
        <v>#N/A</v>
      </c>
      <c r="AS172" s="403"/>
      <c r="AT172" s="105"/>
      <c r="AU172" s="105"/>
      <c r="AV172" s="105"/>
      <c r="AW172" s="105" t="e">
        <f t="shared" si="111"/>
        <v>#N/A</v>
      </c>
      <c r="AX172" s="403"/>
    </row>
    <row r="173" spans="2:50">
      <c r="B173" s="398"/>
      <c r="C173" s="105">
        <v>27</v>
      </c>
      <c r="D173" s="105"/>
      <c r="E173" s="105"/>
      <c r="F173" s="105"/>
      <c r="G173" s="105"/>
      <c r="H173" s="403"/>
      <c r="I173" s="105"/>
      <c r="J173" s="105"/>
      <c r="K173" s="105"/>
      <c r="L173" s="385"/>
      <c r="M173" s="175" t="e">
        <f>RANK(K173, K$147:$K$176)</f>
        <v>#N/A</v>
      </c>
      <c r="N173" s="387"/>
      <c r="O173" s="387"/>
      <c r="P173" s="105"/>
      <c r="Q173" s="105"/>
      <c r="R173" s="105"/>
      <c r="S173" s="105" t="e">
        <f t="shared" si="105"/>
        <v>#N/A</v>
      </c>
      <c r="T173" s="403"/>
      <c r="U173" s="105"/>
      <c r="V173" s="105"/>
      <c r="W173" s="105"/>
      <c r="X173" s="105" t="e">
        <f t="shared" si="106"/>
        <v>#N/A</v>
      </c>
      <c r="Y173" s="403"/>
      <c r="Z173" s="105"/>
      <c r="AA173" s="105"/>
      <c r="AB173" s="105"/>
      <c r="AC173" s="105" t="e">
        <f t="shared" si="107"/>
        <v>#N/A</v>
      </c>
      <c r="AD173" s="403"/>
      <c r="AE173" s="105"/>
      <c r="AF173" s="105"/>
      <c r="AG173" s="105"/>
      <c r="AH173" s="105" t="e">
        <f t="shared" si="108"/>
        <v>#N/A</v>
      </c>
      <c r="AI173" s="403"/>
      <c r="AJ173" s="105"/>
      <c r="AK173" s="105"/>
      <c r="AL173" s="105"/>
      <c r="AM173" s="105" t="e">
        <f t="shared" si="109"/>
        <v>#N/A</v>
      </c>
      <c r="AN173" s="403"/>
      <c r="AO173" s="105"/>
      <c r="AP173" s="105"/>
      <c r="AQ173" s="105"/>
      <c r="AR173" s="105" t="e">
        <f t="shared" si="110"/>
        <v>#N/A</v>
      </c>
      <c r="AS173" s="403"/>
      <c r="AT173" s="105"/>
      <c r="AU173" s="105"/>
      <c r="AV173" s="105"/>
      <c r="AW173" s="105" t="e">
        <f t="shared" si="111"/>
        <v>#N/A</v>
      </c>
      <c r="AX173" s="403"/>
    </row>
    <row r="174" spans="2:50">
      <c r="B174" s="398"/>
      <c r="C174" s="105">
        <v>28</v>
      </c>
      <c r="D174" s="105"/>
      <c r="E174" s="105"/>
      <c r="F174" s="105"/>
      <c r="G174" s="105"/>
      <c r="H174" s="403"/>
      <c r="I174" s="105"/>
      <c r="J174" s="105"/>
      <c r="K174" s="105"/>
      <c r="L174" s="385"/>
      <c r="M174" s="175" t="e">
        <f>RANK(K174, K$147:$K$176)</f>
        <v>#N/A</v>
      </c>
      <c r="N174" s="387"/>
      <c r="O174" s="387"/>
      <c r="P174" s="105"/>
      <c r="Q174" s="105"/>
      <c r="R174" s="105"/>
      <c r="S174" s="105" t="e">
        <f t="shared" si="105"/>
        <v>#N/A</v>
      </c>
      <c r="T174" s="403"/>
      <c r="U174" s="105"/>
      <c r="V174" s="105"/>
      <c r="W174" s="105"/>
      <c r="X174" s="105" t="e">
        <f t="shared" si="106"/>
        <v>#N/A</v>
      </c>
      <c r="Y174" s="403"/>
      <c r="Z174" s="105"/>
      <c r="AA174" s="105"/>
      <c r="AB174" s="105"/>
      <c r="AC174" s="105" t="e">
        <f t="shared" si="107"/>
        <v>#N/A</v>
      </c>
      <c r="AD174" s="403"/>
      <c r="AE174" s="105"/>
      <c r="AF174" s="105"/>
      <c r="AG174" s="105"/>
      <c r="AH174" s="105" t="e">
        <f t="shared" si="108"/>
        <v>#N/A</v>
      </c>
      <c r="AI174" s="403"/>
      <c r="AJ174" s="105"/>
      <c r="AK174" s="105"/>
      <c r="AL174" s="105"/>
      <c r="AM174" s="105" t="e">
        <f t="shared" si="109"/>
        <v>#N/A</v>
      </c>
      <c r="AN174" s="403"/>
      <c r="AO174" s="105"/>
      <c r="AP174" s="105"/>
      <c r="AQ174" s="105"/>
      <c r="AR174" s="105" t="e">
        <f t="shared" si="110"/>
        <v>#N/A</v>
      </c>
      <c r="AS174" s="403"/>
      <c r="AT174" s="105"/>
      <c r="AU174" s="105"/>
      <c r="AV174" s="105"/>
      <c r="AW174" s="105" t="e">
        <f t="shared" si="111"/>
        <v>#N/A</v>
      </c>
      <c r="AX174" s="403"/>
    </row>
    <row r="175" spans="2:50">
      <c r="B175" s="398"/>
      <c r="C175" s="105">
        <v>29</v>
      </c>
      <c r="D175" s="105"/>
      <c r="E175" s="105"/>
      <c r="F175" s="105"/>
      <c r="G175" s="105"/>
      <c r="H175" s="403"/>
      <c r="I175" s="105"/>
      <c r="J175" s="105"/>
      <c r="K175" s="105"/>
      <c r="L175" s="385"/>
      <c r="M175" s="175" t="e">
        <f>RANK(K175, K$147:$K$176)</f>
        <v>#N/A</v>
      </c>
      <c r="N175" s="387"/>
      <c r="O175" s="387"/>
      <c r="P175" s="105"/>
      <c r="Q175" s="105"/>
      <c r="R175" s="105"/>
      <c r="S175" s="105" t="e">
        <f t="shared" si="105"/>
        <v>#N/A</v>
      </c>
      <c r="T175" s="403"/>
      <c r="U175" s="105"/>
      <c r="V175" s="105"/>
      <c r="W175" s="105"/>
      <c r="X175" s="105" t="e">
        <f t="shared" si="106"/>
        <v>#N/A</v>
      </c>
      <c r="Y175" s="403"/>
      <c r="Z175" s="105"/>
      <c r="AA175" s="105"/>
      <c r="AB175" s="105"/>
      <c r="AC175" s="105" t="e">
        <f t="shared" si="107"/>
        <v>#N/A</v>
      </c>
      <c r="AD175" s="403"/>
      <c r="AE175" s="105"/>
      <c r="AF175" s="105"/>
      <c r="AG175" s="105"/>
      <c r="AH175" s="105" t="e">
        <f t="shared" si="108"/>
        <v>#N/A</v>
      </c>
      <c r="AI175" s="403"/>
      <c r="AJ175" s="105"/>
      <c r="AK175" s="105"/>
      <c r="AL175" s="105"/>
      <c r="AM175" s="105" t="e">
        <f t="shared" si="109"/>
        <v>#N/A</v>
      </c>
      <c r="AN175" s="403"/>
      <c r="AO175" s="105"/>
      <c r="AP175" s="105"/>
      <c r="AQ175" s="105"/>
      <c r="AR175" s="105" t="e">
        <f t="shared" si="110"/>
        <v>#N/A</v>
      </c>
      <c r="AS175" s="403"/>
      <c r="AT175" s="105"/>
      <c r="AU175" s="105"/>
      <c r="AV175" s="105"/>
      <c r="AW175" s="105" t="e">
        <f t="shared" si="111"/>
        <v>#N/A</v>
      </c>
      <c r="AX175" s="403"/>
    </row>
    <row r="176" spans="2:50">
      <c r="B176" s="398"/>
      <c r="C176" s="105">
        <v>30</v>
      </c>
      <c r="D176" s="105"/>
      <c r="E176" s="105"/>
      <c r="F176" s="105"/>
      <c r="G176" s="105"/>
      <c r="H176" s="404"/>
      <c r="I176" s="105"/>
      <c r="J176" s="105"/>
      <c r="K176" s="105"/>
      <c r="L176" s="386"/>
      <c r="M176" s="175" t="e">
        <f>RANK(K176, K$147:$K$176)</f>
        <v>#N/A</v>
      </c>
      <c r="N176" s="387"/>
      <c r="O176" s="387"/>
      <c r="P176" s="105"/>
      <c r="Q176" s="105"/>
      <c r="R176" s="105"/>
      <c r="S176" s="105" t="e">
        <f t="shared" si="95"/>
        <v>#N/A</v>
      </c>
      <c r="T176" s="404"/>
      <c r="U176" s="105"/>
      <c r="V176" s="105"/>
      <c r="W176" s="105"/>
      <c r="X176" s="105" t="e">
        <f t="shared" si="96"/>
        <v>#N/A</v>
      </c>
      <c r="Y176" s="404"/>
      <c r="Z176" s="105"/>
      <c r="AA176" s="105"/>
      <c r="AB176" s="105"/>
      <c r="AC176" s="105" t="e">
        <f t="shared" si="97"/>
        <v>#N/A</v>
      </c>
      <c r="AD176" s="404"/>
      <c r="AE176" s="105"/>
      <c r="AF176" s="105"/>
      <c r="AG176" s="105"/>
      <c r="AH176" s="105" t="e">
        <f t="shared" si="98"/>
        <v>#N/A</v>
      </c>
      <c r="AI176" s="404"/>
      <c r="AJ176" s="105"/>
      <c r="AK176" s="105"/>
      <c r="AL176" s="105"/>
      <c r="AM176" s="105" t="e">
        <f t="shared" si="99"/>
        <v>#N/A</v>
      </c>
      <c r="AN176" s="404"/>
      <c r="AO176" s="105"/>
      <c r="AP176" s="105"/>
      <c r="AQ176" s="105"/>
      <c r="AR176" s="105" t="e">
        <f t="shared" si="100"/>
        <v>#N/A</v>
      </c>
      <c r="AS176" s="404"/>
      <c r="AT176" s="105"/>
      <c r="AU176" s="105"/>
      <c r="AV176" s="105"/>
      <c r="AW176" s="105" t="e">
        <f t="shared" si="101"/>
        <v>#N/A</v>
      </c>
      <c r="AX176" s="404"/>
    </row>
  </sheetData>
  <mergeCells count="295"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zoomScale="50" zoomScaleNormal="50" workbookViewId="0">
      <pane xSplit="15" topLeftCell="P1" activePane="topRight" state="frozen"/>
      <selection pane="topRight" activeCell="H1" sqref="H1:H1048576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219">
        <f>AVERAGE(L7,L27,L47,L67,L87)</f>
        <v>197.63271688630809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413" t="s">
        <v>234</v>
      </c>
      <c r="C7" s="105">
        <v>1</v>
      </c>
      <c r="D7" s="105" t="s">
        <v>235</v>
      </c>
      <c r="E7" s="175">
        <v>14</v>
      </c>
      <c r="F7" s="175">
        <v>1500</v>
      </c>
      <c r="G7" s="202">
        <v>107.14285714285714</v>
      </c>
      <c r="H7" s="384">
        <f>AVERAGE(G7:G21)</f>
        <v>204.9061224489796</v>
      </c>
      <c r="I7" s="175">
        <f>AVERAGE(P7,U7,Z7,AE7,AJ7,AO7,AT7)</f>
        <v>12.75</v>
      </c>
      <c r="J7" s="175">
        <f>AVERAGE(Q7,V7,AA7,AF7,AK7,AP7,AU7)</f>
        <v>1014.0032967032968</v>
      </c>
      <c r="K7" s="202">
        <f>AVERAGE(R7,W7,AB7,AG7,AL7,AQ7,AV7)</f>
        <v>79.621132713440417</v>
      </c>
      <c r="L7" s="384">
        <f>IFERROR(AVERAGE(K7:K21),"-")</f>
        <v>188.33289226134164</v>
      </c>
      <c r="M7" s="203">
        <f>RANK(K7, K$7:$K$21)</f>
        <v>7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v>13</v>
      </c>
      <c r="AF7" s="175">
        <v>979.38461538461513</v>
      </c>
      <c r="AG7" s="175">
        <v>75.337278106508862</v>
      </c>
      <c r="AH7" s="105">
        <f>RANK(AG7, AG$7:AG$21)</f>
        <v>7</v>
      </c>
      <c r="AI7" s="412">
        <f>AVERAGE(AG7:AG21)</f>
        <v>183.16550169610588</v>
      </c>
      <c r="AJ7" s="105">
        <v>13</v>
      </c>
      <c r="AK7" s="175">
        <v>1046.0000000000011</v>
      </c>
      <c r="AL7" s="202">
        <v>80.461538461538552</v>
      </c>
      <c r="AM7" s="105">
        <f>RANK(AL7, AL$7:AL$21)</f>
        <v>7</v>
      </c>
      <c r="AN7" s="412">
        <f>AVERAGE(AL7:AL21)</f>
        <v>194.82239665096839</v>
      </c>
      <c r="AO7" s="105">
        <v>13</v>
      </c>
      <c r="AP7" s="175">
        <v>1019.1999999999992</v>
      </c>
      <c r="AQ7" s="202">
        <v>78.399999999999949</v>
      </c>
      <c r="AR7" s="105">
        <f>RANK(AQ7, AQ$7:AQ$21)</f>
        <v>7</v>
      </c>
      <c r="AS7" s="412">
        <f>AVERAGE(AQ7:AQ21)</f>
        <v>187.26800882515161</v>
      </c>
      <c r="AT7" s="105">
        <v>12</v>
      </c>
      <c r="AU7" s="175">
        <v>1011.4285714285717</v>
      </c>
      <c r="AV7" s="202">
        <v>84.285714285714306</v>
      </c>
      <c r="AW7" s="105">
        <f>RANK(AV7, AV$7:AV$21)</f>
        <v>7</v>
      </c>
      <c r="AX7" s="412">
        <f>AVERAGE(AV7:AV21)</f>
        <v>188.07566187314066</v>
      </c>
    </row>
    <row r="8" spans="1:50" ht="15" customHeight="1">
      <c r="A8" s="79"/>
      <c r="B8" s="398"/>
      <c r="C8" s="105">
        <v>2</v>
      </c>
      <c r="D8" s="105" t="s">
        <v>236</v>
      </c>
      <c r="E8" s="175">
        <v>10</v>
      </c>
      <c r="F8" s="175">
        <v>1500</v>
      </c>
      <c r="G8" s="202">
        <v>150</v>
      </c>
      <c r="H8" s="385"/>
      <c r="I8" s="175">
        <f t="shared" ref="I8:K13" si="0">AVERAGE(P8,U8,Z8,AE8,AJ8,AO8,AT8)</f>
        <v>10</v>
      </c>
      <c r="J8" s="175">
        <f t="shared" si="0"/>
        <v>1515.1318181818178</v>
      </c>
      <c r="K8" s="202">
        <f t="shared" si="0"/>
        <v>151.51318181818181</v>
      </c>
      <c r="L8" s="385"/>
      <c r="M8" s="203">
        <f>RANK(K8, K$7:$K$21)</f>
        <v>4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v>10</v>
      </c>
      <c r="AF8" s="175">
        <v>1498.8000000000004</v>
      </c>
      <c r="AG8" s="175">
        <v>149.88000000000005</v>
      </c>
      <c r="AH8" s="105">
        <f t="shared" ref="AH8:AH21" si="4">RANK(AG8, AG$7:AG$21)</f>
        <v>4</v>
      </c>
      <c r="AI8" s="412"/>
      <c r="AJ8" s="105">
        <v>10</v>
      </c>
      <c r="AK8" s="175">
        <v>1470.0000000000005</v>
      </c>
      <c r="AL8" s="202">
        <v>147.00000000000006</v>
      </c>
      <c r="AM8" s="105">
        <f t="shared" ref="AM8:AM21" si="5">RANK(AL8, AL$7:AL$21)</f>
        <v>5</v>
      </c>
      <c r="AN8" s="412"/>
      <c r="AO8" s="105">
        <v>10</v>
      </c>
      <c r="AP8" s="175">
        <v>1546.9999999999993</v>
      </c>
      <c r="AQ8" s="202">
        <v>154.69999999999993</v>
      </c>
      <c r="AR8" s="105">
        <f t="shared" ref="AR8:AR21" si="6">RANK(AQ8, AQ$7:AQ$21)</f>
        <v>4</v>
      </c>
      <c r="AS8" s="412"/>
      <c r="AT8" s="105">
        <v>10</v>
      </c>
      <c r="AU8" s="175">
        <v>1544.7272727272714</v>
      </c>
      <c r="AV8" s="202">
        <v>154.47272727272713</v>
      </c>
      <c r="AW8" s="105">
        <f t="shared" ref="AW8:AW21" si="7">RANK(AV8, AV$7:AV$21)</f>
        <v>4</v>
      </c>
      <c r="AX8" s="412"/>
    </row>
    <row r="9" spans="1:50">
      <c r="A9" s="79"/>
      <c r="B9" s="398"/>
      <c r="C9" s="105">
        <v>3</v>
      </c>
      <c r="D9" s="105" t="s">
        <v>237</v>
      </c>
      <c r="E9" s="175">
        <v>10</v>
      </c>
      <c r="F9" s="175">
        <v>1636</v>
      </c>
      <c r="G9" s="202">
        <v>163.6</v>
      </c>
      <c r="H9" s="385"/>
      <c r="I9" s="175">
        <f t="shared" si="0"/>
        <v>12.25</v>
      </c>
      <c r="J9" s="175">
        <f t="shared" si="0"/>
        <v>1725.1250000000005</v>
      </c>
      <c r="K9" s="202">
        <f t="shared" si="0"/>
        <v>140.94204059829065</v>
      </c>
      <c r="L9" s="385"/>
      <c r="M9" s="203">
        <f>RANK(K9, K$7:$K$21)</f>
        <v>5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v>12</v>
      </c>
      <c r="AF9" s="175">
        <v>1672.4999999999993</v>
      </c>
      <c r="AG9" s="175">
        <v>139.37499999999994</v>
      </c>
      <c r="AH9" s="105">
        <f t="shared" si="4"/>
        <v>6</v>
      </c>
      <c r="AI9" s="412"/>
      <c r="AJ9" s="105">
        <v>12</v>
      </c>
      <c r="AK9" s="175">
        <v>1716.0000000000027</v>
      </c>
      <c r="AL9" s="202">
        <v>143.00000000000023</v>
      </c>
      <c r="AM9" s="105">
        <f t="shared" si="5"/>
        <v>6</v>
      </c>
      <c r="AN9" s="412"/>
      <c r="AO9" s="105">
        <v>12</v>
      </c>
      <c r="AP9" s="175">
        <v>1753.3333333333333</v>
      </c>
      <c r="AQ9" s="202">
        <v>146.11111111111111</v>
      </c>
      <c r="AR9" s="105">
        <f t="shared" si="6"/>
        <v>5</v>
      </c>
      <c r="AS9" s="412"/>
      <c r="AT9" s="105">
        <v>13</v>
      </c>
      <c r="AU9" s="175">
        <v>1758.6666666666665</v>
      </c>
      <c r="AV9" s="202">
        <v>135.28205128205127</v>
      </c>
      <c r="AW9" s="105">
        <f t="shared" si="7"/>
        <v>5</v>
      </c>
      <c r="AX9" s="412"/>
    </row>
    <row r="10" spans="1:50">
      <c r="A10" s="79"/>
      <c r="B10" s="398"/>
      <c r="C10" s="105">
        <v>4</v>
      </c>
      <c r="D10" s="105" t="s">
        <v>238</v>
      </c>
      <c r="E10" s="175">
        <v>10</v>
      </c>
      <c r="F10" s="175">
        <v>1636</v>
      </c>
      <c r="G10" s="202">
        <v>163.6</v>
      </c>
      <c r="H10" s="385"/>
      <c r="I10" s="175">
        <f t="shared" si="0"/>
        <v>12.25</v>
      </c>
      <c r="J10" s="175">
        <f t="shared" si="0"/>
        <v>1709.3988095238096</v>
      </c>
      <c r="K10" s="202">
        <f t="shared" si="0"/>
        <v>139.70711233211233</v>
      </c>
      <c r="L10" s="385"/>
      <c r="M10" s="203">
        <f>RANK(K10, K$7:$K$21)</f>
        <v>6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v>12</v>
      </c>
      <c r="AF10" s="175">
        <v>1726.2857142857126</v>
      </c>
      <c r="AG10" s="175">
        <v>143.85714285714272</v>
      </c>
      <c r="AH10" s="105">
        <f t="shared" si="4"/>
        <v>5</v>
      </c>
      <c r="AI10" s="412"/>
      <c r="AJ10" s="105">
        <v>12</v>
      </c>
      <c r="AK10" s="175">
        <v>1769.1428571428594</v>
      </c>
      <c r="AL10" s="202">
        <v>147.42857142857162</v>
      </c>
      <c r="AM10" s="105">
        <f t="shared" si="5"/>
        <v>4</v>
      </c>
      <c r="AN10" s="412"/>
      <c r="AO10" s="105">
        <v>12</v>
      </c>
      <c r="AP10" s="175">
        <v>1630.6666666666665</v>
      </c>
      <c r="AQ10" s="202">
        <v>135.88888888888889</v>
      </c>
      <c r="AR10" s="105">
        <f t="shared" si="6"/>
        <v>6</v>
      </c>
      <c r="AS10" s="412"/>
      <c r="AT10" s="105">
        <v>13</v>
      </c>
      <c r="AU10" s="175">
        <v>1711.4999999999995</v>
      </c>
      <c r="AV10" s="202">
        <v>131.65384615384613</v>
      </c>
      <c r="AW10" s="105">
        <f t="shared" si="7"/>
        <v>6</v>
      </c>
      <c r="AX10" s="412"/>
    </row>
    <row r="11" spans="1:50">
      <c r="A11" s="79"/>
      <c r="B11" s="398"/>
      <c r="C11" s="105">
        <v>5</v>
      </c>
      <c r="D11" s="105" t="s">
        <v>239</v>
      </c>
      <c r="E11" s="175">
        <v>6</v>
      </c>
      <c r="F11" s="175">
        <v>1500</v>
      </c>
      <c r="G11" s="202">
        <v>250</v>
      </c>
      <c r="H11" s="385"/>
      <c r="I11" s="175">
        <f t="shared" si="0"/>
        <v>4.75</v>
      </c>
      <c r="J11" s="175">
        <f t="shared" si="0"/>
        <v>1179.0000000000002</v>
      </c>
      <c r="K11" s="202">
        <f t="shared" si="0"/>
        <v>246.90000000000003</v>
      </c>
      <c r="L11" s="385"/>
      <c r="M11" s="203">
        <f>RANK(K11, K$7:$K$21)</f>
        <v>3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v>5</v>
      </c>
      <c r="AF11" s="175">
        <v>1170</v>
      </c>
      <c r="AG11" s="175">
        <v>234</v>
      </c>
      <c r="AH11" s="105">
        <f t="shared" si="4"/>
        <v>3</v>
      </c>
      <c r="AI11" s="412"/>
      <c r="AJ11" s="105">
        <v>4</v>
      </c>
      <c r="AK11" s="175">
        <v>888.0000000000008</v>
      </c>
      <c r="AL11" s="202">
        <v>222.0000000000002</v>
      </c>
      <c r="AM11" s="105">
        <f t="shared" si="5"/>
        <v>3</v>
      </c>
      <c r="AN11" s="412"/>
      <c r="AO11" s="105">
        <v>5</v>
      </c>
      <c r="AP11" s="175">
        <v>1260.0000000000005</v>
      </c>
      <c r="AQ11" s="202">
        <v>252.00000000000009</v>
      </c>
      <c r="AR11" s="105">
        <f t="shared" si="6"/>
        <v>3</v>
      </c>
      <c r="AS11" s="412"/>
      <c r="AT11" s="105">
        <v>5</v>
      </c>
      <c r="AU11" s="175">
        <v>1397.9999999999993</v>
      </c>
      <c r="AV11" s="202">
        <v>279.59999999999985</v>
      </c>
      <c r="AW11" s="105">
        <f t="shared" si="7"/>
        <v>2</v>
      </c>
      <c r="AX11" s="412"/>
    </row>
    <row r="12" spans="1:50">
      <c r="A12" s="79"/>
      <c r="B12" s="398"/>
      <c r="C12" s="105">
        <v>6</v>
      </c>
      <c r="D12" s="105" t="s">
        <v>240</v>
      </c>
      <c r="E12" s="175">
        <v>5</v>
      </c>
      <c r="F12" s="175">
        <v>1500</v>
      </c>
      <c r="G12" s="202">
        <v>300</v>
      </c>
      <c r="H12" s="385"/>
      <c r="I12" s="175">
        <f t="shared" si="0"/>
        <v>4.5</v>
      </c>
      <c r="J12" s="175">
        <f t="shared" si="0"/>
        <v>1123.9791299320709</v>
      </c>
      <c r="K12" s="202">
        <f t="shared" si="0"/>
        <v>251.31582598641421</v>
      </c>
      <c r="L12" s="385"/>
      <c r="M12" s="203">
        <f>RANK(K12, K$7:$K$21)</f>
        <v>2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>
        <v>5</v>
      </c>
      <c r="AF12" s="175">
        <v>1174.5454545454545</v>
      </c>
      <c r="AG12" s="175">
        <v>234.90909090909091</v>
      </c>
      <c r="AH12" s="105">
        <f t="shared" si="4"/>
        <v>2</v>
      </c>
      <c r="AI12" s="412"/>
      <c r="AJ12" s="105">
        <v>3</v>
      </c>
      <c r="AK12" s="175">
        <v>795.60000000000025</v>
      </c>
      <c r="AL12" s="202">
        <v>265.2000000000001</v>
      </c>
      <c r="AM12" s="105">
        <f t="shared" si="5"/>
        <v>2</v>
      </c>
      <c r="AN12" s="412"/>
      <c r="AO12" s="105">
        <v>5</v>
      </c>
      <c r="AP12" s="175">
        <v>1274.5945945945953</v>
      </c>
      <c r="AQ12" s="202">
        <v>254.91891891891905</v>
      </c>
      <c r="AR12" s="105">
        <f t="shared" si="6"/>
        <v>2</v>
      </c>
      <c r="AS12" s="412"/>
      <c r="AT12" s="105">
        <v>5</v>
      </c>
      <c r="AU12" s="175">
        <v>1251.1764705882338</v>
      </c>
      <c r="AV12" s="202">
        <v>250.23529411764676</v>
      </c>
      <c r="AW12" s="105">
        <f t="shared" si="7"/>
        <v>3</v>
      </c>
      <c r="AX12" s="412"/>
    </row>
    <row r="13" spans="1:50">
      <c r="A13" s="79"/>
      <c r="B13" s="398"/>
      <c r="C13" s="105">
        <v>7</v>
      </c>
      <c r="D13" s="105" t="s">
        <v>241</v>
      </c>
      <c r="E13" s="175">
        <v>5</v>
      </c>
      <c r="F13" s="175">
        <v>1500</v>
      </c>
      <c r="G13" s="202">
        <v>300</v>
      </c>
      <c r="H13" s="385"/>
      <c r="I13" s="175">
        <f t="shared" si="0"/>
        <v>4.5</v>
      </c>
      <c r="J13" s="175">
        <f t="shared" si="0"/>
        <v>1362.3214285714259</v>
      </c>
      <c r="K13" s="202">
        <f t="shared" si="0"/>
        <v>308.330952380952</v>
      </c>
      <c r="L13" s="385"/>
      <c r="M13" s="203">
        <f>RANK(K13, K$7:$K$21)</f>
        <v>1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>
        <v>5</v>
      </c>
      <c r="AF13" s="175">
        <v>1523.9999999999934</v>
      </c>
      <c r="AG13" s="175">
        <v>304.7999999999987</v>
      </c>
      <c r="AH13" s="105">
        <f t="shared" si="4"/>
        <v>1</v>
      </c>
      <c r="AI13" s="412"/>
      <c r="AJ13" s="105">
        <v>3</v>
      </c>
      <c r="AK13" s="175">
        <v>1076.0000000000039</v>
      </c>
      <c r="AL13" s="202">
        <v>358.66666666666794</v>
      </c>
      <c r="AM13" s="105">
        <f t="shared" si="5"/>
        <v>1</v>
      </c>
      <c r="AN13" s="412"/>
      <c r="AO13" s="105">
        <v>5</v>
      </c>
      <c r="AP13" s="175">
        <v>1444.2857142857113</v>
      </c>
      <c r="AQ13" s="202">
        <v>288.85714285714226</v>
      </c>
      <c r="AR13" s="105">
        <f t="shared" si="6"/>
        <v>1</v>
      </c>
      <c r="AS13" s="412"/>
      <c r="AT13" s="105">
        <v>5</v>
      </c>
      <c r="AU13" s="175">
        <v>1404.9999999999957</v>
      </c>
      <c r="AV13" s="202">
        <v>280.99999999999915</v>
      </c>
      <c r="AW13" s="105">
        <f t="shared" si="7"/>
        <v>1</v>
      </c>
      <c r="AX13" s="412"/>
    </row>
    <row r="14" spans="1:50">
      <c r="A14" s="79"/>
      <c r="B14" s="398"/>
      <c r="C14" s="105">
        <v>8</v>
      </c>
      <c r="D14" s="105"/>
      <c r="E14" s="175"/>
      <c r="F14" s="175"/>
      <c r="G14" s="202"/>
      <c r="H14" s="385"/>
      <c r="I14" s="175"/>
      <c r="J14" s="175"/>
      <c r="K14" s="202"/>
      <c r="L14" s="385"/>
      <c r="M14" s="203" t="e">
        <f>RANK(K14, K$7:$K$21)</f>
        <v>#N/A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/>
      <c r="AF14" s="175"/>
      <c r="AG14" s="175"/>
      <c r="AH14" s="105" t="e">
        <f t="shared" si="4"/>
        <v>#N/A</v>
      </c>
      <c r="AI14" s="412"/>
      <c r="AJ14" s="105"/>
      <c r="AK14" s="175"/>
      <c r="AL14" s="202"/>
      <c r="AM14" s="105" t="e">
        <f t="shared" si="5"/>
        <v>#N/A</v>
      </c>
      <c r="AN14" s="412"/>
      <c r="AO14" s="105"/>
      <c r="AP14" s="175"/>
      <c r="AQ14" s="202"/>
      <c r="AR14" s="105" t="e">
        <f t="shared" si="6"/>
        <v>#N/A</v>
      </c>
      <c r="AS14" s="412"/>
      <c r="AT14" s="105"/>
      <c r="AU14" s="175"/>
      <c r="AV14" s="202"/>
      <c r="AW14" s="105" t="e">
        <f t="shared" si="7"/>
        <v>#N/A</v>
      </c>
      <c r="AX14" s="412"/>
    </row>
    <row r="15" spans="1:50">
      <c r="A15" s="79"/>
      <c r="B15" s="398"/>
      <c r="C15" s="105">
        <v>9</v>
      </c>
      <c r="D15" s="105"/>
      <c r="E15" s="175"/>
      <c r="F15" s="175"/>
      <c r="G15" s="202"/>
      <c r="H15" s="385"/>
      <c r="I15" s="175"/>
      <c r="J15" s="175"/>
      <c r="K15" s="202"/>
      <c r="L15" s="385"/>
      <c r="M15" s="203" t="e">
        <f>RANK(K15, K$7:$K$21)</f>
        <v>#N/A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/>
      <c r="AF15" s="175"/>
      <c r="AG15" s="175"/>
      <c r="AH15" s="105" t="e">
        <f t="shared" si="4"/>
        <v>#N/A</v>
      </c>
      <c r="AI15" s="412"/>
      <c r="AJ15" s="105"/>
      <c r="AK15" s="175"/>
      <c r="AL15" s="202"/>
      <c r="AM15" s="105" t="e">
        <f t="shared" si="5"/>
        <v>#N/A</v>
      </c>
      <c r="AN15" s="412"/>
      <c r="AO15" s="105"/>
      <c r="AP15" s="175"/>
      <c r="AQ15" s="202"/>
      <c r="AR15" s="105" t="e">
        <f t="shared" si="6"/>
        <v>#N/A</v>
      </c>
      <c r="AS15" s="412"/>
      <c r="AT15" s="105"/>
      <c r="AU15" s="175"/>
      <c r="AV15" s="202"/>
      <c r="AW15" s="105" t="e">
        <f t="shared" si="7"/>
        <v>#N/A</v>
      </c>
      <c r="AX15" s="412"/>
    </row>
    <row r="16" spans="1:50">
      <c r="A16" s="79"/>
      <c r="B16" s="398"/>
      <c r="C16" s="105">
        <v>10</v>
      </c>
      <c r="D16" s="105"/>
      <c r="E16" s="175"/>
      <c r="F16" s="175"/>
      <c r="G16" s="202"/>
      <c r="H16" s="385"/>
      <c r="I16" s="175"/>
      <c r="J16" s="175"/>
      <c r="K16" s="202"/>
      <c r="L16" s="385"/>
      <c r="M16" s="203" t="e">
        <f>RANK(K16, K$7:$K$21)</f>
        <v>#N/A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/>
      <c r="AF16" s="175"/>
      <c r="AG16" s="175"/>
      <c r="AH16" s="105" t="e">
        <f t="shared" si="4"/>
        <v>#N/A</v>
      </c>
      <c r="AI16" s="412"/>
      <c r="AJ16" s="105"/>
      <c r="AK16" s="175"/>
      <c r="AL16" s="202"/>
      <c r="AM16" s="105" t="e">
        <f t="shared" si="5"/>
        <v>#N/A</v>
      </c>
      <c r="AN16" s="412"/>
      <c r="AO16" s="105"/>
      <c r="AP16" s="175"/>
      <c r="AQ16" s="202"/>
      <c r="AR16" s="105" t="e">
        <f t="shared" si="6"/>
        <v>#N/A</v>
      </c>
      <c r="AS16" s="412"/>
      <c r="AT16" s="105"/>
      <c r="AU16" s="175"/>
      <c r="AV16" s="202"/>
      <c r="AW16" s="105" t="e">
        <f t="shared" si="7"/>
        <v>#N/A</v>
      </c>
      <c r="AX16" s="412"/>
    </row>
    <row r="17" spans="2:50">
      <c r="B17" s="398"/>
      <c r="C17" s="105">
        <v>11</v>
      </c>
      <c r="D17" s="105"/>
      <c r="E17" s="175"/>
      <c r="F17" s="175"/>
      <c r="G17" s="202"/>
      <c r="H17" s="385"/>
      <c r="I17" s="105"/>
      <c r="J17" s="105"/>
      <c r="K17" s="105"/>
      <c r="L17" s="385"/>
      <c r="M17" s="203" t="e">
        <f>RANK(K17, K$7:$K$21)</f>
        <v>#N/A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/>
      <c r="AF17" s="175"/>
      <c r="AG17" s="175"/>
      <c r="AH17" s="105" t="e">
        <f t="shared" si="4"/>
        <v>#N/A</v>
      </c>
      <c r="AI17" s="412"/>
      <c r="AJ17" s="105"/>
      <c r="AK17" s="105"/>
      <c r="AL17" s="105"/>
      <c r="AM17" s="105" t="e">
        <f t="shared" si="5"/>
        <v>#N/A</v>
      </c>
      <c r="AN17" s="412"/>
      <c r="AO17" s="105"/>
      <c r="AP17" s="105"/>
      <c r="AQ17" s="105"/>
      <c r="AR17" s="105" t="e">
        <f t="shared" si="6"/>
        <v>#N/A</v>
      </c>
      <c r="AS17" s="412"/>
      <c r="AT17" s="105"/>
      <c r="AU17" s="105"/>
      <c r="AV17" s="105"/>
      <c r="AW17" s="105" t="e">
        <f t="shared" si="7"/>
        <v>#N/A</v>
      </c>
      <c r="AX17" s="412"/>
    </row>
    <row r="18" spans="2:50">
      <c r="B18" s="398"/>
      <c r="C18" s="105">
        <v>12</v>
      </c>
      <c r="D18" s="105"/>
      <c r="E18" s="175"/>
      <c r="F18" s="175"/>
      <c r="G18" s="202"/>
      <c r="H18" s="385"/>
      <c r="I18" s="105"/>
      <c r="J18" s="105"/>
      <c r="K18" s="105"/>
      <c r="L18" s="385"/>
      <c r="M18" s="203" t="e">
        <f>RANK(K18, K$7:$K$21)</f>
        <v>#N/A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/>
      <c r="AF18" s="175"/>
      <c r="AG18" s="175"/>
      <c r="AH18" s="105" t="e">
        <f t="shared" si="4"/>
        <v>#N/A</v>
      </c>
      <c r="AI18" s="412"/>
      <c r="AJ18" s="105"/>
      <c r="AK18" s="105"/>
      <c r="AL18" s="105"/>
      <c r="AM18" s="105" t="e">
        <f t="shared" si="5"/>
        <v>#N/A</v>
      </c>
      <c r="AN18" s="412"/>
      <c r="AO18" s="105"/>
      <c r="AP18" s="105"/>
      <c r="AQ18" s="105"/>
      <c r="AR18" s="105" t="e">
        <f t="shared" si="6"/>
        <v>#N/A</v>
      </c>
      <c r="AS18" s="412"/>
      <c r="AT18" s="105"/>
      <c r="AU18" s="105"/>
      <c r="AV18" s="105"/>
      <c r="AW18" s="105" t="e">
        <f t="shared" si="7"/>
        <v>#N/A</v>
      </c>
      <c r="AX18" s="412"/>
    </row>
    <row r="19" spans="2:50">
      <c r="B19" s="398"/>
      <c r="C19" s="105">
        <v>13</v>
      </c>
      <c r="D19" s="105"/>
      <c r="E19" s="175"/>
      <c r="F19" s="175"/>
      <c r="G19" s="202"/>
      <c r="H19" s="385"/>
      <c r="I19" s="105"/>
      <c r="J19" s="105"/>
      <c r="K19" s="105"/>
      <c r="L19" s="385"/>
      <c r="M19" s="203" t="e">
        <f>RANK(K19, K$7:$K$21)</f>
        <v>#N/A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/>
      <c r="AF19" s="175"/>
      <c r="AG19" s="175"/>
      <c r="AH19" s="105" t="e">
        <f t="shared" si="4"/>
        <v>#N/A</v>
      </c>
      <c r="AI19" s="412"/>
      <c r="AJ19" s="105"/>
      <c r="AK19" s="105"/>
      <c r="AL19" s="105"/>
      <c r="AM19" s="105" t="e">
        <f t="shared" si="5"/>
        <v>#N/A</v>
      </c>
      <c r="AN19" s="412"/>
      <c r="AO19" s="105"/>
      <c r="AP19" s="105"/>
      <c r="AQ19" s="105"/>
      <c r="AR19" s="105" t="e">
        <f t="shared" si="6"/>
        <v>#N/A</v>
      </c>
      <c r="AS19" s="412"/>
      <c r="AT19" s="105"/>
      <c r="AU19" s="105"/>
      <c r="AV19" s="105"/>
      <c r="AW19" s="105" t="e">
        <f t="shared" si="7"/>
        <v>#N/A</v>
      </c>
      <c r="AX19" s="412"/>
    </row>
    <row r="20" spans="2:50">
      <c r="B20" s="398"/>
      <c r="C20" s="105">
        <v>14</v>
      </c>
      <c r="D20" s="105"/>
      <c r="E20" s="175"/>
      <c r="F20" s="175"/>
      <c r="G20" s="202"/>
      <c r="H20" s="385"/>
      <c r="I20" s="105"/>
      <c r="J20" s="105"/>
      <c r="K20" s="105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175"/>
      <c r="AH20" s="105" t="e">
        <f t="shared" si="4"/>
        <v>#N/A</v>
      </c>
      <c r="AI20" s="412"/>
      <c r="AJ20" s="105"/>
      <c r="AK20" s="105"/>
      <c r="AL20" s="105"/>
      <c r="AM20" s="105" t="e">
        <f t="shared" si="5"/>
        <v>#N/A</v>
      </c>
      <c r="AN20" s="412"/>
      <c r="AO20" s="105"/>
      <c r="AP20" s="105"/>
      <c r="AQ20" s="105"/>
      <c r="AR20" s="105" t="e">
        <f t="shared" si="6"/>
        <v>#N/A</v>
      </c>
      <c r="AS20" s="412"/>
      <c r="AT20" s="105"/>
      <c r="AU20" s="105"/>
      <c r="AV20" s="105"/>
      <c r="AW20" s="105" t="e">
        <f t="shared" si="7"/>
        <v>#N/A</v>
      </c>
      <c r="AX20" s="412"/>
    </row>
    <row r="21" spans="2:50">
      <c r="B21" s="398"/>
      <c r="C21" s="105">
        <v>15</v>
      </c>
      <c r="D21" s="105"/>
      <c r="E21" s="175"/>
      <c r="F21" s="175"/>
      <c r="G21" s="202"/>
      <c r="H21" s="386"/>
      <c r="I21" s="105"/>
      <c r="J21" s="105"/>
      <c r="K21" s="105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175"/>
      <c r="AH21" s="105" t="e">
        <f t="shared" si="4"/>
        <v>#N/A</v>
      </c>
      <c r="AI21" s="412"/>
      <c r="AJ21" s="105"/>
      <c r="AK21" s="105"/>
      <c r="AL21" s="105"/>
      <c r="AM21" s="105" t="e">
        <f t="shared" si="5"/>
        <v>#N/A</v>
      </c>
      <c r="AN21" s="412"/>
      <c r="AO21" s="105"/>
      <c r="AP21" s="105"/>
      <c r="AQ21" s="105"/>
      <c r="AR21" s="105" t="e">
        <f t="shared" si="6"/>
        <v>#N/A</v>
      </c>
      <c r="AS21" s="412"/>
      <c r="AT21" s="105"/>
      <c r="AU21" s="105"/>
      <c r="AV21" s="105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413" t="s">
        <v>234</v>
      </c>
      <c r="C27" s="105">
        <v>1</v>
      </c>
      <c r="D27" s="105" t="s">
        <v>235</v>
      </c>
      <c r="E27" s="105">
        <v>14</v>
      </c>
      <c r="F27" s="105">
        <v>1500</v>
      </c>
      <c r="G27" s="105">
        <v>107.14285714285714</v>
      </c>
      <c r="H27" s="384">
        <f>AVERAGE(G27:G41)</f>
        <v>204.9061224489796</v>
      </c>
      <c r="I27" s="175">
        <f>AVERAGE(P27,U27,Z27,AE27,AJ27,AO27,AT27)</f>
        <v>12.714285714285714</v>
      </c>
      <c r="J27" s="175">
        <f>AVERAGE(Q27,V27,AA27,AF27,AK27,AP27,AU27)</f>
        <v>978.66781789638924</v>
      </c>
      <c r="K27" s="202">
        <f>AVERAGE(R27,W27,AB27,AG27,AL27,AQ27,AV27)</f>
        <v>77.065499335829003</v>
      </c>
      <c r="L27" s="384">
        <f>IFERROR(AVERAGE(K27:K41),"-")</f>
        <v>198.903347688005</v>
      </c>
      <c r="M27" s="203">
        <f>RANK(K27, K$27:$K$41)</f>
        <v>7</v>
      </c>
      <c r="N27" s="387"/>
      <c r="O27" s="387"/>
      <c r="P27" s="105">
        <v>12</v>
      </c>
      <c r="Q27" s="175">
        <v>921.42857142857156</v>
      </c>
      <c r="R27" s="202">
        <v>76.785714285714292</v>
      </c>
      <c r="S27" s="105">
        <f>RANK(R27, R$27:R$41)</f>
        <v>7</v>
      </c>
      <c r="T27" s="412">
        <f>AVERAGE(R27:R41)</f>
        <v>197.88554088301984</v>
      </c>
      <c r="U27" s="105">
        <v>12</v>
      </c>
      <c r="V27" s="175">
        <v>1025.9999999999995</v>
      </c>
      <c r="W27" s="202">
        <v>85.499999999999957</v>
      </c>
      <c r="X27" s="105">
        <f>RANK(W27, W$27:W$41)</f>
        <v>7</v>
      </c>
      <c r="Y27" s="412">
        <f>AVERAGE(W27:W41)</f>
        <v>200.58308738880169</v>
      </c>
      <c r="Z27" s="105">
        <v>13</v>
      </c>
      <c r="AA27" s="175">
        <v>943.00000000000091</v>
      </c>
      <c r="AB27" s="202">
        <v>72.538461538461604</v>
      </c>
      <c r="AC27" s="105">
        <f>RANK(AB27, AB$27:AB$41)</f>
        <v>7</v>
      </c>
      <c r="AD27" s="412">
        <f>AVERAGE(AB27:AB41)</f>
        <v>197.24348770277334</v>
      </c>
      <c r="AE27" s="105">
        <v>13</v>
      </c>
      <c r="AF27" s="175">
        <v>975.60000000000036</v>
      </c>
      <c r="AG27" s="202">
        <v>75.046153846153871</v>
      </c>
      <c r="AH27" s="105">
        <f>RANK(AG27, AG$27:AG$41)</f>
        <v>7</v>
      </c>
      <c r="AI27" s="412">
        <f>AVERAGE(AG27:AG41)</f>
        <v>199.26996218067646</v>
      </c>
      <c r="AJ27" s="105">
        <v>13</v>
      </c>
      <c r="AK27" s="175">
        <v>1012.8000000000004</v>
      </c>
      <c r="AL27" s="202">
        <v>77.907692307692344</v>
      </c>
      <c r="AM27" s="105">
        <f>RANK(AL27, AL$27:AL$41)</f>
        <v>7</v>
      </c>
      <c r="AN27" s="412">
        <f>AVERAGE(AL27:AL41)</f>
        <v>198.4484824699112</v>
      </c>
      <c r="AO27" s="105">
        <v>13</v>
      </c>
      <c r="AP27" s="175">
        <v>961.84615384615358</v>
      </c>
      <c r="AQ27" s="202">
        <v>73.988165680473358</v>
      </c>
      <c r="AR27" s="105">
        <f>RANK(AQ27, AQ$27:AQ$41)</f>
        <v>7</v>
      </c>
      <c r="AS27" s="412">
        <f>AVERAGE(AQ27:AQ41)</f>
        <v>200.32960705350811</v>
      </c>
      <c r="AT27" s="105">
        <v>13</v>
      </c>
      <c r="AU27" s="175">
        <v>1009.9999999999982</v>
      </c>
      <c r="AV27" s="202">
        <v>77.692307692307551</v>
      </c>
      <c r="AW27" s="105">
        <f>RANK(AV27, AV$27:AV$41)</f>
        <v>7</v>
      </c>
      <c r="AX27" s="412">
        <f>AVERAGE(AV27:AV41)</f>
        <v>198.56326613734441</v>
      </c>
    </row>
    <row r="28" spans="2:50">
      <c r="B28" s="398"/>
      <c r="C28" s="105">
        <v>2</v>
      </c>
      <c r="D28" s="105" t="s">
        <v>236</v>
      </c>
      <c r="E28" s="105">
        <v>10</v>
      </c>
      <c r="F28" s="105">
        <v>1500</v>
      </c>
      <c r="G28" s="105">
        <v>150</v>
      </c>
      <c r="H28" s="385"/>
      <c r="I28" s="175">
        <f t="shared" ref="I28:K33" si="8">AVERAGE(P28,U28,Z28,AE28,AJ28,AO28,AT28)</f>
        <v>10</v>
      </c>
      <c r="J28" s="175">
        <f t="shared" si="8"/>
        <v>1493.7038961038959</v>
      </c>
      <c r="K28" s="202">
        <f t="shared" si="8"/>
        <v>149.37038961038959</v>
      </c>
      <c r="L28" s="385"/>
      <c r="M28" s="203">
        <f>RANK(K28, K$27:$K$41)</f>
        <v>4</v>
      </c>
      <c r="N28" s="387"/>
      <c r="O28" s="387"/>
      <c r="P28" s="105">
        <v>10</v>
      </c>
      <c r="Q28" s="175">
        <v>1384.9999999999993</v>
      </c>
      <c r="R28" s="202">
        <v>138.49999999999994</v>
      </c>
      <c r="S28" s="105">
        <f t="shared" ref="S28:S41" si="9">RANK(R28, R$27:R$41)</f>
        <v>6</v>
      </c>
      <c r="T28" s="412"/>
      <c r="U28" s="105">
        <v>10</v>
      </c>
      <c r="V28" s="175">
        <v>1629.5999999999979</v>
      </c>
      <c r="W28" s="202">
        <v>162.95999999999978</v>
      </c>
      <c r="X28" s="105">
        <f t="shared" ref="X28:X41" si="10">RANK(W28, W$27:W$41)</f>
        <v>4</v>
      </c>
      <c r="Y28" s="412"/>
      <c r="Z28" s="105">
        <v>10</v>
      </c>
      <c r="AA28" s="175">
        <v>1551.6000000000004</v>
      </c>
      <c r="AB28" s="202">
        <v>155.16000000000003</v>
      </c>
      <c r="AC28" s="105">
        <f t="shared" ref="AC28:AC41" si="11">RANK(AB28, AB$27:AB$41)</f>
        <v>4</v>
      </c>
      <c r="AD28" s="412"/>
      <c r="AE28" s="105">
        <v>10</v>
      </c>
      <c r="AF28" s="175">
        <v>1514.6666666666665</v>
      </c>
      <c r="AG28" s="202">
        <v>151.46666666666664</v>
      </c>
      <c r="AH28" s="105">
        <f t="shared" ref="AH28:AH41" si="12">RANK(AG28, AG$27:AG$41)</f>
        <v>4</v>
      </c>
      <c r="AI28" s="412"/>
      <c r="AJ28" s="105">
        <v>10</v>
      </c>
      <c r="AK28" s="175">
        <v>1489.3333333333335</v>
      </c>
      <c r="AL28" s="202">
        <v>148.93333333333334</v>
      </c>
      <c r="AM28" s="105">
        <f t="shared" ref="AM28:AM41" si="13">RANK(AL28, AL$27:AL$41)</f>
        <v>4</v>
      </c>
      <c r="AN28" s="412"/>
      <c r="AO28" s="105">
        <v>10</v>
      </c>
      <c r="AP28" s="175">
        <v>1424.9999999999993</v>
      </c>
      <c r="AQ28" s="202">
        <v>142.49999999999994</v>
      </c>
      <c r="AR28" s="105">
        <f t="shared" ref="AR28:AR41" si="14">RANK(AQ28, AQ$27:AQ$41)</f>
        <v>6</v>
      </c>
      <c r="AS28" s="412"/>
      <c r="AT28" s="105">
        <v>10</v>
      </c>
      <c r="AU28" s="175">
        <v>1460.7272727272737</v>
      </c>
      <c r="AV28" s="202">
        <v>146.07272727272738</v>
      </c>
      <c r="AW28" s="105">
        <f t="shared" ref="AW28:AW41" si="15">RANK(AV28, AV$27:AV$41)</f>
        <v>5</v>
      </c>
      <c r="AX28" s="412"/>
    </row>
    <row r="29" spans="2:50">
      <c r="B29" s="398"/>
      <c r="C29" s="105">
        <v>3</v>
      </c>
      <c r="D29" s="105" t="s">
        <v>237</v>
      </c>
      <c r="E29" s="105">
        <v>10</v>
      </c>
      <c r="F29" s="105">
        <v>1636</v>
      </c>
      <c r="G29" s="105">
        <v>163.6</v>
      </c>
      <c r="H29" s="385"/>
      <c r="I29" s="175">
        <f t="shared" si="8"/>
        <v>12.142857142857142</v>
      </c>
      <c r="J29" s="175">
        <f t="shared" si="8"/>
        <v>1736.3571428571424</v>
      </c>
      <c r="K29" s="202">
        <f t="shared" si="8"/>
        <v>143.03464590964586</v>
      </c>
      <c r="L29" s="385"/>
      <c r="M29" s="203">
        <f>RANK(K29, K$27:$K$41)</f>
        <v>5</v>
      </c>
      <c r="N29" s="387"/>
      <c r="O29" s="387"/>
      <c r="P29" s="105">
        <v>12</v>
      </c>
      <c r="Q29" s="175">
        <v>1701.3333333333333</v>
      </c>
      <c r="R29" s="202">
        <v>141.77777777777777</v>
      </c>
      <c r="S29" s="105">
        <f t="shared" si="9"/>
        <v>4</v>
      </c>
      <c r="T29" s="412"/>
      <c r="U29" s="105">
        <v>13</v>
      </c>
      <c r="V29" s="175">
        <v>1814.6666666666665</v>
      </c>
      <c r="W29" s="202">
        <v>139.58974358974359</v>
      </c>
      <c r="X29" s="105">
        <f t="shared" si="10"/>
        <v>5</v>
      </c>
      <c r="Y29" s="412"/>
      <c r="Z29" s="105">
        <v>12</v>
      </c>
      <c r="AA29" s="175">
        <v>1688</v>
      </c>
      <c r="AB29" s="202">
        <v>140.66666666666666</v>
      </c>
      <c r="AC29" s="105">
        <f t="shared" si="11"/>
        <v>5</v>
      </c>
      <c r="AD29" s="412"/>
      <c r="AE29" s="105">
        <v>12</v>
      </c>
      <c r="AF29" s="175">
        <v>1663.4999999999959</v>
      </c>
      <c r="AG29" s="202">
        <v>138.62499999999966</v>
      </c>
      <c r="AH29" s="105">
        <f t="shared" si="12"/>
        <v>6</v>
      </c>
      <c r="AI29" s="412"/>
      <c r="AJ29" s="105">
        <v>12</v>
      </c>
      <c r="AK29" s="175">
        <v>1730.9999999999995</v>
      </c>
      <c r="AL29" s="202">
        <v>144.24999999999997</v>
      </c>
      <c r="AM29" s="105">
        <f t="shared" si="13"/>
        <v>6</v>
      </c>
      <c r="AN29" s="412"/>
      <c r="AO29" s="105">
        <v>12</v>
      </c>
      <c r="AP29" s="175">
        <v>1810.6666666666665</v>
      </c>
      <c r="AQ29" s="202">
        <v>150.88888888888889</v>
      </c>
      <c r="AR29" s="105">
        <f t="shared" si="14"/>
        <v>4</v>
      </c>
      <c r="AS29" s="412"/>
      <c r="AT29" s="105">
        <v>12</v>
      </c>
      <c r="AU29" s="175">
        <v>1745.3333333333333</v>
      </c>
      <c r="AV29" s="202">
        <v>145.44444444444443</v>
      </c>
      <c r="AW29" s="105">
        <f t="shared" si="15"/>
        <v>6</v>
      </c>
      <c r="AX29" s="412"/>
    </row>
    <row r="30" spans="2:50">
      <c r="B30" s="398"/>
      <c r="C30" s="105">
        <v>4</v>
      </c>
      <c r="D30" s="105" t="s">
        <v>238</v>
      </c>
      <c r="E30" s="105">
        <v>10</v>
      </c>
      <c r="F30" s="105">
        <v>1636</v>
      </c>
      <c r="G30" s="105">
        <v>163.6</v>
      </c>
      <c r="H30" s="385"/>
      <c r="I30" s="175">
        <f t="shared" si="8"/>
        <v>12.142857142857142</v>
      </c>
      <c r="J30" s="175">
        <f t="shared" si="8"/>
        <v>1732.6836734693886</v>
      </c>
      <c r="K30" s="202">
        <f t="shared" si="8"/>
        <v>142.85047095761388</v>
      </c>
      <c r="L30" s="385"/>
      <c r="M30" s="203">
        <f>RANK(K30, K$27:$K$41)</f>
        <v>6</v>
      </c>
      <c r="N30" s="387"/>
      <c r="O30" s="387"/>
      <c r="P30" s="105">
        <v>12</v>
      </c>
      <c r="Q30" s="175">
        <v>1697.9999999999993</v>
      </c>
      <c r="R30" s="202">
        <v>141.49999999999994</v>
      </c>
      <c r="S30" s="105">
        <f t="shared" si="9"/>
        <v>5</v>
      </c>
      <c r="T30" s="412"/>
      <c r="U30" s="105">
        <v>13</v>
      </c>
      <c r="V30" s="175">
        <v>1681.4999999999995</v>
      </c>
      <c r="W30" s="202">
        <v>129.34615384615381</v>
      </c>
      <c r="X30" s="105">
        <f t="shared" si="10"/>
        <v>6</v>
      </c>
      <c r="Y30" s="412"/>
      <c r="Z30" s="105">
        <v>12</v>
      </c>
      <c r="AA30" s="175">
        <v>1681.5000000000027</v>
      </c>
      <c r="AB30" s="202">
        <v>140.12500000000023</v>
      </c>
      <c r="AC30" s="105">
        <f t="shared" si="11"/>
        <v>6</v>
      </c>
      <c r="AD30" s="412"/>
      <c r="AE30" s="105">
        <v>12</v>
      </c>
      <c r="AF30" s="175">
        <v>1743.4285714285697</v>
      </c>
      <c r="AG30" s="202">
        <v>145.28571428571414</v>
      </c>
      <c r="AH30" s="105">
        <f t="shared" si="12"/>
        <v>5</v>
      </c>
      <c r="AI30" s="412"/>
      <c r="AJ30" s="105">
        <v>12</v>
      </c>
      <c r="AK30" s="175">
        <v>1758.8571428571449</v>
      </c>
      <c r="AL30" s="202">
        <v>146.57142857142875</v>
      </c>
      <c r="AM30" s="105">
        <f t="shared" si="13"/>
        <v>5</v>
      </c>
      <c r="AN30" s="412"/>
      <c r="AO30" s="105">
        <v>12</v>
      </c>
      <c r="AP30" s="175">
        <v>1796.9999999999993</v>
      </c>
      <c r="AQ30" s="202">
        <v>149.74999999999994</v>
      </c>
      <c r="AR30" s="105">
        <f t="shared" si="14"/>
        <v>5</v>
      </c>
      <c r="AS30" s="412"/>
      <c r="AT30" s="105">
        <v>12</v>
      </c>
      <c r="AU30" s="175">
        <v>1768.500000000003</v>
      </c>
      <c r="AV30" s="202">
        <v>147.37500000000026</v>
      </c>
      <c r="AW30" s="105">
        <f t="shared" si="15"/>
        <v>4</v>
      </c>
      <c r="AX30" s="412"/>
    </row>
    <row r="31" spans="2:50">
      <c r="B31" s="398"/>
      <c r="C31" s="105">
        <v>5</v>
      </c>
      <c r="D31" s="105" t="s">
        <v>239</v>
      </c>
      <c r="E31" s="105">
        <v>6</v>
      </c>
      <c r="F31" s="105">
        <v>1500</v>
      </c>
      <c r="G31" s="105">
        <v>250</v>
      </c>
      <c r="H31" s="385"/>
      <c r="I31" s="175">
        <f t="shared" si="8"/>
        <v>5</v>
      </c>
      <c r="J31" s="175">
        <f t="shared" si="8"/>
        <v>1484.588744588744</v>
      </c>
      <c r="K31" s="202">
        <f t="shared" si="8"/>
        <v>296.91774891774878</v>
      </c>
      <c r="L31" s="385"/>
      <c r="M31" s="203">
        <f>RANK(K31, K$27:$K$41)</f>
        <v>1</v>
      </c>
      <c r="N31" s="387"/>
      <c r="O31" s="387"/>
      <c r="P31" s="105">
        <v>5</v>
      </c>
      <c r="Q31" s="175">
        <v>1500</v>
      </c>
      <c r="R31" s="202">
        <v>300</v>
      </c>
      <c r="S31" s="105">
        <f t="shared" si="9"/>
        <v>1</v>
      </c>
      <c r="T31" s="412"/>
      <c r="U31" s="105">
        <v>5</v>
      </c>
      <c r="V31" s="175">
        <v>1511.4285714285709</v>
      </c>
      <c r="W31" s="202">
        <v>302.28571428571416</v>
      </c>
      <c r="X31" s="105">
        <f t="shared" si="10"/>
        <v>1</v>
      </c>
      <c r="Y31" s="412"/>
      <c r="Z31" s="105">
        <v>5</v>
      </c>
      <c r="AA31" s="175">
        <v>1454.2857142857138</v>
      </c>
      <c r="AB31" s="202">
        <v>290.85714285714278</v>
      </c>
      <c r="AC31" s="105">
        <f t="shared" si="11"/>
        <v>2</v>
      </c>
      <c r="AD31" s="412"/>
      <c r="AE31" s="105">
        <v>5</v>
      </c>
      <c r="AF31" s="175">
        <v>1476.6666666666656</v>
      </c>
      <c r="AG31" s="202">
        <v>295.33333333333314</v>
      </c>
      <c r="AH31" s="105">
        <f t="shared" si="12"/>
        <v>2</v>
      </c>
      <c r="AI31" s="412"/>
      <c r="AJ31" s="105">
        <v>5</v>
      </c>
      <c r="AK31" s="175">
        <v>1499.9999999999982</v>
      </c>
      <c r="AL31" s="202">
        <v>299.99999999999966</v>
      </c>
      <c r="AM31" s="105">
        <f t="shared" si="13"/>
        <v>1</v>
      </c>
      <c r="AN31" s="412"/>
      <c r="AO31" s="105">
        <v>5</v>
      </c>
      <c r="AP31" s="175">
        <v>1475.4545454545455</v>
      </c>
      <c r="AQ31" s="202">
        <v>295.09090909090912</v>
      </c>
      <c r="AR31" s="105">
        <f t="shared" si="14"/>
        <v>2</v>
      </c>
      <c r="AS31" s="412"/>
      <c r="AT31" s="105">
        <v>5</v>
      </c>
      <c r="AU31" s="175">
        <v>1474.2857142857138</v>
      </c>
      <c r="AV31" s="202">
        <v>294.85714285714278</v>
      </c>
      <c r="AW31" s="105">
        <f t="shared" si="15"/>
        <v>1</v>
      </c>
      <c r="AX31" s="412"/>
    </row>
    <row r="32" spans="2:50">
      <c r="B32" s="398"/>
      <c r="C32" s="105">
        <v>6</v>
      </c>
      <c r="D32" s="105" t="s">
        <v>240</v>
      </c>
      <c r="E32" s="105">
        <v>5</v>
      </c>
      <c r="F32" s="105">
        <v>1500</v>
      </c>
      <c r="G32" s="105">
        <v>300</v>
      </c>
      <c r="H32" s="385"/>
      <c r="I32" s="175">
        <f t="shared" si="8"/>
        <v>5</v>
      </c>
      <c r="J32" s="175">
        <f t="shared" si="8"/>
        <v>1481.2247873094652</v>
      </c>
      <c r="K32" s="202">
        <f t="shared" si="8"/>
        <v>296.24495746189302</v>
      </c>
      <c r="L32" s="385"/>
      <c r="M32" s="203">
        <f>RANK(K32, K$27:$K$41)</f>
        <v>2</v>
      </c>
      <c r="N32" s="387"/>
      <c r="O32" s="387"/>
      <c r="P32" s="105">
        <v>5</v>
      </c>
      <c r="Q32" s="175">
        <v>1472.0000000000014</v>
      </c>
      <c r="R32" s="202">
        <v>294.40000000000026</v>
      </c>
      <c r="S32" s="105">
        <f t="shared" si="9"/>
        <v>2</v>
      </c>
      <c r="T32" s="412"/>
      <c r="U32" s="105">
        <v>5</v>
      </c>
      <c r="V32" s="175">
        <v>1482.0000000000014</v>
      </c>
      <c r="W32" s="202">
        <v>296.40000000000026</v>
      </c>
      <c r="X32" s="105">
        <f t="shared" si="10"/>
        <v>2</v>
      </c>
      <c r="Y32" s="412"/>
      <c r="Z32" s="105">
        <v>5</v>
      </c>
      <c r="AA32" s="175">
        <v>1492.4999999999995</v>
      </c>
      <c r="AB32" s="202">
        <v>298.49999999999989</v>
      </c>
      <c r="AC32" s="105">
        <f t="shared" si="11"/>
        <v>1</v>
      </c>
      <c r="AD32" s="412"/>
      <c r="AE32" s="105">
        <v>5</v>
      </c>
      <c r="AF32" s="175">
        <v>1483.8461538461522</v>
      </c>
      <c r="AG32" s="202">
        <v>296.76923076923043</v>
      </c>
      <c r="AH32" s="105">
        <f t="shared" si="12"/>
        <v>1</v>
      </c>
      <c r="AI32" s="412"/>
      <c r="AJ32" s="105">
        <v>5</v>
      </c>
      <c r="AK32" s="175">
        <v>1465.3846153846162</v>
      </c>
      <c r="AL32" s="202">
        <v>293.07692307692321</v>
      </c>
      <c r="AM32" s="105">
        <f t="shared" si="13"/>
        <v>2</v>
      </c>
      <c r="AN32" s="412"/>
      <c r="AO32" s="105">
        <v>5</v>
      </c>
      <c r="AP32" s="175">
        <v>1501.8750000000018</v>
      </c>
      <c r="AQ32" s="202">
        <v>300.37500000000034</v>
      </c>
      <c r="AR32" s="105">
        <f t="shared" si="14"/>
        <v>1</v>
      </c>
      <c r="AS32" s="412"/>
      <c r="AT32" s="105">
        <v>5</v>
      </c>
      <c r="AU32" s="175">
        <v>1470.9677419354834</v>
      </c>
      <c r="AV32" s="202">
        <v>294.19354838709671</v>
      </c>
      <c r="AW32" s="105">
        <f t="shared" si="15"/>
        <v>2</v>
      </c>
      <c r="AX32" s="412"/>
    </row>
    <row r="33" spans="2:50">
      <c r="B33" s="398"/>
      <c r="C33" s="105">
        <v>7</v>
      </c>
      <c r="D33" s="105" t="s">
        <v>241</v>
      </c>
      <c r="E33" s="105">
        <v>5</v>
      </c>
      <c r="F33" s="105">
        <v>1500</v>
      </c>
      <c r="G33" s="105">
        <v>300</v>
      </c>
      <c r="H33" s="385"/>
      <c r="I33" s="175">
        <f t="shared" si="8"/>
        <v>5</v>
      </c>
      <c r="J33" s="175">
        <f t="shared" si="8"/>
        <v>1434.1986081145744</v>
      </c>
      <c r="K33" s="202">
        <f t="shared" si="8"/>
        <v>286.83972162291491</v>
      </c>
      <c r="L33" s="385"/>
      <c r="M33" s="203">
        <f>RANK(K33, K$27:$K$41)</f>
        <v>3</v>
      </c>
      <c r="N33" s="387"/>
      <c r="O33" s="387"/>
      <c r="P33" s="105">
        <v>5</v>
      </c>
      <c r="Q33" s="175">
        <v>1461.1764705882335</v>
      </c>
      <c r="R33" s="202">
        <v>292.23529411764673</v>
      </c>
      <c r="S33" s="105">
        <f t="shared" si="9"/>
        <v>3</v>
      </c>
      <c r="T33" s="412"/>
      <c r="U33" s="105">
        <v>5</v>
      </c>
      <c r="V33" s="175">
        <v>1440.0000000000011</v>
      </c>
      <c r="W33" s="202">
        <v>288.00000000000023</v>
      </c>
      <c r="X33" s="105">
        <f t="shared" si="10"/>
        <v>3</v>
      </c>
      <c r="Y33" s="412"/>
      <c r="Z33" s="105">
        <v>5</v>
      </c>
      <c r="AA33" s="175">
        <v>1414.2857142857113</v>
      </c>
      <c r="AB33" s="202">
        <v>282.85714285714226</v>
      </c>
      <c r="AC33" s="105">
        <f t="shared" si="11"/>
        <v>3</v>
      </c>
      <c r="AD33" s="412"/>
      <c r="AE33" s="105">
        <v>5</v>
      </c>
      <c r="AF33" s="175">
        <v>1461.818181818187</v>
      </c>
      <c r="AG33" s="202">
        <v>292.3636363636374</v>
      </c>
      <c r="AH33" s="105">
        <f t="shared" si="12"/>
        <v>3</v>
      </c>
      <c r="AI33" s="412"/>
      <c r="AJ33" s="105">
        <v>5</v>
      </c>
      <c r="AK33" s="175">
        <v>1392.0000000000048</v>
      </c>
      <c r="AL33" s="202">
        <v>278.40000000000094</v>
      </c>
      <c r="AM33" s="105">
        <f t="shared" si="13"/>
        <v>3</v>
      </c>
      <c r="AN33" s="412"/>
      <c r="AO33" s="105">
        <v>5</v>
      </c>
      <c r="AP33" s="175">
        <v>1448.5714285714253</v>
      </c>
      <c r="AQ33" s="202">
        <v>289.71428571428504</v>
      </c>
      <c r="AR33" s="105">
        <f t="shared" si="14"/>
        <v>3</v>
      </c>
      <c r="AS33" s="412"/>
      <c r="AT33" s="105">
        <v>5</v>
      </c>
      <c r="AU33" s="175">
        <v>1421.5384615384578</v>
      </c>
      <c r="AV33" s="202">
        <v>284.30769230769158</v>
      </c>
      <c r="AW33" s="105">
        <f t="shared" si="15"/>
        <v>3</v>
      </c>
      <c r="AX33" s="412"/>
    </row>
    <row r="34" spans="2:50">
      <c r="B34" s="398"/>
      <c r="C34" s="105">
        <v>8</v>
      </c>
      <c r="D34" s="105"/>
      <c r="E34" s="105"/>
      <c r="F34" s="105"/>
      <c r="G34" s="105"/>
      <c r="H34" s="385"/>
      <c r="I34" s="175"/>
      <c r="J34" s="175"/>
      <c r="K34" s="202"/>
      <c r="L34" s="385"/>
      <c r="M34" s="203" t="e">
        <f>RANK(K34, K$27:$K$41)</f>
        <v>#N/A</v>
      </c>
      <c r="N34" s="387"/>
      <c r="O34" s="387"/>
      <c r="P34" s="105"/>
      <c r="Q34" s="175"/>
      <c r="R34" s="202"/>
      <c r="S34" s="105" t="e">
        <f t="shared" si="9"/>
        <v>#N/A</v>
      </c>
      <c r="T34" s="412"/>
      <c r="U34" s="105"/>
      <c r="V34" s="175"/>
      <c r="W34" s="202"/>
      <c r="X34" s="105" t="e">
        <f t="shared" si="10"/>
        <v>#N/A</v>
      </c>
      <c r="Y34" s="412"/>
      <c r="Z34" s="105"/>
      <c r="AA34" s="175"/>
      <c r="AB34" s="202"/>
      <c r="AC34" s="105" t="e">
        <f t="shared" si="11"/>
        <v>#N/A</v>
      </c>
      <c r="AD34" s="412"/>
      <c r="AE34" s="105"/>
      <c r="AF34" s="175"/>
      <c r="AG34" s="202"/>
      <c r="AH34" s="105" t="e">
        <f t="shared" si="12"/>
        <v>#N/A</v>
      </c>
      <c r="AI34" s="412"/>
      <c r="AJ34" s="105"/>
      <c r="AK34" s="175"/>
      <c r="AL34" s="202"/>
      <c r="AM34" s="105" t="e">
        <f t="shared" si="13"/>
        <v>#N/A</v>
      </c>
      <c r="AN34" s="412"/>
      <c r="AO34" s="105"/>
      <c r="AP34" s="175"/>
      <c r="AQ34" s="202"/>
      <c r="AR34" s="105" t="e">
        <f t="shared" si="14"/>
        <v>#N/A</v>
      </c>
      <c r="AS34" s="412"/>
      <c r="AT34" s="105"/>
      <c r="AU34" s="175"/>
      <c r="AV34" s="202"/>
      <c r="AW34" s="105" t="e">
        <f t="shared" si="15"/>
        <v>#N/A</v>
      </c>
      <c r="AX34" s="412"/>
    </row>
    <row r="35" spans="2:50">
      <c r="B35" s="398"/>
      <c r="C35" s="105">
        <v>9</v>
      </c>
      <c r="D35" s="105"/>
      <c r="E35" s="105"/>
      <c r="F35" s="105"/>
      <c r="G35" s="105"/>
      <c r="H35" s="385"/>
      <c r="I35" s="175"/>
      <c r="J35" s="175"/>
      <c r="K35" s="202"/>
      <c r="L35" s="385"/>
      <c r="M35" s="203" t="e">
        <f>RANK(K35, K$27:$K$41)</f>
        <v>#N/A</v>
      </c>
      <c r="N35" s="387"/>
      <c r="O35" s="387"/>
      <c r="P35" s="105"/>
      <c r="Q35" s="175"/>
      <c r="R35" s="202"/>
      <c r="S35" s="105" t="e">
        <f t="shared" si="9"/>
        <v>#N/A</v>
      </c>
      <c r="T35" s="412"/>
      <c r="U35" s="105"/>
      <c r="V35" s="175"/>
      <c r="W35" s="202"/>
      <c r="X35" s="105" t="e">
        <f t="shared" si="10"/>
        <v>#N/A</v>
      </c>
      <c r="Y35" s="412"/>
      <c r="Z35" s="105"/>
      <c r="AA35" s="175"/>
      <c r="AB35" s="202"/>
      <c r="AC35" s="105" t="e">
        <f t="shared" si="11"/>
        <v>#N/A</v>
      </c>
      <c r="AD35" s="412"/>
      <c r="AE35" s="105"/>
      <c r="AF35" s="175"/>
      <c r="AG35" s="202"/>
      <c r="AH35" s="105" t="e">
        <f t="shared" si="12"/>
        <v>#N/A</v>
      </c>
      <c r="AI35" s="412"/>
      <c r="AJ35" s="105"/>
      <c r="AK35" s="175"/>
      <c r="AL35" s="202"/>
      <c r="AM35" s="105" t="e">
        <f t="shared" si="13"/>
        <v>#N/A</v>
      </c>
      <c r="AN35" s="412"/>
      <c r="AO35" s="105"/>
      <c r="AP35" s="175"/>
      <c r="AQ35" s="202"/>
      <c r="AR35" s="105" t="e">
        <f t="shared" si="14"/>
        <v>#N/A</v>
      </c>
      <c r="AS35" s="412"/>
      <c r="AT35" s="105"/>
      <c r="AU35" s="175"/>
      <c r="AV35" s="202"/>
      <c r="AW35" s="105" t="e">
        <f t="shared" si="15"/>
        <v>#N/A</v>
      </c>
      <c r="AX35" s="412"/>
    </row>
    <row r="36" spans="2:50">
      <c r="B36" s="398"/>
      <c r="C36" s="105">
        <v>10</v>
      </c>
      <c r="D36" s="105"/>
      <c r="E36" s="105"/>
      <c r="F36" s="105"/>
      <c r="G36" s="105"/>
      <c r="H36" s="385"/>
      <c r="I36" s="175"/>
      <c r="J36" s="175"/>
      <c r="K36" s="202"/>
      <c r="L36" s="385"/>
      <c r="M36" s="203" t="e">
        <f>RANK(K36, K$27:$K$41)</f>
        <v>#N/A</v>
      </c>
      <c r="N36" s="387"/>
      <c r="O36" s="387"/>
      <c r="P36" s="105"/>
      <c r="Q36" s="175"/>
      <c r="R36" s="202"/>
      <c r="S36" s="105" t="e">
        <f t="shared" si="9"/>
        <v>#N/A</v>
      </c>
      <c r="T36" s="412"/>
      <c r="U36" s="105"/>
      <c r="V36" s="175"/>
      <c r="W36" s="202"/>
      <c r="X36" s="105" t="e">
        <f t="shared" si="10"/>
        <v>#N/A</v>
      </c>
      <c r="Y36" s="412"/>
      <c r="Z36" s="105"/>
      <c r="AA36" s="175"/>
      <c r="AB36" s="202"/>
      <c r="AC36" s="105" t="e">
        <f t="shared" si="11"/>
        <v>#N/A</v>
      </c>
      <c r="AD36" s="412"/>
      <c r="AE36" s="105"/>
      <c r="AF36" s="175"/>
      <c r="AG36" s="202"/>
      <c r="AH36" s="105" t="e">
        <f t="shared" si="12"/>
        <v>#N/A</v>
      </c>
      <c r="AI36" s="412"/>
      <c r="AJ36" s="105"/>
      <c r="AK36" s="175"/>
      <c r="AL36" s="202"/>
      <c r="AM36" s="105" t="e">
        <f t="shared" si="13"/>
        <v>#N/A</v>
      </c>
      <c r="AN36" s="412"/>
      <c r="AO36" s="105"/>
      <c r="AP36" s="175"/>
      <c r="AQ36" s="202"/>
      <c r="AR36" s="105" t="e">
        <f t="shared" si="14"/>
        <v>#N/A</v>
      </c>
      <c r="AS36" s="412"/>
      <c r="AT36" s="105"/>
      <c r="AU36" s="175"/>
      <c r="AV36" s="202"/>
      <c r="AW36" s="105" t="e">
        <f t="shared" si="15"/>
        <v>#N/A</v>
      </c>
      <c r="AX36" s="412"/>
    </row>
    <row r="37" spans="2:50">
      <c r="B37" s="398"/>
      <c r="C37" s="105">
        <v>11</v>
      </c>
      <c r="D37" s="105"/>
      <c r="E37" s="105"/>
      <c r="F37" s="105"/>
      <c r="G37" s="105"/>
      <c r="H37" s="385"/>
      <c r="I37" s="105"/>
      <c r="J37" s="105"/>
      <c r="K37" s="105"/>
      <c r="L37" s="385"/>
      <c r="M37" s="203" t="e">
        <f>RANK(K37, K$27:$K$41)</f>
        <v>#N/A</v>
      </c>
      <c r="N37" s="387"/>
      <c r="O37" s="387"/>
      <c r="P37" s="105"/>
      <c r="Q37" s="105"/>
      <c r="R37" s="105"/>
      <c r="S37" s="105" t="e">
        <f t="shared" si="9"/>
        <v>#N/A</v>
      </c>
      <c r="T37" s="412"/>
      <c r="U37" s="105"/>
      <c r="V37" s="105"/>
      <c r="W37" s="105"/>
      <c r="X37" s="105" t="e">
        <f t="shared" si="10"/>
        <v>#N/A</v>
      </c>
      <c r="Y37" s="412"/>
      <c r="Z37" s="105"/>
      <c r="AA37" s="105"/>
      <c r="AB37" s="105"/>
      <c r="AC37" s="105" t="e">
        <f t="shared" si="11"/>
        <v>#N/A</v>
      </c>
      <c r="AD37" s="412"/>
      <c r="AE37" s="105"/>
      <c r="AF37" s="105"/>
      <c r="AG37" s="105"/>
      <c r="AH37" s="105" t="e">
        <f t="shared" si="12"/>
        <v>#N/A</v>
      </c>
      <c r="AI37" s="412"/>
      <c r="AJ37" s="105"/>
      <c r="AK37" s="105"/>
      <c r="AL37" s="105"/>
      <c r="AM37" s="105" t="e">
        <f t="shared" si="13"/>
        <v>#N/A</v>
      </c>
      <c r="AN37" s="412"/>
      <c r="AO37" s="105"/>
      <c r="AP37" s="105"/>
      <c r="AQ37" s="105"/>
      <c r="AR37" s="105" t="e">
        <f t="shared" si="14"/>
        <v>#N/A</v>
      </c>
      <c r="AS37" s="412"/>
      <c r="AT37" s="105"/>
      <c r="AU37" s="105"/>
      <c r="AV37" s="105"/>
      <c r="AW37" s="105" t="e">
        <f t="shared" si="15"/>
        <v>#N/A</v>
      </c>
      <c r="AX37" s="412"/>
    </row>
    <row r="38" spans="2:50">
      <c r="B38" s="398"/>
      <c r="C38" s="105">
        <v>12</v>
      </c>
      <c r="D38" s="105"/>
      <c r="E38" s="105"/>
      <c r="F38" s="105"/>
      <c r="G38" s="105"/>
      <c r="H38" s="385"/>
      <c r="I38" s="105"/>
      <c r="J38" s="105"/>
      <c r="K38" s="105"/>
      <c r="L38" s="385"/>
      <c r="M38" s="203" t="e">
        <f>RANK(K38, K$27:$K$41)</f>
        <v>#N/A</v>
      </c>
      <c r="N38" s="387"/>
      <c r="O38" s="387"/>
      <c r="P38" s="105"/>
      <c r="Q38" s="105"/>
      <c r="R38" s="105"/>
      <c r="S38" s="105" t="e">
        <f t="shared" si="9"/>
        <v>#N/A</v>
      </c>
      <c r="T38" s="412"/>
      <c r="U38" s="105"/>
      <c r="V38" s="105"/>
      <c r="W38" s="105"/>
      <c r="X38" s="105" t="e">
        <f t="shared" si="10"/>
        <v>#N/A</v>
      </c>
      <c r="Y38" s="412"/>
      <c r="Z38" s="105"/>
      <c r="AA38" s="105"/>
      <c r="AB38" s="105"/>
      <c r="AC38" s="105" t="e">
        <f t="shared" si="11"/>
        <v>#N/A</v>
      </c>
      <c r="AD38" s="412"/>
      <c r="AE38" s="105"/>
      <c r="AF38" s="105"/>
      <c r="AG38" s="105"/>
      <c r="AH38" s="105" t="e">
        <f t="shared" si="12"/>
        <v>#N/A</v>
      </c>
      <c r="AI38" s="412"/>
      <c r="AJ38" s="105"/>
      <c r="AK38" s="105"/>
      <c r="AL38" s="105"/>
      <c r="AM38" s="105" t="e">
        <f t="shared" si="13"/>
        <v>#N/A</v>
      </c>
      <c r="AN38" s="412"/>
      <c r="AO38" s="105"/>
      <c r="AP38" s="105"/>
      <c r="AQ38" s="105"/>
      <c r="AR38" s="105" t="e">
        <f t="shared" si="14"/>
        <v>#N/A</v>
      </c>
      <c r="AS38" s="412"/>
      <c r="AT38" s="105"/>
      <c r="AU38" s="105"/>
      <c r="AV38" s="105"/>
      <c r="AW38" s="105" t="e">
        <f t="shared" si="15"/>
        <v>#N/A</v>
      </c>
      <c r="AX38" s="412"/>
    </row>
    <row r="39" spans="2:50">
      <c r="B39" s="398"/>
      <c r="C39" s="105">
        <v>13</v>
      </c>
      <c r="D39" s="105"/>
      <c r="E39" s="105"/>
      <c r="F39" s="105"/>
      <c r="G39" s="105"/>
      <c r="H39" s="385"/>
      <c r="I39" s="105"/>
      <c r="J39" s="105"/>
      <c r="K39" s="105"/>
      <c r="L39" s="385"/>
      <c r="M39" s="203" t="e">
        <f>RANK(K39, K$27:$K$41)</f>
        <v>#N/A</v>
      </c>
      <c r="N39" s="387"/>
      <c r="O39" s="387"/>
      <c r="P39" s="105"/>
      <c r="Q39" s="105"/>
      <c r="R39" s="105"/>
      <c r="S39" s="105" t="e">
        <f t="shared" si="9"/>
        <v>#N/A</v>
      </c>
      <c r="T39" s="412"/>
      <c r="U39" s="105"/>
      <c r="V39" s="105"/>
      <c r="W39" s="105"/>
      <c r="X39" s="105" t="e">
        <f t="shared" si="10"/>
        <v>#N/A</v>
      </c>
      <c r="Y39" s="412"/>
      <c r="Z39" s="105"/>
      <c r="AA39" s="105"/>
      <c r="AB39" s="105"/>
      <c r="AC39" s="105" t="e">
        <f t="shared" si="11"/>
        <v>#N/A</v>
      </c>
      <c r="AD39" s="412"/>
      <c r="AE39" s="105"/>
      <c r="AF39" s="105"/>
      <c r="AG39" s="105"/>
      <c r="AH39" s="105" t="e">
        <f t="shared" si="12"/>
        <v>#N/A</v>
      </c>
      <c r="AI39" s="412"/>
      <c r="AJ39" s="105"/>
      <c r="AK39" s="105"/>
      <c r="AL39" s="105"/>
      <c r="AM39" s="105" t="e">
        <f t="shared" si="13"/>
        <v>#N/A</v>
      </c>
      <c r="AN39" s="412"/>
      <c r="AO39" s="105"/>
      <c r="AP39" s="105"/>
      <c r="AQ39" s="105"/>
      <c r="AR39" s="105" t="e">
        <f t="shared" si="14"/>
        <v>#N/A</v>
      </c>
      <c r="AS39" s="412"/>
      <c r="AT39" s="105"/>
      <c r="AU39" s="105"/>
      <c r="AV39" s="105"/>
      <c r="AW39" s="105" t="e">
        <f t="shared" si="15"/>
        <v>#N/A</v>
      </c>
      <c r="AX39" s="412"/>
    </row>
    <row r="40" spans="2:50">
      <c r="B40" s="398"/>
      <c r="C40" s="105">
        <v>14</v>
      </c>
      <c r="D40" s="105"/>
      <c r="E40" s="105"/>
      <c r="F40" s="105"/>
      <c r="G40" s="105"/>
      <c r="H40" s="385"/>
      <c r="I40" s="105"/>
      <c r="J40" s="105"/>
      <c r="K40" s="105"/>
      <c r="L40" s="385"/>
      <c r="M40" s="203" t="e">
        <f>RANK(K40, K$27:$K$41)</f>
        <v>#N/A</v>
      </c>
      <c r="N40" s="387"/>
      <c r="O40" s="387"/>
      <c r="P40" s="105"/>
      <c r="Q40" s="105"/>
      <c r="R40" s="105"/>
      <c r="S40" s="105" t="e">
        <f t="shared" si="9"/>
        <v>#N/A</v>
      </c>
      <c r="T40" s="412"/>
      <c r="U40" s="105"/>
      <c r="V40" s="105"/>
      <c r="W40" s="105"/>
      <c r="X40" s="105" t="e">
        <f t="shared" si="10"/>
        <v>#N/A</v>
      </c>
      <c r="Y40" s="412"/>
      <c r="Z40" s="105"/>
      <c r="AA40" s="105"/>
      <c r="AB40" s="105"/>
      <c r="AC40" s="105" t="e">
        <f t="shared" si="11"/>
        <v>#N/A</v>
      </c>
      <c r="AD40" s="412"/>
      <c r="AE40" s="105"/>
      <c r="AF40" s="105"/>
      <c r="AG40" s="105"/>
      <c r="AH40" s="105" t="e">
        <f t="shared" si="12"/>
        <v>#N/A</v>
      </c>
      <c r="AI40" s="412"/>
      <c r="AJ40" s="105"/>
      <c r="AK40" s="105"/>
      <c r="AL40" s="105"/>
      <c r="AM40" s="105" t="e">
        <f t="shared" si="13"/>
        <v>#N/A</v>
      </c>
      <c r="AN40" s="412"/>
      <c r="AO40" s="105"/>
      <c r="AP40" s="105"/>
      <c r="AQ40" s="105"/>
      <c r="AR40" s="105" t="e">
        <f t="shared" si="14"/>
        <v>#N/A</v>
      </c>
      <c r="AS40" s="412"/>
      <c r="AT40" s="105"/>
      <c r="AU40" s="105"/>
      <c r="AV40" s="105"/>
      <c r="AW40" s="105" t="e">
        <f t="shared" si="15"/>
        <v>#N/A</v>
      </c>
      <c r="AX40" s="412"/>
    </row>
    <row r="41" spans="2:50">
      <c r="B41" s="398"/>
      <c r="C41" s="105">
        <v>15</v>
      </c>
      <c r="D41" s="105"/>
      <c r="E41" s="105"/>
      <c r="F41" s="105"/>
      <c r="G41" s="105"/>
      <c r="H41" s="386"/>
      <c r="I41" s="105"/>
      <c r="J41" s="105"/>
      <c r="K41" s="105"/>
      <c r="L41" s="386"/>
      <c r="M41" s="175" t="e">
        <f>RANK(K41, K$27:$K$41)</f>
        <v>#N/A</v>
      </c>
      <c r="N41" s="387"/>
      <c r="O41" s="387"/>
      <c r="P41" s="105"/>
      <c r="Q41" s="105"/>
      <c r="R41" s="105"/>
      <c r="S41" s="105" t="e">
        <f t="shared" si="9"/>
        <v>#N/A</v>
      </c>
      <c r="T41" s="412"/>
      <c r="U41" s="105"/>
      <c r="V41" s="105"/>
      <c r="W41" s="105"/>
      <c r="X41" s="105" t="e">
        <f t="shared" si="10"/>
        <v>#N/A</v>
      </c>
      <c r="Y41" s="412"/>
      <c r="Z41" s="105"/>
      <c r="AA41" s="105"/>
      <c r="AB41" s="105"/>
      <c r="AC41" s="105" t="e">
        <f t="shared" si="11"/>
        <v>#N/A</v>
      </c>
      <c r="AD41" s="412"/>
      <c r="AE41" s="105"/>
      <c r="AF41" s="105"/>
      <c r="AG41" s="105"/>
      <c r="AH41" s="105" t="e">
        <f t="shared" si="12"/>
        <v>#N/A</v>
      </c>
      <c r="AI41" s="412"/>
      <c r="AJ41" s="105"/>
      <c r="AK41" s="105"/>
      <c r="AL41" s="105"/>
      <c r="AM41" s="105" t="e">
        <f t="shared" si="13"/>
        <v>#N/A</v>
      </c>
      <c r="AN41" s="412"/>
      <c r="AO41" s="105"/>
      <c r="AP41" s="105"/>
      <c r="AQ41" s="105"/>
      <c r="AR41" s="105" t="e">
        <f t="shared" si="14"/>
        <v>#N/A</v>
      </c>
      <c r="AS41" s="412"/>
      <c r="AT41" s="105"/>
      <c r="AU41" s="105"/>
      <c r="AV41" s="105"/>
      <c r="AW41" s="105" t="e">
        <f t="shared" si="15"/>
        <v>#N/A</v>
      </c>
      <c r="AX41" s="412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6">Z42+1</f>
        <v>45884</v>
      </c>
      <c r="AF42" s="395"/>
      <c r="AG42" s="395"/>
      <c r="AH42" s="395"/>
      <c r="AI42" s="396"/>
      <c r="AJ42" s="394">
        <f t="shared" ref="AJ42" si="17">AE42+1</f>
        <v>45885</v>
      </c>
      <c r="AK42" s="395"/>
      <c r="AL42" s="395"/>
      <c r="AM42" s="395"/>
      <c r="AN42" s="396"/>
      <c r="AO42" s="394">
        <f t="shared" ref="AO42" si="18">AJ42+1</f>
        <v>45886</v>
      </c>
      <c r="AP42" s="395"/>
      <c r="AQ42" s="395"/>
      <c r="AR42" s="395"/>
      <c r="AS42" s="396"/>
      <c r="AT42" s="394">
        <f t="shared" ref="AT42" si="19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413" t="s">
        <v>234</v>
      </c>
      <c r="C47" s="105">
        <v>1</v>
      </c>
      <c r="D47" s="105" t="s">
        <v>235</v>
      </c>
      <c r="E47" s="105">
        <v>15</v>
      </c>
      <c r="F47" s="105">
        <v>1200</v>
      </c>
      <c r="G47" s="105">
        <v>80</v>
      </c>
      <c r="H47" s="384">
        <f>AVERAGE(G47:G61)</f>
        <v>201.02857142857144</v>
      </c>
      <c r="I47" s="175">
        <f>AVERAGE(P47,U47,Z47,AE47,AJ47,AO47,AT47)</f>
        <v>13</v>
      </c>
      <c r="J47" s="175">
        <f>AVERAGE(Q47,V47,AA47,AF47,AK47,AP47,AU47)</f>
        <v>1268.5643166357445</v>
      </c>
      <c r="K47" s="202">
        <f>AVERAGE(R47,W47,AB47,AG47,AL47,AQ47,AV47)</f>
        <v>97.581870510441902</v>
      </c>
      <c r="L47" s="384">
        <f>IFERROR(AVERAGE(K47:K61),"-")</f>
        <v>201.53936261121274</v>
      </c>
      <c r="M47" s="203">
        <f>RANK(K47, K$47:$K$61)</f>
        <v>7</v>
      </c>
      <c r="N47" s="387"/>
      <c r="O47" s="387"/>
      <c r="P47" s="105">
        <v>13</v>
      </c>
      <c r="Q47" s="175">
        <v>990.54545454545382</v>
      </c>
      <c r="R47" s="202">
        <v>76.195804195804143</v>
      </c>
      <c r="S47" s="105">
        <f>RANK(R47, R$47:R$61)</f>
        <v>7</v>
      </c>
      <c r="T47" s="412">
        <f>AVERAGE(R47:R61)</f>
        <v>192.92802086802075</v>
      </c>
      <c r="U47" s="105">
        <v>13</v>
      </c>
      <c r="V47" s="175">
        <v>1462.2857142857126</v>
      </c>
      <c r="W47" s="202">
        <v>112.48351648351635</v>
      </c>
      <c r="X47" s="105">
        <f>RANK(W47, W$47:W$61)</f>
        <v>7</v>
      </c>
      <c r="Y47" s="412">
        <f>AVERAGE(W47:W61)</f>
        <v>205.6275396524658</v>
      </c>
      <c r="Z47" s="105">
        <v>13</v>
      </c>
      <c r="AA47" s="175">
        <v>1597.9999999999973</v>
      </c>
      <c r="AB47" s="202">
        <v>122.92307692307671</v>
      </c>
      <c r="AC47" s="105">
        <f>RANK(AB47, AB$47:AB$61)</f>
        <v>7</v>
      </c>
      <c r="AD47" s="412">
        <f>AVERAGE(AB47:AB61)</f>
        <v>206.14178876678855</v>
      </c>
      <c r="AE47" s="105">
        <v>13</v>
      </c>
      <c r="AF47" s="175">
        <v>1198.2857142857158</v>
      </c>
      <c r="AG47" s="202">
        <v>92.175824175824289</v>
      </c>
      <c r="AH47" s="105">
        <f>RANK(AG47, AG$47:AG$61)</f>
        <v>7</v>
      </c>
      <c r="AI47" s="412">
        <f>AVERAGE(AG47:AG61)</f>
        <v>199.07024404167277</v>
      </c>
      <c r="AJ47" s="105">
        <v>13</v>
      </c>
      <c r="AK47" s="175">
        <v>1236.0000000000016</v>
      </c>
      <c r="AL47" s="202">
        <v>95.076923076923194</v>
      </c>
      <c r="AM47" s="105">
        <f>RANK(AL47, AL$47:AL$61)</f>
        <v>7</v>
      </c>
      <c r="AN47" s="412">
        <f>AVERAGE(AL47:AL61)</f>
        <v>199.56303906177871</v>
      </c>
      <c r="AO47" s="105">
        <v>13</v>
      </c>
      <c r="AP47" s="175">
        <v>1181.3333333333312</v>
      </c>
      <c r="AQ47" s="202">
        <v>90.871794871794705</v>
      </c>
      <c r="AR47" s="105">
        <f>RANK(AQ47, AQ$47:AQ$61)</f>
        <v>7</v>
      </c>
      <c r="AS47" s="412">
        <f>AVERAGE(AQ47:AQ61)</f>
        <v>205.60282495282485</v>
      </c>
      <c r="AT47" s="105">
        <v>13</v>
      </c>
      <c r="AU47" s="175">
        <v>1213.4999999999995</v>
      </c>
      <c r="AV47" s="202">
        <v>93.346153846153811</v>
      </c>
      <c r="AW47" s="105">
        <f>RANK(AV47, AV$47:AV$61)</f>
        <v>7</v>
      </c>
      <c r="AX47" s="412">
        <f>AVERAGE(AV47:AV61)</f>
        <v>201.84208093493785</v>
      </c>
    </row>
    <row r="48" spans="2:50">
      <c r="B48" s="398"/>
      <c r="C48" s="105">
        <v>2</v>
      </c>
      <c r="D48" s="105" t="s">
        <v>236</v>
      </c>
      <c r="E48" s="105">
        <v>10</v>
      </c>
      <c r="F48" s="105">
        <v>1500</v>
      </c>
      <c r="G48" s="105">
        <v>150</v>
      </c>
      <c r="H48" s="385"/>
      <c r="I48" s="175">
        <f t="shared" ref="I48:K53" si="20">AVERAGE(P48,U48,Z48,AE48,AJ48,AO48,AT48)</f>
        <v>10</v>
      </c>
      <c r="J48" s="175">
        <f t="shared" si="20"/>
        <v>1470.8069264069256</v>
      </c>
      <c r="K48" s="202">
        <f t="shared" si="20"/>
        <v>147.08069264069258</v>
      </c>
      <c r="L48" s="385"/>
      <c r="M48" s="203">
        <f>RANK(K48, K$47:$K$61)</f>
        <v>4</v>
      </c>
      <c r="N48" s="387"/>
      <c r="O48" s="387"/>
      <c r="P48" s="105">
        <v>10</v>
      </c>
      <c r="Q48" s="175">
        <v>1519.199999999998</v>
      </c>
      <c r="R48" s="202">
        <v>151.91999999999979</v>
      </c>
      <c r="S48" s="105">
        <f t="shared" ref="S48:S61" si="21">RANK(R48, R$47:R$61)</f>
        <v>4</v>
      </c>
      <c r="T48" s="412"/>
      <c r="U48" s="105">
        <v>10</v>
      </c>
      <c r="V48" s="175">
        <v>1449.5999999999981</v>
      </c>
      <c r="W48" s="202">
        <v>144.95999999999981</v>
      </c>
      <c r="X48" s="105">
        <f t="shared" ref="X48:X61" si="22">RANK(W48, W$47:W$61)</f>
        <v>6</v>
      </c>
      <c r="Y48" s="412"/>
      <c r="Z48" s="105">
        <v>10</v>
      </c>
      <c r="AA48" s="175">
        <v>1481.999999999998</v>
      </c>
      <c r="AB48" s="202">
        <v>148.19999999999979</v>
      </c>
      <c r="AC48" s="105">
        <f t="shared" ref="AC48:AC61" si="23">RANK(AB48, AB$47:AB$61)</f>
        <v>4</v>
      </c>
      <c r="AD48" s="412"/>
      <c r="AE48" s="105">
        <v>10</v>
      </c>
      <c r="AF48" s="175">
        <v>1418.6666666666667</v>
      </c>
      <c r="AG48" s="202">
        <v>141.86666666666667</v>
      </c>
      <c r="AH48" s="105">
        <f t="shared" ref="AH48:AH61" si="24">RANK(AG48, AG$47:AG$61)</f>
        <v>5</v>
      </c>
      <c r="AI48" s="412"/>
      <c r="AJ48" s="105">
        <v>10</v>
      </c>
      <c r="AK48" s="175">
        <v>1424</v>
      </c>
      <c r="AL48" s="202">
        <v>142.4</v>
      </c>
      <c r="AM48" s="105">
        <f t="shared" ref="AM48:AM61" si="25">RANK(AL48, AL$47:AL$61)</f>
        <v>5</v>
      </c>
      <c r="AN48" s="412"/>
      <c r="AO48" s="105">
        <v>10</v>
      </c>
      <c r="AP48" s="175">
        <v>1466.1818181818192</v>
      </c>
      <c r="AQ48" s="202">
        <v>146.61818181818191</v>
      </c>
      <c r="AR48" s="105">
        <f t="shared" ref="AR48:AR61" si="26">RANK(AQ48, AQ$47:AQ$61)</f>
        <v>6</v>
      </c>
      <c r="AS48" s="412"/>
      <c r="AT48" s="105">
        <v>10</v>
      </c>
      <c r="AU48" s="175">
        <v>1536.0000000000005</v>
      </c>
      <c r="AV48" s="202">
        <v>153.60000000000005</v>
      </c>
      <c r="AW48" s="105">
        <f t="shared" ref="AW48:AW61" si="27">RANK(AV48, AV$47:AV$61)</f>
        <v>4</v>
      </c>
      <c r="AX48" s="412"/>
    </row>
    <row r="49" spans="2:50">
      <c r="B49" s="398"/>
      <c r="C49" s="105">
        <v>3</v>
      </c>
      <c r="D49" s="105" t="s">
        <v>237</v>
      </c>
      <c r="E49" s="105">
        <v>10</v>
      </c>
      <c r="F49" s="105">
        <v>1636</v>
      </c>
      <c r="G49" s="105">
        <v>163.6</v>
      </c>
      <c r="H49" s="385"/>
      <c r="I49" s="175">
        <f t="shared" si="20"/>
        <v>12</v>
      </c>
      <c r="J49" s="175">
        <f t="shared" si="20"/>
        <v>1721.038095238096</v>
      </c>
      <c r="K49" s="202">
        <f t="shared" si="20"/>
        <v>143.41984126984136</v>
      </c>
      <c r="L49" s="385"/>
      <c r="M49" s="203">
        <f>RANK(K49, K$47:$K$61)</f>
        <v>6</v>
      </c>
      <c r="N49" s="387"/>
      <c r="O49" s="387"/>
      <c r="P49" s="105">
        <v>12</v>
      </c>
      <c r="Q49" s="175">
        <v>1527.6000000000031</v>
      </c>
      <c r="R49" s="202">
        <v>127.30000000000025</v>
      </c>
      <c r="S49" s="105">
        <f t="shared" si="21"/>
        <v>6</v>
      </c>
      <c r="T49" s="412"/>
      <c r="U49" s="105">
        <v>12</v>
      </c>
      <c r="V49" s="175">
        <v>1841.9999999999993</v>
      </c>
      <c r="W49" s="202">
        <v>153.49999999999994</v>
      </c>
      <c r="X49" s="105">
        <f t="shared" si="22"/>
        <v>5</v>
      </c>
      <c r="Y49" s="412"/>
      <c r="Z49" s="105">
        <v>12</v>
      </c>
      <c r="AA49" s="175">
        <v>1685.3333333333333</v>
      </c>
      <c r="AB49" s="202">
        <v>140.44444444444443</v>
      </c>
      <c r="AC49" s="105">
        <f t="shared" si="23"/>
        <v>6</v>
      </c>
      <c r="AD49" s="412"/>
      <c r="AE49" s="105">
        <v>12</v>
      </c>
      <c r="AF49" s="175">
        <v>1668.0000000000025</v>
      </c>
      <c r="AG49" s="202">
        <v>139.0000000000002</v>
      </c>
      <c r="AH49" s="105">
        <f t="shared" si="24"/>
        <v>6</v>
      </c>
      <c r="AI49" s="412"/>
      <c r="AJ49" s="105">
        <v>12</v>
      </c>
      <c r="AK49" s="175">
        <v>1683.0000000000025</v>
      </c>
      <c r="AL49" s="202">
        <v>140.2500000000002</v>
      </c>
      <c r="AM49" s="105">
        <f t="shared" si="25"/>
        <v>6</v>
      </c>
      <c r="AN49" s="412"/>
      <c r="AO49" s="105">
        <v>12</v>
      </c>
      <c r="AP49" s="175">
        <v>1822.6666666666665</v>
      </c>
      <c r="AQ49" s="202">
        <v>151.88888888888889</v>
      </c>
      <c r="AR49" s="105">
        <f t="shared" si="26"/>
        <v>5</v>
      </c>
      <c r="AS49" s="412"/>
      <c r="AT49" s="105">
        <v>12</v>
      </c>
      <c r="AU49" s="175">
        <v>1818.6666666666665</v>
      </c>
      <c r="AV49" s="202">
        <v>151.55555555555554</v>
      </c>
      <c r="AW49" s="105">
        <f t="shared" si="27"/>
        <v>6</v>
      </c>
      <c r="AX49" s="412"/>
    </row>
    <row r="50" spans="2:50">
      <c r="B50" s="398"/>
      <c r="C50" s="105">
        <v>4</v>
      </c>
      <c r="D50" s="105" t="s">
        <v>238</v>
      </c>
      <c r="E50" s="105">
        <v>10</v>
      </c>
      <c r="F50" s="105">
        <v>1636</v>
      </c>
      <c r="G50" s="105">
        <v>163.6</v>
      </c>
      <c r="H50" s="385"/>
      <c r="I50" s="175">
        <f t="shared" si="20"/>
        <v>12</v>
      </c>
      <c r="J50" s="175">
        <f t="shared" si="20"/>
        <v>1761.2823129251706</v>
      </c>
      <c r="K50" s="202">
        <f t="shared" si="20"/>
        <v>146.77352607709756</v>
      </c>
      <c r="L50" s="385"/>
      <c r="M50" s="203">
        <f>RANK(K50, K$47:$K$61)</f>
        <v>5</v>
      </c>
      <c r="N50" s="387"/>
      <c r="O50" s="387"/>
      <c r="P50" s="105">
        <v>12</v>
      </c>
      <c r="Q50" s="175">
        <v>1537.333333333336</v>
      </c>
      <c r="R50" s="202">
        <v>128.11111111111134</v>
      </c>
      <c r="S50" s="105">
        <f t="shared" si="21"/>
        <v>5</v>
      </c>
      <c r="T50" s="412"/>
      <c r="U50" s="105">
        <v>12</v>
      </c>
      <c r="V50" s="175">
        <v>1865.1428571428594</v>
      </c>
      <c r="W50" s="202">
        <v>155.42857142857162</v>
      </c>
      <c r="X50" s="105">
        <f t="shared" si="22"/>
        <v>4</v>
      </c>
      <c r="Y50" s="412"/>
      <c r="Z50" s="105">
        <v>12</v>
      </c>
      <c r="AA50" s="175">
        <v>1723.4999999999995</v>
      </c>
      <c r="AB50" s="202">
        <v>143.62499999999997</v>
      </c>
      <c r="AC50" s="105">
        <f t="shared" si="23"/>
        <v>5</v>
      </c>
      <c r="AD50" s="412"/>
      <c r="AE50" s="105">
        <v>12</v>
      </c>
      <c r="AF50" s="175">
        <v>1726.2857142857165</v>
      </c>
      <c r="AG50" s="202">
        <v>143.85714285714303</v>
      </c>
      <c r="AH50" s="105">
        <f t="shared" si="24"/>
        <v>4</v>
      </c>
      <c r="AI50" s="412"/>
      <c r="AJ50" s="105">
        <v>12</v>
      </c>
      <c r="AK50" s="175">
        <v>1729.714285714284</v>
      </c>
      <c r="AL50" s="202">
        <v>144.142857142857</v>
      </c>
      <c r="AM50" s="105">
        <f t="shared" si="25"/>
        <v>4</v>
      </c>
      <c r="AN50" s="412"/>
      <c r="AO50" s="105">
        <v>12</v>
      </c>
      <c r="AP50" s="175">
        <v>1924.5000000000032</v>
      </c>
      <c r="AQ50" s="202">
        <v>160.37500000000026</v>
      </c>
      <c r="AR50" s="105">
        <f t="shared" si="26"/>
        <v>4</v>
      </c>
      <c r="AS50" s="412"/>
      <c r="AT50" s="105">
        <v>12</v>
      </c>
      <c r="AU50" s="175">
        <v>1822.4999999999955</v>
      </c>
      <c r="AV50" s="202">
        <v>151.87499999999963</v>
      </c>
      <c r="AW50" s="105">
        <f t="shared" si="27"/>
        <v>5</v>
      </c>
      <c r="AX50" s="412"/>
    </row>
    <row r="51" spans="2:50">
      <c r="B51" s="398"/>
      <c r="C51" s="105">
        <v>5</v>
      </c>
      <c r="D51" s="105" t="s">
        <v>239</v>
      </c>
      <c r="E51" s="105">
        <v>6</v>
      </c>
      <c r="F51" s="105">
        <v>1500</v>
      </c>
      <c r="G51" s="105">
        <v>250</v>
      </c>
      <c r="H51" s="385"/>
      <c r="I51" s="175">
        <f t="shared" si="20"/>
        <v>5</v>
      </c>
      <c r="J51" s="175">
        <f t="shared" si="20"/>
        <v>1464.4891047328015</v>
      </c>
      <c r="K51" s="202">
        <f t="shared" si="20"/>
        <v>292.89782094656033</v>
      </c>
      <c r="L51" s="385"/>
      <c r="M51" s="203">
        <f>RANK(K51, K$47:$K$61)</f>
        <v>2</v>
      </c>
      <c r="N51" s="387"/>
      <c r="O51" s="387"/>
      <c r="P51" s="105">
        <v>5</v>
      </c>
      <c r="Q51" s="175">
        <v>1484.9999999999995</v>
      </c>
      <c r="R51" s="202">
        <v>296.99999999999989</v>
      </c>
      <c r="S51" s="105">
        <f t="shared" si="21"/>
        <v>1</v>
      </c>
      <c r="T51" s="412"/>
      <c r="U51" s="105">
        <v>5</v>
      </c>
      <c r="V51" s="175">
        <v>1451.9999999999995</v>
      </c>
      <c r="W51" s="202">
        <v>290.39999999999992</v>
      </c>
      <c r="X51" s="105">
        <f t="shared" si="22"/>
        <v>2</v>
      </c>
      <c r="Y51" s="412"/>
      <c r="Z51" s="105">
        <v>5</v>
      </c>
      <c r="AA51" s="175">
        <v>1475.9999999999995</v>
      </c>
      <c r="AB51" s="202">
        <v>295.19999999999993</v>
      </c>
      <c r="AC51" s="105">
        <f t="shared" si="23"/>
        <v>2</v>
      </c>
      <c r="AD51" s="412"/>
      <c r="AE51" s="105">
        <v>5</v>
      </c>
      <c r="AF51" s="175">
        <v>1496.6666666666656</v>
      </c>
      <c r="AG51" s="202">
        <v>299.33333333333314</v>
      </c>
      <c r="AH51" s="105">
        <f t="shared" si="24"/>
        <v>1</v>
      </c>
      <c r="AI51" s="412"/>
      <c r="AJ51" s="105">
        <v>5</v>
      </c>
      <c r="AK51" s="175">
        <v>1450.588235294116</v>
      </c>
      <c r="AL51" s="202">
        <v>290.1176470588232</v>
      </c>
      <c r="AM51" s="105">
        <f t="shared" si="25"/>
        <v>3</v>
      </c>
      <c r="AN51" s="412"/>
      <c r="AO51" s="105">
        <v>5</v>
      </c>
      <c r="AP51" s="175">
        <v>1445.4545454545455</v>
      </c>
      <c r="AQ51" s="202">
        <v>289.09090909090912</v>
      </c>
      <c r="AR51" s="105">
        <f t="shared" si="26"/>
        <v>3</v>
      </c>
      <c r="AS51" s="412"/>
      <c r="AT51" s="105">
        <v>5</v>
      </c>
      <c r="AU51" s="175">
        <v>1445.7142857142853</v>
      </c>
      <c r="AV51" s="202">
        <v>289.14285714285705</v>
      </c>
      <c r="AW51" s="105">
        <f t="shared" si="27"/>
        <v>2</v>
      </c>
      <c r="AX51" s="412"/>
    </row>
    <row r="52" spans="2:50">
      <c r="B52" s="398"/>
      <c r="C52" s="105">
        <v>6</v>
      </c>
      <c r="D52" s="105" t="s">
        <v>240</v>
      </c>
      <c r="E52" s="105">
        <v>5</v>
      </c>
      <c r="F52" s="105">
        <v>1500</v>
      </c>
      <c r="G52" s="105">
        <v>300</v>
      </c>
      <c r="H52" s="385"/>
      <c r="I52" s="175">
        <f t="shared" si="20"/>
        <v>5</v>
      </c>
      <c r="J52" s="175">
        <f t="shared" si="20"/>
        <v>1477.429613489958</v>
      </c>
      <c r="K52" s="202">
        <f t="shared" si="20"/>
        <v>295.48592269799161</v>
      </c>
      <c r="L52" s="385"/>
      <c r="M52" s="203">
        <f>RANK(K52, K$47:$K$61)</f>
        <v>1</v>
      </c>
      <c r="N52" s="387"/>
      <c r="O52" s="387"/>
      <c r="P52" s="105">
        <v>5</v>
      </c>
      <c r="Q52" s="175">
        <v>1455.9999999999993</v>
      </c>
      <c r="R52" s="202">
        <v>291.19999999999987</v>
      </c>
      <c r="S52" s="105">
        <f t="shared" si="21"/>
        <v>2</v>
      </c>
      <c r="T52" s="412"/>
      <c r="U52" s="105">
        <v>5</v>
      </c>
      <c r="V52" s="175">
        <v>1473.1034482758632</v>
      </c>
      <c r="W52" s="202">
        <v>294.62068965517267</v>
      </c>
      <c r="X52" s="105">
        <f t="shared" si="22"/>
        <v>1</v>
      </c>
      <c r="Y52" s="412"/>
      <c r="Z52" s="105">
        <v>5</v>
      </c>
      <c r="AA52" s="175">
        <v>1497.9999999999993</v>
      </c>
      <c r="AB52" s="202">
        <v>299.59999999999985</v>
      </c>
      <c r="AC52" s="105">
        <f t="shared" si="23"/>
        <v>1</v>
      </c>
      <c r="AD52" s="412"/>
      <c r="AE52" s="105">
        <v>5</v>
      </c>
      <c r="AF52" s="175">
        <v>1495.3846153846137</v>
      </c>
      <c r="AG52" s="202">
        <v>299.07692307692275</v>
      </c>
      <c r="AH52" s="105">
        <f t="shared" si="24"/>
        <v>2</v>
      </c>
      <c r="AI52" s="412"/>
      <c r="AJ52" s="105">
        <v>5</v>
      </c>
      <c r="AK52" s="175">
        <v>1460.7692307692316</v>
      </c>
      <c r="AL52" s="202">
        <v>292.1538461538463</v>
      </c>
      <c r="AM52" s="105">
        <f t="shared" si="25"/>
        <v>2</v>
      </c>
      <c r="AN52" s="412"/>
      <c r="AO52" s="105">
        <v>5</v>
      </c>
      <c r="AP52" s="175">
        <v>1501.8749999999995</v>
      </c>
      <c r="AQ52" s="202">
        <v>300.37499999999989</v>
      </c>
      <c r="AR52" s="105">
        <f t="shared" si="26"/>
        <v>1</v>
      </c>
      <c r="AS52" s="412"/>
      <c r="AT52" s="105">
        <v>5</v>
      </c>
      <c r="AU52" s="175">
        <v>1456.8749999999995</v>
      </c>
      <c r="AV52" s="202">
        <v>291.37499999999989</v>
      </c>
      <c r="AW52" s="105">
        <f t="shared" si="27"/>
        <v>1</v>
      </c>
      <c r="AX52" s="412"/>
    </row>
    <row r="53" spans="2:50">
      <c r="B53" s="398"/>
      <c r="C53" s="105">
        <v>7</v>
      </c>
      <c r="D53" s="105" t="s">
        <v>241</v>
      </c>
      <c r="E53" s="105">
        <v>5</v>
      </c>
      <c r="F53" s="105">
        <v>1500</v>
      </c>
      <c r="G53" s="105">
        <v>300</v>
      </c>
      <c r="H53" s="385"/>
      <c r="I53" s="175">
        <f t="shared" si="20"/>
        <v>5</v>
      </c>
      <c r="J53" s="175">
        <f t="shared" si="20"/>
        <v>1437.6793206793202</v>
      </c>
      <c r="K53" s="202">
        <f t="shared" si="20"/>
        <v>287.53586413586396</v>
      </c>
      <c r="L53" s="385"/>
      <c r="M53" s="203">
        <f>RANK(K53, K$47:$K$61)</f>
        <v>3</v>
      </c>
      <c r="N53" s="387"/>
      <c r="O53" s="387"/>
      <c r="P53" s="105">
        <v>5</v>
      </c>
      <c r="Q53" s="175">
        <v>1393.8461538461502</v>
      </c>
      <c r="R53" s="202">
        <v>278.76923076923003</v>
      </c>
      <c r="S53" s="105">
        <f t="shared" si="21"/>
        <v>3</v>
      </c>
      <c r="T53" s="412"/>
      <c r="U53" s="105">
        <v>5</v>
      </c>
      <c r="V53" s="175">
        <v>1440.0000000000005</v>
      </c>
      <c r="W53" s="202">
        <v>288.00000000000011</v>
      </c>
      <c r="X53" s="105">
        <f t="shared" si="22"/>
        <v>3</v>
      </c>
      <c r="Y53" s="412"/>
      <c r="Z53" s="105">
        <v>5</v>
      </c>
      <c r="AA53" s="175">
        <v>1464.9999999999955</v>
      </c>
      <c r="AB53" s="202">
        <v>292.99999999999909</v>
      </c>
      <c r="AC53" s="105">
        <f t="shared" si="23"/>
        <v>3</v>
      </c>
      <c r="AD53" s="412"/>
      <c r="AE53" s="105">
        <v>5</v>
      </c>
      <c r="AF53" s="175">
        <v>1390.909090909096</v>
      </c>
      <c r="AG53" s="202">
        <v>278.18181818181921</v>
      </c>
      <c r="AH53" s="105">
        <f t="shared" si="24"/>
        <v>3</v>
      </c>
      <c r="AI53" s="412"/>
      <c r="AJ53" s="105">
        <v>5</v>
      </c>
      <c r="AK53" s="175">
        <v>1464.0000000000052</v>
      </c>
      <c r="AL53" s="202">
        <v>292.80000000000103</v>
      </c>
      <c r="AM53" s="105">
        <f t="shared" si="25"/>
        <v>1</v>
      </c>
      <c r="AN53" s="412"/>
      <c r="AO53" s="105">
        <v>5</v>
      </c>
      <c r="AP53" s="175">
        <v>1499.9999999999961</v>
      </c>
      <c r="AQ53" s="202">
        <v>299.9999999999992</v>
      </c>
      <c r="AR53" s="105">
        <f t="shared" si="26"/>
        <v>2</v>
      </c>
      <c r="AS53" s="412"/>
      <c r="AT53" s="105">
        <v>5</v>
      </c>
      <c r="AU53" s="175">
        <v>1409.9999999999955</v>
      </c>
      <c r="AV53" s="202">
        <v>281.99999999999909</v>
      </c>
      <c r="AW53" s="105">
        <f t="shared" si="27"/>
        <v>3</v>
      </c>
      <c r="AX53" s="412"/>
    </row>
    <row r="54" spans="2:50">
      <c r="B54" s="398"/>
      <c r="C54" s="105">
        <v>8</v>
      </c>
      <c r="D54" s="105"/>
      <c r="E54" s="105"/>
      <c r="F54" s="105"/>
      <c r="G54" s="105"/>
      <c r="H54" s="385"/>
      <c r="I54" s="175"/>
      <c r="J54" s="175"/>
      <c r="K54" s="202"/>
      <c r="L54" s="385"/>
      <c r="M54" s="203" t="e">
        <f>RANK(K54, K$47:$K$61)</f>
        <v>#N/A</v>
      </c>
      <c r="N54" s="387"/>
      <c r="O54" s="387"/>
      <c r="P54" s="105"/>
      <c r="Q54" s="175"/>
      <c r="R54" s="202"/>
      <c r="S54" s="105" t="e">
        <f t="shared" si="21"/>
        <v>#N/A</v>
      </c>
      <c r="T54" s="412"/>
      <c r="U54" s="105"/>
      <c r="V54" s="175"/>
      <c r="W54" s="202"/>
      <c r="X54" s="105" t="e">
        <f t="shared" si="22"/>
        <v>#N/A</v>
      </c>
      <c r="Y54" s="412"/>
      <c r="Z54" s="105"/>
      <c r="AA54" s="175"/>
      <c r="AB54" s="202"/>
      <c r="AC54" s="105" t="e">
        <f t="shared" si="23"/>
        <v>#N/A</v>
      </c>
      <c r="AD54" s="412"/>
      <c r="AE54" s="105"/>
      <c r="AF54" s="175"/>
      <c r="AG54" s="202"/>
      <c r="AH54" s="105" t="e">
        <f t="shared" si="24"/>
        <v>#N/A</v>
      </c>
      <c r="AI54" s="412"/>
      <c r="AJ54" s="105"/>
      <c r="AK54" s="175"/>
      <c r="AL54" s="202"/>
      <c r="AM54" s="105" t="e">
        <f t="shared" si="25"/>
        <v>#N/A</v>
      </c>
      <c r="AN54" s="412"/>
      <c r="AO54" s="105"/>
      <c r="AP54" s="175"/>
      <c r="AQ54" s="202"/>
      <c r="AR54" s="105" t="e">
        <f t="shared" si="26"/>
        <v>#N/A</v>
      </c>
      <c r="AS54" s="412"/>
      <c r="AT54" s="105"/>
      <c r="AU54" s="175"/>
      <c r="AV54" s="202"/>
      <c r="AW54" s="105" t="e">
        <f t="shared" si="27"/>
        <v>#N/A</v>
      </c>
      <c r="AX54" s="412"/>
    </row>
    <row r="55" spans="2:50">
      <c r="B55" s="398"/>
      <c r="C55" s="105">
        <v>9</v>
      </c>
      <c r="D55" s="105"/>
      <c r="E55" s="105"/>
      <c r="F55" s="105"/>
      <c r="G55" s="105"/>
      <c r="H55" s="385"/>
      <c r="I55" s="175"/>
      <c r="J55" s="175"/>
      <c r="K55" s="202"/>
      <c r="L55" s="385"/>
      <c r="M55" s="203" t="e">
        <f>RANK(K55, K$47:$K$61)</f>
        <v>#N/A</v>
      </c>
      <c r="N55" s="387"/>
      <c r="O55" s="387"/>
      <c r="P55" s="105"/>
      <c r="Q55" s="175"/>
      <c r="R55" s="202"/>
      <c r="S55" s="105" t="e">
        <f t="shared" si="21"/>
        <v>#N/A</v>
      </c>
      <c r="T55" s="412"/>
      <c r="U55" s="105"/>
      <c r="V55" s="175"/>
      <c r="W55" s="202"/>
      <c r="X55" s="105" t="e">
        <f t="shared" si="22"/>
        <v>#N/A</v>
      </c>
      <c r="Y55" s="412"/>
      <c r="Z55" s="105"/>
      <c r="AA55" s="175"/>
      <c r="AB55" s="202"/>
      <c r="AC55" s="105" t="e">
        <f t="shared" si="23"/>
        <v>#N/A</v>
      </c>
      <c r="AD55" s="412"/>
      <c r="AE55" s="105"/>
      <c r="AF55" s="175"/>
      <c r="AG55" s="202"/>
      <c r="AH55" s="105" t="e">
        <f t="shared" si="24"/>
        <v>#N/A</v>
      </c>
      <c r="AI55" s="412"/>
      <c r="AJ55" s="105"/>
      <c r="AK55" s="175"/>
      <c r="AL55" s="202"/>
      <c r="AM55" s="105" t="e">
        <f t="shared" si="25"/>
        <v>#N/A</v>
      </c>
      <c r="AN55" s="412"/>
      <c r="AO55" s="105"/>
      <c r="AP55" s="175"/>
      <c r="AQ55" s="202"/>
      <c r="AR55" s="105" t="e">
        <f t="shared" si="26"/>
        <v>#N/A</v>
      </c>
      <c r="AS55" s="412"/>
      <c r="AT55" s="105"/>
      <c r="AU55" s="175"/>
      <c r="AV55" s="202"/>
      <c r="AW55" s="105" t="e">
        <f t="shared" si="27"/>
        <v>#N/A</v>
      </c>
      <c r="AX55" s="412"/>
    </row>
    <row r="56" spans="2:50">
      <c r="B56" s="398"/>
      <c r="C56" s="105">
        <v>10</v>
      </c>
      <c r="D56" s="105"/>
      <c r="E56" s="105"/>
      <c r="F56" s="105"/>
      <c r="G56" s="105"/>
      <c r="H56" s="385"/>
      <c r="I56" s="175"/>
      <c r="J56" s="175"/>
      <c r="K56" s="202"/>
      <c r="L56" s="385"/>
      <c r="M56" s="203" t="e">
        <f>RANK(K56, K$47:$K$61)</f>
        <v>#N/A</v>
      </c>
      <c r="N56" s="387"/>
      <c r="O56" s="387"/>
      <c r="P56" s="105"/>
      <c r="Q56" s="175"/>
      <c r="R56" s="202"/>
      <c r="S56" s="105" t="e">
        <f t="shared" si="21"/>
        <v>#N/A</v>
      </c>
      <c r="T56" s="412"/>
      <c r="U56" s="105"/>
      <c r="V56" s="175"/>
      <c r="W56" s="202"/>
      <c r="X56" s="105" t="e">
        <f t="shared" si="22"/>
        <v>#N/A</v>
      </c>
      <c r="Y56" s="412"/>
      <c r="Z56" s="105"/>
      <c r="AA56" s="175"/>
      <c r="AB56" s="202"/>
      <c r="AC56" s="105" t="e">
        <f t="shared" si="23"/>
        <v>#N/A</v>
      </c>
      <c r="AD56" s="412"/>
      <c r="AE56" s="105"/>
      <c r="AF56" s="175"/>
      <c r="AG56" s="202"/>
      <c r="AH56" s="105" t="e">
        <f t="shared" si="24"/>
        <v>#N/A</v>
      </c>
      <c r="AI56" s="412"/>
      <c r="AJ56" s="105"/>
      <c r="AK56" s="175"/>
      <c r="AL56" s="202"/>
      <c r="AM56" s="105" t="e">
        <f t="shared" si="25"/>
        <v>#N/A</v>
      </c>
      <c r="AN56" s="412"/>
      <c r="AO56" s="105"/>
      <c r="AP56" s="175"/>
      <c r="AQ56" s="202"/>
      <c r="AR56" s="105" t="e">
        <f t="shared" si="26"/>
        <v>#N/A</v>
      </c>
      <c r="AS56" s="412"/>
      <c r="AT56" s="105"/>
      <c r="AU56" s="175"/>
      <c r="AV56" s="202"/>
      <c r="AW56" s="105" t="e">
        <f t="shared" si="27"/>
        <v>#N/A</v>
      </c>
      <c r="AX56" s="412"/>
    </row>
    <row r="57" spans="2:50">
      <c r="B57" s="398"/>
      <c r="C57" s="105">
        <v>11</v>
      </c>
      <c r="D57" s="105"/>
      <c r="E57" s="105"/>
      <c r="F57" s="105"/>
      <c r="G57" s="105"/>
      <c r="H57" s="385"/>
      <c r="I57" s="105"/>
      <c r="J57" s="105"/>
      <c r="K57" s="105"/>
      <c r="L57" s="385"/>
      <c r="M57" s="203" t="e">
        <f>RANK(K57, K$47:$K$61)</f>
        <v>#N/A</v>
      </c>
      <c r="N57" s="387"/>
      <c r="O57" s="387"/>
      <c r="P57" s="105"/>
      <c r="Q57" s="105"/>
      <c r="R57" s="105"/>
      <c r="S57" s="105" t="e">
        <f t="shared" si="21"/>
        <v>#N/A</v>
      </c>
      <c r="T57" s="412"/>
      <c r="U57" s="105"/>
      <c r="V57" s="105"/>
      <c r="W57" s="105"/>
      <c r="X57" s="105" t="e">
        <f t="shared" si="22"/>
        <v>#N/A</v>
      </c>
      <c r="Y57" s="412"/>
      <c r="Z57" s="105"/>
      <c r="AA57" s="105"/>
      <c r="AB57" s="105"/>
      <c r="AC57" s="105" t="e">
        <f t="shared" si="23"/>
        <v>#N/A</v>
      </c>
      <c r="AD57" s="412"/>
      <c r="AE57" s="105"/>
      <c r="AF57" s="105"/>
      <c r="AG57" s="105"/>
      <c r="AH57" s="105" t="e">
        <f t="shared" si="24"/>
        <v>#N/A</v>
      </c>
      <c r="AI57" s="412"/>
      <c r="AJ57" s="105"/>
      <c r="AK57" s="105"/>
      <c r="AL57" s="105"/>
      <c r="AM57" s="105" t="e">
        <f t="shared" si="25"/>
        <v>#N/A</v>
      </c>
      <c r="AN57" s="412"/>
      <c r="AO57" s="105"/>
      <c r="AP57" s="105"/>
      <c r="AQ57" s="105"/>
      <c r="AR57" s="105" t="e">
        <f t="shared" si="26"/>
        <v>#N/A</v>
      </c>
      <c r="AS57" s="412"/>
      <c r="AT57" s="105"/>
      <c r="AU57" s="105"/>
      <c r="AV57" s="105"/>
      <c r="AW57" s="105" t="e">
        <f t="shared" si="27"/>
        <v>#N/A</v>
      </c>
      <c r="AX57" s="412"/>
    </row>
    <row r="58" spans="2:50">
      <c r="B58" s="398"/>
      <c r="C58" s="105">
        <v>12</v>
      </c>
      <c r="D58" s="105"/>
      <c r="E58" s="105"/>
      <c r="F58" s="105"/>
      <c r="G58" s="105"/>
      <c r="H58" s="385"/>
      <c r="I58" s="105"/>
      <c r="J58" s="105"/>
      <c r="K58" s="105"/>
      <c r="L58" s="385"/>
      <c r="M58" s="203" t="e">
        <f>RANK(K58, K$47:$K$61)</f>
        <v>#N/A</v>
      </c>
      <c r="N58" s="387"/>
      <c r="O58" s="387"/>
      <c r="P58" s="105"/>
      <c r="Q58" s="105"/>
      <c r="R58" s="105"/>
      <c r="S58" s="105" t="e">
        <f t="shared" si="21"/>
        <v>#N/A</v>
      </c>
      <c r="T58" s="412"/>
      <c r="U58" s="105"/>
      <c r="V58" s="105"/>
      <c r="W58" s="105"/>
      <c r="X58" s="105" t="e">
        <f t="shared" si="22"/>
        <v>#N/A</v>
      </c>
      <c r="Y58" s="412"/>
      <c r="Z58" s="105"/>
      <c r="AA58" s="105"/>
      <c r="AB58" s="105"/>
      <c r="AC58" s="105" t="e">
        <f t="shared" si="23"/>
        <v>#N/A</v>
      </c>
      <c r="AD58" s="412"/>
      <c r="AE58" s="105"/>
      <c r="AF58" s="105"/>
      <c r="AG58" s="105"/>
      <c r="AH58" s="105" t="e">
        <f t="shared" si="24"/>
        <v>#N/A</v>
      </c>
      <c r="AI58" s="412"/>
      <c r="AJ58" s="105"/>
      <c r="AK58" s="105"/>
      <c r="AL58" s="105"/>
      <c r="AM58" s="105" t="e">
        <f t="shared" si="25"/>
        <v>#N/A</v>
      </c>
      <c r="AN58" s="412"/>
      <c r="AO58" s="105"/>
      <c r="AP58" s="105"/>
      <c r="AQ58" s="105"/>
      <c r="AR58" s="105" t="e">
        <f t="shared" si="26"/>
        <v>#N/A</v>
      </c>
      <c r="AS58" s="412"/>
      <c r="AT58" s="105"/>
      <c r="AU58" s="105"/>
      <c r="AV58" s="105"/>
      <c r="AW58" s="105" t="e">
        <f t="shared" si="27"/>
        <v>#N/A</v>
      </c>
      <c r="AX58" s="412"/>
    </row>
    <row r="59" spans="2:50">
      <c r="B59" s="398"/>
      <c r="C59" s="105">
        <v>13</v>
      </c>
      <c r="D59" s="105"/>
      <c r="E59" s="105"/>
      <c r="F59" s="105"/>
      <c r="G59" s="105"/>
      <c r="H59" s="385"/>
      <c r="I59" s="105"/>
      <c r="J59" s="105"/>
      <c r="K59" s="105"/>
      <c r="L59" s="385"/>
      <c r="M59" s="203" t="e">
        <f>RANK(K59, K$47:$K$61)</f>
        <v>#N/A</v>
      </c>
      <c r="N59" s="387"/>
      <c r="O59" s="387"/>
      <c r="P59" s="105"/>
      <c r="Q59" s="105"/>
      <c r="R59" s="105"/>
      <c r="S59" s="105" t="e">
        <f t="shared" si="21"/>
        <v>#N/A</v>
      </c>
      <c r="T59" s="412"/>
      <c r="U59" s="105"/>
      <c r="V59" s="105"/>
      <c r="W59" s="105"/>
      <c r="X59" s="105" t="e">
        <f t="shared" si="22"/>
        <v>#N/A</v>
      </c>
      <c r="Y59" s="412"/>
      <c r="Z59" s="105"/>
      <c r="AA59" s="105"/>
      <c r="AB59" s="105"/>
      <c r="AC59" s="105" t="e">
        <f t="shared" si="23"/>
        <v>#N/A</v>
      </c>
      <c r="AD59" s="412"/>
      <c r="AE59" s="105"/>
      <c r="AF59" s="105"/>
      <c r="AG59" s="105"/>
      <c r="AH59" s="105" t="e">
        <f t="shared" si="24"/>
        <v>#N/A</v>
      </c>
      <c r="AI59" s="412"/>
      <c r="AJ59" s="105"/>
      <c r="AK59" s="105"/>
      <c r="AL59" s="105"/>
      <c r="AM59" s="105" t="e">
        <f t="shared" si="25"/>
        <v>#N/A</v>
      </c>
      <c r="AN59" s="412"/>
      <c r="AO59" s="105"/>
      <c r="AP59" s="105"/>
      <c r="AQ59" s="105"/>
      <c r="AR59" s="105" t="e">
        <f t="shared" si="26"/>
        <v>#N/A</v>
      </c>
      <c r="AS59" s="412"/>
      <c r="AT59" s="105"/>
      <c r="AU59" s="105"/>
      <c r="AV59" s="105"/>
      <c r="AW59" s="105" t="e">
        <f t="shared" si="27"/>
        <v>#N/A</v>
      </c>
      <c r="AX59" s="412"/>
    </row>
    <row r="60" spans="2:50">
      <c r="B60" s="398"/>
      <c r="C60" s="105">
        <v>14</v>
      </c>
      <c r="D60" s="105"/>
      <c r="E60" s="105"/>
      <c r="F60" s="105"/>
      <c r="G60" s="105"/>
      <c r="H60" s="385"/>
      <c r="I60" s="105"/>
      <c r="J60" s="105"/>
      <c r="K60" s="105"/>
      <c r="L60" s="385"/>
      <c r="M60" s="203" t="e">
        <f>RANK(K60, K$47:$K$61)</f>
        <v>#N/A</v>
      </c>
      <c r="N60" s="387"/>
      <c r="O60" s="387"/>
      <c r="P60" s="105"/>
      <c r="Q60" s="105"/>
      <c r="R60" s="105"/>
      <c r="S60" s="105" t="e">
        <f t="shared" si="21"/>
        <v>#N/A</v>
      </c>
      <c r="T60" s="412"/>
      <c r="U60" s="105"/>
      <c r="V60" s="105"/>
      <c r="W60" s="105"/>
      <c r="X60" s="105" t="e">
        <f t="shared" si="22"/>
        <v>#N/A</v>
      </c>
      <c r="Y60" s="412"/>
      <c r="Z60" s="105"/>
      <c r="AA60" s="105"/>
      <c r="AB60" s="105"/>
      <c r="AC60" s="105" t="e">
        <f t="shared" si="23"/>
        <v>#N/A</v>
      </c>
      <c r="AD60" s="412"/>
      <c r="AE60" s="105"/>
      <c r="AF60" s="105"/>
      <c r="AG60" s="105"/>
      <c r="AH60" s="105" t="e">
        <f t="shared" si="24"/>
        <v>#N/A</v>
      </c>
      <c r="AI60" s="412"/>
      <c r="AJ60" s="105"/>
      <c r="AK60" s="105"/>
      <c r="AL60" s="105"/>
      <c r="AM60" s="105" t="e">
        <f t="shared" si="25"/>
        <v>#N/A</v>
      </c>
      <c r="AN60" s="412"/>
      <c r="AO60" s="105"/>
      <c r="AP60" s="105"/>
      <c r="AQ60" s="105"/>
      <c r="AR60" s="105" t="e">
        <f t="shared" si="26"/>
        <v>#N/A</v>
      </c>
      <c r="AS60" s="412"/>
      <c r="AT60" s="105"/>
      <c r="AU60" s="105"/>
      <c r="AV60" s="105"/>
      <c r="AW60" s="105" t="e">
        <f t="shared" si="27"/>
        <v>#N/A</v>
      </c>
      <c r="AX60" s="412"/>
    </row>
    <row r="61" spans="2:50">
      <c r="B61" s="398"/>
      <c r="C61" s="105">
        <v>15</v>
      </c>
      <c r="D61" s="105"/>
      <c r="E61" s="105"/>
      <c r="F61" s="105"/>
      <c r="G61" s="105"/>
      <c r="H61" s="386"/>
      <c r="I61" s="105"/>
      <c r="J61" s="105"/>
      <c r="K61" s="105"/>
      <c r="L61" s="386"/>
      <c r="M61" s="175" t="e">
        <f>RANK(K61, K$47:$K$61)</f>
        <v>#N/A</v>
      </c>
      <c r="N61" s="387"/>
      <c r="O61" s="387"/>
      <c r="P61" s="105"/>
      <c r="Q61" s="105"/>
      <c r="R61" s="105"/>
      <c r="S61" s="105" t="e">
        <f t="shared" si="21"/>
        <v>#N/A</v>
      </c>
      <c r="T61" s="412"/>
      <c r="U61" s="105"/>
      <c r="V61" s="105"/>
      <c r="W61" s="105"/>
      <c r="X61" s="105" t="e">
        <f t="shared" si="22"/>
        <v>#N/A</v>
      </c>
      <c r="Y61" s="412"/>
      <c r="Z61" s="105"/>
      <c r="AA61" s="105"/>
      <c r="AB61" s="105"/>
      <c r="AC61" s="105" t="e">
        <f t="shared" si="23"/>
        <v>#N/A</v>
      </c>
      <c r="AD61" s="412"/>
      <c r="AE61" s="105"/>
      <c r="AF61" s="105"/>
      <c r="AG61" s="105"/>
      <c r="AH61" s="105" t="e">
        <f t="shared" si="24"/>
        <v>#N/A</v>
      </c>
      <c r="AI61" s="412"/>
      <c r="AJ61" s="105"/>
      <c r="AK61" s="105"/>
      <c r="AL61" s="105"/>
      <c r="AM61" s="105" t="e">
        <f t="shared" si="25"/>
        <v>#N/A</v>
      </c>
      <c r="AN61" s="412"/>
      <c r="AO61" s="105"/>
      <c r="AP61" s="105"/>
      <c r="AQ61" s="105"/>
      <c r="AR61" s="105" t="e">
        <f t="shared" si="26"/>
        <v>#N/A</v>
      </c>
      <c r="AS61" s="412"/>
      <c r="AT61" s="105"/>
      <c r="AU61" s="105"/>
      <c r="AV61" s="105"/>
      <c r="AW61" s="105" t="e">
        <f t="shared" si="27"/>
        <v>#N/A</v>
      </c>
      <c r="AX61" s="412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28">Z62+1</f>
        <v>45891</v>
      </c>
      <c r="AF62" s="395"/>
      <c r="AG62" s="395"/>
      <c r="AH62" s="395"/>
      <c r="AI62" s="396"/>
      <c r="AJ62" s="394">
        <f t="shared" ref="AJ62" si="29">AE62+1</f>
        <v>45892</v>
      </c>
      <c r="AK62" s="395"/>
      <c r="AL62" s="395"/>
      <c r="AM62" s="395"/>
      <c r="AN62" s="396"/>
      <c r="AO62" s="394">
        <f t="shared" ref="AO62" si="30">AJ62+1</f>
        <v>45893</v>
      </c>
      <c r="AP62" s="395"/>
      <c r="AQ62" s="395"/>
      <c r="AR62" s="395"/>
      <c r="AS62" s="396"/>
      <c r="AT62" s="394">
        <f t="shared" ref="AT62" si="31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413" t="s">
        <v>234</v>
      </c>
      <c r="C67" s="105">
        <v>1</v>
      </c>
      <c r="D67" s="105" t="s">
        <v>235</v>
      </c>
      <c r="E67" s="105">
        <v>15</v>
      </c>
      <c r="F67" s="105">
        <v>1200</v>
      </c>
      <c r="G67" s="105">
        <v>80</v>
      </c>
      <c r="H67" s="384">
        <f>AVERAGE(G67:G81)</f>
        <v>194.65</v>
      </c>
      <c r="I67" s="175">
        <f>AVERAGE(P67,U67,Z67,AE67,AJ67,AO67,AT67)</f>
        <v>13</v>
      </c>
      <c r="J67" s="175">
        <f>AVERAGE(Q67,V67,AA67,AF67,AK67,AP67,AU67)</f>
        <v>1170.0204081632655</v>
      </c>
      <c r="K67" s="202">
        <f>AVERAGE(R67,W67,AB67,AG67,AL67,AQ67,AV67)</f>
        <v>90.001569858712728</v>
      </c>
      <c r="L67" s="384">
        <f>IFERROR(AVERAGE(K67:K81),"-")</f>
        <v>195.15465498051785</v>
      </c>
      <c r="M67" s="203">
        <f>RANK(K67, K$67:$K$81)</f>
        <v>8</v>
      </c>
      <c r="N67" s="387"/>
      <c r="O67" s="387"/>
      <c r="P67" s="105">
        <v>13</v>
      </c>
      <c r="Q67" s="175">
        <v>1123.4999999999995</v>
      </c>
      <c r="R67" s="202">
        <v>86.423076923076891</v>
      </c>
      <c r="S67" s="105">
        <f>RANK(R67, R$67:R$81)</f>
        <v>8</v>
      </c>
      <c r="T67" s="412">
        <f>AVERAGE(R67:R81)</f>
        <v>192.13458959622753</v>
      </c>
      <c r="U67" s="105">
        <v>13</v>
      </c>
      <c r="V67" s="175">
        <v>1104.0000000000018</v>
      </c>
      <c r="W67" s="202">
        <v>84.923076923077062</v>
      </c>
      <c r="X67" s="105">
        <f>RANK(W67, W$67:W$81)</f>
        <v>8</v>
      </c>
      <c r="Y67" s="412">
        <f>AVERAGE(W67:W81)</f>
        <v>192.82363553060884</v>
      </c>
      <c r="Z67" s="105">
        <v>13</v>
      </c>
      <c r="AA67" s="175">
        <v>1081.4999999999998</v>
      </c>
      <c r="AB67" s="202">
        <v>83.192307692307679</v>
      </c>
      <c r="AC67" s="105">
        <f>RANK(AB67, AB$67:AB$81)</f>
        <v>8</v>
      </c>
      <c r="AD67" s="412">
        <f>AVERAGE(AB67:AB81)</f>
        <v>201.82136752136736</v>
      </c>
      <c r="AE67" s="105">
        <v>13</v>
      </c>
      <c r="AF67" s="175">
        <v>1232.0000000000011</v>
      </c>
      <c r="AG67" s="202">
        <v>94.769230769230859</v>
      </c>
      <c r="AH67" s="105">
        <f>RANK(AG67, AG$67:AG$81)</f>
        <v>8</v>
      </c>
      <c r="AI67" s="412">
        <f>AVERAGE(AG67:AG81)</f>
        <v>194.0494397514251</v>
      </c>
      <c r="AJ67" s="105">
        <v>13</v>
      </c>
      <c r="AK67" s="175">
        <v>1208.0000000000014</v>
      </c>
      <c r="AL67" s="202">
        <v>92.923076923077033</v>
      </c>
      <c r="AM67" s="105">
        <f>RANK(AL67, AL$67:AL$81)</f>
        <v>8</v>
      </c>
      <c r="AN67" s="412">
        <f>AVERAGE(AL67:AL81)</f>
        <v>194.77416437728948</v>
      </c>
      <c r="AO67" s="105">
        <v>13</v>
      </c>
      <c r="AP67" s="175">
        <v>1261.7142857142844</v>
      </c>
      <c r="AQ67" s="202">
        <v>97.054945054944952</v>
      </c>
      <c r="AR67" s="105">
        <f>RANK(AQ67, AQ$67:AQ$81)</f>
        <v>8</v>
      </c>
      <c r="AS67" s="412">
        <f>AVERAGE(AQ67:AQ81)</f>
        <v>193.0247153540902</v>
      </c>
      <c r="AT67" s="105">
        <v>13</v>
      </c>
      <c r="AU67" s="175">
        <v>1179.4285714285702</v>
      </c>
      <c r="AV67" s="202">
        <v>90.72527472527463</v>
      </c>
      <c r="AW67" s="105">
        <f>RANK(AV67, AV$67:AV$81)</f>
        <v>8</v>
      </c>
      <c r="AX67" s="412">
        <f>AVERAGE(AV67:AV81)</f>
        <v>197.45467273261619</v>
      </c>
    </row>
    <row r="68" spans="2:50">
      <c r="B68" s="398"/>
      <c r="C68" s="105">
        <v>2</v>
      </c>
      <c r="D68" s="105" t="s">
        <v>236</v>
      </c>
      <c r="E68" s="105">
        <v>10</v>
      </c>
      <c r="F68" s="105">
        <v>1500</v>
      </c>
      <c r="G68" s="105">
        <v>150</v>
      </c>
      <c r="H68" s="385"/>
      <c r="I68" s="175">
        <f t="shared" ref="I68:I73" si="32">AVERAGE(P68,U68,Z68,AE68,AJ68,AO68,AT68)</f>
        <v>10</v>
      </c>
      <c r="J68" s="175">
        <f t="shared" ref="J68:J73" si="33">AVERAGE(Q68,V68,AA68,AF68,AK68,AP68,AU68)</f>
        <v>1474.8625850340136</v>
      </c>
      <c r="K68" s="202">
        <f t="shared" ref="K68:K73" si="34">AVERAGE(R68,W68,AB68,AG68,AL68,AQ68,AV68)</f>
        <v>147.48625850340136</v>
      </c>
      <c r="L68" s="385"/>
      <c r="M68" s="203">
        <f>RANK(K68, K$67:$K$81)</f>
        <v>5</v>
      </c>
      <c r="N68" s="387"/>
      <c r="O68" s="387"/>
      <c r="P68" s="105">
        <v>10</v>
      </c>
      <c r="Q68" s="175">
        <v>1422.6666666666667</v>
      </c>
      <c r="R68" s="202">
        <v>142.26666666666668</v>
      </c>
      <c r="S68" s="105">
        <f t="shared" ref="S68:S81" si="35">RANK(R68, R$67:R$81)</f>
        <v>6</v>
      </c>
      <c r="T68" s="412"/>
      <c r="U68" s="105">
        <v>10</v>
      </c>
      <c r="V68" s="175">
        <v>1496</v>
      </c>
      <c r="W68" s="202">
        <v>149.6</v>
      </c>
      <c r="X68" s="105">
        <f t="shared" ref="X68:X81" si="36">RANK(W68, W$67:W$81)</f>
        <v>5</v>
      </c>
      <c r="Y68" s="412"/>
      <c r="Z68" s="105">
        <v>10</v>
      </c>
      <c r="AA68" s="175">
        <v>1636.4999999999995</v>
      </c>
      <c r="AB68" s="202">
        <v>163.64999999999995</v>
      </c>
      <c r="AC68" s="105">
        <f t="shared" ref="AC68:AC81" si="37">RANK(AB68, AB$67:AB$81)</f>
        <v>4</v>
      </c>
      <c r="AD68" s="412"/>
      <c r="AE68" s="105">
        <v>10</v>
      </c>
      <c r="AF68" s="175">
        <v>1369.4999999999995</v>
      </c>
      <c r="AG68" s="202">
        <v>136.94999999999996</v>
      </c>
      <c r="AH68" s="105">
        <f t="shared" ref="AH68:AH81" si="38">RANK(AG68, AG$67:AG$81)</f>
        <v>7</v>
      </c>
      <c r="AI68" s="412"/>
      <c r="AJ68" s="105">
        <v>10</v>
      </c>
      <c r="AK68" s="175">
        <v>1532.5714285714303</v>
      </c>
      <c r="AL68" s="202">
        <v>153.25714285714304</v>
      </c>
      <c r="AM68" s="105">
        <f t="shared" ref="AM68:AM81" si="39">RANK(AL68, AL$67:AL$81)</f>
        <v>4</v>
      </c>
      <c r="AN68" s="412"/>
      <c r="AO68" s="105">
        <v>10</v>
      </c>
      <c r="AP68" s="175">
        <v>1402.7999999999981</v>
      </c>
      <c r="AQ68" s="202">
        <v>140.2799999999998</v>
      </c>
      <c r="AR68" s="105">
        <f t="shared" ref="AR68:AR81" si="40">RANK(AQ68, AQ$67:AQ$81)</f>
        <v>6</v>
      </c>
      <c r="AS68" s="412"/>
      <c r="AT68" s="105">
        <v>10</v>
      </c>
      <c r="AU68" s="175">
        <v>1464</v>
      </c>
      <c r="AV68" s="202">
        <v>146.4</v>
      </c>
      <c r="AW68" s="105">
        <f t="shared" ref="AW68:AW81" si="41">RANK(AV68, AV$67:AV$81)</f>
        <v>5</v>
      </c>
      <c r="AX68" s="412"/>
    </row>
    <row r="69" spans="2:50">
      <c r="B69" s="398"/>
      <c r="C69" s="105">
        <v>3</v>
      </c>
      <c r="D69" s="105" t="s">
        <v>237</v>
      </c>
      <c r="E69" s="105">
        <v>10</v>
      </c>
      <c r="F69" s="105">
        <v>1636</v>
      </c>
      <c r="G69" s="105">
        <v>163.6</v>
      </c>
      <c r="H69" s="385"/>
      <c r="I69" s="175">
        <f t="shared" si="32"/>
        <v>12</v>
      </c>
      <c r="J69" s="175">
        <f t="shared" si="33"/>
        <v>1725.1666666666663</v>
      </c>
      <c r="K69" s="202">
        <f t="shared" si="34"/>
        <v>143.76388888888886</v>
      </c>
      <c r="L69" s="385"/>
      <c r="M69" s="203">
        <f>RANK(K69, K$67:$K$81)</f>
        <v>7</v>
      </c>
      <c r="N69" s="387"/>
      <c r="O69" s="387"/>
      <c r="P69" s="105">
        <v>12</v>
      </c>
      <c r="Q69" s="175">
        <v>1729.3333333333335</v>
      </c>
      <c r="R69" s="202">
        <v>144.11111111111111</v>
      </c>
      <c r="S69" s="105">
        <f t="shared" si="35"/>
        <v>5</v>
      </c>
      <c r="T69" s="412"/>
      <c r="U69" s="105">
        <v>12</v>
      </c>
      <c r="V69" s="175">
        <v>1729.3333333333335</v>
      </c>
      <c r="W69" s="202">
        <v>144.11111111111111</v>
      </c>
      <c r="X69" s="105">
        <f t="shared" si="36"/>
        <v>6</v>
      </c>
      <c r="Y69" s="412"/>
      <c r="Z69" s="105">
        <v>12</v>
      </c>
      <c r="AA69" s="175">
        <v>1746.6666666666667</v>
      </c>
      <c r="AB69" s="202">
        <v>145.55555555555557</v>
      </c>
      <c r="AC69" s="105">
        <f t="shared" si="37"/>
        <v>7</v>
      </c>
      <c r="AD69" s="412"/>
      <c r="AE69" s="105">
        <v>12</v>
      </c>
      <c r="AF69" s="175">
        <v>1747.4999999999993</v>
      </c>
      <c r="AG69" s="202">
        <v>145.62499999999994</v>
      </c>
      <c r="AH69" s="105">
        <f t="shared" si="38"/>
        <v>6</v>
      </c>
      <c r="AI69" s="412"/>
      <c r="AJ69" s="105">
        <v>12</v>
      </c>
      <c r="AK69" s="175">
        <v>1715.9999999999995</v>
      </c>
      <c r="AL69" s="202">
        <v>142.99999999999997</v>
      </c>
      <c r="AM69" s="105">
        <f t="shared" si="39"/>
        <v>7</v>
      </c>
      <c r="AN69" s="412"/>
      <c r="AO69" s="105">
        <v>12</v>
      </c>
      <c r="AP69" s="175">
        <v>1661.9999999999977</v>
      </c>
      <c r="AQ69" s="202">
        <v>138.4999999999998</v>
      </c>
      <c r="AR69" s="105">
        <f t="shared" si="40"/>
        <v>7</v>
      </c>
      <c r="AS69" s="412"/>
      <c r="AT69" s="105">
        <v>12</v>
      </c>
      <c r="AU69" s="175">
        <v>1745.3333333333333</v>
      </c>
      <c r="AV69" s="202">
        <v>145.44444444444443</v>
      </c>
      <c r="AW69" s="105">
        <f t="shared" si="41"/>
        <v>6</v>
      </c>
      <c r="AX69" s="412"/>
    </row>
    <row r="70" spans="2:50">
      <c r="B70" s="398"/>
      <c r="C70" s="105">
        <v>4</v>
      </c>
      <c r="D70" s="105" t="s">
        <v>238</v>
      </c>
      <c r="E70" s="105">
        <v>10</v>
      </c>
      <c r="F70" s="105">
        <v>1636</v>
      </c>
      <c r="G70" s="105">
        <v>163.6</v>
      </c>
      <c r="H70" s="385"/>
      <c r="I70" s="175">
        <f t="shared" si="32"/>
        <v>12</v>
      </c>
      <c r="J70" s="175">
        <f t="shared" si="33"/>
        <v>1790.8537414965972</v>
      </c>
      <c r="K70" s="202">
        <f t="shared" si="34"/>
        <v>149.23781179138311</v>
      </c>
      <c r="L70" s="385"/>
      <c r="M70" s="203">
        <f>RANK(K70, K$67:$K$81)</f>
        <v>4</v>
      </c>
      <c r="N70" s="387"/>
      <c r="O70" s="387"/>
      <c r="P70" s="105">
        <v>12</v>
      </c>
      <c r="Q70" s="175">
        <v>1781.9999999999955</v>
      </c>
      <c r="R70" s="202">
        <v>148.49999999999963</v>
      </c>
      <c r="S70" s="105">
        <f t="shared" si="35"/>
        <v>4</v>
      </c>
      <c r="T70" s="412"/>
      <c r="U70" s="105">
        <v>12</v>
      </c>
      <c r="V70" s="175">
        <v>1720</v>
      </c>
      <c r="W70" s="202">
        <v>143.33333333333334</v>
      </c>
      <c r="X70" s="105">
        <f t="shared" si="36"/>
        <v>7</v>
      </c>
      <c r="Y70" s="412"/>
      <c r="Z70" s="105">
        <v>12</v>
      </c>
      <c r="AA70" s="175">
        <v>1826.9999999999993</v>
      </c>
      <c r="AB70" s="202">
        <v>152.24999999999994</v>
      </c>
      <c r="AC70" s="105">
        <f t="shared" si="37"/>
        <v>6</v>
      </c>
      <c r="AD70" s="412"/>
      <c r="AE70" s="105">
        <v>12</v>
      </c>
      <c r="AF70" s="175">
        <v>1846.2857142857124</v>
      </c>
      <c r="AG70" s="202">
        <v>153.85714285714269</v>
      </c>
      <c r="AH70" s="105">
        <f t="shared" si="38"/>
        <v>4</v>
      </c>
      <c r="AI70" s="412"/>
      <c r="AJ70" s="105">
        <v>12</v>
      </c>
      <c r="AK70" s="175">
        <v>1794.8571428571408</v>
      </c>
      <c r="AL70" s="202">
        <v>149.57142857142841</v>
      </c>
      <c r="AM70" s="105">
        <f t="shared" si="39"/>
        <v>5</v>
      </c>
      <c r="AN70" s="412"/>
      <c r="AO70" s="105">
        <v>12</v>
      </c>
      <c r="AP70" s="175">
        <v>1725.3333333333364</v>
      </c>
      <c r="AQ70" s="202">
        <v>143.77777777777803</v>
      </c>
      <c r="AR70" s="105">
        <f t="shared" si="40"/>
        <v>5</v>
      </c>
      <c r="AS70" s="412"/>
      <c r="AT70" s="105">
        <v>12</v>
      </c>
      <c r="AU70" s="175">
        <v>1840.4999999999955</v>
      </c>
      <c r="AV70" s="202">
        <v>153.37499999999963</v>
      </c>
      <c r="AW70" s="105">
        <f t="shared" si="41"/>
        <v>4</v>
      </c>
      <c r="AX70" s="412"/>
    </row>
    <row r="71" spans="2:50">
      <c r="B71" s="398"/>
      <c r="C71" s="105">
        <v>5</v>
      </c>
      <c r="D71" s="105" t="s">
        <v>239</v>
      </c>
      <c r="E71" s="105">
        <v>6</v>
      </c>
      <c r="F71" s="105">
        <v>1500</v>
      </c>
      <c r="G71" s="105">
        <v>250</v>
      </c>
      <c r="H71" s="385"/>
      <c r="I71" s="175">
        <f t="shared" si="32"/>
        <v>5</v>
      </c>
      <c r="J71" s="175">
        <f t="shared" si="33"/>
        <v>1487.2003311372393</v>
      </c>
      <c r="K71" s="202">
        <f t="shared" si="34"/>
        <v>297.44006622744791</v>
      </c>
      <c r="L71" s="385"/>
      <c r="M71" s="203">
        <f>RANK(K71, K$67:$K$81)</f>
        <v>1</v>
      </c>
      <c r="N71" s="387"/>
      <c r="O71" s="387"/>
      <c r="P71" s="105">
        <v>5</v>
      </c>
      <c r="Q71" s="175">
        <v>1508.5714285714282</v>
      </c>
      <c r="R71" s="202">
        <v>301.71428571428567</v>
      </c>
      <c r="S71" s="105">
        <f t="shared" si="35"/>
        <v>1</v>
      </c>
      <c r="T71" s="412"/>
      <c r="U71" s="105">
        <v>5</v>
      </c>
      <c r="V71" s="175">
        <v>1478.1818181818182</v>
      </c>
      <c r="W71" s="202">
        <v>295.63636363636363</v>
      </c>
      <c r="X71" s="105">
        <f t="shared" si="36"/>
        <v>1</v>
      </c>
      <c r="Y71" s="412"/>
      <c r="Z71" s="105">
        <v>5</v>
      </c>
      <c r="AA71" s="175">
        <v>1541.9999999999995</v>
      </c>
      <c r="AB71" s="202">
        <v>308.39999999999992</v>
      </c>
      <c r="AC71" s="105">
        <f t="shared" si="37"/>
        <v>1</v>
      </c>
      <c r="AD71" s="412"/>
      <c r="AE71" s="105">
        <v>5</v>
      </c>
      <c r="AF71" s="175">
        <v>1492.9411764705862</v>
      </c>
      <c r="AG71" s="202">
        <v>298.58823529411723</v>
      </c>
      <c r="AH71" s="105">
        <f t="shared" si="38"/>
        <v>1</v>
      </c>
      <c r="AI71" s="412"/>
      <c r="AJ71" s="105">
        <v>5</v>
      </c>
      <c r="AK71" s="175">
        <v>1428.7500000000016</v>
      </c>
      <c r="AL71" s="202">
        <v>285.75000000000034</v>
      </c>
      <c r="AM71" s="105">
        <f t="shared" si="39"/>
        <v>3</v>
      </c>
      <c r="AN71" s="412"/>
      <c r="AO71" s="105">
        <v>5</v>
      </c>
      <c r="AP71" s="175">
        <v>1456.8000000000004</v>
      </c>
      <c r="AQ71" s="202">
        <v>291.36000000000007</v>
      </c>
      <c r="AR71" s="105">
        <f t="shared" si="40"/>
        <v>2</v>
      </c>
      <c r="AS71" s="412"/>
      <c r="AT71" s="105">
        <v>5</v>
      </c>
      <c r="AU71" s="175">
        <v>1503.1578947368409</v>
      </c>
      <c r="AV71" s="202">
        <v>300.63157894736821</v>
      </c>
      <c r="AW71" s="105">
        <f t="shared" si="41"/>
        <v>2</v>
      </c>
      <c r="AX71" s="412"/>
    </row>
    <row r="72" spans="2:50">
      <c r="B72" s="398"/>
      <c r="C72" s="105">
        <v>6</v>
      </c>
      <c r="D72" s="105" t="s">
        <v>240</v>
      </c>
      <c r="E72" s="105">
        <v>5</v>
      </c>
      <c r="F72" s="105">
        <v>1500</v>
      </c>
      <c r="G72" s="105">
        <v>300</v>
      </c>
      <c r="H72" s="385"/>
      <c r="I72" s="175">
        <f t="shared" si="32"/>
        <v>5</v>
      </c>
      <c r="J72" s="175">
        <f t="shared" si="33"/>
        <v>1482.6876966470684</v>
      </c>
      <c r="K72" s="202">
        <f t="shared" si="34"/>
        <v>296.53753932941362</v>
      </c>
      <c r="L72" s="385"/>
      <c r="M72" s="203">
        <f>RANK(K72, K$67:$K$81)</f>
        <v>2</v>
      </c>
      <c r="N72" s="387"/>
      <c r="O72" s="387"/>
      <c r="P72" s="105">
        <v>5</v>
      </c>
      <c r="Q72" s="175">
        <v>1481.3793103448286</v>
      </c>
      <c r="R72" s="202">
        <v>296.27586206896569</v>
      </c>
      <c r="S72" s="105">
        <f t="shared" si="35"/>
        <v>2</v>
      </c>
      <c r="T72" s="412"/>
      <c r="U72" s="105">
        <v>5</v>
      </c>
      <c r="V72" s="175">
        <v>1465.1612903225821</v>
      </c>
      <c r="W72" s="202">
        <v>293.03225806451644</v>
      </c>
      <c r="X72" s="105">
        <f t="shared" si="36"/>
        <v>2</v>
      </c>
      <c r="Y72" s="412"/>
      <c r="Z72" s="105">
        <v>5</v>
      </c>
      <c r="AA72" s="175">
        <v>1531.9999999999993</v>
      </c>
      <c r="AB72" s="202">
        <v>306.39999999999986</v>
      </c>
      <c r="AC72" s="105">
        <f t="shared" si="37"/>
        <v>2</v>
      </c>
      <c r="AD72" s="412"/>
      <c r="AE72" s="105">
        <v>5</v>
      </c>
      <c r="AF72" s="175">
        <v>1471.2000000000005</v>
      </c>
      <c r="AG72" s="202">
        <v>294.24000000000012</v>
      </c>
      <c r="AH72" s="105">
        <f t="shared" si="38"/>
        <v>2</v>
      </c>
      <c r="AI72" s="412"/>
      <c r="AJ72" s="105">
        <v>5</v>
      </c>
      <c r="AK72" s="175">
        <v>1470.0000000000027</v>
      </c>
      <c r="AL72" s="202">
        <v>294.00000000000057</v>
      </c>
      <c r="AM72" s="105">
        <f t="shared" si="39"/>
        <v>1</v>
      </c>
      <c r="AN72" s="412"/>
      <c r="AO72" s="105">
        <v>5</v>
      </c>
      <c r="AP72" s="175">
        <v>1475.6249999999982</v>
      </c>
      <c r="AQ72" s="202">
        <v>295.12499999999966</v>
      </c>
      <c r="AR72" s="105">
        <f t="shared" si="40"/>
        <v>1</v>
      </c>
      <c r="AS72" s="412"/>
      <c r="AT72" s="105">
        <v>5</v>
      </c>
      <c r="AU72" s="175">
        <v>1483.4482758620679</v>
      </c>
      <c r="AV72" s="202">
        <v>296.68965517241361</v>
      </c>
      <c r="AW72" s="105">
        <f t="shared" si="41"/>
        <v>3</v>
      </c>
      <c r="AX72" s="412"/>
    </row>
    <row r="73" spans="2:50">
      <c r="B73" s="398"/>
      <c r="C73" s="105">
        <v>7</v>
      </c>
      <c r="D73" s="105" t="s">
        <v>241</v>
      </c>
      <c r="E73" s="105">
        <v>5</v>
      </c>
      <c r="F73" s="105">
        <v>1500</v>
      </c>
      <c r="G73" s="105">
        <v>300</v>
      </c>
      <c r="H73" s="385"/>
      <c r="I73" s="175">
        <f t="shared" si="32"/>
        <v>5</v>
      </c>
      <c r="J73" s="175">
        <f t="shared" si="33"/>
        <v>1451.7718947718945</v>
      </c>
      <c r="K73" s="202">
        <f t="shared" si="34"/>
        <v>290.35437895437883</v>
      </c>
      <c r="L73" s="385"/>
      <c r="M73" s="203">
        <f>RANK(K73, K$67:$K$81)</f>
        <v>3</v>
      </c>
      <c r="N73" s="387"/>
      <c r="O73" s="387"/>
      <c r="P73" s="105">
        <v>5</v>
      </c>
      <c r="Q73" s="175">
        <v>1470.0000000000011</v>
      </c>
      <c r="R73" s="202">
        <v>294.00000000000023</v>
      </c>
      <c r="S73" s="105">
        <f t="shared" si="35"/>
        <v>3</v>
      </c>
      <c r="T73" s="412"/>
      <c r="U73" s="105">
        <v>5</v>
      </c>
      <c r="V73" s="175">
        <v>1407.9999999999936</v>
      </c>
      <c r="W73" s="202">
        <v>281.59999999999872</v>
      </c>
      <c r="X73" s="105">
        <f t="shared" si="36"/>
        <v>3</v>
      </c>
      <c r="Y73" s="412"/>
      <c r="Z73" s="105">
        <v>5</v>
      </c>
      <c r="AA73" s="175">
        <v>1504.6153846153807</v>
      </c>
      <c r="AB73" s="202">
        <v>300.92307692307611</v>
      </c>
      <c r="AC73" s="105">
        <f t="shared" si="37"/>
        <v>3</v>
      </c>
      <c r="AD73" s="412"/>
      <c r="AE73" s="105">
        <v>5</v>
      </c>
      <c r="AF73" s="175">
        <v>1385.4545454545503</v>
      </c>
      <c r="AG73" s="202">
        <v>277.09090909091003</v>
      </c>
      <c r="AH73" s="105">
        <f t="shared" si="38"/>
        <v>3</v>
      </c>
      <c r="AI73" s="412"/>
      <c r="AJ73" s="105">
        <v>5</v>
      </c>
      <c r="AK73" s="175">
        <v>1453.3333333333321</v>
      </c>
      <c r="AL73" s="202">
        <v>290.6666666666664</v>
      </c>
      <c r="AM73" s="105">
        <f t="shared" si="39"/>
        <v>2</v>
      </c>
      <c r="AN73" s="412"/>
      <c r="AO73" s="105">
        <v>5</v>
      </c>
      <c r="AP73" s="175">
        <v>1435.9999999999975</v>
      </c>
      <c r="AQ73" s="202">
        <v>287.19999999999948</v>
      </c>
      <c r="AR73" s="105">
        <f t="shared" si="40"/>
        <v>3</v>
      </c>
      <c r="AS73" s="412"/>
      <c r="AT73" s="105">
        <v>5</v>
      </c>
      <c r="AU73" s="175">
        <v>1505.0000000000052</v>
      </c>
      <c r="AV73" s="202">
        <v>301.00000000000102</v>
      </c>
      <c r="AW73" s="105">
        <f t="shared" si="41"/>
        <v>1</v>
      </c>
      <c r="AX73" s="412"/>
    </row>
    <row r="74" spans="2:50">
      <c r="B74" s="398"/>
      <c r="C74" s="105">
        <v>8</v>
      </c>
      <c r="D74" s="105" t="s">
        <v>242</v>
      </c>
      <c r="E74" s="105">
        <v>10</v>
      </c>
      <c r="F74" s="105">
        <v>1500</v>
      </c>
      <c r="G74" s="105">
        <v>150</v>
      </c>
      <c r="H74" s="385"/>
      <c r="I74" s="175">
        <f t="shared" ref="I74" si="42">AVERAGE(P74,U74,Z74,AE74,AJ74,AO74,AT74)</f>
        <v>10.285714285714286</v>
      </c>
      <c r="J74" s="175">
        <f t="shared" ref="J74" si="43">AVERAGE(Q74,V74,AA74,AF74,AK74,AP74,AU74)</f>
        <v>1499.524609843937</v>
      </c>
      <c r="K74" s="202">
        <f t="shared" ref="K74" si="44">AVERAGE(R74,W74,AB74,AG74,AL74,AQ74,AV74)</f>
        <v>146.41572629051615</v>
      </c>
      <c r="L74" s="385"/>
      <c r="M74" s="203">
        <f>RANK(K74, K$67:$K$81)</f>
        <v>6</v>
      </c>
      <c r="N74" s="387"/>
      <c r="O74" s="387"/>
      <c r="P74" s="105">
        <v>12</v>
      </c>
      <c r="Q74" s="175">
        <v>1485.4285714285706</v>
      </c>
      <c r="R74" s="202">
        <v>123.78571428571422</v>
      </c>
      <c r="S74" s="105">
        <f t="shared" si="35"/>
        <v>7</v>
      </c>
      <c r="T74" s="412"/>
      <c r="U74" s="105">
        <v>10</v>
      </c>
      <c r="V74" s="175">
        <v>1503.5294117647056</v>
      </c>
      <c r="W74" s="202">
        <v>150.35294117647055</v>
      </c>
      <c r="X74" s="105">
        <f t="shared" si="36"/>
        <v>4</v>
      </c>
      <c r="Y74" s="412"/>
      <c r="Z74" s="105">
        <v>10</v>
      </c>
      <c r="AA74" s="175">
        <v>1542.0000000000005</v>
      </c>
      <c r="AB74" s="202">
        <v>154.20000000000005</v>
      </c>
      <c r="AC74" s="105">
        <f t="shared" si="37"/>
        <v>5</v>
      </c>
      <c r="AD74" s="412"/>
      <c r="AE74" s="105">
        <v>10</v>
      </c>
      <c r="AF74" s="175">
        <v>1512.7500000000007</v>
      </c>
      <c r="AG74" s="202">
        <v>151.27500000000006</v>
      </c>
      <c r="AH74" s="105">
        <f t="shared" si="38"/>
        <v>5</v>
      </c>
      <c r="AI74" s="412"/>
      <c r="AJ74" s="105">
        <v>10</v>
      </c>
      <c r="AK74" s="175">
        <v>1490.2500000000007</v>
      </c>
      <c r="AL74" s="202">
        <v>149.02500000000006</v>
      </c>
      <c r="AM74" s="105">
        <f t="shared" si="39"/>
        <v>6</v>
      </c>
      <c r="AN74" s="412"/>
      <c r="AO74" s="105">
        <v>10</v>
      </c>
      <c r="AP74" s="175">
        <v>1508.999999999998</v>
      </c>
      <c r="AQ74" s="202">
        <v>150.89999999999981</v>
      </c>
      <c r="AR74" s="105">
        <f t="shared" si="40"/>
        <v>4</v>
      </c>
      <c r="AS74" s="412"/>
      <c r="AT74" s="105">
        <v>10</v>
      </c>
      <c r="AU74" s="175">
        <v>1453.7142857142824</v>
      </c>
      <c r="AV74" s="202">
        <v>145.37142857142823</v>
      </c>
      <c r="AW74" s="105">
        <f t="shared" si="41"/>
        <v>7</v>
      </c>
      <c r="AX74" s="412"/>
    </row>
    <row r="75" spans="2:50">
      <c r="B75" s="398"/>
      <c r="C75" s="105">
        <v>9</v>
      </c>
      <c r="D75" s="105"/>
      <c r="E75" s="105"/>
      <c r="F75" s="105"/>
      <c r="G75" s="105"/>
      <c r="H75" s="385"/>
      <c r="I75" s="175"/>
      <c r="J75" s="175"/>
      <c r="K75" s="202"/>
      <c r="L75" s="385"/>
      <c r="M75" s="203" t="e">
        <f>RANK(K75, K$67:$K$81)</f>
        <v>#N/A</v>
      </c>
      <c r="N75" s="387"/>
      <c r="O75" s="387"/>
      <c r="P75" s="105"/>
      <c r="Q75" s="175"/>
      <c r="R75" s="202"/>
      <c r="S75" s="105" t="e">
        <f t="shared" si="35"/>
        <v>#N/A</v>
      </c>
      <c r="T75" s="412"/>
      <c r="U75" s="105"/>
      <c r="V75" s="175"/>
      <c r="W75" s="202"/>
      <c r="X75" s="105" t="e">
        <f t="shared" si="36"/>
        <v>#N/A</v>
      </c>
      <c r="Y75" s="412"/>
      <c r="Z75" s="105"/>
      <c r="AA75" s="175"/>
      <c r="AB75" s="202"/>
      <c r="AC75" s="105" t="e">
        <f t="shared" si="37"/>
        <v>#N/A</v>
      </c>
      <c r="AD75" s="412"/>
      <c r="AE75" s="105"/>
      <c r="AF75" s="175"/>
      <c r="AG75" s="202"/>
      <c r="AH75" s="105" t="e">
        <f t="shared" si="38"/>
        <v>#N/A</v>
      </c>
      <c r="AI75" s="412"/>
      <c r="AJ75" s="105"/>
      <c r="AK75" s="175"/>
      <c r="AL75" s="202"/>
      <c r="AM75" s="105" t="e">
        <f t="shared" si="39"/>
        <v>#N/A</v>
      </c>
      <c r="AN75" s="412"/>
      <c r="AO75" s="105"/>
      <c r="AP75" s="175"/>
      <c r="AQ75" s="202"/>
      <c r="AR75" s="105" t="e">
        <f t="shared" si="40"/>
        <v>#N/A</v>
      </c>
      <c r="AS75" s="412"/>
      <c r="AT75" s="105"/>
      <c r="AU75" s="175"/>
      <c r="AV75" s="202"/>
      <c r="AW75" s="105" t="e">
        <f t="shared" si="41"/>
        <v>#N/A</v>
      </c>
      <c r="AX75" s="412"/>
    </row>
    <row r="76" spans="2:50">
      <c r="B76" s="398"/>
      <c r="C76" s="105">
        <v>10</v>
      </c>
      <c r="D76" s="105"/>
      <c r="E76" s="105"/>
      <c r="F76" s="105"/>
      <c r="G76" s="105"/>
      <c r="H76" s="385"/>
      <c r="I76" s="175"/>
      <c r="J76" s="175"/>
      <c r="K76" s="202"/>
      <c r="L76" s="385"/>
      <c r="M76" s="203" t="e">
        <f>RANK(K76, K$67:$K$81)</f>
        <v>#N/A</v>
      </c>
      <c r="N76" s="387"/>
      <c r="O76" s="387"/>
      <c r="P76" s="105"/>
      <c r="Q76" s="175"/>
      <c r="R76" s="202"/>
      <c r="S76" s="105" t="e">
        <f t="shared" si="35"/>
        <v>#N/A</v>
      </c>
      <c r="T76" s="412"/>
      <c r="U76" s="105"/>
      <c r="V76" s="175"/>
      <c r="W76" s="202"/>
      <c r="X76" s="105" t="e">
        <f t="shared" si="36"/>
        <v>#N/A</v>
      </c>
      <c r="Y76" s="412"/>
      <c r="Z76" s="105"/>
      <c r="AA76" s="175"/>
      <c r="AB76" s="202"/>
      <c r="AC76" s="105" t="e">
        <f t="shared" si="37"/>
        <v>#N/A</v>
      </c>
      <c r="AD76" s="412"/>
      <c r="AE76" s="105"/>
      <c r="AF76" s="175"/>
      <c r="AG76" s="202"/>
      <c r="AH76" s="105" t="e">
        <f t="shared" si="38"/>
        <v>#N/A</v>
      </c>
      <c r="AI76" s="412"/>
      <c r="AJ76" s="105"/>
      <c r="AK76" s="175"/>
      <c r="AL76" s="202"/>
      <c r="AM76" s="105" t="e">
        <f t="shared" si="39"/>
        <v>#N/A</v>
      </c>
      <c r="AN76" s="412"/>
      <c r="AO76" s="105"/>
      <c r="AP76" s="175"/>
      <c r="AQ76" s="202"/>
      <c r="AR76" s="105" t="e">
        <f t="shared" si="40"/>
        <v>#N/A</v>
      </c>
      <c r="AS76" s="412"/>
      <c r="AT76" s="105"/>
      <c r="AU76" s="175"/>
      <c r="AV76" s="202"/>
      <c r="AW76" s="105" t="e">
        <f t="shared" si="41"/>
        <v>#N/A</v>
      </c>
      <c r="AX76" s="412"/>
    </row>
    <row r="77" spans="2:50">
      <c r="B77" s="398"/>
      <c r="C77" s="105">
        <v>11</v>
      </c>
      <c r="D77" s="105"/>
      <c r="E77" s="105"/>
      <c r="F77" s="105"/>
      <c r="G77" s="105"/>
      <c r="H77" s="385"/>
      <c r="I77" s="105"/>
      <c r="J77" s="105"/>
      <c r="K77" s="105"/>
      <c r="L77" s="385"/>
      <c r="M77" s="203" t="e">
        <f>RANK(K77, K$67:$K$81)</f>
        <v>#N/A</v>
      </c>
      <c r="N77" s="387"/>
      <c r="O77" s="387"/>
      <c r="P77" s="105"/>
      <c r="Q77" s="105"/>
      <c r="R77" s="105"/>
      <c r="S77" s="105" t="e">
        <f t="shared" si="35"/>
        <v>#N/A</v>
      </c>
      <c r="T77" s="412"/>
      <c r="U77" s="105"/>
      <c r="V77" s="105"/>
      <c r="W77" s="105"/>
      <c r="X77" s="105" t="e">
        <f t="shared" si="36"/>
        <v>#N/A</v>
      </c>
      <c r="Y77" s="412"/>
      <c r="Z77" s="105"/>
      <c r="AA77" s="105"/>
      <c r="AB77" s="105"/>
      <c r="AC77" s="105" t="e">
        <f t="shared" si="37"/>
        <v>#N/A</v>
      </c>
      <c r="AD77" s="412"/>
      <c r="AE77" s="105"/>
      <c r="AF77" s="105"/>
      <c r="AG77" s="105"/>
      <c r="AH77" s="105" t="e">
        <f t="shared" si="38"/>
        <v>#N/A</v>
      </c>
      <c r="AI77" s="412"/>
      <c r="AJ77" s="105"/>
      <c r="AK77" s="105"/>
      <c r="AL77" s="105"/>
      <c r="AM77" s="105" t="e">
        <f t="shared" si="39"/>
        <v>#N/A</v>
      </c>
      <c r="AN77" s="412"/>
      <c r="AO77" s="105"/>
      <c r="AP77" s="105"/>
      <c r="AQ77" s="105"/>
      <c r="AR77" s="105" t="e">
        <f t="shared" si="40"/>
        <v>#N/A</v>
      </c>
      <c r="AS77" s="412"/>
      <c r="AT77" s="105"/>
      <c r="AU77" s="105"/>
      <c r="AV77" s="105"/>
      <c r="AW77" s="105" t="e">
        <f t="shared" si="41"/>
        <v>#N/A</v>
      </c>
      <c r="AX77" s="412"/>
    </row>
    <row r="78" spans="2:50">
      <c r="B78" s="398"/>
      <c r="C78" s="105">
        <v>12</v>
      </c>
      <c r="D78" s="105"/>
      <c r="E78" s="105"/>
      <c r="F78" s="105"/>
      <c r="G78" s="105"/>
      <c r="H78" s="385"/>
      <c r="I78" s="105"/>
      <c r="J78" s="105"/>
      <c r="K78" s="105"/>
      <c r="L78" s="385"/>
      <c r="M78" s="203" t="e">
        <f>RANK(K78, K$67:$K$81)</f>
        <v>#N/A</v>
      </c>
      <c r="N78" s="387"/>
      <c r="O78" s="387"/>
      <c r="P78" s="105"/>
      <c r="Q78" s="105"/>
      <c r="R78" s="105"/>
      <c r="S78" s="105" t="e">
        <f t="shared" si="35"/>
        <v>#N/A</v>
      </c>
      <c r="T78" s="412"/>
      <c r="U78" s="105"/>
      <c r="V78" s="105"/>
      <c r="W78" s="105"/>
      <c r="X78" s="105" t="e">
        <f t="shared" si="36"/>
        <v>#N/A</v>
      </c>
      <c r="Y78" s="412"/>
      <c r="Z78" s="105"/>
      <c r="AA78" s="105"/>
      <c r="AB78" s="105"/>
      <c r="AC78" s="105" t="e">
        <f t="shared" si="37"/>
        <v>#N/A</v>
      </c>
      <c r="AD78" s="412"/>
      <c r="AE78" s="105"/>
      <c r="AF78" s="105"/>
      <c r="AG78" s="105"/>
      <c r="AH78" s="105" t="e">
        <f t="shared" si="38"/>
        <v>#N/A</v>
      </c>
      <c r="AI78" s="412"/>
      <c r="AJ78" s="105"/>
      <c r="AK78" s="105"/>
      <c r="AL78" s="105"/>
      <c r="AM78" s="105" t="e">
        <f t="shared" si="39"/>
        <v>#N/A</v>
      </c>
      <c r="AN78" s="412"/>
      <c r="AO78" s="105"/>
      <c r="AP78" s="105"/>
      <c r="AQ78" s="105"/>
      <c r="AR78" s="105" t="e">
        <f t="shared" si="40"/>
        <v>#N/A</v>
      </c>
      <c r="AS78" s="412"/>
      <c r="AT78" s="105"/>
      <c r="AU78" s="105"/>
      <c r="AV78" s="105"/>
      <c r="AW78" s="105" t="e">
        <f t="shared" si="41"/>
        <v>#N/A</v>
      </c>
      <c r="AX78" s="412"/>
    </row>
    <row r="79" spans="2:50">
      <c r="B79" s="398"/>
      <c r="C79" s="105">
        <v>13</v>
      </c>
      <c r="D79" s="105"/>
      <c r="E79" s="105"/>
      <c r="F79" s="105"/>
      <c r="G79" s="105"/>
      <c r="H79" s="385"/>
      <c r="I79" s="105"/>
      <c r="J79" s="105"/>
      <c r="K79" s="105"/>
      <c r="L79" s="385"/>
      <c r="M79" s="203" t="e">
        <f>RANK(K79, K$67:$K$81)</f>
        <v>#N/A</v>
      </c>
      <c r="N79" s="387"/>
      <c r="O79" s="387"/>
      <c r="P79" s="105"/>
      <c r="Q79" s="105"/>
      <c r="R79" s="105"/>
      <c r="S79" s="105" t="e">
        <f t="shared" si="35"/>
        <v>#N/A</v>
      </c>
      <c r="T79" s="412"/>
      <c r="U79" s="105"/>
      <c r="V79" s="105"/>
      <c r="W79" s="105"/>
      <c r="X79" s="105" t="e">
        <f t="shared" si="36"/>
        <v>#N/A</v>
      </c>
      <c r="Y79" s="412"/>
      <c r="Z79" s="105"/>
      <c r="AA79" s="105"/>
      <c r="AB79" s="105"/>
      <c r="AC79" s="105" t="e">
        <f t="shared" si="37"/>
        <v>#N/A</v>
      </c>
      <c r="AD79" s="412"/>
      <c r="AE79" s="105"/>
      <c r="AF79" s="105"/>
      <c r="AG79" s="105"/>
      <c r="AH79" s="105" t="e">
        <f t="shared" si="38"/>
        <v>#N/A</v>
      </c>
      <c r="AI79" s="412"/>
      <c r="AJ79" s="105"/>
      <c r="AK79" s="105"/>
      <c r="AL79" s="105"/>
      <c r="AM79" s="105" t="e">
        <f t="shared" si="39"/>
        <v>#N/A</v>
      </c>
      <c r="AN79" s="412"/>
      <c r="AO79" s="105"/>
      <c r="AP79" s="105"/>
      <c r="AQ79" s="105"/>
      <c r="AR79" s="105" t="e">
        <f t="shared" si="40"/>
        <v>#N/A</v>
      </c>
      <c r="AS79" s="412"/>
      <c r="AT79" s="105"/>
      <c r="AU79" s="105"/>
      <c r="AV79" s="105"/>
      <c r="AW79" s="105" t="e">
        <f t="shared" si="41"/>
        <v>#N/A</v>
      </c>
      <c r="AX79" s="412"/>
    </row>
    <row r="80" spans="2:50">
      <c r="B80" s="398"/>
      <c r="C80" s="105">
        <v>14</v>
      </c>
      <c r="D80" s="105"/>
      <c r="E80" s="105"/>
      <c r="F80" s="105"/>
      <c r="G80" s="105"/>
      <c r="H80" s="385"/>
      <c r="I80" s="105"/>
      <c r="J80" s="105"/>
      <c r="K80" s="105"/>
      <c r="L80" s="385"/>
      <c r="M80" s="203" t="e">
        <f>RANK(K80, K$67:$K$81)</f>
        <v>#N/A</v>
      </c>
      <c r="N80" s="387"/>
      <c r="O80" s="387"/>
      <c r="P80" s="105"/>
      <c r="Q80" s="105"/>
      <c r="R80" s="105"/>
      <c r="S80" s="105" t="e">
        <f t="shared" si="35"/>
        <v>#N/A</v>
      </c>
      <c r="T80" s="412"/>
      <c r="U80" s="105"/>
      <c r="V80" s="105"/>
      <c r="W80" s="105"/>
      <c r="X80" s="105" t="e">
        <f t="shared" si="36"/>
        <v>#N/A</v>
      </c>
      <c r="Y80" s="412"/>
      <c r="Z80" s="105"/>
      <c r="AA80" s="105"/>
      <c r="AB80" s="105"/>
      <c r="AC80" s="105" t="e">
        <f t="shared" si="37"/>
        <v>#N/A</v>
      </c>
      <c r="AD80" s="412"/>
      <c r="AE80" s="105"/>
      <c r="AF80" s="105"/>
      <c r="AG80" s="105"/>
      <c r="AH80" s="105" t="e">
        <f t="shared" si="38"/>
        <v>#N/A</v>
      </c>
      <c r="AI80" s="412"/>
      <c r="AJ80" s="105"/>
      <c r="AK80" s="105"/>
      <c r="AL80" s="105"/>
      <c r="AM80" s="105" t="e">
        <f t="shared" si="39"/>
        <v>#N/A</v>
      </c>
      <c r="AN80" s="412"/>
      <c r="AO80" s="105"/>
      <c r="AP80" s="105"/>
      <c r="AQ80" s="105"/>
      <c r="AR80" s="105" t="e">
        <f t="shared" si="40"/>
        <v>#N/A</v>
      </c>
      <c r="AS80" s="412"/>
      <c r="AT80" s="105"/>
      <c r="AU80" s="105"/>
      <c r="AV80" s="105"/>
      <c r="AW80" s="105" t="e">
        <f t="shared" si="41"/>
        <v>#N/A</v>
      </c>
      <c r="AX80" s="412"/>
    </row>
    <row r="81" spans="2:50">
      <c r="B81" s="398"/>
      <c r="C81" s="105">
        <v>15</v>
      </c>
      <c r="D81" s="105"/>
      <c r="E81" s="105"/>
      <c r="F81" s="105"/>
      <c r="G81" s="105"/>
      <c r="H81" s="386"/>
      <c r="I81" s="105"/>
      <c r="J81" s="105"/>
      <c r="K81" s="105"/>
      <c r="L81" s="386"/>
      <c r="M81" s="175" t="e">
        <f>RANK(K81, K$67:$K$81)</f>
        <v>#N/A</v>
      </c>
      <c r="N81" s="387"/>
      <c r="O81" s="387"/>
      <c r="P81" s="105"/>
      <c r="Q81" s="105"/>
      <c r="R81" s="105"/>
      <c r="S81" s="105" t="e">
        <f t="shared" si="35"/>
        <v>#N/A</v>
      </c>
      <c r="T81" s="412"/>
      <c r="U81" s="105"/>
      <c r="V81" s="105"/>
      <c r="W81" s="105"/>
      <c r="X81" s="105" t="e">
        <f t="shared" si="36"/>
        <v>#N/A</v>
      </c>
      <c r="Y81" s="412"/>
      <c r="Z81" s="105"/>
      <c r="AA81" s="105"/>
      <c r="AB81" s="105"/>
      <c r="AC81" s="105" t="e">
        <f t="shared" si="37"/>
        <v>#N/A</v>
      </c>
      <c r="AD81" s="412"/>
      <c r="AE81" s="105"/>
      <c r="AF81" s="105"/>
      <c r="AG81" s="105"/>
      <c r="AH81" s="105" t="e">
        <f t="shared" si="38"/>
        <v>#N/A</v>
      </c>
      <c r="AI81" s="412"/>
      <c r="AJ81" s="105"/>
      <c r="AK81" s="105"/>
      <c r="AL81" s="105"/>
      <c r="AM81" s="105" t="e">
        <f t="shared" si="39"/>
        <v>#N/A</v>
      </c>
      <c r="AN81" s="412"/>
      <c r="AO81" s="105"/>
      <c r="AP81" s="105"/>
      <c r="AQ81" s="105"/>
      <c r="AR81" s="105" t="e">
        <f t="shared" si="40"/>
        <v>#N/A</v>
      </c>
      <c r="AS81" s="412"/>
      <c r="AT81" s="105"/>
      <c r="AU81" s="105"/>
      <c r="AV81" s="105"/>
      <c r="AW81" s="105" t="e">
        <f t="shared" si="41"/>
        <v>#N/A</v>
      </c>
      <c r="AX81" s="412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45">Z82+1</f>
        <v>45898</v>
      </c>
      <c r="AF82" s="395"/>
      <c r="AG82" s="395"/>
      <c r="AH82" s="395"/>
      <c r="AI82" s="396"/>
      <c r="AJ82" s="394">
        <f t="shared" ref="AJ82" si="46">AE82+1</f>
        <v>45899</v>
      </c>
      <c r="AK82" s="395"/>
      <c r="AL82" s="395"/>
      <c r="AM82" s="395"/>
      <c r="AN82" s="396"/>
      <c r="AO82" s="394">
        <f t="shared" ref="AO82" si="47">AJ82+1</f>
        <v>45900</v>
      </c>
      <c r="AP82" s="395"/>
      <c r="AQ82" s="395"/>
      <c r="AR82" s="395"/>
      <c r="AS82" s="396"/>
      <c r="AT82" s="394">
        <f t="shared" ref="AT82" si="48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413" t="s">
        <v>234</v>
      </c>
      <c r="C87" s="105">
        <v>1</v>
      </c>
      <c r="D87" s="105" t="s">
        <v>235</v>
      </c>
      <c r="E87" s="105">
        <v>15</v>
      </c>
      <c r="F87" s="105">
        <v>1200</v>
      </c>
      <c r="G87" s="105">
        <v>80</v>
      </c>
      <c r="H87" s="384">
        <f>AVERAGE(G87:G101)</f>
        <v>194.65</v>
      </c>
      <c r="I87" s="175">
        <f>AVERAGE(P87,U87,Z87,AE87,AJ87,AO87,AT87)</f>
        <v>13</v>
      </c>
      <c r="J87" s="175">
        <f>AVERAGE(Q87,V87,AA87,AF87,AK87,AP87,AU87)</f>
        <v>1180.9333333333345</v>
      </c>
      <c r="K87" s="202">
        <f>AVERAGE(R87,W87,AB87,AG87,AL87,AQ87,AV87)</f>
        <v>90.841025641025723</v>
      </c>
      <c r="L87" s="384">
        <f>IFERROR(AVERAGE(K87:K101),"-")</f>
        <v>204.23332689046325</v>
      </c>
      <c r="M87" s="203">
        <f>RANK(K87, K$87:$K$101)</f>
        <v>7</v>
      </c>
      <c r="N87" s="387"/>
      <c r="O87" s="387"/>
      <c r="P87" s="105">
        <v>13</v>
      </c>
      <c r="Q87" s="175">
        <v>1080.0000000000014</v>
      </c>
      <c r="R87" s="202">
        <v>83.07692307692318</v>
      </c>
      <c r="S87" s="105">
        <f>RANK(R87, R$87:R$101)</f>
        <v>8</v>
      </c>
      <c r="T87" s="412">
        <f>AVERAGE(R87:R101)</f>
        <v>195.78366338176343</v>
      </c>
      <c r="U87" s="105">
        <v>13</v>
      </c>
      <c r="V87" s="175">
        <v>1238.0000000000014</v>
      </c>
      <c r="W87" s="202">
        <v>95.23076923076934</v>
      </c>
      <c r="X87" s="105">
        <f>RANK(W87, W$87:W$101)</f>
        <v>8</v>
      </c>
      <c r="Y87" s="412">
        <f>AVERAGE(W87:W101)</f>
        <v>196.31076458138037</v>
      </c>
      <c r="Z87" s="105">
        <v>13</v>
      </c>
      <c r="AA87" s="175">
        <v>1167.999999999998</v>
      </c>
      <c r="AB87" s="202">
        <v>89.846153846153683</v>
      </c>
      <c r="AC87" s="105">
        <f>RANK(AB87, AB$87:AB$101)</f>
        <v>8</v>
      </c>
      <c r="AD87" s="412">
        <f>AVERAGE(AB87:AB101)</f>
        <v>198.41235639360633</v>
      </c>
      <c r="AE87" s="105">
        <v>13</v>
      </c>
      <c r="AF87" s="175">
        <v>1212.0000000000005</v>
      </c>
      <c r="AG87" s="202">
        <v>93.230769230769269</v>
      </c>
      <c r="AH87" s="105">
        <f>RANK(AG87, AG$87:AG$101)</f>
        <v>8</v>
      </c>
      <c r="AI87" s="412">
        <f>AVERAGE(AG87:AG101)</f>
        <v>206.59098089410617</v>
      </c>
      <c r="AJ87" s="105">
        <v>13</v>
      </c>
      <c r="AK87" s="175">
        <v>1161.6000000000004</v>
      </c>
      <c r="AL87" s="202">
        <v>89.353846153846177</v>
      </c>
      <c r="AM87" s="105">
        <f>RANK(AL87, AL$87:AL$101)</f>
        <v>8</v>
      </c>
      <c r="AN87" s="412">
        <f>AVERAGE(AL87:AL101)</f>
        <v>193.39419018481505</v>
      </c>
      <c r="AO87" s="105">
        <v>13</v>
      </c>
      <c r="AP87" s="175">
        <v>1226.0000000000043</v>
      </c>
      <c r="AQ87" s="202">
        <v>94.307692307692633</v>
      </c>
      <c r="AR87" s="105">
        <f>RANK(AQ87, AQ$87:AQ$101)</f>
        <v>8</v>
      </c>
      <c r="AS87" s="412">
        <f>AVERAGE(AQ87:AQ101)</f>
        <v>193.92896478521479</v>
      </c>
      <c r="AT87" s="105"/>
      <c r="AU87" s="175"/>
      <c r="AV87" s="202"/>
      <c r="AW87" s="105" t="e">
        <f>RANK(AV87, AV$87:AV$101)</f>
        <v>#N/A</v>
      </c>
      <c r="AX87" s="412" t="e">
        <f>AVERAGE(AV87:AV101)</f>
        <v>#DIV/0!</v>
      </c>
    </row>
    <row r="88" spans="2:50">
      <c r="B88" s="398"/>
      <c r="C88" s="105">
        <v>2</v>
      </c>
      <c r="D88" s="105" t="s">
        <v>236</v>
      </c>
      <c r="E88" s="105">
        <v>10</v>
      </c>
      <c r="F88" s="105">
        <v>1500</v>
      </c>
      <c r="G88" s="105">
        <v>150</v>
      </c>
      <c r="H88" s="385"/>
      <c r="I88" s="175">
        <f t="shared" ref="I88:I93" si="49">AVERAGE(P88,U88,Z88,AE88,AJ88,AO88,AT88)</f>
        <v>10</v>
      </c>
      <c r="J88" s="175">
        <f t="shared" ref="J88:J93" si="50">AVERAGE(Q88,V88,AA88,AF88,AK88,AP88,AU88)</f>
        <v>1487.6984126984119</v>
      </c>
      <c r="K88" s="202">
        <f t="shared" ref="K88:K93" si="51">AVERAGE(R88,W88,AB88,AG88,AL88,AQ88,AV88)</f>
        <v>148.76984126984121</v>
      </c>
      <c r="L88" s="385"/>
      <c r="M88" s="203">
        <f>RANK(K88, K$87:$K$101)</f>
        <v>5</v>
      </c>
      <c r="N88" s="387"/>
      <c r="O88" s="387"/>
      <c r="P88" s="105">
        <v>10</v>
      </c>
      <c r="Q88" s="175">
        <v>1550.9999999999995</v>
      </c>
      <c r="R88" s="202">
        <v>155.09999999999997</v>
      </c>
      <c r="S88" s="105">
        <f t="shared" ref="S88:S101" si="52">RANK(R88, R$87:R$101)</f>
        <v>5</v>
      </c>
      <c r="T88" s="412"/>
      <c r="U88" s="105">
        <v>10</v>
      </c>
      <c r="V88" s="175">
        <v>1544.9999999999993</v>
      </c>
      <c r="W88" s="202">
        <v>154.49999999999994</v>
      </c>
      <c r="X88" s="105">
        <f t="shared" ref="X88:X101" si="53">RANK(W88, W$87:W$101)</f>
        <v>4</v>
      </c>
      <c r="Y88" s="412"/>
      <c r="Z88" s="105">
        <v>10</v>
      </c>
      <c r="AA88" s="175">
        <v>1517.9999999999961</v>
      </c>
      <c r="AB88" s="202">
        <v>151.79999999999961</v>
      </c>
      <c r="AC88" s="105">
        <f t="shared" ref="AC88:AC101" si="54">RANK(AB88, AB$87:AB$101)</f>
        <v>7</v>
      </c>
      <c r="AD88" s="412"/>
      <c r="AE88" s="105">
        <v>10</v>
      </c>
      <c r="AF88" s="175">
        <v>1450.2857142857129</v>
      </c>
      <c r="AG88" s="202">
        <v>145.0285714285713</v>
      </c>
      <c r="AH88" s="105">
        <f t="shared" ref="AH88:AH101" si="55">RANK(AG88, AG$87:AG$101)</f>
        <v>6</v>
      </c>
      <c r="AI88" s="412"/>
      <c r="AJ88" s="105">
        <v>10</v>
      </c>
      <c r="AK88" s="175">
        <v>1412.5714285714303</v>
      </c>
      <c r="AL88" s="202">
        <v>141.25714285714304</v>
      </c>
      <c r="AM88" s="105">
        <f t="shared" ref="AM88:AM101" si="56">RANK(AL88, AL$87:AL$101)</f>
        <v>7</v>
      </c>
      <c r="AN88" s="412"/>
      <c r="AO88" s="105">
        <v>10</v>
      </c>
      <c r="AP88" s="175">
        <v>1449.3333333333333</v>
      </c>
      <c r="AQ88" s="202">
        <v>144.93333333333334</v>
      </c>
      <c r="AR88" s="105">
        <f t="shared" ref="AR88:AR101" si="57">RANK(AQ88, AQ$87:AQ$101)</f>
        <v>5</v>
      </c>
      <c r="AS88" s="412"/>
      <c r="AT88" s="105"/>
      <c r="AU88" s="175"/>
      <c r="AV88" s="202"/>
      <c r="AW88" s="105" t="e">
        <f t="shared" ref="AW88:AW101" si="58">RANK(AV88, AV$87:AV$101)</f>
        <v>#N/A</v>
      </c>
      <c r="AX88" s="412"/>
    </row>
    <row r="89" spans="2:50">
      <c r="B89" s="398"/>
      <c r="C89" s="105">
        <v>3</v>
      </c>
      <c r="D89" s="105" t="s">
        <v>237</v>
      </c>
      <c r="E89" s="105">
        <v>10</v>
      </c>
      <c r="F89" s="105">
        <v>1636</v>
      </c>
      <c r="G89" s="105">
        <v>163.6</v>
      </c>
      <c r="H89" s="385"/>
      <c r="I89" s="175">
        <f t="shared" si="49"/>
        <v>12</v>
      </c>
      <c r="J89" s="175">
        <f t="shared" si="50"/>
        <v>1768.9999999999989</v>
      </c>
      <c r="K89" s="202">
        <f t="shared" si="51"/>
        <v>147.41666666666654</v>
      </c>
      <c r="L89" s="385"/>
      <c r="M89" s="203">
        <f>RANK(K89, K$87:$K$101)</f>
        <v>6</v>
      </c>
      <c r="N89" s="387"/>
      <c r="O89" s="387"/>
      <c r="P89" s="105">
        <v>12</v>
      </c>
      <c r="Q89" s="175">
        <v>1907.9999999999993</v>
      </c>
      <c r="R89" s="202">
        <v>158.99999999999994</v>
      </c>
      <c r="S89" s="105">
        <f t="shared" si="52"/>
        <v>4</v>
      </c>
      <c r="T89" s="412"/>
      <c r="U89" s="105">
        <v>12</v>
      </c>
      <c r="V89" s="175">
        <v>1704</v>
      </c>
      <c r="W89" s="202">
        <v>142</v>
      </c>
      <c r="X89" s="105">
        <f t="shared" si="53"/>
        <v>7</v>
      </c>
      <c r="Y89" s="412"/>
      <c r="Z89" s="105">
        <v>12</v>
      </c>
      <c r="AA89" s="175">
        <v>1880.9999999999955</v>
      </c>
      <c r="AB89" s="202">
        <v>156.74999999999963</v>
      </c>
      <c r="AC89" s="105">
        <f t="shared" si="54"/>
        <v>5</v>
      </c>
      <c r="AD89" s="412"/>
      <c r="AE89" s="105">
        <v>12</v>
      </c>
      <c r="AF89" s="175">
        <v>1708.4999999999995</v>
      </c>
      <c r="AG89" s="202">
        <v>142.37499999999997</v>
      </c>
      <c r="AH89" s="105">
        <f t="shared" si="55"/>
        <v>7</v>
      </c>
      <c r="AI89" s="412"/>
      <c r="AJ89" s="105">
        <v>12</v>
      </c>
      <c r="AK89" s="175">
        <v>1720.4999999999993</v>
      </c>
      <c r="AL89" s="202">
        <v>143.37499999999994</v>
      </c>
      <c r="AM89" s="105">
        <f t="shared" si="56"/>
        <v>6</v>
      </c>
      <c r="AN89" s="412"/>
      <c r="AO89" s="105">
        <v>12</v>
      </c>
      <c r="AP89" s="175">
        <v>1691.9999999999977</v>
      </c>
      <c r="AQ89" s="202">
        <v>140.9999999999998</v>
      </c>
      <c r="AR89" s="105">
        <f t="shared" si="57"/>
        <v>7</v>
      </c>
      <c r="AS89" s="412"/>
      <c r="AT89" s="105"/>
      <c r="AU89" s="175"/>
      <c r="AV89" s="202"/>
      <c r="AW89" s="105" t="e">
        <f t="shared" si="58"/>
        <v>#N/A</v>
      </c>
      <c r="AX89" s="412"/>
    </row>
    <row r="90" spans="2:50">
      <c r="B90" s="398"/>
      <c r="C90" s="105">
        <v>4</v>
      </c>
      <c r="D90" s="105" t="s">
        <v>238</v>
      </c>
      <c r="E90" s="105">
        <v>10</v>
      </c>
      <c r="F90" s="105">
        <v>1636</v>
      </c>
      <c r="G90" s="105">
        <v>163.6</v>
      </c>
      <c r="H90" s="385"/>
      <c r="I90" s="175">
        <f t="shared" si="49"/>
        <v>12</v>
      </c>
      <c r="J90" s="175">
        <f t="shared" si="50"/>
        <v>1804.3333333333328</v>
      </c>
      <c r="K90" s="202">
        <f t="shared" si="51"/>
        <v>150.36111111111106</v>
      </c>
      <c r="L90" s="385"/>
      <c r="M90" s="203">
        <f>RANK(K90, K$87:$K$101)</f>
        <v>4</v>
      </c>
      <c r="N90" s="387"/>
      <c r="O90" s="387"/>
      <c r="P90" s="105">
        <v>12</v>
      </c>
      <c r="Q90" s="175">
        <v>1765.4999999999993</v>
      </c>
      <c r="R90" s="202">
        <v>147.12499999999994</v>
      </c>
      <c r="S90" s="105">
        <f t="shared" si="52"/>
        <v>7</v>
      </c>
      <c r="T90" s="412"/>
      <c r="U90" s="105">
        <v>12</v>
      </c>
      <c r="V90" s="175">
        <v>1756.4999999999993</v>
      </c>
      <c r="W90" s="202">
        <v>146.37499999999994</v>
      </c>
      <c r="X90" s="105">
        <f t="shared" si="53"/>
        <v>6</v>
      </c>
      <c r="Y90" s="412"/>
      <c r="Z90" s="105">
        <v>12</v>
      </c>
      <c r="AA90" s="175">
        <v>1954.2857142857124</v>
      </c>
      <c r="AB90" s="202">
        <v>162.85714285714269</v>
      </c>
      <c r="AC90" s="105">
        <f t="shared" si="54"/>
        <v>4</v>
      </c>
      <c r="AD90" s="412"/>
      <c r="AE90" s="105">
        <v>12</v>
      </c>
      <c r="AF90" s="175">
        <v>1774.2857142857124</v>
      </c>
      <c r="AG90" s="202">
        <v>147.85714285714269</v>
      </c>
      <c r="AH90" s="105">
        <f t="shared" si="55"/>
        <v>4</v>
      </c>
      <c r="AI90" s="412"/>
      <c r="AJ90" s="105">
        <v>12</v>
      </c>
      <c r="AK90" s="175">
        <v>1839.4285714285695</v>
      </c>
      <c r="AL90" s="202">
        <v>153.28571428571414</v>
      </c>
      <c r="AM90" s="105">
        <f t="shared" si="56"/>
        <v>4</v>
      </c>
      <c r="AN90" s="412"/>
      <c r="AO90" s="105">
        <v>12</v>
      </c>
      <c r="AP90" s="175">
        <v>1736.000000000003</v>
      </c>
      <c r="AQ90" s="202">
        <v>144.66666666666691</v>
      </c>
      <c r="AR90" s="105">
        <f t="shared" si="57"/>
        <v>6</v>
      </c>
      <c r="AS90" s="412"/>
      <c r="AT90" s="105"/>
      <c r="AU90" s="175"/>
      <c r="AV90" s="202"/>
      <c r="AW90" s="105" t="e">
        <f t="shared" si="58"/>
        <v>#N/A</v>
      </c>
      <c r="AX90" s="412"/>
    </row>
    <row r="91" spans="2:50">
      <c r="B91" s="398"/>
      <c r="C91" s="105">
        <v>5</v>
      </c>
      <c r="D91" s="105" t="s">
        <v>239</v>
      </c>
      <c r="E91" s="105">
        <v>6</v>
      </c>
      <c r="F91" s="105">
        <v>1500</v>
      </c>
      <c r="G91" s="105">
        <v>250</v>
      </c>
      <c r="H91" s="385"/>
      <c r="I91" s="175">
        <f t="shared" si="49"/>
        <v>5</v>
      </c>
      <c r="J91" s="175">
        <f t="shared" si="50"/>
        <v>1467.6782296650711</v>
      </c>
      <c r="K91" s="202">
        <f t="shared" si="51"/>
        <v>293.53564593301422</v>
      </c>
      <c r="L91" s="385"/>
      <c r="M91" s="203">
        <f>RANK(K91, K$87:$K$101)</f>
        <v>3</v>
      </c>
      <c r="N91" s="387"/>
      <c r="O91" s="387"/>
      <c r="P91" s="105">
        <v>5</v>
      </c>
      <c r="Q91" s="175">
        <v>1433.6842105263147</v>
      </c>
      <c r="R91" s="202">
        <v>286.73684210526295</v>
      </c>
      <c r="S91" s="105">
        <f t="shared" si="52"/>
        <v>2</v>
      </c>
      <c r="T91" s="412"/>
      <c r="U91" s="105">
        <v>5</v>
      </c>
      <c r="V91" s="175">
        <v>1503.1578947368409</v>
      </c>
      <c r="W91" s="202">
        <v>300.63157894736821</v>
      </c>
      <c r="X91" s="105">
        <f t="shared" si="53"/>
        <v>1</v>
      </c>
      <c r="Y91" s="412"/>
      <c r="Z91" s="105">
        <v>5</v>
      </c>
      <c r="AA91" s="175">
        <v>1448.9999999999995</v>
      </c>
      <c r="AB91" s="202">
        <v>289.7999999999999</v>
      </c>
      <c r="AC91" s="105">
        <f t="shared" si="54"/>
        <v>3</v>
      </c>
      <c r="AD91" s="412"/>
      <c r="AE91" s="105">
        <v>5</v>
      </c>
      <c r="AF91" s="175">
        <v>1485.0000000000018</v>
      </c>
      <c r="AG91" s="202">
        <v>297.00000000000034</v>
      </c>
      <c r="AH91" s="105">
        <f t="shared" si="55"/>
        <v>2</v>
      </c>
      <c r="AI91" s="412"/>
      <c r="AJ91" s="105">
        <v>5</v>
      </c>
      <c r="AK91" s="175">
        <v>1492.4999999999982</v>
      </c>
      <c r="AL91" s="202">
        <v>298.49999999999966</v>
      </c>
      <c r="AM91" s="105">
        <f t="shared" si="56"/>
        <v>1</v>
      </c>
      <c r="AN91" s="412"/>
      <c r="AO91" s="105">
        <v>5</v>
      </c>
      <c r="AP91" s="175">
        <v>1442.7272727272727</v>
      </c>
      <c r="AQ91" s="202">
        <v>288.54545454545456</v>
      </c>
      <c r="AR91" s="105">
        <f t="shared" si="57"/>
        <v>3</v>
      </c>
      <c r="AS91" s="412"/>
      <c r="AT91" s="105"/>
      <c r="AU91" s="175"/>
      <c r="AV91" s="202"/>
      <c r="AW91" s="105" t="e">
        <f t="shared" si="58"/>
        <v>#N/A</v>
      </c>
      <c r="AX91" s="412"/>
    </row>
    <row r="92" spans="2:50">
      <c r="B92" s="398"/>
      <c r="C92" s="105">
        <v>6</v>
      </c>
      <c r="D92" s="105" t="s">
        <v>240</v>
      </c>
      <c r="E92" s="105">
        <v>5</v>
      </c>
      <c r="F92" s="105">
        <v>1500</v>
      </c>
      <c r="G92" s="105">
        <v>300</v>
      </c>
      <c r="H92" s="385"/>
      <c r="I92" s="175">
        <f t="shared" si="49"/>
        <v>5</v>
      </c>
      <c r="J92" s="175">
        <f t="shared" si="50"/>
        <v>1475.0839490968808</v>
      </c>
      <c r="K92" s="202">
        <f t="shared" si="51"/>
        <v>295.01678981937613</v>
      </c>
      <c r="L92" s="385"/>
      <c r="M92" s="203">
        <f>RANK(K92, K$87:$K$101)</f>
        <v>2</v>
      </c>
      <c r="N92" s="387"/>
      <c r="O92" s="387"/>
      <c r="P92" s="105">
        <v>5</v>
      </c>
      <c r="Q92" s="175">
        <v>1491.7241379310356</v>
      </c>
      <c r="R92" s="202">
        <v>298.34482758620709</v>
      </c>
      <c r="S92" s="105">
        <f t="shared" si="52"/>
        <v>1</v>
      </c>
      <c r="T92" s="412"/>
      <c r="U92" s="105">
        <v>5</v>
      </c>
      <c r="V92" s="175">
        <v>1475.1724137931026</v>
      </c>
      <c r="W92" s="202">
        <v>295.03448275862053</v>
      </c>
      <c r="X92" s="105">
        <f t="shared" si="53"/>
        <v>2</v>
      </c>
      <c r="Y92" s="412"/>
      <c r="Z92" s="105">
        <v>5</v>
      </c>
      <c r="AA92" s="175">
        <v>1467.857142857144</v>
      </c>
      <c r="AB92" s="202">
        <v>293.57142857142878</v>
      </c>
      <c r="AC92" s="105">
        <f t="shared" si="54"/>
        <v>1</v>
      </c>
      <c r="AD92" s="412"/>
      <c r="AE92" s="105">
        <v>5</v>
      </c>
      <c r="AF92" s="175">
        <v>1452.000000000003</v>
      </c>
      <c r="AG92" s="202">
        <v>290.4000000000006</v>
      </c>
      <c r="AH92" s="105">
        <f t="shared" si="55"/>
        <v>3</v>
      </c>
      <c r="AI92" s="412"/>
      <c r="AJ92" s="105">
        <v>5</v>
      </c>
      <c r="AK92" s="175">
        <v>1489.9999999999977</v>
      </c>
      <c r="AL92" s="202">
        <v>297.99999999999955</v>
      </c>
      <c r="AM92" s="105">
        <f t="shared" si="56"/>
        <v>2</v>
      </c>
      <c r="AN92" s="412"/>
      <c r="AO92" s="105">
        <v>5</v>
      </c>
      <c r="AP92" s="175">
        <v>1473.7500000000018</v>
      </c>
      <c r="AQ92" s="202">
        <v>294.75000000000034</v>
      </c>
      <c r="AR92" s="105">
        <f t="shared" si="57"/>
        <v>1</v>
      </c>
      <c r="AS92" s="412"/>
      <c r="AT92" s="105"/>
      <c r="AU92" s="175"/>
      <c r="AV92" s="202"/>
      <c r="AW92" s="105" t="e">
        <f t="shared" si="58"/>
        <v>#N/A</v>
      </c>
      <c r="AX92" s="412"/>
    </row>
    <row r="93" spans="2:50">
      <c r="B93" s="398"/>
      <c r="C93" s="105">
        <v>7</v>
      </c>
      <c r="D93" s="105" t="s">
        <v>241</v>
      </c>
      <c r="E93" s="105">
        <v>5</v>
      </c>
      <c r="F93" s="105">
        <v>1500</v>
      </c>
      <c r="G93" s="105">
        <v>300</v>
      </c>
      <c r="H93" s="385"/>
      <c r="I93" s="175">
        <f t="shared" si="49"/>
        <v>5</v>
      </c>
      <c r="J93" s="175">
        <f t="shared" si="50"/>
        <v>1518.4610389610389</v>
      </c>
      <c r="K93" s="202">
        <f t="shared" si="51"/>
        <v>303.69220779220774</v>
      </c>
      <c r="L93" s="385"/>
      <c r="M93" s="203">
        <f>RANK(K93, K$87:$K$101)</f>
        <v>1</v>
      </c>
      <c r="N93" s="387"/>
      <c r="O93" s="387"/>
      <c r="P93" s="105">
        <v>5</v>
      </c>
      <c r="Q93" s="175">
        <v>1425.0000000000005</v>
      </c>
      <c r="R93" s="202">
        <v>285.00000000000011</v>
      </c>
      <c r="S93" s="105">
        <f t="shared" si="52"/>
        <v>3</v>
      </c>
      <c r="T93" s="412"/>
      <c r="U93" s="105">
        <v>5</v>
      </c>
      <c r="V93" s="175">
        <v>1439.9999999999955</v>
      </c>
      <c r="W93" s="202">
        <v>287.99999999999909</v>
      </c>
      <c r="X93" s="105">
        <f t="shared" si="53"/>
        <v>3</v>
      </c>
      <c r="Y93" s="412"/>
      <c r="Z93" s="105">
        <v>5</v>
      </c>
      <c r="AA93" s="175">
        <v>1450.909090909091</v>
      </c>
      <c r="AB93" s="202">
        <v>290.18181818181819</v>
      </c>
      <c r="AC93" s="105">
        <f t="shared" si="54"/>
        <v>2</v>
      </c>
      <c r="AD93" s="412"/>
      <c r="AE93" s="105">
        <v>5</v>
      </c>
      <c r="AF93" s="175">
        <v>1950.0000000000068</v>
      </c>
      <c r="AG93" s="202">
        <v>390.00000000000136</v>
      </c>
      <c r="AH93" s="105">
        <f t="shared" si="55"/>
        <v>1</v>
      </c>
      <c r="AI93" s="412"/>
      <c r="AJ93" s="105">
        <v>5</v>
      </c>
      <c r="AK93" s="175">
        <v>1391.9999999999995</v>
      </c>
      <c r="AL93" s="202">
        <v>278.39999999999992</v>
      </c>
      <c r="AM93" s="105">
        <f t="shared" si="56"/>
        <v>3</v>
      </c>
      <c r="AN93" s="412"/>
      <c r="AO93" s="105">
        <v>5</v>
      </c>
      <c r="AP93" s="175">
        <v>1452.8571428571397</v>
      </c>
      <c r="AQ93" s="202">
        <v>290.57142857142793</v>
      </c>
      <c r="AR93" s="105">
        <f t="shared" si="57"/>
        <v>2</v>
      </c>
      <c r="AS93" s="412"/>
      <c r="AT93" s="105"/>
      <c r="AU93" s="175"/>
      <c r="AV93" s="202"/>
      <c r="AW93" s="105" t="e">
        <f t="shared" si="58"/>
        <v>#N/A</v>
      </c>
      <c r="AX93" s="412"/>
    </row>
    <row r="94" spans="2:50">
      <c r="B94" s="398"/>
      <c r="C94" s="105">
        <v>8</v>
      </c>
      <c r="D94" s="105" t="s">
        <v>242</v>
      </c>
      <c r="E94" s="105">
        <v>10</v>
      </c>
      <c r="F94" s="105">
        <v>1500</v>
      </c>
      <c r="G94" s="105">
        <v>150</v>
      </c>
      <c r="H94" s="385"/>
      <c r="I94" s="175"/>
      <c r="J94" s="175"/>
      <c r="K94" s="202"/>
      <c r="L94" s="385"/>
      <c r="M94" s="203" t="e">
        <f>RANK(K94, K$87:$K$101)</f>
        <v>#N/A</v>
      </c>
      <c r="N94" s="387"/>
      <c r="O94" s="387"/>
      <c r="P94" s="105">
        <v>10</v>
      </c>
      <c r="Q94" s="175">
        <v>1518.8571428571431</v>
      </c>
      <c r="R94" s="202">
        <v>151.8857142857143</v>
      </c>
      <c r="S94" s="105">
        <f t="shared" si="52"/>
        <v>6</v>
      </c>
      <c r="T94" s="412"/>
      <c r="U94" s="105">
        <v>10</v>
      </c>
      <c r="V94" s="175">
        <v>1487.1428571428576</v>
      </c>
      <c r="W94" s="202">
        <v>148.71428571428575</v>
      </c>
      <c r="X94" s="105">
        <f t="shared" si="53"/>
        <v>5</v>
      </c>
      <c r="Y94" s="412"/>
      <c r="Z94" s="105">
        <v>10</v>
      </c>
      <c r="AA94" s="175">
        <v>1524.9230769230808</v>
      </c>
      <c r="AB94" s="202">
        <v>152.49230769230809</v>
      </c>
      <c r="AC94" s="105">
        <f t="shared" si="54"/>
        <v>6</v>
      </c>
      <c r="AD94" s="412"/>
      <c r="AE94" s="105">
        <v>10</v>
      </c>
      <c r="AF94" s="175">
        <v>1468.3636363636372</v>
      </c>
      <c r="AG94" s="202">
        <v>146.83636363636373</v>
      </c>
      <c r="AH94" s="105">
        <f t="shared" si="55"/>
        <v>5</v>
      </c>
      <c r="AI94" s="412"/>
      <c r="AJ94" s="105">
        <v>10</v>
      </c>
      <c r="AK94" s="175">
        <v>1449.8181818181808</v>
      </c>
      <c r="AL94" s="202">
        <v>144.98181818181808</v>
      </c>
      <c r="AM94" s="105">
        <f t="shared" si="56"/>
        <v>5</v>
      </c>
      <c r="AN94" s="412"/>
      <c r="AO94" s="105">
        <v>10</v>
      </c>
      <c r="AP94" s="175">
        <v>1526.5714285714271</v>
      </c>
      <c r="AQ94" s="202">
        <v>152.6571428571427</v>
      </c>
      <c r="AR94" s="105">
        <f t="shared" si="57"/>
        <v>4</v>
      </c>
      <c r="AS94" s="412"/>
      <c r="AT94" s="105"/>
      <c r="AU94" s="175"/>
      <c r="AV94" s="202"/>
      <c r="AW94" s="105" t="e">
        <f t="shared" si="58"/>
        <v>#N/A</v>
      </c>
      <c r="AX94" s="412"/>
    </row>
    <row r="95" spans="2:50">
      <c r="B95" s="398"/>
      <c r="C95" s="105">
        <v>9</v>
      </c>
      <c r="D95" s="105"/>
      <c r="E95" s="105"/>
      <c r="F95" s="105"/>
      <c r="G95" s="105"/>
      <c r="H95" s="385"/>
      <c r="I95" s="175"/>
      <c r="J95" s="175"/>
      <c r="K95" s="202"/>
      <c r="L95" s="385"/>
      <c r="M95" s="203" t="e">
        <f>RANK(K95, K$87:$K$101)</f>
        <v>#N/A</v>
      </c>
      <c r="N95" s="387"/>
      <c r="O95" s="387"/>
      <c r="P95" s="105"/>
      <c r="Q95" s="175"/>
      <c r="R95" s="202"/>
      <c r="S95" s="105" t="e">
        <f t="shared" si="52"/>
        <v>#N/A</v>
      </c>
      <c r="T95" s="412"/>
      <c r="U95" s="105"/>
      <c r="V95" s="175"/>
      <c r="W95" s="202"/>
      <c r="X95" s="105" t="e">
        <f t="shared" si="53"/>
        <v>#N/A</v>
      </c>
      <c r="Y95" s="412"/>
      <c r="Z95" s="105"/>
      <c r="AA95" s="175"/>
      <c r="AB95" s="202"/>
      <c r="AC95" s="105" t="e">
        <f t="shared" si="54"/>
        <v>#N/A</v>
      </c>
      <c r="AD95" s="412"/>
      <c r="AE95" s="105"/>
      <c r="AF95" s="175"/>
      <c r="AG95" s="202"/>
      <c r="AH95" s="105" t="e">
        <f t="shared" si="55"/>
        <v>#N/A</v>
      </c>
      <c r="AI95" s="412"/>
      <c r="AJ95" s="105"/>
      <c r="AK95" s="175"/>
      <c r="AL95" s="202"/>
      <c r="AM95" s="105" t="e">
        <f t="shared" si="56"/>
        <v>#N/A</v>
      </c>
      <c r="AN95" s="412"/>
      <c r="AO95" s="105"/>
      <c r="AP95" s="175"/>
      <c r="AQ95" s="202"/>
      <c r="AR95" s="105" t="e">
        <f t="shared" si="57"/>
        <v>#N/A</v>
      </c>
      <c r="AS95" s="412"/>
      <c r="AT95" s="105"/>
      <c r="AU95" s="175"/>
      <c r="AV95" s="202"/>
      <c r="AW95" s="105" t="e">
        <f t="shared" si="58"/>
        <v>#N/A</v>
      </c>
      <c r="AX95" s="412"/>
    </row>
    <row r="96" spans="2:50">
      <c r="B96" s="398"/>
      <c r="C96" s="105">
        <v>10</v>
      </c>
      <c r="D96" s="105"/>
      <c r="E96" s="105"/>
      <c r="F96" s="105"/>
      <c r="G96" s="105"/>
      <c r="H96" s="385"/>
      <c r="I96" s="175"/>
      <c r="J96" s="175"/>
      <c r="K96" s="202"/>
      <c r="L96" s="385"/>
      <c r="M96" s="203" t="e">
        <f>RANK(K96, K$87:$K$101)</f>
        <v>#N/A</v>
      </c>
      <c r="N96" s="387"/>
      <c r="O96" s="387"/>
      <c r="P96" s="105"/>
      <c r="Q96" s="175"/>
      <c r="R96" s="202"/>
      <c r="S96" s="105" t="e">
        <f t="shared" si="52"/>
        <v>#N/A</v>
      </c>
      <c r="T96" s="412"/>
      <c r="U96" s="105"/>
      <c r="V96" s="175"/>
      <c r="W96" s="202"/>
      <c r="X96" s="105" t="e">
        <f t="shared" si="53"/>
        <v>#N/A</v>
      </c>
      <c r="Y96" s="412"/>
      <c r="Z96" s="105"/>
      <c r="AA96" s="175"/>
      <c r="AB96" s="202"/>
      <c r="AC96" s="105" t="e">
        <f t="shared" si="54"/>
        <v>#N/A</v>
      </c>
      <c r="AD96" s="412"/>
      <c r="AE96" s="105"/>
      <c r="AF96" s="175"/>
      <c r="AG96" s="202"/>
      <c r="AH96" s="105" t="e">
        <f t="shared" si="55"/>
        <v>#N/A</v>
      </c>
      <c r="AI96" s="412"/>
      <c r="AJ96" s="105"/>
      <c r="AK96" s="175"/>
      <c r="AL96" s="202"/>
      <c r="AM96" s="105" t="e">
        <f t="shared" si="56"/>
        <v>#N/A</v>
      </c>
      <c r="AN96" s="412"/>
      <c r="AO96" s="105"/>
      <c r="AP96" s="175"/>
      <c r="AQ96" s="202"/>
      <c r="AR96" s="105" t="e">
        <f t="shared" si="57"/>
        <v>#N/A</v>
      </c>
      <c r="AS96" s="412"/>
      <c r="AT96" s="105"/>
      <c r="AU96" s="175"/>
      <c r="AV96" s="202"/>
      <c r="AW96" s="105" t="e">
        <f t="shared" si="58"/>
        <v>#N/A</v>
      </c>
      <c r="AX96" s="412"/>
    </row>
    <row r="97" spans="2:50">
      <c r="B97" s="398"/>
      <c r="C97" s="105">
        <v>11</v>
      </c>
      <c r="D97" s="105"/>
      <c r="E97" s="105"/>
      <c r="F97" s="105"/>
      <c r="G97" s="105"/>
      <c r="H97" s="385"/>
      <c r="I97" s="105"/>
      <c r="J97" s="105"/>
      <c r="K97" s="105"/>
      <c r="L97" s="385"/>
      <c r="M97" s="203" t="e">
        <f>RANK(K97, K$87:$K$101)</f>
        <v>#N/A</v>
      </c>
      <c r="N97" s="387"/>
      <c r="O97" s="387"/>
      <c r="P97" s="105"/>
      <c r="Q97" s="105"/>
      <c r="R97" s="105"/>
      <c r="S97" s="105" t="e">
        <f t="shared" si="52"/>
        <v>#N/A</v>
      </c>
      <c r="T97" s="412"/>
      <c r="U97" s="105"/>
      <c r="V97" s="105"/>
      <c r="W97" s="105"/>
      <c r="X97" s="105" t="e">
        <f t="shared" si="53"/>
        <v>#N/A</v>
      </c>
      <c r="Y97" s="412"/>
      <c r="Z97" s="105"/>
      <c r="AA97" s="105"/>
      <c r="AB97" s="105"/>
      <c r="AC97" s="105" t="e">
        <f t="shared" si="54"/>
        <v>#N/A</v>
      </c>
      <c r="AD97" s="412"/>
      <c r="AE97" s="105"/>
      <c r="AF97" s="105"/>
      <c r="AG97" s="105"/>
      <c r="AH97" s="105" t="e">
        <f t="shared" si="55"/>
        <v>#N/A</v>
      </c>
      <c r="AI97" s="412"/>
      <c r="AJ97" s="105"/>
      <c r="AK97" s="105"/>
      <c r="AL97" s="105"/>
      <c r="AM97" s="105" t="e">
        <f t="shared" si="56"/>
        <v>#N/A</v>
      </c>
      <c r="AN97" s="412"/>
      <c r="AO97" s="105"/>
      <c r="AP97" s="105"/>
      <c r="AQ97" s="105"/>
      <c r="AR97" s="105" t="e">
        <f t="shared" si="57"/>
        <v>#N/A</v>
      </c>
      <c r="AS97" s="412"/>
      <c r="AT97" s="105"/>
      <c r="AU97" s="105"/>
      <c r="AV97" s="105"/>
      <c r="AW97" s="105" t="e">
        <f t="shared" si="58"/>
        <v>#N/A</v>
      </c>
      <c r="AX97" s="412"/>
    </row>
    <row r="98" spans="2:50">
      <c r="B98" s="398"/>
      <c r="C98" s="105">
        <v>12</v>
      </c>
      <c r="D98" s="105"/>
      <c r="E98" s="105"/>
      <c r="F98" s="105"/>
      <c r="G98" s="105"/>
      <c r="H98" s="385"/>
      <c r="I98" s="105"/>
      <c r="J98" s="105"/>
      <c r="K98" s="105"/>
      <c r="L98" s="385"/>
      <c r="M98" s="203" t="e">
        <f>RANK(K98, K$87:$K$101)</f>
        <v>#N/A</v>
      </c>
      <c r="N98" s="387"/>
      <c r="O98" s="387"/>
      <c r="P98" s="105"/>
      <c r="Q98" s="105"/>
      <c r="R98" s="105"/>
      <c r="S98" s="105" t="e">
        <f t="shared" si="52"/>
        <v>#N/A</v>
      </c>
      <c r="T98" s="412"/>
      <c r="U98" s="105"/>
      <c r="V98" s="105"/>
      <c r="W98" s="105"/>
      <c r="X98" s="105" t="e">
        <f t="shared" si="53"/>
        <v>#N/A</v>
      </c>
      <c r="Y98" s="412"/>
      <c r="Z98" s="105"/>
      <c r="AA98" s="105"/>
      <c r="AB98" s="105"/>
      <c r="AC98" s="105" t="e">
        <f t="shared" si="54"/>
        <v>#N/A</v>
      </c>
      <c r="AD98" s="412"/>
      <c r="AE98" s="105"/>
      <c r="AF98" s="105"/>
      <c r="AG98" s="105"/>
      <c r="AH98" s="105" t="e">
        <f t="shared" si="55"/>
        <v>#N/A</v>
      </c>
      <c r="AI98" s="412"/>
      <c r="AJ98" s="105"/>
      <c r="AK98" s="105"/>
      <c r="AL98" s="105"/>
      <c r="AM98" s="105" t="e">
        <f t="shared" si="56"/>
        <v>#N/A</v>
      </c>
      <c r="AN98" s="412"/>
      <c r="AO98" s="105"/>
      <c r="AP98" s="105"/>
      <c r="AQ98" s="105"/>
      <c r="AR98" s="105" t="e">
        <f t="shared" si="57"/>
        <v>#N/A</v>
      </c>
      <c r="AS98" s="412"/>
      <c r="AT98" s="105"/>
      <c r="AU98" s="105"/>
      <c r="AV98" s="105"/>
      <c r="AW98" s="105" t="e">
        <f t="shared" si="58"/>
        <v>#N/A</v>
      </c>
      <c r="AX98" s="412"/>
    </row>
    <row r="99" spans="2:50">
      <c r="B99" s="398"/>
      <c r="C99" s="105">
        <v>13</v>
      </c>
      <c r="D99" s="105"/>
      <c r="E99" s="105"/>
      <c r="F99" s="105"/>
      <c r="G99" s="105"/>
      <c r="H99" s="385"/>
      <c r="I99" s="105"/>
      <c r="J99" s="105"/>
      <c r="K99" s="105"/>
      <c r="L99" s="385"/>
      <c r="M99" s="203" t="e">
        <f>RANK(K99, K$87:$K$101)</f>
        <v>#N/A</v>
      </c>
      <c r="N99" s="387"/>
      <c r="O99" s="387"/>
      <c r="P99" s="105"/>
      <c r="Q99" s="105"/>
      <c r="R99" s="105"/>
      <c r="S99" s="105" t="e">
        <f t="shared" si="52"/>
        <v>#N/A</v>
      </c>
      <c r="T99" s="412"/>
      <c r="U99" s="105"/>
      <c r="V99" s="105"/>
      <c r="W99" s="105"/>
      <c r="X99" s="105" t="e">
        <f t="shared" si="53"/>
        <v>#N/A</v>
      </c>
      <c r="Y99" s="412"/>
      <c r="Z99" s="105"/>
      <c r="AA99" s="105"/>
      <c r="AB99" s="105"/>
      <c r="AC99" s="105" t="e">
        <f t="shared" si="54"/>
        <v>#N/A</v>
      </c>
      <c r="AD99" s="412"/>
      <c r="AE99" s="105"/>
      <c r="AF99" s="105"/>
      <c r="AG99" s="105"/>
      <c r="AH99" s="105" t="e">
        <f t="shared" si="55"/>
        <v>#N/A</v>
      </c>
      <c r="AI99" s="412"/>
      <c r="AJ99" s="105"/>
      <c r="AK99" s="105"/>
      <c r="AL99" s="105"/>
      <c r="AM99" s="105" t="e">
        <f t="shared" si="56"/>
        <v>#N/A</v>
      </c>
      <c r="AN99" s="412"/>
      <c r="AO99" s="105"/>
      <c r="AP99" s="105"/>
      <c r="AQ99" s="105"/>
      <c r="AR99" s="105" t="e">
        <f t="shared" si="57"/>
        <v>#N/A</v>
      </c>
      <c r="AS99" s="412"/>
      <c r="AT99" s="105"/>
      <c r="AU99" s="105"/>
      <c r="AV99" s="105"/>
      <c r="AW99" s="105" t="e">
        <f t="shared" si="58"/>
        <v>#N/A</v>
      </c>
      <c r="AX99" s="412"/>
    </row>
    <row r="100" spans="2:50">
      <c r="B100" s="398"/>
      <c r="C100" s="105">
        <v>14</v>
      </c>
      <c r="D100" s="105"/>
      <c r="E100" s="105"/>
      <c r="F100" s="105"/>
      <c r="G100" s="105"/>
      <c r="H100" s="385"/>
      <c r="I100" s="105"/>
      <c r="J100" s="105"/>
      <c r="K100" s="105"/>
      <c r="L100" s="385"/>
      <c r="M100" s="203" t="e">
        <f>RANK(K100, K$87:$K$101)</f>
        <v>#N/A</v>
      </c>
      <c r="N100" s="387"/>
      <c r="O100" s="387"/>
      <c r="P100" s="105"/>
      <c r="Q100" s="105"/>
      <c r="R100" s="105"/>
      <c r="S100" s="105" t="e">
        <f t="shared" si="52"/>
        <v>#N/A</v>
      </c>
      <c r="T100" s="412"/>
      <c r="U100" s="105"/>
      <c r="V100" s="105"/>
      <c r="W100" s="105"/>
      <c r="X100" s="105" t="e">
        <f t="shared" si="53"/>
        <v>#N/A</v>
      </c>
      <c r="Y100" s="412"/>
      <c r="Z100" s="105"/>
      <c r="AA100" s="105"/>
      <c r="AB100" s="105"/>
      <c r="AC100" s="105" t="e">
        <f t="shared" si="54"/>
        <v>#N/A</v>
      </c>
      <c r="AD100" s="412"/>
      <c r="AE100" s="105"/>
      <c r="AF100" s="105"/>
      <c r="AG100" s="105"/>
      <c r="AH100" s="105" t="e">
        <f t="shared" si="55"/>
        <v>#N/A</v>
      </c>
      <c r="AI100" s="412"/>
      <c r="AJ100" s="105"/>
      <c r="AK100" s="105"/>
      <c r="AL100" s="105"/>
      <c r="AM100" s="105" t="e">
        <f t="shared" si="56"/>
        <v>#N/A</v>
      </c>
      <c r="AN100" s="412"/>
      <c r="AO100" s="105"/>
      <c r="AP100" s="105"/>
      <c r="AQ100" s="105"/>
      <c r="AR100" s="105" t="e">
        <f t="shared" si="57"/>
        <v>#N/A</v>
      </c>
      <c r="AS100" s="412"/>
      <c r="AT100" s="105"/>
      <c r="AU100" s="105"/>
      <c r="AV100" s="105"/>
      <c r="AW100" s="105" t="e">
        <f t="shared" si="58"/>
        <v>#N/A</v>
      </c>
      <c r="AX100" s="412"/>
    </row>
    <row r="101" spans="2:50">
      <c r="B101" s="398"/>
      <c r="C101" s="105">
        <v>15</v>
      </c>
      <c r="D101" s="105"/>
      <c r="E101" s="105"/>
      <c r="F101" s="105"/>
      <c r="G101" s="105"/>
      <c r="H101" s="386"/>
      <c r="I101" s="105"/>
      <c r="J101" s="105"/>
      <c r="K101" s="105"/>
      <c r="L101" s="386"/>
      <c r="M101" s="175" t="e">
        <f>RANK(K101, K$87:$K$101)</f>
        <v>#N/A</v>
      </c>
      <c r="N101" s="387"/>
      <c r="O101" s="387"/>
      <c r="P101" s="105"/>
      <c r="Q101" s="105"/>
      <c r="R101" s="105"/>
      <c r="S101" s="105" t="e">
        <f t="shared" si="52"/>
        <v>#N/A</v>
      </c>
      <c r="T101" s="412"/>
      <c r="U101" s="105"/>
      <c r="V101" s="105"/>
      <c r="W101" s="105"/>
      <c r="X101" s="105" t="e">
        <f t="shared" si="53"/>
        <v>#N/A</v>
      </c>
      <c r="Y101" s="412"/>
      <c r="Z101" s="105"/>
      <c r="AA101" s="105"/>
      <c r="AB101" s="105"/>
      <c r="AC101" s="105" t="e">
        <f t="shared" si="54"/>
        <v>#N/A</v>
      </c>
      <c r="AD101" s="412"/>
      <c r="AE101" s="105"/>
      <c r="AF101" s="105"/>
      <c r="AG101" s="105"/>
      <c r="AH101" s="105" t="e">
        <f t="shared" si="55"/>
        <v>#N/A</v>
      </c>
      <c r="AI101" s="412"/>
      <c r="AJ101" s="105"/>
      <c r="AK101" s="105"/>
      <c r="AL101" s="105"/>
      <c r="AM101" s="105" t="e">
        <f t="shared" si="56"/>
        <v>#N/A</v>
      </c>
      <c r="AN101" s="412"/>
      <c r="AO101" s="105"/>
      <c r="AP101" s="105"/>
      <c r="AQ101" s="105"/>
      <c r="AR101" s="105" t="e">
        <f t="shared" si="57"/>
        <v>#N/A</v>
      </c>
      <c r="AS101" s="412"/>
      <c r="AT101" s="105"/>
      <c r="AU101" s="105"/>
      <c r="AV101" s="105"/>
      <c r="AW101" s="105" t="e">
        <f t="shared" si="58"/>
        <v>#N/A</v>
      </c>
      <c r="AX101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01"/>
  <sheetViews>
    <sheetView topLeftCell="A25" zoomScale="50" zoomScaleNormal="50" workbookViewId="0">
      <pane xSplit="15" topLeftCell="S1" activePane="topRight" state="frozen"/>
      <selection pane="topRight" activeCell="G55" sqref="G1:G1048576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102">
        <f>AVERAGE(L7,L27,L47,L67,L87)</f>
        <v>240.45857137830325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413" t="s">
        <v>243</v>
      </c>
      <c r="C7" s="105">
        <v>1</v>
      </c>
      <c r="D7" s="228" t="s">
        <v>244</v>
      </c>
      <c r="E7" s="175">
        <v>18</v>
      </c>
      <c r="F7" s="105">
        <v>1250</v>
      </c>
      <c r="G7" s="202">
        <v>69.444444444444443</v>
      </c>
      <c r="H7" s="384">
        <f>AVERAGE(G7:G21)</f>
        <v>252.3989898989899</v>
      </c>
      <c r="I7" s="175">
        <f>AVERAGE(P7,U7,Z7,AE7,AJ7,AO7,AT7)</f>
        <v>13</v>
      </c>
      <c r="J7" s="175">
        <f>AVERAGE(Q7,V7,AA7,AF7,AK7,AP7,AU7)</f>
        <v>1233.0014097744365</v>
      </c>
      <c r="K7" s="202">
        <f>AVERAGE(R7,W7,AB7,AG7,AL7,AQ7,AV7)</f>
        <v>94.846262290341286</v>
      </c>
      <c r="L7" s="384">
        <f>IFERROR(AVERAGE(K7:K21),"-")</f>
        <v>226.9632103753498</v>
      </c>
      <c r="M7" s="203">
        <f>RANK(K7, K$7:$K$21)</f>
        <v>10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v>13</v>
      </c>
      <c r="AF7" s="175">
        <v>1226.5714285714291</v>
      </c>
      <c r="AG7" s="202">
        <v>94.351648351648393</v>
      </c>
      <c r="AH7" s="105">
        <f>RANK(AG7, AG$7:AG$21)</f>
        <v>10</v>
      </c>
      <c r="AI7" s="412">
        <f>AVERAGE(AG7:AG21)</f>
        <v>228.13009245908228</v>
      </c>
      <c r="AJ7" s="105">
        <v>13</v>
      </c>
      <c r="AK7" s="175">
        <v>1206.0000000000007</v>
      </c>
      <c r="AL7" s="202">
        <v>92.769230769230816</v>
      </c>
      <c r="AM7" s="105">
        <f>RANK(AL7, AL$7:AL$21)</f>
        <v>10</v>
      </c>
      <c r="AN7" s="412">
        <f>AVERAGE(AL7:AL21)</f>
        <v>225.89146088987837</v>
      </c>
      <c r="AO7" s="105">
        <v>13</v>
      </c>
      <c r="AP7" s="175">
        <v>1269.7500000000007</v>
      </c>
      <c r="AQ7" s="202">
        <v>97.673076923076977</v>
      </c>
      <c r="AR7" s="105">
        <f>RANK(AQ7, AQ$7:AQ$21)</f>
        <v>9</v>
      </c>
      <c r="AS7" s="412">
        <f>AVERAGE(AQ7:AQ21)</f>
        <v>237.37662625661829</v>
      </c>
      <c r="AT7" s="105">
        <v>13</v>
      </c>
      <c r="AU7" s="175">
        <v>1229.6842105263158</v>
      </c>
      <c r="AV7" s="202">
        <v>94.591093117408917</v>
      </c>
      <c r="AW7" s="105">
        <f>RANK(AV7, AV$7:AV$21)</f>
        <v>9</v>
      </c>
      <c r="AX7" s="412">
        <f>AVERAGE(AV7:AV21)</f>
        <v>234.9123141015744</v>
      </c>
    </row>
    <row r="8" spans="1:50" ht="15" customHeight="1">
      <c r="A8" s="79"/>
      <c r="B8" s="398"/>
      <c r="C8" s="105">
        <v>2</v>
      </c>
      <c r="D8" s="228" t="s">
        <v>245</v>
      </c>
      <c r="E8" s="175">
        <v>4</v>
      </c>
      <c r="F8" s="105">
        <v>2000</v>
      </c>
      <c r="G8" s="202">
        <v>500</v>
      </c>
      <c r="H8" s="385"/>
      <c r="I8" s="175">
        <f t="shared" ref="I8:K16" si="0">AVERAGE(P8,U8,Z8,AE8,AJ8,AO8,AT8)</f>
        <v>4.5</v>
      </c>
      <c r="J8" s="175">
        <f t="shared" si="0"/>
        <v>2012.6960784313769</v>
      </c>
      <c r="K8" s="202">
        <f t="shared" si="0"/>
        <v>448.53921568627555</v>
      </c>
      <c r="L8" s="385"/>
      <c r="M8" s="203">
        <f>RANK(K8, K$7:$K$21)</f>
        <v>2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v>4</v>
      </c>
      <c r="AF8" s="175">
        <v>1823.3333333333399</v>
      </c>
      <c r="AG8" s="202">
        <v>455.83333333333496</v>
      </c>
      <c r="AH8" s="105">
        <f t="shared" ref="AH8:AH21" si="4">RANK(AG8, AG$7:AG$21)</f>
        <v>2</v>
      </c>
      <c r="AI8" s="412"/>
      <c r="AJ8" s="105">
        <v>4</v>
      </c>
      <c r="AK8" s="175">
        <v>1856.6666666666731</v>
      </c>
      <c r="AL8" s="202">
        <v>464.16666666666828</v>
      </c>
      <c r="AM8" s="105">
        <f t="shared" ref="AM8:AM21" si="5">RANK(AL8, AL$7:AL$21)</f>
        <v>1</v>
      </c>
      <c r="AN8" s="412"/>
      <c r="AO8" s="105">
        <v>5</v>
      </c>
      <c r="AP8" s="175">
        <v>2136.6666666666742</v>
      </c>
      <c r="AQ8" s="202">
        <v>427.33333333333485</v>
      </c>
      <c r="AR8" s="105">
        <f t="shared" ref="AR8:AR21" si="6">RANK(AQ8, AQ$7:AQ$21)</f>
        <v>2</v>
      </c>
      <c r="AS8" s="412"/>
      <c r="AT8" s="105">
        <v>5</v>
      </c>
      <c r="AU8" s="175">
        <v>2234.1176470588207</v>
      </c>
      <c r="AV8" s="202">
        <v>446.82352941176413</v>
      </c>
      <c r="AW8" s="105">
        <f t="shared" ref="AW8:AW21" si="7">RANK(AV8, AV$7:AV$21)</f>
        <v>2</v>
      </c>
      <c r="AX8" s="412"/>
    </row>
    <row r="9" spans="1:50">
      <c r="A9" s="79"/>
      <c r="B9" s="398"/>
      <c r="C9" s="105">
        <v>3</v>
      </c>
      <c r="D9" s="228" t="s">
        <v>246</v>
      </c>
      <c r="E9" s="175">
        <v>4</v>
      </c>
      <c r="F9" s="105">
        <v>2000</v>
      </c>
      <c r="G9" s="202">
        <v>500</v>
      </c>
      <c r="H9" s="385"/>
      <c r="I9" s="175">
        <f t="shared" si="0"/>
        <v>4</v>
      </c>
      <c r="J9" s="175">
        <f t="shared" si="0"/>
        <v>1904.9458204334414</v>
      </c>
      <c r="K9" s="202">
        <f t="shared" si="0"/>
        <v>476.23645510836036</v>
      </c>
      <c r="L9" s="385"/>
      <c r="M9" s="203">
        <f>RANK(K9, K$7:$K$21)</f>
        <v>1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v>4</v>
      </c>
      <c r="AF9" s="175">
        <v>1912.9411764705951</v>
      </c>
      <c r="AG9" s="202">
        <v>478.23529411764878</v>
      </c>
      <c r="AH9" s="105">
        <f t="shared" si="4"/>
        <v>1</v>
      </c>
      <c r="AI9" s="412"/>
      <c r="AJ9" s="105">
        <v>4</v>
      </c>
      <c r="AK9" s="175">
        <v>1783.3333333333396</v>
      </c>
      <c r="AL9" s="202">
        <v>445.83333333333491</v>
      </c>
      <c r="AM9" s="105">
        <f t="shared" si="5"/>
        <v>2</v>
      </c>
      <c r="AN9" s="412"/>
      <c r="AO9" s="105">
        <v>4</v>
      </c>
      <c r="AP9" s="175">
        <v>2066.6666666666738</v>
      </c>
      <c r="AQ9" s="202">
        <v>516.66666666666845</v>
      </c>
      <c r="AR9" s="105">
        <f t="shared" si="6"/>
        <v>1</v>
      </c>
      <c r="AS9" s="412"/>
      <c r="AT9" s="105">
        <v>4</v>
      </c>
      <c r="AU9" s="175">
        <v>1856.8421052631566</v>
      </c>
      <c r="AV9" s="202">
        <v>464.21052631578914</v>
      </c>
      <c r="AW9" s="105">
        <f t="shared" si="7"/>
        <v>1</v>
      </c>
      <c r="AX9" s="412"/>
    </row>
    <row r="10" spans="1:50">
      <c r="A10" s="79"/>
      <c r="B10" s="398"/>
      <c r="C10" s="105">
        <v>4</v>
      </c>
      <c r="D10" s="228" t="s">
        <v>247</v>
      </c>
      <c r="E10" s="175">
        <v>12</v>
      </c>
      <c r="F10" s="105">
        <v>2250</v>
      </c>
      <c r="G10" s="202">
        <v>187.5</v>
      </c>
      <c r="H10" s="385"/>
      <c r="I10" s="175">
        <f t="shared" si="0"/>
        <v>12</v>
      </c>
      <c r="J10" s="175">
        <f t="shared" si="0"/>
        <v>2065.3001279970026</v>
      </c>
      <c r="K10" s="202">
        <f t="shared" si="0"/>
        <v>172.10834399975022</v>
      </c>
      <c r="L10" s="385"/>
      <c r="M10" s="203">
        <f>RANK(K10, K$7:$K$21)</f>
        <v>7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v>12</v>
      </c>
      <c r="AF10" s="175">
        <v>2042.8124999999995</v>
      </c>
      <c r="AG10" s="202">
        <v>170.23437499999997</v>
      </c>
      <c r="AH10" s="105">
        <f t="shared" si="4"/>
        <v>6</v>
      </c>
      <c r="AI10" s="412"/>
      <c r="AJ10" s="105">
        <v>12</v>
      </c>
      <c r="AK10" s="175">
        <v>2040.9230769230762</v>
      </c>
      <c r="AL10" s="202">
        <v>170.07692307692301</v>
      </c>
      <c r="AM10" s="105">
        <f t="shared" si="5"/>
        <v>7</v>
      </c>
      <c r="AN10" s="412"/>
      <c r="AO10" s="105">
        <v>12</v>
      </c>
      <c r="AP10" s="175">
        <v>2075.0649350649351</v>
      </c>
      <c r="AQ10" s="202">
        <v>172.92207792207793</v>
      </c>
      <c r="AR10" s="105">
        <f t="shared" si="6"/>
        <v>7</v>
      </c>
      <c r="AS10" s="412"/>
      <c r="AT10" s="105">
        <v>12</v>
      </c>
      <c r="AU10" s="175">
        <v>2102.3999999999996</v>
      </c>
      <c r="AV10" s="202">
        <v>175.19999999999996</v>
      </c>
      <c r="AW10" s="105">
        <f t="shared" si="7"/>
        <v>7</v>
      </c>
      <c r="AX10" s="412"/>
    </row>
    <row r="11" spans="1:50">
      <c r="A11" s="79"/>
      <c r="B11" s="398"/>
      <c r="C11" s="105">
        <v>5</v>
      </c>
      <c r="D11" s="228" t="s">
        <v>248</v>
      </c>
      <c r="E11" s="175">
        <v>12</v>
      </c>
      <c r="F11" s="105">
        <v>2250</v>
      </c>
      <c r="G11" s="202">
        <v>187.5</v>
      </c>
      <c r="H11" s="385"/>
      <c r="I11" s="175">
        <f t="shared" si="0"/>
        <v>12</v>
      </c>
      <c r="J11" s="175">
        <f t="shared" si="0"/>
        <v>2081.4459934579609</v>
      </c>
      <c r="K11" s="202">
        <f t="shared" si="0"/>
        <v>173.45383278816342</v>
      </c>
      <c r="L11" s="385"/>
      <c r="M11" s="203">
        <f>RANK(K11, K$7:$K$21)</f>
        <v>6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v>12</v>
      </c>
      <c r="AF11" s="175">
        <v>2042.7027027027025</v>
      </c>
      <c r="AG11" s="202">
        <v>170.22522522522522</v>
      </c>
      <c r="AH11" s="105">
        <f t="shared" si="4"/>
        <v>7</v>
      </c>
      <c r="AI11" s="412"/>
      <c r="AJ11" s="105">
        <v>12</v>
      </c>
      <c r="AK11" s="175">
        <v>2081.3793103448279</v>
      </c>
      <c r="AL11" s="202">
        <v>173.44827586206898</v>
      </c>
      <c r="AM11" s="105">
        <f t="shared" si="5"/>
        <v>6</v>
      </c>
      <c r="AN11" s="412"/>
      <c r="AO11" s="105">
        <v>12</v>
      </c>
      <c r="AP11" s="175">
        <v>2086.8000000000002</v>
      </c>
      <c r="AQ11" s="202">
        <v>173.9</v>
      </c>
      <c r="AR11" s="105">
        <f t="shared" si="6"/>
        <v>6</v>
      </c>
      <c r="AS11" s="412"/>
      <c r="AT11" s="105">
        <v>12</v>
      </c>
      <c r="AU11" s="175">
        <v>2114.9019607843138</v>
      </c>
      <c r="AV11" s="202">
        <v>176.24183006535949</v>
      </c>
      <c r="AW11" s="105">
        <f t="shared" si="7"/>
        <v>6</v>
      </c>
      <c r="AX11" s="412"/>
    </row>
    <row r="12" spans="1:50">
      <c r="A12" s="79"/>
      <c r="B12" s="398"/>
      <c r="C12" s="105">
        <v>6</v>
      </c>
      <c r="D12" s="228" t="s">
        <v>249</v>
      </c>
      <c r="E12" s="175">
        <v>12</v>
      </c>
      <c r="F12" s="105">
        <v>2250</v>
      </c>
      <c r="G12" s="202">
        <v>187.5</v>
      </c>
      <c r="H12" s="385"/>
      <c r="I12" s="175">
        <f t="shared" si="0"/>
        <v>12</v>
      </c>
      <c r="J12" s="175">
        <f t="shared" si="0"/>
        <v>1726.2745098039197</v>
      </c>
      <c r="K12" s="202">
        <f t="shared" si="0"/>
        <v>143.85620915032666</v>
      </c>
      <c r="L12" s="385"/>
      <c r="M12" s="203">
        <f>RANK(K12, K$7:$K$21)</f>
        <v>9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>
        <v>12</v>
      </c>
      <c r="AF12" s="175">
        <v>1726.6666666666652</v>
      </c>
      <c r="AG12" s="202">
        <v>143.88888888888877</v>
      </c>
      <c r="AH12" s="105">
        <f t="shared" si="4"/>
        <v>9</v>
      </c>
      <c r="AI12" s="412"/>
      <c r="AJ12" s="105">
        <v>12</v>
      </c>
      <c r="AK12" s="175">
        <v>1725.8823529411743</v>
      </c>
      <c r="AL12" s="202">
        <v>143.82352941176453</v>
      </c>
      <c r="AM12" s="105">
        <f t="shared" si="5"/>
        <v>9</v>
      </c>
      <c r="AN12" s="412"/>
      <c r="AO12" s="105"/>
      <c r="AP12" s="175"/>
      <c r="AQ12" s="202"/>
      <c r="AR12" s="105" t="e">
        <f t="shared" si="6"/>
        <v>#N/A</v>
      </c>
      <c r="AS12" s="412"/>
      <c r="AT12" s="105"/>
      <c r="AU12" s="175"/>
      <c r="AV12" s="202"/>
      <c r="AW12" s="105" t="e">
        <f t="shared" si="7"/>
        <v>#N/A</v>
      </c>
      <c r="AX12" s="412"/>
    </row>
    <row r="13" spans="1:50">
      <c r="A13" s="79"/>
      <c r="B13" s="398"/>
      <c r="C13" s="105">
        <v>7</v>
      </c>
      <c r="D13" s="228" t="s">
        <v>250</v>
      </c>
      <c r="E13" s="175">
        <v>11</v>
      </c>
      <c r="F13" s="105">
        <v>2250</v>
      </c>
      <c r="G13" s="202">
        <v>204.54545454545453</v>
      </c>
      <c r="H13" s="385"/>
      <c r="I13" s="175">
        <f t="shared" si="0"/>
        <v>11</v>
      </c>
      <c r="J13" s="175">
        <f t="shared" si="0"/>
        <v>2081.8958508809628</v>
      </c>
      <c r="K13" s="202">
        <f t="shared" si="0"/>
        <v>189.26325917099663</v>
      </c>
      <c r="L13" s="385"/>
      <c r="M13" s="203">
        <f>RANK(K13, K$7:$K$21)</f>
        <v>5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>
        <v>11</v>
      </c>
      <c r="AF13" s="175">
        <v>2047.5000000000014</v>
      </c>
      <c r="AG13" s="202">
        <v>186.13636363636377</v>
      </c>
      <c r="AH13" s="105">
        <f t="shared" si="4"/>
        <v>5</v>
      </c>
      <c r="AI13" s="412"/>
      <c r="AJ13" s="105">
        <v>11</v>
      </c>
      <c r="AK13" s="175">
        <v>2123.0769230769229</v>
      </c>
      <c r="AL13" s="202">
        <v>193.00699300699299</v>
      </c>
      <c r="AM13" s="105">
        <f t="shared" si="5"/>
        <v>5</v>
      </c>
      <c r="AN13" s="412"/>
      <c r="AO13" s="105">
        <v>11</v>
      </c>
      <c r="AP13" s="175">
        <v>2033.9664804469276</v>
      </c>
      <c r="AQ13" s="202">
        <v>184.90604367699342</v>
      </c>
      <c r="AR13" s="105">
        <f t="shared" si="6"/>
        <v>5</v>
      </c>
      <c r="AS13" s="412"/>
      <c r="AT13" s="105">
        <v>11</v>
      </c>
      <c r="AU13" s="175">
        <v>2123.0399999999995</v>
      </c>
      <c r="AV13" s="202">
        <v>193.00363636363633</v>
      </c>
      <c r="AW13" s="105">
        <f t="shared" si="7"/>
        <v>4</v>
      </c>
      <c r="AX13" s="412"/>
    </row>
    <row r="14" spans="1:50">
      <c r="A14" s="79"/>
      <c r="B14" s="398"/>
      <c r="C14" s="105">
        <v>8</v>
      </c>
      <c r="D14" s="228" t="s">
        <v>251</v>
      </c>
      <c r="E14" s="175">
        <v>12</v>
      </c>
      <c r="F14" s="105">
        <v>2250</v>
      </c>
      <c r="G14" s="202">
        <v>187.5</v>
      </c>
      <c r="H14" s="385"/>
      <c r="I14" s="175">
        <f t="shared" si="0"/>
        <v>12</v>
      </c>
      <c r="J14" s="175">
        <f t="shared" si="0"/>
        <v>1765.2190706791203</v>
      </c>
      <c r="K14" s="202">
        <f t="shared" si="0"/>
        <v>147.10158922326002</v>
      </c>
      <c r="L14" s="385"/>
      <c r="M14" s="203">
        <f>RANK(K14, K$7:$K$21)</f>
        <v>8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>
        <v>12</v>
      </c>
      <c r="AF14" s="175">
        <v>1792.6530612244903</v>
      </c>
      <c r="AG14" s="202">
        <v>149.38775510204087</v>
      </c>
      <c r="AH14" s="105">
        <f t="shared" si="4"/>
        <v>8</v>
      </c>
      <c r="AI14" s="412"/>
      <c r="AJ14" s="105">
        <v>12</v>
      </c>
      <c r="AK14" s="175">
        <v>1770.6122448979597</v>
      </c>
      <c r="AL14" s="202">
        <v>147.55102040816331</v>
      </c>
      <c r="AM14" s="105">
        <f t="shared" si="5"/>
        <v>8</v>
      </c>
      <c r="AN14" s="412"/>
      <c r="AO14" s="105">
        <v>12</v>
      </c>
      <c r="AP14" s="175">
        <v>1762.3728813559337</v>
      </c>
      <c r="AQ14" s="202">
        <v>146.86440677966115</v>
      </c>
      <c r="AR14" s="105">
        <f t="shared" si="6"/>
        <v>8</v>
      </c>
      <c r="AS14" s="412"/>
      <c r="AT14" s="105">
        <v>12</v>
      </c>
      <c r="AU14" s="175">
        <v>1735.238095238097</v>
      </c>
      <c r="AV14" s="202">
        <v>144.60317460317475</v>
      </c>
      <c r="AW14" s="105">
        <f t="shared" si="7"/>
        <v>8</v>
      </c>
      <c r="AX14" s="412"/>
    </row>
    <row r="15" spans="1:50">
      <c r="A15" s="79"/>
      <c r="B15" s="398"/>
      <c r="C15" s="105">
        <v>9</v>
      </c>
      <c r="D15" s="228" t="s">
        <v>252</v>
      </c>
      <c r="E15" s="175">
        <v>9</v>
      </c>
      <c r="F15" s="105">
        <v>2250</v>
      </c>
      <c r="G15" s="202">
        <v>250</v>
      </c>
      <c r="H15" s="385"/>
      <c r="I15" s="175">
        <f t="shared" si="0"/>
        <v>9</v>
      </c>
      <c r="J15" s="175">
        <f t="shared" si="0"/>
        <v>1747.8749999999986</v>
      </c>
      <c r="K15" s="202">
        <f t="shared" si="0"/>
        <v>194.20833333333314</v>
      </c>
      <c r="L15" s="385"/>
      <c r="M15" s="203">
        <f>RANK(K15, K$7:$K$21)</f>
        <v>4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>
        <v>9</v>
      </c>
      <c r="AF15" s="175">
        <v>1798.1249999999977</v>
      </c>
      <c r="AG15" s="202">
        <v>199.7916666666664</v>
      </c>
      <c r="AH15" s="105">
        <f t="shared" si="4"/>
        <v>4</v>
      </c>
      <c r="AI15" s="412"/>
      <c r="AJ15" s="105">
        <v>9</v>
      </c>
      <c r="AK15" s="175">
        <v>1786.8749999999977</v>
      </c>
      <c r="AL15" s="202">
        <v>198.5416666666664</v>
      </c>
      <c r="AM15" s="105">
        <f t="shared" si="5"/>
        <v>4</v>
      </c>
      <c r="AN15" s="412"/>
      <c r="AO15" s="105">
        <v>9</v>
      </c>
      <c r="AP15" s="175">
        <v>1709.9999999999986</v>
      </c>
      <c r="AQ15" s="202">
        <v>189.99999999999986</v>
      </c>
      <c r="AR15" s="105">
        <f t="shared" si="6"/>
        <v>4</v>
      </c>
      <c r="AS15" s="412"/>
      <c r="AT15" s="105">
        <v>9</v>
      </c>
      <c r="AU15" s="175">
        <v>1696.4999999999995</v>
      </c>
      <c r="AV15" s="202">
        <v>188.49999999999994</v>
      </c>
      <c r="AW15" s="105">
        <f t="shared" si="7"/>
        <v>5</v>
      </c>
      <c r="AX15" s="412"/>
    </row>
    <row r="16" spans="1:50">
      <c r="A16" s="79"/>
      <c r="B16" s="398"/>
      <c r="C16" s="105">
        <v>10</v>
      </c>
      <c r="D16" s="228" t="s">
        <v>253</v>
      </c>
      <c r="E16" s="175">
        <v>9</v>
      </c>
      <c r="F16" s="105">
        <v>2250</v>
      </c>
      <c r="G16" s="202">
        <v>250</v>
      </c>
      <c r="H16" s="385"/>
      <c r="I16" s="175">
        <f t="shared" si="0"/>
        <v>9</v>
      </c>
      <c r="J16" s="175">
        <f t="shared" si="0"/>
        <v>2070.1674270242211</v>
      </c>
      <c r="K16" s="202">
        <f t="shared" si="0"/>
        <v>230.01860300269124</v>
      </c>
      <c r="L16" s="385"/>
      <c r="M16" s="203">
        <f>RANK(K16, K$7:$K$21)</f>
        <v>3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>
        <v>9</v>
      </c>
      <c r="AF16" s="175">
        <v>2098.9473684210543</v>
      </c>
      <c r="AG16" s="202">
        <v>233.21637426900602</v>
      </c>
      <c r="AH16" s="105">
        <f t="shared" si="4"/>
        <v>3</v>
      </c>
      <c r="AI16" s="412"/>
      <c r="AJ16" s="105">
        <v>9</v>
      </c>
      <c r="AK16" s="175">
        <v>2067.2727272727293</v>
      </c>
      <c r="AL16" s="202">
        <v>229.69696969696992</v>
      </c>
      <c r="AM16" s="105">
        <f t="shared" si="5"/>
        <v>3</v>
      </c>
      <c r="AN16" s="412"/>
      <c r="AO16" s="105">
        <v>9</v>
      </c>
      <c r="AP16" s="175">
        <v>2035.1162790697672</v>
      </c>
      <c r="AQ16" s="202">
        <v>226.12403100775191</v>
      </c>
      <c r="AR16" s="105">
        <f t="shared" si="6"/>
        <v>3</v>
      </c>
      <c r="AS16" s="412"/>
      <c r="AT16" s="105">
        <v>9</v>
      </c>
      <c r="AU16" s="175">
        <v>2079.3333333333335</v>
      </c>
      <c r="AV16" s="202">
        <v>231.03703703703707</v>
      </c>
      <c r="AW16" s="105">
        <f t="shared" si="7"/>
        <v>3</v>
      </c>
      <c r="AX16" s="412"/>
    </row>
    <row r="17" spans="2:50">
      <c r="B17" s="398"/>
      <c r="C17" s="105">
        <v>11</v>
      </c>
      <c r="D17" s="228"/>
      <c r="E17" s="175"/>
      <c r="F17" s="105"/>
      <c r="G17" s="202"/>
      <c r="H17" s="385"/>
      <c r="I17" s="105"/>
      <c r="J17" s="105"/>
      <c r="K17" s="105"/>
      <c r="L17" s="385"/>
      <c r="M17" s="203" t="e">
        <f>RANK(K17, K$7:$K$21)</f>
        <v>#N/A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/>
      <c r="AF17" s="175"/>
      <c r="AG17" s="202"/>
      <c r="AH17" s="105" t="e">
        <f t="shared" si="4"/>
        <v>#N/A</v>
      </c>
      <c r="AI17" s="412"/>
      <c r="AJ17" s="105"/>
      <c r="AK17" s="105"/>
      <c r="AL17" s="105"/>
      <c r="AM17" s="105" t="e">
        <f t="shared" si="5"/>
        <v>#N/A</v>
      </c>
      <c r="AN17" s="412"/>
      <c r="AO17" s="105"/>
      <c r="AP17" s="105"/>
      <c r="AQ17" s="105"/>
      <c r="AR17" s="105" t="e">
        <f t="shared" si="6"/>
        <v>#N/A</v>
      </c>
      <c r="AS17" s="412"/>
      <c r="AT17" s="105"/>
      <c r="AU17" s="105"/>
      <c r="AV17" s="105"/>
      <c r="AW17" s="105" t="e">
        <f t="shared" si="7"/>
        <v>#N/A</v>
      </c>
      <c r="AX17" s="412"/>
    </row>
    <row r="18" spans="2:50">
      <c r="B18" s="398"/>
      <c r="C18" s="105">
        <v>12</v>
      </c>
      <c r="D18" s="228"/>
      <c r="E18" s="175"/>
      <c r="F18" s="105"/>
      <c r="G18" s="202"/>
      <c r="H18" s="385"/>
      <c r="I18" s="105"/>
      <c r="J18" s="105"/>
      <c r="K18" s="105"/>
      <c r="L18" s="385"/>
      <c r="M18" s="203" t="e">
        <f>RANK(K18, K$7:$K$21)</f>
        <v>#N/A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/>
      <c r="AF18" s="175"/>
      <c r="AG18" s="202"/>
      <c r="AH18" s="105" t="e">
        <f t="shared" si="4"/>
        <v>#N/A</v>
      </c>
      <c r="AI18" s="412"/>
      <c r="AJ18" s="105"/>
      <c r="AK18" s="105"/>
      <c r="AL18" s="105"/>
      <c r="AM18" s="105" t="e">
        <f t="shared" si="5"/>
        <v>#N/A</v>
      </c>
      <c r="AN18" s="412"/>
      <c r="AO18" s="105"/>
      <c r="AP18" s="105"/>
      <c r="AQ18" s="105"/>
      <c r="AR18" s="105" t="e">
        <f t="shared" si="6"/>
        <v>#N/A</v>
      </c>
      <c r="AS18" s="412"/>
      <c r="AT18" s="105"/>
      <c r="AU18" s="105"/>
      <c r="AV18" s="105"/>
      <c r="AW18" s="105" t="e">
        <f t="shared" si="7"/>
        <v>#N/A</v>
      </c>
      <c r="AX18" s="412"/>
    </row>
    <row r="19" spans="2:50">
      <c r="B19" s="398"/>
      <c r="C19" s="105">
        <v>13</v>
      </c>
      <c r="D19" s="228"/>
      <c r="E19" s="175"/>
      <c r="F19" s="105"/>
      <c r="G19" s="202"/>
      <c r="H19" s="385"/>
      <c r="I19" s="105"/>
      <c r="J19" s="105"/>
      <c r="K19" s="105"/>
      <c r="L19" s="385"/>
      <c r="M19" s="203" t="e">
        <f>RANK(K19, K$7:$K$21)</f>
        <v>#N/A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/>
      <c r="AF19" s="175"/>
      <c r="AG19" s="202"/>
      <c r="AH19" s="105" t="e">
        <f t="shared" si="4"/>
        <v>#N/A</v>
      </c>
      <c r="AI19" s="412"/>
      <c r="AJ19" s="105"/>
      <c r="AK19" s="105"/>
      <c r="AL19" s="105"/>
      <c r="AM19" s="105" t="e">
        <f t="shared" si="5"/>
        <v>#N/A</v>
      </c>
      <c r="AN19" s="412"/>
      <c r="AO19" s="105"/>
      <c r="AP19" s="105"/>
      <c r="AQ19" s="105"/>
      <c r="AR19" s="105" t="e">
        <f t="shared" si="6"/>
        <v>#N/A</v>
      </c>
      <c r="AS19" s="412"/>
      <c r="AT19" s="105"/>
      <c r="AU19" s="105"/>
      <c r="AV19" s="105"/>
      <c r="AW19" s="105" t="e">
        <f t="shared" si="7"/>
        <v>#N/A</v>
      </c>
      <c r="AX19" s="412"/>
    </row>
    <row r="20" spans="2:50">
      <c r="B20" s="398"/>
      <c r="C20" s="105">
        <v>14</v>
      </c>
      <c r="D20" s="228"/>
      <c r="E20" s="175"/>
      <c r="F20" s="105"/>
      <c r="G20" s="202"/>
      <c r="H20" s="385"/>
      <c r="I20" s="105"/>
      <c r="J20" s="105"/>
      <c r="K20" s="105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202"/>
      <c r="AH20" s="105" t="e">
        <f t="shared" si="4"/>
        <v>#N/A</v>
      </c>
      <c r="AI20" s="412"/>
      <c r="AJ20" s="105"/>
      <c r="AK20" s="105"/>
      <c r="AL20" s="105"/>
      <c r="AM20" s="105" t="e">
        <f t="shared" si="5"/>
        <v>#N/A</v>
      </c>
      <c r="AN20" s="412"/>
      <c r="AO20" s="105"/>
      <c r="AP20" s="105"/>
      <c r="AQ20" s="105"/>
      <c r="AR20" s="105" t="e">
        <f t="shared" si="6"/>
        <v>#N/A</v>
      </c>
      <c r="AS20" s="412"/>
      <c r="AT20" s="105"/>
      <c r="AU20" s="105"/>
      <c r="AV20" s="105"/>
      <c r="AW20" s="105" t="e">
        <f t="shared" si="7"/>
        <v>#N/A</v>
      </c>
      <c r="AX20" s="412"/>
    </row>
    <row r="21" spans="2:50">
      <c r="B21" s="398"/>
      <c r="C21" s="105">
        <v>15</v>
      </c>
      <c r="D21" s="228"/>
      <c r="E21" s="175"/>
      <c r="F21" s="105"/>
      <c r="G21" s="202"/>
      <c r="H21" s="386"/>
      <c r="I21" s="105"/>
      <c r="J21" s="105"/>
      <c r="K21" s="105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202"/>
      <c r="AH21" s="105" t="e">
        <f t="shared" si="4"/>
        <v>#N/A</v>
      </c>
      <c r="AI21" s="412"/>
      <c r="AJ21" s="105"/>
      <c r="AK21" s="105"/>
      <c r="AL21" s="105"/>
      <c r="AM21" s="105" t="e">
        <f t="shared" si="5"/>
        <v>#N/A</v>
      </c>
      <c r="AN21" s="412"/>
      <c r="AO21" s="105"/>
      <c r="AP21" s="105"/>
      <c r="AQ21" s="105"/>
      <c r="AR21" s="105" t="e">
        <f t="shared" si="6"/>
        <v>#N/A</v>
      </c>
      <c r="AS21" s="412"/>
      <c r="AT21" s="105"/>
      <c r="AU21" s="105"/>
      <c r="AV21" s="105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413" t="s">
        <v>243</v>
      </c>
      <c r="C27" s="105">
        <v>1</v>
      </c>
      <c r="D27" s="228" t="s">
        <v>245</v>
      </c>
      <c r="E27" s="175">
        <v>4</v>
      </c>
      <c r="F27" s="105">
        <v>2000</v>
      </c>
      <c r="G27" s="202">
        <v>500</v>
      </c>
      <c r="H27" s="384">
        <f>AVERAGE(G27:G41)</f>
        <v>283.6489898989899</v>
      </c>
      <c r="I27" s="175">
        <f>AVERAGE(P27,U27,Z27,AE27,AJ27,AO27,AT27)</f>
        <v>4.7142857142857144</v>
      </c>
      <c r="J27" s="175">
        <f>AVERAGE(Q27,V27,AA27,AF27,AK27,AP27,AU27)</f>
        <v>1965.5550641309142</v>
      </c>
      <c r="K27" s="202">
        <f>AVERAGE(R27,W27,AB27,AG27,AL27,AQ27,AV27)</f>
        <v>419.84534866578173</v>
      </c>
      <c r="L27" s="384">
        <f>IFERROR(AVERAGE(K27:K41),"-")</f>
        <v>242.89541591447679</v>
      </c>
      <c r="M27" s="203">
        <f>RANK(K27, K$27:$K$41)</f>
        <v>2</v>
      </c>
      <c r="N27" s="387"/>
      <c r="O27" s="387"/>
      <c r="P27" s="175">
        <v>5</v>
      </c>
      <c r="Q27" s="175">
        <v>2103.3333333333317</v>
      </c>
      <c r="R27" s="175">
        <v>420.66666666666634</v>
      </c>
      <c r="S27" s="105">
        <f>RANK(R27, R$27:R$41)</f>
        <v>2</v>
      </c>
      <c r="T27" s="412">
        <f>AVERAGE(R27:R41)</f>
        <v>236.78749319869661</v>
      </c>
      <c r="U27" s="175">
        <v>5</v>
      </c>
      <c r="V27" s="175">
        <v>2129.9999999999982</v>
      </c>
      <c r="W27" s="175">
        <v>425.99999999999966</v>
      </c>
      <c r="X27" s="105">
        <f>RANK(W27, W$27:W$41)</f>
        <v>3</v>
      </c>
      <c r="Y27" s="412">
        <f>AVERAGE(W27:W41)</f>
        <v>244.76884222563928</v>
      </c>
      <c r="Z27" s="175">
        <v>5</v>
      </c>
      <c r="AA27" s="175">
        <v>2133.3333333333317</v>
      </c>
      <c r="AB27" s="175">
        <v>426.66666666666634</v>
      </c>
      <c r="AC27" s="105">
        <f>RANK(AB27, AB$27:AB$41)</f>
        <v>3</v>
      </c>
      <c r="AD27" s="412">
        <f>AVERAGE(AB27:AB41)</f>
        <v>245.72112988126241</v>
      </c>
      <c r="AE27" s="175">
        <v>5</v>
      </c>
      <c r="AF27" s="175">
        <v>1831.7647058823507</v>
      </c>
      <c r="AG27" s="175">
        <v>366.35294117647015</v>
      </c>
      <c r="AH27" s="105">
        <f>RANK(AG27, AG$27:AG$41)</f>
        <v>2</v>
      </c>
      <c r="AI27" s="412">
        <f>AVERAGE(AG27:AG41)</f>
        <v>231.92802155484333</v>
      </c>
      <c r="AJ27" s="175">
        <v>5</v>
      </c>
      <c r="AK27" s="175">
        <v>1817.6470588235272</v>
      </c>
      <c r="AL27" s="175">
        <v>363.52941176470546</v>
      </c>
      <c r="AM27" s="105">
        <f>RANK(AL27, AL$27:AL$41)</f>
        <v>3</v>
      </c>
      <c r="AN27" s="412">
        <f>AVERAGE(AL27:AL41)</f>
        <v>234.36227269715135</v>
      </c>
      <c r="AO27" s="175">
        <v>4</v>
      </c>
      <c r="AP27" s="175">
        <v>1869.4736842105249</v>
      </c>
      <c r="AQ27" s="175">
        <v>467.36842105263122</v>
      </c>
      <c r="AR27" s="105">
        <f>RANK(AQ27, AQ$27:AQ$41)</f>
        <v>1</v>
      </c>
      <c r="AS27" s="412">
        <f>AVERAGE(AQ27:AQ41)</f>
        <v>251.26567121921715</v>
      </c>
      <c r="AT27" s="175">
        <v>4</v>
      </c>
      <c r="AU27" s="175">
        <v>1873.3333333333319</v>
      </c>
      <c r="AV27" s="175">
        <v>468.33333333333297</v>
      </c>
      <c r="AW27" s="105">
        <f>RANK(AV27, AV$27:AV$41)</f>
        <v>2</v>
      </c>
      <c r="AX27" s="412">
        <f>AVERAGE(AV27:AV41)</f>
        <v>255.43448062452711</v>
      </c>
    </row>
    <row r="28" spans="2:50">
      <c r="B28" s="398"/>
      <c r="C28" s="105">
        <v>2</v>
      </c>
      <c r="D28" s="228" t="s">
        <v>246</v>
      </c>
      <c r="E28" s="175">
        <v>4</v>
      </c>
      <c r="F28" s="105">
        <v>2000</v>
      </c>
      <c r="G28" s="202">
        <v>500</v>
      </c>
      <c r="H28" s="385"/>
      <c r="I28" s="175">
        <f t="shared" ref="I28:K36" si="8">AVERAGE(P28,U28,Z28,AE28,AJ28,AO28,AT28)</f>
        <v>4.7142857142857144</v>
      </c>
      <c r="J28" s="175">
        <f t="shared" si="8"/>
        <v>1933.8084181040815</v>
      </c>
      <c r="K28" s="202">
        <f t="shared" si="8"/>
        <v>413.05930266843535</v>
      </c>
      <c r="L28" s="385"/>
      <c r="M28" s="203">
        <f>RANK(K28, K$27:$K$41)</f>
        <v>3</v>
      </c>
      <c r="N28" s="387"/>
      <c r="O28" s="387"/>
      <c r="P28" s="175">
        <v>5</v>
      </c>
      <c r="Q28" s="175">
        <v>1866.3157894736828</v>
      </c>
      <c r="R28" s="202">
        <v>373.26315789473654</v>
      </c>
      <c r="S28" s="105">
        <f t="shared" ref="S28:S41" si="9">RANK(R28, R$27:R$41)</f>
        <v>3</v>
      </c>
      <c r="T28" s="412"/>
      <c r="U28" s="175">
        <v>5</v>
      </c>
      <c r="V28" s="175">
        <v>2145.8823529411738</v>
      </c>
      <c r="W28" s="175">
        <v>429.17647058823479</v>
      </c>
      <c r="X28" s="105">
        <f t="shared" ref="X28:X41" si="10">RANK(W28, W$27:W$41)</f>
        <v>2</v>
      </c>
      <c r="Y28" s="412"/>
      <c r="Z28" s="175">
        <v>5</v>
      </c>
      <c r="AA28" s="175">
        <v>2135.2941176470563</v>
      </c>
      <c r="AB28" s="175">
        <v>427.05882352941126</v>
      </c>
      <c r="AC28" s="105">
        <f t="shared" ref="AC28:AC41" si="11">RANK(AB28, AB$27:AB$41)</f>
        <v>2</v>
      </c>
      <c r="AD28" s="412"/>
      <c r="AE28" s="175">
        <v>5</v>
      </c>
      <c r="AF28" s="175">
        <v>1807.4999999999977</v>
      </c>
      <c r="AG28" s="175">
        <v>361.49999999999955</v>
      </c>
      <c r="AH28" s="105">
        <f t="shared" ref="AH28:AH41" si="12">RANK(AG28, AG$27:AG$41)</f>
        <v>3</v>
      </c>
      <c r="AI28" s="412"/>
      <c r="AJ28" s="175">
        <v>5</v>
      </c>
      <c r="AK28" s="175">
        <v>1899.9999999999966</v>
      </c>
      <c r="AL28" s="175">
        <v>379.99999999999932</v>
      </c>
      <c r="AM28" s="105">
        <f t="shared" ref="AM28:AM41" si="13">RANK(AL28, AL$27:AL$41)</f>
        <v>2</v>
      </c>
      <c r="AN28" s="412"/>
      <c r="AO28" s="175">
        <v>4</v>
      </c>
      <c r="AP28" s="175">
        <v>1776.6666666666654</v>
      </c>
      <c r="AQ28" s="175">
        <v>444.16666666666634</v>
      </c>
      <c r="AR28" s="105">
        <f t="shared" ref="AR28:AR41" si="14">RANK(AQ28, AQ$27:AQ$41)</f>
        <v>2</v>
      </c>
      <c r="AS28" s="412"/>
      <c r="AT28" s="175">
        <v>4</v>
      </c>
      <c r="AU28" s="175">
        <v>1904.9999999999975</v>
      </c>
      <c r="AV28" s="175">
        <v>476.24999999999937</v>
      </c>
      <c r="AW28" s="105">
        <f t="shared" ref="AW28:AW41" si="15">RANK(AV28, AV$27:AV$41)</f>
        <v>1</v>
      </c>
      <c r="AX28" s="412"/>
    </row>
    <row r="29" spans="2:50">
      <c r="B29" s="398"/>
      <c r="C29" s="105">
        <v>3</v>
      </c>
      <c r="D29" s="228" t="s">
        <v>254</v>
      </c>
      <c r="E29" s="175">
        <v>4</v>
      </c>
      <c r="F29" s="105">
        <v>2000</v>
      </c>
      <c r="G29" s="202">
        <v>500</v>
      </c>
      <c r="H29" s="385"/>
      <c r="I29" s="175">
        <f t="shared" si="8"/>
        <v>5</v>
      </c>
      <c r="J29" s="175">
        <f t="shared" si="8"/>
        <v>2173.6054281548199</v>
      </c>
      <c r="K29" s="202">
        <f t="shared" si="8"/>
        <v>434.72108563096396</v>
      </c>
      <c r="L29" s="385"/>
      <c r="M29" s="203">
        <f>RANK(K29, K$27:$K$41)</f>
        <v>1</v>
      </c>
      <c r="N29" s="387"/>
      <c r="O29" s="387"/>
      <c r="P29" s="175">
        <v>5</v>
      </c>
      <c r="Q29" s="175">
        <v>2123.2075471698108</v>
      </c>
      <c r="R29" s="202">
        <v>424.64150943396214</v>
      </c>
      <c r="S29" s="105">
        <f t="shared" si="9"/>
        <v>1</v>
      </c>
      <c r="T29" s="412"/>
      <c r="U29" s="175">
        <v>5</v>
      </c>
      <c r="V29" s="175">
        <v>2179.3846153846152</v>
      </c>
      <c r="W29" s="175">
        <v>435.87692307692305</v>
      </c>
      <c r="X29" s="105">
        <f t="shared" si="10"/>
        <v>1</v>
      </c>
      <c r="Y29" s="412"/>
      <c r="Z29" s="175">
        <v>5</v>
      </c>
      <c r="AA29" s="175">
        <v>2204.9999999999995</v>
      </c>
      <c r="AB29" s="175">
        <v>440.99999999999989</v>
      </c>
      <c r="AC29" s="105">
        <f t="shared" si="11"/>
        <v>1</v>
      </c>
      <c r="AD29" s="412"/>
      <c r="AE29" s="175">
        <v>5</v>
      </c>
      <c r="AF29" s="175">
        <v>2126.4406779661008</v>
      </c>
      <c r="AG29" s="175">
        <v>425.28813559322015</v>
      </c>
      <c r="AH29" s="105">
        <f t="shared" si="12"/>
        <v>1</v>
      </c>
      <c r="AI29" s="412"/>
      <c r="AJ29" s="175">
        <v>5</v>
      </c>
      <c r="AK29" s="175">
        <v>2196.4864864864871</v>
      </c>
      <c r="AL29" s="175">
        <v>439.2972972972974</v>
      </c>
      <c r="AM29" s="105">
        <f t="shared" si="13"/>
        <v>1</v>
      </c>
      <c r="AN29" s="412"/>
      <c r="AO29" s="175">
        <v>5</v>
      </c>
      <c r="AP29" s="175">
        <v>2185.588235294118</v>
      </c>
      <c r="AQ29" s="175">
        <v>437.11764705882359</v>
      </c>
      <c r="AR29" s="105">
        <f t="shared" si="14"/>
        <v>3</v>
      </c>
      <c r="AS29" s="412"/>
      <c r="AT29" s="175">
        <v>5</v>
      </c>
      <c r="AU29" s="175">
        <v>2199.1304347826085</v>
      </c>
      <c r="AV29" s="175">
        <v>439.82608695652169</v>
      </c>
      <c r="AW29" s="105">
        <f t="shared" si="15"/>
        <v>3</v>
      </c>
      <c r="AX29" s="412"/>
    </row>
    <row r="30" spans="2:50">
      <c r="B30" s="398"/>
      <c r="C30" s="105">
        <v>4</v>
      </c>
      <c r="D30" s="228" t="s">
        <v>247</v>
      </c>
      <c r="E30" s="175">
        <v>12</v>
      </c>
      <c r="F30" s="105">
        <v>2250</v>
      </c>
      <c r="G30" s="202">
        <v>187.5</v>
      </c>
      <c r="H30" s="385"/>
      <c r="I30" s="175">
        <f t="shared" si="8"/>
        <v>12</v>
      </c>
      <c r="J30" s="175">
        <f t="shared" si="8"/>
        <v>2001.5617476744551</v>
      </c>
      <c r="K30" s="202">
        <f t="shared" si="8"/>
        <v>166.7968123062046</v>
      </c>
      <c r="L30" s="385"/>
      <c r="M30" s="203">
        <f>RANK(K30, K$27:$K$41)</f>
        <v>7</v>
      </c>
      <c r="N30" s="387"/>
      <c r="O30" s="387"/>
      <c r="P30" s="175">
        <v>12</v>
      </c>
      <c r="Q30" s="175">
        <v>1984.9315068493145</v>
      </c>
      <c r="R30" s="202">
        <v>165.41095890410955</v>
      </c>
      <c r="S30" s="105">
        <f t="shared" si="9"/>
        <v>7</v>
      </c>
      <c r="T30" s="412"/>
      <c r="U30" s="175">
        <v>12</v>
      </c>
      <c r="V30" s="175">
        <v>1977.6315789473679</v>
      </c>
      <c r="W30" s="175">
        <v>164.80263157894731</v>
      </c>
      <c r="X30" s="105">
        <f t="shared" si="10"/>
        <v>8</v>
      </c>
      <c r="Y30" s="412"/>
      <c r="Z30" s="175">
        <v>12</v>
      </c>
      <c r="AA30" s="175">
        <v>1959.7183098591552</v>
      </c>
      <c r="AB30" s="175">
        <v>163.3098591549296</v>
      </c>
      <c r="AC30" s="105">
        <f t="shared" si="11"/>
        <v>8</v>
      </c>
      <c r="AD30" s="412"/>
      <c r="AE30" s="175">
        <v>12</v>
      </c>
      <c r="AF30" s="175">
        <v>2036.9491525423732</v>
      </c>
      <c r="AG30" s="175">
        <v>169.74576271186444</v>
      </c>
      <c r="AH30" s="105">
        <f t="shared" si="12"/>
        <v>7</v>
      </c>
      <c r="AI30" s="412"/>
      <c r="AJ30" s="175">
        <v>12</v>
      </c>
      <c r="AK30" s="175">
        <v>1975.0819672131154</v>
      </c>
      <c r="AL30" s="175">
        <v>164.59016393442627</v>
      </c>
      <c r="AM30" s="105">
        <f t="shared" si="13"/>
        <v>8</v>
      </c>
      <c r="AN30" s="412"/>
      <c r="AO30" s="175">
        <v>12</v>
      </c>
      <c r="AP30" s="175">
        <v>2040.0000000000005</v>
      </c>
      <c r="AQ30" s="175">
        <v>170.00000000000003</v>
      </c>
      <c r="AR30" s="105">
        <f t="shared" si="14"/>
        <v>7</v>
      </c>
      <c r="AS30" s="412"/>
      <c r="AT30" s="175">
        <v>12</v>
      </c>
      <c r="AU30" s="175">
        <v>2036.6197183098595</v>
      </c>
      <c r="AV30" s="175">
        <v>169.71830985915497</v>
      </c>
      <c r="AW30" s="105">
        <f t="shared" si="15"/>
        <v>7</v>
      </c>
      <c r="AX30" s="412"/>
    </row>
    <row r="31" spans="2:50">
      <c r="B31" s="398"/>
      <c r="C31" s="105">
        <v>5</v>
      </c>
      <c r="D31" s="228" t="s">
        <v>248</v>
      </c>
      <c r="E31" s="175">
        <v>12</v>
      </c>
      <c r="F31" s="105">
        <v>2250</v>
      </c>
      <c r="G31" s="202">
        <v>187.5</v>
      </c>
      <c r="H31" s="385"/>
      <c r="I31" s="175">
        <f t="shared" si="8"/>
        <v>12</v>
      </c>
      <c r="J31" s="175">
        <f t="shared" si="8"/>
        <v>1998.2898237277334</v>
      </c>
      <c r="K31" s="202">
        <f t="shared" si="8"/>
        <v>166.52415197731111</v>
      </c>
      <c r="L31" s="385"/>
      <c r="M31" s="203">
        <f>RANK(K31, K$27:$K$41)</f>
        <v>8</v>
      </c>
      <c r="N31" s="387"/>
      <c r="O31" s="387"/>
      <c r="P31" s="175">
        <v>12</v>
      </c>
      <c r="Q31" s="175">
        <v>1976.2499999999995</v>
      </c>
      <c r="R31" s="202">
        <v>164.68749999999997</v>
      </c>
      <c r="S31" s="105">
        <f t="shared" si="9"/>
        <v>8</v>
      </c>
      <c r="T31" s="412"/>
      <c r="U31" s="175">
        <v>12</v>
      </c>
      <c r="V31" s="175">
        <v>2018.1395348837211</v>
      </c>
      <c r="W31" s="175">
        <v>168.17829457364343</v>
      </c>
      <c r="X31" s="105">
        <f t="shared" si="10"/>
        <v>7</v>
      </c>
      <c r="Y31" s="412"/>
      <c r="Z31" s="175">
        <v>12</v>
      </c>
      <c r="AA31" s="175">
        <v>1981.9672131147533</v>
      </c>
      <c r="AB31" s="175">
        <v>165.16393442622945</v>
      </c>
      <c r="AC31" s="105">
        <f t="shared" si="11"/>
        <v>7</v>
      </c>
      <c r="AD31" s="412"/>
      <c r="AE31" s="175">
        <v>12</v>
      </c>
      <c r="AF31" s="175">
        <v>1950.5882352941176</v>
      </c>
      <c r="AG31" s="175">
        <v>162.54901960784312</v>
      </c>
      <c r="AH31" s="105">
        <f t="shared" si="12"/>
        <v>8</v>
      </c>
      <c r="AI31" s="412"/>
      <c r="AJ31" s="175">
        <v>12</v>
      </c>
      <c r="AK31" s="175">
        <v>2018.6538461538464</v>
      </c>
      <c r="AL31" s="175">
        <v>168.22115384615387</v>
      </c>
      <c r="AM31" s="105">
        <f t="shared" si="13"/>
        <v>7</v>
      </c>
      <c r="AN31" s="412"/>
      <c r="AO31" s="175">
        <v>12</v>
      </c>
      <c r="AP31" s="175">
        <v>2039.5522388059701</v>
      </c>
      <c r="AQ31" s="175">
        <v>169.96268656716418</v>
      </c>
      <c r="AR31" s="105">
        <f t="shared" si="14"/>
        <v>8</v>
      </c>
      <c r="AS31" s="412"/>
      <c r="AT31" s="175">
        <v>12</v>
      </c>
      <c r="AU31" s="175">
        <v>2002.8776978417266</v>
      </c>
      <c r="AV31" s="175">
        <v>166.90647482014387</v>
      </c>
      <c r="AW31" s="105">
        <f t="shared" si="15"/>
        <v>8</v>
      </c>
      <c r="AX31" s="412"/>
    </row>
    <row r="32" spans="2:50">
      <c r="B32" s="398"/>
      <c r="C32" s="105">
        <v>6</v>
      </c>
      <c r="D32" s="228" t="s">
        <v>250</v>
      </c>
      <c r="E32" s="175">
        <v>11</v>
      </c>
      <c r="F32" s="105">
        <v>2250</v>
      </c>
      <c r="G32" s="202">
        <v>204.54545454545453</v>
      </c>
      <c r="H32" s="385"/>
      <c r="I32" s="175">
        <f t="shared" si="8"/>
        <v>11</v>
      </c>
      <c r="J32" s="175">
        <f t="shared" si="8"/>
        <v>1994.8863363156747</v>
      </c>
      <c r="K32" s="202">
        <f t="shared" si="8"/>
        <v>181.353303301425</v>
      </c>
      <c r="L32" s="385"/>
      <c r="M32" s="203">
        <f>RANK(K32, K$27:$K$41)</f>
        <v>6</v>
      </c>
      <c r="N32" s="387"/>
      <c r="O32" s="387"/>
      <c r="P32" s="175">
        <v>11</v>
      </c>
      <c r="Q32" s="175">
        <v>1985.5555555555552</v>
      </c>
      <c r="R32" s="202">
        <v>180.50505050505046</v>
      </c>
      <c r="S32" s="105">
        <f t="shared" si="9"/>
        <v>6</v>
      </c>
      <c r="T32" s="412"/>
      <c r="U32" s="175">
        <v>11</v>
      </c>
      <c r="V32" s="175">
        <v>1992.0000000000002</v>
      </c>
      <c r="W32" s="175">
        <v>181.09090909090912</v>
      </c>
      <c r="X32" s="105">
        <f t="shared" si="10"/>
        <v>6</v>
      </c>
      <c r="Y32" s="412"/>
      <c r="Z32" s="175">
        <v>11</v>
      </c>
      <c r="AA32" s="175">
        <v>1983.2727272727268</v>
      </c>
      <c r="AB32" s="175">
        <v>180.29752066115699</v>
      </c>
      <c r="AC32" s="105">
        <f t="shared" si="11"/>
        <v>6</v>
      </c>
      <c r="AD32" s="412"/>
      <c r="AE32" s="175">
        <v>11</v>
      </c>
      <c r="AF32" s="175">
        <v>2005.8715596330271</v>
      </c>
      <c r="AG32" s="175">
        <v>182.35195996663882</v>
      </c>
      <c r="AH32" s="105">
        <f t="shared" si="12"/>
        <v>6</v>
      </c>
      <c r="AI32" s="412"/>
      <c r="AJ32" s="175">
        <v>11</v>
      </c>
      <c r="AK32" s="175">
        <v>2024.571428571428</v>
      </c>
      <c r="AL32" s="175">
        <v>184.05194805194799</v>
      </c>
      <c r="AM32" s="105">
        <f t="shared" si="13"/>
        <v>6</v>
      </c>
      <c r="AN32" s="412"/>
      <c r="AO32" s="175">
        <v>11</v>
      </c>
      <c r="AP32" s="175">
        <v>2007.8048780487811</v>
      </c>
      <c r="AQ32" s="175">
        <v>182.52771618625283</v>
      </c>
      <c r="AR32" s="105">
        <f t="shared" si="14"/>
        <v>6</v>
      </c>
      <c r="AS32" s="412"/>
      <c r="AT32" s="175">
        <v>11</v>
      </c>
      <c r="AU32" s="175">
        <v>1965.1282051282053</v>
      </c>
      <c r="AV32" s="175">
        <v>178.64801864801868</v>
      </c>
      <c r="AW32" s="105">
        <f t="shared" si="15"/>
        <v>6</v>
      </c>
      <c r="AX32" s="412"/>
    </row>
    <row r="33" spans="2:50">
      <c r="B33" s="398"/>
      <c r="C33" s="105">
        <v>7</v>
      </c>
      <c r="D33" s="228" t="s">
        <v>251</v>
      </c>
      <c r="E33" s="175">
        <v>12</v>
      </c>
      <c r="F33" s="105">
        <v>2250</v>
      </c>
      <c r="G33" s="202">
        <v>187.5</v>
      </c>
      <c r="H33" s="385"/>
      <c r="I33" s="175">
        <f t="shared" si="8"/>
        <v>12</v>
      </c>
      <c r="J33" s="175">
        <f t="shared" si="8"/>
        <v>1687.3318064486716</v>
      </c>
      <c r="K33" s="202">
        <f t="shared" si="8"/>
        <v>140.61098387072263</v>
      </c>
      <c r="L33" s="385"/>
      <c r="M33" s="203">
        <f>RANK(K33, K$27:$K$41)</f>
        <v>9</v>
      </c>
      <c r="N33" s="387"/>
      <c r="O33" s="387"/>
      <c r="P33" s="175">
        <v>12</v>
      </c>
      <c r="Q33" s="175">
        <v>1667.0769230769226</v>
      </c>
      <c r="R33" s="202">
        <v>138.92307692307688</v>
      </c>
      <c r="S33" s="105">
        <f t="shared" si="9"/>
        <v>9</v>
      </c>
      <c r="T33" s="412"/>
      <c r="U33" s="175">
        <v>12</v>
      </c>
      <c r="V33" s="175">
        <v>1665.9999999999993</v>
      </c>
      <c r="W33" s="175">
        <v>138.83333333333329</v>
      </c>
      <c r="X33" s="105">
        <f t="shared" si="10"/>
        <v>9</v>
      </c>
      <c r="Y33" s="412"/>
      <c r="Z33" s="175">
        <v>12</v>
      </c>
      <c r="AA33" s="175">
        <v>1698.6206896551714</v>
      </c>
      <c r="AB33" s="175">
        <v>141.55172413793096</v>
      </c>
      <c r="AC33" s="105">
        <f t="shared" si="11"/>
        <v>9</v>
      </c>
      <c r="AD33" s="412"/>
      <c r="AE33" s="175">
        <v>12</v>
      </c>
      <c r="AF33" s="175">
        <v>1671.4285714285718</v>
      </c>
      <c r="AG33" s="175">
        <v>139.28571428571431</v>
      </c>
      <c r="AH33" s="105">
        <f t="shared" si="12"/>
        <v>9</v>
      </c>
      <c r="AI33" s="412"/>
      <c r="AJ33" s="175">
        <v>12</v>
      </c>
      <c r="AK33" s="175">
        <v>1663.7500000000005</v>
      </c>
      <c r="AL33" s="175">
        <v>138.64583333333337</v>
      </c>
      <c r="AM33" s="105">
        <f t="shared" si="13"/>
        <v>9</v>
      </c>
      <c r="AN33" s="412"/>
      <c r="AO33" s="175">
        <v>12</v>
      </c>
      <c r="AP33" s="175">
        <v>1717.8947368421066</v>
      </c>
      <c r="AQ33" s="175">
        <v>143.15789473684222</v>
      </c>
      <c r="AR33" s="105">
        <f t="shared" si="14"/>
        <v>9</v>
      </c>
      <c r="AS33" s="412"/>
      <c r="AT33" s="175">
        <v>12</v>
      </c>
      <c r="AU33" s="175">
        <v>1726.5517241379298</v>
      </c>
      <c r="AV33" s="175">
        <v>143.87931034482747</v>
      </c>
      <c r="AW33" s="105">
        <f t="shared" si="15"/>
        <v>9</v>
      </c>
      <c r="AX33" s="412"/>
    </row>
    <row r="34" spans="2:50">
      <c r="B34" s="398"/>
      <c r="C34" s="105">
        <v>8</v>
      </c>
      <c r="D34" s="228" t="s">
        <v>252</v>
      </c>
      <c r="E34" s="175">
        <v>9</v>
      </c>
      <c r="F34" s="105">
        <v>2250</v>
      </c>
      <c r="G34" s="202">
        <v>250</v>
      </c>
      <c r="H34" s="385"/>
      <c r="I34" s="175">
        <f t="shared" si="8"/>
        <v>9</v>
      </c>
      <c r="J34" s="175">
        <f t="shared" si="8"/>
        <v>1690.3476040318151</v>
      </c>
      <c r="K34" s="202">
        <f t="shared" si="8"/>
        <v>187.81640044797948</v>
      </c>
      <c r="L34" s="385"/>
      <c r="M34" s="203">
        <f>RANK(K34, K$27:$K$41)</f>
        <v>5</v>
      </c>
      <c r="N34" s="387"/>
      <c r="O34" s="387"/>
      <c r="P34" s="175">
        <v>9</v>
      </c>
      <c r="Q34" s="175">
        <v>1696.923076923076</v>
      </c>
      <c r="R34" s="202">
        <v>188.54700854700843</v>
      </c>
      <c r="S34" s="105">
        <f t="shared" si="9"/>
        <v>5</v>
      </c>
      <c r="T34" s="412"/>
      <c r="U34" s="175">
        <v>9</v>
      </c>
      <c r="V34" s="175">
        <v>1707.56756756757</v>
      </c>
      <c r="W34" s="175">
        <v>189.72972972973</v>
      </c>
      <c r="X34" s="105">
        <f t="shared" si="10"/>
        <v>5</v>
      </c>
      <c r="Y34" s="412"/>
      <c r="Z34" s="175">
        <v>9</v>
      </c>
      <c r="AA34" s="175">
        <v>1720.0000000000025</v>
      </c>
      <c r="AB34" s="175">
        <v>191.1111111111114</v>
      </c>
      <c r="AC34" s="105">
        <f t="shared" si="11"/>
        <v>5</v>
      </c>
      <c r="AD34" s="412"/>
      <c r="AE34" s="175">
        <v>9</v>
      </c>
      <c r="AF34" s="175">
        <v>1709.0909090909111</v>
      </c>
      <c r="AG34" s="175">
        <v>189.89898989899012</v>
      </c>
      <c r="AH34" s="105">
        <f t="shared" si="12"/>
        <v>5</v>
      </c>
      <c r="AI34" s="412"/>
      <c r="AJ34" s="175">
        <v>9</v>
      </c>
      <c r="AK34" s="175">
        <v>1667.2727272727291</v>
      </c>
      <c r="AL34" s="175">
        <v>185.25252525252546</v>
      </c>
      <c r="AM34" s="105">
        <f t="shared" si="13"/>
        <v>5</v>
      </c>
      <c r="AN34" s="412"/>
      <c r="AO34" s="175">
        <v>9</v>
      </c>
      <c r="AP34" s="175">
        <v>1651.5789473684199</v>
      </c>
      <c r="AQ34" s="175">
        <v>183.50877192982443</v>
      </c>
      <c r="AR34" s="105">
        <f t="shared" si="14"/>
        <v>5</v>
      </c>
      <c r="AS34" s="412"/>
      <c r="AT34" s="175">
        <v>9</v>
      </c>
      <c r="AU34" s="175">
        <v>1679.9999999999986</v>
      </c>
      <c r="AV34" s="175">
        <v>186.66666666666652</v>
      </c>
      <c r="AW34" s="105">
        <f t="shared" si="15"/>
        <v>5</v>
      </c>
      <c r="AX34" s="412"/>
    </row>
    <row r="35" spans="2:50">
      <c r="B35" s="398"/>
      <c r="C35" s="105">
        <v>9</v>
      </c>
      <c r="D35" s="228" t="s">
        <v>253</v>
      </c>
      <c r="E35" s="175">
        <v>9</v>
      </c>
      <c r="F35" s="105">
        <v>2250</v>
      </c>
      <c r="G35" s="202">
        <v>250</v>
      </c>
      <c r="H35" s="385"/>
      <c r="I35" s="175">
        <f t="shared" si="8"/>
        <v>9</v>
      </c>
      <c r="J35" s="175">
        <f t="shared" si="8"/>
        <v>2026.4290178951728</v>
      </c>
      <c r="K35" s="202">
        <f t="shared" si="8"/>
        <v>225.15877976613029</v>
      </c>
      <c r="L35" s="385"/>
      <c r="M35" s="203">
        <f>RANK(K35, K$27:$K$41)</f>
        <v>4</v>
      </c>
      <c r="N35" s="387"/>
      <c r="O35" s="387"/>
      <c r="P35" s="175">
        <v>9</v>
      </c>
      <c r="Q35" s="175">
        <v>2014.6666666666665</v>
      </c>
      <c r="R35" s="202">
        <v>223.85185185185185</v>
      </c>
      <c r="S35" s="105">
        <f t="shared" si="9"/>
        <v>4</v>
      </c>
      <c r="T35" s="412"/>
      <c r="U35" s="175">
        <v>9</v>
      </c>
      <c r="V35" s="175">
        <v>2014.1860465116274</v>
      </c>
      <c r="W35" s="175">
        <v>223.79844961240303</v>
      </c>
      <c r="X35" s="105">
        <f t="shared" si="10"/>
        <v>4</v>
      </c>
      <c r="Y35" s="412"/>
      <c r="Z35" s="175">
        <v>9</v>
      </c>
      <c r="AA35" s="175">
        <v>2034.7499999999993</v>
      </c>
      <c r="AB35" s="175">
        <v>226.08333333333326</v>
      </c>
      <c r="AC35" s="105">
        <f t="shared" si="11"/>
        <v>4</v>
      </c>
      <c r="AD35" s="412"/>
      <c r="AE35" s="175">
        <v>9</v>
      </c>
      <c r="AF35" s="175">
        <v>2049.2307692307713</v>
      </c>
      <c r="AG35" s="175">
        <v>227.69230769230793</v>
      </c>
      <c r="AH35" s="105">
        <f t="shared" si="12"/>
        <v>4</v>
      </c>
      <c r="AI35" s="412"/>
      <c r="AJ35" s="175">
        <v>9</v>
      </c>
      <c r="AK35" s="175">
        <v>2027.812500000002</v>
      </c>
      <c r="AL35" s="175">
        <v>225.31250000000023</v>
      </c>
      <c r="AM35" s="105">
        <f t="shared" si="13"/>
        <v>4</v>
      </c>
      <c r="AN35" s="412"/>
      <c r="AO35" s="175">
        <v>9</v>
      </c>
      <c r="AP35" s="175">
        <v>1996.4999999999995</v>
      </c>
      <c r="AQ35" s="175">
        <v>221.83333333333329</v>
      </c>
      <c r="AR35" s="105">
        <f t="shared" si="14"/>
        <v>4</v>
      </c>
      <c r="AS35" s="412"/>
      <c r="AT35" s="175">
        <v>9</v>
      </c>
      <c r="AU35" s="175">
        <v>2047.8571428571424</v>
      </c>
      <c r="AV35" s="175">
        <v>227.5396825396825</v>
      </c>
      <c r="AW35" s="105">
        <f t="shared" si="15"/>
        <v>4</v>
      </c>
      <c r="AX35" s="412"/>
    </row>
    <row r="36" spans="2:50">
      <c r="B36" s="398"/>
      <c r="C36" s="105">
        <v>10</v>
      </c>
      <c r="D36" s="228" t="s">
        <v>244</v>
      </c>
      <c r="E36" s="175">
        <v>18</v>
      </c>
      <c r="F36" s="105">
        <v>1250</v>
      </c>
      <c r="G36" s="202">
        <v>69.444444444444443</v>
      </c>
      <c r="H36" s="385"/>
      <c r="I36" s="175">
        <f t="shared" si="8"/>
        <v>13.285714285714286</v>
      </c>
      <c r="J36" s="175">
        <f t="shared" si="8"/>
        <v>1235.2524240465425</v>
      </c>
      <c r="K36" s="202">
        <f t="shared" si="8"/>
        <v>93.067990509813427</v>
      </c>
      <c r="L36" s="385"/>
      <c r="M36" s="203">
        <f>RANK(K36, K$27:$K$41)</f>
        <v>10</v>
      </c>
      <c r="N36" s="387"/>
      <c r="O36" s="387"/>
      <c r="P36" s="175">
        <v>14</v>
      </c>
      <c r="Q36" s="175">
        <v>1223.2941176470597</v>
      </c>
      <c r="R36" s="202">
        <v>87.378151260504268</v>
      </c>
      <c r="S36" s="105">
        <f t="shared" si="9"/>
        <v>10</v>
      </c>
      <c r="T36" s="412"/>
      <c r="U36" s="175">
        <v>14</v>
      </c>
      <c r="V36" s="175">
        <v>1262.8235294117655</v>
      </c>
      <c r="W36" s="175">
        <v>90.201680672268964</v>
      </c>
      <c r="X36" s="105">
        <f t="shared" si="10"/>
        <v>10</v>
      </c>
      <c r="Y36" s="412"/>
      <c r="Z36" s="175">
        <v>13</v>
      </c>
      <c r="AA36" s="175">
        <v>1234.5882352941185</v>
      </c>
      <c r="AB36" s="175">
        <v>94.968325791855264</v>
      </c>
      <c r="AC36" s="105">
        <f t="shared" si="11"/>
        <v>10</v>
      </c>
      <c r="AD36" s="412"/>
      <c r="AE36" s="175">
        <v>13</v>
      </c>
      <c r="AF36" s="175">
        <v>1230.0000000000002</v>
      </c>
      <c r="AG36" s="175">
        <v>94.615384615384627</v>
      </c>
      <c r="AH36" s="105">
        <f t="shared" si="12"/>
        <v>10</v>
      </c>
      <c r="AI36" s="412"/>
      <c r="AJ36" s="175">
        <v>13</v>
      </c>
      <c r="AK36" s="175">
        <v>1231.3846153846159</v>
      </c>
      <c r="AL36" s="175">
        <v>94.721893491124305</v>
      </c>
      <c r="AM36" s="105">
        <f t="shared" si="13"/>
        <v>10</v>
      </c>
      <c r="AN36" s="412"/>
      <c r="AO36" s="175">
        <v>13</v>
      </c>
      <c r="AP36" s="175">
        <v>1209.176470588236</v>
      </c>
      <c r="AQ36" s="175">
        <v>93.013574660633537</v>
      </c>
      <c r="AR36" s="105">
        <f t="shared" si="14"/>
        <v>10</v>
      </c>
      <c r="AS36" s="412"/>
      <c r="AT36" s="175">
        <v>13</v>
      </c>
      <c r="AU36" s="175">
        <v>1255.5000000000007</v>
      </c>
      <c r="AV36" s="175">
        <v>96.576923076923123</v>
      </c>
      <c r="AW36" s="105">
        <f t="shared" si="15"/>
        <v>10</v>
      </c>
      <c r="AX36" s="412"/>
    </row>
    <row r="37" spans="2:50">
      <c r="B37" s="398"/>
      <c r="C37" s="105">
        <v>11</v>
      </c>
      <c r="D37" s="228"/>
      <c r="E37" s="175"/>
      <c r="F37" s="105"/>
      <c r="G37" s="202"/>
      <c r="H37" s="385"/>
      <c r="I37" s="105"/>
      <c r="J37" s="105"/>
      <c r="K37" s="105"/>
      <c r="L37" s="385"/>
      <c r="M37" s="203" t="e">
        <f>RANK(K37, K$27:$K$41)</f>
        <v>#N/A</v>
      </c>
      <c r="N37" s="387"/>
      <c r="O37" s="387"/>
      <c r="P37" s="175"/>
      <c r="Q37" s="175"/>
      <c r="R37" s="202"/>
      <c r="S37" s="105" t="e">
        <f t="shared" si="9"/>
        <v>#N/A</v>
      </c>
      <c r="T37" s="412"/>
      <c r="U37" s="175"/>
      <c r="V37" s="175"/>
      <c r="W37" s="175"/>
      <c r="X37" s="105" t="e">
        <f t="shared" si="10"/>
        <v>#N/A</v>
      </c>
      <c r="Y37" s="412"/>
      <c r="Z37" s="175"/>
      <c r="AA37" s="175"/>
      <c r="AB37" s="202"/>
      <c r="AC37" s="105" t="e">
        <f t="shared" si="11"/>
        <v>#N/A</v>
      </c>
      <c r="AD37" s="412"/>
      <c r="AE37" s="175"/>
      <c r="AF37" s="175"/>
      <c r="AG37" s="202"/>
      <c r="AH37" s="105" t="e">
        <f t="shared" si="12"/>
        <v>#N/A</v>
      </c>
      <c r="AI37" s="412"/>
      <c r="AJ37" s="175"/>
      <c r="AK37" s="175"/>
      <c r="AL37" s="202"/>
      <c r="AM37" s="105" t="e">
        <f t="shared" si="13"/>
        <v>#N/A</v>
      </c>
      <c r="AN37" s="412"/>
      <c r="AO37" s="175"/>
      <c r="AP37" s="175"/>
      <c r="AQ37" s="202"/>
      <c r="AR37" s="105" t="e">
        <f t="shared" si="14"/>
        <v>#N/A</v>
      </c>
      <c r="AS37" s="412"/>
      <c r="AT37" s="175"/>
      <c r="AU37" s="175"/>
      <c r="AV37" s="202"/>
      <c r="AW37" s="105" t="e">
        <f t="shared" si="15"/>
        <v>#N/A</v>
      </c>
      <c r="AX37" s="412"/>
    </row>
    <row r="38" spans="2:50">
      <c r="B38" s="398"/>
      <c r="C38" s="105">
        <v>12</v>
      </c>
      <c r="D38" s="228"/>
      <c r="E38" s="175"/>
      <c r="F38" s="105"/>
      <c r="G38" s="202"/>
      <c r="H38" s="385"/>
      <c r="I38" s="105"/>
      <c r="J38" s="105"/>
      <c r="K38" s="105"/>
      <c r="L38" s="385"/>
      <c r="M38" s="203" t="e">
        <f>RANK(K38, K$27:$K$41)</f>
        <v>#N/A</v>
      </c>
      <c r="N38" s="387"/>
      <c r="O38" s="387"/>
      <c r="P38" s="175"/>
      <c r="Q38" s="175"/>
      <c r="R38" s="202"/>
      <c r="S38" s="105" t="e">
        <f t="shared" si="9"/>
        <v>#N/A</v>
      </c>
      <c r="T38" s="412"/>
      <c r="U38" s="175"/>
      <c r="V38" s="175"/>
      <c r="W38" s="175"/>
      <c r="X38" s="105" t="e">
        <f t="shared" si="10"/>
        <v>#N/A</v>
      </c>
      <c r="Y38" s="412"/>
      <c r="Z38" s="175"/>
      <c r="AA38" s="175"/>
      <c r="AB38" s="202"/>
      <c r="AC38" s="105" t="e">
        <f t="shared" si="11"/>
        <v>#N/A</v>
      </c>
      <c r="AD38" s="412"/>
      <c r="AE38" s="175"/>
      <c r="AF38" s="175"/>
      <c r="AG38" s="202"/>
      <c r="AH38" s="105" t="e">
        <f t="shared" si="12"/>
        <v>#N/A</v>
      </c>
      <c r="AI38" s="412"/>
      <c r="AJ38" s="175"/>
      <c r="AK38" s="175"/>
      <c r="AL38" s="202"/>
      <c r="AM38" s="105" t="e">
        <f t="shared" si="13"/>
        <v>#N/A</v>
      </c>
      <c r="AN38" s="412"/>
      <c r="AO38" s="175"/>
      <c r="AP38" s="175"/>
      <c r="AQ38" s="202"/>
      <c r="AR38" s="105" t="e">
        <f t="shared" si="14"/>
        <v>#N/A</v>
      </c>
      <c r="AS38" s="412"/>
      <c r="AT38" s="175"/>
      <c r="AU38" s="175"/>
      <c r="AV38" s="202"/>
      <c r="AW38" s="105" t="e">
        <f t="shared" si="15"/>
        <v>#N/A</v>
      </c>
      <c r="AX38" s="412"/>
    </row>
    <row r="39" spans="2:50">
      <c r="B39" s="398"/>
      <c r="C39" s="105">
        <v>13</v>
      </c>
      <c r="D39" s="228"/>
      <c r="E39" s="175"/>
      <c r="F39" s="105"/>
      <c r="G39" s="202"/>
      <c r="H39" s="385"/>
      <c r="I39" s="105"/>
      <c r="J39" s="105"/>
      <c r="K39" s="105"/>
      <c r="L39" s="385"/>
      <c r="M39" s="203" t="e">
        <f>RANK(K39, K$27:$K$41)</f>
        <v>#N/A</v>
      </c>
      <c r="N39" s="387"/>
      <c r="O39" s="387"/>
      <c r="P39" s="175"/>
      <c r="Q39" s="175"/>
      <c r="R39" s="202"/>
      <c r="S39" s="105" t="e">
        <f t="shared" si="9"/>
        <v>#N/A</v>
      </c>
      <c r="T39" s="412"/>
      <c r="U39" s="175"/>
      <c r="V39" s="175"/>
      <c r="W39" s="175"/>
      <c r="X39" s="105" t="e">
        <f t="shared" si="10"/>
        <v>#N/A</v>
      </c>
      <c r="Y39" s="412"/>
      <c r="Z39" s="175"/>
      <c r="AA39" s="175"/>
      <c r="AB39" s="202"/>
      <c r="AC39" s="105" t="e">
        <f t="shared" si="11"/>
        <v>#N/A</v>
      </c>
      <c r="AD39" s="412"/>
      <c r="AE39" s="175"/>
      <c r="AF39" s="175"/>
      <c r="AG39" s="202"/>
      <c r="AH39" s="105" t="e">
        <f t="shared" si="12"/>
        <v>#N/A</v>
      </c>
      <c r="AI39" s="412"/>
      <c r="AJ39" s="175"/>
      <c r="AK39" s="175"/>
      <c r="AL39" s="202"/>
      <c r="AM39" s="105" t="e">
        <f t="shared" si="13"/>
        <v>#N/A</v>
      </c>
      <c r="AN39" s="412"/>
      <c r="AO39" s="175"/>
      <c r="AP39" s="175"/>
      <c r="AQ39" s="202"/>
      <c r="AR39" s="105" t="e">
        <f t="shared" si="14"/>
        <v>#N/A</v>
      </c>
      <c r="AS39" s="412"/>
      <c r="AT39" s="175"/>
      <c r="AU39" s="175"/>
      <c r="AV39" s="202"/>
      <c r="AW39" s="105" t="e">
        <f t="shared" si="15"/>
        <v>#N/A</v>
      </c>
      <c r="AX39" s="412"/>
    </row>
    <row r="40" spans="2:50">
      <c r="B40" s="398"/>
      <c r="C40" s="105">
        <v>14</v>
      </c>
      <c r="D40" s="228"/>
      <c r="E40" s="175"/>
      <c r="F40" s="105"/>
      <c r="G40" s="202"/>
      <c r="H40" s="385"/>
      <c r="I40" s="105"/>
      <c r="J40" s="105"/>
      <c r="K40" s="105"/>
      <c r="L40" s="385"/>
      <c r="M40" s="203" t="e">
        <f>RANK(K40, K$27:$K$41)</f>
        <v>#N/A</v>
      </c>
      <c r="N40" s="387"/>
      <c r="O40" s="387"/>
      <c r="P40" s="175"/>
      <c r="Q40" s="175"/>
      <c r="R40" s="202"/>
      <c r="S40" s="105" t="e">
        <f t="shared" si="9"/>
        <v>#N/A</v>
      </c>
      <c r="T40" s="412"/>
      <c r="U40" s="175"/>
      <c r="V40" s="175"/>
      <c r="W40" s="175"/>
      <c r="X40" s="105" t="e">
        <f t="shared" si="10"/>
        <v>#N/A</v>
      </c>
      <c r="Y40" s="412"/>
      <c r="Z40" s="175"/>
      <c r="AA40" s="175"/>
      <c r="AB40" s="202"/>
      <c r="AC40" s="105" t="e">
        <f t="shared" si="11"/>
        <v>#N/A</v>
      </c>
      <c r="AD40" s="412"/>
      <c r="AE40" s="175"/>
      <c r="AF40" s="175"/>
      <c r="AG40" s="202"/>
      <c r="AH40" s="105" t="e">
        <f t="shared" si="12"/>
        <v>#N/A</v>
      </c>
      <c r="AI40" s="412"/>
      <c r="AJ40" s="175"/>
      <c r="AK40" s="175"/>
      <c r="AL40" s="202"/>
      <c r="AM40" s="105" t="e">
        <f t="shared" si="13"/>
        <v>#N/A</v>
      </c>
      <c r="AN40" s="412"/>
      <c r="AO40" s="175"/>
      <c r="AP40" s="175"/>
      <c r="AQ40" s="202"/>
      <c r="AR40" s="105" t="e">
        <f t="shared" si="14"/>
        <v>#N/A</v>
      </c>
      <c r="AS40" s="412"/>
      <c r="AT40" s="175"/>
      <c r="AU40" s="175"/>
      <c r="AV40" s="202"/>
      <c r="AW40" s="105" t="e">
        <f t="shared" si="15"/>
        <v>#N/A</v>
      </c>
      <c r="AX40" s="412"/>
    </row>
    <row r="41" spans="2:50">
      <c r="B41" s="398"/>
      <c r="C41" s="105">
        <v>15</v>
      </c>
      <c r="D41" s="228"/>
      <c r="E41" s="175"/>
      <c r="F41" s="105"/>
      <c r="G41" s="202"/>
      <c r="H41" s="386"/>
      <c r="I41" s="105"/>
      <c r="J41" s="105"/>
      <c r="K41" s="105"/>
      <c r="L41" s="386"/>
      <c r="M41" s="175" t="e">
        <f>RANK(K41, K$27:$K$41)</f>
        <v>#N/A</v>
      </c>
      <c r="N41" s="387"/>
      <c r="O41" s="387"/>
      <c r="P41" s="175"/>
      <c r="Q41" s="175"/>
      <c r="R41" s="202"/>
      <c r="S41" s="105" t="e">
        <f t="shared" si="9"/>
        <v>#N/A</v>
      </c>
      <c r="T41" s="412"/>
      <c r="U41" s="175"/>
      <c r="V41" s="175"/>
      <c r="W41" s="175"/>
      <c r="X41" s="105" t="e">
        <f t="shared" si="10"/>
        <v>#N/A</v>
      </c>
      <c r="Y41" s="412"/>
      <c r="Z41" s="175"/>
      <c r="AA41" s="175"/>
      <c r="AB41" s="202"/>
      <c r="AC41" s="105" t="e">
        <f t="shared" si="11"/>
        <v>#N/A</v>
      </c>
      <c r="AD41" s="412"/>
      <c r="AE41" s="175"/>
      <c r="AF41" s="175"/>
      <c r="AG41" s="202"/>
      <c r="AH41" s="105" t="e">
        <f t="shared" si="12"/>
        <v>#N/A</v>
      </c>
      <c r="AI41" s="412"/>
      <c r="AJ41" s="175"/>
      <c r="AK41" s="175"/>
      <c r="AL41" s="202"/>
      <c r="AM41" s="105" t="e">
        <f t="shared" si="13"/>
        <v>#N/A</v>
      </c>
      <c r="AN41" s="412"/>
      <c r="AO41" s="175"/>
      <c r="AP41" s="175"/>
      <c r="AQ41" s="202"/>
      <c r="AR41" s="105" t="e">
        <f t="shared" si="14"/>
        <v>#N/A</v>
      </c>
      <c r="AS41" s="412"/>
      <c r="AT41" s="175"/>
      <c r="AU41" s="175"/>
      <c r="AV41" s="202"/>
      <c r="AW41" s="105" t="e">
        <f t="shared" si="15"/>
        <v>#N/A</v>
      </c>
      <c r="AX41" s="412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6">Z42+1</f>
        <v>45884</v>
      </c>
      <c r="AF42" s="395"/>
      <c r="AG42" s="395"/>
      <c r="AH42" s="395"/>
      <c r="AI42" s="396"/>
      <c r="AJ42" s="394">
        <f t="shared" ref="AJ42" si="17">AE42+1</f>
        <v>45885</v>
      </c>
      <c r="AK42" s="395"/>
      <c r="AL42" s="395"/>
      <c r="AM42" s="395"/>
      <c r="AN42" s="396"/>
      <c r="AO42" s="394">
        <f t="shared" ref="AO42" si="18">AJ42+1</f>
        <v>45886</v>
      </c>
      <c r="AP42" s="395"/>
      <c r="AQ42" s="395"/>
      <c r="AR42" s="395"/>
      <c r="AS42" s="396"/>
      <c r="AT42" s="394">
        <f t="shared" ref="AT42" si="19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413" t="s">
        <v>243</v>
      </c>
      <c r="C47" s="105">
        <v>1</v>
      </c>
      <c r="D47" s="228" t="s">
        <v>245</v>
      </c>
      <c r="E47" s="175">
        <v>4</v>
      </c>
      <c r="F47" s="105">
        <v>2000</v>
      </c>
      <c r="G47" s="202">
        <v>500</v>
      </c>
      <c r="H47" s="384">
        <f>AVERAGE(G47:G61)</f>
        <v>283.6489898989899</v>
      </c>
      <c r="I47" s="175">
        <f>AVERAGE(P47,U47,Z47,AE47,AJ47,AO47,AT47)</f>
        <v>4.4285714285714288</v>
      </c>
      <c r="J47" s="175">
        <f>AVERAGE(Q47,V47,AA47,AF47,AK47,AP47,AU47)</f>
        <v>1892.8427686864216</v>
      </c>
      <c r="K47" s="202">
        <f>AVERAGE(R47,W47,AB47,AG47,AL47,AQ47,AV47)</f>
        <v>430.20228881026094</v>
      </c>
      <c r="L47" s="384">
        <f>IFERROR(AVERAGE(K47:K61),"-")</f>
        <v>241.8872928290516</v>
      </c>
      <c r="M47" s="203">
        <f>RANK(K47, K$47:$K$61)</f>
        <v>1</v>
      </c>
      <c r="N47" s="387"/>
      <c r="O47" s="387"/>
      <c r="P47" s="175">
        <v>5</v>
      </c>
      <c r="Q47" s="175">
        <v>2121.1764705882379</v>
      </c>
      <c r="R47" s="175">
        <v>424.23529411764758</v>
      </c>
      <c r="S47" s="105">
        <f>RANK(R47, R$47:R$61)</f>
        <v>1</v>
      </c>
      <c r="T47" s="412">
        <f>AVERAGE(R47:R61)</f>
        <v>236.17215522243919</v>
      </c>
      <c r="U47" s="175">
        <v>5</v>
      </c>
      <c r="V47" s="175">
        <v>2018.8235294117576</v>
      </c>
      <c r="W47" s="175">
        <v>403.76470588235151</v>
      </c>
      <c r="X47" s="105">
        <f>RANK(W47, W$47:W$61)</f>
        <v>2</v>
      </c>
      <c r="Y47" s="412">
        <f>AVERAGE(W47:W61)</f>
        <v>236.86537693874203</v>
      </c>
      <c r="Z47" s="175">
        <v>5</v>
      </c>
      <c r="AA47" s="175">
        <v>1881.1764705882285</v>
      </c>
      <c r="AB47" s="175">
        <v>376.23529411764571</v>
      </c>
      <c r="AC47" s="105">
        <f>RANK(AB47, AB$47:AB$61)</f>
        <v>3</v>
      </c>
      <c r="AD47" s="412">
        <f>AVERAGE(AB47:AB61)</f>
        <v>231.33429509671595</v>
      </c>
      <c r="AE47" s="175">
        <v>4</v>
      </c>
      <c r="AF47" s="175">
        <v>1792.5000000000018</v>
      </c>
      <c r="AG47" s="175">
        <v>448.12500000000045</v>
      </c>
      <c r="AH47" s="105">
        <f>RANK(AG47, AG$47:AG$61)</f>
        <v>2</v>
      </c>
      <c r="AI47" s="412">
        <f>AVERAGE(AG47:AG61)</f>
        <v>248.72772163261203</v>
      </c>
      <c r="AJ47" s="175">
        <v>4</v>
      </c>
      <c r="AK47" s="175">
        <v>1761.1764705882376</v>
      </c>
      <c r="AL47" s="175">
        <v>440.29411764705941</v>
      </c>
      <c r="AM47" s="105">
        <f>RANK(AL47, AL$47:AL$61)</f>
        <v>1</v>
      </c>
      <c r="AN47" s="412">
        <f>AVERAGE(AL47:AL61)</f>
        <v>243.64859620427652</v>
      </c>
      <c r="AO47" s="175">
        <v>4</v>
      </c>
      <c r="AP47" s="175">
        <v>1822.1052631578975</v>
      </c>
      <c r="AQ47" s="175">
        <v>455.52631578947438</v>
      </c>
      <c r="AR47" s="105">
        <f>RANK(AQ47, AQ$47:AQ$61)</f>
        <v>2</v>
      </c>
      <c r="AS47" s="412">
        <f>AVERAGE(AQ47:AQ61)</f>
        <v>248.62372039134999</v>
      </c>
      <c r="AT47" s="175">
        <v>4</v>
      </c>
      <c r="AU47" s="175">
        <v>1852.9411764705906</v>
      </c>
      <c r="AV47" s="175">
        <v>463.23529411764764</v>
      </c>
      <c r="AW47" s="105">
        <f>RANK(AV47, AV$47:AV$61)</f>
        <v>1</v>
      </c>
      <c r="AX47" s="412">
        <f>AVERAGE(AV47:AV61)</f>
        <v>247.83918431722546</v>
      </c>
    </row>
    <row r="48" spans="2:50">
      <c r="B48" s="398"/>
      <c r="C48" s="105">
        <v>2</v>
      </c>
      <c r="D48" s="228" t="s">
        <v>246</v>
      </c>
      <c r="E48" s="175">
        <v>4</v>
      </c>
      <c r="F48" s="105">
        <v>2000</v>
      </c>
      <c r="G48" s="202">
        <v>500</v>
      </c>
      <c r="H48" s="385"/>
      <c r="I48" s="175">
        <f t="shared" ref="I48:K56" si="20">AVERAGE(P48,U48,Z48,AE48,AJ48,AO48,AT48)</f>
        <v>4.4285714285714288</v>
      </c>
      <c r="J48" s="175">
        <f t="shared" si="20"/>
        <v>1830.5112044817909</v>
      </c>
      <c r="K48" s="202">
        <f t="shared" si="20"/>
        <v>416.75385154061581</v>
      </c>
      <c r="L48" s="385"/>
      <c r="M48" s="203">
        <f>RANK(K48, K$47:$K$61)</f>
        <v>3</v>
      </c>
      <c r="N48" s="387"/>
      <c r="O48" s="387"/>
      <c r="P48" s="175">
        <v>5</v>
      </c>
      <c r="Q48" s="175">
        <v>1859.9999999999977</v>
      </c>
      <c r="R48" s="175">
        <v>371.99999999999955</v>
      </c>
      <c r="S48" s="105">
        <f t="shared" ref="S48:S61" si="21">RANK(R48, R$47:R$61)</f>
        <v>3</v>
      </c>
      <c r="T48" s="412"/>
      <c r="U48" s="175">
        <v>5</v>
      </c>
      <c r="V48" s="175">
        <v>1959.9999999999986</v>
      </c>
      <c r="W48" s="175">
        <v>391.99999999999972</v>
      </c>
      <c r="X48" s="105">
        <f t="shared" ref="X48:X61" si="22">RANK(W48, W$47:W$61)</f>
        <v>3</v>
      </c>
      <c r="Y48" s="412"/>
      <c r="Z48" s="175">
        <v>5</v>
      </c>
      <c r="AA48" s="175">
        <v>1902.3529411764682</v>
      </c>
      <c r="AB48" s="175">
        <v>380.47058823529363</v>
      </c>
      <c r="AC48" s="105">
        <f t="shared" ref="AC48:AC61" si="23">RANK(AB48, AB$47:AB$61)</f>
        <v>2</v>
      </c>
      <c r="AD48" s="412"/>
      <c r="AE48" s="175">
        <v>4</v>
      </c>
      <c r="AF48" s="175">
        <v>1799.9999999999977</v>
      </c>
      <c r="AG48" s="175">
        <v>449.99999999999943</v>
      </c>
      <c r="AH48" s="105">
        <f t="shared" ref="AH48:AH61" si="24">RANK(AG48, AG$47:AG$61)</f>
        <v>1</v>
      </c>
      <c r="AI48" s="412"/>
      <c r="AJ48" s="175">
        <v>4</v>
      </c>
      <c r="AK48" s="175">
        <v>1717.4999999999977</v>
      </c>
      <c r="AL48" s="175">
        <v>429.37499999999943</v>
      </c>
      <c r="AM48" s="105">
        <f t="shared" ref="AM48:AM61" si="25">RANK(AL48, AL$47:AL$61)</f>
        <v>2</v>
      </c>
      <c r="AN48" s="412"/>
      <c r="AO48" s="175">
        <v>4</v>
      </c>
      <c r="AP48" s="175">
        <v>1826.6666666666654</v>
      </c>
      <c r="AQ48" s="175">
        <v>456.66666666666634</v>
      </c>
      <c r="AR48" s="105">
        <f t="shared" ref="AR48:AR61" si="26">RANK(AQ48, AQ$47:AQ$61)</f>
        <v>1</v>
      </c>
      <c r="AS48" s="412"/>
      <c r="AT48" s="175">
        <v>4</v>
      </c>
      <c r="AU48" s="175">
        <v>1747.0588235294097</v>
      </c>
      <c r="AV48" s="175">
        <v>436.76470588235242</v>
      </c>
      <c r="AW48" s="105">
        <f t="shared" ref="AW48:AW61" si="27">RANK(AV48, AV$47:AV$61)</f>
        <v>2</v>
      </c>
      <c r="AX48" s="412"/>
    </row>
    <row r="49" spans="2:50">
      <c r="B49" s="398"/>
      <c r="C49" s="105">
        <v>3</v>
      </c>
      <c r="D49" s="228" t="s">
        <v>254</v>
      </c>
      <c r="E49" s="175">
        <v>4</v>
      </c>
      <c r="F49" s="105">
        <v>2000</v>
      </c>
      <c r="G49" s="202">
        <v>500</v>
      </c>
      <c r="H49" s="385"/>
      <c r="I49" s="175">
        <f t="shared" si="20"/>
        <v>5</v>
      </c>
      <c r="J49" s="175">
        <f t="shared" si="20"/>
        <v>2143.0513990368245</v>
      </c>
      <c r="K49" s="202">
        <f t="shared" si="20"/>
        <v>428.61027980736498</v>
      </c>
      <c r="L49" s="385"/>
      <c r="M49" s="203">
        <f>RANK(K49, K$47:$K$61)</f>
        <v>2</v>
      </c>
      <c r="N49" s="387"/>
      <c r="O49" s="387"/>
      <c r="P49" s="175">
        <v>5</v>
      </c>
      <c r="Q49" s="175">
        <v>2086.4999999999991</v>
      </c>
      <c r="R49" s="175">
        <v>417.29999999999984</v>
      </c>
      <c r="S49" s="105">
        <f t="shared" si="21"/>
        <v>2</v>
      </c>
      <c r="T49" s="412"/>
      <c r="U49" s="175">
        <v>5</v>
      </c>
      <c r="V49" s="175">
        <v>2121.923076923078</v>
      </c>
      <c r="W49" s="175">
        <v>424.38461538461559</v>
      </c>
      <c r="X49" s="105">
        <f t="shared" si="22"/>
        <v>1</v>
      </c>
      <c r="Y49" s="412"/>
      <c r="Z49" s="175">
        <v>5</v>
      </c>
      <c r="AA49" s="175">
        <v>2196.4705882352951</v>
      </c>
      <c r="AB49" s="175">
        <v>439.29411764705901</v>
      </c>
      <c r="AC49" s="105">
        <f t="shared" si="23"/>
        <v>1</v>
      </c>
      <c r="AD49" s="412"/>
      <c r="AE49" s="175">
        <v>5</v>
      </c>
      <c r="AF49" s="175">
        <v>2176.9230769230758</v>
      </c>
      <c r="AG49" s="175">
        <v>435.38461538461513</v>
      </c>
      <c r="AH49" s="105">
        <f t="shared" si="24"/>
        <v>3</v>
      </c>
      <c r="AI49" s="412"/>
      <c r="AJ49" s="175">
        <v>5</v>
      </c>
      <c r="AK49" s="175">
        <v>2122.1052631578932</v>
      </c>
      <c r="AL49" s="175">
        <v>424.42105263157862</v>
      </c>
      <c r="AM49" s="105">
        <f t="shared" si="25"/>
        <v>3</v>
      </c>
      <c r="AN49" s="412"/>
      <c r="AO49" s="175">
        <v>5</v>
      </c>
      <c r="AP49" s="175">
        <v>2154.8571428571404</v>
      </c>
      <c r="AQ49" s="175">
        <v>430.97142857142808</v>
      </c>
      <c r="AR49" s="105">
        <f t="shared" si="26"/>
        <v>3</v>
      </c>
      <c r="AS49" s="412"/>
      <c r="AT49" s="175">
        <v>5</v>
      </c>
      <c r="AU49" s="175">
        <v>2142.5806451612921</v>
      </c>
      <c r="AV49" s="175">
        <v>428.51612903225839</v>
      </c>
      <c r="AW49" s="105">
        <f t="shared" si="27"/>
        <v>3</v>
      </c>
      <c r="AX49" s="412"/>
    </row>
    <row r="50" spans="2:50">
      <c r="B50" s="398"/>
      <c r="C50" s="105">
        <v>4</v>
      </c>
      <c r="D50" s="228" t="s">
        <v>247</v>
      </c>
      <c r="E50" s="175">
        <v>12</v>
      </c>
      <c r="F50" s="105">
        <v>2250</v>
      </c>
      <c r="G50" s="202">
        <v>187.5</v>
      </c>
      <c r="H50" s="385"/>
      <c r="I50" s="175">
        <f t="shared" si="20"/>
        <v>12</v>
      </c>
      <c r="J50" s="175">
        <f t="shared" si="20"/>
        <v>1995.8504914990631</v>
      </c>
      <c r="K50" s="202">
        <f t="shared" si="20"/>
        <v>166.32087429158861</v>
      </c>
      <c r="L50" s="385"/>
      <c r="M50" s="203">
        <f>RANK(K50, K$47:$K$61)</f>
        <v>7</v>
      </c>
      <c r="N50" s="387"/>
      <c r="O50" s="387"/>
      <c r="P50" s="175">
        <v>12</v>
      </c>
      <c r="Q50" s="175">
        <v>2007.3529411764705</v>
      </c>
      <c r="R50" s="175">
        <v>167.27941176470588</v>
      </c>
      <c r="S50" s="105">
        <f t="shared" si="21"/>
        <v>8</v>
      </c>
      <c r="T50" s="412"/>
      <c r="U50" s="175">
        <v>12</v>
      </c>
      <c r="V50" s="175">
        <v>2026.086956521739</v>
      </c>
      <c r="W50" s="175">
        <v>168.84057971014491</v>
      </c>
      <c r="X50" s="105">
        <f t="shared" si="22"/>
        <v>7</v>
      </c>
      <c r="Y50" s="412"/>
      <c r="Z50" s="175">
        <v>12</v>
      </c>
      <c r="AA50" s="175">
        <v>1979.0769230769224</v>
      </c>
      <c r="AB50" s="175">
        <v>164.92307692307688</v>
      </c>
      <c r="AC50" s="105">
        <f t="shared" si="23"/>
        <v>6</v>
      </c>
      <c r="AD50" s="412"/>
      <c r="AE50" s="175">
        <v>12</v>
      </c>
      <c r="AF50" s="175">
        <v>2020.0000000000002</v>
      </c>
      <c r="AG50" s="175">
        <v>168.33333333333334</v>
      </c>
      <c r="AH50" s="105">
        <f t="shared" si="24"/>
        <v>8</v>
      </c>
      <c r="AI50" s="412"/>
      <c r="AJ50" s="175">
        <v>12</v>
      </c>
      <c r="AK50" s="175">
        <v>1989.0000000000005</v>
      </c>
      <c r="AL50" s="175">
        <v>165.75000000000003</v>
      </c>
      <c r="AM50" s="105">
        <f t="shared" si="25"/>
        <v>7</v>
      </c>
      <c r="AN50" s="412"/>
      <c r="AO50" s="175">
        <v>12</v>
      </c>
      <c r="AP50" s="175">
        <v>1999.4366197183103</v>
      </c>
      <c r="AQ50" s="175">
        <v>166.61971830985919</v>
      </c>
      <c r="AR50" s="105">
        <f t="shared" si="26"/>
        <v>7</v>
      </c>
      <c r="AS50" s="412"/>
      <c r="AT50" s="175">
        <v>12</v>
      </c>
      <c r="AU50" s="175">
        <v>1950.0000000000005</v>
      </c>
      <c r="AV50" s="175">
        <v>162.50000000000003</v>
      </c>
      <c r="AW50" s="105">
        <f t="shared" si="27"/>
        <v>8</v>
      </c>
      <c r="AX50" s="412"/>
    </row>
    <row r="51" spans="2:50">
      <c r="B51" s="398"/>
      <c r="C51" s="105">
        <v>5</v>
      </c>
      <c r="D51" s="228" t="s">
        <v>248</v>
      </c>
      <c r="E51" s="175">
        <v>12</v>
      </c>
      <c r="F51" s="105">
        <v>2250</v>
      </c>
      <c r="G51" s="202">
        <v>187.5</v>
      </c>
      <c r="H51" s="385"/>
      <c r="I51" s="175">
        <f t="shared" si="20"/>
        <v>12.142857142857142</v>
      </c>
      <c r="J51" s="175">
        <f t="shared" si="20"/>
        <v>1972.8298838765288</v>
      </c>
      <c r="K51" s="202">
        <f t="shared" si="20"/>
        <v>162.64468812524183</v>
      </c>
      <c r="L51" s="385"/>
      <c r="M51" s="203">
        <f>RANK(K51, K$47:$K$61)</f>
        <v>8</v>
      </c>
      <c r="N51" s="387"/>
      <c r="O51" s="387"/>
      <c r="P51" s="175">
        <v>12</v>
      </c>
      <c r="Q51" s="175">
        <v>2028.8372093023252</v>
      </c>
      <c r="R51" s="175">
        <v>169.06976744186042</v>
      </c>
      <c r="S51" s="105">
        <f t="shared" si="21"/>
        <v>7</v>
      </c>
      <c r="T51" s="412"/>
      <c r="U51" s="175">
        <v>13</v>
      </c>
      <c r="V51" s="175">
        <v>1919.5199999999948</v>
      </c>
      <c r="W51" s="175">
        <v>147.65538461538421</v>
      </c>
      <c r="X51" s="105">
        <f t="shared" si="22"/>
        <v>8</v>
      </c>
      <c r="Y51" s="412"/>
      <c r="Z51" s="175">
        <v>12</v>
      </c>
      <c r="AA51" s="175">
        <v>1947.6923076923081</v>
      </c>
      <c r="AB51" s="175">
        <v>162.30769230769235</v>
      </c>
      <c r="AC51" s="105">
        <f t="shared" si="23"/>
        <v>7</v>
      </c>
      <c r="AD51" s="412"/>
      <c r="AE51" s="175">
        <v>12</v>
      </c>
      <c r="AF51" s="175">
        <v>2021.4432989690717</v>
      </c>
      <c r="AG51" s="175">
        <v>168.45360824742264</v>
      </c>
      <c r="AH51" s="105">
        <f t="shared" si="24"/>
        <v>7</v>
      </c>
      <c r="AI51" s="412"/>
      <c r="AJ51" s="175">
        <v>12</v>
      </c>
      <c r="AK51" s="175">
        <v>1941.3861386138612</v>
      </c>
      <c r="AL51" s="175">
        <v>161.78217821782178</v>
      </c>
      <c r="AM51" s="105">
        <f t="shared" si="25"/>
        <v>8</v>
      </c>
      <c r="AN51" s="412"/>
      <c r="AO51" s="175">
        <v>12</v>
      </c>
      <c r="AP51" s="175">
        <v>1949.9999999999991</v>
      </c>
      <c r="AQ51" s="175">
        <v>162.49999999999991</v>
      </c>
      <c r="AR51" s="105">
        <f t="shared" si="26"/>
        <v>8</v>
      </c>
      <c r="AS51" s="412"/>
      <c r="AT51" s="175">
        <v>12</v>
      </c>
      <c r="AU51" s="175">
        <v>2000.9302325581391</v>
      </c>
      <c r="AV51" s="175">
        <v>166.7441860465116</v>
      </c>
      <c r="AW51" s="105">
        <f t="shared" si="27"/>
        <v>7</v>
      </c>
      <c r="AX51" s="412"/>
    </row>
    <row r="52" spans="2:50">
      <c r="B52" s="398"/>
      <c r="C52" s="105">
        <v>6</v>
      </c>
      <c r="D52" s="228" t="s">
        <v>250</v>
      </c>
      <c r="E52" s="175">
        <v>11</v>
      </c>
      <c r="F52" s="105">
        <v>2250</v>
      </c>
      <c r="G52" s="202">
        <v>204.54545454545453</v>
      </c>
      <c r="H52" s="385"/>
      <c r="I52" s="175">
        <f t="shared" si="20"/>
        <v>11.142857142857142</v>
      </c>
      <c r="J52" s="175">
        <f t="shared" si="20"/>
        <v>1973.211488213952</v>
      </c>
      <c r="K52" s="202">
        <f t="shared" si="20"/>
        <v>177.34571970776187</v>
      </c>
      <c r="L52" s="385"/>
      <c r="M52" s="203">
        <f>RANK(K52, K$47:$K$61)</f>
        <v>6</v>
      </c>
      <c r="N52" s="387"/>
      <c r="O52" s="387"/>
      <c r="P52" s="175">
        <v>11</v>
      </c>
      <c r="Q52" s="175">
        <v>2022.9357798165136</v>
      </c>
      <c r="R52" s="175">
        <v>183.90325271059214</v>
      </c>
      <c r="S52" s="105">
        <f t="shared" si="21"/>
        <v>6</v>
      </c>
      <c r="T52" s="412"/>
      <c r="U52" s="175">
        <v>11</v>
      </c>
      <c r="V52" s="175">
        <v>2010</v>
      </c>
      <c r="W52" s="175">
        <v>182.72727272727272</v>
      </c>
      <c r="X52" s="105">
        <f t="shared" si="22"/>
        <v>6</v>
      </c>
      <c r="Y52" s="412"/>
      <c r="Z52" s="175">
        <v>12</v>
      </c>
      <c r="AA52" s="175">
        <v>1882.3199999999945</v>
      </c>
      <c r="AB52" s="175">
        <v>156.85999999999953</v>
      </c>
      <c r="AC52" s="105">
        <f t="shared" si="23"/>
        <v>8</v>
      </c>
      <c r="AD52" s="412"/>
      <c r="AE52" s="175">
        <v>11</v>
      </c>
      <c r="AF52" s="175">
        <v>2015.999999999997</v>
      </c>
      <c r="AG52" s="175">
        <v>183.272727272727</v>
      </c>
      <c r="AH52" s="105">
        <f t="shared" si="24"/>
        <v>5</v>
      </c>
      <c r="AI52" s="412"/>
      <c r="AJ52" s="175">
        <v>11</v>
      </c>
      <c r="AK52" s="175">
        <v>1927.3333333333314</v>
      </c>
      <c r="AL52" s="175">
        <v>175.21212121212105</v>
      </c>
      <c r="AM52" s="105">
        <f t="shared" si="25"/>
        <v>6</v>
      </c>
      <c r="AN52" s="412"/>
      <c r="AO52" s="175">
        <v>11</v>
      </c>
      <c r="AP52" s="175">
        <v>1952.5000000000002</v>
      </c>
      <c r="AQ52" s="175">
        <v>177.50000000000003</v>
      </c>
      <c r="AR52" s="105">
        <f t="shared" si="26"/>
        <v>6</v>
      </c>
      <c r="AS52" s="412"/>
      <c r="AT52" s="175">
        <v>11</v>
      </c>
      <c r="AU52" s="175">
        <v>2001.3913043478262</v>
      </c>
      <c r="AV52" s="175">
        <v>181.94466403162056</v>
      </c>
      <c r="AW52" s="105">
        <f t="shared" si="27"/>
        <v>6</v>
      </c>
      <c r="AX52" s="412"/>
    </row>
    <row r="53" spans="2:50">
      <c r="B53" s="398"/>
      <c r="C53" s="105">
        <v>7</v>
      </c>
      <c r="D53" s="228" t="s">
        <v>251</v>
      </c>
      <c r="E53" s="175">
        <v>12</v>
      </c>
      <c r="F53" s="105">
        <v>2250</v>
      </c>
      <c r="G53" s="202">
        <v>187.5</v>
      </c>
      <c r="H53" s="385"/>
      <c r="I53" s="175">
        <f t="shared" si="20"/>
        <v>12</v>
      </c>
      <c r="J53" s="175">
        <f t="shared" si="20"/>
        <v>1684.1412474402443</v>
      </c>
      <c r="K53" s="202">
        <f t="shared" si="20"/>
        <v>140.34510395335369</v>
      </c>
      <c r="L53" s="385"/>
      <c r="M53" s="203">
        <f>RANK(K53, K$47:$K$61)</f>
        <v>9</v>
      </c>
      <c r="N53" s="387"/>
      <c r="O53" s="387"/>
      <c r="P53" s="175">
        <v>12</v>
      </c>
      <c r="Q53" s="175">
        <v>1630.645161290322</v>
      </c>
      <c r="R53" s="175">
        <v>135.88709677419351</v>
      </c>
      <c r="S53" s="105">
        <f t="shared" si="21"/>
        <v>9</v>
      </c>
      <c r="T53" s="412"/>
      <c r="U53" s="175">
        <v>12</v>
      </c>
      <c r="V53" s="175">
        <v>1726.7796610169482</v>
      </c>
      <c r="W53" s="175">
        <v>143.89830508474569</v>
      </c>
      <c r="X53" s="105">
        <f t="shared" si="22"/>
        <v>9</v>
      </c>
      <c r="Y53" s="412"/>
      <c r="Z53" s="175">
        <v>12</v>
      </c>
      <c r="AA53" s="175">
        <v>1668.4210526315801</v>
      </c>
      <c r="AB53" s="175">
        <v>139.03508771929833</v>
      </c>
      <c r="AC53" s="105">
        <f t="shared" si="23"/>
        <v>9</v>
      </c>
      <c r="AD53" s="412"/>
      <c r="AE53" s="175">
        <v>12</v>
      </c>
      <c r="AF53" s="175">
        <v>1680.0000000000007</v>
      </c>
      <c r="AG53" s="175">
        <v>140.00000000000006</v>
      </c>
      <c r="AH53" s="105">
        <f t="shared" si="24"/>
        <v>9</v>
      </c>
      <c r="AI53" s="412"/>
      <c r="AJ53" s="175">
        <v>12</v>
      </c>
      <c r="AK53" s="175">
        <v>1707.5000000000005</v>
      </c>
      <c r="AL53" s="175">
        <v>142.29166666666671</v>
      </c>
      <c r="AM53" s="105">
        <f t="shared" si="25"/>
        <v>9</v>
      </c>
      <c r="AN53" s="412"/>
      <c r="AO53" s="175">
        <v>12</v>
      </c>
      <c r="AP53" s="175">
        <v>1685.9999999999993</v>
      </c>
      <c r="AQ53" s="175">
        <v>140.49999999999994</v>
      </c>
      <c r="AR53" s="105">
        <f t="shared" si="26"/>
        <v>9</v>
      </c>
      <c r="AS53" s="412"/>
      <c r="AT53" s="175">
        <v>12</v>
      </c>
      <c r="AU53" s="175">
        <v>1689.6428571428582</v>
      </c>
      <c r="AV53" s="175">
        <v>140.80357142857153</v>
      </c>
      <c r="AW53" s="105">
        <f t="shared" si="27"/>
        <v>9</v>
      </c>
      <c r="AX53" s="412"/>
    </row>
    <row r="54" spans="2:50">
      <c r="B54" s="398"/>
      <c r="C54" s="105">
        <v>8</v>
      </c>
      <c r="D54" s="228" t="s">
        <v>252</v>
      </c>
      <c r="E54" s="175">
        <v>9</v>
      </c>
      <c r="F54" s="105">
        <v>2250</v>
      </c>
      <c r="G54" s="202">
        <v>250</v>
      </c>
      <c r="H54" s="385"/>
      <c r="I54" s="175">
        <f t="shared" si="20"/>
        <v>9</v>
      </c>
      <c r="J54" s="175">
        <f t="shared" si="20"/>
        <v>1664.8725658632775</v>
      </c>
      <c r="K54" s="202">
        <f t="shared" si="20"/>
        <v>184.98584065147526</v>
      </c>
      <c r="L54" s="385"/>
      <c r="M54" s="203">
        <f>RANK(K54, K$47:$K$61)</f>
        <v>5</v>
      </c>
      <c r="N54" s="387"/>
      <c r="O54" s="387"/>
      <c r="P54" s="175">
        <v>9</v>
      </c>
      <c r="Q54" s="175">
        <v>1658.918918918921</v>
      </c>
      <c r="R54" s="175">
        <v>184.32432432432455</v>
      </c>
      <c r="S54" s="105">
        <f t="shared" si="21"/>
        <v>5</v>
      </c>
      <c r="T54" s="412"/>
      <c r="U54" s="175">
        <v>9</v>
      </c>
      <c r="V54" s="175">
        <v>1704.9999999999986</v>
      </c>
      <c r="W54" s="175">
        <v>189.44444444444429</v>
      </c>
      <c r="X54" s="105">
        <f t="shared" si="22"/>
        <v>5</v>
      </c>
      <c r="Y54" s="412"/>
      <c r="Z54" s="175">
        <v>9</v>
      </c>
      <c r="AA54" s="175">
        <v>1669.9999999999986</v>
      </c>
      <c r="AB54" s="175">
        <v>185.5555555555554</v>
      </c>
      <c r="AC54" s="105">
        <f t="shared" si="23"/>
        <v>5</v>
      </c>
      <c r="AD54" s="412"/>
      <c r="AE54" s="175">
        <v>9</v>
      </c>
      <c r="AF54" s="175">
        <v>1648.235294117645</v>
      </c>
      <c r="AG54" s="175">
        <v>183.13725490196055</v>
      </c>
      <c r="AH54" s="105">
        <f t="shared" si="24"/>
        <v>6</v>
      </c>
      <c r="AI54" s="412"/>
      <c r="AJ54" s="175">
        <v>9</v>
      </c>
      <c r="AK54" s="175">
        <v>1638.1818181818201</v>
      </c>
      <c r="AL54" s="175">
        <v>182.02020202020222</v>
      </c>
      <c r="AM54" s="105">
        <f t="shared" si="25"/>
        <v>5</v>
      </c>
      <c r="AN54" s="412"/>
      <c r="AO54" s="175">
        <v>9</v>
      </c>
      <c r="AP54" s="175">
        <v>1642.1052631578934</v>
      </c>
      <c r="AQ54" s="175">
        <v>182.45614035087704</v>
      </c>
      <c r="AR54" s="105">
        <f t="shared" si="26"/>
        <v>5</v>
      </c>
      <c r="AS54" s="412"/>
      <c r="AT54" s="175">
        <v>9</v>
      </c>
      <c r="AU54" s="175">
        <v>1691.6666666666654</v>
      </c>
      <c r="AV54" s="175">
        <v>187.96296296296282</v>
      </c>
      <c r="AW54" s="105">
        <f t="shared" si="27"/>
        <v>5</v>
      </c>
      <c r="AX54" s="412"/>
    </row>
    <row r="55" spans="2:50">
      <c r="B55" s="398"/>
      <c r="C55" s="105">
        <v>9</v>
      </c>
      <c r="D55" s="228" t="s">
        <v>253</v>
      </c>
      <c r="E55" s="175">
        <v>9</v>
      </c>
      <c r="F55" s="105">
        <v>2250</v>
      </c>
      <c r="G55" s="202">
        <v>250</v>
      </c>
      <c r="H55" s="385"/>
      <c r="I55" s="175">
        <f t="shared" si="20"/>
        <v>9</v>
      </c>
      <c r="J55" s="175">
        <f t="shared" si="20"/>
        <v>1948.1603360655658</v>
      </c>
      <c r="K55" s="202">
        <f t="shared" si="20"/>
        <v>216.46225956284067</v>
      </c>
      <c r="L55" s="385"/>
      <c r="M55" s="203">
        <f>RANK(K55, K$47:$K$61)</f>
        <v>4</v>
      </c>
      <c r="N55" s="387"/>
      <c r="O55" s="387"/>
      <c r="P55" s="175">
        <v>9</v>
      </c>
      <c r="Q55" s="175">
        <v>1949.0322580645166</v>
      </c>
      <c r="R55" s="175">
        <v>216.5591397849463</v>
      </c>
      <c r="S55" s="105">
        <f t="shared" si="21"/>
        <v>4</v>
      </c>
      <c r="T55" s="412"/>
      <c r="U55" s="175">
        <v>9</v>
      </c>
      <c r="V55" s="175">
        <v>1979.9999999999995</v>
      </c>
      <c r="W55" s="175">
        <v>219.99999999999994</v>
      </c>
      <c r="X55" s="105">
        <f t="shared" si="22"/>
        <v>4</v>
      </c>
      <c r="Y55" s="412"/>
      <c r="Z55" s="175">
        <v>9</v>
      </c>
      <c r="AA55" s="175">
        <v>1935.0000000000014</v>
      </c>
      <c r="AB55" s="175">
        <v>215.00000000000014</v>
      </c>
      <c r="AC55" s="105">
        <f t="shared" si="23"/>
        <v>4</v>
      </c>
      <c r="AD55" s="412"/>
      <c r="AE55" s="175">
        <v>9</v>
      </c>
      <c r="AF55" s="175">
        <v>1925.3846153846164</v>
      </c>
      <c r="AG55" s="175">
        <v>213.93162393162405</v>
      </c>
      <c r="AH55" s="105">
        <f t="shared" si="24"/>
        <v>4</v>
      </c>
      <c r="AI55" s="412"/>
      <c r="AJ55" s="175">
        <v>9</v>
      </c>
      <c r="AK55" s="175">
        <v>1967.0270270270278</v>
      </c>
      <c r="AL55" s="175">
        <v>218.55855855855864</v>
      </c>
      <c r="AM55" s="105">
        <f t="shared" si="25"/>
        <v>4</v>
      </c>
      <c r="AN55" s="412"/>
      <c r="AO55" s="175">
        <v>9</v>
      </c>
      <c r="AP55" s="175">
        <v>1938.2608695652173</v>
      </c>
      <c r="AQ55" s="175">
        <v>215.36231884057969</v>
      </c>
      <c r="AR55" s="105">
        <f t="shared" si="26"/>
        <v>4</v>
      </c>
      <c r="AS55" s="412"/>
      <c r="AT55" s="175">
        <v>9</v>
      </c>
      <c r="AU55" s="175">
        <v>1942.4175824175823</v>
      </c>
      <c r="AV55" s="175">
        <v>215.8241758241758</v>
      </c>
      <c r="AW55" s="105">
        <f t="shared" si="27"/>
        <v>4</v>
      </c>
      <c r="AX55" s="412"/>
    </row>
    <row r="56" spans="2:50">
      <c r="B56" s="398"/>
      <c r="C56" s="105">
        <v>10</v>
      </c>
      <c r="D56" s="228" t="s">
        <v>244</v>
      </c>
      <c r="E56" s="175">
        <v>18</v>
      </c>
      <c r="F56" s="105">
        <v>1250</v>
      </c>
      <c r="G56" s="202">
        <v>69.444444444444443</v>
      </c>
      <c r="H56" s="385"/>
      <c r="I56" s="175">
        <f t="shared" si="20"/>
        <v>13.142857142857142</v>
      </c>
      <c r="J56" s="175">
        <f t="shared" si="20"/>
        <v>1250.6496075353225</v>
      </c>
      <c r="K56" s="202">
        <f t="shared" si="20"/>
        <v>95.202021840012478</v>
      </c>
      <c r="L56" s="385"/>
      <c r="M56" s="203">
        <f>RANK(K56, K$47:$K$61)</f>
        <v>10</v>
      </c>
      <c r="N56" s="387"/>
      <c r="O56" s="387"/>
      <c r="P56" s="175">
        <v>14</v>
      </c>
      <c r="Q56" s="175">
        <v>1276.2857142857149</v>
      </c>
      <c r="R56" s="175">
        <v>91.163265306122497</v>
      </c>
      <c r="S56" s="105">
        <f t="shared" si="21"/>
        <v>10</v>
      </c>
      <c r="T56" s="412"/>
      <c r="U56" s="175">
        <v>13</v>
      </c>
      <c r="V56" s="175">
        <v>1247.2000000000005</v>
      </c>
      <c r="W56" s="175">
        <v>95.938461538461581</v>
      </c>
      <c r="X56" s="105">
        <f t="shared" si="22"/>
        <v>10</v>
      </c>
      <c r="Y56" s="412"/>
      <c r="Z56" s="175">
        <v>13</v>
      </c>
      <c r="AA56" s="175">
        <v>1217.6000000000004</v>
      </c>
      <c r="AB56" s="175">
        <v>93.661538461538484</v>
      </c>
      <c r="AC56" s="105">
        <f t="shared" si="23"/>
        <v>10</v>
      </c>
      <c r="AD56" s="412"/>
      <c r="AE56" s="175">
        <v>13</v>
      </c>
      <c r="AF56" s="175">
        <v>1256.3076923076931</v>
      </c>
      <c r="AG56" s="175">
        <v>96.639053254437925</v>
      </c>
      <c r="AH56" s="105">
        <f t="shared" si="24"/>
        <v>10</v>
      </c>
      <c r="AI56" s="412"/>
      <c r="AJ56" s="175">
        <v>13</v>
      </c>
      <c r="AK56" s="175">
        <v>1258.1538461538469</v>
      </c>
      <c r="AL56" s="175">
        <v>96.781065088757458</v>
      </c>
      <c r="AM56" s="105">
        <f t="shared" si="25"/>
        <v>10</v>
      </c>
      <c r="AN56" s="412"/>
      <c r="AO56" s="175">
        <v>13</v>
      </c>
      <c r="AP56" s="175">
        <v>1275.7500000000007</v>
      </c>
      <c r="AQ56" s="175">
        <v>98.134615384615444</v>
      </c>
      <c r="AR56" s="105">
        <f t="shared" si="26"/>
        <v>10</v>
      </c>
      <c r="AS56" s="412"/>
      <c r="AT56" s="175">
        <v>13</v>
      </c>
      <c r="AU56" s="175">
        <v>1223.2500000000007</v>
      </c>
      <c r="AV56" s="175">
        <v>94.096153846153896</v>
      </c>
      <c r="AW56" s="105">
        <f t="shared" si="27"/>
        <v>10</v>
      </c>
      <c r="AX56" s="412"/>
    </row>
    <row r="57" spans="2:50">
      <c r="B57" s="398"/>
      <c r="C57" s="105">
        <v>11</v>
      </c>
      <c r="D57" s="228"/>
      <c r="E57" s="175"/>
      <c r="F57" s="105"/>
      <c r="G57" s="202"/>
      <c r="H57" s="385"/>
      <c r="I57" s="105"/>
      <c r="J57" s="105"/>
      <c r="K57" s="105"/>
      <c r="L57" s="385"/>
      <c r="M57" s="203" t="e">
        <f>RANK(K57, K$47:$K$61)</f>
        <v>#N/A</v>
      </c>
      <c r="N57" s="387"/>
      <c r="O57" s="387"/>
      <c r="P57" s="175"/>
      <c r="Q57" s="175"/>
      <c r="R57" s="175"/>
      <c r="S57" s="105" t="e">
        <f t="shared" si="21"/>
        <v>#N/A</v>
      </c>
      <c r="T57" s="412"/>
      <c r="U57" s="175"/>
      <c r="V57" s="175"/>
      <c r="W57" s="175"/>
      <c r="X57" s="105" t="e">
        <f t="shared" si="22"/>
        <v>#N/A</v>
      </c>
      <c r="Y57" s="412"/>
      <c r="Z57" s="175"/>
      <c r="AA57" s="175"/>
      <c r="AB57" s="202"/>
      <c r="AC57" s="105" t="e">
        <f t="shared" si="23"/>
        <v>#N/A</v>
      </c>
      <c r="AD57" s="412"/>
      <c r="AE57" s="175"/>
      <c r="AF57" s="175"/>
      <c r="AG57" s="202"/>
      <c r="AH57" s="105" t="e">
        <f t="shared" si="24"/>
        <v>#N/A</v>
      </c>
      <c r="AI57" s="412"/>
      <c r="AJ57" s="175"/>
      <c r="AK57" s="175"/>
      <c r="AL57" s="202"/>
      <c r="AM57" s="105" t="e">
        <f t="shared" si="25"/>
        <v>#N/A</v>
      </c>
      <c r="AN57" s="412"/>
      <c r="AO57" s="175"/>
      <c r="AP57" s="175"/>
      <c r="AQ57" s="202"/>
      <c r="AR57" s="105" t="e">
        <f t="shared" si="26"/>
        <v>#N/A</v>
      </c>
      <c r="AS57" s="412"/>
      <c r="AT57" s="175"/>
      <c r="AU57" s="175"/>
      <c r="AV57" s="202"/>
      <c r="AW57" s="105" t="e">
        <f t="shared" si="27"/>
        <v>#N/A</v>
      </c>
      <c r="AX57" s="412"/>
    </row>
    <row r="58" spans="2:50">
      <c r="B58" s="398"/>
      <c r="C58" s="105">
        <v>12</v>
      </c>
      <c r="D58" s="228"/>
      <c r="E58" s="175"/>
      <c r="F58" s="105"/>
      <c r="G58" s="202"/>
      <c r="H58" s="385"/>
      <c r="I58" s="105"/>
      <c r="J58" s="105"/>
      <c r="K58" s="105"/>
      <c r="L58" s="385"/>
      <c r="M58" s="203" t="e">
        <f>RANK(K58, K$47:$K$61)</f>
        <v>#N/A</v>
      </c>
      <c r="N58" s="387"/>
      <c r="O58" s="387"/>
      <c r="P58" s="175"/>
      <c r="Q58" s="175"/>
      <c r="R58" s="175"/>
      <c r="S58" s="105" t="e">
        <f t="shared" si="21"/>
        <v>#N/A</v>
      </c>
      <c r="T58" s="412"/>
      <c r="U58" s="175"/>
      <c r="V58" s="175"/>
      <c r="W58" s="175"/>
      <c r="X58" s="105" t="e">
        <f t="shared" si="22"/>
        <v>#N/A</v>
      </c>
      <c r="Y58" s="412"/>
      <c r="Z58" s="175"/>
      <c r="AA58" s="175"/>
      <c r="AB58" s="202"/>
      <c r="AC58" s="105" t="e">
        <f t="shared" si="23"/>
        <v>#N/A</v>
      </c>
      <c r="AD58" s="412"/>
      <c r="AE58" s="175"/>
      <c r="AF58" s="175"/>
      <c r="AG58" s="202"/>
      <c r="AH58" s="105" t="e">
        <f t="shared" si="24"/>
        <v>#N/A</v>
      </c>
      <c r="AI58" s="412"/>
      <c r="AJ58" s="175"/>
      <c r="AK58" s="175"/>
      <c r="AL58" s="202"/>
      <c r="AM58" s="105" t="e">
        <f t="shared" si="25"/>
        <v>#N/A</v>
      </c>
      <c r="AN58" s="412"/>
      <c r="AO58" s="175"/>
      <c r="AP58" s="175"/>
      <c r="AQ58" s="202"/>
      <c r="AR58" s="105" t="e">
        <f t="shared" si="26"/>
        <v>#N/A</v>
      </c>
      <c r="AS58" s="412"/>
      <c r="AT58" s="175"/>
      <c r="AU58" s="175"/>
      <c r="AV58" s="202"/>
      <c r="AW58" s="105" t="e">
        <f t="shared" si="27"/>
        <v>#N/A</v>
      </c>
      <c r="AX58" s="412"/>
    </row>
    <row r="59" spans="2:50">
      <c r="B59" s="398"/>
      <c r="C59" s="105">
        <v>13</v>
      </c>
      <c r="D59" s="228"/>
      <c r="E59" s="175"/>
      <c r="F59" s="105"/>
      <c r="G59" s="202"/>
      <c r="H59" s="385"/>
      <c r="I59" s="105"/>
      <c r="J59" s="105"/>
      <c r="K59" s="105"/>
      <c r="L59" s="385"/>
      <c r="M59" s="203" t="e">
        <f>RANK(K59, K$47:$K$61)</f>
        <v>#N/A</v>
      </c>
      <c r="N59" s="387"/>
      <c r="O59" s="387"/>
      <c r="P59" s="175"/>
      <c r="Q59" s="175"/>
      <c r="R59" s="202"/>
      <c r="S59" s="105" t="e">
        <f t="shared" si="21"/>
        <v>#N/A</v>
      </c>
      <c r="T59" s="412"/>
      <c r="U59" s="175"/>
      <c r="V59" s="175"/>
      <c r="W59" s="175"/>
      <c r="X59" s="105" t="e">
        <f t="shared" si="22"/>
        <v>#N/A</v>
      </c>
      <c r="Y59" s="412"/>
      <c r="Z59" s="175"/>
      <c r="AA59" s="175"/>
      <c r="AB59" s="202"/>
      <c r="AC59" s="105" t="e">
        <f t="shared" si="23"/>
        <v>#N/A</v>
      </c>
      <c r="AD59" s="412"/>
      <c r="AE59" s="175"/>
      <c r="AF59" s="175"/>
      <c r="AG59" s="202"/>
      <c r="AH59" s="105" t="e">
        <f t="shared" si="24"/>
        <v>#N/A</v>
      </c>
      <c r="AI59" s="412"/>
      <c r="AJ59" s="175"/>
      <c r="AK59" s="175"/>
      <c r="AL59" s="202"/>
      <c r="AM59" s="105" t="e">
        <f t="shared" si="25"/>
        <v>#N/A</v>
      </c>
      <c r="AN59" s="412"/>
      <c r="AO59" s="175"/>
      <c r="AP59" s="175"/>
      <c r="AQ59" s="202"/>
      <c r="AR59" s="105" t="e">
        <f t="shared" si="26"/>
        <v>#N/A</v>
      </c>
      <c r="AS59" s="412"/>
      <c r="AT59" s="175"/>
      <c r="AU59" s="175"/>
      <c r="AV59" s="202"/>
      <c r="AW59" s="105" t="e">
        <f t="shared" si="27"/>
        <v>#N/A</v>
      </c>
      <c r="AX59" s="412"/>
    </row>
    <row r="60" spans="2:50">
      <c r="B60" s="398"/>
      <c r="C60" s="105">
        <v>14</v>
      </c>
      <c r="D60" s="228"/>
      <c r="E60" s="175"/>
      <c r="F60" s="105"/>
      <c r="G60" s="202"/>
      <c r="H60" s="385"/>
      <c r="I60" s="105"/>
      <c r="J60" s="105"/>
      <c r="K60" s="105"/>
      <c r="L60" s="385"/>
      <c r="M60" s="203" t="e">
        <f>RANK(K60, K$47:$K$61)</f>
        <v>#N/A</v>
      </c>
      <c r="N60" s="387"/>
      <c r="O60" s="387"/>
      <c r="P60" s="175"/>
      <c r="Q60" s="175"/>
      <c r="R60" s="202"/>
      <c r="S60" s="105" t="e">
        <f t="shared" si="21"/>
        <v>#N/A</v>
      </c>
      <c r="T60" s="412"/>
      <c r="U60" s="175"/>
      <c r="V60" s="175"/>
      <c r="W60" s="175"/>
      <c r="X60" s="105" t="e">
        <f t="shared" si="22"/>
        <v>#N/A</v>
      </c>
      <c r="Y60" s="412"/>
      <c r="Z60" s="175"/>
      <c r="AA60" s="175"/>
      <c r="AB60" s="202"/>
      <c r="AC60" s="105" t="e">
        <f t="shared" si="23"/>
        <v>#N/A</v>
      </c>
      <c r="AD60" s="412"/>
      <c r="AE60" s="175"/>
      <c r="AF60" s="175"/>
      <c r="AG60" s="202"/>
      <c r="AH60" s="105" t="e">
        <f t="shared" si="24"/>
        <v>#N/A</v>
      </c>
      <c r="AI60" s="412"/>
      <c r="AJ60" s="175"/>
      <c r="AK60" s="175"/>
      <c r="AL60" s="202"/>
      <c r="AM60" s="105" t="e">
        <f t="shared" si="25"/>
        <v>#N/A</v>
      </c>
      <c r="AN60" s="412"/>
      <c r="AO60" s="175"/>
      <c r="AP60" s="175"/>
      <c r="AQ60" s="202"/>
      <c r="AR60" s="105" t="e">
        <f t="shared" si="26"/>
        <v>#N/A</v>
      </c>
      <c r="AS60" s="412"/>
      <c r="AT60" s="175"/>
      <c r="AU60" s="175"/>
      <c r="AV60" s="202"/>
      <c r="AW60" s="105" t="e">
        <f t="shared" si="27"/>
        <v>#N/A</v>
      </c>
      <c r="AX60" s="412"/>
    </row>
    <row r="61" spans="2:50">
      <c r="B61" s="398"/>
      <c r="C61" s="105">
        <v>15</v>
      </c>
      <c r="D61" s="228"/>
      <c r="E61" s="175"/>
      <c r="F61" s="105"/>
      <c r="G61" s="202"/>
      <c r="H61" s="386"/>
      <c r="I61" s="105"/>
      <c r="J61" s="105"/>
      <c r="K61" s="105"/>
      <c r="L61" s="386"/>
      <c r="M61" s="175" t="e">
        <f>RANK(K61, K$47:$K$61)</f>
        <v>#N/A</v>
      </c>
      <c r="N61" s="387"/>
      <c r="O61" s="387"/>
      <c r="P61" s="175"/>
      <c r="Q61" s="175"/>
      <c r="R61" s="202"/>
      <c r="S61" s="105" t="e">
        <f t="shared" si="21"/>
        <v>#N/A</v>
      </c>
      <c r="T61" s="412"/>
      <c r="U61" s="175"/>
      <c r="V61" s="175"/>
      <c r="W61" s="175"/>
      <c r="X61" s="105" t="e">
        <f t="shared" si="22"/>
        <v>#N/A</v>
      </c>
      <c r="Y61" s="412"/>
      <c r="Z61" s="175"/>
      <c r="AA61" s="175"/>
      <c r="AB61" s="202"/>
      <c r="AC61" s="105" t="e">
        <f t="shared" si="23"/>
        <v>#N/A</v>
      </c>
      <c r="AD61" s="412"/>
      <c r="AE61" s="175"/>
      <c r="AF61" s="175"/>
      <c r="AG61" s="202"/>
      <c r="AH61" s="105" t="e">
        <f t="shared" si="24"/>
        <v>#N/A</v>
      </c>
      <c r="AI61" s="412"/>
      <c r="AJ61" s="175"/>
      <c r="AK61" s="175"/>
      <c r="AL61" s="202"/>
      <c r="AM61" s="105" t="e">
        <f t="shared" si="25"/>
        <v>#N/A</v>
      </c>
      <c r="AN61" s="412"/>
      <c r="AO61" s="175"/>
      <c r="AP61" s="175"/>
      <c r="AQ61" s="202"/>
      <c r="AR61" s="105" t="e">
        <f t="shared" si="26"/>
        <v>#N/A</v>
      </c>
      <c r="AS61" s="412"/>
      <c r="AT61" s="175"/>
      <c r="AU61" s="175"/>
      <c r="AV61" s="202"/>
      <c r="AW61" s="105" t="e">
        <f t="shared" si="27"/>
        <v>#N/A</v>
      </c>
      <c r="AX61" s="412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28">Z62+1</f>
        <v>45891</v>
      </c>
      <c r="AF62" s="395"/>
      <c r="AG62" s="395"/>
      <c r="AH62" s="395"/>
      <c r="AI62" s="396"/>
      <c r="AJ62" s="394">
        <f t="shared" ref="AJ62" si="29">AE62+1</f>
        <v>45892</v>
      </c>
      <c r="AK62" s="395"/>
      <c r="AL62" s="395"/>
      <c r="AM62" s="395"/>
      <c r="AN62" s="396"/>
      <c r="AO62" s="394">
        <f t="shared" ref="AO62" si="30">AJ62+1</f>
        <v>45893</v>
      </c>
      <c r="AP62" s="395"/>
      <c r="AQ62" s="395"/>
      <c r="AR62" s="395"/>
      <c r="AS62" s="396"/>
      <c r="AT62" s="394">
        <f t="shared" ref="AT62" si="31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413" t="s">
        <v>243</v>
      </c>
      <c r="C67" s="105">
        <v>1</v>
      </c>
      <c r="D67" s="228" t="s">
        <v>245</v>
      </c>
      <c r="E67" s="175">
        <v>4</v>
      </c>
      <c r="F67" s="105">
        <v>2000</v>
      </c>
      <c r="G67" s="202">
        <v>500</v>
      </c>
      <c r="H67" s="384">
        <f>AVERAGE(G67:G81)</f>
        <v>283.6489898989899</v>
      </c>
      <c r="I67" s="175">
        <f>AVERAGE(P67,U67,Z67,AE67,AJ67,AO67,AT67)</f>
        <v>5</v>
      </c>
      <c r="J67" s="175">
        <f>AVERAGE(Q67,V67,AA67,AF67,AK67,AP67,AU67)</f>
        <v>1976.7563025210093</v>
      </c>
      <c r="K67" s="202">
        <f>AVERAGE(R67,W67,AB67,AG67,AL67,AQ67,AV67)</f>
        <v>395.35126050420183</v>
      </c>
      <c r="L67" s="384">
        <f>IFERROR(AVERAGE(K67:K81),"-")</f>
        <v>241.43435135129585</v>
      </c>
      <c r="M67" s="203">
        <f>RANK(K67, K$67:$K$81)</f>
        <v>3</v>
      </c>
      <c r="N67" s="387"/>
      <c r="O67" s="387"/>
      <c r="P67" s="175">
        <v>5</v>
      </c>
      <c r="Q67" s="175">
        <v>2117.647058823532</v>
      </c>
      <c r="R67" s="175">
        <v>423.52941176470642</v>
      </c>
      <c r="S67" s="105">
        <f>RANK(R67, R$67:R$81)</f>
        <v>2</v>
      </c>
      <c r="T67" s="412">
        <f>AVERAGE(R67:R81)</f>
        <v>244.65926148928429</v>
      </c>
      <c r="U67" s="175">
        <v>5</v>
      </c>
      <c r="V67" s="175">
        <v>2216.4705882352969</v>
      </c>
      <c r="W67" s="175">
        <v>443.29411764705935</v>
      </c>
      <c r="X67" s="105">
        <f>RANK(W67, W$67:W$81)</f>
        <v>3</v>
      </c>
      <c r="Y67" s="412">
        <f>AVERAGE(W67:W81)</f>
        <v>253.06298418246237</v>
      </c>
      <c r="Z67" s="175">
        <v>5</v>
      </c>
      <c r="AA67" s="175">
        <v>1859.9999999999984</v>
      </c>
      <c r="AB67" s="175">
        <v>371.99999999999966</v>
      </c>
      <c r="AC67" s="105">
        <f>RANK(AB67, AB$67:AB$81)</f>
        <v>3</v>
      </c>
      <c r="AD67" s="412">
        <f>AVERAGE(AB67:AB81)</f>
        <v>238.61837660952847</v>
      </c>
      <c r="AE67" s="175">
        <v>5</v>
      </c>
      <c r="AF67" s="175">
        <v>1950.0000000000014</v>
      </c>
      <c r="AG67" s="175">
        <v>390.00000000000028</v>
      </c>
      <c r="AH67" s="105">
        <f>RANK(AG67, AG$67:AG$81)</f>
        <v>3</v>
      </c>
      <c r="AI67" s="412">
        <f>AVERAGE(AG67:AG81)</f>
        <v>242.9599207086153</v>
      </c>
      <c r="AJ67" s="175">
        <v>5</v>
      </c>
      <c r="AK67" s="175">
        <v>1920.0000000000014</v>
      </c>
      <c r="AL67" s="175">
        <v>384.00000000000028</v>
      </c>
      <c r="AM67" s="105">
        <f>RANK(AL67, AL$67:AL$81)</f>
        <v>3</v>
      </c>
      <c r="AN67" s="412">
        <f>AVERAGE(AL67:AL81)</f>
        <v>239.83346355522085</v>
      </c>
      <c r="AO67" s="175">
        <v>5</v>
      </c>
      <c r="AP67" s="175">
        <v>1881.1764705882376</v>
      </c>
      <c r="AQ67" s="175">
        <v>376.23529411764753</v>
      </c>
      <c r="AR67" s="105">
        <f>RANK(AQ67, AQ$67:AQ$81)</f>
        <v>3</v>
      </c>
      <c r="AS67" s="412">
        <f>AVERAGE(AQ67:AQ81)</f>
        <v>235.89118520074402</v>
      </c>
      <c r="AT67" s="175">
        <v>5</v>
      </c>
      <c r="AU67" s="175">
        <v>1891.9999999999966</v>
      </c>
      <c r="AV67" s="175">
        <v>378.3999999999993</v>
      </c>
      <c r="AW67" s="105">
        <f>RANK(AV67, AV$67:AV$81)</f>
        <v>3</v>
      </c>
      <c r="AX67" s="412">
        <f>AVERAGE(AV67:AV81)</f>
        <v>235.01526771321556</v>
      </c>
    </row>
    <row r="68" spans="2:50">
      <c r="B68" s="398"/>
      <c r="C68" s="105">
        <v>2</v>
      </c>
      <c r="D68" s="228" t="s">
        <v>246</v>
      </c>
      <c r="E68" s="175">
        <v>4</v>
      </c>
      <c r="F68" s="105">
        <v>2000</v>
      </c>
      <c r="G68" s="202">
        <v>500</v>
      </c>
      <c r="H68" s="385"/>
      <c r="I68" s="175">
        <f t="shared" ref="I68:K76" si="32">AVERAGE(P68,U68,Z68,AE68,AJ68,AO68,AT68)</f>
        <v>5</v>
      </c>
      <c r="J68" s="175">
        <f t="shared" si="32"/>
        <v>2125.2976729153165</v>
      </c>
      <c r="K68" s="202">
        <f t="shared" si="32"/>
        <v>425.05953458306323</v>
      </c>
      <c r="L68" s="385"/>
      <c r="M68" s="203">
        <f>RANK(K68, K$67:$K$81)</f>
        <v>2</v>
      </c>
      <c r="N68" s="387"/>
      <c r="O68" s="387"/>
      <c r="P68" s="175">
        <v>5</v>
      </c>
      <c r="Q68" s="175">
        <v>2057.647058823527</v>
      </c>
      <c r="R68" s="175">
        <v>411.5294117647054</v>
      </c>
      <c r="S68" s="105">
        <f t="shared" ref="S68:S81" si="33">RANK(R68, R$67:R$81)</f>
        <v>3</v>
      </c>
      <c r="T68" s="412"/>
      <c r="U68" s="175">
        <v>5</v>
      </c>
      <c r="V68" s="175">
        <v>2403.9999999999959</v>
      </c>
      <c r="W68" s="175">
        <v>480.79999999999916</v>
      </c>
      <c r="X68" s="105">
        <f t="shared" ref="X68:X81" si="34">RANK(W68, W$67:W$81)</f>
        <v>1</v>
      </c>
      <c r="Y68" s="412"/>
      <c r="Z68" s="175">
        <v>5</v>
      </c>
      <c r="AA68" s="175">
        <v>2064.7058823529387</v>
      </c>
      <c r="AB68" s="175">
        <v>412.94117647058772</v>
      </c>
      <c r="AC68" s="105">
        <f t="shared" ref="AC68:AC81" si="35">RANK(AB68, AB$67:AB$81)</f>
        <v>2</v>
      </c>
      <c r="AD68" s="412"/>
      <c r="AE68" s="175">
        <v>5</v>
      </c>
      <c r="AF68" s="175">
        <v>2136.9230769230712</v>
      </c>
      <c r="AG68" s="175">
        <v>427.38461538461422</v>
      </c>
      <c r="AH68" s="105">
        <f t="shared" ref="AH68:AH81" si="36">RANK(AG68, AG$67:AG$81)</f>
        <v>2</v>
      </c>
      <c r="AI68" s="412"/>
      <c r="AJ68" s="175">
        <v>5</v>
      </c>
      <c r="AK68" s="175">
        <v>2132.3076923076869</v>
      </c>
      <c r="AL68" s="175">
        <v>426.46153846153737</v>
      </c>
      <c r="AM68" s="105">
        <f t="shared" ref="AM68:AM81" si="37">RANK(AL68, AL$67:AL$81)</f>
        <v>2</v>
      </c>
      <c r="AN68" s="412"/>
      <c r="AO68" s="175">
        <v>5</v>
      </c>
      <c r="AP68" s="175">
        <v>2017.4999999999975</v>
      </c>
      <c r="AQ68" s="175">
        <v>403.49999999999949</v>
      </c>
      <c r="AR68" s="105">
        <f t="shared" ref="AR68:AR81" si="38">RANK(AQ68, AQ$67:AQ$81)</f>
        <v>2</v>
      </c>
      <c r="AS68" s="412"/>
      <c r="AT68" s="175">
        <v>5</v>
      </c>
      <c r="AU68" s="175">
        <v>2063.9999999999964</v>
      </c>
      <c r="AV68" s="175">
        <v>412.79999999999927</v>
      </c>
      <c r="AW68" s="105">
        <f t="shared" ref="AW68:AW81" si="39">RANK(AV68, AV$67:AV$81)</f>
        <v>2</v>
      </c>
      <c r="AX68" s="412"/>
    </row>
    <row r="69" spans="2:50">
      <c r="B69" s="398"/>
      <c r="C69" s="105">
        <v>3</v>
      </c>
      <c r="D69" s="228" t="s">
        <v>254</v>
      </c>
      <c r="E69" s="175">
        <v>4</v>
      </c>
      <c r="F69" s="105">
        <v>2000</v>
      </c>
      <c r="G69" s="202">
        <v>500</v>
      </c>
      <c r="H69" s="385"/>
      <c r="I69" s="175">
        <f t="shared" si="32"/>
        <v>5</v>
      </c>
      <c r="J69" s="175">
        <f t="shared" si="32"/>
        <v>2182.811467206629</v>
      </c>
      <c r="K69" s="202">
        <f t="shared" si="32"/>
        <v>436.56229344132589</v>
      </c>
      <c r="L69" s="385"/>
      <c r="M69" s="203">
        <f>RANK(K69, K$67:$K$81)</f>
        <v>1</v>
      </c>
      <c r="N69" s="387"/>
      <c r="O69" s="387"/>
      <c r="P69" s="175">
        <v>5</v>
      </c>
      <c r="Q69" s="175">
        <v>2204.4444444444457</v>
      </c>
      <c r="R69" s="175">
        <v>440.88888888888914</v>
      </c>
      <c r="S69" s="105">
        <f t="shared" si="33"/>
        <v>1</v>
      </c>
      <c r="T69" s="412"/>
      <c r="U69" s="175">
        <v>5</v>
      </c>
      <c r="V69" s="175">
        <v>2220.0000000000023</v>
      </c>
      <c r="W69" s="175">
        <v>444.00000000000045</v>
      </c>
      <c r="X69" s="105">
        <f t="shared" si="34"/>
        <v>2</v>
      </c>
      <c r="Y69" s="412"/>
      <c r="Z69" s="175">
        <v>5</v>
      </c>
      <c r="AA69" s="175">
        <v>2223.7500000000027</v>
      </c>
      <c r="AB69" s="175">
        <v>444.75000000000057</v>
      </c>
      <c r="AC69" s="105">
        <f t="shared" si="35"/>
        <v>1</v>
      </c>
      <c r="AD69" s="412"/>
      <c r="AE69" s="175">
        <v>5</v>
      </c>
      <c r="AF69" s="175">
        <v>2204.5161290322603</v>
      </c>
      <c r="AG69" s="175">
        <v>440.90322580645204</v>
      </c>
      <c r="AH69" s="105">
        <f t="shared" si="36"/>
        <v>1</v>
      </c>
      <c r="AI69" s="412"/>
      <c r="AJ69" s="175">
        <v>5</v>
      </c>
      <c r="AK69" s="175">
        <v>2160.0000000000023</v>
      </c>
      <c r="AL69" s="175">
        <v>432.00000000000045</v>
      </c>
      <c r="AM69" s="105">
        <f t="shared" si="37"/>
        <v>1</v>
      </c>
      <c r="AN69" s="412"/>
      <c r="AO69" s="175">
        <v>5</v>
      </c>
      <c r="AP69" s="175">
        <v>2143.3333333333317</v>
      </c>
      <c r="AQ69" s="175">
        <v>428.66666666666634</v>
      </c>
      <c r="AR69" s="105">
        <f t="shared" si="38"/>
        <v>1</v>
      </c>
      <c r="AS69" s="412"/>
      <c r="AT69" s="175">
        <v>5</v>
      </c>
      <c r="AU69" s="175">
        <v>2123.6363636363608</v>
      </c>
      <c r="AV69" s="175">
        <v>424.72727272727218</v>
      </c>
      <c r="AW69" s="105">
        <f t="shared" si="39"/>
        <v>1</v>
      </c>
      <c r="AX69" s="412"/>
    </row>
    <row r="70" spans="2:50">
      <c r="B70" s="398"/>
      <c r="C70" s="105">
        <v>4</v>
      </c>
      <c r="D70" s="228" t="s">
        <v>247</v>
      </c>
      <c r="E70" s="175">
        <v>12</v>
      </c>
      <c r="F70" s="105">
        <v>2250</v>
      </c>
      <c r="G70" s="202">
        <v>187.5</v>
      </c>
      <c r="H70" s="385"/>
      <c r="I70" s="175">
        <f t="shared" si="32"/>
        <v>12</v>
      </c>
      <c r="J70" s="175">
        <f t="shared" si="32"/>
        <v>1998.2886189870881</v>
      </c>
      <c r="K70" s="202">
        <f t="shared" si="32"/>
        <v>166.52405158225733</v>
      </c>
      <c r="L70" s="385"/>
      <c r="M70" s="203">
        <f>RANK(K70, K$67:$K$81)</f>
        <v>7</v>
      </c>
      <c r="N70" s="387"/>
      <c r="O70" s="387"/>
      <c r="P70" s="175">
        <v>12</v>
      </c>
      <c r="Q70" s="175">
        <v>1973.6363636363635</v>
      </c>
      <c r="R70" s="175">
        <v>164.46969696969697</v>
      </c>
      <c r="S70" s="105">
        <f t="shared" si="33"/>
        <v>8</v>
      </c>
      <c r="T70" s="412"/>
      <c r="U70" s="175">
        <v>12</v>
      </c>
      <c r="V70" s="175">
        <v>2015.4545454545455</v>
      </c>
      <c r="W70" s="175">
        <v>167.95454545454547</v>
      </c>
      <c r="X70" s="105">
        <f t="shared" si="34"/>
        <v>7</v>
      </c>
      <c r="Y70" s="412"/>
      <c r="Z70" s="175">
        <v>12</v>
      </c>
      <c r="AA70" s="175">
        <v>2023.2786885245905</v>
      </c>
      <c r="AB70" s="175">
        <v>168.6065573770492</v>
      </c>
      <c r="AC70" s="105">
        <f t="shared" si="35"/>
        <v>7</v>
      </c>
      <c r="AD70" s="412"/>
      <c r="AE70" s="175">
        <v>12</v>
      </c>
      <c r="AF70" s="175">
        <v>2019.9999999999998</v>
      </c>
      <c r="AG70" s="175">
        <v>168.33333333333331</v>
      </c>
      <c r="AH70" s="105">
        <f t="shared" si="36"/>
        <v>7</v>
      </c>
      <c r="AI70" s="412"/>
      <c r="AJ70" s="175">
        <v>12</v>
      </c>
      <c r="AK70" s="175">
        <v>1956.0000000000005</v>
      </c>
      <c r="AL70" s="175">
        <v>163.00000000000003</v>
      </c>
      <c r="AM70" s="105">
        <f t="shared" si="37"/>
        <v>8</v>
      </c>
      <c r="AN70" s="412"/>
      <c r="AO70" s="175">
        <v>12</v>
      </c>
      <c r="AP70" s="175">
        <v>2005.5882352941178</v>
      </c>
      <c r="AQ70" s="175">
        <v>167.13235294117649</v>
      </c>
      <c r="AR70" s="105">
        <f t="shared" si="38"/>
        <v>7</v>
      </c>
      <c r="AS70" s="412"/>
      <c r="AT70" s="175">
        <v>12</v>
      </c>
      <c r="AU70" s="175">
        <v>1994.0624999999995</v>
      </c>
      <c r="AV70" s="175">
        <v>166.17187499999997</v>
      </c>
      <c r="AW70" s="105">
        <f t="shared" si="39"/>
        <v>7</v>
      </c>
      <c r="AX70" s="412"/>
    </row>
    <row r="71" spans="2:50">
      <c r="B71" s="398"/>
      <c r="C71" s="105">
        <v>5</v>
      </c>
      <c r="D71" s="228" t="s">
        <v>248</v>
      </c>
      <c r="E71" s="175">
        <v>12</v>
      </c>
      <c r="F71" s="105">
        <v>2250</v>
      </c>
      <c r="G71" s="202">
        <v>187.5</v>
      </c>
      <c r="H71" s="385"/>
      <c r="I71" s="175">
        <f t="shared" si="32"/>
        <v>12</v>
      </c>
      <c r="J71" s="175">
        <f t="shared" si="32"/>
        <v>1998.150797846456</v>
      </c>
      <c r="K71" s="202">
        <f t="shared" si="32"/>
        <v>166.51256648720465</v>
      </c>
      <c r="L71" s="385"/>
      <c r="M71" s="203">
        <f>RANK(K71, K$67:$K$81)</f>
        <v>8</v>
      </c>
      <c r="N71" s="387"/>
      <c r="O71" s="387"/>
      <c r="P71" s="175">
        <v>12</v>
      </c>
      <c r="Q71" s="175">
        <v>2032.6829268292686</v>
      </c>
      <c r="R71" s="175">
        <v>169.39024390243904</v>
      </c>
      <c r="S71" s="105">
        <f t="shared" si="33"/>
        <v>7</v>
      </c>
      <c r="T71" s="412"/>
      <c r="U71" s="175">
        <v>12</v>
      </c>
      <c r="V71" s="175">
        <v>1997.435897435897</v>
      </c>
      <c r="W71" s="175">
        <v>166.45299145299143</v>
      </c>
      <c r="X71" s="105">
        <f t="shared" si="34"/>
        <v>8</v>
      </c>
      <c r="Y71" s="412"/>
      <c r="Z71" s="175">
        <v>12</v>
      </c>
      <c r="AA71" s="175">
        <v>1962.5454545454543</v>
      </c>
      <c r="AB71" s="175">
        <v>163.54545454545453</v>
      </c>
      <c r="AC71" s="105">
        <f t="shared" si="35"/>
        <v>8</v>
      </c>
      <c r="AD71" s="412"/>
      <c r="AE71" s="175">
        <v>12</v>
      </c>
      <c r="AF71" s="175">
        <v>2012.0454545454545</v>
      </c>
      <c r="AG71" s="175">
        <v>167.67045454545453</v>
      </c>
      <c r="AH71" s="105">
        <f t="shared" si="36"/>
        <v>8</v>
      </c>
      <c r="AI71" s="412"/>
      <c r="AJ71" s="175">
        <v>12</v>
      </c>
      <c r="AK71" s="175">
        <v>1997.872340425532</v>
      </c>
      <c r="AL71" s="175">
        <v>166.48936170212767</v>
      </c>
      <c r="AM71" s="105">
        <f t="shared" si="37"/>
        <v>7</v>
      </c>
      <c r="AN71" s="412"/>
      <c r="AO71" s="175">
        <v>12</v>
      </c>
      <c r="AP71" s="175">
        <v>1966.3865546218485</v>
      </c>
      <c r="AQ71" s="175">
        <v>163.86554621848737</v>
      </c>
      <c r="AR71" s="105">
        <f t="shared" si="38"/>
        <v>8</v>
      </c>
      <c r="AS71" s="412"/>
      <c r="AT71" s="175">
        <v>12</v>
      </c>
      <c r="AU71" s="175">
        <v>2018.0869565217386</v>
      </c>
      <c r="AV71" s="175">
        <v>168.17391304347822</v>
      </c>
      <c r="AW71" s="105">
        <f t="shared" si="39"/>
        <v>6</v>
      </c>
      <c r="AX71" s="412"/>
    </row>
    <row r="72" spans="2:50">
      <c r="B72" s="398"/>
      <c r="C72" s="105">
        <v>6</v>
      </c>
      <c r="D72" s="228" t="s">
        <v>250</v>
      </c>
      <c r="E72" s="175">
        <v>11</v>
      </c>
      <c r="F72" s="105">
        <v>2250</v>
      </c>
      <c r="G72" s="202">
        <v>204.54545454545453</v>
      </c>
      <c r="H72" s="385"/>
      <c r="I72" s="175">
        <f t="shared" si="32"/>
        <v>11</v>
      </c>
      <c r="J72" s="175">
        <f t="shared" si="32"/>
        <v>1996.6577872885414</v>
      </c>
      <c r="K72" s="202">
        <f t="shared" si="32"/>
        <v>181.51434429895829</v>
      </c>
      <c r="L72" s="385"/>
      <c r="M72" s="203">
        <f>RANK(K72, K$67:$K$81)</f>
        <v>6</v>
      </c>
      <c r="N72" s="387"/>
      <c r="O72" s="387"/>
      <c r="P72" s="175">
        <v>11</v>
      </c>
      <c r="Q72" s="175">
        <v>1957.2972972972973</v>
      </c>
      <c r="R72" s="175">
        <v>177.93611793611794</v>
      </c>
      <c r="S72" s="105">
        <f t="shared" si="33"/>
        <v>6</v>
      </c>
      <c r="T72" s="412"/>
      <c r="U72" s="175">
        <v>11</v>
      </c>
      <c r="V72" s="175">
        <v>1992.110091743119</v>
      </c>
      <c r="W72" s="175">
        <v>181.10091743119264</v>
      </c>
      <c r="X72" s="105">
        <f t="shared" si="34"/>
        <v>6</v>
      </c>
      <c r="Y72" s="412"/>
      <c r="Z72" s="175">
        <v>11</v>
      </c>
      <c r="AA72" s="175">
        <v>2028.7500000000005</v>
      </c>
      <c r="AB72" s="175">
        <v>184.43181818181822</v>
      </c>
      <c r="AC72" s="105">
        <f t="shared" si="35"/>
        <v>5</v>
      </c>
      <c r="AD72" s="412"/>
      <c r="AE72" s="175">
        <v>11</v>
      </c>
      <c r="AF72" s="175">
        <v>2010.6976744186045</v>
      </c>
      <c r="AG72" s="175">
        <v>182.7906976744186</v>
      </c>
      <c r="AH72" s="105">
        <f t="shared" si="36"/>
        <v>6</v>
      </c>
      <c r="AI72" s="412"/>
      <c r="AJ72" s="175">
        <v>11</v>
      </c>
      <c r="AK72" s="175">
        <v>1993.3333333333333</v>
      </c>
      <c r="AL72" s="175">
        <v>181.21212121212122</v>
      </c>
      <c r="AM72" s="105">
        <f t="shared" si="37"/>
        <v>6</v>
      </c>
      <c r="AN72" s="412"/>
      <c r="AO72" s="175">
        <v>11</v>
      </c>
      <c r="AP72" s="175">
        <v>1958.3783783783783</v>
      </c>
      <c r="AQ72" s="175">
        <v>178.03439803439804</v>
      </c>
      <c r="AR72" s="105">
        <f t="shared" si="38"/>
        <v>6</v>
      </c>
      <c r="AS72" s="412"/>
      <c r="AT72" s="175">
        <v>11</v>
      </c>
      <c r="AU72" s="175">
        <v>2036.0377358490562</v>
      </c>
      <c r="AV72" s="175">
        <v>185.09433962264146</v>
      </c>
      <c r="AW72" s="105">
        <f t="shared" si="39"/>
        <v>5</v>
      </c>
      <c r="AX72" s="412"/>
    </row>
    <row r="73" spans="2:50">
      <c r="B73" s="398"/>
      <c r="C73" s="105">
        <v>7</v>
      </c>
      <c r="D73" s="228" t="s">
        <v>251</v>
      </c>
      <c r="E73" s="175">
        <v>12</v>
      </c>
      <c r="F73" s="105">
        <v>2250</v>
      </c>
      <c r="G73" s="202">
        <v>187.5</v>
      </c>
      <c r="H73" s="385"/>
      <c r="I73" s="175">
        <f t="shared" si="32"/>
        <v>12</v>
      </c>
      <c r="J73" s="175">
        <f t="shared" si="32"/>
        <v>1683.5242213340357</v>
      </c>
      <c r="K73" s="202">
        <f t="shared" si="32"/>
        <v>140.29368511116962</v>
      </c>
      <c r="L73" s="385"/>
      <c r="M73" s="203">
        <f>RANK(K73, K$67:$K$81)</f>
        <v>9</v>
      </c>
      <c r="N73" s="387"/>
      <c r="O73" s="387"/>
      <c r="P73" s="175">
        <v>12</v>
      </c>
      <c r="Q73" s="175">
        <v>1735.8620689655161</v>
      </c>
      <c r="R73" s="175">
        <v>144.655172413793</v>
      </c>
      <c r="S73" s="105">
        <f t="shared" si="33"/>
        <v>9</v>
      </c>
      <c r="T73" s="412"/>
      <c r="U73" s="175">
        <v>12</v>
      </c>
      <c r="V73" s="175">
        <v>1671.8644067796602</v>
      </c>
      <c r="W73" s="175">
        <v>139.32203389830502</v>
      </c>
      <c r="X73" s="105">
        <f t="shared" si="34"/>
        <v>9</v>
      </c>
      <c r="Y73" s="412"/>
      <c r="Z73" s="175">
        <v>12</v>
      </c>
      <c r="AA73" s="175">
        <v>1683.3333333333344</v>
      </c>
      <c r="AB73" s="175">
        <v>140.27777777777786</v>
      </c>
      <c r="AC73" s="105">
        <f t="shared" si="35"/>
        <v>9</v>
      </c>
      <c r="AD73" s="412"/>
      <c r="AE73" s="175">
        <v>12</v>
      </c>
      <c r="AF73" s="175">
        <v>1653.6000000000006</v>
      </c>
      <c r="AG73" s="175">
        <v>137.80000000000004</v>
      </c>
      <c r="AH73" s="105">
        <f t="shared" si="36"/>
        <v>9</v>
      </c>
      <c r="AI73" s="412"/>
      <c r="AJ73" s="175">
        <v>12</v>
      </c>
      <c r="AK73" s="175">
        <v>1676.2500000000005</v>
      </c>
      <c r="AL73" s="175">
        <v>139.68750000000003</v>
      </c>
      <c r="AM73" s="105">
        <f t="shared" si="37"/>
        <v>9</v>
      </c>
      <c r="AN73" s="412"/>
      <c r="AO73" s="175">
        <v>12</v>
      </c>
      <c r="AP73" s="175">
        <v>1653.2142857142846</v>
      </c>
      <c r="AQ73" s="175">
        <v>137.76785714285705</v>
      </c>
      <c r="AR73" s="105">
        <f t="shared" si="38"/>
        <v>9</v>
      </c>
      <c r="AS73" s="412"/>
      <c r="AT73" s="175">
        <v>12</v>
      </c>
      <c r="AU73" s="175">
        <v>1710.5454545454531</v>
      </c>
      <c r="AV73" s="175">
        <v>142.54545454545442</v>
      </c>
      <c r="AW73" s="105">
        <f t="shared" si="39"/>
        <v>9</v>
      </c>
      <c r="AX73" s="412"/>
    </row>
    <row r="74" spans="2:50">
      <c r="B74" s="398"/>
      <c r="C74" s="105">
        <v>8</v>
      </c>
      <c r="D74" s="228" t="s">
        <v>252</v>
      </c>
      <c r="E74" s="175">
        <v>9</v>
      </c>
      <c r="F74" s="105">
        <v>2250</v>
      </c>
      <c r="G74" s="202">
        <v>250</v>
      </c>
      <c r="H74" s="385"/>
      <c r="I74" s="175">
        <f t="shared" si="32"/>
        <v>9.2857142857142865</v>
      </c>
      <c r="J74" s="175">
        <f t="shared" si="32"/>
        <v>1705.6850364547729</v>
      </c>
      <c r="K74" s="202">
        <f t="shared" si="32"/>
        <v>184.53739462292089</v>
      </c>
      <c r="L74" s="385"/>
      <c r="M74" s="203">
        <f>RANK(K74, K$67:$K$81)</f>
        <v>5</v>
      </c>
      <c r="N74" s="387"/>
      <c r="O74" s="387"/>
      <c r="P74" s="175">
        <v>9</v>
      </c>
      <c r="Q74" s="175">
        <v>1723.3333333333321</v>
      </c>
      <c r="R74" s="175">
        <v>191.48148148148135</v>
      </c>
      <c r="S74" s="105">
        <f t="shared" si="33"/>
        <v>5</v>
      </c>
      <c r="T74" s="412"/>
      <c r="U74" s="175">
        <v>9</v>
      </c>
      <c r="V74" s="175">
        <v>1727.9999999999984</v>
      </c>
      <c r="W74" s="175">
        <v>191.99999999999983</v>
      </c>
      <c r="X74" s="105">
        <f t="shared" si="34"/>
        <v>5</v>
      </c>
      <c r="Y74" s="412"/>
      <c r="Z74" s="175">
        <v>9</v>
      </c>
      <c r="AA74" s="175">
        <v>1640.5263157894726</v>
      </c>
      <c r="AB74" s="175">
        <v>182.28070175438586</v>
      </c>
      <c r="AC74" s="105">
        <f t="shared" si="35"/>
        <v>6</v>
      </c>
      <c r="AD74" s="412"/>
      <c r="AE74" s="175">
        <v>9</v>
      </c>
      <c r="AF74" s="175">
        <v>1741.8750000000018</v>
      </c>
      <c r="AG74" s="175">
        <v>193.54166666666686</v>
      </c>
      <c r="AH74" s="105">
        <f t="shared" si="36"/>
        <v>5</v>
      </c>
      <c r="AI74" s="412"/>
      <c r="AJ74" s="175">
        <v>9</v>
      </c>
      <c r="AK74" s="175">
        <v>1672.7272727272743</v>
      </c>
      <c r="AL74" s="175">
        <v>185.85858585858603</v>
      </c>
      <c r="AM74" s="105">
        <f t="shared" si="37"/>
        <v>5</v>
      </c>
      <c r="AN74" s="412"/>
      <c r="AO74" s="175">
        <v>9</v>
      </c>
      <c r="AP74" s="175">
        <v>1706.6666666666654</v>
      </c>
      <c r="AQ74" s="175">
        <v>189.62962962962948</v>
      </c>
      <c r="AR74" s="105">
        <f t="shared" si="38"/>
        <v>5</v>
      </c>
      <c r="AS74" s="412"/>
      <c r="AT74" s="175">
        <v>11</v>
      </c>
      <c r="AU74" s="175">
        <v>1726.6666666666652</v>
      </c>
      <c r="AV74" s="175">
        <v>156.96969696969683</v>
      </c>
      <c r="AW74" s="105">
        <f t="shared" si="39"/>
        <v>8</v>
      </c>
      <c r="AX74" s="412"/>
    </row>
    <row r="75" spans="2:50">
      <c r="B75" s="398"/>
      <c r="C75" s="105">
        <v>9</v>
      </c>
      <c r="D75" s="228" t="s">
        <v>253</v>
      </c>
      <c r="E75" s="175">
        <v>9</v>
      </c>
      <c r="F75" s="105">
        <v>2250</v>
      </c>
      <c r="G75" s="202">
        <v>250</v>
      </c>
      <c r="H75" s="385"/>
      <c r="I75" s="175">
        <f t="shared" si="32"/>
        <v>9</v>
      </c>
      <c r="J75" s="175">
        <f t="shared" si="32"/>
        <v>1990.532833436087</v>
      </c>
      <c r="K75" s="202">
        <f t="shared" si="32"/>
        <v>221.17031482623187</v>
      </c>
      <c r="L75" s="385"/>
      <c r="M75" s="203">
        <f>RANK(K75, K$67:$K$81)</f>
        <v>4</v>
      </c>
      <c r="N75" s="387"/>
      <c r="O75" s="387"/>
      <c r="P75" s="175">
        <v>9</v>
      </c>
      <c r="Q75" s="175">
        <v>2034.5454545454545</v>
      </c>
      <c r="R75" s="175">
        <v>226.06060606060606</v>
      </c>
      <c r="S75" s="105">
        <f t="shared" si="33"/>
        <v>4</v>
      </c>
      <c r="T75" s="412"/>
      <c r="U75" s="175">
        <v>9</v>
      </c>
      <c r="V75" s="175">
        <v>1962.197802197802</v>
      </c>
      <c r="W75" s="175">
        <v>218.02197802197801</v>
      </c>
      <c r="X75" s="105">
        <f t="shared" si="34"/>
        <v>4</v>
      </c>
      <c r="Y75" s="412"/>
      <c r="Z75" s="175">
        <v>9</v>
      </c>
      <c r="AA75" s="175">
        <v>1970.3448275862088</v>
      </c>
      <c r="AB75" s="175">
        <v>218.92720306513431</v>
      </c>
      <c r="AC75" s="105">
        <f t="shared" si="35"/>
        <v>4</v>
      </c>
      <c r="AD75" s="412"/>
      <c r="AE75" s="175">
        <v>9</v>
      </c>
      <c r="AF75" s="175">
        <v>1997.5000000000002</v>
      </c>
      <c r="AG75" s="175">
        <v>221.94444444444446</v>
      </c>
      <c r="AH75" s="105">
        <f t="shared" si="36"/>
        <v>4</v>
      </c>
      <c r="AI75" s="412"/>
      <c r="AJ75" s="175">
        <v>9</v>
      </c>
      <c r="AK75" s="175">
        <v>1986.42857142857</v>
      </c>
      <c r="AL75" s="175">
        <v>220.71428571428555</v>
      </c>
      <c r="AM75" s="105">
        <f t="shared" si="37"/>
        <v>4</v>
      </c>
      <c r="AN75" s="412"/>
      <c r="AO75" s="175">
        <v>9</v>
      </c>
      <c r="AP75" s="175">
        <v>1986.6666666666661</v>
      </c>
      <c r="AQ75" s="175">
        <v>220.74074074074068</v>
      </c>
      <c r="AR75" s="105">
        <f t="shared" si="38"/>
        <v>4</v>
      </c>
      <c r="AS75" s="412"/>
      <c r="AT75" s="175">
        <v>9</v>
      </c>
      <c r="AU75" s="175">
        <v>1996.0465116279067</v>
      </c>
      <c r="AV75" s="175">
        <v>221.78294573643407</v>
      </c>
      <c r="AW75" s="105">
        <f t="shared" si="39"/>
        <v>4</v>
      </c>
      <c r="AX75" s="412"/>
    </row>
    <row r="76" spans="2:50">
      <c r="B76" s="398"/>
      <c r="C76" s="105">
        <v>10</v>
      </c>
      <c r="D76" s="228" t="s">
        <v>244</v>
      </c>
      <c r="E76" s="175">
        <v>18</v>
      </c>
      <c r="F76" s="105">
        <v>1250</v>
      </c>
      <c r="G76" s="202">
        <v>69.444444444444443</v>
      </c>
      <c r="H76" s="385"/>
      <c r="I76" s="175">
        <f t="shared" si="32"/>
        <v>13</v>
      </c>
      <c r="J76" s="175">
        <f t="shared" si="32"/>
        <v>1258.6348847231204</v>
      </c>
      <c r="K76" s="202">
        <f t="shared" si="32"/>
        <v>96.818068055624664</v>
      </c>
      <c r="L76" s="385"/>
      <c r="M76" s="203">
        <f>RANK(K76, K$67:$K$81)</f>
        <v>10</v>
      </c>
      <c r="N76" s="387"/>
      <c r="O76" s="387"/>
      <c r="P76" s="175">
        <v>13</v>
      </c>
      <c r="Q76" s="175">
        <v>1256.4705882352951</v>
      </c>
      <c r="R76" s="175">
        <v>96.651583710407309</v>
      </c>
      <c r="S76" s="105">
        <f t="shared" si="33"/>
        <v>10</v>
      </c>
      <c r="T76" s="412"/>
      <c r="U76" s="175">
        <v>13</v>
      </c>
      <c r="V76" s="175">
        <v>1269.8823529411773</v>
      </c>
      <c r="W76" s="175">
        <v>97.683257918552101</v>
      </c>
      <c r="X76" s="105">
        <f t="shared" si="34"/>
        <v>10</v>
      </c>
      <c r="Y76" s="412"/>
      <c r="Z76" s="175">
        <v>13</v>
      </c>
      <c r="AA76" s="175">
        <v>1279.5000000000007</v>
      </c>
      <c r="AB76" s="175">
        <v>98.423076923076977</v>
      </c>
      <c r="AC76" s="105">
        <f t="shared" si="35"/>
        <v>10</v>
      </c>
      <c r="AD76" s="412"/>
      <c r="AE76" s="175">
        <v>13</v>
      </c>
      <c r="AF76" s="175">
        <v>1290.0000000000002</v>
      </c>
      <c r="AG76" s="175">
        <v>99.230769230769255</v>
      </c>
      <c r="AH76" s="105">
        <f t="shared" si="36"/>
        <v>10</v>
      </c>
      <c r="AI76" s="412"/>
      <c r="AJ76" s="175">
        <v>13</v>
      </c>
      <c r="AK76" s="175">
        <v>1285.8461538461545</v>
      </c>
      <c r="AL76" s="175">
        <v>98.911242603550349</v>
      </c>
      <c r="AM76" s="105">
        <f t="shared" si="37"/>
        <v>10</v>
      </c>
      <c r="AN76" s="412"/>
      <c r="AO76" s="175">
        <v>13</v>
      </c>
      <c r="AP76" s="175">
        <v>1213.4117647058831</v>
      </c>
      <c r="AQ76" s="175">
        <v>93.339366515837156</v>
      </c>
      <c r="AR76" s="105">
        <f t="shared" si="38"/>
        <v>10</v>
      </c>
      <c r="AS76" s="412"/>
      <c r="AT76" s="175">
        <v>13</v>
      </c>
      <c r="AU76" s="175">
        <v>1215.3333333333335</v>
      </c>
      <c r="AV76" s="175">
        <v>93.487179487179503</v>
      </c>
      <c r="AW76" s="105">
        <f t="shared" si="39"/>
        <v>10</v>
      </c>
      <c r="AX76" s="412"/>
    </row>
    <row r="77" spans="2:50">
      <c r="B77" s="398"/>
      <c r="C77" s="105">
        <v>11</v>
      </c>
      <c r="D77" s="228"/>
      <c r="E77" s="175"/>
      <c r="F77" s="105"/>
      <c r="G77" s="202"/>
      <c r="H77" s="385"/>
      <c r="I77" s="105"/>
      <c r="J77" s="105"/>
      <c r="K77" s="105"/>
      <c r="L77" s="385"/>
      <c r="M77" s="203" t="e">
        <f>RANK(K77, K$67:$K$81)</f>
        <v>#N/A</v>
      </c>
      <c r="N77" s="387"/>
      <c r="O77" s="387"/>
      <c r="P77" s="175"/>
      <c r="Q77" s="175"/>
      <c r="R77" s="175"/>
      <c r="S77" s="105" t="e">
        <f t="shared" si="33"/>
        <v>#N/A</v>
      </c>
      <c r="T77" s="412"/>
      <c r="U77" s="175"/>
      <c r="V77" s="175"/>
      <c r="W77" s="175"/>
      <c r="X77" s="105" t="e">
        <f t="shared" si="34"/>
        <v>#N/A</v>
      </c>
      <c r="Y77" s="412"/>
      <c r="Z77" s="175"/>
      <c r="AA77" s="175"/>
      <c r="AB77" s="202"/>
      <c r="AC77" s="105" t="e">
        <f t="shared" si="35"/>
        <v>#N/A</v>
      </c>
      <c r="AD77" s="412"/>
      <c r="AE77" s="175"/>
      <c r="AF77" s="175"/>
      <c r="AG77" s="202"/>
      <c r="AH77" s="105" t="e">
        <f t="shared" si="36"/>
        <v>#N/A</v>
      </c>
      <c r="AI77" s="412"/>
      <c r="AJ77" s="175"/>
      <c r="AK77" s="175"/>
      <c r="AL77" s="202"/>
      <c r="AM77" s="105" t="e">
        <f t="shared" si="37"/>
        <v>#N/A</v>
      </c>
      <c r="AN77" s="412"/>
      <c r="AO77" s="175"/>
      <c r="AP77" s="175"/>
      <c r="AQ77" s="202"/>
      <c r="AR77" s="105" t="e">
        <f t="shared" si="38"/>
        <v>#N/A</v>
      </c>
      <c r="AS77" s="412"/>
      <c r="AT77" s="175"/>
      <c r="AU77" s="175"/>
      <c r="AV77" s="202"/>
      <c r="AW77" s="105" t="e">
        <f t="shared" si="39"/>
        <v>#N/A</v>
      </c>
      <c r="AX77" s="412"/>
    </row>
    <row r="78" spans="2:50">
      <c r="B78" s="398"/>
      <c r="C78" s="105">
        <v>12</v>
      </c>
      <c r="D78" s="228"/>
      <c r="E78" s="175"/>
      <c r="F78" s="105"/>
      <c r="G78" s="202"/>
      <c r="H78" s="385"/>
      <c r="I78" s="105"/>
      <c r="J78" s="105"/>
      <c r="K78" s="105"/>
      <c r="L78" s="385"/>
      <c r="M78" s="203" t="e">
        <f>RANK(K78, K$67:$K$81)</f>
        <v>#N/A</v>
      </c>
      <c r="N78" s="387"/>
      <c r="O78" s="387"/>
      <c r="P78" s="175"/>
      <c r="Q78" s="175"/>
      <c r="R78" s="175"/>
      <c r="S78" s="105" t="e">
        <f t="shared" si="33"/>
        <v>#N/A</v>
      </c>
      <c r="T78" s="412"/>
      <c r="U78" s="175"/>
      <c r="V78" s="175"/>
      <c r="W78" s="175"/>
      <c r="X78" s="105" t="e">
        <f t="shared" si="34"/>
        <v>#N/A</v>
      </c>
      <c r="Y78" s="412"/>
      <c r="Z78" s="175"/>
      <c r="AA78" s="175"/>
      <c r="AB78" s="202"/>
      <c r="AC78" s="105" t="e">
        <f t="shared" si="35"/>
        <v>#N/A</v>
      </c>
      <c r="AD78" s="412"/>
      <c r="AE78" s="175"/>
      <c r="AF78" s="175"/>
      <c r="AG78" s="202"/>
      <c r="AH78" s="105" t="e">
        <f t="shared" si="36"/>
        <v>#N/A</v>
      </c>
      <c r="AI78" s="412"/>
      <c r="AJ78" s="175"/>
      <c r="AK78" s="175"/>
      <c r="AL78" s="202"/>
      <c r="AM78" s="105" t="e">
        <f t="shared" si="37"/>
        <v>#N/A</v>
      </c>
      <c r="AN78" s="412"/>
      <c r="AO78" s="175"/>
      <c r="AP78" s="175"/>
      <c r="AQ78" s="202"/>
      <c r="AR78" s="105" t="e">
        <f t="shared" si="38"/>
        <v>#N/A</v>
      </c>
      <c r="AS78" s="412"/>
      <c r="AT78" s="175"/>
      <c r="AU78" s="175"/>
      <c r="AV78" s="202"/>
      <c r="AW78" s="105" t="e">
        <f t="shared" si="39"/>
        <v>#N/A</v>
      </c>
      <c r="AX78" s="412"/>
    </row>
    <row r="79" spans="2:50">
      <c r="B79" s="398"/>
      <c r="C79" s="105">
        <v>13</v>
      </c>
      <c r="D79" s="228"/>
      <c r="E79" s="175"/>
      <c r="F79" s="105"/>
      <c r="G79" s="202"/>
      <c r="H79" s="385"/>
      <c r="I79" s="105"/>
      <c r="J79" s="105"/>
      <c r="K79" s="105"/>
      <c r="L79" s="385"/>
      <c r="M79" s="203" t="e">
        <f>RANK(K79, K$67:$K$81)</f>
        <v>#N/A</v>
      </c>
      <c r="N79" s="387"/>
      <c r="O79" s="387"/>
      <c r="P79" s="175"/>
      <c r="Q79" s="175"/>
      <c r="R79" s="202"/>
      <c r="S79" s="105" t="e">
        <f t="shared" si="33"/>
        <v>#N/A</v>
      </c>
      <c r="T79" s="412"/>
      <c r="U79" s="175"/>
      <c r="V79" s="175"/>
      <c r="W79" s="175"/>
      <c r="X79" s="105" t="e">
        <f t="shared" si="34"/>
        <v>#N/A</v>
      </c>
      <c r="Y79" s="412"/>
      <c r="Z79" s="175"/>
      <c r="AA79" s="175"/>
      <c r="AB79" s="202"/>
      <c r="AC79" s="105" t="e">
        <f t="shared" si="35"/>
        <v>#N/A</v>
      </c>
      <c r="AD79" s="412"/>
      <c r="AE79" s="175"/>
      <c r="AF79" s="175"/>
      <c r="AG79" s="202"/>
      <c r="AH79" s="105" t="e">
        <f t="shared" si="36"/>
        <v>#N/A</v>
      </c>
      <c r="AI79" s="412"/>
      <c r="AJ79" s="175"/>
      <c r="AK79" s="175"/>
      <c r="AL79" s="202"/>
      <c r="AM79" s="105" t="e">
        <f t="shared" si="37"/>
        <v>#N/A</v>
      </c>
      <c r="AN79" s="412"/>
      <c r="AO79" s="175"/>
      <c r="AP79" s="175"/>
      <c r="AQ79" s="202"/>
      <c r="AR79" s="105" t="e">
        <f t="shared" si="38"/>
        <v>#N/A</v>
      </c>
      <c r="AS79" s="412"/>
      <c r="AT79" s="175"/>
      <c r="AU79" s="175"/>
      <c r="AV79" s="202"/>
      <c r="AW79" s="105" t="e">
        <f t="shared" si="39"/>
        <v>#N/A</v>
      </c>
      <c r="AX79" s="412"/>
    </row>
    <row r="80" spans="2:50">
      <c r="B80" s="398"/>
      <c r="C80" s="105">
        <v>14</v>
      </c>
      <c r="D80" s="228"/>
      <c r="E80" s="175"/>
      <c r="F80" s="105"/>
      <c r="G80" s="202"/>
      <c r="H80" s="385"/>
      <c r="I80" s="105"/>
      <c r="J80" s="105"/>
      <c r="K80" s="105"/>
      <c r="L80" s="385"/>
      <c r="M80" s="203" t="e">
        <f>RANK(K80, K$67:$K$81)</f>
        <v>#N/A</v>
      </c>
      <c r="N80" s="387"/>
      <c r="O80" s="387"/>
      <c r="P80" s="175"/>
      <c r="Q80" s="175"/>
      <c r="R80" s="202"/>
      <c r="S80" s="105" t="e">
        <f t="shared" si="33"/>
        <v>#N/A</v>
      </c>
      <c r="T80" s="412"/>
      <c r="U80" s="175"/>
      <c r="V80" s="175"/>
      <c r="W80" s="175"/>
      <c r="X80" s="105" t="e">
        <f t="shared" si="34"/>
        <v>#N/A</v>
      </c>
      <c r="Y80" s="412"/>
      <c r="Z80" s="175"/>
      <c r="AA80" s="175"/>
      <c r="AB80" s="202"/>
      <c r="AC80" s="105" t="e">
        <f t="shared" si="35"/>
        <v>#N/A</v>
      </c>
      <c r="AD80" s="412"/>
      <c r="AE80" s="175"/>
      <c r="AF80" s="175"/>
      <c r="AG80" s="202"/>
      <c r="AH80" s="105" t="e">
        <f t="shared" si="36"/>
        <v>#N/A</v>
      </c>
      <c r="AI80" s="412"/>
      <c r="AJ80" s="175"/>
      <c r="AK80" s="175"/>
      <c r="AL80" s="202"/>
      <c r="AM80" s="105" t="e">
        <f t="shared" si="37"/>
        <v>#N/A</v>
      </c>
      <c r="AN80" s="412"/>
      <c r="AO80" s="175"/>
      <c r="AP80" s="175"/>
      <c r="AQ80" s="202"/>
      <c r="AR80" s="105" t="e">
        <f t="shared" si="38"/>
        <v>#N/A</v>
      </c>
      <c r="AS80" s="412"/>
      <c r="AT80" s="175"/>
      <c r="AU80" s="175"/>
      <c r="AV80" s="202"/>
      <c r="AW80" s="105" t="e">
        <f t="shared" si="39"/>
        <v>#N/A</v>
      </c>
      <c r="AX80" s="412"/>
    </row>
    <row r="81" spans="2:50">
      <c r="B81" s="398"/>
      <c r="C81" s="105">
        <v>15</v>
      </c>
      <c r="D81" s="228"/>
      <c r="E81" s="175"/>
      <c r="F81" s="105"/>
      <c r="G81" s="202"/>
      <c r="H81" s="386"/>
      <c r="I81" s="105"/>
      <c r="J81" s="105"/>
      <c r="K81" s="105"/>
      <c r="L81" s="386"/>
      <c r="M81" s="175" t="e">
        <f>RANK(K81, K$67:$K$81)</f>
        <v>#N/A</v>
      </c>
      <c r="N81" s="387"/>
      <c r="O81" s="387"/>
      <c r="P81" s="175"/>
      <c r="Q81" s="175"/>
      <c r="R81" s="202"/>
      <c r="S81" s="105" t="e">
        <f t="shared" si="33"/>
        <v>#N/A</v>
      </c>
      <c r="T81" s="412"/>
      <c r="U81" s="175"/>
      <c r="V81" s="175"/>
      <c r="W81" s="175"/>
      <c r="X81" s="105" t="e">
        <f t="shared" si="34"/>
        <v>#N/A</v>
      </c>
      <c r="Y81" s="412"/>
      <c r="Z81" s="175"/>
      <c r="AA81" s="175"/>
      <c r="AB81" s="202"/>
      <c r="AC81" s="105" t="e">
        <f t="shared" si="35"/>
        <v>#N/A</v>
      </c>
      <c r="AD81" s="412"/>
      <c r="AE81" s="175"/>
      <c r="AF81" s="175"/>
      <c r="AG81" s="202"/>
      <c r="AH81" s="105" t="e">
        <f t="shared" si="36"/>
        <v>#N/A</v>
      </c>
      <c r="AI81" s="412"/>
      <c r="AJ81" s="175"/>
      <c r="AK81" s="175"/>
      <c r="AL81" s="202"/>
      <c r="AM81" s="105" t="e">
        <f t="shared" si="37"/>
        <v>#N/A</v>
      </c>
      <c r="AN81" s="412"/>
      <c r="AO81" s="175"/>
      <c r="AP81" s="175"/>
      <c r="AQ81" s="202"/>
      <c r="AR81" s="105" t="e">
        <f t="shared" si="38"/>
        <v>#N/A</v>
      </c>
      <c r="AS81" s="412"/>
      <c r="AT81" s="175"/>
      <c r="AU81" s="175"/>
      <c r="AV81" s="202"/>
      <c r="AW81" s="105" t="e">
        <f t="shared" si="39"/>
        <v>#N/A</v>
      </c>
      <c r="AX81" s="412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40">Z82+1</f>
        <v>45898</v>
      </c>
      <c r="AF82" s="395"/>
      <c r="AG82" s="395"/>
      <c r="AH82" s="395"/>
      <c r="AI82" s="396"/>
      <c r="AJ82" s="394">
        <f t="shared" ref="AJ82" si="41">AE82+1</f>
        <v>45899</v>
      </c>
      <c r="AK82" s="395"/>
      <c r="AL82" s="395"/>
      <c r="AM82" s="395"/>
      <c r="AN82" s="396"/>
      <c r="AO82" s="394">
        <f t="shared" ref="AO82" si="42">AJ82+1</f>
        <v>45900</v>
      </c>
      <c r="AP82" s="395"/>
      <c r="AQ82" s="395"/>
      <c r="AR82" s="395"/>
      <c r="AS82" s="396"/>
      <c r="AT82" s="394">
        <f t="shared" ref="AT82" si="43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413" t="s">
        <v>243</v>
      </c>
      <c r="C87" s="105">
        <v>1</v>
      </c>
      <c r="D87" s="228" t="s">
        <v>245</v>
      </c>
      <c r="E87" s="175">
        <v>4</v>
      </c>
      <c r="F87" s="105">
        <v>2000</v>
      </c>
      <c r="G87" s="202">
        <v>500</v>
      </c>
      <c r="H87" s="384">
        <f>AVERAGE(G87:G101)</f>
        <v>283.6489898989899</v>
      </c>
      <c r="I87" s="175">
        <f>AVERAGE(P87,U87,Z87,AE87,AJ87,AO87,AT87)</f>
        <v>4.166666666666667</v>
      </c>
      <c r="J87" s="175">
        <f>AVERAGE(Q87,V87,AA87,AF87,AK87,AP87,AU87)</f>
        <v>1858.3725490196057</v>
      </c>
      <c r="K87" s="202">
        <f>AVERAGE(R87,W87,AB87,AG87,AL87,AQ87,AV87)</f>
        <v>449.45424836601251</v>
      </c>
      <c r="L87" s="384">
        <f>IFERROR(AVERAGE(K87:K101),"-")</f>
        <v>249.1125864213422</v>
      </c>
      <c r="M87" s="203">
        <f>RANK(K87, K$87:$K$101)</f>
        <v>1</v>
      </c>
      <c r="N87" s="387"/>
      <c r="O87" s="387"/>
      <c r="P87" s="175">
        <v>5</v>
      </c>
      <c r="Q87" s="175">
        <v>1816.6666666666652</v>
      </c>
      <c r="R87" s="175">
        <v>363.33333333333303</v>
      </c>
      <c r="S87" s="105">
        <f>RANK(R87, R$87:R$101)</f>
        <v>3</v>
      </c>
      <c r="T87" s="412">
        <f>AVERAGE(R87:R101)</f>
        <v>233.52913586922696</v>
      </c>
      <c r="U87" s="175">
        <v>4</v>
      </c>
      <c r="V87" s="175">
        <v>1842.3529411764682</v>
      </c>
      <c r="W87" s="175">
        <v>460.58823529411706</v>
      </c>
      <c r="X87" s="105">
        <f>RANK(W87, W$87:W$101)</f>
        <v>1</v>
      </c>
      <c r="Y87" s="412">
        <f>AVERAGE(W87:W101)</f>
        <v>252.08228396776136</v>
      </c>
      <c r="Z87" s="175">
        <v>4</v>
      </c>
      <c r="AA87" s="175">
        <v>1817.6470588235272</v>
      </c>
      <c r="AB87" s="175">
        <v>454.41176470588181</v>
      </c>
      <c r="AC87" s="105">
        <f>RANK(AB87, AB$87:AB$101)</f>
        <v>2</v>
      </c>
      <c r="AD87" s="412">
        <f>AVERAGE(AB87:AB101)</f>
        <v>251.73073223730324</v>
      </c>
      <c r="AE87" s="175">
        <v>4</v>
      </c>
      <c r="AF87" s="175">
        <v>1891.9999999999966</v>
      </c>
      <c r="AG87" s="175">
        <v>472.99999999999915</v>
      </c>
      <c r="AH87" s="105">
        <f>RANK(AG87, AG$87:AG$101)</f>
        <v>1</v>
      </c>
      <c r="AI87" s="412">
        <f>AVERAGE(AG87:AG101)</f>
        <v>251.37675520518738</v>
      </c>
      <c r="AJ87" s="175">
        <v>4</v>
      </c>
      <c r="AK87" s="175">
        <v>1833.3333333333319</v>
      </c>
      <c r="AL87" s="175">
        <v>458.33333333333297</v>
      </c>
      <c r="AM87" s="105">
        <f>RANK(AL87, AL$87:AL$101)</f>
        <v>1</v>
      </c>
      <c r="AN87" s="412">
        <f>AVERAGE(AL87:AL101)</f>
        <v>250.08599002058764</v>
      </c>
      <c r="AO87" s="175">
        <v>4</v>
      </c>
      <c r="AP87" s="175">
        <v>1948.2352941176448</v>
      </c>
      <c r="AQ87" s="175">
        <v>487.0588235294112</v>
      </c>
      <c r="AR87" s="105">
        <f>RANK(AQ87, AQ$87:AQ$101)</f>
        <v>1</v>
      </c>
      <c r="AS87" s="412">
        <f>AVERAGE(AQ87:AQ101)</f>
        <v>255.87062122798656</v>
      </c>
      <c r="AT87" s="175"/>
      <c r="AU87" s="175"/>
      <c r="AV87" s="175"/>
      <c r="AW87" s="105" t="e">
        <f>RANK(AV87, AV$87:AV$101)</f>
        <v>#N/A</v>
      </c>
      <c r="AX87" s="412" t="e">
        <f>AVERAGE(AV87:AV101)</f>
        <v>#DIV/0!</v>
      </c>
    </row>
    <row r="88" spans="2:50">
      <c r="B88" s="398"/>
      <c r="C88" s="105">
        <v>2</v>
      </c>
      <c r="D88" s="228" t="s">
        <v>246</v>
      </c>
      <c r="E88" s="175">
        <v>4</v>
      </c>
      <c r="F88" s="105">
        <v>2000</v>
      </c>
      <c r="G88" s="202">
        <v>500</v>
      </c>
      <c r="H88" s="385"/>
      <c r="I88" s="175">
        <f t="shared" ref="I88:K96" si="44">AVERAGE(P88,U88,Z88,AE88,AJ88,AO88,AT88)</f>
        <v>4.166666666666667</v>
      </c>
      <c r="J88" s="175">
        <f t="shared" si="44"/>
        <v>1852.7573529411738</v>
      </c>
      <c r="K88" s="202">
        <f t="shared" si="44"/>
        <v>447.84558823529346</v>
      </c>
      <c r="L88" s="385"/>
      <c r="M88" s="203">
        <f>RANK(K88, K$87:$K$101)</f>
        <v>2</v>
      </c>
      <c r="N88" s="387"/>
      <c r="O88" s="387"/>
      <c r="P88" s="175">
        <v>5</v>
      </c>
      <c r="Q88" s="175">
        <v>1841.2499999999975</v>
      </c>
      <c r="R88" s="175">
        <v>368.24999999999949</v>
      </c>
      <c r="S88" s="105">
        <f t="shared" ref="S88:S101" si="45">RANK(R88, R$87:R$101)</f>
        <v>2</v>
      </c>
      <c r="T88" s="412"/>
      <c r="U88" s="175">
        <v>4</v>
      </c>
      <c r="V88" s="175">
        <v>1818.7499999999977</v>
      </c>
      <c r="W88" s="175">
        <v>454.68749999999943</v>
      </c>
      <c r="X88" s="105">
        <f t="shared" ref="X88:X101" si="46">RANK(W88, W$87:W$101)</f>
        <v>3</v>
      </c>
      <c r="Y88" s="412"/>
      <c r="Z88" s="175">
        <v>4</v>
      </c>
      <c r="AA88" s="175">
        <v>1897.4999999999975</v>
      </c>
      <c r="AB88" s="175">
        <v>474.37499999999937</v>
      </c>
      <c r="AC88" s="105">
        <f t="shared" ref="AC88:AC101" si="47">RANK(AB88, AB$87:AB$101)</f>
        <v>1</v>
      </c>
      <c r="AD88" s="412"/>
      <c r="AE88" s="175">
        <v>4</v>
      </c>
      <c r="AF88" s="175">
        <v>1844.9999999999975</v>
      </c>
      <c r="AG88" s="175">
        <v>461.24999999999937</v>
      </c>
      <c r="AH88" s="105">
        <f t="shared" ref="AH88:AH101" si="48">RANK(AG88, AG$87:AG$101)</f>
        <v>2</v>
      </c>
      <c r="AI88" s="412"/>
      <c r="AJ88" s="175">
        <v>4</v>
      </c>
      <c r="AK88" s="175">
        <v>1818.7499999999977</v>
      </c>
      <c r="AL88" s="175">
        <v>454.68749999999943</v>
      </c>
      <c r="AM88" s="105">
        <f t="shared" ref="AM88:AM101" si="49">RANK(AL88, AL$87:AL$101)</f>
        <v>2</v>
      </c>
      <c r="AN88" s="412"/>
      <c r="AO88" s="175">
        <v>4</v>
      </c>
      <c r="AP88" s="175">
        <v>1895.2941176470563</v>
      </c>
      <c r="AQ88" s="175">
        <v>473.82352941176407</v>
      </c>
      <c r="AR88" s="105">
        <f t="shared" ref="AR88:AR101" si="50">RANK(AQ88, AQ$87:AQ$101)</f>
        <v>2</v>
      </c>
      <c r="AS88" s="412"/>
      <c r="AT88" s="175"/>
      <c r="AU88" s="175"/>
      <c r="AV88" s="175"/>
      <c r="AW88" s="105" t="e">
        <f t="shared" ref="AW88:AW101" si="51">RANK(AV88, AV$87:AV$101)</f>
        <v>#N/A</v>
      </c>
      <c r="AX88" s="412"/>
    </row>
    <row r="89" spans="2:50">
      <c r="B89" s="398"/>
      <c r="C89" s="105">
        <v>3</v>
      </c>
      <c r="D89" s="228" t="s">
        <v>254</v>
      </c>
      <c r="E89" s="175">
        <v>4</v>
      </c>
      <c r="F89" s="105">
        <v>2000</v>
      </c>
      <c r="G89" s="202">
        <v>500</v>
      </c>
      <c r="H89" s="385"/>
      <c r="I89" s="175">
        <f t="shared" si="44"/>
        <v>5</v>
      </c>
      <c r="J89" s="175">
        <f t="shared" si="44"/>
        <v>2221.8266012155218</v>
      </c>
      <c r="K89" s="202">
        <f t="shared" si="44"/>
        <v>444.36532024310441</v>
      </c>
      <c r="L89" s="385"/>
      <c r="M89" s="203">
        <f>RANK(K89, K$87:$K$101)</f>
        <v>3</v>
      </c>
      <c r="N89" s="387"/>
      <c r="O89" s="387"/>
      <c r="P89" s="175">
        <v>5</v>
      </c>
      <c r="Q89" s="175">
        <v>2198.4000000000005</v>
      </c>
      <c r="R89" s="175">
        <v>439.68000000000012</v>
      </c>
      <c r="S89" s="105">
        <f t="shared" si="45"/>
        <v>1</v>
      </c>
      <c r="T89" s="412"/>
      <c r="U89" s="175">
        <v>5</v>
      </c>
      <c r="V89" s="175">
        <v>2274.782608695652</v>
      </c>
      <c r="W89" s="175">
        <v>454.95652173913038</v>
      </c>
      <c r="X89" s="105">
        <f t="shared" si="46"/>
        <v>2</v>
      </c>
      <c r="Y89" s="412"/>
      <c r="Z89" s="175">
        <v>5</v>
      </c>
      <c r="AA89" s="175">
        <v>2178.260869565217</v>
      </c>
      <c r="AB89" s="175">
        <v>435.65217391304338</v>
      </c>
      <c r="AC89" s="105">
        <f t="shared" si="47"/>
        <v>3</v>
      </c>
      <c r="AD89" s="412"/>
      <c r="AE89" s="175">
        <v>5</v>
      </c>
      <c r="AF89" s="175">
        <v>2195.0000000000005</v>
      </c>
      <c r="AG89" s="175">
        <v>439.00000000000011</v>
      </c>
      <c r="AH89" s="105">
        <f t="shared" si="48"/>
        <v>3</v>
      </c>
      <c r="AI89" s="412"/>
      <c r="AJ89" s="175">
        <v>5</v>
      </c>
      <c r="AK89" s="175">
        <v>2220.0000000000014</v>
      </c>
      <c r="AL89" s="175">
        <v>444.00000000000028</v>
      </c>
      <c r="AM89" s="105">
        <f t="shared" si="49"/>
        <v>3</v>
      </c>
      <c r="AN89" s="412"/>
      <c r="AO89" s="175">
        <v>5</v>
      </c>
      <c r="AP89" s="175">
        <v>2264.5161290322603</v>
      </c>
      <c r="AQ89" s="175">
        <v>452.90322580645204</v>
      </c>
      <c r="AR89" s="105">
        <f t="shared" si="50"/>
        <v>3</v>
      </c>
      <c r="AS89" s="412"/>
      <c r="AT89" s="175"/>
      <c r="AU89" s="175"/>
      <c r="AV89" s="175"/>
      <c r="AW89" s="105" t="e">
        <f t="shared" si="51"/>
        <v>#N/A</v>
      </c>
      <c r="AX89" s="412"/>
    </row>
    <row r="90" spans="2:50">
      <c r="B90" s="398"/>
      <c r="C90" s="105">
        <v>4</v>
      </c>
      <c r="D90" s="228" t="s">
        <v>247</v>
      </c>
      <c r="E90" s="175">
        <v>12</v>
      </c>
      <c r="F90" s="105">
        <v>2250</v>
      </c>
      <c r="G90" s="202">
        <v>187.5</v>
      </c>
      <c r="H90" s="385"/>
      <c r="I90" s="175">
        <f t="shared" si="44"/>
        <v>12</v>
      </c>
      <c r="J90" s="175">
        <f t="shared" si="44"/>
        <v>1972.0578529822567</v>
      </c>
      <c r="K90" s="202">
        <f t="shared" si="44"/>
        <v>164.33815441518806</v>
      </c>
      <c r="L90" s="385"/>
      <c r="M90" s="203">
        <f>RANK(K90, K$87:$K$101)</f>
        <v>8</v>
      </c>
      <c r="N90" s="387"/>
      <c r="O90" s="387"/>
      <c r="P90" s="175">
        <v>12</v>
      </c>
      <c r="Q90" s="175">
        <v>2012.4590163934429</v>
      </c>
      <c r="R90" s="175">
        <v>167.70491803278691</v>
      </c>
      <c r="S90" s="105">
        <f t="shared" si="45"/>
        <v>7</v>
      </c>
      <c r="T90" s="412"/>
      <c r="U90" s="175">
        <v>12</v>
      </c>
      <c r="V90" s="175">
        <v>1925.6249999999995</v>
      </c>
      <c r="W90" s="175">
        <v>160.46874999999997</v>
      </c>
      <c r="X90" s="105">
        <f t="shared" si="46"/>
        <v>8</v>
      </c>
      <c r="Y90" s="412"/>
      <c r="Z90" s="175">
        <v>12</v>
      </c>
      <c r="AA90" s="175">
        <v>2008.4745762711866</v>
      </c>
      <c r="AB90" s="175">
        <v>167.37288135593221</v>
      </c>
      <c r="AC90" s="105">
        <f t="shared" si="47"/>
        <v>7</v>
      </c>
      <c r="AD90" s="412"/>
      <c r="AE90" s="175">
        <v>12</v>
      </c>
      <c r="AF90" s="175">
        <v>1910.6896551724139</v>
      </c>
      <c r="AG90" s="175">
        <v>159.22413793103451</v>
      </c>
      <c r="AH90" s="105">
        <f t="shared" si="48"/>
        <v>8</v>
      </c>
      <c r="AI90" s="412"/>
      <c r="AJ90" s="175">
        <v>12</v>
      </c>
      <c r="AK90" s="175">
        <v>1975.9322033898306</v>
      </c>
      <c r="AL90" s="175">
        <v>164.66101694915255</v>
      </c>
      <c r="AM90" s="105">
        <f t="shared" si="49"/>
        <v>7</v>
      </c>
      <c r="AN90" s="412"/>
      <c r="AO90" s="175">
        <v>12</v>
      </c>
      <c r="AP90" s="175">
        <v>1999.1666666666656</v>
      </c>
      <c r="AQ90" s="175">
        <v>166.59722222222214</v>
      </c>
      <c r="AR90" s="105">
        <f t="shared" si="50"/>
        <v>7</v>
      </c>
      <c r="AS90" s="412"/>
      <c r="AT90" s="175"/>
      <c r="AU90" s="175"/>
      <c r="AV90" s="175"/>
      <c r="AW90" s="105" t="e">
        <f t="shared" si="51"/>
        <v>#N/A</v>
      </c>
      <c r="AX90" s="412"/>
    </row>
    <row r="91" spans="2:50">
      <c r="B91" s="398"/>
      <c r="C91" s="105">
        <v>5</v>
      </c>
      <c r="D91" s="228" t="s">
        <v>248</v>
      </c>
      <c r="E91" s="175">
        <v>12</v>
      </c>
      <c r="F91" s="105">
        <v>2250</v>
      </c>
      <c r="G91" s="202">
        <v>187.5</v>
      </c>
      <c r="H91" s="385"/>
      <c r="I91" s="175">
        <f t="shared" si="44"/>
        <v>12</v>
      </c>
      <c r="J91" s="175">
        <f t="shared" si="44"/>
        <v>1975.6612630723414</v>
      </c>
      <c r="K91" s="202">
        <f t="shared" si="44"/>
        <v>164.63843858936181</v>
      </c>
      <c r="L91" s="385"/>
      <c r="M91" s="203">
        <f>RANK(K91, K$87:$K$101)</f>
        <v>7</v>
      </c>
      <c r="N91" s="387"/>
      <c r="O91" s="387"/>
      <c r="P91" s="175">
        <v>12</v>
      </c>
      <c r="Q91" s="175">
        <v>1952.0689655172409</v>
      </c>
      <c r="R91" s="175">
        <v>162.6724137931034</v>
      </c>
      <c r="S91" s="105">
        <f t="shared" si="45"/>
        <v>8</v>
      </c>
      <c r="T91" s="412"/>
      <c r="U91" s="175">
        <v>12</v>
      </c>
      <c r="V91" s="175">
        <v>2003.6697247706418</v>
      </c>
      <c r="W91" s="175">
        <v>166.97247706422016</v>
      </c>
      <c r="X91" s="105">
        <f t="shared" si="46"/>
        <v>7</v>
      </c>
      <c r="Y91" s="412"/>
      <c r="Z91" s="175">
        <v>12</v>
      </c>
      <c r="AA91" s="175">
        <v>1982.3529411764705</v>
      </c>
      <c r="AB91" s="175">
        <v>165.19607843137254</v>
      </c>
      <c r="AC91" s="105">
        <f t="shared" si="47"/>
        <v>8</v>
      </c>
      <c r="AD91" s="412"/>
      <c r="AE91" s="175">
        <v>12</v>
      </c>
      <c r="AF91" s="175">
        <v>2000.454545454546</v>
      </c>
      <c r="AG91" s="175">
        <v>166.7045454545455</v>
      </c>
      <c r="AH91" s="105">
        <f t="shared" si="48"/>
        <v>7</v>
      </c>
      <c r="AI91" s="412"/>
      <c r="AJ91" s="175">
        <v>12</v>
      </c>
      <c r="AK91" s="175">
        <v>1971.5151515151508</v>
      </c>
      <c r="AL91" s="175">
        <v>164.29292929292924</v>
      </c>
      <c r="AM91" s="105">
        <f t="shared" si="49"/>
        <v>8</v>
      </c>
      <c r="AN91" s="412"/>
      <c r="AO91" s="175">
        <v>12</v>
      </c>
      <c r="AP91" s="175">
        <v>1943.9062500000005</v>
      </c>
      <c r="AQ91" s="175">
        <v>161.99218750000003</v>
      </c>
      <c r="AR91" s="105">
        <f t="shared" si="50"/>
        <v>8</v>
      </c>
      <c r="AS91" s="412"/>
      <c r="AT91" s="175"/>
      <c r="AU91" s="175"/>
      <c r="AV91" s="175"/>
      <c r="AW91" s="105" t="e">
        <f t="shared" si="51"/>
        <v>#N/A</v>
      </c>
      <c r="AX91" s="412"/>
    </row>
    <row r="92" spans="2:50">
      <c r="B92" s="398"/>
      <c r="C92" s="105">
        <v>6</v>
      </c>
      <c r="D92" s="228" t="s">
        <v>250</v>
      </c>
      <c r="E92" s="175">
        <v>11</v>
      </c>
      <c r="F92" s="105">
        <v>2250</v>
      </c>
      <c r="G92" s="202">
        <v>204.54545454545453</v>
      </c>
      <c r="H92" s="385"/>
      <c r="I92" s="175">
        <f t="shared" si="44"/>
        <v>11</v>
      </c>
      <c r="J92" s="175">
        <f t="shared" si="44"/>
        <v>1975.6942114606916</v>
      </c>
      <c r="K92" s="202">
        <f t="shared" si="44"/>
        <v>179.60856467824468</v>
      </c>
      <c r="L92" s="385"/>
      <c r="M92" s="203">
        <f>RANK(K92, K$87:$K$101)</f>
        <v>6</v>
      </c>
      <c r="N92" s="387"/>
      <c r="O92" s="387"/>
      <c r="P92" s="175">
        <v>11</v>
      </c>
      <c r="Q92" s="175">
        <v>2017.4999999999995</v>
      </c>
      <c r="R92" s="175">
        <v>183.40909090909088</v>
      </c>
      <c r="S92" s="105">
        <f t="shared" si="45"/>
        <v>6</v>
      </c>
      <c r="T92" s="412"/>
      <c r="U92" s="175">
        <v>11</v>
      </c>
      <c r="V92" s="175">
        <v>2000.8163265306125</v>
      </c>
      <c r="W92" s="175">
        <v>181.89239332096477</v>
      </c>
      <c r="X92" s="105">
        <f t="shared" si="46"/>
        <v>6</v>
      </c>
      <c r="Y92" s="412"/>
      <c r="Z92" s="175">
        <v>11</v>
      </c>
      <c r="AA92" s="175">
        <v>1948.484848484849</v>
      </c>
      <c r="AB92" s="175">
        <v>177.13498622589535</v>
      </c>
      <c r="AC92" s="105">
        <f t="shared" si="47"/>
        <v>6</v>
      </c>
      <c r="AD92" s="412"/>
      <c r="AE92" s="175">
        <v>11</v>
      </c>
      <c r="AF92" s="175">
        <v>1973.6470588235293</v>
      </c>
      <c r="AG92" s="175">
        <v>179.42245989304811</v>
      </c>
      <c r="AH92" s="105">
        <f t="shared" si="48"/>
        <v>6</v>
      </c>
      <c r="AI92" s="412"/>
      <c r="AJ92" s="175">
        <v>11</v>
      </c>
      <c r="AK92" s="175">
        <v>1959.782608695652</v>
      </c>
      <c r="AL92" s="175">
        <v>178.16205533596838</v>
      </c>
      <c r="AM92" s="105">
        <f t="shared" si="49"/>
        <v>6</v>
      </c>
      <c r="AN92" s="412"/>
      <c r="AO92" s="175">
        <v>11</v>
      </c>
      <c r="AP92" s="175">
        <v>1953.9344262295076</v>
      </c>
      <c r="AQ92" s="175">
        <v>177.63040238450068</v>
      </c>
      <c r="AR92" s="105">
        <f t="shared" si="50"/>
        <v>6</v>
      </c>
      <c r="AS92" s="412"/>
      <c r="AT92" s="175"/>
      <c r="AU92" s="175"/>
      <c r="AV92" s="175"/>
      <c r="AW92" s="105" t="e">
        <f t="shared" si="51"/>
        <v>#N/A</v>
      </c>
      <c r="AX92" s="412"/>
    </row>
    <row r="93" spans="2:50">
      <c r="B93" s="398"/>
      <c r="C93" s="105">
        <v>7</v>
      </c>
      <c r="D93" s="228" t="s">
        <v>251</v>
      </c>
      <c r="E93" s="175">
        <v>12</v>
      </c>
      <c r="F93" s="105">
        <v>2250</v>
      </c>
      <c r="G93" s="202">
        <v>187.5</v>
      </c>
      <c r="H93" s="385"/>
      <c r="I93" s="175">
        <f t="shared" si="44"/>
        <v>12</v>
      </c>
      <c r="J93" s="175">
        <f t="shared" si="44"/>
        <v>1678.0541060492731</v>
      </c>
      <c r="K93" s="202">
        <f t="shared" si="44"/>
        <v>139.83784217077277</v>
      </c>
      <c r="L93" s="385"/>
      <c r="M93" s="203">
        <f>RANK(K93, K$87:$K$101)</f>
        <v>9</v>
      </c>
      <c r="N93" s="387"/>
      <c r="O93" s="387"/>
      <c r="P93" s="175">
        <v>12</v>
      </c>
      <c r="Q93" s="175">
        <v>1705.5555555555566</v>
      </c>
      <c r="R93" s="175">
        <v>142.1296296296297</v>
      </c>
      <c r="S93" s="105">
        <f t="shared" si="45"/>
        <v>9</v>
      </c>
      <c r="T93" s="412"/>
      <c r="U93" s="175">
        <v>12</v>
      </c>
      <c r="V93" s="175">
        <v>1677.7358490566048</v>
      </c>
      <c r="W93" s="175">
        <v>139.81132075471706</v>
      </c>
      <c r="X93" s="105">
        <f t="shared" si="46"/>
        <v>9</v>
      </c>
      <c r="Y93" s="412"/>
      <c r="Z93" s="175">
        <v>12</v>
      </c>
      <c r="AA93" s="175">
        <v>1677.7777777777785</v>
      </c>
      <c r="AB93" s="175">
        <v>139.81481481481487</v>
      </c>
      <c r="AC93" s="105">
        <f t="shared" si="47"/>
        <v>9</v>
      </c>
      <c r="AD93" s="412"/>
      <c r="AE93" s="175">
        <v>12</v>
      </c>
      <c r="AF93" s="175">
        <v>1680</v>
      </c>
      <c r="AG93" s="175">
        <v>140</v>
      </c>
      <c r="AH93" s="105">
        <f t="shared" si="48"/>
        <v>9</v>
      </c>
      <c r="AI93" s="412"/>
      <c r="AJ93" s="175">
        <v>12</v>
      </c>
      <c r="AK93" s="175">
        <v>1668.9795918367354</v>
      </c>
      <c r="AL93" s="175">
        <v>139.08163265306129</v>
      </c>
      <c r="AM93" s="105">
        <f t="shared" si="49"/>
        <v>9</v>
      </c>
      <c r="AN93" s="412"/>
      <c r="AO93" s="175">
        <v>12</v>
      </c>
      <c r="AP93" s="175">
        <v>1658.2758620689644</v>
      </c>
      <c r="AQ93" s="175">
        <v>138.18965517241369</v>
      </c>
      <c r="AR93" s="105">
        <f t="shared" si="50"/>
        <v>9</v>
      </c>
      <c r="AS93" s="412"/>
      <c r="AT93" s="175"/>
      <c r="AU93" s="175"/>
      <c r="AV93" s="175"/>
      <c r="AW93" s="105" t="e">
        <f t="shared" si="51"/>
        <v>#N/A</v>
      </c>
      <c r="AX93" s="412"/>
    </row>
    <row r="94" spans="2:50">
      <c r="B94" s="398"/>
      <c r="C94" s="105">
        <v>8</v>
      </c>
      <c r="D94" s="228" t="s">
        <v>252</v>
      </c>
      <c r="E94" s="175">
        <v>9</v>
      </c>
      <c r="F94" s="105">
        <v>2250</v>
      </c>
      <c r="G94" s="202">
        <v>250</v>
      </c>
      <c r="H94" s="385"/>
      <c r="I94" s="175">
        <f t="shared" si="44"/>
        <v>9</v>
      </c>
      <c r="J94" s="175">
        <f t="shared" si="44"/>
        <v>1661.3436922554565</v>
      </c>
      <c r="K94" s="202">
        <f t="shared" si="44"/>
        <v>184.59374358393961</v>
      </c>
      <c r="L94" s="385"/>
      <c r="M94" s="203">
        <f>RANK(K94, K$87:$K$101)</f>
        <v>5</v>
      </c>
      <c r="N94" s="387"/>
      <c r="O94" s="387"/>
      <c r="P94" s="175">
        <v>9</v>
      </c>
      <c r="Q94" s="175">
        <v>1681.714285714284</v>
      </c>
      <c r="R94" s="175">
        <v>186.85714285714266</v>
      </c>
      <c r="S94" s="105">
        <f t="shared" si="45"/>
        <v>5</v>
      </c>
      <c r="T94" s="412"/>
      <c r="U94" s="175">
        <v>9</v>
      </c>
      <c r="V94" s="175">
        <v>1643.3333333333321</v>
      </c>
      <c r="W94" s="175">
        <v>182.59259259259247</v>
      </c>
      <c r="X94" s="105">
        <f t="shared" si="46"/>
        <v>5</v>
      </c>
      <c r="Y94" s="412"/>
      <c r="Z94" s="175">
        <v>9</v>
      </c>
      <c r="AA94" s="175">
        <v>1687.0588235294097</v>
      </c>
      <c r="AB94" s="175">
        <v>187.45098039215662</v>
      </c>
      <c r="AC94" s="105">
        <f t="shared" si="47"/>
        <v>5</v>
      </c>
      <c r="AD94" s="412"/>
      <c r="AE94" s="175">
        <v>9</v>
      </c>
      <c r="AF94" s="175">
        <v>1674.5454545454563</v>
      </c>
      <c r="AG94" s="175">
        <v>186.06060606060626</v>
      </c>
      <c r="AH94" s="105">
        <f t="shared" si="48"/>
        <v>5</v>
      </c>
      <c r="AI94" s="412"/>
      <c r="AJ94" s="175">
        <v>9</v>
      </c>
      <c r="AK94" s="175">
        <v>1658.3333333333321</v>
      </c>
      <c r="AL94" s="175">
        <v>184.25925925925912</v>
      </c>
      <c r="AM94" s="105">
        <f t="shared" si="49"/>
        <v>5</v>
      </c>
      <c r="AN94" s="412"/>
      <c r="AO94" s="175">
        <v>9</v>
      </c>
      <c r="AP94" s="175">
        <v>1623.0769230769254</v>
      </c>
      <c r="AQ94" s="175">
        <v>180.3418803418806</v>
      </c>
      <c r="AR94" s="105">
        <f t="shared" si="50"/>
        <v>5</v>
      </c>
      <c r="AS94" s="412"/>
      <c r="AT94" s="175"/>
      <c r="AU94" s="175"/>
      <c r="AV94" s="175"/>
      <c r="AW94" s="105" t="e">
        <f t="shared" si="51"/>
        <v>#N/A</v>
      </c>
      <c r="AX94" s="412"/>
    </row>
    <row r="95" spans="2:50">
      <c r="B95" s="398"/>
      <c r="C95" s="105">
        <v>9</v>
      </c>
      <c r="D95" s="228" t="s">
        <v>253</v>
      </c>
      <c r="E95" s="175">
        <v>9</v>
      </c>
      <c r="F95" s="105">
        <v>2250</v>
      </c>
      <c r="G95" s="202">
        <v>250</v>
      </c>
      <c r="H95" s="385"/>
      <c r="I95" s="175">
        <f t="shared" si="44"/>
        <v>9</v>
      </c>
      <c r="J95" s="175">
        <f t="shared" si="44"/>
        <v>1986.0481143472928</v>
      </c>
      <c r="K95" s="202">
        <f t="shared" si="44"/>
        <v>220.67201270525479</v>
      </c>
      <c r="L95" s="385"/>
      <c r="M95" s="203">
        <f>RANK(K95, K$87:$K$101)</f>
        <v>4</v>
      </c>
      <c r="N95" s="387"/>
      <c r="O95" s="387"/>
      <c r="P95" s="175">
        <v>9</v>
      </c>
      <c r="Q95" s="175">
        <v>2030.7142857142869</v>
      </c>
      <c r="R95" s="175">
        <v>225.63492063492077</v>
      </c>
      <c r="S95" s="105">
        <f t="shared" si="45"/>
        <v>4</v>
      </c>
      <c r="T95" s="412"/>
      <c r="U95" s="175">
        <v>9</v>
      </c>
      <c r="V95" s="175">
        <v>2016.4285714285709</v>
      </c>
      <c r="W95" s="175">
        <v>224.04761904761898</v>
      </c>
      <c r="X95" s="105">
        <f t="shared" si="46"/>
        <v>4</v>
      </c>
      <c r="Y95" s="412"/>
      <c r="Z95" s="175">
        <v>9</v>
      </c>
      <c r="AA95" s="175">
        <v>1975.7647058823543</v>
      </c>
      <c r="AB95" s="175">
        <v>219.52941176470603</v>
      </c>
      <c r="AC95" s="105">
        <f t="shared" si="47"/>
        <v>4</v>
      </c>
      <c r="AD95" s="412"/>
      <c r="AE95" s="175">
        <v>9</v>
      </c>
      <c r="AF95" s="175">
        <v>1923.7037037037046</v>
      </c>
      <c r="AG95" s="175">
        <v>213.74485596707828</v>
      </c>
      <c r="AH95" s="105">
        <f t="shared" si="48"/>
        <v>4</v>
      </c>
      <c r="AI95" s="412"/>
      <c r="AJ95" s="175">
        <v>9</v>
      </c>
      <c r="AK95" s="175">
        <v>1960.0000000000011</v>
      </c>
      <c r="AL95" s="175">
        <v>217.77777777777791</v>
      </c>
      <c r="AM95" s="105">
        <f t="shared" si="49"/>
        <v>4</v>
      </c>
      <c r="AN95" s="412"/>
      <c r="AO95" s="175">
        <v>9</v>
      </c>
      <c r="AP95" s="175">
        <v>2009.677419354839</v>
      </c>
      <c r="AQ95" s="175">
        <v>223.29749103942655</v>
      </c>
      <c r="AR95" s="105">
        <f t="shared" si="50"/>
        <v>4</v>
      </c>
      <c r="AS95" s="412"/>
      <c r="AT95" s="175"/>
      <c r="AU95" s="175"/>
      <c r="AV95" s="175"/>
      <c r="AW95" s="105" t="e">
        <f t="shared" si="51"/>
        <v>#N/A</v>
      </c>
      <c r="AX95" s="412"/>
    </row>
    <row r="96" spans="2:50">
      <c r="B96" s="398"/>
      <c r="C96" s="105">
        <v>10</v>
      </c>
      <c r="D96" s="228" t="s">
        <v>244</v>
      </c>
      <c r="E96" s="175">
        <v>18</v>
      </c>
      <c r="F96" s="105">
        <v>1250</v>
      </c>
      <c r="G96" s="202">
        <v>69.444444444444443</v>
      </c>
      <c r="H96" s="385"/>
      <c r="I96" s="175">
        <f t="shared" si="44"/>
        <v>13</v>
      </c>
      <c r="J96" s="175">
        <f t="shared" si="44"/>
        <v>1245.0353659412488</v>
      </c>
      <c r="K96" s="202">
        <f t="shared" si="44"/>
        <v>95.771951226249897</v>
      </c>
      <c r="L96" s="385"/>
      <c r="M96" s="203">
        <f>RANK(K96, K$87:$K$101)</f>
        <v>10</v>
      </c>
      <c r="N96" s="387"/>
      <c r="O96" s="387"/>
      <c r="P96" s="175">
        <v>13</v>
      </c>
      <c r="Q96" s="175">
        <v>1243.0588235294126</v>
      </c>
      <c r="R96" s="175">
        <v>95.619909502262516</v>
      </c>
      <c r="S96" s="105">
        <f t="shared" si="45"/>
        <v>10</v>
      </c>
      <c r="T96" s="412"/>
      <c r="U96" s="175">
        <v>13</v>
      </c>
      <c r="V96" s="175">
        <v>1232.4705882352948</v>
      </c>
      <c r="W96" s="175">
        <v>94.805429864253455</v>
      </c>
      <c r="X96" s="105">
        <f t="shared" si="46"/>
        <v>10</v>
      </c>
      <c r="Y96" s="412"/>
      <c r="Z96" s="175">
        <v>13</v>
      </c>
      <c r="AA96" s="175">
        <v>1252.8000000000006</v>
      </c>
      <c r="AB96" s="175">
        <v>96.369230769230825</v>
      </c>
      <c r="AC96" s="105">
        <f t="shared" si="47"/>
        <v>10</v>
      </c>
      <c r="AD96" s="412"/>
      <c r="AE96" s="175">
        <v>13</v>
      </c>
      <c r="AF96" s="175">
        <v>1239.6923076923081</v>
      </c>
      <c r="AG96" s="175">
        <v>95.36094674556216</v>
      </c>
      <c r="AH96" s="105">
        <f t="shared" si="48"/>
        <v>10</v>
      </c>
      <c r="AI96" s="412"/>
      <c r="AJ96" s="175">
        <v>13</v>
      </c>
      <c r="AK96" s="175">
        <v>1242.8571428571436</v>
      </c>
      <c r="AL96" s="175">
        <v>95.604395604395663</v>
      </c>
      <c r="AM96" s="105">
        <f t="shared" si="49"/>
        <v>10</v>
      </c>
      <c r="AN96" s="412"/>
      <c r="AO96" s="175">
        <v>13</v>
      </c>
      <c r="AP96" s="175">
        <v>1259.3333333333333</v>
      </c>
      <c r="AQ96" s="175">
        <v>96.871794871794862</v>
      </c>
      <c r="AR96" s="105">
        <f t="shared" si="50"/>
        <v>10</v>
      </c>
      <c r="AS96" s="412"/>
      <c r="AT96" s="175"/>
      <c r="AU96" s="175"/>
      <c r="AV96" s="175"/>
      <c r="AW96" s="105" t="e">
        <f t="shared" si="51"/>
        <v>#N/A</v>
      </c>
      <c r="AX96" s="412"/>
    </row>
    <row r="97" spans="2:50">
      <c r="B97" s="398"/>
      <c r="C97" s="105">
        <v>11</v>
      </c>
      <c r="D97" s="228"/>
      <c r="E97" s="175"/>
      <c r="F97" s="105"/>
      <c r="G97" s="202"/>
      <c r="H97" s="385"/>
      <c r="I97" s="105"/>
      <c r="J97" s="105"/>
      <c r="K97" s="105"/>
      <c r="L97" s="385"/>
      <c r="M97" s="203" t="e">
        <f>RANK(K97, K$87:$K$101)</f>
        <v>#N/A</v>
      </c>
      <c r="N97" s="387"/>
      <c r="O97" s="387"/>
      <c r="P97" s="175"/>
      <c r="Q97" s="175"/>
      <c r="R97" s="175"/>
      <c r="S97" s="105" t="e">
        <f t="shared" si="45"/>
        <v>#N/A</v>
      </c>
      <c r="T97" s="412"/>
      <c r="U97" s="175"/>
      <c r="V97" s="175"/>
      <c r="W97" s="175"/>
      <c r="X97" s="105" t="e">
        <f t="shared" si="46"/>
        <v>#N/A</v>
      </c>
      <c r="Y97" s="412"/>
      <c r="Z97" s="175"/>
      <c r="AA97" s="175"/>
      <c r="AB97" s="202"/>
      <c r="AC97" s="105" t="e">
        <f t="shared" si="47"/>
        <v>#N/A</v>
      </c>
      <c r="AD97" s="412"/>
      <c r="AE97" s="175"/>
      <c r="AF97" s="175"/>
      <c r="AG97" s="202"/>
      <c r="AH97" s="105" t="e">
        <f t="shared" si="48"/>
        <v>#N/A</v>
      </c>
      <c r="AI97" s="412"/>
      <c r="AJ97" s="175"/>
      <c r="AK97" s="175"/>
      <c r="AL97" s="202"/>
      <c r="AM97" s="105" t="e">
        <f t="shared" si="49"/>
        <v>#N/A</v>
      </c>
      <c r="AN97" s="412"/>
      <c r="AO97" s="175"/>
      <c r="AP97" s="175"/>
      <c r="AQ97" s="202"/>
      <c r="AR97" s="105" t="e">
        <f t="shared" si="50"/>
        <v>#N/A</v>
      </c>
      <c r="AS97" s="412"/>
      <c r="AT97" s="175"/>
      <c r="AU97" s="175"/>
      <c r="AV97" s="202"/>
      <c r="AW97" s="105" t="e">
        <f t="shared" si="51"/>
        <v>#N/A</v>
      </c>
      <c r="AX97" s="412"/>
    </row>
    <row r="98" spans="2:50">
      <c r="B98" s="398"/>
      <c r="C98" s="105">
        <v>12</v>
      </c>
      <c r="D98" s="228"/>
      <c r="E98" s="175"/>
      <c r="F98" s="105"/>
      <c r="G98" s="202"/>
      <c r="H98" s="385"/>
      <c r="I98" s="105"/>
      <c r="J98" s="105"/>
      <c r="K98" s="105"/>
      <c r="L98" s="385"/>
      <c r="M98" s="203" t="e">
        <f>RANK(K98, K$87:$K$101)</f>
        <v>#N/A</v>
      </c>
      <c r="N98" s="387"/>
      <c r="O98" s="387"/>
      <c r="P98" s="175"/>
      <c r="Q98" s="175"/>
      <c r="R98" s="175"/>
      <c r="S98" s="105" t="e">
        <f t="shared" si="45"/>
        <v>#N/A</v>
      </c>
      <c r="T98" s="412"/>
      <c r="U98" s="175"/>
      <c r="V98" s="175"/>
      <c r="W98" s="175"/>
      <c r="X98" s="105" t="e">
        <f t="shared" si="46"/>
        <v>#N/A</v>
      </c>
      <c r="Y98" s="412"/>
      <c r="Z98" s="175"/>
      <c r="AA98" s="175"/>
      <c r="AB98" s="202"/>
      <c r="AC98" s="105" t="e">
        <f t="shared" si="47"/>
        <v>#N/A</v>
      </c>
      <c r="AD98" s="412"/>
      <c r="AE98" s="175"/>
      <c r="AF98" s="175"/>
      <c r="AG98" s="202"/>
      <c r="AH98" s="105" t="e">
        <f t="shared" si="48"/>
        <v>#N/A</v>
      </c>
      <c r="AI98" s="412"/>
      <c r="AJ98" s="175"/>
      <c r="AK98" s="175"/>
      <c r="AL98" s="202"/>
      <c r="AM98" s="105" t="e">
        <f t="shared" si="49"/>
        <v>#N/A</v>
      </c>
      <c r="AN98" s="412"/>
      <c r="AO98" s="175"/>
      <c r="AP98" s="175"/>
      <c r="AQ98" s="202"/>
      <c r="AR98" s="105" t="e">
        <f t="shared" si="50"/>
        <v>#N/A</v>
      </c>
      <c r="AS98" s="412"/>
      <c r="AT98" s="175"/>
      <c r="AU98" s="175"/>
      <c r="AV98" s="202"/>
      <c r="AW98" s="105" t="e">
        <f t="shared" si="51"/>
        <v>#N/A</v>
      </c>
      <c r="AX98" s="412"/>
    </row>
    <row r="99" spans="2:50">
      <c r="B99" s="398"/>
      <c r="C99" s="105">
        <v>13</v>
      </c>
      <c r="D99" s="228"/>
      <c r="E99" s="175"/>
      <c r="F99" s="105"/>
      <c r="G99" s="202"/>
      <c r="H99" s="385"/>
      <c r="I99" s="105"/>
      <c r="J99" s="105"/>
      <c r="K99" s="105"/>
      <c r="L99" s="385"/>
      <c r="M99" s="203" t="e">
        <f>RANK(K99, K$87:$K$101)</f>
        <v>#N/A</v>
      </c>
      <c r="N99" s="387"/>
      <c r="O99" s="387"/>
      <c r="P99" s="175"/>
      <c r="Q99" s="175"/>
      <c r="R99" s="202"/>
      <c r="S99" s="105" t="e">
        <f t="shared" si="45"/>
        <v>#N/A</v>
      </c>
      <c r="T99" s="412"/>
      <c r="U99" s="175"/>
      <c r="V99" s="175"/>
      <c r="W99" s="175"/>
      <c r="X99" s="105" t="e">
        <f t="shared" si="46"/>
        <v>#N/A</v>
      </c>
      <c r="Y99" s="412"/>
      <c r="Z99" s="175"/>
      <c r="AA99" s="175"/>
      <c r="AB99" s="202"/>
      <c r="AC99" s="105" t="e">
        <f t="shared" si="47"/>
        <v>#N/A</v>
      </c>
      <c r="AD99" s="412"/>
      <c r="AE99" s="175"/>
      <c r="AF99" s="175"/>
      <c r="AG99" s="202"/>
      <c r="AH99" s="105" t="e">
        <f t="shared" si="48"/>
        <v>#N/A</v>
      </c>
      <c r="AI99" s="412"/>
      <c r="AJ99" s="175"/>
      <c r="AK99" s="175"/>
      <c r="AL99" s="202"/>
      <c r="AM99" s="105" t="e">
        <f t="shared" si="49"/>
        <v>#N/A</v>
      </c>
      <c r="AN99" s="412"/>
      <c r="AO99" s="175"/>
      <c r="AP99" s="175"/>
      <c r="AQ99" s="202"/>
      <c r="AR99" s="105" t="e">
        <f t="shared" si="50"/>
        <v>#N/A</v>
      </c>
      <c r="AS99" s="412"/>
      <c r="AT99" s="175"/>
      <c r="AU99" s="175"/>
      <c r="AV99" s="202"/>
      <c r="AW99" s="105" t="e">
        <f t="shared" si="51"/>
        <v>#N/A</v>
      </c>
      <c r="AX99" s="412"/>
    </row>
    <row r="100" spans="2:50">
      <c r="B100" s="398"/>
      <c r="C100" s="105">
        <v>14</v>
      </c>
      <c r="D100" s="228"/>
      <c r="E100" s="175"/>
      <c r="F100" s="105"/>
      <c r="G100" s="202"/>
      <c r="H100" s="385"/>
      <c r="I100" s="105"/>
      <c r="J100" s="105"/>
      <c r="K100" s="105"/>
      <c r="L100" s="385"/>
      <c r="M100" s="203" t="e">
        <f>RANK(K100, K$87:$K$101)</f>
        <v>#N/A</v>
      </c>
      <c r="N100" s="387"/>
      <c r="O100" s="387"/>
      <c r="P100" s="175"/>
      <c r="Q100" s="175"/>
      <c r="R100" s="202"/>
      <c r="S100" s="105" t="e">
        <f t="shared" si="45"/>
        <v>#N/A</v>
      </c>
      <c r="T100" s="412"/>
      <c r="U100" s="175"/>
      <c r="V100" s="175"/>
      <c r="W100" s="175"/>
      <c r="X100" s="105" t="e">
        <f t="shared" si="46"/>
        <v>#N/A</v>
      </c>
      <c r="Y100" s="412"/>
      <c r="Z100" s="175"/>
      <c r="AA100" s="175"/>
      <c r="AB100" s="202"/>
      <c r="AC100" s="105" t="e">
        <f t="shared" si="47"/>
        <v>#N/A</v>
      </c>
      <c r="AD100" s="412"/>
      <c r="AE100" s="175"/>
      <c r="AF100" s="175"/>
      <c r="AG100" s="202"/>
      <c r="AH100" s="105" t="e">
        <f t="shared" si="48"/>
        <v>#N/A</v>
      </c>
      <c r="AI100" s="412"/>
      <c r="AJ100" s="175"/>
      <c r="AK100" s="175"/>
      <c r="AL100" s="202"/>
      <c r="AM100" s="105" t="e">
        <f t="shared" si="49"/>
        <v>#N/A</v>
      </c>
      <c r="AN100" s="412"/>
      <c r="AO100" s="175"/>
      <c r="AP100" s="175"/>
      <c r="AQ100" s="202"/>
      <c r="AR100" s="105" t="e">
        <f t="shared" si="50"/>
        <v>#N/A</v>
      </c>
      <c r="AS100" s="412"/>
      <c r="AT100" s="175"/>
      <c r="AU100" s="175"/>
      <c r="AV100" s="202"/>
      <c r="AW100" s="105" t="e">
        <f t="shared" si="51"/>
        <v>#N/A</v>
      </c>
      <c r="AX100" s="412"/>
    </row>
    <row r="101" spans="2:50">
      <c r="B101" s="398"/>
      <c r="C101" s="105">
        <v>15</v>
      </c>
      <c r="D101" s="228"/>
      <c r="E101" s="175"/>
      <c r="F101" s="105"/>
      <c r="G101" s="202"/>
      <c r="H101" s="386"/>
      <c r="I101" s="105"/>
      <c r="J101" s="105"/>
      <c r="K101" s="105"/>
      <c r="L101" s="386"/>
      <c r="M101" s="175" t="e">
        <f>RANK(K101, K$87:$K$101)</f>
        <v>#N/A</v>
      </c>
      <c r="N101" s="387"/>
      <c r="O101" s="387"/>
      <c r="P101" s="175"/>
      <c r="Q101" s="175"/>
      <c r="R101" s="202"/>
      <c r="S101" s="105" t="e">
        <f t="shared" si="45"/>
        <v>#N/A</v>
      </c>
      <c r="T101" s="412"/>
      <c r="U101" s="175"/>
      <c r="V101" s="175"/>
      <c r="W101" s="175"/>
      <c r="X101" s="105" t="e">
        <f t="shared" si="46"/>
        <v>#N/A</v>
      </c>
      <c r="Y101" s="412"/>
      <c r="Z101" s="175"/>
      <c r="AA101" s="175"/>
      <c r="AB101" s="202"/>
      <c r="AC101" s="105" t="e">
        <f t="shared" si="47"/>
        <v>#N/A</v>
      </c>
      <c r="AD101" s="412"/>
      <c r="AE101" s="175"/>
      <c r="AF101" s="175"/>
      <c r="AG101" s="202"/>
      <c r="AH101" s="105" t="e">
        <f t="shared" si="48"/>
        <v>#N/A</v>
      </c>
      <c r="AI101" s="412"/>
      <c r="AJ101" s="175"/>
      <c r="AK101" s="175"/>
      <c r="AL101" s="202"/>
      <c r="AM101" s="105" t="e">
        <f t="shared" si="49"/>
        <v>#N/A</v>
      </c>
      <c r="AN101" s="412"/>
      <c r="AO101" s="175"/>
      <c r="AP101" s="175"/>
      <c r="AQ101" s="202"/>
      <c r="AR101" s="105" t="e">
        <f t="shared" si="50"/>
        <v>#N/A</v>
      </c>
      <c r="AS101" s="412"/>
      <c r="AT101" s="175"/>
      <c r="AU101" s="175"/>
      <c r="AV101" s="202"/>
      <c r="AW101" s="105" t="e">
        <f t="shared" si="51"/>
        <v>#N/A</v>
      </c>
      <c r="AX101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101"/>
  <sheetViews>
    <sheetView zoomScale="50" zoomScaleNormal="50" workbookViewId="0">
      <pane xSplit="15" topLeftCell="P1" activePane="topRight" state="frozen"/>
      <selection pane="topRight" activeCell="G37" sqref="G1:G1048576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219">
        <f>AVERAGE(L7,L27,L47,L67,L87)</f>
        <v>106.86512290813759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87" t="s">
        <v>255</v>
      </c>
      <c r="C7" s="105">
        <v>1</v>
      </c>
      <c r="D7" s="228" t="s">
        <v>256</v>
      </c>
      <c r="E7" s="175">
        <v>13</v>
      </c>
      <c r="F7" s="105">
        <v>1607.9999999999993</v>
      </c>
      <c r="G7" s="202">
        <v>123.69230769230764</v>
      </c>
      <c r="H7" s="384">
        <f>AVERAGE(G7:G21)</f>
        <v>101.84615384615381</v>
      </c>
      <c r="I7" s="175">
        <f>AVERAGE(P7,U7,Z7,AE7,AJ7,AO7,AT7)</f>
        <v>12.75</v>
      </c>
      <c r="J7" s="175">
        <f>AVERAGE(Q7,V7,AA7,AF7,AK7,AP7,AU7)</f>
        <v>1494.2999999999984</v>
      </c>
      <c r="K7" s="202">
        <f>AVERAGE(R7,W7,AB7,AG7,AL7,AQ7,AV7)</f>
        <v>117.56634615384603</v>
      </c>
      <c r="L7" s="384">
        <f>IFERROR(AVERAGE(K7:K21),"-")</f>
        <v>95.253819668893101</v>
      </c>
      <c r="M7" s="203">
        <f>RANK(K7, K$7:$K$21)</f>
        <v>1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v>13</v>
      </c>
      <c r="AF7" s="175">
        <v>1346.9999999999941</v>
      </c>
      <c r="AG7" s="202">
        <v>103.61538461538416</v>
      </c>
      <c r="AH7" s="105">
        <f>RANK(AG7, AG$7:AG$21)</f>
        <v>1</v>
      </c>
      <c r="AI7" s="412">
        <f>AVERAGE(AG7:AG21)</f>
        <v>84.696581196580951</v>
      </c>
      <c r="AJ7" s="105">
        <v>13</v>
      </c>
      <c r="AK7" s="175">
        <v>1607.9999999999993</v>
      </c>
      <c r="AL7" s="202">
        <v>123.69230769230764</v>
      </c>
      <c r="AM7" s="105">
        <f>RANK(AL7, AL$7:AL$21)</f>
        <v>1</v>
      </c>
      <c r="AN7" s="412">
        <f>AVERAGE(AL7:AL21)</f>
        <v>96.375565610859667</v>
      </c>
      <c r="AO7" s="105">
        <v>13</v>
      </c>
      <c r="AP7" s="175">
        <v>1387.2000000000005</v>
      </c>
      <c r="AQ7" s="202">
        <v>106.70769230769234</v>
      </c>
      <c r="AR7" s="105">
        <f>RANK(AQ7, AQ$7:AQ$21)</f>
        <v>1</v>
      </c>
      <c r="AS7" s="412">
        <f>AVERAGE(AQ7:AQ21)</f>
        <v>93.068131868131843</v>
      </c>
      <c r="AT7" s="105">
        <v>12</v>
      </c>
      <c r="AU7" s="175">
        <v>1634.9999999999993</v>
      </c>
      <c r="AV7" s="202">
        <v>136.24999999999994</v>
      </c>
      <c r="AW7" s="105">
        <f>RANK(AV7, AV$7:AV$21)</f>
        <v>1</v>
      </c>
      <c r="AX7" s="412">
        <f>AVERAGE(AV7:AV21)</f>
        <v>106.87499999999991</v>
      </c>
    </row>
    <row r="8" spans="1:50" ht="15" customHeight="1">
      <c r="A8" s="79"/>
      <c r="B8" s="398"/>
      <c r="C8" s="105">
        <v>2</v>
      </c>
      <c r="D8" s="228" t="s">
        <v>257</v>
      </c>
      <c r="E8" s="175">
        <v>15</v>
      </c>
      <c r="F8" s="105">
        <v>1200</v>
      </c>
      <c r="G8" s="202">
        <v>80</v>
      </c>
      <c r="H8" s="385"/>
      <c r="I8" s="175">
        <f t="shared" ref="I8:K8" si="0">AVERAGE(P8,U8,Z8,AE8,AJ8,AO8,AT8)</f>
        <v>15</v>
      </c>
      <c r="J8" s="175">
        <f t="shared" si="0"/>
        <v>1094.1193977591024</v>
      </c>
      <c r="K8" s="202">
        <f t="shared" si="0"/>
        <v>72.941293183940161</v>
      </c>
      <c r="L8" s="385"/>
      <c r="M8" s="203">
        <f>RANK(K8, K$7:$K$21)</f>
        <v>2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v>15</v>
      </c>
      <c r="AF8" s="175">
        <v>986.66666666666595</v>
      </c>
      <c r="AG8" s="202">
        <v>65.777777777777729</v>
      </c>
      <c r="AH8" s="105">
        <f t="shared" ref="AH8:AH21" si="4">RANK(AG8, AG$7:AG$21)</f>
        <v>2</v>
      </c>
      <c r="AI8" s="412"/>
      <c r="AJ8" s="105">
        <v>15</v>
      </c>
      <c r="AK8" s="175">
        <v>1035.8823529411752</v>
      </c>
      <c r="AL8" s="202">
        <v>69.058823529411683</v>
      </c>
      <c r="AM8" s="105">
        <f t="shared" ref="AM8:AM21" si="5">RANK(AL8, AL$7:AL$21)</f>
        <v>2</v>
      </c>
      <c r="AN8" s="412"/>
      <c r="AO8" s="105">
        <v>15</v>
      </c>
      <c r="AP8" s="175">
        <v>1191.4285714285702</v>
      </c>
      <c r="AQ8" s="202">
        <v>79.428571428571345</v>
      </c>
      <c r="AR8" s="105">
        <f t="shared" ref="AR8:AR21" si="6">RANK(AQ8, AQ$7:AQ$21)</f>
        <v>2</v>
      </c>
      <c r="AS8" s="412"/>
      <c r="AT8" s="105">
        <v>15</v>
      </c>
      <c r="AU8" s="175">
        <v>1162.4999999999984</v>
      </c>
      <c r="AV8" s="202">
        <v>77.499999999999901</v>
      </c>
      <c r="AW8" s="105">
        <f t="shared" ref="AW8:AW21" si="7">RANK(AV8, AV$7:AV$21)</f>
        <v>2</v>
      </c>
      <c r="AX8" s="412"/>
    </row>
    <row r="9" spans="1:50">
      <c r="A9" s="79"/>
      <c r="B9" s="398"/>
      <c r="C9" s="105">
        <v>3</v>
      </c>
      <c r="D9" s="228"/>
      <c r="E9" s="175"/>
      <c r="F9" s="105"/>
      <c r="G9" s="202"/>
      <c r="H9" s="385"/>
      <c r="I9" s="175"/>
      <c r="J9" s="175"/>
      <c r="K9" s="202"/>
      <c r="L9" s="385"/>
      <c r="M9" s="203" t="e">
        <f>RANK(K9, K$7:$K$21)</f>
        <v>#N/A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/>
      <c r="AF9" s="175"/>
      <c r="AG9" s="202"/>
      <c r="AH9" s="105" t="e">
        <f t="shared" si="4"/>
        <v>#N/A</v>
      </c>
      <c r="AI9" s="412"/>
      <c r="AJ9" s="105"/>
      <c r="AK9" s="175"/>
      <c r="AL9" s="202"/>
      <c r="AM9" s="105" t="e">
        <f t="shared" si="5"/>
        <v>#N/A</v>
      </c>
      <c r="AN9" s="412"/>
      <c r="AO9" s="105"/>
      <c r="AP9" s="175"/>
      <c r="AQ9" s="202"/>
      <c r="AR9" s="105" t="e">
        <f t="shared" si="6"/>
        <v>#N/A</v>
      </c>
      <c r="AS9" s="412"/>
      <c r="AT9" s="105"/>
      <c r="AU9" s="175"/>
      <c r="AV9" s="202"/>
      <c r="AW9" s="105" t="e">
        <f t="shared" si="7"/>
        <v>#N/A</v>
      </c>
      <c r="AX9" s="412"/>
    </row>
    <row r="10" spans="1:50">
      <c r="A10" s="79"/>
      <c r="B10" s="398"/>
      <c r="C10" s="105">
        <v>4</v>
      </c>
      <c r="D10" s="228"/>
      <c r="E10" s="175"/>
      <c r="F10" s="105"/>
      <c r="G10" s="202"/>
      <c r="H10" s="385"/>
      <c r="I10" s="175"/>
      <c r="J10" s="175"/>
      <c r="K10" s="202"/>
      <c r="L10" s="385"/>
      <c r="M10" s="203" t="e">
        <f>RANK(K10, K$7:$K$21)</f>
        <v>#N/A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/>
      <c r="AF10" s="175"/>
      <c r="AG10" s="202"/>
      <c r="AH10" s="105" t="e">
        <f t="shared" si="4"/>
        <v>#N/A</v>
      </c>
      <c r="AI10" s="412"/>
      <c r="AJ10" s="105"/>
      <c r="AK10" s="175"/>
      <c r="AL10" s="202"/>
      <c r="AM10" s="105" t="e">
        <f t="shared" si="5"/>
        <v>#N/A</v>
      </c>
      <c r="AN10" s="412"/>
      <c r="AO10" s="105"/>
      <c r="AP10" s="175"/>
      <c r="AQ10" s="202"/>
      <c r="AR10" s="105" t="e">
        <f t="shared" si="6"/>
        <v>#N/A</v>
      </c>
      <c r="AS10" s="412"/>
      <c r="AT10" s="105"/>
      <c r="AU10" s="175"/>
      <c r="AV10" s="202"/>
      <c r="AW10" s="105" t="e">
        <f t="shared" si="7"/>
        <v>#N/A</v>
      </c>
      <c r="AX10" s="412"/>
    </row>
    <row r="11" spans="1:50">
      <c r="A11" s="79"/>
      <c r="B11" s="398"/>
      <c r="C11" s="105">
        <v>5</v>
      </c>
      <c r="D11" s="228"/>
      <c r="E11" s="175"/>
      <c r="F11" s="105"/>
      <c r="G11" s="202"/>
      <c r="H11" s="385"/>
      <c r="I11" s="175"/>
      <c r="J11" s="175"/>
      <c r="K11" s="202"/>
      <c r="L11" s="385"/>
      <c r="M11" s="203" t="e">
        <f>RANK(K11, K$7:$K$21)</f>
        <v>#N/A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/>
      <c r="AF11" s="175"/>
      <c r="AG11" s="202"/>
      <c r="AH11" s="105" t="e">
        <f t="shared" si="4"/>
        <v>#N/A</v>
      </c>
      <c r="AI11" s="412"/>
      <c r="AJ11" s="105"/>
      <c r="AK11" s="175"/>
      <c r="AL11" s="202"/>
      <c r="AM11" s="105" t="e">
        <f t="shared" si="5"/>
        <v>#N/A</v>
      </c>
      <c r="AN11" s="412"/>
      <c r="AO11" s="105"/>
      <c r="AP11" s="175"/>
      <c r="AQ11" s="202"/>
      <c r="AR11" s="105" t="e">
        <f t="shared" si="6"/>
        <v>#N/A</v>
      </c>
      <c r="AS11" s="412"/>
      <c r="AT11" s="105"/>
      <c r="AU11" s="175"/>
      <c r="AV11" s="202"/>
      <c r="AW11" s="105" t="e">
        <f t="shared" si="7"/>
        <v>#N/A</v>
      </c>
      <c r="AX11" s="412"/>
    </row>
    <row r="12" spans="1:50">
      <c r="A12" s="79"/>
      <c r="B12" s="398"/>
      <c r="C12" s="105">
        <v>6</v>
      </c>
      <c r="D12" s="228"/>
      <c r="E12" s="175"/>
      <c r="F12" s="105"/>
      <c r="G12" s="202"/>
      <c r="H12" s="385"/>
      <c r="I12" s="175"/>
      <c r="J12" s="175"/>
      <c r="K12" s="202"/>
      <c r="L12" s="385"/>
      <c r="M12" s="203" t="e">
        <f>RANK(K12, K$7:$K$21)</f>
        <v>#N/A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/>
      <c r="AF12" s="175"/>
      <c r="AG12" s="202"/>
      <c r="AH12" s="105" t="e">
        <f t="shared" si="4"/>
        <v>#N/A</v>
      </c>
      <c r="AI12" s="412"/>
      <c r="AJ12" s="105"/>
      <c r="AK12" s="175"/>
      <c r="AL12" s="202"/>
      <c r="AM12" s="105" t="e">
        <f t="shared" si="5"/>
        <v>#N/A</v>
      </c>
      <c r="AN12" s="412"/>
      <c r="AO12" s="105"/>
      <c r="AP12" s="175"/>
      <c r="AQ12" s="202"/>
      <c r="AR12" s="105" t="e">
        <f t="shared" si="6"/>
        <v>#N/A</v>
      </c>
      <c r="AS12" s="412"/>
      <c r="AT12" s="105"/>
      <c r="AU12" s="175"/>
      <c r="AV12" s="202"/>
      <c r="AW12" s="105" t="e">
        <f t="shared" si="7"/>
        <v>#N/A</v>
      </c>
      <c r="AX12" s="412"/>
    </row>
    <row r="13" spans="1:50">
      <c r="A13" s="79"/>
      <c r="B13" s="398"/>
      <c r="C13" s="105">
        <v>7</v>
      </c>
      <c r="D13" s="228"/>
      <c r="E13" s="175"/>
      <c r="F13" s="105"/>
      <c r="G13" s="202"/>
      <c r="H13" s="385"/>
      <c r="I13" s="175"/>
      <c r="J13" s="175"/>
      <c r="K13" s="202"/>
      <c r="L13" s="385"/>
      <c r="M13" s="203" t="e">
        <f>RANK(K13, K$7:$K$21)</f>
        <v>#N/A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/>
      <c r="AF13" s="175"/>
      <c r="AG13" s="202"/>
      <c r="AH13" s="105" t="e">
        <f t="shared" si="4"/>
        <v>#N/A</v>
      </c>
      <c r="AI13" s="412"/>
      <c r="AJ13" s="105"/>
      <c r="AK13" s="175"/>
      <c r="AL13" s="202"/>
      <c r="AM13" s="105" t="e">
        <f t="shared" si="5"/>
        <v>#N/A</v>
      </c>
      <c r="AN13" s="412"/>
      <c r="AO13" s="105"/>
      <c r="AP13" s="175"/>
      <c r="AQ13" s="202"/>
      <c r="AR13" s="105" t="e">
        <f t="shared" si="6"/>
        <v>#N/A</v>
      </c>
      <c r="AS13" s="412"/>
      <c r="AT13" s="105"/>
      <c r="AU13" s="175"/>
      <c r="AV13" s="202"/>
      <c r="AW13" s="105" t="e">
        <f t="shared" si="7"/>
        <v>#N/A</v>
      </c>
      <c r="AX13" s="412"/>
    </row>
    <row r="14" spans="1:50">
      <c r="A14" s="79"/>
      <c r="B14" s="398"/>
      <c r="C14" s="105">
        <v>8</v>
      </c>
      <c r="D14" s="228"/>
      <c r="E14" s="175"/>
      <c r="F14" s="105"/>
      <c r="G14" s="202"/>
      <c r="H14" s="385"/>
      <c r="I14" s="175"/>
      <c r="J14" s="175"/>
      <c r="K14" s="202"/>
      <c r="L14" s="385"/>
      <c r="M14" s="203" t="e">
        <f>RANK(K14, K$7:$K$21)</f>
        <v>#N/A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/>
      <c r="AF14" s="175"/>
      <c r="AG14" s="202"/>
      <c r="AH14" s="105" t="e">
        <f t="shared" si="4"/>
        <v>#N/A</v>
      </c>
      <c r="AI14" s="412"/>
      <c r="AJ14" s="105"/>
      <c r="AK14" s="175"/>
      <c r="AL14" s="202"/>
      <c r="AM14" s="105" t="e">
        <f t="shared" si="5"/>
        <v>#N/A</v>
      </c>
      <c r="AN14" s="412"/>
      <c r="AO14" s="105"/>
      <c r="AP14" s="175"/>
      <c r="AQ14" s="202"/>
      <c r="AR14" s="105" t="e">
        <f t="shared" si="6"/>
        <v>#N/A</v>
      </c>
      <c r="AS14" s="412"/>
      <c r="AT14" s="105"/>
      <c r="AU14" s="175"/>
      <c r="AV14" s="202"/>
      <c r="AW14" s="105" t="e">
        <f t="shared" si="7"/>
        <v>#N/A</v>
      </c>
      <c r="AX14" s="412"/>
    </row>
    <row r="15" spans="1:50">
      <c r="A15" s="79"/>
      <c r="B15" s="398"/>
      <c r="C15" s="105">
        <v>9</v>
      </c>
      <c r="D15" s="228"/>
      <c r="E15" s="175"/>
      <c r="F15" s="105"/>
      <c r="G15" s="202"/>
      <c r="H15" s="385"/>
      <c r="I15" s="175"/>
      <c r="J15" s="175"/>
      <c r="K15" s="202"/>
      <c r="L15" s="385"/>
      <c r="M15" s="203" t="e">
        <f>RANK(K15, K$7:$K$21)</f>
        <v>#N/A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/>
      <c r="AF15" s="175"/>
      <c r="AG15" s="202"/>
      <c r="AH15" s="105" t="e">
        <f t="shared" si="4"/>
        <v>#N/A</v>
      </c>
      <c r="AI15" s="412"/>
      <c r="AJ15" s="105"/>
      <c r="AK15" s="175"/>
      <c r="AL15" s="202"/>
      <c r="AM15" s="105" t="e">
        <f t="shared" si="5"/>
        <v>#N/A</v>
      </c>
      <c r="AN15" s="412"/>
      <c r="AO15" s="105"/>
      <c r="AP15" s="175"/>
      <c r="AQ15" s="202"/>
      <c r="AR15" s="105" t="e">
        <f t="shared" si="6"/>
        <v>#N/A</v>
      </c>
      <c r="AS15" s="412"/>
      <c r="AT15" s="105"/>
      <c r="AU15" s="175"/>
      <c r="AV15" s="202"/>
      <c r="AW15" s="105" t="e">
        <f t="shared" si="7"/>
        <v>#N/A</v>
      </c>
      <c r="AX15" s="412"/>
    </row>
    <row r="16" spans="1:50">
      <c r="A16" s="79"/>
      <c r="B16" s="398"/>
      <c r="C16" s="105">
        <v>10</v>
      </c>
      <c r="D16" s="228"/>
      <c r="E16" s="175"/>
      <c r="F16" s="105"/>
      <c r="G16" s="202"/>
      <c r="H16" s="385"/>
      <c r="I16" s="175"/>
      <c r="J16" s="175"/>
      <c r="K16" s="202"/>
      <c r="L16" s="385"/>
      <c r="M16" s="203" t="e">
        <f>RANK(K16, K$7:$K$21)</f>
        <v>#N/A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/>
      <c r="AF16" s="175"/>
      <c r="AG16" s="202"/>
      <c r="AH16" s="105" t="e">
        <f t="shared" si="4"/>
        <v>#N/A</v>
      </c>
      <c r="AI16" s="412"/>
      <c r="AJ16" s="105"/>
      <c r="AK16" s="175"/>
      <c r="AL16" s="202"/>
      <c r="AM16" s="105" t="e">
        <f t="shared" si="5"/>
        <v>#N/A</v>
      </c>
      <c r="AN16" s="412"/>
      <c r="AO16" s="105"/>
      <c r="AP16" s="175"/>
      <c r="AQ16" s="202"/>
      <c r="AR16" s="105" t="e">
        <f t="shared" si="6"/>
        <v>#N/A</v>
      </c>
      <c r="AS16" s="412"/>
      <c r="AT16" s="105"/>
      <c r="AU16" s="175"/>
      <c r="AV16" s="202"/>
      <c r="AW16" s="105" t="e">
        <f t="shared" si="7"/>
        <v>#N/A</v>
      </c>
      <c r="AX16" s="412"/>
    </row>
    <row r="17" spans="2:50">
      <c r="B17" s="398"/>
      <c r="C17" s="105">
        <v>11</v>
      </c>
      <c r="D17" s="228"/>
      <c r="E17" s="175"/>
      <c r="F17" s="105"/>
      <c r="G17" s="202"/>
      <c r="H17" s="385"/>
      <c r="I17" s="105"/>
      <c r="J17" s="105"/>
      <c r="K17" s="105"/>
      <c r="L17" s="385"/>
      <c r="M17" s="203" t="e">
        <f>RANK(K17, K$7:$K$21)</f>
        <v>#N/A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/>
      <c r="AF17" s="175"/>
      <c r="AG17" s="202"/>
      <c r="AH17" s="105" t="e">
        <f t="shared" si="4"/>
        <v>#N/A</v>
      </c>
      <c r="AI17" s="412"/>
      <c r="AJ17" s="105"/>
      <c r="AK17" s="105"/>
      <c r="AL17" s="105"/>
      <c r="AM17" s="105" t="e">
        <f t="shared" si="5"/>
        <v>#N/A</v>
      </c>
      <c r="AN17" s="412"/>
      <c r="AO17" s="105"/>
      <c r="AP17" s="105"/>
      <c r="AQ17" s="105"/>
      <c r="AR17" s="105" t="e">
        <f t="shared" si="6"/>
        <v>#N/A</v>
      </c>
      <c r="AS17" s="412"/>
      <c r="AT17" s="105"/>
      <c r="AU17" s="105"/>
      <c r="AV17" s="105"/>
      <c r="AW17" s="105" t="e">
        <f t="shared" si="7"/>
        <v>#N/A</v>
      </c>
      <c r="AX17" s="412"/>
    </row>
    <row r="18" spans="2:50">
      <c r="B18" s="398"/>
      <c r="C18" s="105">
        <v>12</v>
      </c>
      <c r="D18" s="228"/>
      <c r="E18" s="175"/>
      <c r="F18" s="105"/>
      <c r="G18" s="202"/>
      <c r="H18" s="385"/>
      <c r="I18" s="105"/>
      <c r="J18" s="105"/>
      <c r="K18" s="105"/>
      <c r="L18" s="385"/>
      <c r="M18" s="203" t="e">
        <f>RANK(K18, K$7:$K$21)</f>
        <v>#N/A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/>
      <c r="AF18" s="175"/>
      <c r="AG18" s="202"/>
      <c r="AH18" s="105" t="e">
        <f t="shared" si="4"/>
        <v>#N/A</v>
      </c>
      <c r="AI18" s="412"/>
      <c r="AJ18" s="105"/>
      <c r="AK18" s="105"/>
      <c r="AL18" s="105"/>
      <c r="AM18" s="105" t="e">
        <f t="shared" si="5"/>
        <v>#N/A</v>
      </c>
      <c r="AN18" s="412"/>
      <c r="AO18" s="105"/>
      <c r="AP18" s="105"/>
      <c r="AQ18" s="105"/>
      <c r="AR18" s="105" t="e">
        <f t="shared" si="6"/>
        <v>#N/A</v>
      </c>
      <c r="AS18" s="412"/>
      <c r="AT18" s="105"/>
      <c r="AU18" s="105"/>
      <c r="AV18" s="105"/>
      <c r="AW18" s="105" t="e">
        <f t="shared" si="7"/>
        <v>#N/A</v>
      </c>
      <c r="AX18" s="412"/>
    </row>
    <row r="19" spans="2:50">
      <c r="B19" s="398"/>
      <c r="C19" s="105">
        <v>13</v>
      </c>
      <c r="D19" s="228"/>
      <c r="E19" s="175"/>
      <c r="F19" s="105"/>
      <c r="G19" s="202"/>
      <c r="H19" s="385"/>
      <c r="I19" s="105"/>
      <c r="J19" s="105"/>
      <c r="K19" s="105"/>
      <c r="L19" s="385"/>
      <c r="M19" s="203" t="e">
        <f>RANK(K19, K$7:$K$21)</f>
        <v>#N/A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/>
      <c r="AF19" s="175"/>
      <c r="AG19" s="202"/>
      <c r="AH19" s="105" t="e">
        <f t="shared" si="4"/>
        <v>#N/A</v>
      </c>
      <c r="AI19" s="412"/>
      <c r="AJ19" s="105"/>
      <c r="AK19" s="105"/>
      <c r="AL19" s="105"/>
      <c r="AM19" s="105" t="e">
        <f t="shared" si="5"/>
        <v>#N/A</v>
      </c>
      <c r="AN19" s="412"/>
      <c r="AO19" s="105"/>
      <c r="AP19" s="105"/>
      <c r="AQ19" s="105"/>
      <c r="AR19" s="105" t="e">
        <f t="shared" si="6"/>
        <v>#N/A</v>
      </c>
      <c r="AS19" s="412"/>
      <c r="AT19" s="105"/>
      <c r="AU19" s="105"/>
      <c r="AV19" s="105"/>
      <c r="AW19" s="105" t="e">
        <f t="shared" si="7"/>
        <v>#N/A</v>
      </c>
      <c r="AX19" s="412"/>
    </row>
    <row r="20" spans="2:50">
      <c r="B20" s="398"/>
      <c r="C20" s="105">
        <v>14</v>
      </c>
      <c r="D20" s="228"/>
      <c r="E20" s="175"/>
      <c r="F20" s="105"/>
      <c r="G20" s="202"/>
      <c r="H20" s="385"/>
      <c r="I20" s="105"/>
      <c r="J20" s="105"/>
      <c r="K20" s="105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202"/>
      <c r="AH20" s="105" t="e">
        <f t="shared" si="4"/>
        <v>#N/A</v>
      </c>
      <c r="AI20" s="412"/>
      <c r="AJ20" s="105"/>
      <c r="AK20" s="105"/>
      <c r="AL20" s="105"/>
      <c r="AM20" s="105" t="e">
        <f t="shared" si="5"/>
        <v>#N/A</v>
      </c>
      <c r="AN20" s="412"/>
      <c r="AO20" s="105"/>
      <c r="AP20" s="105"/>
      <c r="AQ20" s="105"/>
      <c r="AR20" s="105" t="e">
        <f t="shared" si="6"/>
        <v>#N/A</v>
      </c>
      <c r="AS20" s="412"/>
      <c r="AT20" s="105"/>
      <c r="AU20" s="105"/>
      <c r="AV20" s="105"/>
      <c r="AW20" s="105" t="e">
        <f t="shared" si="7"/>
        <v>#N/A</v>
      </c>
      <c r="AX20" s="412"/>
    </row>
    <row r="21" spans="2:50">
      <c r="B21" s="398"/>
      <c r="C21" s="105">
        <v>15</v>
      </c>
      <c r="D21" s="228"/>
      <c r="E21" s="175"/>
      <c r="F21" s="105"/>
      <c r="G21" s="202"/>
      <c r="H21" s="386"/>
      <c r="I21" s="105"/>
      <c r="J21" s="105"/>
      <c r="K21" s="105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202"/>
      <c r="AH21" s="105" t="e">
        <f t="shared" si="4"/>
        <v>#N/A</v>
      </c>
      <c r="AI21" s="412"/>
      <c r="AJ21" s="105"/>
      <c r="AK21" s="105"/>
      <c r="AL21" s="105"/>
      <c r="AM21" s="105" t="e">
        <f t="shared" si="5"/>
        <v>#N/A</v>
      </c>
      <c r="AN21" s="412"/>
      <c r="AO21" s="105"/>
      <c r="AP21" s="105"/>
      <c r="AQ21" s="105"/>
      <c r="AR21" s="105" t="e">
        <f t="shared" si="6"/>
        <v>#N/A</v>
      </c>
      <c r="AS21" s="412"/>
      <c r="AT21" s="105"/>
      <c r="AU21" s="105"/>
      <c r="AV21" s="105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387" t="s">
        <v>255</v>
      </c>
      <c r="C27" s="105">
        <v>1</v>
      </c>
      <c r="D27" s="228" t="s">
        <v>256</v>
      </c>
      <c r="E27" s="175">
        <v>13</v>
      </c>
      <c r="F27" s="105">
        <v>1607.9999999999993</v>
      </c>
      <c r="G27" s="202">
        <v>123.69230769230764</v>
      </c>
      <c r="H27" s="384">
        <f>AVERAGE(G27:G41)</f>
        <v>123.69230769230764</v>
      </c>
      <c r="I27" s="175">
        <f>AVERAGE(P27,U27,Z27,AE27,AJ27,AO27,AT27)</f>
        <v>12.857142857142858</v>
      </c>
      <c r="J27" s="175">
        <f>AVERAGE(Q27,V27,AA27,AF27,AK27,AP27,AU27)</f>
        <v>1469.171428571429</v>
      </c>
      <c r="K27" s="202">
        <f>AVERAGE(R27,W27,AB27,AG27,AL27,AQ27,AV27)</f>
        <v>114.31721611721616</v>
      </c>
      <c r="L27" s="384">
        <f>IFERROR(AVERAGE(K27:K41),"-")</f>
        <v>114.31721611721616</v>
      </c>
      <c r="M27" s="203">
        <f>RANK(K27, K$27:$K$41)</f>
        <v>1</v>
      </c>
      <c r="N27" s="387"/>
      <c r="O27" s="387"/>
      <c r="P27" s="105">
        <f>'[1]（５-4）品群別人時生產性（4℃-壽司手卷)'!P27</f>
        <v>13</v>
      </c>
      <c r="Q27" s="175">
        <f>'[1]（５-4）品群別人時生產性（4℃-壽司手卷)'!Q27</f>
        <v>1310.0000000000011</v>
      </c>
      <c r="R27" s="202">
        <f>'[1]（５-4）品群別人時生產性（4℃-壽司手卷)'!R27</f>
        <v>100.76923076923086</v>
      </c>
      <c r="S27" s="105">
        <f>RANK(R27, R$27:R$41)</f>
        <v>1</v>
      </c>
      <c r="T27" s="412">
        <f>AVERAGE(R27:R41)</f>
        <v>100.76923076923086</v>
      </c>
      <c r="U27" s="105">
        <v>12</v>
      </c>
      <c r="V27" s="175">
        <v>1424.0000000000014</v>
      </c>
      <c r="W27" s="202">
        <v>118.66666666666679</v>
      </c>
      <c r="X27" s="105">
        <f>RANK(W27, W$27:W$41)</f>
        <v>1</v>
      </c>
      <c r="Y27" s="412">
        <f>AVERAGE(W27:W41)</f>
        <v>118.66666666666679</v>
      </c>
      <c r="Z27" s="105">
        <v>13</v>
      </c>
      <c r="AA27" s="175">
        <v>1414.0000000000014</v>
      </c>
      <c r="AB27" s="202">
        <v>108.76923076923087</v>
      </c>
      <c r="AC27" s="105">
        <f>RANK(AB27, AB$27:AB$41)</f>
        <v>1</v>
      </c>
      <c r="AD27" s="412">
        <f>AVERAGE(AB27:AB41)</f>
        <v>108.76923076923087</v>
      </c>
      <c r="AE27" s="105">
        <v>13</v>
      </c>
      <c r="AF27" s="175">
        <v>1548.0000000000005</v>
      </c>
      <c r="AG27" s="202">
        <v>119.07692307692311</v>
      </c>
      <c r="AH27" s="105">
        <f>RANK(AG27, AG$27:AG$41)</f>
        <v>1</v>
      </c>
      <c r="AI27" s="412">
        <f>AVERAGE(AG27:AG41)</f>
        <v>119.07692307692311</v>
      </c>
      <c r="AJ27" s="105">
        <v>13</v>
      </c>
      <c r="AK27" s="175">
        <v>1351.2000000000005</v>
      </c>
      <c r="AL27" s="202">
        <v>103.93846153846158</v>
      </c>
      <c r="AM27" s="105">
        <f>RANK(AL27, AL$27:AL$41)</f>
        <v>1</v>
      </c>
      <c r="AN27" s="412">
        <f>AVERAGE(AL27:AL41)</f>
        <v>103.93846153846158</v>
      </c>
      <c r="AO27" s="105">
        <v>13</v>
      </c>
      <c r="AP27" s="175">
        <v>1598.999999999993</v>
      </c>
      <c r="AQ27" s="202">
        <v>122.99999999999946</v>
      </c>
      <c r="AR27" s="105">
        <f>RANK(AQ27, AQ$27:AQ$41)</f>
        <v>1</v>
      </c>
      <c r="AS27" s="412">
        <f>AVERAGE(AQ27:AQ41)</f>
        <v>122.99999999999946</v>
      </c>
      <c r="AT27" s="105">
        <v>13</v>
      </c>
      <c r="AU27" s="175">
        <v>1638.0000000000059</v>
      </c>
      <c r="AV27" s="202">
        <v>126.00000000000045</v>
      </c>
      <c r="AW27" s="105">
        <f>RANK(AV27, AV$27:AV$41)</f>
        <v>1</v>
      </c>
      <c r="AX27" s="412">
        <f>AVERAGE(AV27:AV41)</f>
        <v>126.00000000000045</v>
      </c>
    </row>
    <row r="28" spans="2:50">
      <c r="B28" s="398"/>
      <c r="C28" s="105">
        <v>2</v>
      </c>
      <c r="D28" s="228"/>
      <c r="E28" s="175"/>
      <c r="F28" s="105"/>
      <c r="G28" s="202"/>
      <c r="H28" s="385"/>
      <c r="I28" s="175"/>
      <c r="J28" s="175"/>
      <c r="K28" s="202"/>
      <c r="L28" s="385"/>
      <c r="M28" s="203" t="e">
        <f>RANK(K28, K$27:$K$41)</f>
        <v>#N/A</v>
      </c>
      <c r="N28" s="387"/>
      <c r="O28" s="387"/>
      <c r="P28" s="105"/>
      <c r="Q28" s="105"/>
      <c r="R28" s="105"/>
      <c r="S28" s="105" t="e">
        <f t="shared" ref="S28:S41" si="8">RANK(R28, R$27:R$41)</f>
        <v>#N/A</v>
      </c>
      <c r="T28" s="412"/>
      <c r="U28" s="105"/>
      <c r="V28" s="105"/>
      <c r="W28" s="105"/>
      <c r="X28" s="105" t="e">
        <f t="shared" ref="X28:X41" si="9">RANK(W28, W$27:W$41)</f>
        <v>#N/A</v>
      </c>
      <c r="Y28" s="412"/>
      <c r="Z28" s="105"/>
      <c r="AA28" s="105"/>
      <c r="AB28" s="105"/>
      <c r="AC28" s="105" t="e">
        <f t="shared" ref="AC28:AC41" si="10">RANK(AB28, AB$27:AB$41)</f>
        <v>#N/A</v>
      </c>
      <c r="AD28" s="412"/>
      <c r="AE28" s="105"/>
      <c r="AF28" s="105"/>
      <c r="AG28" s="105"/>
      <c r="AH28" s="105" t="e">
        <f t="shared" ref="AH28:AH41" si="11">RANK(AG28, AG$27:AG$41)</f>
        <v>#N/A</v>
      </c>
      <c r="AI28" s="412"/>
      <c r="AJ28" s="105"/>
      <c r="AK28" s="105"/>
      <c r="AL28" s="105"/>
      <c r="AM28" s="105" t="e">
        <f t="shared" ref="AM28:AM41" si="12">RANK(AL28, AL$27:AL$41)</f>
        <v>#N/A</v>
      </c>
      <c r="AN28" s="412"/>
      <c r="AO28" s="105"/>
      <c r="AP28" s="105"/>
      <c r="AQ28" s="105"/>
      <c r="AR28" s="105" t="e">
        <f t="shared" ref="AR28:AR41" si="13">RANK(AQ28, AQ$27:AQ$41)</f>
        <v>#N/A</v>
      </c>
      <c r="AS28" s="412"/>
      <c r="AT28" s="105"/>
      <c r="AU28" s="105"/>
      <c r="AV28" s="105"/>
      <c r="AW28" s="105" t="e">
        <f t="shared" ref="AW28:AW41" si="14">RANK(AV28, AV$27:AV$41)</f>
        <v>#N/A</v>
      </c>
      <c r="AX28" s="412"/>
    </row>
    <row r="29" spans="2:50">
      <c r="B29" s="398"/>
      <c r="C29" s="105">
        <v>3</v>
      </c>
      <c r="D29" s="228"/>
      <c r="E29" s="175"/>
      <c r="F29" s="105"/>
      <c r="G29" s="202"/>
      <c r="H29" s="385"/>
      <c r="I29" s="175"/>
      <c r="J29" s="175"/>
      <c r="K29" s="202"/>
      <c r="L29" s="385"/>
      <c r="M29" s="203" t="e">
        <f>RANK(K29, K$27:$K$41)</f>
        <v>#N/A</v>
      </c>
      <c r="N29" s="387"/>
      <c r="O29" s="387"/>
      <c r="P29" s="105"/>
      <c r="Q29" s="105"/>
      <c r="R29" s="105"/>
      <c r="S29" s="105" t="e">
        <f t="shared" si="8"/>
        <v>#N/A</v>
      </c>
      <c r="T29" s="412"/>
      <c r="U29" s="105"/>
      <c r="V29" s="105"/>
      <c r="W29" s="105"/>
      <c r="X29" s="105" t="e">
        <f t="shared" si="9"/>
        <v>#N/A</v>
      </c>
      <c r="Y29" s="412"/>
      <c r="Z29" s="105"/>
      <c r="AA29" s="105"/>
      <c r="AB29" s="105"/>
      <c r="AC29" s="105" t="e">
        <f t="shared" si="10"/>
        <v>#N/A</v>
      </c>
      <c r="AD29" s="412"/>
      <c r="AE29" s="105"/>
      <c r="AF29" s="105"/>
      <c r="AG29" s="105"/>
      <c r="AH29" s="105" t="e">
        <f t="shared" si="11"/>
        <v>#N/A</v>
      </c>
      <c r="AI29" s="412"/>
      <c r="AJ29" s="105"/>
      <c r="AK29" s="105"/>
      <c r="AL29" s="105"/>
      <c r="AM29" s="105" t="e">
        <f t="shared" si="12"/>
        <v>#N/A</v>
      </c>
      <c r="AN29" s="412"/>
      <c r="AO29" s="105"/>
      <c r="AP29" s="105"/>
      <c r="AQ29" s="105"/>
      <c r="AR29" s="105" t="e">
        <f t="shared" si="13"/>
        <v>#N/A</v>
      </c>
      <c r="AS29" s="412"/>
      <c r="AT29" s="105"/>
      <c r="AU29" s="105"/>
      <c r="AV29" s="105"/>
      <c r="AW29" s="105" t="e">
        <f t="shared" si="14"/>
        <v>#N/A</v>
      </c>
      <c r="AX29" s="412"/>
    </row>
    <row r="30" spans="2:50">
      <c r="B30" s="398"/>
      <c r="C30" s="105">
        <v>4</v>
      </c>
      <c r="D30" s="228"/>
      <c r="E30" s="175"/>
      <c r="F30" s="105"/>
      <c r="G30" s="202"/>
      <c r="H30" s="385"/>
      <c r="I30" s="175"/>
      <c r="J30" s="175"/>
      <c r="K30" s="202"/>
      <c r="L30" s="385"/>
      <c r="M30" s="203" t="e">
        <f>RANK(K30, K$27:$K$41)</f>
        <v>#N/A</v>
      </c>
      <c r="N30" s="387"/>
      <c r="O30" s="387"/>
      <c r="P30" s="105"/>
      <c r="Q30" s="105"/>
      <c r="R30" s="105"/>
      <c r="S30" s="105" t="e">
        <f t="shared" si="8"/>
        <v>#N/A</v>
      </c>
      <c r="T30" s="412"/>
      <c r="U30" s="105"/>
      <c r="V30" s="105"/>
      <c r="W30" s="105"/>
      <c r="X30" s="105" t="e">
        <f t="shared" si="9"/>
        <v>#N/A</v>
      </c>
      <c r="Y30" s="412"/>
      <c r="Z30" s="105"/>
      <c r="AA30" s="105"/>
      <c r="AB30" s="105"/>
      <c r="AC30" s="105" t="e">
        <f t="shared" si="10"/>
        <v>#N/A</v>
      </c>
      <c r="AD30" s="412"/>
      <c r="AE30" s="105"/>
      <c r="AF30" s="105"/>
      <c r="AG30" s="105"/>
      <c r="AH30" s="105" t="e">
        <f t="shared" si="11"/>
        <v>#N/A</v>
      </c>
      <c r="AI30" s="412"/>
      <c r="AJ30" s="105"/>
      <c r="AK30" s="105"/>
      <c r="AL30" s="105"/>
      <c r="AM30" s="105" t="e">
        <f t="shared" si="12"/>
        <v>#N/A</v>
      </c>
      <c r="AN30" s="412"/>
      <c r="AO30" s="105"/>
      <c r="AP30" s="105"/>
      <c r="AQ30" s="105"/>
      <c r="AR30" s="105" t="e">
        <f t="shared" si="13"/>
        <v>#N/A</v>
      </c>
      <c r="AS30" s="412"/>
      <c r="AT30" s="105"/>
      <c r="AU30" s="105"/>
      <c r="AV30" s="105"/>
      <c r="AW30" s="105" t="e">
        <f t="shared" si="14"/>
        <v>#N/A</v>
      </c>
      <c r="AX30" s="412"/>
    </row>
    <row r="31" spans="2:50">
      <c r="B31" s="398"/>
      <c r="C31" s="105">
        <v>5</v>
      </c>
      <c r="D31" s="228"/>
      <c r="E31" s="175"/>
      <c r="F31" s="105"/>
      <c r="G31" s="202"/>
      <c r="H31" s="385"/>
      <c r="I31" s="175"/>
      <c r="J31" s="175"/>
      <c r="K31" s="202"/>
      <c r="L31" s="385"/>
      <c r="M31" s="203" t="e">
        <f>RANK(K31, K$27:$K$41)</f>
        <v>#N/A</v>
      </c>
      <c r="N31" s="387"/>
      <c r="O31" s="387"/>
      <c r="P31" s="105"/>
      <c r="Q31" s="105"/>
      <c r="R31" s="105"/>
      <c r="S31" s="105" t="e">
        <f t="shared" si="8"/>
        <v>#N/A</v>
      </c>
      <c r="T31" s="412"/>
      <c r="U31" s="105"/>
      <c r="V31" s="105"/>
      <c r="W31" s="105"/>
      <c r="X31" s="105" t="e">
        <f t="shared" si="9"/>
        <v>#N/A</v>
      </c>
      <c r="Y31" s="412"/>
      <c r="Z31" s="105"/>
      <c r="AA31" s="105"/>
      <c r="AB31" s="105"/>
      <c r="AC31" s="105" t="e">
        <f t="shared" si="10"/>
        <v>#N/A</v>
      </c>
      <c r="AD31" s="412"/>
      <c r="AE31" s="105"/>
      <c r="AF31" s="105"/>
      <c r="AG31" s="105"/>
      <c r="AH31" s="105" t="e">
        <f t="shared" si="11"/>
        <v>#N/A</v>
      </c>
      <c r="AI31" s="412"/>
      <c r="AJ31" s="105"/>
      <c r="AK31" s="105"/>
      <c r="AL31" s="105"/>
      <c r="AM31" s="105" t="e">
        <f t="shared" si="12"/>
        <v>#N/A</v>
      </c>
      <c r="AN31" s="412"/>
      <c r="AO31" s="105"/>
      <c r="AP31" s="105"/>
      <c r="AQ31" s="105"/>
      <c r="AR31" s="105" t="e">
        <f t="shared" si="13"/>
        <v>#N/A</v>
      </c>
      <c r="AS31" s="412"/>
      <c r="AT31" s="105"/>
      <c r="AU31" s="105"/>
      <c r="AV31" s="105"/>
      <c r="AW31" s="105" t="e">
        <f t="shared" si="14"/>
        <v>#N/A</v>
      </c>
      <c r="AX31" s="412"/>
    </row>
    <row r="32" spans="2:50">
      <c r="B32" s="398"/>
      <c r="C32" s="105">
        <v>6</v>
      </c>
      <c r="D32" s="228"/>
      <c r="E32" s="175"/>
      <c r="F32" s="105"/>
      <c r="G32" s="202"/>
      <c r="H32" s="385"/>
      <c r="I32" s="175"/>
      <c r="J32" s="175"/>
      <c r="K32" s="202"/>
      <c r="L32" s="385"/>
      <c r="M32" s="203" t="e">
        <f>RANK(K32, K$27:$K$41)</f>
        <v>#N/A</v>
      </c>
      <c r="N32" s="387"/>
      <c r="O32" s="387"/>
      <c r="P32" s="105"/>
      <c r="Q32" s="105"/>
      <c r="R32" s="105"/>
      <c r="S32" s="105" t="e">
        <f t="shared" si="8"/>
        <v>#N/A</v>
      </c>
      <c r="T32" s="412"/>
      <c r="U32" s="105"/>
      <c r="V32" s="105"/>
      <c r="W32" s="105"/>
      <c r="X32" s="105" t="e">
        <f t="shared" si="9"/>
        <v>#N/A</v>
      </c>
      <c r="Y32" s="412"/>
      <c r="Z32" s="105"/>
      <c r="AA32" s="105"/>
      <c r="AB32" s="105"/>
      <c r="AC32" s="105" t="e">
        <f t="shared" si="10"/>
        <v>#N/A</v>
      </c>
      <c r="AD32" s="412"/>
      <c r="AE32" s="105"/>
      <c r="AF32" s="105"/>
      <c r="AG32" s="105"/>
      <c r="AH32" s="105" t="e">
        <f t="shared" si="11"/>
        <v>#N/A</v>
      </c>
      <c r="AI32" s="412"/>
      <c r="AJ32" s="105"/>
      <c r="AK32" s="105"/>
      <c r="AL32" s="105"/>
      <c r="AM32" s="105" t="e">
        <f t="shared" si="12"/>
        <v>#N/A</v>
      </c>
      <c r="AN32" s="412"/>
      <c r="AO32" s="105"/>
      <c r="AP32" s="105"/>
      <c r="AQ32" s="105"/>
      <c r="AR32" s="105" t="e">
        <f t="shared" si="13"/>
        <v>#N/A</v>
      </c>
      <c r="AS32" s="412"/>
      <c r="AT32" s="105"/>
      <c r="AU32" s="105"/>
      <c r="AV32" s="105"/>
      <c r="AW32" s="105" t="e">
        <f t="shared" si="14"/>
        <v>#N/A</v>
      </c>
      <c r="AX32" s="412"/>
    </row>
    <row r="33" spans="2:50">
      <c r="B33" s="398"/>
      <c r="C33" s="105">
        <v>7</v>
      </c>
      <c r="D33" s="228"/>
      <c r="E33" s="175"/>
      <c r="F33" s="105"/>
      <c r="G33" s="202"/>
      <c r="H33" s="385"/>
      <c r="I33" s="175"/>
      <c r="J33" s="175"/>
      <c r="K33" s="202"/>
      <c r="L33" s="385"/>
      <c r="M33" s="203" t="e">
        <f>RANK(K33, K$27:$K$41)</f>
        <v>#N/A</v>
      </c>
      <c r="N33" s="387"/>
      <c r="O33" s="387"/>
      <c r="P33" s="105"/>
      <c r="Q33" s="105"/>
      <c r="R33" s="105"/>
      <c r="S33" s="105" t="e">
        <f t="shared" si="8"/>
        <v>#N/A</v>
      </c>
      <c r="T33" s="412"/>
      <c r="U33" s="105"/>
      <c r="V33" s="105"/>
      <c r="W33" s="105"/>
      <c r="X33" s="105" t="e">
        <f t="shared" si="9"/>
        <v>#N/A</v>
      </c>
      <c r="Y33" s="412"/>
      <c r="Z33" s="105"/>
      <c r="AA33" s="105"/>
      <c r="AB33" s="105"/>
      <c r="AC33" s="105" t="e">
        <f t="shared" si="10"/>
        <v>#N/A</v>
      </c>
      <c r="AD33" s="412"/>
      <c r="AE33" s="105"/>
      <c r="AF33" s="105"/>
      <c r="AG33" s="105"/>
      <c r="AH33" s="105" t="e">
        <f t="shared" si="11"/>
        <v>#N/A</v>
      </c>
      <c r="AI33" s="412"/>
      <c r="AJ33" s="105"/>
      <c r="AK33" s="105"/>
      <c r="AL33" s="105"/>
      <c r="AM33" s="105" t="e">
        <f t="shared" si="12"/>
        <v>#N/A</v>
      </c>
      <c r="AN33" s="412"/>
      <c r="AO33" s="105"/>
      <c r="AP33" s="105"/>
      <c r="AQ33" s="105"/>
      <c r="AR33" s="105" t="e">
        <f t="shared" si="13"/>
        <v>#N/A</v>
      </c>
      <c r="AS33" s="412"/>
      <c r="AT33" s="105"/>
      <c r="AU33" s="105"/>
      <c r="AV33" s="105"/>
      <c r="AW33" s="105" t="e">
        <f t="shared" si="14"/>
        <v>#N/A</v>
      </c>
      <c r="AX33" s="412"/>
    </row>
    <row r="34" spans="2:50">
      <c r="B34" s="398"/>
      <c r="C34" s="105">
        <v>8</v>
      </c>
      <c r="D34" s="228"/>
      <c r="E34" s="175"/>
      <c r="F34" s="105"/>
      <c r="G34" s="202"/>
      <c r="H34" s="385"/>
      <c r="I34" s="175"/>
      <c r="J34" s="175"/>
      <c r="K34" s="202"/>
      <c r="L34" s="385"/>
      <c r="M34" s="203" t="e">
        <f>RANK(K34, K$27:$K$41)</f>
        <v>#N/A</v>
      </c>
      <c r="N34" s="387"/>
      <c r="O34" s="387"/>
      <c r="P34" s="105"/>
      <c r="Q34" s="105"/>
      <c r="R34" s="105"/>
      <c r="S34" s="105" t="e">
        <f t="shared" si="8"/>
        <v>#N/A</v>
      </c>
      <c r="T34" s="412"/>
      <c r="U34" s="105"/>
      <c r="V34" s="105"/>
      <c r="W34" s="105"/>
      <c r="X34" s="105" t="e">
        <f t="shared" si="9"/>
        <v>#N/A</v>
      </c>
      <c r="Y34" s="412"/>
      <c r="Z34" s="105"/>
      <c r="AA34" s="105"/>
      <c r="AB34" s="105"/>
      <c r="AC34" s="105" t="e">
        <f t="shared" si="10"/>
        <v>#N/A</v>
      </c>
      <c r="AD34" s="412"/>
      <c r="AE34" s="105"/>
      <c r="AF34" s="105"/>
      <c r="AG34" s="105"/>
      <c r="AH34" s="105" t="e">
        <f t="shared" si="11"/>
        <v>#N/A</v>
      </c>
      <c r="AI34" s="412"/>
      <c r="AJ34" s="105"/>
      <c r="AK34" s="105"/>
      <c r="AL34" s="105"/>
      <c r="AM34" s="105" t="e">
        <f t="shared" si="12"/>
        <v>#N/A</v>
      </c>
      <c r="AN34" s="412"/>
      <c r="AO34" s="105"/>
      <c r="AP34" s="105"/>
      <c r="AQ34" s="105"/>
      <c r="AR34" s="105" t="e">
        <f t="shared" si="13"/>
        <v>#N/A</v>
      </c>
      <c r="AS34" s="412"/>
      <c r="AT34" s="105"/>
      <c r="AU34" s="105"/>
      <c r="AV34" s="105"/>
      <c r="AW34" s="105" t="e">
        <f t="shared" si="14"/>
        <v>#N/A</v>
      </c>
      <c r="AX34" s="412"/>
    </row>
    <row r="35" spans="2:50">
      <c r="B35" s="398"/>
      <c r="C35" s="105">
        <v>9</v>
      </c>
      <c r="D35" s="228"/>
      <c r="E35" s="175"/>
      <c r="F35" s="105"/>
      <c r="G35" s="202"/>
      <c r="H35" s="385"/>
      <c r="I35" s="175"/>
      <c r="J35" s="175"/>
      <c r="K35" s="202"/>
      <c r="L35" s="385"/>
      <c r="M35" s="203" t="e">
        <f>RANK(K35, K$27:$K$41)</f>
        <v>#N/A</v>
      </c>
      <c r="N35" s="387"/>
      <c r="O35" s="387"/>
      <c r="P35" s="105"/>
      <c r="Q35" s="105"/>
      <c r="R35" s="105"/>
      <c r="S35" s="105" t="e">
        <f t="shared" si="8"/>
        <v>#N/A</v>
      </c>
      <c r="T35" s="412"/>
      <c r="U35" s="105"/>
      <c r="V35" s="105"/>
      <c r="W35" s="105"/>
      <c r="X35" s="105" t="e">
        <f t="shared" si="9"/>
        <v>#N/A</v>
      </c>
      <c r="Y35" s="412"/>
      <c r="Z35" s="105"/>
      <c r="AA35" s="105"/>
      <c r="AB35" s="105"/>
      <c r="AC35" s="105" t="e">
        <f t="shared" si="10"/>
        <v>#N/A</v>
      </c>
      <c r="AD35" s="412"/>
      <c r="AE35" s="105"/>
      <c r="AF35" s="105"/>
      <c r="AG35" s="105"/>
      <c r="AH35" s="105" t="e">
        <f t="shared" si="11"/>
        <v>#N/A</v>
      </c>
      <c r="AI35" s="412"/>
      <c r="AJ35" s="105"/>
      <c r="AK35" s="105"/>
      <c r="AL35" s="105"/>
      <c r="AM35" s="105" t="e">
        <f t="shared" si="12"/>
        <v>#N/A</v>
      </c>
      <c r="AN35" s="412"/>
      <c r="AO35" s="105"/>
      <c r="AP35" s="105"/>
      <c r="AQ35" s="105"/>
      <c r="AR35" s="105" t="e">
        <f t="shared" si="13"/>
        <v>#N/A</v>
      </c>
      <c r="AS35" s="412"/>
      <c r="AT35" s="105"/>
      <c r="AU35" s="105"/>
      <c r="AV35" s="105"/>
      <c r="AW35" s="105" t="e">
        <f t="shared" si="14"/>
        <v>#N/A</v>
      </c>
      <c r="AX35" s="412"/>
    </row>
    <row r="36" spans="2:50">
      <c r="B36" s="398"/>
      <c r="C36" s="105">
        <v>10</v>
      </c>
      <c r="D36" s="228"/>
      <c r="E36" s="175"/>
      <c r="F36" s="105"/>
      <c r="G36" s="202"/>
      <c r="H36" s="385"/>
      <c r="I36" s="175"/>
      <c r="J36" s="175"/>
      <c r="K36" s="202"/>
      <c r="L36" s="385"/>
      <c r="M36" s="203" t="e">
        <f>RANK(K36, K$27:$K$41)</f>
        <v>#N/A</v>
      </c>
      <c r="N36" s="387"/>
      <c r="O36" s="387"/>
      <c r="P36" s="105"/>
      <c r="Q36" s="105"/>
      <c r="R36" s="105"/>
      <c r="S36" s="105" t="e">
        <f t="shared" si="8"/>
        <v>#N/A</v>
      </c>
      <c r="T36" s="412"/>
      <c r="U36" s="105"/>
      <c r="V36" s="105"/>
      <c r="W36" s="105"/>
      <c r="X36" s="105" t="e">
        <f t="shared" si="9"/>
        <v>#N/A</v>
      </c>
      <c r="Y36" s="412"/>
      <c r="Z36" s="105"/>
      <c r="AA36" s="105"/>
      <c r="AB36" s="105"/>
      <c r="AC36" s="105" t="e">
        <f t="shared" si="10"/>
        <v>#N/A</v>
      </c>
      <c r="AD36" s="412"/>
      <c r="AE36" s="105"/>
      <c r="AF36" s="105"/>
      <c r="AG36" s="105"/>
      <c r="AH36" s="105" t="e">
        <f t="shared" si="11"/>
        <v>#N/A</v>
      </c>
      <c r="AI36" s="412"/>
      <c r="AJ36" s="105"/>
      <c r="AK36" s="105"/>
      <c r="AL36" s="105"/>
      <c r="AM36" s="105" t="e">
        <f t="shared" si="12"/>
        <v>#N/A</v>
      </c>
      <c r="AN36" s="412"/>
      <c r="AO36" s="105"/>
      <c r="AP36" s="105"/>
      <c r="AQ36" s="105"/>
      <c r="AR36" s="105" t="e">
        <f t="shared" si="13"/>
        <v>#N/A</v>
      </c>
      <c r="AS36" s="412"/>
      <c r="AT36" s="105"/>
      <c r="AU36" s="105"/>
      <c r="AV36" s="105"/>
      <c r="AW36" s="105" t="e">
        <f t="shared" si="14"/>
        <v>#N/A</v>
      </c>
      <c r="AX36" s="412"/>
    </row>
    <row r="37" spans="2:50">
      <c r="B37" s="398"/>
      <c r="C37" s="105">
        <v>11</v>
      </c>
      <c r="D37" s="228"/>
      <c r="E37" s="175"/>
      <c r="F37" s="105"/>
      <c r="G37" s="202"/>
      <c r="H37" s="385"/>
      <c r="I37" s="105"/>
      <c r="J37" s="105"/>
      <c r="K37" s="105"/>
      <c r="L37" s="385"/>
      <c r="M37" s="203" t="e">
        <f>RANK(K37, K$27:$K$41)</f>
        <v>#N/A</v>
      </c>
      <c r="N37" s="387"/>
      <c r="O37" s="387"/>
      <c r="P37" s="105"/>
      <c r="Q37" s="105"/>
      <c r="R37" s="105"/>
      <c r="S37" s="105" t="e">
        <f t="shared" si="8"/>
        <v>#N/A</v>
      </c>
      <c r="T37" s="412"/>
      <c r="U37" s="105"/>
      <c r="V37" s="105"/>
      <c r="W37" s="105"/>
      <c r="X37" s="105" t="e">
        <f t="shared" si="9"/>
        <v>#N/A</v>
      </c>
      <c r="Y37" s="412"/>
      <c r="Z37" s="105"/>
      <c r="AA37" s="105"/>
      <c r="AB37" s="105"/>
      <c r="AC37" s="105" t="e">
        <f t="shared" si="10"/>
        <v>#N/A</v>
      </c>
      <c r="AD37" s="412"/>
      <c r="AE37" s="105"/>
      <c r="AF37" s="105"/>
      <c r="AG37" s="105"/>
      <c r="AH37" s="105" t="e">
        <f t="shared" si="11"/>
        <v>#N/A</v>
      </c>
      <c r="AI37" s="412"/>
      <c r="AJ37" s="105"/>
      <c r="AK37" s="105"/>
      <c r="AL37" s="105"/>
      <c r="AM37" s="105" t="e">
        <f t="shared" si="12"/>
        <v>#N/A</v>
      </c>
      <c r="AN37" s="412"/>
      <c r="AO37" s="105"/>
      <c r="AP37" s="105"/>
      <c r="AQ37" s="105"/>
      <c r="AR37" s="105" t="e">
        <f t="shared" si="13"/>
        <v>#N/A</v>
      </c>
      <c r="AS37" s="412"/>
      <c r="AT37" s="105"/>
      <c r="AU37" s="105"/>
      <c r="AV37" s="105"/>
      <c r="AW37" s="105" t="e">
        <f t="shared" si="14"/>
        <v>#N/A</v>
      </c>
      <c r="AX37" s="412"/>
    </row>
    <row r="38" spans="2:50">
      <c r="B38" s="398"/>
      <c r="C38" s="105">
        <v>12</v>
      </c>
      <c r="D38" s="228"/>
      <c r="E38" s="175"/>
      <c r="F38" s="105"/>
      <c r="G38" s="202"/>
      <c r="H38" s="385"/>
      <c r="I38" s="105"/>
      <c r="J38" s="105"/>
      <c r="K38" s="105"/>
      <c r="L38" s="385"/>
      <c r="M38" s="203" t="e">
        <f>RANK(K38, K$27:$K$41)</f>
        <v>#N/A</v>
      </c>
      <c r="N38" s="387"/>
      <c r="O38" s="387"/>
      <c r="P38" s="105"/>
      <c r="Q38" s="105"/>
      <c r="R38" s="105"/>
      <c r="S38" s="105" t="e">
        <f t="shared" si="8"/>
        <v>#N/A</v>
      </c>
      <c r="T38" s="412"/>
      <c r="U38" s="105"/>
      <c r="V38" s="105"/>
      <c r="W38" s="105"/>
      <c r="X38" s="105" t="e">
        <f t="shared" si="9"/>
        <v>#N/A</v>
      </c>
      <c r="Y38" s="412"/>
      <c r="Z38" s="105"/>
      <c r="AA38" s="105"/>
      <c r="AB38" s="105"/>
      <c r="AC38" s="105" t="e">
        <f t="shared" si="10"/>
        <v>#N/A</v>
      </c>
      <c r="AD38" s="412"/>
      <c r="AE38" s="105"/>
      <c r="AF38" s="105"/>
      <c r="AG38" s="105"/>
      <c r="AH38" s="105" t="e">
        <f t="shared" si="11"/>
        <v>#N/A</v>
      </c>
      <c r="AI38" s="412"/>
      <c r="AJ38" s="105"/>
      <c r="AK38" s="105"/>
      <c r="AL38" s="105"/>
      <c r="AM38" s="105" t="e">
        <f t="shared" si="12"/>
        <v>#N/A</v>
      </c>
      <c r="AN38" s="412"/>
      <c r="AO38" s="105"/>
      <c r="AP38" s="105"/>
      <c r="AQ38" s="105"/>
      <c r="AR38" s="105" t="e">
        <f t="shared" si="13"/>
        <v>#N/A</v>
      </c>
      <c r="AS38" s="412"/>
      <c r="AT38" s="105"/>
      <c r="AU38" s="105"/>
      <c r="AV38" s="105"/>
      <c r="AW38" s="105" t="e">
        <f t="shared" si="14"/>
        <v>#N/A</v>
      </c>
      <c r="AX38" s="412"/>
    </row>
    <row r="39" spans="2:50">
      <c r="B39" s="398"/>
      <c r="C39" s="105">
        <v>13</v>
      </c>
      <c r="D39" s="228"/>
      <c r="E39" s="175"/>
      <c r="F39" s="105"/>
      <c r="G39" s="202"/>
      <c r="H39" s="385"/>
      <c r="I39" s="105"/>
      <c r="J39" s="105"/>
      <c r="K39" s="105"/>
      <c r="L39" s="385"/>
      <c r="M39" s="203" t="e">
        <f>RANK(K39, K$27:$K$41)</f>
        <v>#N/A</v>
      </c>
      <c r="N39" s="387"/>
      <c r="O39" s="387"/>
      <c r="P39" s="105"/>
      <c r="Q39" s="105"/>
      <c r="R39" s="105"/>
      <c r="S39" s="105" t="e">
        <f t="shared" si="8"/>
        <v>#N/A</v>
      </c>
      <c r="T39" s="412"/>
      <c r="U39" s="105"/>
      <c r="V39" s="105"/>
      <c r="W39" s="105"/>
      <c r="X39" s="105" t="e">
        <f t="shared" si="9"/>
        <v>#N/A</v>
      </c>
      <c r="Y39" s="412"/>
      <c r="Z39" s="105"/>
      <c r="AA39" s="105"/>
      <c r="AB39" s="105"/>
      <c r="AC39" s="105" t="e">
        <f t="shared" si="10"/>
        <v>#N/A</v>
      </c>
      <c r="AD39" s="412"/>
      <c r="AE39" s="105"/>
      <c r="AF39" s="105"/>
      <c r="AG39" s="105"/>
      <c r="AH39" s="105" t="e">
        <f t="shared" si="11"/>
        <v>#N/A</v>
      </c>
      <c r="AI39" s="412"/>
      <c r="AJ39" s="105"/>
      <c r="AK39" s="105"/>
      <c r="AL39" s="105"/>
      <c r="AM39" s="105" t="e">
        <f t="shared" si="12"/>
        <v>#N/A</v>
      </c>
      <c r="AN39" s="412"/>
      <c r="AO39" s="105"/>
      <c r="AP39" s="105"/>
      <c r="AQ39" s="105"/>
      <c r="AR39" s="105" t="e">
        <f t="shared" si="13"/>
        <v>#N/A</v>
      </c>
      <c r="AS39" s="412"/>
      <c r="AT39" s="105"/>
      <c r="AU39" s="105"/>
      <c r="AV39" s="105"/>
      <c r="AW39" s="105" t="e">
        <f t="shared" si="14"/>
        <v>#N/A</v>
      </c>
      <c r="AX39" s="412"/>
    </row>
    <row r="40" spans="2:50">
      <c r="B40" s="398"/>
      <c r="C40" s="105">
        <v>14</v>
      </c>
      <c r="D40" s="228"/>
      <c r="E40" s="175"/>
      <c r="F40" s="105"/>
      <c r="G40" s="202"/>
      <c r="H40" s="385"/>
      <c r="I40" s="105"/>
      <c r="J40" s="105"/>
      <c r="K40" s="105"/>
      <c r="L40" s="385"/>
      <c r="M40" s="203" t="e">
        <f>RANK(K40, K$27:$K$41)</f>
        <v>#N/A</v>
      </c>
      <c r="N40" s="387"/>
      <c r="O40" s="387"/>
      <c r="P40" s="105"/>
      <c r="Q40" s="105"/>
      <c r="R40" s="105"/>
      <c r="S40" s="105" t="e">
        <f t="shared" si="8"/>
        <v>#N/A</v>
      </c>
      <c r="T40" s="412"/>
      <c r="U40" s="105"/>
      <c r="V40" s="105"/>
      <c r="W40" s="105"/>
      <c r="X40" s="105" t="e">
        <f t="shared" si="9"/>
        <v>#N/A</v>
      </c>
      <c r="Y40" s="412"/>
      <c r="Z40" s="105"/>
      <c r="AA40" s="105"/>
      <c r="AB40" s="105"/>
      <c r="AC40" s="105" t="e">
        <f t="shared" si="10"/>
        <v>#N/A</v>
      </c>
      <c r="AD40" s="412"/>
      <c r="AE40" s="105"/>
      <c r="AF40" s="105"/>
      <c r="AG40" s="105"/>
      <c r="AH40" s="105" t="e">
        <f t="shared" si="11"/>
        <v>#N/A</v>
      </c>
      <c r="AI40" s="412"/>
      <c r="AJ40" s="105"/>
      <c r="AK40" s="105"/>
      <c r="AL40" s="105"/>
      <c r="AM40" s="105" t="e">
        <f t="shared" si="12"/>
        <v>#N/A</v>
      </c>
      <c r="AN40" s="412"/>
      <c r="AO40" s="105"/>
      <c r="AP40" s="105"/>
      <c r="AQ40" s="105"/>
      <c r="AR40" s="105" t="e">
        <f t="shared" si="13"/>
        <v>#N/A</v>
      </c>
      <c r="AS40" s="412"/>
      <c r="AT40" s="105"/>
      <c r="AU40" s="105"/>
      <c r="AV40" s="105"/>
      <c r="AW40" s="105" t="e">
        <f t="shared" si="14"/>
        <v>#N/A</v>
      </c>
      <c r="AX40" s="412"/>
    </row>
    <row r="41" spans="2:50">
      <c r="B41" s="398"/>
      <c r="C41" s="105">
        <v>15</v>
      </c>
      <c r="D41" s="228"/>
      <c r="E41" s="175"/>
      <c r="F41" s="105"/>
      <c r="G41" s="202"/>
      <c r="H41" s="386"/>
      <c r="I41" s="105"/>
      <c r="J41" s="105"/>
      <c r="K41" s="105"/>
      <c r="L41" s="386"/>
      <c r="M41" s="175" t="e">
        <f>RANK(K41, K$27:$K$41)</f>
        <v>#N/A</v>
      </c>
      <c r="N41" s="387"/>
      <c r="O41" s="387"/>
      <c r="P41" s="105"/>
      <c r="Q41" s="105"/>
      <c r="R41" s="105"/>
      <c r="S41" s="105" t="e">
        <f t="shared" si="8"/>
        <v>#N/A</v>
      </c>
      <c r="T41" s="412"/>
      <c r="U41" s="105"/>
      <c r="V41" s="105"/>
      <c r="W41" s="105"/>
      <c r="X41" s="105" t="e">
        <f t="shared" si="9"/>
        <v>#N/A</v>
      </c>
      <c r="Y41" s="412"/>
      <c r="Z41" s="105"/>
      <c r="AA41" s="105"/>
      <c r="AB41" s="105"/>
      <c r="AC41" s="105" t="e">
        <f t="shared" si="10"/>
        <v>#N/A</v>
      </c>
      <c r="AD41" s="412"/>
      <c r="AE41" s="105"/>
      <c r="AF41" s="105"/>
      <c r="AG41" s="105"/>
      <c r="AH41" s="105" t="e">
        <f t="shared" si="11"/>
        <v>#N/A</v>
      </c>
      <c r="AI41" s="412"/>
      <c r="AJ41" s="105"/>
      <c r="AK41" s="105"/>
      <c r="AL41" s="105"/>
      <c r="AM41" s="105" t="e">
        <f t="shared" si="12"/>
        <v>#N/A</v>
      </c>
      <c r="AN41" s="412"/>
      <c r="AO41" s="105"/>
      <c r="AP41" s="105"/>
      <c r="AQ41" s="105"/>
      <c r="AR41" s="105" t="e">
        <f t="shared" si="13"/>
        <v>#N/A</v>
      </c>
      <c r="AS41" s="412"/>
      <c r="AT41" s="105"/>
      <c r="AU41" s="105"/>
      <c r="AV41" s="105"/>
      <c r="AW41" s="105" t="e">
        <f t="shared" si="14"/>
        <v>#N/A</v>
      </c>
      <c r="AX41" s="412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5">Z42+1</f>
        <v>45884</v>
      </c>
      <c r="AF42" s="395"/>
      <c r="AG42" s="395"/>
      <c r="AH42" s="395"/>
      <c r="AI42" s="396"/>
      <c r="AJ42" s="394">
        <f t="shared" ref="AJ42" si="16">AE42+1</f>
        <v>45885</v>
      </c>
      <c r="AK42" s="395"/>
      <c r="AL42" s="395"/>
      <c r="AM42" s="395"/>
      <c r="AN42" s="396"/>
      <c r="AO42" s="394">
        <f t="shared" ref="AO42" si="17">AJ42+1</f>
        <v>45886</v>
      </c>
      <c r="AP42" s="395"/>
      <c r="AQ42" s="395"/>
      <c r="AR42" s="395"/>
      <c r="AS42" s="396"/>
      <c r="AT42" s="394">
        <f t="shared" ref="AT42" si="18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387" t="s">
        <v>255</v>
      </c>
      <c r="C47" s="105">
        <v>1</v>
      </c>
      <c r="D47" s="228" t="s">
        <v>256</v>
      </c>
      <c r="E47" s="175">
        <v>13</v>
      </c>
      <c r="F47" s="105">
        <v>1607.9999999999993</v>
      </c>
      <c r="G47" s="202"/>
      <c r="H47" s="384" t="e">
        <f>AVERAGE(G47:G61)</f>
        <v>#DIV/0!</v>
      </c>
      <c r="I47" s="175">
        <f>AVERAGE(P47,U47,Z47,AE47,AJ47,AO47,AT47)</f>
        <v>13</v>
      </c>
      <c r="J47" s="175">
        <f>AVERAGE(Q47,V47,AA47,AF47,AK47,AP47,AU47)</f>
        <v>1493.9999999999993</v>
      </c>
      <c r="K47" s="202">
        <f>AVERAGE(R47,W47,AB47,AG47,AL47,AQ47,AV47)</f>
        <v>114.92307692307686</v>
      </c>
      <c r="L47" s="384">
        <f>IFERROR(AVERAGE(K47:K61),"-")</f>
        <v>114.92307692307686</v>
      </c>
      <c r="M47" s="203">
        <f>RANK(K47, K$47:$K$61)</f>
        <v>1</v>
      </c>
      <c r="N47" s="387"/>
      <c r="O47" s="387"/>
      <c r="P47" s="105">
        <v>13</v>
      </c>
      <c r="Q47" s="175">
        <v>1520.9999999999995</v>
      </c>
      <c r="R47" s="202">
        <v>116.99999999999997</v>
      </c>
      <c r="S47" s="105">
        <f>RANK(R47, R$47:R$61)</f>
        <v>1</v>
      </c>
      <c r="T47" s="412">
        <f>AVERAGE(R47:R61)</f>
        <v>116.99999999999997</v>
      </c>
      <c r="U47" s="105">
        <v>13</v>
      </c>
      <c r="V47" s="175">
        <v>1550.999999999993</v>
      </c>
      <c r="W47" s="202">
        <v>119.30769230769177</v>
      </c>
      <c r="X47" s="105">
        <f>RANK(W47, W$47:W$61)</f>
        <v>1</v>
      </c>
      <c r="Y47" s="412">
        <f>AVERAGE(W47:W61)</f>
        <v>119.30769230769177</v>
      </c>
      <c r="Z47" s="105">
        <v>13</v>
      </c>
      <c r="AA47" s="175">
        <v>1544.9999999999932</v>
      </c>
      <c r="AB47" s="202">
        <v>118.84615384615333</v>
      </c>
      <c r="AC47" s="105">
        <f>RANK(AB47, AB$47:AB$61)</f>
        <v>1</v>
      </c>
      <c r="AD47" s="412">
        <f>AVERAGE(AB47:AB61)</f>
        <v>118.84615384615333</v>
      </c>
      <c r="AE47" s="105">
        <v>13</v>
      </c>
      <c r="AF47" s="175">
        <v>1419.000000000005</v>
      </c>
      <c r="AG47" s="202">
        <v>109.15384615384654</v>
      </c>
      <c r="AH47" s="105">
        <f>RANK(AG47, AG$47:AG$61)</f>
        <v>1</v>
      </c>
      <c r="AI47" s="412">
        <f>AVERAGE(AG47:AG61)</f>
        <v>109.15384615384654</v>
      </c>
      <c r="AJ47" s="105">
        <v>13</v>
      </c>
      <c r="AK47" s="175">
        <v>1502.9999999999993</v>
      </c>
      <c r="AL47" s="202">
        <v>115.61538461538456</v>
      </c>
      <c r="AM47" s="105">
        <f>RANK(AL47, AL$47:AL$61)</f>
        <v>1</v>
      </c>
      <c r="AN47" s="412">
        <f>AVERAGE(AL47:AL61)</f>
        <v>115.61538461538456</v>
      </c>
      <c r="AO47" s="105">
        <v>13</v>
      </c>
      <c r="AP47" s="175">
        <v>1446.0000000000052</v>
      </c>
      <c r="AQ47" s="202">
        <v>111.23076923076964</v>
      </c>
      <c r="AR47" s="105">
        <f>RANK(AQ47, AQ$47:AQ$61)</f>
        <v>1</v>
      </c>
      <c r="AS47" s="412">
        <f>AVERAGE(AQ47:AQ61)</f>
        <v>111.23076923076964</v>
      </c>
      <c r="AT47" s="105">
        <v>13</v>
      </c>
      <c r="AU47" s="175">
        <v>1472.9999999999993</v>
      </c>
      <c r="AV47" s="202">
        <v>113.30769230769225</v>
      </c>
      <c r="AW47" s="105">
        <f>RANK(AV47, AV$47:AV$61)</f>
        <v>1</v>
      </c>
      <c r="AX47" s="412">
        <f>AVERAGE(AV47:AV61)</f>
        <v>113.30769230769225</v>
      </c>
    </row>
    <row r="48" spans="2:50">
      <c r="B48" s="398"/>
      <c r="C48" s="105">
        <v>2</v>
      </c>
      <c r="D48" s="228"/>
      <c r="E48" s="175"/>
      <c r="F48" s="105"/>
      <c r="G48" s="202"/>
      <c r="H48" s="385"/>
      <c r="I48" s="175"/>
      <c r="J48" s="175"/>
      <c r="K48" s="202"/>
      <c r="L48" s="385"/>
      <c r="M48" s="203" t="e">
        <f>RANK(K48, K$47:$K$61)</f>
        <v>#N/A</v>
      </c>
      <c r="N48" s="387"/>
      <c r="O48" s="387"/>
      <c r="P48" s="105"/>
      <c r="Q48" s="105"/>
      <c r="R48" s="105"/>
      <c r="S48" s="105" t="e">
        <f t="shared" ref="S48:S61" si="19">RANK(R48, R$47:R$61)</f>
        <v>#N/A</v>
      </c>
      <c r="T48" s="412"/>
      <c r="U48" s="105"/>
      <c r="V48" s="105"/>
      <c r="W48" s="105"/>
      <c r="X48" s="105" t="e">
        <f t="shared" ref="X48:X61" si="20">RANK(W48, W$47:W$61)</f>
        <v>#N/A</v>
      </c>
      <c r="Y48" s="412"/>
      <c r="Z48" s="105"/>
      <c r="AA48" s="105"/>
      <c r="AB48" s="105"/>
      <c r="AC48" s="105" t="e">
        <f t="shared" ref="AC48:AC61" si="21">RANK(AB48, AB$47:AB$61)</f>
        <v>#N/A</v>
      </c>
      <c r="AD48" s="412"/>
      <c r="AE48" s="105"/>
      <c r="AF48" s="105"/>
      <c r="AG48" s="105"/>
      <c r="AH48" s="105" t="e">
        <f t="shared" ref="AH48:AH61" si="22">RANK(AG48, AG$47:AG$61)</f>
        <v>#N/A</v>
      </c>
      <c r="AI48" s="412"/>
      <c r="AJ48" s="105"/>
      <c r="AK48" s="105"/>
      <c r="AL48" s="105"/>
      <c r="AM48" s="105" t="e">
        <f t="shared" ref="AM48:AM61" si="23">RANK(AL48, AL$47:AL$61)</f>
        <v>#N/A</v>
      </c>
      <c r="AN48" s="412"/>
      <c r="AO48" s="105"/>
      <c r="AP48" s="105"/>
      <c r="AQ48" s="105"/>
      <c r="AR48" s="105" t="e">
        <f t="shared" ref="AR48:AR61" si="24">RANK(AQ48, AQ$47:AQ$61)</f>
        <v>#N/A</v>
      </c>
      <c r="AS48" s="412"/>
      <c r="AT48" s="105"/>
      <c r="AU48" s="105"/>
      <c r="AV48" s="105"/>
      <c r="AW48" s="105" t="e">
        <f t="shared" ref="AW48:AW61" si="25">RANK(AV48, AV$47:AV$61)</f>
        <v>#N/A</v>
      </c>
      <c r="AX48" s="412"/>
    </row>
    <row r="49" spans="2:50">
      <c r="B49" s="398"/>
      <c r="C49" s="105">
        <v>3</v>
      </c>
      <c r="D49" s="228"/>
      <c r="E49" s="175"/>
      <c r="F49" s="105"/>
      <c r="G49" s="202"/>
      <c r="H49" s="385"/>
      <c r="I49" s="175"/>
      <c r="J49" s="175"/>
      <c r="K49" s="202"/>
      <c r="L49" s="385"/>
      <c r="M49" s="203" t="e">
        <f>RANK(K49, K$47:$K$61)</f>
        <v>#N/A</v>
      </c>
      <c r="N49" s="387"/>
      <c r="O49" s="387"/>
      <c r="P49" s="105"/>
      <c r="Q49" s="105"/>
      <c r="R49" s="105"/>
      <c r="S49" s="105" t="e">
        <f t="shared" si="19"/>
        <v>#N/A</v>
      </c>
      <c r="T49" s="412"/>
      <c r="U49" s="105"/>
      <c r="V49" s="105"/>
      <c r="W49" s="105"/>
      <c r="X49" s="105" t="e">
        <f t="shared" si="20"/>
        <v>#N/A</v>
      </c>
      <c r="Y49" s="412"/>
      <c r="Z49" s="105"/>
      <c r="AA49" s="105"/>
      <c r="AB49" s="105"/>
      <c r="AC49" s="105" t="e">
        <f t="shared" si="21"/>
        <v>#N/A</v>
      </c>
      <c r="AD49" s="412"/>
      <c r="AE49" s="105"/>
      <c r="AF49" s="105"/>
      <c r="AG49" s="105"/>
      <c r="AH49" s="105" t="e">
        <f t="shared" si="22"/>
        <v>#N/A</v>
      </c>
      <c r="AI49" s="412"/>
      <c r="AJ49" s="105"/>
      <c r="AK49" s="105"/>
      <c r="AL49" s="105"/>
      <c r="AM49" s="105" t="e">
        <f t="shared" si="23"/>
        <v>#N/A</v>
      </c>
      <c r="AN49" s="412"/>
      <c r="AO49" s="105"/>
      <c r="AP49" s="105"/>
      <c r="AQ49" s="105"/>
      <c r="AR49" s="105" t="e">
        <f t="shared" si="24"/>
        <v>#N/A</v>
      </c>
      <c r="AS49" s="412"/>
      <c r="AT49" s="105"/>
      <c r="AU49" s="105"/>
      <c r="AV49" s="105"/>
      <c r="AW49" s="105" t="e">
        <f t="shared" si="25"/>
        <v>#N/A</v>
      </c>
      <c r="AX49" s="412"/>
    </row>
    <row r="50" spans="2:50">
      <c r="B50" s="398"/>
      <c r="C50" s="105">
        <v>4</v>
      </c>
      <c r="D50" s="228"/>
      <c r="E50" s="175"/>
      <c r="F50" s="105"/>
      <c r="G50" s="202"/>
      <c r="H50" s="385"/>
      <c r="I50" s="175"/>
      <c r="J50" s="175"/>
      <c r="K50" s="202"/>
      <c r="L50" s="385"/>
      <c r="M50" s="203" t="e">
        <f>RANK(K50, K$47:$K$61)</f>
        <v>#N/A</v>
      </c>
      <c r="N50" s="387"/>
      <c r="O50" s="387"/>
      <c r="P50" s="105"/>
      <c r="Q50" s="105"/>
      <c r="R50" s="105"/>
      <c r="S50" s="105" t="e">
        <f t="shared" si="19"/>
        <v>#N/A</v>
      </c>
      <c r="T50" s="412"/>
      <c r="U50" s="105"/>
      <c r="V50" s="105"/>
      <c r="W50" s="105"/>
      <c r="X50" s="105" t="e">
        <f t="shared" si="20"/>
        <v>#N/A</v>
      </c>
      <c r="Y50" s="412"/>
      <c r="Z50" s="105"/>
      <c r="AA50" s="105"/>
      <c r="AB50" s="105"/>
      <c r="AC50" s="105" t="e">
        <f t="shared" si="21"/>
        <v>#N/A</v>
      </c>
      <c r="AD50" s="412"/>
      <c r="AE50" s="105"/>
      <c r="AF50" s="105"/>
      <c r="AG50" s="105"/>
      <c r="AH50" s="105" t="e">
        <f t="shared" si="22"/>
        <v>#N/A</v>
      </c>
      <c r="AI50" s="412"/>
      <c r="AJ50" s="105"/>
      <c r="AK50" s="105"/>
      <c r="AL50" s="105"/>
      <c r="AM50" s="105" t="e">
        <f t="shared" si="23"/>
        <v>#N/A</v>
      </c>
      <c r="AN50" s="412"/>
      <c r="AO50" s="105"/>
      <c r="AP50" s="105"/>
      <c r="AQ50" s="105"/>
      <c r="AR50" s="105" t="e">
        <f t="shared" si="24"/>
        <v>#N/A</v>
      </c>
      <c r="AS50" s="412"/>
      <c r="AT50" s="105"/>
      <c r="AU50" s="105"/>
      <c r="AV50" s="105"/>
      <c r="AW50" s="105" t="e">
        <f t="shared" si="25"/>
        <v>#N/A</v>
      </c>
      <c r="AX50" s="412"/>
    </row>
    <row r="51" spans="2:50">
      <c r="B51" s="398"/>
      <c r="C51" s="105">
        <v>5</v>
      </c>
      <c r="D51" s="228"/>
      <c r="E51" s="175"/>
      <c r="F51" s="105"/>
      <c r="G51" s="202"/>
      <c r="H51" s="385"/>
      <c r="I51" s="175"/>
      <c r="J51" s="175"/>
      <c r="K51" s="202"/>
      <c r="L51" s="385"/>
      <c r="M51" s="203" t="e">
        <f>RANK(K51, K$47:$K$61)</f>
        <v>#N/A</v>
      </c>
      <c r="N51" s="387"/>
      <c r="O51" s="387"/>
      <c r="P51" s="105"/>
      <c r="Q51" s="105"/>
      <c r="R51" s="105"/>
      <c r="S51" s="105" t="e">
        <f t="shared" si="19"/>
        <v>#N/A</v>
      </c>
      <c r="T51" s="412"/>
      <c r="U51" s="105"/>
      <c r="V51" s="105"/>
      <c r="W51" s="105"/>
      <c r="X51" s="105" t="e">
        <f t="shared" si="20"/>
        <v>#N/A</v>
      </c>
      <c r="Y51" s="412"/>
      <c r="Z51" s="105"/>
      <c r="AA51" s="105"/>
      <c r="AB51" s="105"/>
      <c r="AC51" s="105" t="e">
        <f t="shared" si="21"/>
        <v>#N/A</v>
      </c>
      <c r="AD51" s="412"/>
      <c r="AE51" s="105"/>
      <c r="AF51" s="105"/>
      <c r="AG51" s="105"/>
      <c r="AH51" s="105" t="e">
        <f t="shared" si="22"/>
        <v>#N/A</v>
      </c>
      <c r="AI51" s="412"/>
      <c r="AJ51" s="105"/>
      <c r="AK51" s="105"/>
      <c r="AL51" s="105"/>
      <c r="AM51" s="105" t="e">
        <f t="shared" si="23"/>
        <v>#N/A</v>
      </c>
      <c r="AN51" s="412"/>
      <c r="AO51" s="105"/>
      <c r="AP51" s="105"/>
      <c r="AQ51" s="105"/>
      <c r="AR51" s="105" t="e">
        <f t="shared" si="24"/>
        <v>#N/A</v>
      </c>
      <c r="AS51" s="412"/>
      <c r="AT51" s="105"/>
      <c r="AU51" s="105"/>
      <c r="AV51" s="105"/>
      <c r="AW51" s="105" t="e">
        <f t="shared" si="25"/>
        <v>#N/A</v>
      </c>
      <c r="AX51" s="412"/>
    </row>
    <row r="52" spans="2:50">
      <c r="B52" s="398"/>
      <c r="C52" s="105">
        <v>6</v>
      </c>
      <c r="D52" s="228"/>
      <c r="E52" s="175"/>
      <c r="F52" s="105"/>
      <c r="G52" s="202"/>
      <c r="H52" s="385"/>
      <c r="I52" s="175"/>
      <c r="J52" s="175"/>
      <c r="K52" s="202"/>
      <c r="L52" s="385"/>
      <c r="M52" s="203" t="e">
        <f>RANK(K52, K$47:$K$61)</f>
        <v>#N/A</v>
      </c>
      <c r="N52" s="387"/>
      <c r="O52" s="387"/>
      <c r="P52" s="105"/>
      <c r="Q52" s="105"/>
      <c r="R52" s="105"/>
      <c r="S52" s="105" t="e">
        <f t="shared" si="19"/>
        <v>#N/A</v>
      </c>
      <c r="T52" s="412"/>
      <c r="U52" s="105"/>
      <c r="V52" s="105"/>
      <c r="W52" s="105"/>
      <c r="X52" s="105" t="e">
        <f t="shared" si="20"/>
        <v>#N/A</v>
      </c>
      <c r="Y52" s="412"/>
      <c r="Z52" s="105"/>
      <c r="AA52" s="105"/>
      <c r="AB52" s="105"/>
      <c r="AC52" s="105" t="e">
        <f t="shared" si="21"/>
        <v>#N/A</v>
      </c>
      <c r="AD52" s="412"/>
      <c r="AE52" s="105"/>
      <c r="AF52" s="105"/>
      <c r="AG52" s="105"/>
      <c r="AH52" s="105" t="e">
        <f t="shared" si="22"/>
        <v>#N/A</v>
      </c>
      <c r="AI52" s="412"/>
      <c r="AJ52" s="105"/>
      <c r="AK52" s="105"/>
      <c r="AL52" s="105"/>
      <c r="AM52" s="105" t="e">
        <f t="shared" si="23"/>
        <v>#N/A</v>
      </c>
      <c r="AN52" s="412"/>
      <c r="AO52" s="105"/>
      <c r="AP52" s="105"/>
      <c r="AQ52" s="105"/>
      <c r="AR52" s="105" t="e">
        <f t="shared" si="24"/>
        <v>#N/A</v>
      </c>
      <c r="AS52" s="412"/>
      <c r="AT52" s="105"/>
      <c r="AU52" s="105"/>
      <c r="AV52" s="105"/>
      <c r="AW52" s="105" t="e">
        <f t="shared" si="25"/>
        <v>#N/A</v>
      </c>
      <c r="AX52" s="412"/>
    </row>
    <row r="53" spans="2:50">
      <c r="B53" s="398"/>
      <c r="C53" s="105">
        <v>7</v>
      </c>
      <c r="D53" s="228"/>
      <c r="E53" s="175"/>
      <c r="F53" s="105"/>
      <c r="G53" s="202"/>
      <c r="H53" s="385"/>
      <c r="I53" s="175"/>
      <c r="J53" s="175"/>
      <c r="K53" s="202"/>
      <c r="L53" s="385"/>
      <c r="M53" s="203" t="e">
        <f>RANK(K53, K$47:$K$61)</f>
        <v>#N/A</v>
      </c>
      <c r="N53" s="387"/>
      <c r="O53" s="387"/>
      <c r="P53" s="105"/>
      <c r="Q53" s="105"/>
      <c r="R53" s="105"/>
      <c r="S53" s="105" t="e">
        <f t="shared" si="19"/>
        <v>#N/A</v>
      </c>
      <c r="T53" s="412"/>
      <c r="U53" s="105"/>
      <c r="V53" s="105"/>
      <c r="W53" s="105"/>
      <c r="X53" s="105" t="e">
        <f t="shared" si="20"/>
        <v>#N/A</v>
      </c>
      <c r="Y53" s="412"/>
      <c r="Z53" s="105"/>
      <c r="AA53" s="105"/>
      <c r="AB53" s="105"/>
      <c r="AC53" s="105" t="e">
        <f t="shared" si="21"/>
        <v>#N/A</v>
      </c>
      <c r="AD53" s="412"/>
      <c r="AE53" s="105"/>
      <c r="AF53" s="105"/>
      <c r="AG53" s="105"/>
      <c r="AH53" s="105" t="e">
        <f t="shared" si="22"/>
        <v>#N/A</v>
      </c>
      <c r="AI53" s="412"/>
      <c r="AJ53" s="105"/>
      <c r="AK53" s="105"/>
      <c r="AL53" s="105"/>
      <c r="AM53" s="105" t="e">
        <f t="shared" si="23"/>
        <v>#N/A</v>
      </c>
      <c r="AN53" s="412"/>
      <c r="AO53" s="105"/>
      <c r="AP53" s="105"/>
      <c r="AQ53" s="105"/>
      <c r="AR53" s="105" t="e">
        <f t="shared" si="24"/>
        <v>#N/A</v>
      </c>
      <c r="AS53" s="412"/>
      <c r="AT53" s="105"/>
      <c r="AU53" s="105"/>
      <c r="AV53" s="105"/>
      <c r="AW53" s="105" t="e">
        <f t="shared" si="25"/>
        <v>#N/A</v>
      </c>
      <c r="AX53" s="412"/>
    </row>
    <row r="54" spans="2:50">
      <c r="B54" s="398"/>
      <c r="C54" s="105">
        <v>8</v>
      </c>
      <c r="D54" s="228"/>
      <c r="E54" s="175"/>
      <c r="F54" s="105"/>
      <c r="G54" s="202"/>
      <c r="H54" s="385"/>
      <c r="I54" s="175"/>
      <c r="J54" s="175"/>
      <c r="K54" s="202"/>
      <c r="L54" s="385"/>
      <c r="M54" s="203" t="e">
        <f>RANK(K54, K$47:$K$61)</f>
        <v>#N/A</v>
      </c>
      <c r="N54" s="387"/>
      <c r="O54" s="387"/>
      <c r="P54" s="105"/>
      <c r="Q54" s="105"/>
      <c r="R54" s="105"/>
      <c r="S54" s="105" t="e">
        <f t="shared" si="19"/>
        <v>#N/A</v>
      </c>
      <c r="T54" s="412"/>
      <c r="U54" s="105"/>
      <c r="V54" s="105"/>
      <c r="W54" s="105"/>
      <c r="X54" s="105" t="e">
        <f t="shared" si="20"/>
        <v>#N/A</v>
      </c>
      <c r="Y54" s="412"/>
      <c r="Z54" s="105"/>
      <c r="AA54" s="105"/>
      <c r="AB54" s="105"/>
      <c r="AC54" s="105" t="e">
        <f t="shared" si="21"/>
        <v>#N/A</v>
      </c>
      <c r="AD54" s="412"/>
      <c r="AE54" s="105"/>
      <c r="AF54" s="105"/>
      <c r="AG54" s="105"/>
      <c r="AH54" s="105" t="e">
        <f t="shared" si="22"/>
        <v>#N/A</v>
      </c>
      <c r="AI54" s="412"/>
      <c r="AJ54" s="105"/>
      <c r="AK54" s="105"/>
      <c r="AL54" s="105"/>
      <c r="AM54" s="105" t="e">
        <f t="shared" si="23"/>
        <v>#N/A</v>
      </c>
      <c r="AN54" s="412"/>
      <c r="AO54" s="105"/>
      <c r="AP54" s="105"/>
      <c r="AQ54" s="105"/>
      <c r="AR54" s="105" t="e">
        <f t="shared" si="24"/>
        <v>#N/A</v>
      </c>
      <c r="AS54" s="412"/>
      <c r="AT54" s="105"/>
      <c r="AU54" s="105"/>
      <c r="AV54" s="105"/>
      <c r="AW54" s="105" t="e">
        <f t="shared" si="25"/>
        <v>#N/A</v>
      </c>
      <c r="AX54" s="412"/>
    </row>
    <row r="55" spans="2:50">
      <c r="B55" s="398"/>
      <c r="C55" s="105">
        <v>9</v>
      </c>
      <c r="D55" s="228"/>
      <c r="E55" s="175"/>
      <c r="F55" s="105"/>
      <c r="G55" s="202"/>
      <c r="H55" s="385"/>
      <c r="I55" s="175"/>
      <c r="J55" s="175"/>
      <c r="K55" s="202"/>
      <c r="L55" s="385"/>
      <c r="M55" s="203" t="e">
        <f>RANK(K55, K$47:$K$61)</f>
        <v>#N/A</v>
      </c>
      <c r="N55" s="387"/>
      <c r="O55" s="387"/>
      <c r="P55" s="105"/>
      <c r="Q55" s="105"/>
      <c r="R55" s="105"/>
      <c r="S55" s="105" t="e">
        <f t="shared" si="19"/>
        <v>#N/A</v>
      </c>
      <c r="T55" s="412"/>
      <c r="U55" s="105"/>
      <c r="V55" s="105"/>
      <c r="W55" s="105"/>
      <c r="X55" s="105" t="e">
        <f t="shared" si="20"/>
        <v>#N/A</v>
      </c>
      <c r="Y55" s="412"/>
      <c r="Z55" s="105"/>
      <c r="AA55" s="105"/>
      <c r="AB55" s="105"/>
      <c r="AC55" s="105" t="e">
        <f t="shared" si="21"/>
        <v>#N/A</v>
      </c>
      <c r="AD55" s="412"/>
      <c r="AE55" s="105"/>
      <c r="AF55" s="105"/>
      <c r="AG55" s="105"/>
      <c r="AH55" s="105" t="e">
        <f t="shared" si="22"/>
        <v>#N/A</v>
      </c>
      <c r="AI55" s="412"/>
      <c r="AJ55" s="105"/>
      <c r="AK55" s="105"/>
      <c r="AL55" s="105"/>
      <c r="AM55" s="105" t="e">
        <f t="shared" si="23"/>
        <v>#N/A</v>
      </c>
      <c r="AN55" s="412"/>
      <c r="AO55" s="105"/>
      <c r="AP55" s="105"/>
      <c r="AQ55" s="105"/>
      <c r="AR55" s="105" t="e">
        <f t="shared" si="24"/>
        <v>#N/A</v>
      </c>
      <c r="AS55" s="412"/>
      <c r="AT55" s="105"/>
      <c r="AU55" s="105"/>
      <c r="AV55" s="105"/>
      <c r="AW55" s="105" t="e">
        <f t="shared" si="25"/>
        <v>#N/A</v>
      </c>
      <c r="AX55" s="412"/>
    </row>
    <row r="56" spans="2:50">
      <c r="B56" s="398"/>
      <c r="C56" s="105">
        <v>10</v>
      </c>
      <c r="D56" s="228"/>
      <c r="E56" s="175"/>
      <c r="F56" s="105"/>
      <c r="G56" s="202"/>
      <c r="H56" s="385"/>
      <c r="I56" s="175"/>
      <c r="J56" s="175"/>
      <c r="K56" s="202"/>
      <c r="L56" s="385"/>
      <c r="M56" s="203" t="e">
        <f>RANK(K56, K$47:$K$61)</f>
        <v>#N/A</v>
      </c>
      <c r="N56" s="387"/>
      <c r="O56" s="387"/>
      <c r="P56" s="105"/>
      <c r="Q56" s="105"/>
      <c r="R56" s="105"/>
      <c r="S56" s="105" t="e">
        <f t="shared" si="19"/>
        <v>#N/A</v>
      </c>
      <c r="T56" s="412"/>
      <c r="U56" s="105"/>
      <c r="V56" s="105"/>
      <c r="W56" s="105"/>
      <c r="X56" s="105" t="e">
        <f t="shared" si="20"/>
        <v>#N/A</v>
      </c>
      <c r="Y56" s="412"/>
      <c r="Z56" s="105"/>
      <c r="AA56" s="105"/>
      <c r="AB56" s="105"/>
      <c r="AC56" s="105" t="e">
        <f t="shared" si="21"/>
        <v>#N/A</v>
      </c>
      <c r="AD56" s="412"/>
      <c r="AE56" s="105"/>
      <c r="AF56" s="105"/>
      <c r="AG56" s="105"/>
      <c r="AH56" s="105" t="e">
        <f t="shared" si="22"/>
        <v>#N/A</v>
      </c>
      <c r="AI56" s="412"/>
      <c r="AJ56" s="105"/>
      <c r="AK56" s="105"/>
      <c r="AL56" s="105"/>
      <c r="AM56" s="105" t="e">
        <f t="shared" si="23"/>
        <v>#N/A</v>
      </c>
      <c r="AN56" s="412"/>
      <c r="AO56" s="105"/>
      <c r="AP56" s="105"/>
      <c r="AQ56" s="105"/>
      <c r="AR56" s="105" t="e">
        <f t="shared" si="24"/>
        <v>#N/A</v>
      </c>
      <c r="AS56" s="412"/>
      <c r="AT56" s="105"/>
      <c r="AU56" s="105"/>
      <c r="AV56" s="105"/>
      <c r="AW56" s="105" t="e">
        <f t="shared" si="25"/>
        <v>#N/A</v>
      </c>
      <c r="AX56" s="412"/>
    </row>
    <row r="57" spans="2:50">
      <c r="B57" s="398"/>
      <c r="C57" s="105">
        <v>11</v>
      </c>
      <c r="D57" s="228"/>
      <c r="E57" s="175"/>
      <c r="F57" s="105"/>
      <c r="G57" s="202"/>
      <c r="H57" s="385"/>
      <c r="I57" s="105"/>
      <c r="J57" s="105"/>
      <c r="K57" s="105"/>
      <c r="L57" s="385"/>
      <c r="M57" s="203" t="e">
        <f>RANK(K57, K$47:$K$61)</f>
        <v>#N/A</v>
      </c>
      <c r="N57" s="387"/>
      <c r="O57" s="387"/>
      <c r="P57" s="105"/>
      <c r="Q57" s="105"/>
      <c r="R57" s="105"/>
      <c r="S57" s="105" t="e">
        <f t="shared" si="19"/>
        <v>#N/A</v>
      </c>
      <c r="T57" s="412"/>
      <c r="U57" s="105"/>
      <c r="V57" s="105"/>
      <c r="W57" s="105"/>
      <c r="X57" s="105" t="e">
        <f t="shared" si="20"/>
        <v>#N/A</v>
      </c>
      <c r="Y57" s="412"/>
      <c r="Z57" s="105"/>
      <c r="AA57" s="105"/>
      <c r="AB57" s="105"/>
      <c r="AC57" s="105" t="e">
        <f t="shared" si="21"/>
        <v>#N/A</v>
      </c>
      <c r="AD57" s="412"/>
      <c r="AE57" s="105"/>
      <c r="AF57" s="105"/>
      <c r="AG57" s="105"/>
      <c r="AH57" s="105" t="e">
        <f t="shared" si="22"/>
        <v>#N/A</v>
      </c>
      <c r="AI57" s="412"/>
      <c r="AJ57" s="105"/>
      <c r="AK57" s="105"/>
      <c r="AL57" s="105"/>
      <c r="AM57" s="105" t="e">
        <f t="shared" si="23"/>
        <v>#N/A</v>
      </c>
      <c r="AN57" s="412"/>
      <c r="AO57" s="105"/>
      <c r="AP57" s="105"/>
      <c r="AQ57" s="105"/>
      <c r="AR57" s="105" t="e">
        <f t="shared" si="24"/>
        <v>#N/A</v>
      </c>
      <c r="AS57" s="412"/>
      <c r="AT57" s="105"/>
      <c r="AU57" s="105"/>
      <c r="AV57" s="105"/>
      <c r="AW57" s="105" t="e">
        <f t="shared" si="25"/>
        <v>#N/A</v>
      </c>
      <c r="AX57" s="412"/>
    </row>
    <row r="58" spans="2:50">
      <c r="B58" s="398"/>
      <c r="C58" s="105">
        <v>12</v>
      </c>
      <c r="D58" s="228"/>
      <c r="E58" s="175"/>
      <c r="F58" s="105"/>
      <c r="G58" s="202"/>
      <c r="H58" s="385"/>
      <c r="I58" s="105"/>
      <c r="J58" s="105"/>
      <c r="K58" s="105"/>
      <c r="L58" s="385"/>
      <c r="M58" s="203" t="e">
        <f>RANK(K58, K$47:$K$61)</f>
        <v>#N/A</v>
      </c>
      <c r="N58" s="387"/>
      <c r="O58" s="387"/>
      <c r="P58" s="105"/>
      <c r="Q58" s="105"/>
      <c r="R58" s="105"/>
      <c r="S58" s="105" t="e">
        <f t="shared" si="19"/>
        <v>#N/A</v>
      </c>
      <c r="T58" s="412"/>
      <c r="U58" s="105"/>
      <c r="V58" s="105"/>
      <c r="W58" s="105"/>
      <c r="X58" s="105" t="e">
        <f t="shared" si="20"/>
        <v>#N/A</v>
      </c>
      <c r="Y58" s="412"/>
      <c r="Z58" s="105"/>
      <c r="AA58" s="105"/>
      <c r="AB58" s="105"/>
      <c r="AC58" s="105" t="e">
        <f t="shared" si="21"/>
        <v>#N/A</v>
      </c>
      <c r="AD58" s="412"/>
      <c r="AE58" s="105"/>
      <c r="AF58" s="105"/>
      <c r="AG58" s="105"/>
      <c r="AH58" s="105" t="e">
        <f t="shared" si="22"/>
        <v>#N/A</v>
      </c>
      <c r="AI58" s="412"/>
      <c r="AJ58" s="105"/>
      <c r="AK58" s="105"/>
      <c r="AL58" s="105"/>
      <c r="AM58" s="105" t="e">
        <f t="shared" si="23"/>
        <v>#N/A</v>
      </c>
      <c r="AN58" s="412"/>
      <c r="AO58" s="105"/>
      <c r="AP58" s="105"/>
      <c r="AQ58" s="105"/>
      <c r="AR58" s="105" t="e">
        <f t="shared" si="24"/>
        <v>#N/A</v>
      </c>
      <c r="AS58" s="412"/>
      <c r="AT58" s="105"/>
      <c r="AU58" s="105"/>
      <c r="AV58" s="105"/>
      <c r="AW58" s="105" t="e">
        <f t="shared" si="25"/>
        <v>#N/A</v>
      </c>
      <c r="AX58" s="412"/>
    </row>
    <row r="59" spans="2:50">
      <c r="B59" s="398"/>
      <c r="C59" s="105">
        <v>13</v>
      </c>
      <c r="D59" s="228"/>
      <c r="E59" s="175"/>
      <c r="F59" s="105"/>
      <c r="G59" s="202"/>
      <c r="H59" s="385"/>
      <c r="I59" s="105"/>
      <c r="J59" s="105"/>
      <c r="K59" s="105"/>
      <c r="L59" s="385"/>
      <c r="M59" s="203" t="e">
        <f>RANK(K59, K$47:$K$61)</f>
        <v>#N/A</v>
      </c>
      <c r="N59" s="387"/>
      <c r="O59" s="387"/>
      <c r="P59" s="105"/>
      <c r="Q59" s="105"/>
      <c r="R59" s="105"/>
      <c r="S59" s="105" t="e">
        <f t="shared" si="19"/>
        <v>#N/A</v>
      </c>
      <c r="T59" s="412"/>
      <c r="U59" s="105"/>
      <c r="V59" s="105"/>
      <c r="W59" s="105"/>
      <c r="X59" s="105" t="e">
        <f t="shared" si="20"/>
        <v>#N/A</v>
      </c>
      <c r="Y59" s="412"/>
      <c r="Z59" s="105"/>
      <c r="AA59" s="105"/>
      <c r="AB59" s="105"/>
      <c r="AC59" s="105" t="e">
        <f t="shared" si="21"/>
        <v>#N/A</v>
      </c>
      <c r="AD59" s="412"/>
      <c r="AE59" s="105"/>
      <c r="AF59" s="105"/>
      <c r="AG59" s="105"/>
      <c r="AH59" s="105" t="e">
        <f t="shared" si="22"/>
        <v>#N/A</v>
      </c>
      <c r="AI59" s="412"/>
      <c r="AJ59" s="105"/>
      <c r="AK59" s="105"/>
      <c r="AL59" s="105"/>
      <c r="AM59" s="105" t="e">
        <f t="shared" si="23"/>
        <v>#N/A</v>
      </c>
      <c r="AN59" s="412"/>
      <c r="AO59" s="105"/>
      <c r="AP59" s="105"/>
      <c r="AQ59" s="105"/>
      <c r="AR59" s="105" t="e">
        <f t="shared" si="24"/>
        <v>#N/A</v>
      </c>
      <c r="AS59" s="412"/>
      <c r="AT59" s="105"/>
      <c r="AU59" s="105"/>
      <c r="AV59" s="105"/>
      <c r="AW59" s="105" t="e">
        <f t="shared" si="25"/>
        <v>#N/A</v>
      </c>
      <c r="AX59" s="412"/>
    </row>
    <row r="60" spans="2:50">
      <c r="B60" s="398"/>
      <c r="C60" s="105">
        <v>14</v>
      </c>
      <c r="D60" s="228"/>
      <c r="E60" s="175"/>
      <c r="F60" s="105"/>
      <c r="G60" s="202"/>
      <c r="H60" s="385"/>
      <c r="I60" s="105"/>
      <c r="J60" s="105"/>
      <c r="K60" s="105"/>
      <c r="L60" s="385"/>
      <c r="M60" s="203" t="e">
        <f>RANK(K60, K$47:$K$61)</f>
        <v>#N/A</v>
      </c>
      <c r="N60" s="387"/>
      <c r="O60" s="387"/>
      <c r="P60" s="105"/>
      <c r="Q60" s="105"/>
      <c r="R60" s="105"/>
      <c r="S60" s="105" t="e">
        <f t="shared" si="19"/>
        <v>#N/A</v>
      </c>
      <c r="T60" s="412"/>
      <c r="U60" s="105"/>
      <c r="V60" s="105"/>
      <c r="W60" s="105"/>
      <c r="X60" s="105" t="e">
        <f t="shared" si="20"/>
        <v>#N/A</v>
      </c>
      <c r="Y60" s="412"/>
      <c r="Z60" s="105"/>
      <c r="AA60" s="105"/>
      <c r="AB60" s="105"/>
      <c r="AC60" s="105" t="e">
        <f t="shared" si="21"/>
        <v>#N/A</v>
      </c>
      <c r="AD60" s="412"/>
      <c r="AE60" s="105"/>
      <c r="AF60" s="105"/>
      <c r="AG60" s="105"/>
      <c r="AH60" s="105" t="e">
        <f t="shared" si="22"/>
        <v>#N/A</v>
      </c>
      <c r="AI60" s="412"/>
      <c r="AJ60" s="105"/>
      <c r="AK60" s="105"/>
      <c r="AL60" s="105"/>
      <c r="AM60" s="105" t="e">
        <f t="shared" si="23"/>
        <v>#N/A</v>
      </c>
      <c r="AN60" s="412"/>
      <c r="AO60" s="105"/>
      <c r="AP60" s="105"/>
      <c r="AQ60" s="105"/>
      <c r="AR60" s="105" t="e">
        <f t="shared" si="24"/>
        <v>#N/A</v>
      </c>
      <c r="AS60" s="412"/>
      <c r="AT60" s="105"/>
      <c r="AU60" s="105"/>
      <c r="AV60" s="105"/>
      <c r="AW60" s="105" t="e">
        <f t="shared" si="25"/>
        <v>#N/A</v>
      </c>
      <c r="AX60" s="412"/>
    </row>
    <row r="61" spans="2:50">
      <c r="B61" s="398"/>
      <c r="C61" s="105">
        <v>15</v>
      </c>
      <c r="D61" s="228"/>
      <c r="E61" s="175"/>
      <c r="F61" s="105"/>
      <c r="G61" s="202"/>
      <c r="H61" s="386"/>
      <c r="I61" s="105"/>
      <c r="J61" s="105"/>
      <c r="K61" s="105"/>
      <c r="L61" s="386"/>
      <c r="M61" s="175" t="e">
        <f>RANK(K61, K$47:$K$61)</f>
        <v>#N/A</v>
      </c>
      <c r="N61" s="387"/>
      <c r="O61" s="387"/>
      <c r="P61" s="105"/>
      <c r="Q61" s="105"/>
      <c r="R61" s="105"/>
      <c r="S61" s="105" t="e">
        <f t="shared" si="19"/>
        <v>#N/A</v>
      </c>
      <c r="T61" s="412"/>
      <c r="U61" s="105"/>
      <c r="V61" s="105"/>
      <c r="W61" s="105"/>
      <c r="X61" s="105" t="e">
        <f t="shared" si="20"/>
        <v>#N/A</v>
      </c>
      <c r="Y61" s="412"/>
      <c r="Z61" s="105"/>
      <c r="AA61" s="105"/>
      <c r="AB61" s="105"/>
      <c r="AC61" s="105" t="e">
        <f t="shared" si="21"/>
        <v>#N/A</v>
      </c>
      <c r="AD61" s="412"/>
      <c r="AE61" s="105"/>
      <c r="AF61" s="105"/>
      <c r="AG61" s="105"/>
      <c r="AH61" s="105" t="e">
        <f t="shared" si="22"/>
        <v>#N/A</v>
      </c>
      <c r="AI61" s="412"/>
      <c r="AJ61" s="105"/>
      <c r="AK61" s="105"/>
      <c r="AL61" s="105"/>
      <c r="AM61" s="105" t="e">
        <f t="shared" si="23"/>
        <v>#N/A</v>
      </c>
      <c r="AN61" s="412"/>
      <c r="AO61" s="105"/>
      <c r="AP61" s="105"/>
      <c r="AQ61" s="105"/>
      <c r="AR61" s="105" t="e">
        <f t="shared" si="24"/>
        <v>#N/A</v>
      </c>
      <c r="AS61" s="412"/>
      <c r="AT61" s="105"/>
      <c r="AU61" s="105"/>
      <c r="AV61" s="105"/>
      <c r="AW61" s="105" t="e">
        <f t="shared" si="25"/>
        <v>#N/A</v>
      </c>
      <c r="AX61" s="412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26">Z62+1</f>
        <v>45891</v>
      </c>
      <c r="AF62" s="395"/>
      <c r="AG62" s="395"/>
      <c r="AH62" s="395"/>
      <c r="AI62" s="396"/>
      <c r="AJ62" s="394">
        <f t="shared" ref="AJ62" si="27">AE62+1</f>
        <v>45892</v>
      </c>
      <c r="AK62" s="395"/>
      <c r="AL62" s="395"/>
      <c r="AM62" s="395"/>
      <c r="AN62" s="396"/>
      <c r="AO62" s="394">
        <f t="shared" ref="AO62" si="28">AJ62+1</f>
        <v>45893</v>
      </c>
      <c r="AP62" s="395"/>
      <c r="AQ62" s="395"/>
      <c r="AR62" s="395"/>
      <c r="AS62" s="396"/>
      <c r="AT62" s="394">
        <f t="shared" ref="AT62" si="29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387" t="s">
        <v>255</v>
      </c>
      <c r="C67" s="105">
        <v>1</v>
      </c>
      <c r="D67" s="228" t="s">
        <v>256</v>
      </c>
      <c r="E67" s="175">
        <v>13</v>
      </c>
      <c r="F67" s="105">
        <v>1607.9999999999993</v>
      </c>
      <c r="G67" s="202">
        <v>123.69230769230764</v>
      </c>
      <c r="H67" s="384">
        <f>AVERAGE(G67:G81)</f>
        <v>123.69230769230764</v>
      </c>
      <c r="I67" s="175">
        <f>AVERAGE(P67,U67,Z67,AE67,AJ67,AO67,AT67)</f>
        <v>13</v>
      </c>
      <c r="J67" s="175">
        <f>AVERAGE(Q67,V67,AA67,AF67,AK67,AP67,AU67)</f>
        <v>1379.1428571428598</v>
      </c>
      <c r="K67" s="202">
        <f>AVERAGE(R67,W67,AB67,AG67,AL67,AQ67,AV67)</f>
        <v>106.0879120879123</v>
      </c>
      <c r="L67" s="384">
        <f>IFERROR(AVERAGE(K67:K81),"-")</f>
        <v>106.0879120879123</v>
      </c>
      <c r="M67" s="203">
        <f>RANK(K67, K$67:$K$81)</f>
        <v>1</v>
      </c>
      <c r="N67" s="387"/>
      <c r="O67" s="387"/>
      <c r="P67" s="105">
        <v>13</v>
      </c>
      <c r="Q67" s="175">
        <v>1512.0000000000052</v>
      </c>
      <c r="R67" s="202">
        <v>116.3076923076927</v>
      </c>
      <c r="S67" s="105">
        <f>RANK(R67, R$67:R$81)</f>
        <v>1</v>
      </c>
      <c r="T67" s="412">
        <f>AVERAGE(R67:R81)</f>
        <v>116.3076923076927</v>
      </c>
      <c r="U67" s="105">
        <v>13</v>
      </c>
      <c r="V67" s="175">
        <v>1463.9999999999995</v>
      </c>
      <c r="W67" s="202">
        <v>112.61538461538458</v>
      </c>
      <c r="X67" s="105">
        <f>RANK(W67, W$67:W$81)</f>
        <v>1</v>
      </c>
      <c r="Y67" s="412">
        <f>AVERAGE(W67:W81)</f>
        <v>112.61538461538458</v>
      </c>
      <c r="Z67" s="105">
        <v>13</v>
      </c>
      <c r="AA67" s="175">
        <v>1346.9999999999995</v>
      </c>
      <c r="AB67" s="202">
        <v>103.61538461538458</v>
      </c>
      <c r="AC67" s="105">
        <f>RANK(AB67, AB$67:AB$81)</f>
        <v>1</v>
      </c>
      <c r="AD67" s="412">
        <f>AVERAGE(AB67:AB81)</f>
        <v>103.61538461538458</v>
      </c>
      <c r="AE67" s="105">
        <v>13</v>
      </c>
      <c r="AF67" s="175">
        <v>1272.0000000000045</v>
      </c>
      <c r="AG67" s="202">
        <v>97.846153846154195</v>
      </c>
      <c r="AH67" s="105">
        <f>RANK(AG67, AG$67:AG$81)</f>
        <v>1</v>
      </c>
      <c r="AI67" s="412">
        <f>AVERAGE(AG67:AG81)</f>
        <v>97.846153846154195</v>
      </c>
      <c r="AJ67" s="105">
        <v>13</v>
      </c>
      <c r="AK67" s="175">
        <v>1328.9999999999995</v>
      </c>
      <c r="AL67" s="202">
        <v>102.2307692307692</v>
      </c>
      <c r="AM67" s="105">
        <f>RANK(AL67, AL$67:AL$81)</f>
        <v>1</v>
      </c>
      <c r="AN67" s="412">
        <f>AVERAGE(AL67:AL81)</f>
        <v>102.2307692307692</v>
      </c>
      <c r="AO67" s="105">
        <v>13</v>
      </c>
      <c r="AP67" s="175">
        <v>1413.000000000005</v>
      </c>
      <c r="AQ67" s="202">
        <v>108.69230769230808</v>
      </c>
      <c r="AR67" s="105">
        <f>RANK(AQ67, AQ$67:AQ$81)</f>
        <v>1</v>
      </c>
      <c r="AS67" s="412">
        <f>AVERAGE(AQ67:AQ81)</f>
        <v>108.69230769230808</v>
      </c>
      <c r="AT67" s="105">
        <v>13</v>
      </c>
      <c r="AU67" s="175">
        <v>1317.0000000000045</v>
      </c>
      <c r="AV67" s="202">
        <v>101.30769230769266</v>
      </c>
      <c r="AW67" s="105">
        <f>RANK(AV67, AV$67:AV$81)</f>
        <v>1</v>
      </c>
      <c r="AX67" s="412">
        <f>AVERAGE(AV67:AV81)</f>
        <v>101.30769230769266</v>
      </c>
    </row>
    <row r="68" spans="2:50">
      <c r="B68" s="398"/>
      <c r="C68" s="105">
        <v>2</v>
      </c>
      <c r="D68" s="228"/>
      <c r="E68" s="175"/>
      <c r="F68" s="105"/>
      <c r="G68" s="202"/>
      <c r="H68" s="385"/>
      <c r="I68" s="175"/>
      <c r="J68" s="175"/>
      <c r="K68" s="202"/>
      <c r="L68" s="385"/>
      <c r="M68" s="203" t="e">
        <f>RANK(K68, K$67:$K$81)</f>
        <v>#N/A</v>
      </c>
      <c r="N68" s="387"/>
      <c r="O68" s="387"/>
      <c r="P68" s="105"/>
      <c r="Q68" s="105"/>
      <c r="R68" s="105"/>
      <c r="S68" s="105" t="e">
        <f t="shared" ref="S68:S81" si="30">RANK(R68, R$67:R$81)</f>
        <v>#N/A</v>
      </c>
      <c r="T68" s="412"/>
      <c r="U68" s="105"/>
      <c r="V68" s="105"/>
      <c r="W68" s="105"/>
      <c r="X68" s="105" t="e">
        <f t="shared" ref="X68:X81" si="31">RANK(W68, W$67:W$81)</f>
        <v>#N/A</v>
      </c>
      <c r="Y68" s="412"/>
      <c r="Z68" s="105"/>
      <c r="AA68" s="105"/>
      <c r="AB68" s="105"/>
      <c r="AC68" s="105" t="e">
        <f t="shared" ref="AC68:AC81" si="32">RANK(AB68, AB$67:AB$81)</f>
        <v>#N/A</v>
      </c>
      <c r="AD68" s="412"/>
      <c r="AE68" s="105"/>
      <c r="AF68" s="105"/>
      <c r="AG68" s="105"/>
      <c r="AH68" s="105" t="e">
        <f t="shared" ref="AH68:AH81" si="33">RANK(AG68, AG$67:AG$81)</f>
        <v>#N/A</v>
      </c>
      <c r="AI68" s="412"/>
      <c r="AJ68" s="105"/>
      <c r="AK68" s="105"/>
      <c r="AL68" s="105"/>
      <c r="AM68" s="105" t="e">
        <f t="shared" ref="AM68:AM81" si="34">RANK(AL68, AL$67:AL$81)</f>
        <v>#N/A</v>
      </c>
      <c r="AN68" s="412"/>
      <c r="AO68" s="105"/>
      <c r="AP68" s="105"/>
      <c r="AQ68" s="105"/>
      <c r="AR68" s="105" t="e">
        <f t="shared" ref="AR68:AR81" si="35">RANK(AQ68, AQ$67:AQ$81)</f>
        <v>#N/A</v>
      </c>
      <c r="AS68" s="412"/>
      <c r="AT68" s="105"/>
      <c r="AU68" s="105"/>
      <c r="AV68" s="105"/>
      <c r="AW68" s="105" t="e">
        <f t="shared" ref="AW68:AW81" si="36">RANK(AV68, AV$67:AV$81)</f>
        <v>#N/A</v>
      </c>
      <c r="AX68" s="412"/>
    </row>
    <row r="69" spans="2:50">
      <c r="B69" s="398"/>
      <c r="C69" s="105">
        <v>3</v>
      </c>
      <c r="D69" s="228"/>
      <c r="E69" s="175"/>
      <c r="F69" s="105"/>
      <c r="G69" s="202"/>
      <c r="H69" s="385"/>
      <c r="I69" s="175"/>
      <c r="J69" s="175"/>
      <c r="K69" s="202"/>
      <c r="L69" s="385"/>
      <c r="M69" s="203" t="e">
        <f>RANK(K69, K$67:$K$81)</f>
        <v>#N/A</v>
      </c>
      <c r="N69" s="387"/>
      <c r="O69" s="387"/>
      <c r="P69" s="105"/>
      <c r="Q69" s="105"/>
      <c r="R69" s="105"/>
      <c r="S69" s="105" t="e">
        <f t="shared" si="30"/>
        <v>#N/A</v>
      </c>
      <c r="T69" s="412"/>
      <c r="U69" s="105"/>
      <c r="V69" s="105"/>
      <c r="W69" s="105"/>
      <c r="X69" s="105" t="e">
        <f t="shared" si="31"/>
        <v>#N/A</v>
      </c>
      <c r="Y69" s="412"/>
      <c r="Z69" s="105"/>
      <c r="AA69" s="105"/>
      <c r="AB69" s="105"/>
      <c r="AC69" s="105" t="e">
        <f t="shared" si="32"/>
        <v>#N/A</v>
      </c>
      <c r="AD69" s="412"/>
      <c r="AE69" s="105"/>
      <c r="AF69" s="105"/>
      <c r="AG69" s="105"/>
      <c r="AH69" s="105" t="e">
        <f t="shared" si="33"/>
        <v>#N/A</v>
      </c>
      <c r="AI69" s="412"/>
      <c r="AJ69" s="105"/>
      <c r="AK69" s="105"/>
      <c r="AL69" s="105"/>
      <c r="AM69" s="105" t="e">
        <f t="shared" si="34"/>
        <v>#N/A</v>
      </c>
      <c r="AN69" s="412"/>
      <c r="AO69" s="105"/>
      <c r="AP69" s="105"/>
      <c r="AQ69" s="105"/>
      <c r="AR69" s="105" t="e">
        <f t="shared" si="35"/>
        <v>#N/A</v>
      </c>
      <c r="AS69" s="412"/>
      <c r="AT69" s="105"/>
      <c r="AU69" s="105"/>
      <c r="AV69" s="105"/>
      <c r="AW69" s="105" t="e">
        <f t="shared" si="36"/>
        <v>#N/A</v>
      </c>
      <c r="AX69" s="412"/>
    </row>
    <row r="70" spans="2:50">
      <c r="B70" s="398"/>
      <c r="C70" s="105">
        <v>4</v>
      </c>
      <c r="D70" s="228"/>
      <c r="E70" s="175"/>
      <c r="F70" s="105"/>
      <c r="G70" s="202"/>
      <c r="H70" s="385"/>
      <c r="I70" s="175"/>
      <c r="J70" s="175"/>
      <c r="K70" s="202"/>
      <c r="L70" s="385"/>
      <c r="M70" s="203" t="e">
        <f>RANK(K70, K$67:$K$81)</f>
        <v>#N/A</v>
      </c>
      <c r="N70" s="387"/>
      <c r="O70" s="387"/>
      <c r="P70" s="105"/>
      <c r="Q70" s="105"/>
      <c r="R70" s="105"/>
      <c r="S70" s="105" t="e">
        <f t="shared" si="30"/>
        <v>#N/A</v>
      </c>
      <c r="T70" s="412"/>
      <c r="U70" s="105"/>
      <c r="V70" s="105"/>
      <c r="W70" s="105"/>
      <c r="X70" s="105" t="e">
        <f t="shared" si="31"/>
        <v>#N/A</v>
      </c>
      <c r="Y70" s="412"/>
      <c r="Z70" s="105"/>
      <c r="AA70" s="105"/>
      <c r="AB70" s="105"/>
      <c r="AC70" s="105" t="e">
        <f t="shared" si="32"/>
        <v>#N/A</v>
      </c>
      <c r="AD70" s="412"/>
      <c r="AE70" s="105"/>
      <c r="AF70" s="105"/>
      <c r="AG70" s="105"/>
      <c r="AH70" s="105" t="e">
        <f t="shared" si="33"/>
        <v>#N/A</v>
      </c>
      <c r="AI70" s="412"/>
      <c r="AJ70" s="105"/>
      <c r="AK70" s="105"/>
      <c r="AL70" s="105"/>
      <c r="AM70" s="105" t="e">
        <f t="shared" si="34"/>
        <v>#N/A</v>
      </c>
      <c r="AN70" s="412"/>
      <c r="AO70" s="105"/>
      <c r="AP70" s="105"/>
      <c r="AQ70" s="105"/>
      <c r="AR70" s="105" t="e">
        <f t="shared" si="35"/>
        <v>#N/A</v>
      </c>
      <c r="AS70" s="412"/>
      <c r="AT70" s="105"/>
      <c r="AU70" s="105"/>
      <c r="AV70" s="105"/>
      <c r="AW70" s="105" t="e">
        <f t="shared" si="36"/>
        <v>#N/A</v>
      </c>
      <c r="AX70" s="412"/>
    </row>
    <row r="71" spans="2:50">
      <c r="B71" s="398"/>
      <c r="C71" s="105">
        <v>5</v>
      </c>
      <c r="D71" s="228"/>
      <c r="E71" s="175"/>
      <c r="F71" s="105"/>
      <c r="G71" s="202"/>
      <c r="H71" s="385"/>
      <c r="I71" s="175"/>
      <c r="J71" s="175"/>
      <c r="K71" s="202"/>
      <c r="L71" s="385"/>
      <c r="M71" s="203" t="e">
        <f>RANK(K71, K$67:$K$81)</f>
        <v>#N/A</v>
      </c>
      <c r="N71" s="387"/>
      <c r="O71" s="387"/>
      <c r="P71" s="105"/>
      <c r="Q71" s="105"/>
      <c r="R71" s="105"/>
      <c r="S71" s="105" t="e">
        <f t="shared" si="30"/>
        <v>#N/A</v>
      </c>
      <c r="T71" s="412"/>
      <c r="U71" s="105"/>
      <c r="V71" s="105"/>
      <c r="W71" s="105"/>
      <c r="X71" s="105" t="e">
        <f t="shared" si="31"/>
        <v>#N/A</v>
      </c>
      <c r="Y71" s="412"/>
      <c r="Z71" s="105"/>
      <c r="AA71" s="105"/>
      <c r="AB71" s="105"/>
      <c r="AC71" s="105" t="e">
        <f t="shared" si="32"/>
        <v>#N/A</v>
      </c>
      <c r="AD71" s="412"/>
      <c r="AE71" s="105"/>
      <c r="AF71" s="105"/>
      <c r="AG71" s="105"/>
      <c r="AH71" s="105" t="e">
        <f t="shared" si="33"/>
        <v>#N/A</v>
      </c>
      <c r="AI71" s="412"/>
      <c r="AJ71" s="105"/>
      <c r="AK71" s="105"/>
      <c r="AL71" s="105"/>
      <c r="AM71" s="105" t="e">
        <f t="shared" si="34"/>
        <v>#N/A</v>
      </c>
      <c r="AN71" s="412"/>
      <c r="AO71" s="105"/>
      <c r="AP71" s="105"/>
      <c r="AQ71" s="105"/>
      <c r="AR71" s="105" t="e">
        <f t="shared" si="35"/>
        <v>#N/A</v>
      </c>
      <c r="AS71" s="412"/>
      <c r="AT71" s="105"/>
      <c r="AU71" s="105"/>
      <c r="AV71" s="105"/>
      <c r="AW71" s="105" t="e">
        <f t="shared" si="36"/>
        <v>#N/A</v>
      </c>
      <c r="AX71" s="412"/>
    </row>
    <row r="72" spans="2:50">
      <c r="B72" s="398"/>
      <c r="C72" s="105">
        <v>6</v>
      </c>
      <c r="D72" s="228"/>
      <c r="E72" s="175"/>
      <c r="F72" s="105"/>
      <c r="G72" s="202"/>
      <c r="H72" s="385"/>
      <c r="I72" s="175"/>
      <c r="J72" s="175"/>
      <c r="K72" s="202"/>
      <c r="L72" s="385"/>
      <c r="M72" s="203" t="e">
        <f>RANK(K72, K$67:$K$81)</f>
        <v>#N/A</v>
      </c>
      <c r="N72" s="387"/>
      <c r="O72" s="387"/>
      <c r="P72" s="105"/>
      <c r="Q72" s="105"/>
      <c r="R72" s="105"/>
      <c r="S72" s="105" t="e">
        <f t="shared" si="30"/>
        <v>#N/A</v>
      </c>
      <c r="T72" s="412"/>
      <c r="U72" s="105"/>
      <c r="V72" s="105"/>
      <c r="W72" s="105"/>
      <c r="X72" s="105" t="e">
        <f t="shared" si="31"/>
        <v>#N/A</v>
      </c>
      <c r="Y72" s="412"/>
      <c r="Z72" s="105"/>
      <c r="AA72" s="105"/>
      <c r="AB72" s="105"/>
      <c r="AC72" s="105" t="e">
        <f t="shared" si="32"/>
        <v>#N/A</v>
      </c>
      <c r="AD72" s="412"/>
      <c r="AE72" s="105"/>
      <c r="AF72" s="105"/>
      <c r="AG72" s="105"/>
      <c r="AH72" s="105" t="e">
        <f t="shared" si="33"/>
        <v>#N/A</v>
      </c>
      <c r="AI72" s="412"/>
      <c r="AJ72" s="105"/>
      <c r="AK72" s="105"/>
      <c r="AL72" s="105"/>
      <c r="AM72" s="105" t="e">
        <f t="shared" si="34"/>
        <v>#N/A</v>
      </c>
      <c r="AN72" s="412"/>
      <c r="AO72" s="105"/>
      <c r="AP72" s="105"/>
      <c r="AQ72" s="105"/>
      <c r="AR72" s="105" t="e">
        <f t="shared" si="35"/>
        <v>#N/A</v>
      </c>
      <c r="AS72" s="412"/>
      <c r="AT72" s="105"/>
      <c r="AU72" s="105"/>
      <c r="AV72" s="105"/>
      <c r="AW72" s="105" t="e">
        <f t="shared" si="36"/>
        <v>#N/A</v>
      </c>
      <c r="AX72" s="412"/>
    </row>
    <row r="73" spans="2:50">
      <c r="B73" s="398"/>
      <c r="C73" s="105">
        <v>7</v>
      </c>
      <c r="D73" s="228"/>
      <c r="E73" s="175"/>
      <c r="F73" s="105"/>
      <c r="G73" s="202"/>
      <c r="H73" s="385"/>
      <c r="I73" s="175"/>
      <c r="J73" s="175"/>
      <c r="K73" s="202"/>
      <c r="L73" s="385"/>
      <c r="M73" s="203" t="e">
        <f>RANK(K73, K$67:$K$81)</f>
        <v>#N/A</v>
      </c>
      <c r="N73" s="387"/>
      <c r="O73" s="387"/>
      <c r="P73" s="105"/>
      <c r="Q73" s="105"/>
      <c r="R73" s="105"/>
      <c r="S73" s="105" t="e">
        <f t="shared" si="30"/>
        <v>#N/A</v>
      </c>
      <c r="T73" s="412"/>
      <c r="U73" s="105"/>
      <c r="V73" s="105"/>
      <c r="W73" s="105"/>
      <c r="X73" s="105" t="e">
        <f t="shared" si="31"/>
        <v>#N/A</v>
      </c>
      <c r="Y73" s="412"/>
      <c r="Z73" s="105"/>
      <c r="AA73" s="105"/>
      <c r="AB73" s="105"/>
      <c r="AC73" s="105" t="e">
        <f t="shared" si="32"/>
        <v>#N/A</v>
      </c>
      <c r="AD73" s="412"/>
      <c r="AE73" s="105"/>
      <c r="AF73" s="105"/>
      <c r="AG73" s="105"/>
      <c r="AH73" s="105" t="e">
        <f t="shared" si="33"/>
        <v>#N/A</v>
      </c>
      <c r="AI73" s="412"/>
      <c r="AJ73" s="105"/>
      <c r="AK73" s="105"/>
      <c r="AL73" s="105"/>
      <c r="AM73" s="105" t="e">
        <f t="shared" si="34"/>
        <v>#N/A</v>
      </c>
      <c r="AN73" s="412"/>
      <c r="AO73" s="105"/>
      <c r="AP73" s="105"/>
      <c r="AQ73" s="105"/>
      <c r="AR73" s="105" t="e">
        <f t="shared" si="35"/>
        <v>#N/A</v>
      </c>
      <c r="AS73" s="412"/>
      <c r="AT73" s="105"/>
      <c r="AU73" s="105"/>
      <c r="AV73" s="105"/>
      <c r="AW73" s="105" t="e">
        <f t="shared" si="36"/>
        <v>#N/A</v>
      </c>
      <c r="AX73" s="412"/>
    </row>
    <row r="74" spans="2:50">
      <c r="B74" s="398"/>
      <c r="C74" s="105">
        <v>8</v>
      </c>
      <c r="D74" s="228"/>
      <c r="E74" s="175"/>
      <c r="F74" s="105"/>
      <c r="G74" s="202"/>
      <c r="H74" s="385"/>
      <c r="I74" s="175"/>
      <c r="J74" s="175"/>
      <c r="K74" s="202"/>
      <c r="L74" s="385"/>
      <c r="M74" s="203" t="e">
        <f>RANK(K74, K$67:$K$81)</f>
        <v>#N/A</v>
      </c>
      <c r="N74" s="387"/>
      <c r="O74" s="387"/>
      <c r="P74" s="105"/>
      <c r="Q74" s="105"/>
      <c r="R74" s="105"/>
      <c r="S74" s="105" t="e">
        <f t="shared" si="30"/>
        <v>#N/A</v>
      </c>
      <c r="T74" s="412"/>
      <c r="U74" s="105"/>
      <c r="V74" s="105"/>
      <c r="W74" s="105"/>
      <c r="X74" s="105" t="e">
        <f t="shared" si="31"/>
        <v>#N/A</v>
      </c>
      <c r="Y74" s="412"/>
      <c r="Z74" s="105"/>
      <c r="AA74" s="105"/>
      <c r="AB74" s="105"/>
      <c r="AC74" s="105" t="e">
        <f t="shared" si="32"/>
        <v>#N/A</v>
      </c>
      <c r="AD74" s="412"/>
      <c r="AE74" s="105"/>
      <c r="AF74" s="105"/>
      <c r="AG74" s="105"/>
      <c r="AH74" s="105" t="e">
        <f t="shared" si="33"/>
        <v>#N/A</v>
      </c>
      <c r="AI74" s="412"/>
      <c r="AJ74" s="105"/>
      <c r="AK74" s="105"/>
      <c r="AL74" s="105"/>
      <c r="AM74" s="105" t="e">
        <f t="shared" si="34"/>
        <v>#N/A</v>
      </c>
      <c r="AN74" s="412"/>
      <c r="AO74" s="105"/>
      <c r="AP74" s="105"/>
      <c r="AQ74" s="105"/>
      <c r="AR74" s="105" t="e">
        <f t="shared" si="35"/>
        <v>#N/A</v>
      </c>
      <c r="AS74" s="412"/>
      <c r="AT74" s="105"/>
      <c r="AU74" s="105"/>
      <c r="AV74" s="105"/>
      <c r="AW74" s="105" t="e">
        <f t="shared" si="36"/>
        <v>#N/A</v>
      </c>
      <c r="AX74" s="412"/>
    </row>
    <row r="75" spans="2:50">
      <c r="B75" s="398"/>
      <c r="C75" s="105">
        <v>9</v>
      </c>
      <c r="D75" s="228"/>
      <c r="E75" s="175"/>
      <c r="F75" s="105"/>
      <c r="G75" s="202"/>
      <c r="H75" s="385"/>
      <c r="I75" s="175"/>
      <c r="J75" s="175"/>
      <c r="K75" s="202"/>
      <c r="L75" s="385"/>
      <c r="M75" s="203" t="e">
        <f>RANK(K75, K$67:$K$81)</f>
        <v>#N/A</v>
      </c>
      <c r="N75" s="387"/>
      <c r="O75" s="387"/>
      <c r="P75" s="105"/>
      <c r="Q75" s="105"/>
      <c r="R75" s="105"/>
      <c r="S75" s="105" t="e">
        <f t="shared" si="30"/>
        <v>#N/A</v>
      </c>
      <c r="T75" s="412"/>
      <c r="U75" s="105"/>
      <c r="V75" s="105"/>
      <c r="W75" s="105"/>
      <c r="X75" s="105" t="e">
        <f t="shared" si="31"/>
        <v>#N/A</v>
      </c>
      <c r="Y75" s="412"/>
      <c r="Z75" s="105"/>
      <c r="AA75" s="105"/>
      <c r="AB75" s="105"/>
      <c r="AC75" s="105" t="e">
        <f t="shared" si="32"/>
        <v>#N/A</v>
      </c>
      <c r="AD75" s="412"/>
      <c r="AE75" s="105"/>
      <c r="AF75" s="105"/>
      <c r="AG75" s="105"/>
      <c r="AH75" s="105" t="e">
        <f t="shared" si="33"/>
        <v>#N/A</v>
      </c>
      <c r="AI75" s="412"/>
      <c r="AJ75" s="105"/>
      <c r="AK75" s="105"/>
      <c r="AL75" s="105"/>
      <c r="AM75" s="105" t="e">
        <f t="shared" si="34"/>
        <v>#N/A</v>
      </c>
      <c r="AN75" s="412"/>
      <c r="AO75" s="105"/>
      <c r="AP75" s="105"/>
      <c r="AQ75" s="105"/>
      <c r="AR75" s="105" t="e">
        <f t="shared" si="35"/>
        <v>#N/A</v>
      </c>
      <c r="AS75" s="412"/>
      <c r="AT75" s="105"/>
      <c r="AU75" s="105"/>
      <c r="AV75" s="105"/>
      <c r="AW75" s="105" t="e">
        <f t="shared" si="36"/>
        <v>#N/A</v>
      </c>
      <c r="AX75" s="412"/>
    </row>
    <row r="76" spans="2:50">
      <c r="B76" s="398"/>
      <c r="C76" s="105">
        <v>10</v>
      </c>
      <c r="D76" s="228"/>
      <c r="E76" s="175"/>
      <c r="F76" s="105"/>
      <c r="G76" s="202"/>
      <c r="H76" s="385"/>
      <c r="I76" s="175"/>
      <c r="J76" s="175"/>
      <c r="K76" s="202"/>
      <c r="L76" s="385"/>
      <c r="M76" s="203" t="e">
        <f>RANK(K76, K$67:$K$81)</f>
        <v>#N/A</v>
      </c>
      <c r="N76" s="387"/>
      <c r="O76" s="387"/>
      <c r="P76" s="105"/>
      <c r="Q76" s="105"/>
      <c r="R76" s="105"/>
      <c r="S76" s="105" t="e">
        <f t="shared" si="30"/>
        <v>#N/A</v>
      </c>
      <c r="T76" s="412"/>
      <c r="U76" s="105"/>
      <c r="V76" s="105"/>
      <c r="W76" s="105"/>
      <c r="X76" s="105" t="e">
        <f t="shared" si="31"/>
        <v>#N/A</v>
      </c>
      <c r="Y76" s="412"/>
      <c r="Z76" s="105"/>
      <c r="AA76" s="105"/>
      <c r="AB76" s="105"/>
      <c r="AC76" s="105" t="e">
        <f t="shared" si="32"/>
        <v>#N/A</v>
      </c>
      <c r="AD76" s="412"/>
      <c r="AE76" s="105"/>
      <c r="AF76" s="105"/>
      <c r="AG76" s="105"/>
      <c r="AH76" s="105" t="e">
        <f t="shared" si="33"/>
        <v>#N/A</v>
      </c>
      <c r="AI76" s="412"/>
      <c r="AJ76" s="105"/>
      <c r="AK76" s="105"/>
      <c r="AL76" s="105"/>
      <c r="AM76" s="105" t="e">
        <f t="shared" si="34"/>
        <v>#N/A</v>
      </c>
      <c r="AN76" s="412"/>
      <c r="AO76" s="105"/>
      <c r="AP76" s="105"/>
      <c r="AQ76" s="105"/>
      <c r="AR76" s="105" t="e">
        <f t="shared" si="35"/>
        <v>#N/A</v>
      </c>
      <c r="AS76" s="412"/>
      <c r="AT76" s="105"/>
      <c r="AU76" s="105"/>
      <c r="AV76" s="105"/>
      <c r="AW76" s="105" t="e">
        <f t="shared" si="36"/>
        <v>#N/A</v>
      </c>
      <c r="AX76" s="412"/>
    </row>
    <row r="77" spans="2:50">
      <c r="B77" s="398"/>
      <c r="C77" s="105">
        <v>11</v>
      </c>
      <c r="D77" s="228"/>
      <c r="E77" s="175"/>
      <c r="F77" s="105"/>
      <c r="G77" s="202"/>
      <c r="H77" s="385"/>
      <c r="I77" s="105"/>
      <c r="J77" s="105"/>
      <c r="K77" s="105"/>
      <c r="L77" s="385"/>
      <c r="M77" s="203" t="e">
        <f>RANK(K77, K$67:$K$81)</f>
        <v>#N/A</v>
      </c>
      <c r="N77" s="387"/>
      <c r="O77" s="387"/>
      <c r="P77" s="105"/>
      <c r="Q77" s="105"/>
      <c r="R77" s="105"/>
      <c r="S77" s="105" t="e">
        <f t="shared" si="30"/>
        <v>#N/A</v>
      </c>
      <c r="T77" s="412"/>
      <c r="U77" s="105"/>
      <c r="V77" s="105"/>
      <c r="W77" s="105"/>
      <c r="X77" s="105" t="e">
        <f t="shared" si="31"/>
        <v>#N/A</v>
      </c>
      <c r="Y77" s="412"/>
      <c r="Z77" s="105"/>
      <c r="AA77" s="105"/>
      <c r="AB77" s="105"/>
      <c r="AC77" s="105" t="e">
        <f t="shared" si="32"/>
        <v>#N/A</v>
      </c>
      <c r="AD77" s="412"/>
      <c r="AE77" s="105"/>
      <c r="AF77" s="105"/>
      <c r="AG77" s="105"/>
      <c r="AH77" s="105" t="e">
        <f t="shared" si="33"/>
        <v>#N/A</v>
      </c>
      <c r="AI77" s="412"/>
      <c r="AJ77" s="105"/>
      <c r="AK77" s="105"/>
      <c r="AL77" s="105"/>
      <c r="AM77" s="105" t="e">
        <f t="shared" si="34"/>
        <v>#N/A</v>
      </c>
      <c r="AN77" s="412"/>
      <c r="AO77" s="105"/>
      <c r="AP77" s="105"/>
      <c r="AQ77" s="105"/>
      <c r="AR77" s="105" t="e">
        <f t="shared" si="35"/>
        <v>#N/A</v>
      </c>
      <c r="AS77" s="412"/>
      <c r="AT77" s="105"/>
      <c r="AU77" s="105"/>
      <c r="AV77" s="105"/>
      <c r="AW77" s="105" t="e">
        <f t="shared" si="36"/>
        <v>#N/A</v>
      </c>
      <c r="AX77" s="412"/>
    </row>
    <row r="78" spans="2:50">
      <c r="B78" s="398"/>
      <c r="C78" s="105">
        <v>12</v>
      </c>
      <c r="D78" s="228"/>
      <c r="E78" s="175"/>
      <c r="F78" s="105"/>
      <c r="G78" s="202"/>
      <c r="H78" s="385"/>
      <c r="I78" s="105"/>
      <c r="J78" s="105"/>
      <c r="K78" s="105"/>
      <c r="L78" s="385"/>
      <c r="M78" s="203" t="e">
        <f>RANK(K78, K$67:$K$81)</f>
        <v>#N/A</v>
      </c>
      <c r="N78" s="387"/>
      <c r="O78" s="387"/>
      <c r="P78" s="105"/>
      <c r="Q78" s="105"/>
      <c r="R78" s="105"/>
      <c r="S78" s="105" t="e">
        <f t="shared" si="30"/>
        <v>#N/A</v>
      </c>
      <c r="T78" s="412"/>
      <c r="U78" s="105"/>
      <c r="V78" s="105"/>
      <c r="W78" s="105"/>
      <c r="X78" s="105" t="e">
        <f t="shared" si="31"/>
        <v>#N/A</v>
      </c>
      <c r="Y78" s="412"/>
      <c r="Z78" s="105"/>
      <c r="AA78" s="105"/>
      <c r="AB78" s="105"/>
      <c r="AC78" s="105" t="e">
        <f t="shared" si="32"/>
        <v>#N/A</v>
      </c>
      <c r="AD78" s="412"/>
      <c r="AE78" s="105"/>
      <c r="AF78" s="105"/>
      <c r="AG78" s="105"/>
      <c r="AH78" s="105" t="e">
        <f t="shared" si="33"/>
        <v>#N/A</v>
      </c>
      <c r="AI78" s="412"/>
      <c r="AJ78" s="105"/>
      <c r="AK78" s="105"/>
      <c r="AL78" s="105"/>
      <c r="AM78" s="105" t="e">
        <f t="shared" si="34"/>
        <v>#N/A</v>
      </c>
      <c r="AN78" s="412"/>
      <c r="AO78" s="105"/>
      <c r="AP78" s="105"/>
      <c r="AQ78" s="105"/>
      <c r="AR78" s="105" t="e">
        <f t="shared" si="35"/>
        <v>#N/A</v>
      </c>
      <c r="AS78" s="412"/>
      <c r="AT78" s="105"/>
      <c r="AU78" s="105"/>
      <c r="AV78" s="105"/>
      <c r="AW78" s="105" t="e">
        <f t="shared" si="36"/>
        <v>#N/A</v>
      </c>
      <c r="AX78" s="412"/>
    </row>
    <row r="79" spans="2:50">
      <c r="B79" s="398"/>
      <c r="C79" s="105">
        <v>13</v>
      </c>
      <c r="D79" s="228"/>
      <c r="E79" s="175"/>
      <c r="F79" s="105"/>
      <c r="G79" s="202"/>
      <c r="H79" s="385"/>
      <c r="I79" s="105"/>
      <c r="J79" s="105"/>
      <c r="K79" s="105"/>
      <c r="L79" s="385"/>
      <c r="M79" s="203" t="e">
        <f>RANK(K79, K$67:$K$81)</f>
        <v>#N/A</v>
      </c>
      <c r="N79" s="387"/>
      <c r="O79" s="387"/>
      <c r="P79" s="105"/>
      <c r="Q79" s="105"/>
      <c r="R79" s="105"/>
      <c r="S79" s="105" t="e">
        <f t="shared" si="30"/>
        <v>#N/A</v>
      </c>
      <c r="T79" s="412"/>
      <c r="U79" s="105"/>
      <c r="V79" s="105"/>
      <c r="W79" s="105"/>
      <c r="X79" s="105" t="e">
        <f t="shared" si="31"/>
        <v>#N/A</v>
      </c>
      <c r="Y79" s="412"/>
      <c r="Z79" s="105"/>
      <c r="AA79" s="105"/>
      <c r="AB79" s="105"/>
      <c r="AC79" s="105" t="e">
        <f t="shared" si="32"/>
        <v>#N/A</v>
      </c>
      <c r="AD79" s="412"/>
      <c r="AE79" s="105"/>
      <c r="AF79" s="105"/>
      <c r="AG79" s="105"/>
      <c r="AH79" s="105" t="e">
        <f t="shared" si="33"/>
        <v>#N/A</v>
      </c>
      <c r="AI79" s="412"/>
      <c r="AJ79" s="105"/>
      <c r="AK79" s="105"/>
      <c r="AL79" s="105"/>
      <c r="AM79" s="105" t="e">
        <f t="shared" si="34"/>
        <v>#N/A</v>
      </c>
      <c r="AN79" s="412"/>
      <c r="AO79" s="105"/>
      <c r="AP79" s="105"/>
      <c r="AQ79" s="105"/>
      <c r="AR79" s="105" t="e">
        <f t="shared" si="35"/>
        <v>#N/A</v>
      </c>
      <c r="AS79" s="412"/>
      <c r="AT79" s="105"/>
      <c r="AU79" s="105"/>
      <c r="AV79" s="105"/>
      <c r="AW79" s="105" t="e">
        <f t="shared" si="36"/>
        <v>#N/A</v>
      </c>
      <c r="AX79" s="412"/>
    </row>
    <row r="80" spans="2:50">
      <c r="B80" s="398"/>
      <c r="C80" s="105">
        <v>14</v>
      </c>
      <c r="D80" s="228"/>
      <c r="E80" s="175"/>
      <c r="F80" s="105"/>
      <c r="G80" s="202"/>
      <c r="H80" s="385"/>
      <c r="I80" s="105"/>
      <c r="J80" s="105"/>
      <c r="K80" s="105"/>
      <c r="L80" s="385"/>
      <c r="M80" s="203" t="e">
        <f>RANK(K80, K$67:$K$81)</f>
        <v>#N/A</v>
      </c>
      <c r="N80" s="387"/>
      <c r="O80" s="387"/>
      <c r="P80" s="105"/>
      <c r="Q80" s="105"/>
      <c r="R80" s="105"/>
      <c r="S80" s="105" t="e">
        <f t="shared" si="30"/>
        <v>#N/A</v>
      </c>
      <c r="T80" s="412"/>
      <c r="U80" s="105"/>
      <c r="V80" s="105"/>
      <c r="W80" s="105"/>
      <c r="X80" s="105" t="e">
        <f t="shared" si="31"/>
        <v>#N/A</v>
      </c>
      <c r="Y80" s="412"/>
      <c r="Z80" s="105"/>
      <c r="AA80" s="105"/>
      <c r="AB80" s="105"/>
      <c r="AC80" s="105" t="e">
        <f t="shared" si="32"/>
        <v>#N/A</v>
      </c>
      <c r="AD80" s="412"/>
      <c r="AE80" s="105"/>
      <c r="AF80" s="105"/>
      <c r="AG80" s="105"/>
      <c r="AH80" s="105" t="e">
        <f t="shared" si="33"/>
        <v>#N/A</v>
      </c>
      <c r="AI80" s="412"/>
      <c r="AJ80" s="105"/>
      <c r="AK80" s="105"/>
      <c r="AL80" s="105"/>
      <c r="AM80" s="105" t="e">
        <f t="shared" si="34"/>
        <v>#N/A</v>
      </c>
      <c r="AN80" s="412"/>
      <c r="AO80" s="105"/>
      <c r="AP80" s="105"/>
      <c r="AQ80" s="105"/>
      <c r="AR80" s="105" t="e">
        <f t="shared" si="35"/>
        <v>#N/A</v>
      </c>
      <c r="AS80" s="412"/>
      <c r="AT80" s="105"/>
      <c r="AU80" s="105"/>
      <c r="AV80" s="105"/>
      <c r="AW80" s="105" t="e">
        <f t="shared" si="36"/>
        <v>#N/A</v>
      </c>
      <c r="AX80" s="412"/>
    </row>
    <row r="81" spans="2:50">
      <c r="B81" s="398"/>
      <c r="C81" s="105">
        <v>15</v>
      </c>
      <c r="D81" s="228"/>
      <c r="E81" s="175"/>
      <c r="F81" s="105"/>
      <c r="G81" s="202"/>
      <c r="H81" s="386"/>
      <c r="I81" s="105"/>
      <c r="J81" s="105"/>
      <c r="K81" s="105"/>
      <c r="L81" s="386"/>
      <c r="M81" s="175" t="e">
        <f>RANK(K81, K$67:$K$81)</f>
        <v>#N/A</v>
      </c>
      <c r="N81" s="387"/>
      <c r="O81" s="387"/>
      <c r="P81" s="105"/>
      <c r="Q81" s="105"/>
      <c r="R81" s="105"/>
      <c r="S81" s="105" t="e">
        <f t="shared" si="30"/>
        <v>#N/A</v>
      </c>
      <c r="T81" s="412"/>
      <c r="U81" s="105"/>
      <c r="V81" s="105"/>
      <c r="W81" s="105"/>
      <c r="X81" s="105" t="e">
        <f t="shared" si="31"/>
        <v>#N/A</v>
      </c>
      <c r="Y81" s="412"/>
      <c r="Z81" s="105"/>
      <c r="AA81" s="105"/>
      <c r="AB81" s="105"/>
      <c r="AC81" s="105" t="e">
        <f t="shared" si="32"/>
        <v>#N/A</v>
      </c>
      <c r="AD81" s="412"/>
      <c r="AE81" s="105"/>
      <c r="AF81" s="105"/>
      <c r="AG81" s="105"/>
      <c r="AH81" s="105" t="e">
        <f t="shared" si="33"/>
        <v>#N/A</v>
      </c>
      <c r="AI81" s="412"/>
      <c r="AJ81" s="105"/>
      <c r="AK81" s="105"/>
      <c r="AL81" s="105"/>
      <c r="AM81" s="105" t="e">
        <f t="shared" si="34"/>
        <v>#N/A</v>
      </c>
      <c r="AN81" s="412"/>
      <c r="AO81" s="105"/>
      <c r="AP81" s="105"/>
      <c r="AQ81" s="105"/>
      <c r="AR81" s="105" t="e">
        <f t="shared" si="35"/>
        <v>#N/A</v>
      </c>
      <c r="AS81" s="412"/>
      <c r="AT81" s="105"/>
      <c r="AU81" s="105"/>
      <c r="AV81" s="105"/>
      <c r="AW81" s="105" t="e">
        <f t="shared" si="36"/>
        <v>#N/A</v>
      </c>
      <c r="AX81" s="412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37">Z82+1</f>
        <v>45898</v>
      </c>
      <c r="AF82" s="395"/>
      <c r="AG82" s="395"/>
      <c r="AH82" s="395"/>
      <c r="AI82" s="396"/>
      <c r="AJ82" s="394">
        <f t="shared" ref="AJ82" si="38">AE82+1</f>
        <v>45899</v>
      </c>
      <c r="AK82" s="395"/>
      <c r="AL82" s="395"/>
      <c r="AM82" s="395"/>
      <c r="AN82" s="396"/>
      <c r="AO82" s="394">
        <f t="shared" ref="AO82" si="39">AJ82+1</f>
        <v>45900</v>
      </c>
      <c r="AP82" s="395"/>
      <c r="AQ82" s="395"/>
      <c r="AR82" s="395"/>
      <c r="AS82" s="396"/>
      <c r="AT82" s="394">
        <f t="shared" ref="AT82" si="40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387" t="s">
        <v>255</v>
      </c>
      <c r="C87" s="105">
        <v>1</v>
      </c>
      <c r="D87" s="228" t="s">
        <v>256</v>
      </c>
      <c r="E87" s="175">
        <v>13</v>
      </c>
      <c r="F87" s="105">
        <v>1607.9999999999993</v>
      </c>
      <c r="G87" s="202">
        <v>123.69230769230764</v>
      </c>
      <c r="H87" s="384">
        <f>AVERAGE(G87:G101)</f>
        <v>123.69230769230764</v>
      </c>
      <c r="I87" s="175">
        <f>AVERAGE(P87,U87,Z87,AE87,AJ87,AO87,AT87)</f>
        <v>13</v>
      </c>
      <c r="J87" s="175">
        <f>AVERAGE(Q87,V87,AA87,AF87,AK87,AP87,AU87)</f>
        <v>1348.6666666666642</v>
      </c>
      <c r="K87" s="202">
        <f>AVERAGE(R87,W87,AB87,AG87,AL87,AQ87,AV87)</f>
        <v>103.74358974358954</v>
      </c>
      <c r="L87" s="384">
        <f>IFERROR(AVERAGE(K87:K101),"-")</f>
        <v>103.74358974358954</v>
      </c>
      <c r="M87" s="203">
        <f>RANK(K87, K$87:$K$101)</f>
        <v>1</v>
      </c>
      <c r="N87" s="387"/>
      <c r="O87" s="387"/>
      <c r="P87" s="105">
        <v>13</v>
      </c>
      <c r="Q87" s="175">
        <v>1319.9999999999995</v>
      </c>
      <c r="R87" s="202">
        <v>101.5384615384615</v>
      </c>
      <c r="S87" s="105">
        <f>RANK(R87, R$87:R$101)</f>
        <v>1</v>
      </c>
      <c r="T87" s="412">
        <f>AVERAGE(R87:R101)</f>
        <v>101.5384615384615</v>
      </c>
      <c r="U87" s="105">
        <v>13</v>
      </c>
      <c r="V87" s="175">
        <v>1244.9999999999945</v>
      </c>
      <c r="W87" s="202">
        <v>95.769230769230347</v>
      </c>
      <c r="X87" s="105">
        <f>RANK(W87, W$87:W$101)</f>
        <v>1</v>
      </c>
      <c r="Y87" s="412">
        <f>AVERAGE(W87:W101)</f>
        <v>95.769230769230347</v>
      </c>
      <c r="Z87" s="105">
        <v>13</v>
      </c>
      <c r="AA87" s="175">
        <v>1256.9999999999943</v>
      </c>
      <c r="AB87" s="202">
        <v>96.692307692307253</v>
      </c>
      <c r="AC87" s="105">
        <f>RANK(AB87, AB$87:AB$101)</f>
        <v>1</v>
      </c>
      <c r="AD87" s="412">
        <f>AVERAGE(AB87:AB101)</f>
        <v>96.692307692307253</v>
      </c>
      <c r="AE87" s="105">
        <v>13</v>
      </c>
      <c r="AF87" s="175">
        <v>1587.999999999997</v>
      </c>
      <c r="AG87" s="202">
        <v>122.15384615384593</v>
      </c>
      <c r="AH87" s="105">
        <f>RANK(AG87, AG$87:AG$101)</f>
        <v>1</v>
      </c>
      <c r="AI87" s="412">
        <f>AVERAGE(AG87:AG101)</f>
        <v>122.15384615384593</v>
      </c>
      <c r="AJ87" s="105">
        <v>13</v>
      </c>
      <c r="AK87" s="175">
        <v>1307.9999999999995</v>
      </c>
      <c r="AL87" s="202">
        <v>100.61538461538458</v>
      </c>
      <c r="AM87" s="105">
        <f>RANK(AL87, AL$87:AL$101)</f>
        <v>1</v>
      </c>
      <c r="AN87" s="412">
        <f>AVERAGE(AL87:AL101)</f>
        <v>100.61538461538458</v>
      </c>
      <c r="AO87" s="105">
        <v>13</v>
      </c>
      <c r="AP87" s="175">
        <v>1373.9999999999995</v>
      </c>
      <c r="AQ87" s="202">
        <v>105.69230769230765</v>
      </c>
      <c r="AR87" s="105">
        <f>RANK(AQ87, AQ$87:AQ$101)</f>
        <v>1</v>
      </c>
      <c r="AS87" s="412">
        <f>AVERAGE(AQ87:AQ101)</f>
        <v>105.69230769230765</v>
      </c>
      <c r="AT87" s="105"/>
      <c r="AU87" s="175"/>
      <c r="AV87" s="202"/>
      <c r="AW87" s="105" t="e">
        <f>RANK(AV87, AV$87:AV$101)</f>
        <v>#N/A</v>
      </c>
      <c r="AX87" s="412" t="e">
        <f>AVERAGE(AV87:AV101)</f>
        <v>#DIV/0!</v>
      </c>
    </row>
    <row r="88" spans="2:50">
      <c r="B88" s="398"/>
      <c r="C88" s="105">
        <v>2</v>
      </c>
      <c r="D88" s="228"/>
      <c r="E88" s="175"/>
      <c r="F88" s="105"/>
      <c r="G88" s="202"/>
      <c r="H88" s="385"/>
      <c r="I88" s="175"/>
      <c r="J88" s="175"/>
      <c r="K88" s="202"/>
      <c r="L88" s="385"/>
      <c r="M88" s="203" t="e">
        <f>RANK(K88, K$87:$K$101)</f>
        <v>#N/A</v>
      </c>
      <c r="N88" s="387"/>
      <c r="O88" s="387"/>
      <c r="P88" s="105"/>
      <c r="Q88" s="105"/>
      <c r="R88" s="105"/>
      <c r="S88" s="105" t="e">
        <f t="shared" ref="S88:S101" si="41">RANK(R88, R$87:R$101)</f>
        <v>#N/A</v>
      </c>
      <c r="T88" s="412"/>
      <c r="U88" s="105"/>
      <c r="V88" s="105"/>
      <c r="W88" s="105"/>
      <c r="X88" s="105" t="e">
        <f t="shared" ref="X88:X101" si="42">RANK(W88, W$87:W$101)</f>
        <v>#N/A</v>
      </c>
      <c r="Y88" s="412"/>
      <c r="Z88" s="105"/>
      <c r="AA88" s="105"/>
      <c r="AB88" s="105"/>
      <c r="AC88" s="105" t="e">
        <f t="shared" ref="AC88:AC101" si="43">RANK(AB88, AB$87:AB$101)</f>
        <v>#N/A</v>
      </c>
      <c r="AD88" s="412"/>
      <c r="AE88" s="105"/>
      <c r="AF88" s="105"/>
      <c r="AG88" s="105"/>
      <c r="AH88" s="105" t="e">
        <f t="shared" ref="AH88:AH101" si="44">RANK(AG88, AG$87:AG$101)</f>
        <v>#N/A</v>
      </c>
      <c r="AI88" s="412"/>
      <c r="AJ88" s="105"/>
      <c r="AK88" s="105"/>
      <c r="AL88" s="105"/>
      <c r="AM88" s="105" t="e">
        <f t="shared" ref="AM88:AM101" si="45">RANK(AL88, AL$87:AL$101)</f>
        <v>#N/A</v>
      </c>
      <c r="AN88" s="412"/>
      <c r="AO88" s="105"/>
      <c r="AP88" s="105"/>
      <c r="AQ88" s="105"/>
      <c r="AR88" s="105" t="e">
        <f t="shared" ref="AR88:AR101" si="46">RANK(AQ88, AQ$87:AQ$101)</f>
        <v>#N/A</v>
      </c>
      <c r="AS88" s="412"/>
      <c r="AT88" s="105"/>
      <c r="AU88" s="105"/>
      <c r="AV88" s="105"/>
      <c r="AW88" s="105" t="e">
        <f t="shared" ref="AW88:AW101" si="47">RANK(AV88, AV$87:AV$101)</f>
        <v>#N/A</v>
      </c>
      <c r="AX88" s="412"/>
    </row>
    <row r="89" spans="2:50">
      <c r="B89" s="398"/>
      <c r="C89" s="105">
        <v>3</v>
      </c>
      <c r="D89" s="228"/>
      <c r="E89" s="175"/>
      <c r="F89" s="105"/>
      <c r="G89" s="202"/>
      <c r="H89" s="385"/>
      <c r="I89" s="175"/>
      <c r="J89" s="175"/>
      <c r="K89" s="202"/>
      <c r="L89" s="385"/>
      <c r="M89" s="203" t="e">
        <f>RANK(K89, K$87:$K$101)</f>
        <v>#N/A</v>
      </c>
      <c r="N89" s="387"/>
      <c r="O89" s="387"/>
      <c r="P89" s="105"/>
      <c r="Q89" s="105"/>
      <c r="R89" s="105"/>
      <c r="S89" s="105" t="e">
        <f t="shared" si="41"/>
        <v>#N/A</v>
      </c>
      <c r="T89" s="412"/>
      <c r="U89" s="105"/>
      <c r="V89" s="105"/>
      <c r="W89" s="105"/>
      <c r="X89" s="105" t="e">
        <f t="shared" si="42"/>
        <v>#N/A</v>
      </c>
      <c r="Y89" s="412"/>
      <c r="Z89" s="105"/>
      <c r="AA89" s="105"/>
      <c r="AB89" s="105"/>
      <c r="AC89" s="105" t="e">
        <f t="shared" si="43"/>
        <v>#N/A</v>
      </c>
      <c r="AD89" s="412"/>
      <c r="AE89" s="105"/>
      <c r="AF89" s="105"/>
      <c r="AG89" s="105"/>
      <c r="AH89" s="105" t="e">
        <f t="shared" si="44"/>
        <v>#N/A</v>
      </c>
      <c r="AI89" s="412"/>
      <c r="AJ89" s="105"/>
      <c r="AK89" s="105"/>
      <c r="AL89" s="105"/>
      <c r="AM89" s="105" t="e">
        <f t="shared" si="45"/>
        <v>#N/A</v>
      </c>
      <c r="AN89" s="412"/>
      <c r="AO89" s="105"/>
      <c r="AP89" s="105"/>
      <c r="AQ89" s="105"/>
      <c r="AR89" s="105" t="e">
        <f t="shared" si="46"/>
        <v>#N/A</v>
      </c>
      <c r="AS89" s="412"/>
      <c r="AT89" s="105"/>
      <c r="AU89" s="105"/>
      <c r="AV89" s="105"/>
      <c r="AW89" s="105" t="e">
        <f t="shared" si="47"/>
        <v>#N/A</v>
      </c>
      <c r="AX89" s="412"/>
    </row>
    <row r="90" spans="2:50">
      <c r="B90" s="398"/>
      <c r="C90" s="105">
        <v>4</v>
      </c>
      <c r="D90" s="228"/>
      <c r="E90" s="175"/>
      <c r="F90" s="105"/>
      <c r="G90" s="202"/>
      <c r="H90" s="385"/>
      <c r="I90" s="175"/>
      <c r="J90" s="175"/>
      <c r="K90" s="202"/>
      <c r="L90" s="385"/>
      <c r="M90" s="203" t="e">
        <f>RANK(K90, K$87:$K$101)</f>
        <v>#N/A</v>
      </c>
      <c r="N90" s="387"/>
      <c r="O90" s="387"/>
      <c r="P90" s="105"/>
      <c r="Q90" s="105"/>
      <c r="R90" s="105"/>
      <c r="S90" s="105" t="e">
        <f t="shared" si="41"/>
        <v>#N/A</v>
      </c>
      <c r="T90" s="412"/>
      <c r="U90" s="105"/>
      <c r="V90" s="105"/>
      <c r="W90" s="105"/>
      <c r="X90" s="105" t="e">
        <f t="shared" si="42"/>
        <v>#N/A</v>
      </c>
      <c r="Y90" s="412"/>
      <c r="Z90" s="105"/>
      <c r="AA90" s="105"/>
      <c r="AB90" s="105"/>
      <c r="AC90" s="105" t="e">
        <f t="shared" si="43"/>
        <v>#N/A</v>
      </c>
      <c r="AD90" s="412"/>
      <c r="AE90" s="105"/>
      <c r="AF90" s="105"/>
      <c r="AG90" s="105"/>
      <c r="AH90" s="105" t="e">
        <f t="shared" si="44"/>
        <v>#N/A</v>
      </c>
      <c r="AI90" s="412"/>
      <c r="AJ90" s="105"/>
      <c r="AK90" s="105"/>
      <c r="AL90" s="105"/>
      <c r="AM90" s="105" t="e">
        <f t="shared" si="45"/>
        <v>#N/A</v>
      </c>
      <c r="AN90" s="412"/>
      <c r="AO90" s="105"/>
      <c r="AP90" s="105"/>
      <c r="AQ90" s="105"/>
      <c r="AR90" s="105" t="e">
        <f t="shared" si="46"/>
        <v>#N/A</v>
      </c>
      <c r="AS90" s="412"/>
      <c r="AT90" s="105"/>
      <c r="AU90" s="105"/>
      <c r="AV90" s="105"/>
      <c r="AW90" s="105" t="e">
        <f t="shared" si="47"/>
        <v>#N/A</v>
      </c>
      <c r="AX90" s="412"/>
    </row>
    <row r="91" spans="2:50">
      <c r="B91" s="398"/>
      <c r="C91" s="105">
        <v>5</v>
      </c>
      <c r="D91" s="228"/>
      <c r="E91" s="175"/>
      <c r="F91" s="105"/>
      <c r="G91" s="202"/>
      <c r="H91" s="385"/>
      <c r="I91" s="175"/>
      <c r="J91" s="175"/>
      <c r="K91" s="202"/>
      <c r="L91" s="385"/>
      <c r="M91" s="203" t="e">
        <f>RANK(K91, K$87:$K$101)</f>
        <v>#N/A</v>
      </c>
      <c r="N91" s="387"/>
      <c r="O91" s="387"/>
      <c r="P91" s="105"/>
      <c r="Q91" s="105"/>
      <c r="R91" s="105"/>
      <c r="S91" s="105" t="e">
        <f t="shared" si="41"/>
        <v>#N/A</v>
      </c>
      <c r="T91" s="412"/>
      <c r="U91" s="105"/>
      <c r="V91" s="105"/>
      <c r="W91" s="105"/>
      <c r="X91" s="105" t="e">
        <f t="shared" si="42"/>
        <v>#N/A</v>
      </c>
      <c r="Y91" s="412"/>
      <c r="Z91" s="105"/>
      <c r="AA91" s="105"/>
      <c r="AB91" s="105"/>
      <c r="AC91" s="105" t="e">
        <f t="shared" si="43"/>
        <v>#N/A</v>
      </c>
      <c r="AD91" s="412"/>
      <c r="AE91" s="105"/>
      <c r="AF91" s="105"/>
      <c r="AG91" s="105"/>
      <c r="AH91" s="105" t="e">
        <f t="shared" si="44"/>
        <v>#N/A</v>
      </c>
      <c r="AI91" s="412"/>
      <c r="AJ91" s="105"/>
      <c r="AK91" s="105"/>
      <c r="AL91" s="105"/>
      <c r="AM91" s="105" t="e">
        <f t="shared" si="45"/>
        <v>#N/A</v>
      </c>
      <c r="AN91" s="412"/>
      <c r="AO91" s="105"/>
      <c r="AP91" s="105"/>
      <c r="AQ91" s="105"/>
      <c r="AR91" s="105" t="e">
        <f t="shared" si="46"/>
        <v>#N/A</v>
      </c>
      <c r="AS91" s="412"/>
      <c r="AT91" s="105"/>
      <c r="AU91" s="105"/>
      <c r="AV91" s="105"/>
      <c r="AW91" s="105" t="e">
        <f t="shared" si="47"/>
        <v>#N/A</v>
      </c>
      <c r="AX91" s="412"/>
    </row>
    <row r="92" spans="2:50">
      <c r="B92" s="398"/>
      <c r="C92" s="105">
        <v>6</v>
      </c>
      <c r="D92" s="228"/>
      <c r="E92" s="175"/>
      <c r="F92" s="105"/>
      <c r="G92" s="202"/>
      <c r="H92" s="385"/>
      <c r="I92" s="175"/>
      <c r="J92" s="175"/>
      <c r="K92" s="202"/>
      <c r="L92" s="385"/>
      <c r="M92" s="203" t="e">
        <f>RANK(K92, K$87:$K$101)</f>
        <v>#N/A</v>
      </c>
      <c r="N92" s="387"/>
      <c r="O92" s="387"/>
      <c r="P92" s="105"/>
      <c r="Q92" s="105"/>
      <c r="R92" s="105"/>
      <c r="S92" s="105" t="e">
        <f t="shared" si="41"/>
        <v>#N/A</v>
      </c>
      <c r="T92" s="412"/>
      <c r="U92" s="105"/>
      <c r="V92" s="105"/>
      <c r="W92" s="105"/>
      <c r="X92" s="105" t="e">
        <f t="shared" si="42"/>
        <v>#N/A</v>
      </c>
      <c r="Y92" s="412"/>
      <c r="Z92" s="105"/>
      <c r="AA92" s="105"/>
      <c r="AB92" s="105"/>
      <c r="AC92" s="105" t="e">
        <f t="shared" si="43"/>
        <v>#N/A</v>
      </c>
      <c r="AD92" s="412"/>
      <c r="AE92" s="105"/>
      <c r="AF92" s="105"/>
      <c r="AG92" s="105"/>
      <c r="AH92" s="105" t="e">
        <f t="shared" si="44"/>
        <v>#N/A</v>
      </c>
      <c r="AI92" s="412"/>
      <c r="AJ92" s="105"/>
      <c r="AK92" s="105"/>
      <c r="AL92" s="105"/>
      <c r="AM92" s="105" t="e">
        <f t="shared" si="45"/>
        <v>#N/A</v>
      </c>
      <c r="AN92" s="412"/>
      <c r="AO92" s="105"/>
      <c r="AP92" s="105"/>
      <c r="AQ92" s="105"/>
      <c r="AR92" s="105" t="e">
        <f t="shared" si="46"/>
        <v>#N/A</v>
      </c>
      <c r="AS92" s="412"/>
      <c r="AT92" s="105"/>
      <c r="AU92" s="105"/>
      <c r="AV92" s="105"/>
      <c r="AW92" s="105" t="e">
        <f t="shared" si="47"/>
        <v>#N/A</v>
      </c>
      <c r="AX92" s="412"/>
    </row>
    <row r="93" spans="2:50">
      <c r="B93" s="398"/>
      <c r="C93" s="105">
        <v>7</v>
      </c>
      <c r="D93" s="228"/>
      <c r="E93" s="175"/>
      <c r="F93" s="105"/>
      <c r="G93" s="202"/>
      <c r="H93" s="385"/>
      <c r="I93" s="175"/>
      <c r="J93" s="175"/>
      <c r="K93" s="202"/>
      <c r="L93" s="385"/>
      <c r="M93" s="203" t="e">
        <f>RANK(K93, K$87:$K$101)</f>
        <v>#N/A</v>
      </c>
      <c r="N93" s="387"/>
      <c r="O93" s="387"/>
      <c r="P93" s="105"/>
      <c r="Q93" s="105"/>
      <c r="R93" s="105"/>
      <c r="S93" s="105" t="e">
        <f t="shared" si="41"/>
        <v>#N/A</v>
      </c>
      <c r="T93" s="412"/>
      <c r="U93" s="105"/>
      <c r="V93" s="105"/>
      <c r="W93" s="105"/>
      <c r="X93" s="105" t="e">
        <f t="shared" si="42"/>
        <v>#N/A</v>
      </c>
      <c r="Y93" s="412"/>
      <c r="Z93" s="105"/>
      <c r="AA93" s="105"/>
      <c r="AB93" s="105"/>
      <c r="AC93" s="105" t="e">
        <f t="shared" si="43"/>
        <v>#N/A</v>
      </c>
      <c r="AD93" s="412"/>
      <c r="AE93" s="105"/>
      <c r="AF93" s="105"/>
      <c r="AG93" s="105"/>
      <c r="AH93" s="105" t="e">
        <f t="shared" si="44"/>
        <v>#N/A</v>
      </c>
      <c r="AI93" s="412"/>
      <c r="AJ93" s="105"/>
      <c r="AK93" s="105"/>
      <c r="AL93" s="105"/>
      <c r="AM93" s="105" t="e">
        <f t="shared" si="45"/>
        <v>#N/A</v>
      </c>
      <c r="AN93" s="412"/>
      <c r="AO93" s="105"/>
      <c r="AP93" s="105"/>
      <c r="AQ93" s="105"/>
      <c r="AR93" s="105" t="e">
        <f t="shared" si="46"/>
        <v>#N/A</v>
      </c>
      <c r="AS93" s="412"/>
      <c r="AT93" s="105"/>
      <c r="AU93" s="105"/>
      <c r="AV93" s="105"/>
      <c r="AW93" s="105" t="e">
        <f t="shared" si="47"/>
        <v>#N/A</v>
      </c>
      <c r="AX93" s="412"/>
    </row>
    <row r="94" spans="2:50">
      <c r="B94" s="398"/>
      <c r="C94" s="105">
        <v>8</v>
      </c>
      <c r="D94" s="228"/>
      <c r="E94" s="175"/>
      <c r="F94" s="105"/>
      <c r="G94" s="202"/>
      <c r="H94" s="385"/>
      <c r="I94" s="175"/>
      <c r="J94" s="175"/>
      <c r="K94" s="202"/>
      <c r="L94" s="385"/>
      <c r="M94" s="203" t="e">
        <f>RANK(K94, K$87:$K$101)</f>
        <v>#N/A</v>
      </c>
      <c r="N94" s="387"/>
      <c r="O94" s="387"/>
      <c r="P94" s="105"/>
      <c r="Q94" s="105"/>
      <c r="R94" s="105"/>
      <c r="S94" s="105" t="e">
        <f t="shared" si="41"/>
        <v>#N/A</v>
      </c>
      <c r="T94" s="412"/>
      <c r="U94" s="105"/>
      <c r="V94" s="105"/>
      <c r="W94" s="105"/>
      <c r="X94" s="105" t="e">
        <f t="shared" si="42"/>
        <v>#N/A</v>
      </c>
      <c r="Y94" s="412"/>
      <c r="Z94" s="105"/>
      <c r="AA94" s="105"/>
      <c r="AB94" s="105"/>
      <c r="AC94" s="105" t="e">
        <f t="shared" si="43"/>
        <v>#N/A</v>
      </c>
      <c r="AD94" s="412"/>
      <c r="AE94" s="105"/>
      <c r="AF94" s="105"/>
      <c r="AG94" s="105"/>
      <c r="AH94" s="105" t="e">
        <f t="shared" si="44"/>
        <v>#N/A</v>
      </c>
      <c r="AI94" s="412"/>
      <c r="AJ94" s="105"/>
      <c r="AK94" s="105"/>
      <c r="AL94" s="105"/>
      <c r="AM94" s="105" t="e">
        <f t="shared" si="45"/>
        <v>#N/A</v>
      </c>
      <c r="AN94" s="412"/>
      <c r="AO94" s="105"/>
      <c r="AP94" s="105"/>
      <c r="AQ94" s="105"/>
      <c r="AR94" s="105" t="e">
        <f t="shared" si="46"/>
        <v>#N/A</v>
      </c>
      <c r="AS94" s="412"/>
      <c r="AT94" s="105"/>
      <c r="AU94" s="105"/>
      <c r="AV94" s="105"/>
      <c r="AW94" s="105" t="e">
        <f t="shared" si="47"/>
        <v>#N/A</v>
      </c>
      <c r="AX94" s="412"/>
    </row>
    <row r="95" spans="2:50">
      <c r="B95" s="398"/>
      <c r="C95" s="105">
        <v>9</v>
      </c>
      <c r="D95" s="228"/>
      <c r="E95" s="175"/>
      <c r="F95" s="105"/>
      <c r="G95" s="202"/>
      <c r="H95" s="385"/>
      <c r="I95" s="175"/>
      <c r="J95" s="175"/>
      <c r="K95" s="202"/>
      <c r="L95" s="385"/>
      <c r="M95" s="203" t="e">
        <f>RANK(K95, K$87:$K$101)</f>
        <v>#N/A</v>
      </c>
      <c r="N95" s="387"/>
      <c r="O95" s="387"/>
      <c r="P95" s="105"/>
      <c r="Q95" s="105"/>
      <c r="R95" s="105"/>
      <c r="S95" s="105" t="e">
        <f t="shared" si="41"/>
        <v>#N/A</v>
      </c>
      <c r="T95" s="412"/>
      <c r="U95" s="105"/>
      <c r="V95" s="105"/>
      <c r="W95" s="105"/>
      <c r="X95" s="105" t="e">
        <f t="shared" si="42"/>
        <v>#N/A</v>
      </c>
      <c r="Y95" s="412"/>
      <c r="Z95" s="105"/>
      <c r="AA95" s="105"/>
      <c r="AB95" s="105"/>
      <c r="AC95" s="105" t="e">
        <f t="shared" si="43"/>
        <v>#N/A</v>
      </c>
      <c r="AD95" s="412"/>
      <c r="AE95" s="105"/>
      <c r="AF95" s="105"/>
      <c r="AG95" s="105"/>
      <c r="AH95" s="105" t="e">
        <f t="shared" si="44"/>
        <v>#N/A</v>
      </c>
      <c r="AI95" s="412"/>
      <c r="AJ95" s="105"/>
      <c r="AK95" s="105"/>
      <c r="AL95" s="105"/>
      <c r="AM95" s="105" t="e">
        <f t="shared" si="45"/>
        <v>#N/A</v>
      </c>
      <c r="AN95" s="412"/>
      <c r="AO95" s="105"/>
      <c r="AP95" s="105"/>
      <c r="AQ95" s="105"/>
      <c r="AR95" s="105" t="e">
        <f t="shared" si="46"/>
        <v>#N/A</v>
      </c>
      <c r="AS95" s="412"/>
      <c r="AT95" s="105"/>
      <c r="AU95" s="105"/>
      <c r="AV95" s="105"/>
      <c r="AW95" s="105" t="e">
        <f t="shared" si="47"/>
        <v>#N/A</v>
      </c>
      <c r="AX95" s="412"/>
    </row>
    <row r="96" spans="2:50">
      <c r="B96" s="398"/>
      <c r="C96" s="105">
        <v>10</v>
      </c>
      <c r="D96" s="228"/>
      <c r="E96" s="175"/>
      <c r="F96" s="105"/>
      <c r="G96" s="202"/>
      <c r="H96" s="385"/>
      <c r="I96" s="175"/>
      <c r="J96" s="175"/>
      <c r="K96" s="202"/>
      <c r="L96" s="385"/>
      <c r="M96" s="203" t="e">
        <f>RANK(K96, K$87:$K$101)</f>
        <v>#N/A</v>
      </c>
      <c r="N96" s="387"/>
      <c r="O96" s="387"/>
      <c r="P96" s="105"/>
      <c r="Q96" s="105"/>
      <c r="R96" s="105"/>
      <c r="S96" s="105" t="e">
        <f t="shared" si="41"/>
        <v>#N/A</v>
      </c>
      <c r="T96" s="412"/>
      <c r="U96" s="105"/>
      <c r="V96" s="105"/>
      <c r="W96" s="105"/>
      <c r="X96" s="105" t="e">
        <f t="shared" si="42"/>
        <v>#N/A</v>
      </c>
      <c r="Y96" s="412"/>
      <c r="Z96" s="105"/>
      <c r="AA96" s="105"/>
      <c r="AB96" s="105"/>
      <c r="AC96" s="105" t="e">
        <f t="shared" si="43"/>
        <v>#N/A</v>
      </c>
      <c r="AD96" s="412"/>
      <c r="AE96" s="105"/>
      <c r="AF96" s="105"/>
      <c r="AG96" s="105"/>
      <c r="AH96" s="105" t="e">
        <f t="shared" si="44"/>
        <v>#N/A</v>
      </c>
      <c r="AI96" s="412"/>
      <c r="AJ96" s="105"/>
      <c r="AK96" s="105"/>
      <c r="AL96" s="105"/>
      <c r="AM96" s="105" t="e">
        <f t="shared" si="45"/>
        <v>#N/A</v>
      </c>
      <c r="AN96" s="412"/>
      <c r="AO96" s="105"/>
      <c r="AP96" s="105"/>
      <c r="AQ96" s="105"/>
      <c r="AR96" s="105" t="e">
        <f t="shared" si="46"/>
        <v>#N/A</v>
      </c>
      <c r="AS96" s="412"/>
      <c r="AT96" s="105"/>
      <c r="AU96" s="105"/>
      <c r="AV96" s="105"/>
      <c r="AW96" s="105" t="e">
        <f t="shared" si="47"/>
        <v>#N/A</v>
      </c>
      <c r="AX96" s="412"/>
    </row>
    <row r="97" spans="2:50">
      <c r="B97" s="398"/>
      <c r="C97" s="105">
        <v>11</v>
      </c>
      <c r="D97" s="228"/>
      <c r="E97" s="175"/>
      <c r="F97" s="105"/>
      <c r="G97" s="202"/>
      <c r="H97" s="385"/>
      <c r="I97" s="105"/>
      <c r="J97" s="105"/>
      <c r="K97" s="105"/>
      <c r="L97" s="385"/>
      <c r="M97" s="203" t="e">
        <f>RANK(K97, K$87:$K$101)</f>
        <v>#N/A</v>
      </c>
      <c r="N97" s="387"/>
      <c r="O97" s="387"/>
      <c r="P97" s="105"/>
      <c r="Q97" s="105"/>
      <c r="R97" s="105"/>
      <c r="S97" s="105" t="e">
        <f t="shared" si="41"/>
        <v>#N/A</v>
      </c>
      <c r="T97" s="412"/>
      <c r="U97" s="105"/>
      <c r="V97" s="105"/>
      <c r="W97" s="105"/>
      <c r="X97" s="105" t="e">
        <f t="shared" si="42"/>
        <v>#N/A</v>
      </c>
      <c r="Y97" s="412"/>
      <c r="Z97" s="105"/>
      <c r="AA97" s="105"/>
      <c r="AB97" s="105"/>
      <c r="AC97" s="105" t="e">
        <f t="shared" si="43"/>
        <v>#N/A</v>
      </c>
      <c r="AD97" s="412"/>
      <c r="AE97" s="105"/>
      <c r="AF97" s="105"/>
      <c r="AG97" s="105"/>
      <c r="AH97" s="105" t="e">
        <f t="shared" si="44"/>
        <v>#N/A</v>
      </c>
      <c r="AI97" s="412"/>
      <c r="AJ97" s="105"/>
      <c r="AK97" s="105"/>
      <c r="AL97" s="105"/>
      <c r="AM97" s="105" t="e">
        <f t="shared" si="45"/>
        <v>#N/A</v>
      </c>
      <c r="AN97" s="412"/>
      <c r="AO97" s="105"/>
      <c r="AP97" s="105"/>
      <c r="AQ97" s="105"/>
      <c r="AR97" s="105" t="e">
        <f t="shared" si="46"/>
        <v>#N/A</v>
      </c>
      <c r="AS97" s="412"/>
      <c r="AT97" s="105"/>
      <c r="AU97" s="105"/>
      <c r="AV97" s="105"/>
      <c r="AW97" s="105" t="e">
        <f t="shared" si="47"/>
        <v>#N/A</v>
      </c>
      <c r="AX97" s="412"/>
    </row>
    <row r="98" spans="2:50">
      <c r="B98" s="398"/>
      <c r="C98" s="105">
        <v>12</v>
      </c>
      <c r="D98" s="228"/>
      <c r="E98" s="175"/>
      <c r="F98" s="105"/>
      <c r="G98" s="202"/>
      <c r="H98" s="385"/>
      <c r="I98" s="105"/>
      <c r="J98" s="105"/>
      <c r="K98" s="105"/>
      <c r="L98" s="385"/>
      <c r="M98" s="203" t="e">
        <f>RANK(K98, K$87:$K$101)</f>
        <v>#N/A</v>
      </c>
      <c r="N98" s="387"/>
      <c r="O98" s="387"/>
      <c r="P98" s="105"/>
      <c r="Q98" s="105"/>
      <c r="R98" s="105"/>
      <c r="S98" s="105" t="e">
        <f t="shared" si="41"/>
        <v>#N/A</v>
      </c>
      <c r="T98" s="412"/>
      <c r="U98" s="105"/>
      <c r="V98" s="105"/>
      <c r="W98" s="105"/>
      <c r="X98" s="105" t="e">
        <f t="shared" si="42"/>
        <v>#N/A</v>
      </c>
      <c r="Y98" s="412"/>
      <c r="Z98" s="105"/>
      <c r="AA98" s="105"/>
      <c r="AB98" s="105"/>
      <c r="AC98" s="105" t="e">
        <f t="shared" si="43"/>
        <v>#N/A</v>
      </c>
      <c r="AD98" s="412"/>
      <c r="AE98" s="105"/>
      <c r="AF98" s="105"/>
      <c r="AG98" s="105"/>
      <c r="AH98" s="105" t="e">
        <f t="shared" si="44"/>
        <v>#N/A</v>
      </c>
      <c r="AI98" s="412"/>
      <c r="AJ98" s="105"/>
      <c r="AK98" s="105"/>
      <c r="AL98" s="105"/>
      <c r="AM98" s="105" t="e">
        <f t="shared" si="45"/>
        <v>#N/A</v>
      </c>
      <c r="AN98" s="412"/>
      <c r="AO98" s="105"/>
      <c r="AP98" s="105"/>
      <c r="AQ98" s="105"/>
      <c r="AR98" s="105" t="e">
        <f t="shared" si="46"/>
        <v>#N/A</v>
      </c>
      <c r="AS98" s="412"/>
      <c r="AT98" s="105"/>
      <c r="AU98" s="105"/>
      <c r="AV98" s="105"/>
      <c r="AW98" s="105" t="e">
        <f t="shared" si="47"/>
        <v>#N/A</v>
      </c>
      <c r="AX98" s="412"/>
    </row>
    <row r="99" spans="2:50">
      <c r="B99" s="398"/>
      <c r="C99" s="105">
        <v>13</v>
      </c>
      <c r="D99" s="228"/>
      <c r="E99" s="175"/>
      <c r="F99" s="105"/>
      <c r="G99" s="202"/>
      <c r="H99" s="385"/>
      <c r="I99" s="105"/>
      <c r="J99" s="105"/>
      <c r="K99" s="105"/>
      <c r="L99" s="385"/>
      <c r="M99" s="203" t="e">
        <f>RANK(K99, K$87:$K$101)</f>
        <v>#N/A</v>
      </c>
      <c r="N99" s="387"/>
      <c r="O99" s="387"/>
      <c r="P99" s="105"/>
      <c r="Q99" s="105"/>
      <c r="R99" s="105"/>
      <c r="S99" s="105" t="e">
        <f t="shared" si="41"/>
        <v>#N/A</v>
      </c>
      <c r="T99" s="412"/>
      <c r="U99" s="105"/>
      <c r="V99" s="105"/>
      <c r="W99" s="105"/>
      <c r="X99" s="105" t="e">
        <f t="shared" si="42"/>
        <v>#N/A</v>
      </c>
      <c r="Y99" s="412"/>
      <c r="Z99" s="105"/>
      <c r="AA99" s="105"/>
      <c r="AB99" s="105"/>
      <c r="AC99" s="105" t="e">
        <f t="shared" si="43"/>
        <v>#N/A</v>
      </c>
      <c r="AD99" s="412"/>
      <c r="AE99" s="105"/>
      <c r="AF99" s="105"/>
      <c r="AG99" s="105"/>
      <c r="AH99" s="105" t="e">
        <f t="shared" si="44"/>
        <v>#N/A</v>
      </c>
      <c r="AI99" s="412"/>
      <c r="AJ99" s="105"/>
      <c r="AK99" s="105"/>
      <c r="AL99" s="105"/>
      <c r="AM99" s="105" t="e">
        <f t="shared" si="45"/>
        <v>#N/A</v>
      </c>
      <c r="AN99" s="412"/>
      <c r="AO99" s="105"/>
      <c r="AP99" s="105"/>
      <c r="AQ99" s="105"/>
      <c r="AR99" s="105" t="e">
        <f t="shared" si="46"/>
        <v>#N/A</v>
      </c>
      <c r="AS99" s="412"/>
      <c r="AT99" s="105"/>
      <c r="AU99" s="105"/>
      <c r="AV99" s="105"/>
      <c r="AW99" s="105" t="e">
        <f t="shared" si="47"/>
        <v>#N/A</v>
      </c>
      <c r="AX99" s="412"/>
    </row>
    <row r="100" spans="2:50">
      <c r="B100" s="398"/>
      <c r="C100" s="105">
        <v>14</v>
      </c>
      <c r="D100" s="228"/>
      <c r="E100" s="175"/>
      <c r="F100" s="105"/>
      <c r="G100" s="202"/>
      <c r="H100" s="385"/>
      <c r="I100" s="105"/>
      <c r="J100" s="105"/>
      <c r="K100" s="105"/>
      <c r="L100" s="385"/>
      <c r="M100" s="203" t="e">
        <f>RANK(K100, K$87:$K$101)</f>
        <v>#N/A</v>
      </c>
      <c r="N100" s="387"/>
      <c r="O100" s="387"/>
      <c r="P100" s="105"/>
      <c r="Q100" s="105"/>
      <c r="R100" s="105"/>
      <c r="S100" s="105" t="e">
        <f t="shared" si="41"/>
        <v>#N/A</v>
      </c>
      <c r="T100" s="412"/>
      <c r="U100" s="105"/>
      <c r="V100" s="105"/>
      <c r="W100" s="105"/>
      <c r="X100" s="105" t="e">
        <f t="shared" si="42"/>
        <v>#N/A</v>
      </c>
      <c r="Y100" s="412"/>
      <c r="Z100" s="105"/>
      <c r="AA100" s="105"/>
      <c r="AB100" s="105"/>
      <c r="AC100" s="105" t="e">
        <f t="shared" si="43"/>
        <v>#N/A</v>
      </c>
      <c r="AD100" s="412"/>
      <c r="AE100" s="105"/>
      <c r="AF100" s="105"/>
      <c r="AG100" s="105"/>
      <c r="AH100" s="105" t="e">
        <f t="shared" si="44"/>
        <v>#N/A</v>
      </c>
      <c r="AI100" s="412"/>
      <c r="AJ100" s="105"/>
      <c r="AK100" s="105"/>
      <c r="AL100" s="105"/>
      <c r="AM100" s="105" t="e">
        <f t="shared" si="45"/>
        <v>#N/A</v>
      </c>
      <c r="AN100" s="412"/>
      <c r="AO100" s="105"/>
      <c r="AP100" s="105"/>
      <c r="AQ100" s="105"/>
      <c r="AR100" s="105" t="e">
        <f t="shared" si="46"/>
        <v>#N/A</v>
      </c>
      <c r="AS100" s="412"/>
      <c r="AT100" s="105"/>
      <c r="AU100" s="105"/>
      <c r="AV100" s="105"/>
      <c r="AW100" s="105" t="e">
        <f t="shared" si="47"/>
        <v>#N/A</v>
      </c>
      <c r="AX100" s="412"/>
    </row>
    <row r="101" spans="2:50">
      <c r="B101" s="398"/>
      <c r="C101" s="105">
        <v>15</v>
      </c>
      <c r="D101" s="228"/>
      <c r="E101" s="175"/>
      <c r="F101" s="105"/>
      <c r="G101" s="202"/>
      <c r="H101" s="386"/>
      <c r="I101" s="105"/>
      <c r="J101" s="105"/>
      <c r="K101" s="105"/>
      <c r="L101" s="386"/>
      <c r="M101" s="175" t="e">
        <f>RANK(K101, K$87:$K$101)</f>
        <v>#N/A</v>
      </c>
      <c r="N101" s="387"/>
      <c r="O101" s="387"/>
      <c r="P101" s="105"/>
      <c r="Q101" s="105"/>
      <c r="R101" s="105"/>
      <c r="S101" s="105" t="e">
        <f t="shared" si="41"/>
        <v>#N/A</v>
      </c>
      <c r="T101" s="412"/>
      <c r="U101" s="105"/>
      <c r="V101" s="105"/>
      <c r="W101" s="105"/>
      <c r="X101" s="105" t="e">
        <f t="shared" si="42"/>
        <v>#N/A</v>
      </c>
      <c r="Y101" s="412"/>
      <c r="Z101" s="105"/>
      <c r="AA101" s="105"/>
      <c r="AB101" s="105"/>
      <c r="AC101" s="105" t="e">
        <f t="shared" si="43"/>
        <v>#N/A</v>
      </c>
      <c r="AD101" s="412"/>
      <c r="AE101" s="105"/>
      <c r="AF101" s="105"/>
      <c r="AG101" s="105"/>
      <c r="AH101" s="105" t="e">
        <f t="shared" si="44"/>
        <v>#N/A</v>
      </c>
      <c r="AI101" s="412"/>
      <c r="AJ101" s="105"/>
      <c r="AK101" s="105"/>
      <c r="AL101" s="105"/>
      <c r="AM101" s="105" t="e">
        <f t="shared" si="45"/>
        <v>#N/A</v>
      </c>
      <c r="AN101" s="412"/>
      <c r="AO101" s="105"/>
      <c r="AP101" s="105"/>
      <c r="AQ101" s="105"/>
      <c r="AR101" s="105" t="e">
        <f t="shared" si="46"/>
        <v>#N/A</v>
      </c>
      <c r="AS101" s="412"/>
      <c r="AT101" s="105"/>
      <c r="AU101" s="105"/>
      <c r="AV101" s="105"/>
      <c r="AW101" s="105" t="e">
        <f t="shared" si="47"/>
        <v>#N/A</v>
      </c>
      <c r="AX101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76"/>
  <sheetViews>
    <sheetView topLeftCell="A124" zoomScale="50" zoomScaleNormal="50" workbookViewId="0">
      <pane xSplit="15" topLeftCell="P1" activePane="topRight" state="frozen"/>
      <selection pane="topRight" activeCell="B112" sqref="B112:B141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219">
        <f>AVERAGE(L7,L42,L77,L112,L147)</f>
        <v>89.310428404733287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87" t="s">
        <v>180</v>
      </c>
      <c r="C7" s="105">
        <v>1</v>
      </c>
      <c r="D7" s="228" t="s">
        <v>258</v>
      </c>
      <c r="E7" s="175">
        <v>5</v>
      </c>
      <c r="F7" s="105">
        <v>1600</v>
      </c>
      <c r="G7" s="202">
        <v>320</v>
      </c>
      <c r="H7" s="384">
        <f>AVERAGE(G7:G36)</f>
        <v>95.11907270218029</v>
      </c>
      <c r="I7" s="175">
        <f>AVERAGE(P7,U7,Z7,AE7,AJ7,AO7,AT7)</f>
        <v>5</v>
      </c>
      <c r="J7" s="175">
        <f>AVERAGE(Q7,V7,AA7,AF7,AK7,AP7,AU7)</f>
        <v>997.50000000000341</v>
      </c>
      <c r="K7" s="202">
        <f>AVERAGE(R7,W7,AB7,AG7,AL7,AQ7,AV7)</f>
        <v>199.50000000000068</v>
      </c>
      <c r="L7" s="384">
        <f>IFERROR(AVERAGE(K7:K36),"-")</f>
        <v>85.470861950432706</v>
      </c>
      <c r="M7" s="203">
        <f>RANK(K7, K$7:$K$36)</f>
        <v>2</v>
      </c>
      <c r="N7" s="387"/>
      <c r="O7" s="387"/>
      <c r="P7" s="175"/>
      <c r="Q7" s="175"/>
      <c r="R7" s="202"/>
      <c r="S7" s="105" t="e">
        <f>RANK(R7, R$7:R$36)</f>
        <v>#N/A</v>
      </c>
      <c r="T7" s="412" t="e">
        <f>AVERAGE(R7:R36)</f>
        <v>#DIV/0!</v>
      </c>
      <c r="U7" s="175"/>
      <c r="V7" s="175"/>
      <c r="W7" s="202"/>
      <c r="X7" s="105" t="e">
        <f>RANK(W7, W$7:W$36)</f>
        <v>#N/A</v>
      </c>
      <c r="Y7" s="412" t="e">
        <f>AVERAGE(W7:W36)</f>
        <v>#DIV/0!</v>
      </c>
      <c r="Z7" s="105"/>
      <c r="AA7" s="175"/>
      <c r="AB7" s="202"/>
      <c r="AC7" s="105" t="e">
        <f>RANK(AB7, AB$7:AB$36)</f>
        <v>#N/A</v>
      </c>
      <c r="AD7" s="412" t="e">
        <f>AVERAGE(AB7:AB36)</f>
        <v>#DIV/0!</v>
      </c>
      <c r="AE7" s="175">
        <v>5</v>
      </c>
      <c r="AF7" s="175">
        <v>840.00000000000296</v>
      </c>
      <c r="AG7" s="202">
        <v>168.0000000000006</v>
      </c>
      <c r="AH7" s="105">
        <f>RANK(AG7, AG$7:AG$36)</f>
        <v>3</v>
      </c>
      <c r="AI7" s="412">
        <f>AVERAGE(AG7:AG36)</f>
        <v>88.960367552865875</v>
      </c>
      <c r="AJ7" s="105">
        <v>5</v>
      </c>
      <c r="AK7" s="175">
        <v>840.00000000000296</v>
      </c>
      <c r="AL7" s="202">
        <v>168.0000000000006</v>
      </c>
      <c r="AM7" s="105">
        <f>RANK(AL7, AL$7:AL$36)</f>
        <v>3</v>
      </c>
      <c r="AN7" s="412">
        <f>AVERAGE(AL7:AL36)</f>
        <v>88.69732746107583</v>
      </c>
      <c r="AO7" s="105">
        <v>5</v>
      </c>
      <c r="AP7" s="175">
        <v>960.00000000000341</v>
      </c>
      <c r="AQ7" s="202">
        <v>192.00000000000068</v>
      </c>
      <c r="AR7" s="105">
        <f>RANK(AQ7, AQ$7:AQ$36)</f>
        <v>2</v>
      </c>
      <c r="AS7" s="412">
        <f>AVERAGE(AQ7:AQ36)</f>
        <v>88.593660820590188</v>
      </c>
      <c r="AT7" s="105">
        <v>5</v>
      </c>
      <c r="AU7" s="175">
        <v>1350.0000000000048</v>
      </c>
      <c r="AV7" s="202">
        <v>270.00000000000097</v>
      </c>
      <c r="AW7" s="105">
        <f>RANK(AV7, AV$7:AV$36)</f>
        <v>2</v>
      </c>
      <c r="AX7" s="412">
        <f>AVERAGE(AV7:AV36)</f>
        <v>93.997552350858228</v>
      </c>
    </row>
    <row r="8" spans="1:50" ht="15" customHeight="1">
      <c r="A8" s="79"/>
      <c r="B8" s="398"/>
      <c r="C8" s="105">
        <v>2</v>
      </c>
      <c r="D8" s="228" t="s">
        <v>259</v>
      </c>
      <c r="E8" s="175">
        <v>5</v>
      </c>
      <c r="F8" s="105">
        <v>1600</v>
      </c>
      <c r="G8" s="202">
        <v>320</v>
      </c>
      <c r="H8" s="385"/>
      <c r="I8" s="175">
        <f t="shared" ref="I8:K16" si="0">AVERAGE(P8,U8,Z8,AE8,AJ8,AO8,AT8)</f>
        <v>5.25</v>
      </c>
      <c r="J8" s="175">
        <f t="shared" si="0"/>
        <v>1484.5299477400945</v>
      </c>
      <c r="K8" s="202">
        <f t="shared" si="0"/>
        <v>284.60412713191153</v>
      </c>
      <c r="L8" s="385"/>
      <c r="M8" s="203">
        <f>RANK(K8, K$7:$K$36)</f>
        <v>1</v>
      </c>
      <c r="N8" s="387"/>
      <c r="O8" s="387"/>
      <c r="P8" s="175"/>
      <c r="Q8" s="175"/>
      <c r="R8" s="202"/>
      <c r="S8" s="105" t="e">
        <f t="shared" ref="S8:S36" si="1">RANK(R8, R$7:R$36)</f>
        <v>#N/A</v>
      </c>
      <c r="T8" s="412"/>
      <c r="U8" s="175"/>
      <c r="V8" s="175"/>
      <c r="W8" s="202"/>
      <c r="X8" s="105" t="e">
        <f t="shared" ref="X8:X36" si="2">RANK(W8, W$7:W$36)</f>
        <v>#N/A</v>
      </c>
      <c r="Y8" s="412"/>
      <c r="Z8" s="105"/>
      <c r="AA8" s="175"/>
      <c r="AB8" s="202"/>
      <c r="AC8" s="105" t="e">
        <f t="shared" ref="AC8:AC36" si="3">RANK(AB8, AB$7:AB$36)</f>
        <v>#N/A</v>
      </c>
      <c r="AD8" s="412"/>
      <c r="AE8" s="175">
        <v>5</v>
      </c>
      <c r="AF8" s="175">
        <v>1526.3723076923077</v>
      </c>
      <c r="AG8" s="202">
        <v>305.27446153846154</v>
      </c>
      <c r="AH8" s="105">
        <f t="shared" ref="AH8:AH36" si="4">RANK(AG8, AG$7:AG$36)</f>
        <v>1</v>
      </c>
      <c r="AI8" s="412"/>
      <c r="AJ8" s="105">
        <v>5</v>
      </c>
      <c r="AK8" s="175">
        <v>1463.5624548736462</v>
      </c>
      <c r="AL8" s="202">
        <v>292.71249097472923</v>
      </c>
      <c r="AM8" s="105">
        <f t="shared" ref="AM8:AM36" si="5">RANK(AL8, AL$7:AL$36)</f>
        <v>1</v>
      </c>
      <c r="AN8" s="412"/>
      <c r="AO8" s="105">
        <v>6</v>
      </c>
      <c r="AP8" s="175">
        <v>1476.2234899328857</v>
      </c>
      <c r="AQ8" s="202">
        <v>246.03724832214763</v>
      </c>
      <c r="AR8" s="105">
        <f t="shared" ref="AR8:AR36" si="6">RANK(AQ8, AQ$7:AQ$36)</f>
        <v>1</v>
      </c>
      <c r="AS8" s="412"/>
      <c r="AT8" s="105">
        <v>5</v>
      </c>
      <c r="AU8" s="175">
        <v>1471.9615384615383</v>
      </c>
      <c r="AV8" s="202">
        <v>294.39230769230767</v>
      </c>
      <c r="AW8" s="105">
        <f t="shared" ref="AW8:AW36" si="7">RANK(AV8, AV$7:AV$36)</f>
        <v>1</v>
      </c>
      <c r="AX8" s="412"/>
    </row>
    <row r="9" spans="1:50">
      <c r="A9" s="79"/>
      <c r="B9" s="398"/>
      <c r="C9" s="105">
        <v>3</v>
      </c>
      <c r="D9" s="228" t="s">
        <v>260</v>
      </c>
      <c r="E9" s="175">
        <v>18</v>
      </c>
      <c r="F9" s="105">
        <v>1500</v>
      </c>
      <c r="G9" s="202">
        <v>83.333333333333329</v>
      </c>
      <c r="H9" s="385"/>
      <c r="I9" s="175">
        <f t="shared" si="0"/>
        <v>18</v>
      </c>
      <c r="J9" s="175">
        <f t="shared" si="0"/>
        <v>917.26890756302532</v>
      </c>
      <c r="K9" s="202">
        <f t="shared" si="0"/>
        <v>50.959383753501406</v>
      </c>
      <c r="L9" s="385"/>
      <c r="M9" s="203">
        <f>RANK(K9, K$7:$K$36)</f>
        <v>25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v>18</v>
      </c>
      <c r="AF9" s="175">
        <v>908.82352941176589</v>
      </c>
      <c r="AG9" s="202">
        <v>50.490196078431438</v>
      </c>
      <c r="AH9" s="105">
        <f t="shared" si="4"/>
        <v>26</v>
      </c>
      <c r="AI9" s="412"/>
      <c r="AJ9" s="105">
        <v>18</v>
      </c>
      <c r="AK9" s="175">
        <v>925.71428571428476</v>
      </c>
      <c r="AL9" s="202">
        <v>51.428571428571374</v>
      </c>
      <c r="AM9" s="105">
        <f t="shared" si="5"/>
        <v>26</v>
      </c>
      <c r="AN9" s="412"/>
      <c r="AO9" s="105"/>
      <c r="AP9" s="175"/>
      <c r="AQ9" s="202"/>
      <c r="AR9" s="105" t="e">
        <f t="shared" si="6"/>
        <v>#N/A</v>
      </c>
      <c r="AS9" s="412"/>
      <c r="AT9" s="105"/>
      <c r="AU9" s="175"/>
      <c r="AV9" s="202"/>
      <c r="AW9" s="105" t="e">
        <f t="shared" si="7"/>
        <v>#N/A</v>
      </c>
      <c r="AX9" s="412"/>
    </row>
    <row r="10" spans="1:50">
      <c r="A10" s="79"/>
      <c r="B10" s="398"/>
      <c r="C10" s="105">
        <v>4</v>
      </c>
      <c r="D10" s="228" t="s">
        <v>261</v>
      </c>
      <c r="E10" s="175">
        <v>21</v>
      </c>
      <c r="F10" s="105">
        <v>1440</v>
      </c>
      <c r="G10" s="202">
        <v>68.571428571428569</v>
      </c>
      <c r="H10" s="385"/>
      <c r="I10" s="175">
        <f t="shared" si="0"/>
        <v>20</v>
      </c>
      <c r="J10" s="175">
        <f t="shared" si="0"/>
        <v>1090.2496674057652</v>
      </c>
      <c r="K10" s="202">
        <f t="shared" si="0"/>
        <v>54.597828551422921</v>
      </c>
      <c r="L10" s="385"/>
      <c r="M10" s="203">
        <f>RANK(K10, K$7:$K$36)</f>
        <v>24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v>20</v>
      </c>
      <c r="AF10" s="175">
        <v>1103.6363636363646</v>
      </c>
      <c r="AG10" s="202">
        <v>55.18181818181823</v>
      </c>
      <c r="AH10" s="105">
        <f t="shared" si="4"/>
        <v>25</v>
      </c>
      <c r="AI10" s="412"/>
      <c r="AJ10" s="105">
        <v>19</v>
      </c>
      <c r="AK10" s="175">
        <v>1098.1818181818194</v>
      </c>
      <c r="AL10" s="202">
        <v>57.799043062201022</v>
      </c>
      <c r="AM10" s="105">
        <f t="shared" si="5"/>
        <v>25</v>
      </c>
      <c r="AN10" s="412"/>
      <c r="AO10" s="105">
        <v>21</v>
      </c>
      <c r="AP10" s="175">
        <v>1070.3999999999992</v>
      </c>
      <c r="AQ10" s="202">
        <v>50.971428571428532</v>
      </c>
      <c r="AR10" s="105">
        <f t="shared" si="6"/>
        <v>25</v>
      </c>
      <c r="AS10" s="412"/>
      <c r="AT10" s="105">
        <v>20</v>
      </c>
      <c r="AU10" s="175">
        <v>1088.7804878048778</v>
      </c>
      <c r="AV10" s="202">
        <v>54.439024390243887</v>
      </c>
      <c r="AW10" s="105">
        <f t="shared" si="7"/>
        <v>25</v>
      </c>
      <c r="AX10" s="412"/>
    </row>
    <row r="11" spans="1:50">
      <c r="A11" s="79"/>
      <c r="B11" s="398"/>
      <c r="C11" s="105">
        <v>5</v>
      </c>
      <c r="D11" s="228" t="s">
        <v>262</v>
      </c>
      <c r="E11" s="175">
        <v>18</v>
      </c>
      <c r="F11" s="105">
        <v>1636</v>
      </c>
      <c r="G11" s="202">
        <v>90.888888888888886</v>
      </c>
      <c r="H11" s="385"/>
      <c r="I11" s="175">
        <f t="shared" si="0"/>
        <v>17</v>
      </c>
      <c r="J11" s="175">
        <f t="shared" si="0"/>
        <v>1288.6991728495282</v>
      </c>
      <c r="K11" s="202">
        <f t="shared" si="0"/>
        <v>75.805833697031076</v>
      </c>
      <c r="L11" s="385"/>
      <c r="M11" s="203">
        <f>RANK(K11, K$7:$K$36)</f>
        <v>9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v>17</v>
      </c>
      <c r="AF11" s="175">
        <v>1273.018867924528</v>
      </c>
      <c r="AG11" s="202">
        <v>74.883462819089885</v>
      </c>
      <c r="AH11" s="105">
        <f t="shared" si="4"/>
        <v>14</v>
      </c>
      <c r="AI11" s="412"/>
      <c r="AJ11" s="105">
        <v>17</v>
      </c>
      <c r="AK11" s="175">
        <v>1287.9310344827588</v>
      </c>
      <c r="AL11" s="202">
        <v>75.760649087221111</v>
      </c>
      <c r="AM11" s="105">
        <f t="shared" si="5"/>
        <v>12</v>
      </c>
      <c r="AN11" s="412"/>
      <c r="AO11" s="105">
        <v>17</v>
      </c>
      <c r="AP11" s="175">
        <v>1305.9000000000001</v>
      </c>
      <c r="AQ11" s="202">
        <v>76.817647058823539</v>
      </c>
      <c r="AR11" s="105">
        <f t="shared" si="6"/>
        <v>10</v>
      </c>
      <c r="AS11" s="412"/>
      <c r="AT11" s="105">
        <v>17</v>
      </c>
      <c r="AU11" s="175">
        <v>1287.9467889908256</v>
      </c>
      <c r="AV11" s="202">
        <v>75.761575822989741</v>
      </c>
      <c r="AW11" s="105">
        <f t="shared" si="7"/>
        <v>11</v>
      </c>
      <c r="AX11" s="412"/>
    </row>
    <row r="12" spans="1:50">
      <c r="A12" s="79"/>
      <c r="B12" s="398"/>
      <c r="C12" s="105">
        <v>6</v>
      </c>
      <c r="D12" s="228" t="s">
        <v>263</v>
      </c>
      <c r="E12" s="175">
        <v>19</v>
      </c>
      <c r="F12" s="105">
        <v>1500</v>
      </c>
      <c r="G12" s="202">
        <v>78.94736842105263</v>
      </c>
      <c r="H12" s="385"/>
      <c r="I12" s="175">
        <f t="shared" si="0"/>
        <v>19</v>
      </c>
      <c r="J12" s="175">
        <f t="shared" si="0"/>
        <v>1287.5422149992078</v>
      </c>
      <c r="K12" s="202">
        <f t="shared" si="0"/>
        <v>67.765379736800412</v>
      </c>
      <c r="L12" s="385"/>
      <c r="M12" s="203">
        <f>RANK(K12, K$7:$K$36)</f>
        <v>19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>
        <v>19</v>
      </c>
      <c r="AF12" s="175">
        <v>1245.0000000000005</v>
      </c>
      <c r="AG12" s="202">
        <v>65.526315789473713</v>
      </c>
      <c r="AH12" s="105">
        <f t="shared" si="4"/>
        <v>22</v>
      </c>
      <c r="AI12" s="412"/>
      <c r="AJ12" s="105">
        <v>19</v>
      </c>
      <c r="AK12" s="175">
        <v>1299.6226415094347</v>
      </c>
      <c r="AL12" s="202">
        <v>68.401191658391298</v>
      </c>
      <c r="AM12" s="105">
        <f t="shared" si="5"/>
        <v>20</v>
      </c>
      <c r="AN12" s="412"/>
      <c r="AO12" s="105">
        <v>19</v>
      </c>
      <c r="AP12" s="175">
        <v>1294.1176470588241</v>
      </c>
      <c r="AQ12" s="202">
        <v>68.111455108359166</v>
      </c>
      <c r="AR12" s="105">
        <f t="shared" si="6"/>
        <v>21</v>
      </c>
      <c r="AS12" s="412"/>
      <c r="AT12" s="105">
        <v>19</v>
      </c>
      <c r="AU12" s="175">
        <v>1311.4285714285718</v>
      </c>
      <c r="AV12" s="202">
        <v>69.022556390977456</v>
      </c>
      <c r="AW12" s="105">
        <f t="shared" si="7"/>
        <v>19</v>
      </c>
      <c r="AX12" s="412"/>
    </row>
    <row r="13" spans="1:50">
      <c r="A13" s="79"/>
      <c r="B13" s="398"/>
      <c r="C13" s="105">
        <v>7</v>
      </c>
      <c r="D13" s="228" t="s">
        <v>264</v>
      </c>
      <c r="E13" s="175">
        <v>16</v>
      </c>
      <c r="F13" s="105">
        <v>1636</v>
      </c>
      <c r="G13" s="202">
        <v>102.25</v>
      </c>
      <c r="H13" s="385"/>
      <c r="I13" s="175">
        <f t="shared" si="0"/>
        <v>16.25</v>
      </c>
      <c r="J13" s="175">
        <f t="shared" si="0"/>
        <v>1286.6520880608725</v>
      </c>
      <c r="K13" s="202">
        <f t="shared" si="0"/>
        <v>79.255160584018441</v>
      </c>
      <c r="L13" s="385"/>
      <c r="M13" s="203">
        <f>RANK(K13, K$7:$K$36)</f>
        <v>6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>
        <v>16</v>
      </c>
      <c r="AF13" s="175">
        <v>1274.4827586206907</v>
      </c>
      <c r="AG13" s="202">
        <v>79.655172413793167</v>
      </c>
      <c r="AH13" s="105">
        <f t="shared" si="4"/>
        <v>8</v>
      </c>
      <c r="AI13" s="412"/>
      <c r="AJ13" s="105">
        <v>16</v>
      </c>
      <c r="AK13" s="175">
        <v>1312.835820895524</v>
      </c>
      <c r="AL13" s="202">
        <v>82.052238805970248</v>
      </c>
      <c r="AM13" s="105">
        <f t="shared" si="5"/>
        <v>5</v>
      </c>
      <c r="AN13" s="412"/>
      <c r="AO13" s="105">
        <v>17</v>
      </c>
      <c r="AP13" s="175">
        <v>1262.7272727272741</v>
      </c>
      <c r="AQ13" s="202">
        <v>74.278074866310249</v>
      </c>
      <c r="AR13" s="105">
        <f t="shared" si="6"/>
        <v>15</v>
      </c>
      <c r="AS13" s="412"/>
      <c r="AT13" s="105">
        <v>16</v>
      </c>
      <c r="AU13" s="175">
        <v>1296.5625000000016</v>
      </c>
      <c r="AV13" s="202">
        <v>81.035156250000099</v>
      </c>
      <c r="AW13" s="105">
        <f t="shared" si="7"/>
        <v>6</v>
      </c>
      <c r="AX13" s="412"/>
    </row>
    <row r="14" spans="1:50">
      <c r="A14" s="79"/>
      <c r="B14" s="398"/>
      <c r="C14" s="105">
        <v>8</v>
      </c>
      <c r="D14" s="228" t="s">
        <v>265</v>
      </c>
      <c r="E14" s="175">
        <v>16</v>
      </c>
      <c r="F14" s="105">
        <v>1440</v>
      </c>
      <c r="G14" s="202">
        <v>90</v>
      </c>
      <c r="H14" s="385"/>
      <c r="I14" s="175">
        <f t="shared" si="0"/>
        <v>16</v>
      </c>
      <c r="J14" s="175">
        <f t="shared" si="0"/>
        <v>1195.4844536257222</v>
      </c>
      <c r="K14" s="202">
        <f t="shared" si="0"/>
        <v>74.717778351607635</v>
      </c>
      <c r="L14" s="385"/>
      <c r="M14" s="203">
        <f>RANK(K14, K$7:$K$36)</f>
        <v>12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>
        <v>16</v>
      </c>
      <c r="AF14" s="175">
        <v>1219.6551724137939</v>
      </c>
      <c r="AG14" s="202">
        <v>76.228448275862121</v>
      </c>
      <c r="AH14" s="105">
        <f t="shared" si="4"/>
        <v>10</v>
      </c>
      <c r="AI14" s="412"/>
      <c r="AJ14" s="105">
        <v>16</v>
      </c>
      <c r="AK14" s="175">
        <v>1175.8064516129043</v>
      </c>
      <c r="AL14" s="202">
        <v>73.487903225806519</v>
      </c>
      <c r="AM14" s="105">
        <f t="shared" si="5"/>
        <v>14</v>
      </c>
      <c r="AN14" s="412"/>
      <c r="AO14" s="105">
        <v>16</v>
      </c>
      <c r="AP14" s="175">
        <v>1219.0476190476202</v>
      </c>
      <c r="AQ14" s="202">
        <v>76.190476190476261</v>
      </c>
      <c r="AR14" s="105">
        <f t="shared" si="6"/>
        <v>11</v>
      </c>
      <c r="AS14" s="412"/>
      <c r="AT14" s="105">
        <v>16</v>
      </c>
      <c r="AU14" s="175">
        <v>1167.4285714285702</v>
      </c>
      <c r="AV14" s="202">
        <v>72.964285714285637</v>
      </c>
      <c r="AW14" s="105">
        <f t="shared" si="7"/>
        <v>17</v>
      </c>
      <c r="AX14" s="412"/>
    </row>
    <row r="15" spans="1:50">
      <c r="A15" s="79"/>
      <c r="B15" s="398"/>
      <c r="C15" s="105">
        <v>9</v>
      </c>
      <c r="D15" s="228" t="s">
        <v>266</v>
      </c>
      <c r="E15" s="175">
        <v>17</v>
      </c>
      <c r="F15" s="105">
        <v>1500</v>
      </c>
      <c r="G15" s="202">
        <v>88.235294117647058</v>
      </c>
      <c r="H15" s="385"/>
      <c r="I15" s="175">
        <f t="shared" si="0"/>
        <v>17</v>
      </c>
      <c r="J15" s="175">
        <f t="shared" si="0"/>
        <v>1089.3248847926263</v>
      </c>
      <c r="K15" s="202">
        <f t="shared" si="0"/>
        <v>64.07793439956626</v>
      </c>
      <c r="L15" s="385"/>
      <c r="M15" s="203">
        <f>RANK(K15, K$7:$K$36)</f>
        <v>22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>
        <v>17</v>
      </c>
      <c r="AF15" s="175">
        <v>1061.999999999998</v>
      </c>
      <c r="AG15" s="202">
        <v>62.470588235293995</v>
      </c>
      <c r="AH15" s="105">
        <f t="shared" si="4"/>
        <v>23</v>
      </c>
      <c r="AI15" s="412"/>
      <c r="AJ15" s="105">
        <v>17</v>
      </c>
      <c r="AK15" s="175">
        <v>1094.9999999999984</v>
      </c>
      <c r="AL15" s="202">
        <v>64.411764705882263</v>
      </c>
      <c r="AM15" s="105">
        <f t="shared" si="5"/>
        <v>23</v>
      </c>
      <c r="AN15" s="412"/>
      <c r="AO15" s="105">
        <v>17</v>
      </c>
      <c r="AP15" s="175">
        <v>1083.8709677419338</v>
      </c>
      <c r="AQ15" s="202">
        <v>63.757115749525518</v>
      </c>
      <c r="AR15" s="105">
        <f t="shared" si="6"/>
        <v>23</v>
      </c>
      <c r="AS15" s="412"/>
      <c r="AT15" s="105">
        <v>17</v>
      </c>
      <c r="AU15" s="175">
        <v>1116.4285714285752</v>
      </c>
      <c r="AV15" s="202">
        <v>65.67226890756325</v>
      </c>
      <c r="AW15" s="105">
        <f t="shared" si="7"/>
        <v>23</v>
      </c>
      <c r="AX15" s="412"/>
    </row>
    <row r="16" spans="1:50">
      <c r="A16" s="79"/>
      <c r="B16" s="398"/>
      <c r="C16" s="105">
        <v>10</v>
      </c>
      <c r="D16" s="228" t="s">
        <v>267</v>
      </c>
      <c r="E16" s="175">
        <v>18</v>
      </c>
      <c r="F16" s="105">
        <v>1440</v>
      </c>
      <c r="G16" s="202">
        <v>80</v>
      </c>
      <c r="H16" s="385"/>
      <c r="I16" s="175">
        <f t="shared" si="0"/>
        <v>18</v>
      </c>
      <c r="J16" s="175">
        <f t="shared" si="0"/>
        <v>1273.7202576001387</v>
      </c>
      <c r="K16" s="202">
        <f t="shared" si="0"/>
        <v>70.762236533341039</v>
      </c>
      <c r="L16" s="385"/>
      <c r="M16" s="203">
        <f>RANK(K16, K$7:$K$36)</f>
        <v>17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>
        <v>18</v>
      </c>
      <c r="AF16" s="175">
        <v>1272.4390243902435</v>
      </c>
      <c r="AG16" s="202">
        <v>70.691056910569088</v>
      </c>
      <c r="AH16" s="105">
        <f t="shared" si="4"/>
        <v>17</v>
      </c>
      <c r="AI16" s="412"/>
      <c r="AJ16" s="105">
        <v>18</v>
      </c>
      <c r="AK16" s="175">
        <v>1311.3253012048187</v>
      </c>
      <c r="AL16" s="202">
        <v>72.851405622489935</v>
      </c>
      <c r="AM16" s="105">
        <f t="shared" si="5"/>
        <v>16</v>
      </c>
      <c r="AN16" s="412"/>
      <c r="AO16" s="105">
        <v>18</v>
      </c>
      <c r="AP16" s="175">
        <v>1258.695652173913</v>
      </c>
      <c r="AQ16" s="202">
        <v>69.927536231884062</v>
      </c>
      <c r="AR16" s="105">
        <f t="shared" si="6"/>
        <v>18</v>
      </c>
      <c r="AS16" s="412"/>
      <c r="AT16" s="105">
        <v>18</v>
      </c>
      <c r="AU16" s="175">
        <v>1252.421052631579</v>
      </c>
      <c r="AV16" s="202">
        <v>69.578947368421055</v>
      </c>
      <c r="AW16" s="105">
        <f t="shared" si="7"/>
        <v>18</v>
      </c>
      <c r="AX16" s="412"/>
    </row>
    <row r="17" spans="2:50">
      <c r="B17" s="398"/>
      <c r="C17" s="105">
        <v>11</v>
      </c>
      <c r="D17" s="228" t="s">
        <v>268</v>
      </c>
      <c r="E17" s="175">
        <v>19</v>
      </c>
      <c r="F17" s="105">
        <v>1636</v>
      </c>
      <c r="G17" s="202">
        <v>86.10526315789474</v>
      </c>
      <c r="H17" s="385"/>
      <c r="I17" s="175">
        <f t="shared" ref="I17:I31" si="8">AVERAGE(P17,U17,Z17,AE17,AJ17,AO17,AT17)</f>
        <v>19</v>
      </c>
      <c r="J17" s="175">
        <f t="shared" ref="J17:J31" si="9">AVERAGE(Q17,V17,AA17,AF17,AK17,AP17,AU17)</f>
        <v>1294.0250083743231</v>
      </c>
      <c r="K17" s="202">
        <f t="shared" ref="K17:K31" si="10">AVERAGE(R17,W17,AB17,AG17,AL17,AQ17,AV17)</f>
        <v>68.10657938812227</v>
      </c>
      <c r="L17" s="385"/>
      <c r="M17" s="203">
        <f>RANK(K17, K$7:$K$36)</f>
        <v>18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>
        <v>19</v>
      </c>
      <c r="AF17" s="175">
        <v>1310.4761904761917</v>
      </c>
      <c r="AG17" s="202">
        <v>68.972431077694296</v>
      </c>
      <c r="AH17" s="105">
        <f t="shared" si="4"/>
        <v>19</v>
      </c>
      <c r="AI17" s="412"/>
      <c r="AJ17" s="105">
        <v>19</v>
      </c>
      <c r="AK17" s="175">
        <v>1265.6756756756747</v>
      </c>
      <c r="AL17" s="202">
        <v>66.614509246088147</v>
      </c>
      <c r="AM17" s="105">
        <f t="shared" si="5"/>
        <v>22</v>
      </c>
      <c r="AN17" s="412"/>
      <c r="AO17" s="105">
        <v>19</v>
      </c>
      <c r="AP17" s="175">
        <v>1296.1643835616428</v>
      </c>
      <c r="AQ17" s="202">
        <v>68.219178082191732</v>
      </c>
      <c r="AR17" s="105">
        <f t="shared" si="6"/>
        <v>20</v>
      </c>
      <c r="AS17" s="412"/>
      <c r="AT17" s="105">
        <v>19</v>
      </c>
      <c r="AU17" s="175">
        <v>1303.7837837837828</v>
      </c>
      <c r="AV17" s="202">
        <v>68.620199146514892</v>
      </c>
      <c r="AW17" s="105">
        <f t="shared" si="7"/>
        <v>20</v>
      </c>
      <c r="AX17" s="412"/>
    </row>
    <row r="18" spans="2:50">
      <c r="B18" s="398"/>
      <c r="C18" s="105">
        <v>12</v>
      </c>
      <c r="D18" s="228" t="s">
        <v>269</v>
      </c>
      <c r="E18" s="175">
        <v>19</v>
      </c>
      <c r="F18" s="105">
        <v>1636</v>
      </c>
      <c r="G18" s="202">
        <v>90</v>
      </c>
      <c r="H18" s="385"/>
      <c r="I18" s="175">
        <f t="shared" si="8"/>
        <v>19</v>
      </c>
      <c r="J18" s="175">
        <f t="shared" si="9"/>
        <v>1283.4740111465374</v>
      </c>
      <c r="K18" s="202">
        <f t="shared" si="10"/>
        <v>67.551263744554603</v>
      </c>
      <c r="L18" s="385"/>
      <c r="M18" s="203">
        <f>RANK(K18, K$7:$K$36)</f>
        <v>21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>
        <v>19</v>
      </c>
      <c r="AF18" s="175">
        <v>1289.9999999999995</v>
      </c>
      <c r="AG18" s="202">
        <v>67.894736842105246</v>
      </c>
      <c r="AH18" s="105">
        <f t="shared" si="4"/>
        <v>21</v>
      </c>
      <c r="AI18" s="412"/>
      <c r="AJ18" s="105">
        <v>19</v>
      </c>
      <c r="AK18" s="175">
        <v>1269.1304347826085</v>
      </c>
      <c r="AL18" s="202">
        <v>66.796338672768869</v>
      </c>
      <c r="AM18" s="105">
        <f t="shared" si="5"/>
        <v>21</v>
      </c>
      <c r="AN18" s="412"/>
      <c r="AO18" s="105">
        <v>19</v>
      </c>
      <c r="AP18" s="175">
        <v>1298.3505154639179</v>
      </c>
      <c r="AQ18" s="202">
        <v>68.334237655995679</v>
      </c>
      <c r="AR18" s="105">
        <f t="shared" si="6"/>
        <v>19</v>
      </c>
      <c r="AS18" s="412"/>
      <c r="AT18" s="105">
        <v>19</v>
      </c>
      <c r="AU18" s="175">
        <v>1276.4150943396232</v>
      </c>
      <c r="AV18" s="202">
        <v>67.179741807348591</v>
      </c>
      <c r="AW18" s="105">
        <f t="shared" si="7"/>
        <v>22</v>
      </c>
      <c r="AX18" s="412"/>
    </row>
    <row r="19" spans="2:50">
      <c r="B19" s="398"/>
      <c r="C19" s="105">
        <v>13</v>
      </c>
      <c r="D19" s="228" t="s">
        <v>270</v>
      </c>
      <c r="E19" s="175">
        <v>16</v>
      </c>
      <c r="F19" s="105">
        <v>1440</v>
      </c>
      <c r="G19" s="202">
        <v>90</v>
      </c>
      <c r="H19" s="385"/>
      <c r="I19" s="175">
        <f t="shared" si="8"/>
        <v>16</v>
      </c>
      <c r="J19" s="175">
        <f t="shared" si="9"/>
        <v>1264.3017346680072</v>
      </c>
      <c r="K19" s="202">
        <f t="shared" si="10"/>
        <v>79.018858416750447</v>
      </c>
      <c r="L19" s="385"/>
      <c r="M19" s="203">
        <f>RANK(K19, K$7:$K$36)</f>
        <v>8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>
        <v>16</v>
      </c>
      <c r="AF19" s="175">
        <v>1298.7096774193526</v>
      </c>
      <c r="AG19" s="202">
        <v>81.169354838709538</v>
      </c>
      <c r="AH19" s="105">
        <f t="shared" si="4"/>
        <v>6</v>
      </c>
      <c r="AI19" s="412"/>
      <c r="AJ19" s="105">
        <v>16</v>
      </c>
      <c r="AK19" s="175">
        <v>1277.6470588235279</v>
      </c>
      <c r="AL19" s="202">
        <v>79.852941176470495</v>
      </c>
      <c r="AM19" s="105">
        <f t="shared" si="5"/>
        <v>8</v>
      </c>
      <c r="AN19" s="412"/>
      <c r="AO19" s="105">
        <v>16</v>
      </c>
      <c r="AP19" s="175">
        <v>1247.6923076923072</v>
      </c>
      <c r="AQ19" s="202">
        <v>77.980769230769198</v>
      </c>
      <c r="AR19" s="105">
        <f t="shared" si="6"/>
        <v>7</v>
      </c>
      <c r="AS19" s="412"/>
      <c r="AT19" s="105">
        <v>16</v>
      </c>
      <c r="AU19" s="175">
        <v>1233.1578947368412</v>
      </c>
      <c r="AV19" s="202">
        <v>77.072368421052573</v>
      </c>
      <c r="AW19" s="105">
        <f t="shared" si="7"/>
        <v>9</v>
      </c>
      <c r="AX19" s="412"/>
    </row>
    <row r="20" spans="2:50">
      <c r="B20" s="398"/>
      <c r="C20" s="105">
        <v>14</v>
      </c>
      <c r="D20" s="228" t="s">
        <v>271</v>
      </c>
      <c r="E20" s="175">
        <v>17</v>
      </c>
      <c r="F20" s="105">
        <v>1440</v>
      </c>
      <c r="G20" s="202">
        <v>84.705882352941174</v>
      </c>
      <c r="H20" s="385"/>
      <c r="I20" s="175">
        <f t="shared" si="8"/>
        <v>17</v>
      </c>
      <c r="J20" s="175">
        <f t="shared" si="9"/>
        <v>1286.7141083021841</v>
      </c>
      <c r="K20" s="202">
        <f t="shared" si="10"/>
        <v>75.689065194246126</v>
      </c>
      <c r="L20" s="385"/>
      <c r="M20" s="203">
        <f>RANK(K20, K$7:$K$36)</f>
        <v>10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>
        <v>17</v>
      </c>
      <c r="AF20" s="175">
        <v>1292.608695652174</v>
      </c>
      <c r="AG20" s="202">
        <v>76.035805626598474</v>
      </c>
      <c r="AH20" s="105">
        <f t="shared" si="4"/>
        <v>11</v>
      </c>
      <c r="AI20" s="412"/>
      <c r="AJ20" s="105">
        <v>17</v>
      </c>
      <c r="AK20" s="175">
        <v>1273.7500000000002</v>
      </c>
      <c r="AL20" s="202">
        <v>74.926470588235304</v>
      </c>
      <c r="AM20" s="105">
        <f t="shared" si="5"/>
        <v>13</v>
      </c>
      <c r="AN20" s="412"/>
      <c r="AO20" s="105">
        <v>17</v>
      </c>
      <c r="AP20" s="175">
        <v>1285.882352941177</v>
      </c>
      <c r="AQ20" s="202">
        <v>75.640138408304537</v>
      </c>
      <c r="AR20" s="105">
        <f t="shared" si="6"/>
        <v>12</v>
      </c>
      <c r="AS20" s="412"/>
      <c r="AT20" s="105">
        <v>17</v>
      </c>
      <c r="AU20" s="175">
        <v>1294.6153846153852</v>
      </c>
      <c r="AV20" s="202">
        <v>76.153846153846189</v>
      </c>
      <c r="AW20" s="105">
        <f t="shared" si="7"/>
        <v>10</v>
      </c>
      <c r="AX20" s="412"/>
    </row>
    <row r="21" spans="2:50">
      <c r="B21" s="398"/>
      <c r="C21" s="105">
        <v>15</v>
      </c>
      <c r="D21" s="228" t="s">
        <v>272</v>
      </c>
      <c r="E21" s="175">
        <v>17</v>
      </c>
      <c r="F21" s="105">
        <v>1565</v>
      </c>
      <c r="G21" s="202">
        <v>92.058823529411768</v>
      </c>
      <c r="H21" s="385"/>
      <c r="I21" s="175">
        <f t="shared" si="8"/>
        <v>17</v>
      </c>
      <c r="J21" s="175">
        <f t="shared" si="9"/>
        <v>1262.4600060673456</v>
      </c>
      <c r="K21" s="202">
        <f t="shared" si="10"/>
        <v>74.262353298079148</v>
      </c>
      <c r="L21" s="385"/>
      <c r="M21" s="175">
        <f>RANK(K21, K$7:$K$36)</f>
        <v>15</v>
      </c>
      <c r="N21" s="387"/>
      <c r="O21" s="387"/>
      <c r="P21" s="105"/>
      <c r="Q21" s="105"/>
      <c r="R21" s="105"/>
      <c r="S21" s="105" t="e">
        <f t="shared" ref="S21:S35" si="11">RANK(R21, R$7:R$36)</f>
        <v>#N/A</v>
      </c>
      <c r="T21" s="412"/>
      <c r="U21" s="105"/>
      <c r="V21" s="105"/>
      <c r="W21" s="105"/>
      <c r="X21" s="105" t="e">
        <f t="shared" ref="X21:X35" si="12">RANK(W21, W$7:W$36)</f>
        <v>#N/A</v>
      </c>
      <c r="Y21" s="412"/>
      <c r="Z21" s="105"/>
      <c r="AA21" s="105"/>
      <c r="AB21" s="105"/>
      <c r="AC21" s="105" t="e">
        <f t="shared" ref="AC21:AC35" si="13">RANK(AB21, AB$7:AB$36)</f>
        <v>#N/A</v>
      </c>
      <c r="AD21" s="412"/>
      <c r="AE21" s="175">
        <v>17</v>
      </c>
      <c r="AF21" s="175">
        <v>1253.7931034482733</v>
      </c>
      <c r="AG21" s="202">
        <v>73.75253549695725</v>
      </c>
      <c r="AH21" s="105">
        <f t="shared" ref="AH21:AH35" si="14">RANK(AG21, AG$7:AG$36)</f>
        <v>16</v>
      </c>
      <c r="AI21" s="412"/>
      <c r="AJ21" s="105">
        <v>17</v>
      </c>
      <c r="AK21" s="175">
        <v>1236.7741935483853</v>
      </c>
      <c r="AL21" s="202">
        <v>72.751423149905008</v>
      </c>
      <c r="AM21" s="105">
        <f t="shared" ref="AM21:AM35" si="15">RANK(AL21, AL$7:AL$36)</f>
        <v>17</v>
      </c>
      <c r="AN21" s="412"/>
      <c r="AO21" s="105">
        <v>17</v>
      </c>
      <c r="AP21" s="175">
        <v>1311.9999999999977</v>
      </c>
      <c r="AQ21" s="202">
        <v>77.176470588235162</v>
      </c>
      <c r="AR21" s="105">
        <f t="shared" ref="AR21:AR35" si="16">RANK(AQ21, AQ$7:AQ$36)</f>
        <v>9</v>
      </c>
      <c r="AS21" s="412"/>
      <c r="AT21" s="105">
        <v>17</v>
      </c>
      <c r="AU21" s="175">
        <v>1247.2727272727257</v>
      </c>
      <c r="AV21" s="202">
        <v>73.368983957219157</v>
      </c>
      <c r="AW21" s="105">
        <f t="shared" ref="AW21:AW35" si="17">RANK(AV21, AV$7:AV$36)</f>
        <v>15</v>
      </c>
      <c r="AX21" s="412"/>
    </row>
    <row r="22" spans="2:50">
      <c r="B22" s="398"/>
      <c r="C22" s="105">
        <v>16</v>
      </c>
      <c r="D22" s="228" t="s">
        <v>273</v>
      </c>
      <c r="E22" s="175">
        <v>16</v>
      </c>
      <c r="F22" s="105">
        <v>1500</v>
      </c>
      <c r="G22" s="202">
        <v>93.75</v>
      </c>
      <c r="H22" s="385"/>
      <c r="I22" s="175">
        <f t="shared" si="8"/>
        <v>16</v>
      </c>
      <c r="J22" s="175">
        <f t="shared" si="9"/>
        <v>1278.3267229190685</v>
      </c>
      <c r="K22" s="202">
        <f t="shared" si="10"/>
        <v>79.895420182441782</v>
      </c>
      <c r="L22" s="385"/>
      <c r="M22" s="175">
        <f>RANK(K22, K$7:$K$36)</f>
        <v>5</v>
      </c>
      <c r="N22" s="387"/>
      <c r="O22" s="387"/>
      <c r="P22" s="105"/>
      <c r="Q22" s="105"/>
      <c r="R22" s="105"/>
      <c r="S22" s="105" t="e">
        <f t="shared" si="11"/>
        <v>#N/A</v>
      </c>
      <c r="T22" s="412"/>
      <c r="U22" s="105"/>
      <c r="V22" s="105"/>
      <c r="W22" s="105"/>
      <c r="X22" s="105" t="e">
        <f t="shared" si="12"/>
        <v>#N/A</v>
      </c>
      <c r="Y22" s="412"/>
      <c r="Z22" s="105"/>
      <c r="AA22" s="105"/>
      <c r="AB22" s="105"/>
      <c r="AC22" s="105" t="e">
        <f t="shared" si="13"/>
        <v>#N/A</v>
      </c>
      <c r="AD22" s="412"/>
      <c r="AE22" s="175">
        <v>16</v>
      </c>
      <c r="AF22" s="175">
        <v>1278.4615384615392</v>
      </c>
      <c r="AG22" s="202">
        <v>79.903846153846203</v>
      </c>
      <c r="AH22" s="105">
        <f t="shared" si="14"/>
        <v>7</v>
      </c>
      <c r="AI22" s="412"/>
      <c r="AJ22" s="105">
        <v>16</v>
      </c>
      <c r="AK22" s="175">
        <v>1289.4736842105274</v>
      </c>
      <c r="AL22" s="202">
        <v>80.592105263157961</v>
      </c>
      <c r="AM22" s="105">
        <f t="shared" si="15"/>
        <v>6</v>
      </c>
      <c r="AN22" s="412"/>
      <c r="AO22" s="105">
        <v>16</v>
      </c>
      <c r="AP22" s="175">
        <v>1295.8064516129043</v>
      </c>
      <c r="AQ22" s="202">
        <v>80.987903225806519</v>
      </c>
      <c r="AR22" s="105">
        <f t="shared" si="16"/>
        <v>5</v>
      </c>
      <c r="AS22" s="412"/>
      <c r="AT22" s="105">
        <v>16</v>
      </c>
      <c r="AU22" s="175">
        <v>1249.5652173913031</v>
      </c>
      <c r="AV22" s="202">
        <v>78.097826086956445</v>
      </c>
      <c r="AW22" s="105">
        <f t="shared" si="17"/>
        <v>8</v>
      </c>
      <c r="AX22" s="412"/>
    </row>
    <row r="23" spans="2:50">
      <c r="B23" s="398"/>
      <c r="C23" s="105">
        <v>17</v>
      </c>
      <c r="D23" s="228" t="s">
        <v>274</v>
      </c>
      <c r="E23" s="175">
        <v>16</v>
      </c>
      <c r="F23" s="105">
        <v>1565</v>
      </c>
      <c r="G23" s="202">
        <v>97.8125</v>
      </c>
      <c r="H23" s="385"/>
      <c r="I23" s="175">
        <f t="shared" si="8"/>
        <v>16</v>
      </c>
      <c r="J23" s="175">
        <f t="shared" si="9"/>
        <v>1280.227493606139</v>
      </c>
      <c r="K23" s="202">
        <f t="shared" si="10"/>
        <v>80.014218350383686</v>
      </c>
      <c r="L23" s="385"/>
      <c r="M23" s="175">
        <f>RANK(K23, K$7:$K$36)</f>
        <v>4</v>
      </c>
      <c r="N23" s="387"/>
      <c r="O23" s="387"/>
      <c r="P23" s="105"/>
      <c r="Q23" s="105"/>
      <c r="R23" s="105"/>
      <c r="S23" s="105" t="e">
        <f t="shared" si="11"/>
        <v>#N/A</v>
      </c>
      <c r="T23" s="412"/>
      <c r="U23" s="105"/>
      <c r="V23" s="105"/>
      <c r="W23" s="105"/>
      <c r="X23" s="105" t="e">
        <f t="shared" si="12"/>
        <v>#N/A</v>
      </c>
      <c r="Y23" s="412"/>
      <c r="Z23" s="105"/>
      <c r="AA23" s="105"/>
      <c r="AB23" s="105"/>
      <c r="AC23" s="105" t="e">
        <f t="shared" si="13"/>
        <v>#N/A</v>
      </c>
      <c r="AD23" s="412"/>
      <c r="AE23" s="175">
        <v>16</v>
      </c>
      <c r="AF23" s="175">
        <v>1316.5217391304334</v>
      </c>
      <c r="AG23" s="202">
        <v>82.282608695652087</v>
      </c>
      <c r="AH23" s="105">
        <f t="shared" si="14"/>
        <v>5</v>
      </c>
      <c r="AI23" s="412"/>
      <c r="AJ23" s="105">
        <v>16</v>
      </c>
      <c r="AK23" s="175">
        <v>1265.9999999999995</v>
      </c>
      <c r="AL23" s="202">
        <v>79.124999999999972</v>
      </c>
      <c r="AM23" s="105">
        <f t="shared" si="15"/>
        <v>9</v>
      </c>
      <c r="AN23" s="412"/>
      <c r="AO23" s="105">
        <v>16</v>
      </c>
      <c r="AP23" s="175">
        <v>1237.8000000000045</v>
      </c>
      <c r="AQ23" s="202">
        <v>77.362500000000281</v>
      </c>
      <c r="AR23" s="105">
        <f t="shared" si="16"/>
        <v>8</v>
      </c>
      <c r="AS23" s="412"/>
      <c r="AT23" s="105">
        <v>16</v>
      </c>
      <c r="AU23" s="175">
        <v>1300.5882352941182</v>
      </c>
      <c r="AV23" s="202">
        <v>81.286764705882391</v>
      </c>
      <c r="AW23" s="105">
        <f t="shared" si="17"/>
        <v>5</v>
      </c>
      <c r="AX23" s="412"/>
    </row>
    <row r="24" spans="2:50">
      <c r="B24" s="398"/>
      <c r="C24" s="105">
        <v>18</v>
      </c>
      <c r="D24" s="228" t="s">
        <v>275</v>
      </c>
      <c r="E24" s="175">
        <v>17</v>
      </c>
      <c r="F24" s="105">
        <v>1500</v>
      </c>
      <c r="G24" s="202">
        <v>88.235294117647058</v>
      </c>
      <c r="H24" s="385"/>
      <c r="I24" s="175">
        <f t="shared" si="8"/>
        <v>17</v>
      </c>
      <c r="J24" s="175">
        <f t="shared" si="9"/>
        <v>1268.727150897882</v>
      </c>
      <c r="K24" s="202">
        <f t="shared" si="10"/>
        <v>74.631008876345987</v>
      </c>
      <c r="L24" s="385"/>
      <c r="M24" s="175">
        <f>RANK(K24, K$7:$K$36)</f>
        <v>13</v>
      </c>
      <c r="N24" s="387"/>
      <c r="O24" s="387"/>
      <c r="P24" s="105"/>
      <c r="Q24" s="105"/>
      <c r="R24" s="105"/>
      <c r="S24" s="105" t="e">
        <f t="shared" si="11"/>
        <v>#N/A</v>
      </c>
      <c r="T24" s="412"/>
      <c r="U24" s="105"/>
      <c r="V24" s="105"/>
      <c r="W24" s="105"/>
      <c r="X24" s="105" t="e">
        <f t="shared" si="12"/>
        <v>#N/A</v>
      </c>
      <c r="Y24" s="412"/>
      <c r="Z24" s="105"/>
      <c r="AA24" s="105"/>
      <c r="AB24" s="105"/>
      <c r="AC24" s="105" t="e">
        <f t="shared" si="13"/>
        <v>#N/A</v>
      </c>
      <c r="AD24" s="412"/>
      <c r="AE24" s="175">
        <v>17</v>
      </c>
      <c r="AF24" s="175">
        <v>1258.2857142857131</v>
      </c>
      <c r="AG24" s="202">
        <v>74.016806722689012</v>
      </c>
      <c r="AH24" s="105">
        <f t="shared" si="14"/>
        <v>15</v>
      </c>
      <c r="AI24" s="412"/>
      <c r="AJ24" s="105">
        <v>17</v>
      </c>
      <c r="AK24" s="175">
        <v>1290.76923076923</v>
      </c>
      <c r="AL24" s="202">
        <v>75.927601809954709</v>
      </c>
      <c r="AM24" s="105">
        <f t="shared" si="15"/>
        <v>11</v>
      </c>
      <c r="AN24" s="412"/>
      <c r="AO24" s="105">
        <v>17</v>
      </c>
      <c r="AP24" s="175">
        <v>1243.9024390243897</v>
      </c>
      <c r="AQ24" s="202">
        <v>73.170731707317032</v>
      </c>
      <c r="AR24" s="105">
        <f t="shared" si="16"/>
        <v>16</v>
      </c>
      <c r="AS24" s="412"/>
      <c r="AT24" s="105">
        <v>17</v>
      </c>
      <c r="AU24" s="175">
        <v>1281.9512195121947</v>
      </c>
      <c r="AV24" s="202">
        <v>75.408895265423212</v>
      </c>
      <c r="AW24" s="105">
        <f t="shared" si="17"/>
        <v>12</v>
      </c>
      <c r="AX24" s="412"/>
    </row>
    <row r="25" spans="2:50">
      <c r="B25" s="398"/>
      <c r="C25" s="105">
        <v>19</v>
      </c>
      <c r="D25" s="228" t="s">
        <v>276</v>
      </c>
      <c r="E25" s="175">
        <v>18</v>
      </c>
      <c r="F25" s="105">
        <v>1636</v>
      </c>
      <c r="G25" s="202">
        <v>90.888888888888886</v>
      </c>
      <c r="H25" s="385"/>
      <c r="I25" s="175">
        <f t="shared" si="8"/>
        <v>18</v>
      </c>
      <c r="J25" s="175">
        <f t="shared" si="9"/>
        <v>1091.5525279318374</v>
      </c>
      <c r="K25" s="202">
        <f t="shared" si="10"/>
        <v>60.641807107324297</v>
      </c>
      <c r="L25" s="385"/>
      <c r="M25" s="175">
        <f>RANK(K25, K$7:$K$36)</f>
        <v>23</v>
      </c>
      <c r="N25" s="387"/>
      <c r="O25" s="387"/>
      <c r="P25" s="105"/>
      <c r="Q25" s="105"/>
      <c r="R25" s="105"/>
      <c r="S25" s="105" t="e">
        <f t="shared" si="11"/>
        <v>#N/A</v>
      </c>
      <c r="T25" s="412"/>
      <c r="U25" s="105"/>
      <c r="V25" s="105"/>
      <c r="W25" s="105"/>
      <c r="X25" s="105" t="e">
        <f t="shared" si="12"/>
        <v>#N/A</v>
      </c>
      <c r="Y25" s="412"/>
      <c r="Z25" s="105"/>
      <c r="AA25" s="105"/>
      <c r="AB25" s="105"/>
      <c r="AC25" s="105" t="e">
        <f t="shared" si="13"/>
        <v>#N/A</v>
      </c>
      <c r="AD25" s="412"/>
      <c r="AE25" s="175">
        <v>18</v>
      </c>
      <c r="AF25" s="175">
        <v>1118.1818181818223</v>
      </c>
      <c r="AG25" s="202">
        <v>62.121212121212352</v>
      </c>
      <c r="AH25" s="105">
        <f t="shared" si="14"/>
        <v>24</v>
      </c>
      <c r="AI25" s="412"/>
      <c r="AJ25" s="105">
        <v>18</v>
      </c>
      <c r="AK25" s="175">
        <v>1113.3333333333308</v>
      </c>
      <c r="AL25" s="202">
        <v>61.851851851851706</v>
      </c>
      <c r="AM25" s="105">
        <f t="shared" si="15"/>
        <v>24</v>
      </c>
      <c r="AN25" s="412"/>
      <c r="AO25" s="105">
        <v>18</v>
      </c>
      <c r="AP25" s="175">
        <v>1059.310344827584</v>
      </c>
      <c r="AQ25" s="202">
        <v>58.850574712643557</v>
      </c>
      <c r="AR25" s="105">
        <f t="shared" si="16"/>
        <v>24</v>
      </c>
      <c r="AS25" s="412"/>
      <c r="AT25" s="105">
        <v>18</v>
      </c>
      <c r="AU25" s="175">
        <v>1075.3846153846125</v>
      </c>
      <c r="AV25" s="202">
        <v>59.743589743589581</v>
      </c>
      <c r="AW25" s="105">
        <f t="shared" si="17"/>
        <v>24</v>
      </c>
      <c r="AX25" s="412"/>
    </row>
    <row r="26" spans="2:50">
      <c r="B26" s="398"/>
      <c r="C26" s="105">
        <v>20</v>
      </c>
      <c r="D26" s="228" t="s">
        <v>277</v>
      </c>
      <c r="E26" s="175">
        <v>18</v>
      </c>
      <c r="F26" s="105">
        <v>1500</v>
      </c>
      <c r="G26" s="202">
        <v>83.333333333333329</v>
      </c>
      <c r="H26" s="385"/>
      <c r="I26" s="175">
        <f t="shared" si="8"/>
        <v>17</v>
      </c>
      <c r="J26" s="175">
        <f t="shared" si="9"/>
        <v>1278.1483695652169</v>
      </c>
      <c r="K26" s="202">
        <f t="shared" si="10"/>
        <v>75.185198209718649</v>
      </c>
      <c r="L26" s="385"/>
      <c r="M26" s="175">
        <f>RANK(K26, K$7:$K$36)</f>
        <v>11</v>
      </c>
      <c r="N26" s="387"/>
      <c r="O26" s="387"/>
      <c r="P26" s="105"/>
      <c r="Q26" s="105"/>
      <c r="R26" s="105"/>
      <c r="S26" s="105" t="e">
        <f t="shared" si="11"/>
        <v>#N/A</v>
      </c>
      <c r="T26" s="412"/>
      <c r="U26" s="105"/>
      <c r="V26" s="105"/>
      <c r="W26" s="105"/>
      <c r="X26" s="105" t="e">
        <f t="shared" si="12"/>
        <v>#N/A</v>
      </c>
      <c r="Y26" s="412"/>
      <c r="Z26" s="105"/>
      <c r="AA26" s="105"/>
      <c r="AB26" s="105"/>
      <c r="AC26" s="105" t="e">
        <f t="shared" si="13"/>
        <v>#N/A</v>
      </c>
      <c r="AD26" s="412"/>
      <c r="AE26" s="175">
        <v>17</v>
      </c>
      <c r="AF26" s="175">
        <v>1278.7500000000016</v>
      </c>
      <c r="AG26" s="202">
        <v>75.220588235294215</v>
      </c>
      <c r="AH26" s="105">
        <f t="shared" si="14"/>
        <v>13</v>
      </c>
      <c r="AI26" s="412"/>
      <c r="AJ26" s="105">
        <v>17</v>
      </c>
      <c r="AK26" s="175">
        <v>1304.3478260869554</v>
      </c>
      <c r="AL26" s="202">
        <v>76.726342710997372</v>
      </c>
      <c r="AM26" s="105">
        <f t="shared" si="15"/>
        <v>10</v>
      </c>
      <c r="AN26" s="412"/>
      <c r="AO26" s="105">
        <v>17</v>
      </c>
      <c r="AP26" s="175">
        <v>1268.6956521739116</v>
      </c>
      <c r="AQ26" s="202">
        <v>74.629156010230091</v>
      </c>
      <c r="AR26" s="105">
        <f t="shared" si="16"/>
        <v>14</v>
      </c>
      <c r="AS26" s="412"/>
      <c r="AT26" s="105">
        <v>17</v>
      </c>
      <c r="AU26" s="175">
        <v>1260.799999999999</v>
      </c>
      <c r="AV26" s="202">
        <v>74.164705882352891</v>
      </c>
      <c r="AW26" s="105">
        <f t="shared" si="17"/>
        <v>14</v>
      </c>
      <c r="AX26" s="412"/>
    </row>
    <row r="27" spans="2:50">
      <c r="B27" s="398"/>
      <c r="C27" s="105">
        <v>21</v>
      </c>
      <c r="D27" s="228" t="s">
        <v>278</v>
      </c>
      <c r="E27" s="175">
        <v>18</v>
      </c>
      <c r="F27" s="105">
        <v>1440</v>
      </c>
      <c r="G27" s="202">
        <v>80</v>
      </c>
      <c r="H27" s="385"/>
      <c r="I27" s="175">
        <f t="shared" si="8"/>
        <v>18</v>
      </c>
      <c r="J27" s="175">
        <f t="shared" si="9"/>
        <v>1343.2744200630004</v>
      </c>
      <c r="K27" s="202">
        <f t="shared" si="10"/>
        <v>74.6263566701667</v>
      </c>
      <c r="L27" s="385"/>
      <c r="M27" s="175">
        <f>RANK(K27, K$7:$K$36)</f>
        <v>14</v>
      </c>
      <c r="N27" s="387"/>
      <c r="O27" s="387"/>
      <c r="P27" s="105"/>
      <c r="Q27" s="105"/>
      <c r="R27" s="105"/>
      <c r="S27" s="105" t="e">
        <f t="shared" si="11"/>
        <v>#N/A</v>
      </c>
      <c r="T27" s="412"/>
      <c r="U27" s="105"/>
      <c r="V27" s="105"/>
      <c r="W27" s="105"/>
      <c r="X27" s="105" t="e">
        <f t="shared" si="12"/>
        <v>#N/A</v>
      </c>
      <c r="Y27" s="412"/>
      <c r="Z27" s="105"/>
      <c r="AA27" s="105"/>
      <c r="AB27" s="105"/>
      <c r="AC27" s="105" t="e">
        <f t="shared" si="13"/>
        <v>#N/A</v>
      </c>
      <c r="AD27" s="412"/>
      <c r="AE27" s="175">
        <v>18</v>
      </c>
      <c r="AF27" s="175">
        <v>1359.2307692307686</v>
      </c>
      <c r="AG27" s="202">
        <v>75.512820512820483</v>
      </c>
      <c r="AH27" s="105">
        <f t="shared" si="14"/>
        <v>12</v>
      </c>
      <c r="AI27" s="412"/>
      <c r="AJ27" s="105">
        <v>18</v>
      </c>
      <c r="AK27" s="175">
        <v>1317.2093023255811</v>
      </c>
      <c r="AL27" s="202">
        <v>73.178294573643399</v>
      </c>
      <c r="AM27" s="105">
        <f t="shared" si="15"/>
        <v>15</v>
      </c>
      <c r="AN27" s="412"/>
      <c r="AO27" s="105">
        <v>18</v>
      </c>
      <c r="AP27" s="175">
        <v>1359.7826086956522</v>
      </c>
      <c r="AQ27" s="202">
        <v>75.543478260869563</v>
      </c>
      <c r="AR27" s="105">
        <f t="shared" si="16"/>
        <v>13</v>
      </c>
      <c r="AS27" s="412"/>
      <c r="AT27" s="105">
        <v>18</v>
      </c>
      <c r="AU27" s="175">
        <v>1336.8750000000005</v>
      </c>
      <c r="AV27" s="202">
        <v>74.270833333333357</v>
      </c>
      <c r="AW27" s="105">
        <f t="shared" si="17"/>
        <v>13</v>
      </c>
      <c r="AX27" s="412"/>
    </row>
    <row r="28" spans="2:50">
      <c r="B28" s="398"/>
      <c r="C28" s="105">
        <v>22</v>
      </c>
      <c r="D28" s="228" t="s">
        <v>279</v>
      </c>
      <c r="E28" s="175">
        <v>15</v>
      </c>
      <c r="F28" s="105">
        <v>1440</v>
      </c>
      <c r="G28" s="202">
        <v>96</v>
      </c>
      <c r="H28" s="385"/>
      <c r="I28" s="175">
        <f t="shared" si="8"/>
        <v>15</v>
      </c>
      <c r="J28" s="175">
        <f t="shared" si="9"/>
        <v>1294.150174584096</v>
      </c>
      <c r="K28" s="202">
        <f t="shared" si="10"/>
        <v>86.27667830560641</v>
      </c>
      <c r="L28" s="385"/>
      <c r="M28" s="175">
        <f>RANK(K28, K$7:$K$36)</f>
        <v>3</v>
      </c>
      <c r="N28" s="387"/>
      <c r="O28" s="387"/>
      <c r="P28" s="105"/>
      <c r="Q28" s="105"/>
      <c r="R28" s="105"/>
      <c r="S28" s="105" t="e">
        <f t="shared" si="11"/>
        <v>#N/A</v>
      </c>
      <c r="T28" s="412"/>
      <c r="U28" s="105"/>
      <c r="V28" s="105"/>
      <c r="W28" s="105"/>
      <c r="X28" s="105" t="e">
        <f t="shared" si="12"/>
        <v>#N/A</v>
      </c>
      <c r="Y28" s="412"/>
      <c r="Z28" s="105"/>
      <c r="AA28" s="105"/>
      <c r="AB28" s="105"/>
      <c r="AC28" s="105" t="e">
        <f t="shared" si="13"/>
        <v>#N/A</v>
      </c>
      <c r="AD28" s="412"/>
      <c r="AE28" s="175">
        <v>15</v>
      </c>
      <c r="AF28" s="175">
        <v>1259.0625000000016</v>
      </c>
      <c r="AG28" s="202">
        <v>83.937500000000099</v>
      </c>
      <c r="AH28" s="105">
        <f t="shared" si="14"/>
        <v>4</v>
      </c>
      <c r="AI28" s="412"/>
      <c r="AJ28" s="105">
        <v>15</v>
      </c>
      <c r="AK28" s="175">
        <v>1306.3636363636376</v>
      </c>
      <c r="AL28" s="202">
        <v>87.090909090909179</v>
      </c>
      <c r="AM28" s="105">
        <f t="shared" si="15"/>
        <v>4</v>
      </c>
      <c r="AN28" s="412"/>
      <c r="AO28" s="105">
        <v>15</v>
      </c>
      <c r="AP28" s="175">
        <v>1315.5223880597032</v>
      </c>
      <c r="AQ28" s="202">
        <v>87.701492537313541</v>
      </c>
      <c r="AR28" s="105">
        <f t="shared" si="16"/>
        <v>4</v>
      </c>
      <c r="AS28" s="412"/>
      <c r="AT28" s="105">
        <v>15</v>
      </c>
      <c r="AU28" s="175">
        <v>1295.6521739130421</v>
      </c>
      <c r="AV28" s="202">
        <v>86.376811594202806</v>
      </c>
      <c r="AW28" s="105">
        <f t="shared" si="17"/>
        <v>4</v>
      </c>
      <c r="AX28" s="412"/>
    </row>
    <row r="29" spans="2:50">
      <c r="B29" s="398"/>
      <c r="C29" s="105">
        <v>23</v>
      </c>
      <c r="D29" s="228" t="s">
        <v>280</v>
      </c>
      <c r="E29" s="175">
        <v>17</v>
      </c>
      <c r="F29" s="105">
        <v>1440</v>
      </c>
      <c r="G29" s="202">
        <v>84.705882352941174</v>
      </c>
      <c r="H29" s="385"/>
      <c r="I29" s="175">
        <f t="shared" si="8"/>
        <v>17</v>
      </c>
      <c r="J29" s="175">
        <f t="shared" si="9"/>
        <v>1344.6345919726716</v>
      </c>
      <c r="K29" s="202">
        <f t="shared" si="10"/>
        <v>79.096152468980691</v>
      </c>
      <c r="L29" s="385"/>
      <c r="M29" s="175">
        <f>RANK(K29, K$7:$K$36)</f>
        <v>7</v>
      </c>
      <c r="N29" s="387"/>
      <c r="O29" s="387"/>
      <c r="P29" s="105"/>
      <c r="Q29" s="105"/>
      <c r="R29" s="105"/>
      <c r="S29" s="105" t="e">
        <f t="shared" si="11"/>
        <v>#N/A</v>
      </c>
      <c r="T29" s="412"/>
      <c r="U29" s="105"/>
      <c r="V29" s="105"/>
      <c r="W29" s="105"/>
      <c r="X29" s="105" t="e">
        <f t="shared" si="12"/>
        <v>#N/A</v>
      </c>
      <c r="Y29" s="412"/>
      <c r="Z29" s="105"/>
      <c r="AA29" s="105"/>
      <c r="AB29" s="105"/>
      <c r="AC29" s="105" t="e">
        <f t="shared" si="13"/>
        <v>#N/A</v>
      </c>
      <c r="AD29" s="412"/>
      <c r="AE29" s="175">
        <v>17</v>
      </c>
      <c r="AF29" s="175">
        <v>1335.4455445544561</v>
      </c>
      <c r="AG29" s="202">
        <v>78.555620267909177</v>
      </c>
      <c r="AH29" s="105">
        <f t="shared" si="14"/>
        <v>9</v>
      </c>
      <c r="AI29" s="412"/>
      <c r="AJ29" s="105">
        <v>17</v>
      </c>
      <c r="AK29" s="175">
        <v>1368.8235294117653</v>
      </c>
      <c r="AL29" s="202">
        <v>80.519031141868552</v>
      </c>
      <c r="AM29" s="105">
        <f t="shared" si="15"/>
        <v>7</v>
      </c>
      <c r="AN29" s="412"/>
      <c r="AO29" s="105">
        <v>17</v>
      </c>
      <c r="AP29" s="175">
        <v>1343.7931034482751</v>
      </c>
      <c r="AQ29" s="202">
        <v>79.04665314401619</v>
      </c>
      <c r="AR29" s="105">
        <f t="shared" si="16"/>
        <v>6</v>
      </c>
      <c r="AS29" s="412"/>
      <c r="AT29" s="105">
        <v>17</v>
      </c>
      <c r="AU29" s="175">
        <v>1330.4761904761901</v>
      </c>
      <c r="AV29" s="202">
        <v>78.263305322128829</v>
      </c>
      <c r="AW29" s="105">
        <f t="shared" si="17"/>
        <v>7</v>
      </c>
      <c r="AX29" s="412"/>
    </row>
    <row r="30" spans="2:50">
      <c r="B30" s="398"/>
      <c r="C30" s="105">
        <v>24</v>
      </c>
      <c r="D30" s="228" t="s">
        <v>281</v>
      </c>
      <c r="E30" s="175">
        <v>16</v>
      </c>
      <c r="F30" s="105">
        <v>1500</v>
      </c>
      <c r="G30" s="202">
        <v>93.75</v>
      </c>
      <c r="H30" s="385"/>
      <c r="I30" s="175">
        <f t="shared" si="8"/>
        <v>16</v>
      </c>
      <c r="J30" s="175">
        <f t="shared" si="9"/>
        <v>1081.9188596491267</v>
      </c>
      <c r="K30" s="202">
        <f t="shared" si="10"/>
        <v>67.61992872807042</v>
      </c>
      <c r="L30" s="385"/>
      <c r="M30" s="175">
        <f>RANK(K30, K$7:$K$36)</f>
        <v>20</v>
      </c>
      <c r="N30" s="387"/>
      <c r="O30" s="387"/>
      <c r="P30" s="105"/>
      <c r="Q30" s="105"/>
      <c r="R30" s="105"/>
      <c r="S30" s="105" t="e">
        <f t="shared" si="11"/>
        <v>#N/A</v>
      </c>
      <c r="T30" s="412"/>
      <c r="U30" s="105"/>
      <c r="V30" s="105"/>
      <c r="W30" s="105"/>
      <c r="X30" s="105" t="e">
        <f t="shared" si="12"/>
        <v>#N/A</v>
      </c>
      <c r="Y30" s="412"/>
      <c r="Z30" s="105"/>
      <c r="AA30" s="105"/>
      <c r="AB30" s="105"/>
      <c r="AC30" s="105" t="e">
        <f t="shared" si="13"/>
        <v>#N/A</v>
      </c>
      <c r="AD30" s="412"/>
      <c r="AE30" s="175">
        <v>16</v>
      </c>
      <c r="AF30" s="175">
        <v>1087.5000000000039</v>
      </c>
      <c r="AG30" s="202">
        <v>67.968750000000242</v>
      </c>
      <c r="AH30" s="105">
        <f t="shared" si="14"/>
        <v>20</v>
      </c>
      <c r="AI30" s="412"/>
      <c r="AJ30" s="105">
        <v>16</v>
      </c>
      <c r="AK30" s="175">
        <v>1095.7894736842145</v>
      </c>
      <c r="AL30" s="202">
        <v>68.486842105263406</v>
      </c>
      <c r="AM30" s="105">
        <f t="shared" si="15"/>
        <v>19</v>
      </c>
      <c r="AN30" s="412"/>
      <c r="AO30" s="105">
        <v>16</v>
      </c>
      <c r="AP30" s="175">
        <v>1061.0526315789512</v>
      </c>
      <c r="AQ30" s="202">
        <v>66.315789473684447</v>
      </c>
      <c r="AR30" s="105">
        <f t="shared" si="16"/>
        <v>22</v>
      </c>
      <c r="AS30" s="412"/>
      <c r="AT30" s="105">
        <v>16</v>
      </c>
      <c r="AU30" s="175">
        <v>1083.3333333333374</v>
      </c>
      <c r="AV30" s="202">
        <v>67.708333333333584</v>
      </c>
      <c r="AW30" s="105">
        <f t="shared" si="17"/>
        <v>21</v>
      </c>
      <c r="AX30" s="412"/>
    </row>
    <row r="31" spans="2:50">
      <c r="B31" s="398"/>
      <c r="C31" s="105">
        <v>25</v>
      </c>
      <c r="D31" s="228" t="s">
        <v>282</v>
      </c>
      <c r="E31" s="175">
        <v>18</v>
      </c>
      <c r="F31" s="105">
        <v>1440</v>
      </c>
      <c r="G31" s="202">
        <v>80</v>
      </c>
      <c r="H31" s="385"/>
      <c r="I31" s="175">
        <f t="shared" si="8"/>
        <v>18</v>
      </c>
      <c r="J31" s="175">
        <f t="shared" si="9"/>
        <v>1297.9979474548438</v>
      </c>
      <c r="K31" s="202">
        <f t="shared" si="10"/>
        <v>72.11099708082466</v>
      </c>
      <c r="L31" s="385"/>
      <c r="M31" s="175">
        <f>RANK(K31, K$7:$K$36)</f>
        <v>16</v>
      </c>
      <c r="N31" s="387"/>
      <c r="O31" s="387"/>
      <c r="P31" s="105"/>
      <c r="Q31" s="105"/>
      <c r="R31" s="105"/>
      <c r="S31" s="105" t="e">
        <f t="shared" si="11"/>
        <v>#N/A</v>
      </c>
      <c r="T31" s="412"/>
      <c r="U31" s="105"/>
      <c r="V31" s="105"/>
      <c r="W31" s="105"/>
      <c r="X31" s="105" t="e">
        <f t="shared" si="12"/>
        <v>#N/A</v>
      </c>
      <c r="Y31" s="412"/>
      <c r="Z31" s="105"/>
      <c r="AA31" s="105"/>
      <c r="AB31" s="105"/>
      <c r="AC31" s="105" t="e">
        <f t="shared" si="13"/>
        <v>#N/A</v>
      </c>
      <c r="AD31" s="412"/>
      <c r="AE31" s="175">
        <v>18</v>
      </c>
      <c r="AF31" s="175">
        <v>1271.8965517241372</v>
      </c>
      <c r="AG31" s="202">
        <v>70.660919540229841</v>
      </c>
      <c r="AH31" s="105">
        <f t="shared" si="14"/>
        <v>18</v>
      </c>
      <c r="AI31" s="412"/>
      <c r="AJ31" s="105">
        <v>18</v>
      </c>
      <c r="AK31" s="175">
        <v>1308.0952380952378</v>
      </c>
      <c r="AL31" s="202">
        <v>72.671957671957657</v>
      </c>
      <c r="AM31" s="105">
        <f t="shared" si="15"/>
        <v>18</v>
      </c>
      <c r="AN31" s="412"/>
      <c r="AO31" s="105">
        <v>18</v>
      </c>
      <c r="AP31" s="175">
        <v>1297.3333333333335</v>
      </c>
      <c r="AQ31" s="202">
        <v>72.074074074074076</v>
      </c>
      <c r="AR31" s="105">
        <f t="shared" si="16"/>
        <v>17</v>
      </c>
      <c r="AS31" s="412"/>
      <c r="AT31" s="105">
        <v>18</v>
      </c>
      <c r="AU31" s="175">
        <v>1314.6666666666667</v>
      </c>
      <c r="AV31" s="202">
        <v>73.037037037037038</v>
      </c>
      <c r="AW31" s="105">
        <f t="shared" si="17"/>
        <v>16</v>
      </c>
      <c r="AX31" s="412"/>
    </row>
    <row r="32" spans="2:50">
      <c r="B32" s="398"/>
      <c r="C32" s="105">
        <v>26</v>
      </c>
      <c r="D32" s="228" t="s">
        <v>283</v>
      </c>
      <c r="E32" s="175">
        <v>8</v>
      </c>
      <c r="F32" s="105">
        <v>1600</v>
      </c>
      <c r="G32" s="202">
        <v>200</v>
      </c>
      <c r="H32" s="385"/>
      <c r="I32" s="175"/>
      <c r="J32" s="175"/>
      <c r="K32" s="202"/>
      <c r="L32" s="385"/>
      <c r="M32" s="175" t="e">
        <f>RANK(K32, K$7:$K$36)</f>
        <v>#N/A</v>
      </c>
      <c r="N32" s="387"/>
      <c r="O32" s="387"/>
      <c r="P32" s="105"/>
      <c r="Q32" s="105"/>
      <c r="R32" s="105"/>
      <c r="S32" s="105" t="e">
        <f t="shared" si="11"/>
        <v>#N/A</v>
      </c>
      <c r="T32" s="412"/>
      <c r="U32" s="105"/>
      <c r="V32" s="105"/>
      <c r="W32" s="105"/>
      <c r="X32" s="105" t="e">
        <f t="shared" si="12"/>
        <v>#N/A</v>
      </c>
      <c r="Y32" s="412"/>
      <c r="Z32" s="105"/>
      <c r="AA32" s="105"/>
      <c r="AB32" s="105"/>
      <c r="AC32" s="105" t="e">
        <f t="shared" si="13"/>
        <v>#N/A</v>
      </c>
      <c r="AD32" s="412"/>
      <c r="AE32" s="175">
        <v>8</v>
      </c>
      <c r="AF32" s="175">
        <v>1492.4999999999995</v>
      </c>
      <c r="AG32" s="202">
        <v>186.56249999999994</v>
      </c>
      <c r="AH32" s="105">
        <f t="shared" si="14"/>
        <v>2</v>
      </c>
      <c r="AI32" s="412"/>
      <c r="AJ32" s="105">
        <v>8</v>
      </c>
      <c r="AK32" s="175">
        <v>1456.9090909090908</v>
      </c>
      <c r="AL32" s="202">
        <v>182.11363636363635</v>
      </c>
      <c r="AM32" s="105">
        <f t="shared" si="15"/>
        <v>2</v>
      </c>
      <c r="AN32" s="412"/>
      <c r="AO32" s="105">
        <v>8</v>
      </c>
      <c r="AP32" s="175">
        <v>1469.7391304347827</v>
      </c>
      <c r="AQ32" s="202">
        <v>183.71739130434784</v>
      </c>
      <c r="AR32" s="105">
        <f t="shared" si="16"/>
        <v>3</v>
      </c>
      <c r="AS32" s="412"/>
      <c r="AT32" s="105">
        <v>8</v>
      </c>
      <c r="AU32" s="175">
        <v>1490.5555555555552</v>
      </c>
      <c r="AV32" s="202">
        <v>186.3194444444444</v>
      </c>
      <c r="AW32" s="105">
        <f t="shared" si="17"/>
        <v>3</v>
      </c>
      <c r="AX32" s="412"/>
    </row>
    <row r="33" spans="2:50">
      <c r="B33" s="398"/>
      <c r="C33" s="105">
        <v>27</v>
      </c>
      <c r="D33" s="228"/>
      <c r="E33" s="175">
        <f>IFERROR(VLOOKUP($D33,[2]晉欣4度C0801!$D$5:$AD$9999,7,0),"")</f>
        <v>0</v>
      </c>
      <c r="F33" s="105">
        <f>IFERROR(VLOOKUP($D33,[2]晉欣4度C0801!$D$5:$AD$9999,8,0),"")</f>
        <v>0</v>
      </c>
      <c r="G33" s="202">
        <f>IFERROR(VLOOKUP($D33,[2]晉欣4度C0801!$D$5:$AD$9999,9,0),"")</f>
        <v>0</v>
      </c>
      <c r="H33" s="385"/>
      <c r="I33" s="175"/>
      <c r="J33" s="175"/>
      <c r="K33" s="202"/>
      <c r="L33" s="385"/>
      <c r="M33" s="175" t="e">
        <f>RANK(K33, K$7:$K$36)</f>
        <v>#N/A</v>
      </c>
      <c r="N33" s="387"/>
      <c r="O33" s="387"/>
      <c r="P33" s="105"/>
      <c r="Q33" s="105"/>
      <c r="R33" s="105"/>
      <c r="S33" s="105" t="e">
        <f t="shared" si="11"/>
        <v>#N/A</v>
      </c>
      <c r="T33" s="412"/>
      <c r="U33" s="105"/>
      <c r="V33" s="105"/>
      <c r="W33" s="105"/>
      <c r="X33" s="105" t="e">
        <f t="shared" si="12"/>
        <v>#N/A</v>
      </c>
      <c r="Y33" s="412"/>
      <c r="Z33" s="105"/>
      <c r="AA33" s="105"/>
      <c r="AB33" s="105"/>
      <c r="AC33" s="105" t="e">
        <f t="shared" si="13"/>
        <v>#N/A</v>
      </c>
      <c r="AD33" s="412"/>
      <c r="AE33" s="105"/>
      <c r="AF33" s="105"/>
      <c r="AG33" s="105"/>
      <c r="AH33" s="105" t="e">
        <f t="shared" si="14"/>
        <v>#N/A</v>
      </c>
      <c r="AI33" s="412"/>
      <c r="AJ33" s="105"/>
      <c r="AK33" s="175"/>
      <c r="AL33" s="202"/>
      <c r="AM33" s="105" t="e">
        <f t="shared" si="15"/>
        <v>#N/A</v>
      </c>
      <c r="AN33" s="412"/>
      <c r="AO33" s="105"/>
      <c r="AP33" s="175"/>
      <c r="AQ33" s="202"/>
      <c r="AR33" s="105" t="e">
        <f t="shared" si="16"/>
        <v>#N/A</v>
      </c>
      <c r="AS33" s="412"/>
      <c r="AT33" s="105"/>
      <c r="AU33" s="175"/>
      <c r="AV33" s="202"/>
      <c r="AW33" s="105" t="e">
        <f t="shared" si="17"/>
        <v>#N/A</v>
      </c>
      <c r="AX33" s="412"/>
    </row>
    <row r="34" spans="2:50">
      <c r="B34" s="398"/>
      <c r="C34" s="105">
        <v>28</v>
      </c>
      <c r="D34" s="228"/>
      <c r="E34" s="175">
        <f>IFERROR(VLOOKUP($D34,[2]晉欣4度C0801!$D$5:$AD$9999,7,0),"")</f>
        <v>0</v>
      </c>
      <c r="F34" s="105">
        <f>IFERROR(VLOOKUP($D34,[2]晉欣4度C0801!$D$5:$AD$9999,8,0),"")</f>
        <v>0</v>
      </c>
      <c r="G34" s="202">
        <f>IFERROR(VLOOKUP($D34,[2]晉欣4度C0801!$D$5:$AD$9999,9,0),"")</f>
        <v>0</v>
      </c>
      <c r="H34" s="385"/>
      <c r="I34" s="175"/>
      <c r="J34" s="175"/>
      <c r="K34" s="202"/>
      <c r="L34" s="385"/>
      <c r="M34" s="175" t="e">
        <f>RANK(K34, K$7:$K$36)</f>
        <v>#N/A</v>
      </c>
      <c r="N34" s="387"/>
      <c r="O34" s="387"/>
      <c r="P34" s="105"/>
      <c r="Q34" s="105"/>
      <c r="R34" s="105"/>
      <c r="S34" s="105" t="e">
        <f t="shared" si="11"/>
        <v>#N/A</v>
      </c>
      <c r="T34" s="412"/>
      <c r="U34" s="105"/>
      <c r="V34" s="105"/>
      <c r="W34" s="105"/>
      <c r="X34" s="105" t="e">
        <f t="shared" si="12"/>
        <v>#N/A</v>
      </c>
      <c r="Y34" s="412"/>
      <c r="Z34" s="105"/>
      <c r="AA34" s="105"/>
      <c r="AB34" s="105"/>
      <c r="AC34" s="105" t="e">
        <f t="shared" si="13"/>
        <v>#N/A</v>
      </c>
      <c r="AD34" s="412"/>
      <c r="AE34" s="105"/>
      <c r="AF34" s="105"/>
      <c r="AG34" s="105"/>
      <c r="AH34" s="105" t="e">
        <f t="shared" si="14"/>
        <v>#N/A</v>
      </c>
      <c r="AI34" s="412"/>
      <c r="AJ34" s="105"/>
      <c r="AK34" s="175"/>
      <c r="AL34" s="202"/>
      <c r="AM34" s="105" t="e">
        <f t="shared" si="15"/>
        <v>#N/A</v>
      </c>
      <c r="AN34" s="412"/>
      <c r="AO34" s="105"/>
      <c r="AP34" s="175"/>
      <c r="AQ34" s="202"/>
      <c r="AR34" s="105" t="e">
        <f t="shared" si="16"/>
        <v>#N/A</v>
      </c>
      <c r="AS34" s="412"/>
      <c r="AT34" s="105"/>
      <c r="AU34" s="175"/>
      <c r="AV34" s="202"/>
      <c r="AW34" s="105" t="e">
        <f t="shared" si="17"/>
        <v>#N/A</v>
      </c>
      <c r="AX34" s="412"/>
    </row>
    <row r="35" spans="2:50">
      <c r="B35" s="398"/>
      <c r="C35" s="105">
        <v>29</v>
      </c>
      <c r="D35" s="228"/>
      <c r="E35" s="175">
        <f>IFERROR(VLOOKUP($D35,[2]晉欣4度C0801!$D$5:$AD$9999,7,0),"")</f>
        <v>0</v>
      </c>
      <c r="F35" s="105">
        <f>IFERROR(VLOOKUP($D35,[2]晉欣4度C0801!$D$5:$AD$9999,8,0),"")</f>
        <v>0</v>
      </c>
      <c r="G35" s="202">
        <f>IFERROR(VLOOKUP($D35,[2]晉欣4度C0801!$D$5:$AD$9999,9,0),"")</f>
        <v>0</v>
      </c>
      <c r="H35" s="385"/>
      <c r="I35" s="175"/>
      <c r="J35" s="175"/>
      <c r="K35" s="202"/>
      <c r="L35" s="385"/>
      <c r="M35" s="175" t="e">
        <f>RANK(K35, K$7:$K$36)</f>
        <v>#N/A</v>
      </c>
      <c r="N35" s="387"/>
      <c r="O35" s="387"/>
      <c r="P35" s="105"/>
      <c r="Q35" s="105"/>
      <c r="R35" s="105"/>
      <c r="S35" s="105" t="e">
        <f t="shared" si="11"/>
        <v>#N/A</v>
      </c>
      <c r="T35" s="412"/>
      <c r="U35" s="105"/>
      <c r="V35" s="105"/>
      <c r="W35" s="105"/>
      <c r="X35" s="105" t="e">
        <f t="shared" si="12"/>
        <v>#N/A</v>
      </c>
      <c r="Y35" s="412"/>
      <c r="Z35" s="105"/>
      <c r="AA35" s="105"/>
      <c r="AB35" s="105"/>
      <c r="AC35" s="105" t="e">
        <f t="shared" si="13"/>
        <v>#N/A</v>
      </c>
      <c r="AD35" s="412"/>
      <c r="AE35" s="105"/>
      <c r="AF35" s="105"/>
      <c r="AG35" s="105"/>
      <c r="AH35" s="105" t="e">
        <f t="shared" si="14"/>
        <v>#N/A</v>
      </c>
      <c r="AI35" s="412"/>
      <c r="AJ35" s="105"/>
      <c r="AK35" s="175"/>
      <c r="AL35" s="202"/>
      <c r="AM35" s="105" t="e">
        <f t="shared" si="15"/>
        <v>#N/A</v>
      </c>
      <c r="AN35" s="412"/>
      <c r="AO35" s="105"/>
      <c r="AP35" s="175"/>
      <c r="AQ35" s="202"/>
      <c r="AR35" s="105" t="e">
        <f t="shared" si="16"/>
        <v>#N/A</v>
      </c>
      <c r="AS35" s="412"/>
      <c r="AT35" s="105"/>
      <c r="AU35" s="175"/>
      <c r="AV35" s="202"/>
      <c r="AW35" s="105" t="e">
        <f t="shared" si="17"/>
        <v>#N/A</v>
      </c>
      <c r="AX35" s="412"/>
    </row>
    <row r="36" spans="2:50">
      <c r="B36" s="398"/>
      <c r="C36" s="105">
        <v>30</v>
      </c>
      <c r="D36" s="228"/>
      <c r="E36" s="175">
        <f>IFERROR(VLOOKUP($D36,[2]晉欣4度C0801!$D$5:$AD$9999,7,0),"")</f>
        <v>0</v>
      </c>
      <c r="F36" s="105">
        <f>IFERROR(VLOOKUP($D36,[2]晉欣4度C0801!$D$5:$AD$9999,8,0),"")</f>
        <v>0</v>
      </c>
      <c r="G36" s="202">
        <f>IFERROR(VLOOKUP($D36,[2]晉欣4度C0801!$D$5:$AD$9999,9,0),"")</f>
        <v>0</v>
      </c>
      <c r="H36" s="386"/>
      <c r="I36" s="175"/>
      <c r="J36" s="175"/>
      <c r="K36" s="202"/>
      <c r="L36" s="386"/>
      <c r="M36" s="175" t="e">
        <f>RANK(K36, K$7:$K$36)</f>
        <v>#N/A</v>
      </c>
      <c r="N36" s="387"/>
      <c r="O36" s="387"/>
      <c r="P36" s="105"/>
      <c r="Q36" s="105"/>
      <c r="R36" s="105"/>
      <c r="S36" s="105" t="e">
        <f t="shared" si="1"/>
        <v>#N/A</v>
      </c>
      <c r="T36" s="412"/>
      <c r="U36" s="105"/>
      <c r="V36" s="105"/>
      <c r="W36" s="105"/>
      <c r="X36" s="105" t="e">
        <f t="shared" si="2"/>
        <v>#N/A</v>
      </c>
      <c r="Y36" s="412"/>
      <c r="Z36" s="105"/>
      <c r="AA36" s="105"/>
      <c r="AB36" s="105"/>
      <c r="AC36" s="105" t="e">
        <f t="shared" si="3"/>
        <v>#N/A</v>
      </c>
      <c r="AD36" s="412"/>
      <c r="AE36" s="105"/>
      <c r="AF36" s="105"/>
      <c r="AG36" s="105"/>
      <c r="AH36" s="105" t="e">
        <f t="shared" si="4"/>
        <v>#N/A</v>
      </c>
      <c r="AI36" s="412"/>
      <c r="AJ36" s="105"/>
      <c r="AK36" s="175"/>
      <c r="AL36" s="202"/>
      <c r="AM36" s="105" t="e">
        <f t="shared" si="5"/>
        <v>#N/A</v>
      </c>
      <c r="AN36" s="412"/>
      <c r="AO36" s="105"/>
      <c r="AP36" s="175"/>
      <c r="AQ36" s="202"/>
      <c r="AR36" s="105" t="e">
        <f t="shared" si="6"/>
        <v>#N/A</v>
      </c>
      <c r="AS36" s="412"/>
      <c r="AT36" s="105"/>
      <c r="AU36" s="175"/>
      <c r="AV36" s="202"/>
      <c r="AW36" s="105" t="e">
        <f t="shared" si="7"/>
        <v>#N/A</v>
      </c>
      <c r="AX36" s="412"/>
    </row>
    <row r="37" spans="2:50" ht="15.75">
      <c r="B37" s="408" t="s">
        <v>195</v>
      </c>
      <c r="C37" s="409"/>
      <c r="D37" s="409"/>
      <c r="E37" s="409"/>
      <c r="F37" s="409"/>
      <c r="G37" s="409"/>
      <c r="H37" s="409"/>
      <c r="I37" s="174"/>
      <c r="J37" s="174"/>
      <c r="K37" s="174"/>
      <c r="L37" s="174"/>
      <c r="M37" s="171"/>
      <c r="N37" s="399" t="s">
        <v>196</v>
      </c>
      <c r="O37" s="399" t="s">
        <v>145</v>
      </c>
      <c r="P37" s="410">
        <v>45874</v>
      </c>
      <c r="Q37" s="411"/>
      <c r="R37" s="411"/>
      <c r="S37" s="411"/>
      <c r="T37" s="411"/>
      <c r="U37" s="397">
        <f>P37+1</f>
        <v>45875</v>
      </c>
      <c r="V37" s="398"/>
      <c r="W37" s="398"/>
      <c r="X37" s="398"/>
      <c r="Y37" s="398"/>
      <c r="Z37" s="397">
        <f>U37+1</f>
        <v>45876</v>
      </c>
      <c r="AA37" s="398"/>
      <c r="AB37" s="398"/>
      <c r="AC37" s="398"/>
      <c r="AD37" s="398"/>
      <c r="AE37" s="397">
        <f>Z37+1</f>
        <v>45877</v>
      </c>
      <c r="AF37" s="398"/>
      <c r="AG37" s="398"/>
      <c r="AH37" s="398"/>
      <c r="AI37" s="398"/>
      <c r="AJ37" s="397">
        <f>AE37+1</f>
        <v>45878</v>
      </c>
      <c r="AK37" s="398"/>
      <c r="AL37" s="398"/>
      <c r="AM37" s="398"/>
      <c r="AN37" s="398"/>
      <c r="AO37" s="397">
        <f>AJ37+1</f>
        <v>45879</v>
      </c>
      <c r="AP37" s="398"/>
      <c r="AQ37" s="398"/>
      <c r="AR37" s="398"/>
      <c r="AS37" s="398"/>
      <c r="AT37" s="397">
        <f>AO37+1</f>
        <v>45880</v>
      </c>
      <c r="AU37" s="398"/>
      <c r="AV37" s="398"/>
      <c r="AW37" s="398"/>
      <c r="AX37" s="398"/>
    </row>
    <row r="38" spans="2:50" ht="15.75">
      <c r="B38" s="407"/>
      <c r="C38" s="407"/>
      <c r="D38" s="407"/>
      <c r="E38" s="407"/>
      <c r="F38" s="407"/>
      <c r="G38" s="407"/>
      <c r="H38" s="407"/>
      <c r="I38" s="172"/>
      <c r="J38" s="172"/>
      <c r="K38" s="172"/>
      <c r="L38" s="172"/>
      <c r="M38" s="173"/>
      <c r="N38" s="401"/>
      <c r="O38" s="401"/>
      <c r="P38" s="397" t="s">
        <v>159</v>
      </c>
      <c r="Q38" s="398"/>
      <c r="R38" s="398"/>
      <c r="S38" s="398"/>
      <c r="T38" s="398"/>
      <c r="U38" s="397" t="s">
        <v>160</v>
      </c>
      <c r="V38" s="398"/>
      <c r="W38" s="398"/>
      <c r="X38" s="398"/>
      <c r="Y38" s="398"/>
      <c r="Z38" s="397" t="s">
        <v>161</v>
      </c>
      <c r="AA38" s="398"/>
      <c r="AB38" s="398"/>
      <c r="AC38" s="398"/>
      <c r="AD38" s="398"/>
      <c r="AE38" s="397" t="s">
        <v>156</v>
      </c>
      <c r="AF38" s="398"/>
      <c r="AG38" s="398"/>
      <c r="AH38" s="398"/>
      <c r="AI38" s="398"/>
      <c r="AJ38" s="397" t="s">
        <v>157</v>
      </c>
      <c r="AK38" s="398"/>
      <c r="AL38" s="398"/>
      <c r="AM38" s="398"/>
      <c r="AN38" s="398"/>
      <c r="AO38" s="397" t="s">
        <v>152</v>
      </c>
      <c r="AP38" s="398"/>
      <c r="AQ38" s="398"/>
      <c r="AR38" s="398"/>
      <c r="AS38" s="398"/>
      <c r="AT38" s="397" t="s">
        <v>158</v>
      </c>
      <c r="AU38" s="398"/>
      <c r="AV38" s="398"/>
      <c r="AW38" s="398"/>
      <c r="AX38" s="398"/>
    </row>
    <row r="39" spans="2:50">
      <c r="B39" s="387" t="s">
        <v>197</v>
      </c>
      <c r="C39" s="387" t="s">
        <v>198</v>
      </c>
      <c r="D39" s="387"/>
      <c r="E39" s="387" t="s">
        <v>199</v>
      </c>
      <c r="F39" s="387"/>
      <c r="G39" s="387"/>
      <c r="H39" s="388" t="s">
        <v>200</v>
      </c>
      <c r="I39" s="387" t="s">
        <v>201</v>
      </c>
      <c r="J39" s="387"/>
      <c r="K39" s="387"/>
      <c r="L39" s="388" t="s">
        <v>200</v>
      </c>
      <c r="M39" s="399" t="s">
        <v>202</v>
      </c>
      <c r="N39" s="387"/>
      <c r="O39" s="387" t="s">
        <v>203</v>
      </c>
      <c r="P39" s="391" t="s">
        <v>204</v>
      </c>
      <c r="Q39" s="392"/>
      <c r="R39" s="392"/>
      <c r="S39" s="393"/>
      <c r="T39" s="387" t="s">
        <v>200</v>
      </c>
      <c r="U39" s="391" t="s">
        <v>204</v>
      </c>
      <c r="V39" s="392"/>
      <c r="W39" s="392"/>
      <c r="X39" s="393"/>
      <c r="Y39" s="387" t="s">
        <v>200</v>
      </c>
      <c r="Z39" s="391" t="s">
        <v>204</v>
      </c>
      <c r="AA39" s="392"/>
      <c r="AB39" s="392"/>
      <c r="AC39" s="393"/>
      <c r="AD39" s="387" t="s">
        <v>200</v>
      </c>
      <c r="AE39" s="391" t="s">
        <v>204</v>
      </c>
      <c r="AF39" s="392"/>
      <c r="AG39" s="392"/>
      <c r="AH39" s="393"/>
      <c r="AI39" s="387" t="s">
        <v>200</v>
      </c>
      <c r="AJ39" s="391" t="s">
        <v>204</v>
      </c>
      <c r="AK39" s="392"/>
      <c r="AL39" s="392"/>
      <c r="AM39" s="393"/>
      <c r="AN39" s="387" t="s">
        <v>200</v>
      </c>
      <c r="AO39" s="391" t="s">
        <v>204</v>
      </c>
      <c r="AP39" s="392"/>
      <c r="AQ39" s="392"/>
      <c r="AR39" s="393"/>
      <c r="AS39" s="387" t="s">
        <v>200</v>
      </c>
      <c r="AT39" s="391" t="s">
        <v>204</v>
      </c>
      <c r="AU39" s="392"/>
      <c r="AV39" s="392"/>
      <c r="AW39" s="393"/>
      <c r="AX39" s="387" t="s">
        <v>200</v>
      </c>
    </row>
    <row r="40" spans="2:50">
      <c r="B40" s="387"/>
      <c r="C40" s="387"/>
      <c r="D40" s="387"/>
      <c r="E40" s="387" t="s">
        <v>205</v>
      </c>
      <c r="F40" s="387"/>
      <c r="G40" s="387"/>
      <c r="H40" s="389"/>
      <c r="I40" s="387" t="s">
        <v>205</v>
      </c>
      <c r="J40" s="387"/>
      <c r="K40" s="387"/>
      <c r="L40" s="389"/>
      <c r="M40" s="400"/>
      <c r="N40" s="387"/>
      <c r="O40" s="387"/>
      <c r="P40" s="391" t="s">
        <v>206</v>
      </c>
      <c r="Q40" s="392"/>
      <c r="R40" s="392"/>
      <c r="S40" s="393"/>
      <c r="T40" s="387"/>
      <c r="U40" s="391" t="s">
        <v>206</v>
      </c>
      <c r="V40" s="392"/>
      <c r="W40" s="392"/>
      <c r="X40" s="393"/>
      <c r="Y40" s="387"/>
      <c r="Z40" s="391" t="s">
        <v>206</v>
      </c>
      <c r="AA40" s="392"/>
      <c r="AB40" s="392"/>
      <c r="AC40" s="393"/>
      <c r="AD40" s="387"/>
      <c r="AE40" s="391" t="s">
        <v>206</v>
      </c>
      <c r="AF40" s="392"/>
      <c r="AG40" s="392"/>
      <c r="AH40" s="393"/>
      <c r="AI40" s="387"/>
      <c r="AJ40" s="391" t="s">
        <v>206</v>
      </c>
      <c r="AK40" s="392"/>
      <c r="AL40" s="392"/>
      <c r="AM40" s="393"/>
      <c r="AN40" s="387"/>
      <c r="AO40" s="391" t="s">
        <v>206</v>
      </c>
      <c r="AP40" s="392"/>
      <c r="AQ40" s="392"/>
      <c r="AR40" s="393"/>
      <c r="AS40" s="387"/>
      <c r="AT40" s="391" t="s">
        <v>206</v>
      </c>
      <c r="AU40" s="392"/>
      <c r="AV40" s="392"/>
      <c r="AW40" s="393"/>
      <c r="AX40" s="387"/>
    </row>
    <row r="41" spans="2:50">
      <c r="B41" s="387"/>
      <c r="C41" s="387"/>
      <c r="D41" s="387"/>
      <c r="E41" s="104" t="s">
        <v>207</v>
      </c>
      <c r="F41" s="104" t="s">
        <v>208</v>
      </c>
      <c r="G41" s="104" t="s">
        <v>209</v>
      </c>
      <c r="H41" s="390"/>
      <c r="I41" s="104" t="s">
        <v>207</v>
      </c>
      <c r="J41" s="104" t="s">
        <v>208</v>
      </c>
      <c r="K41" s="104" t="s">
        <v>209</v>
      </c>
      <c r="L41" s="390"/>
      <c r="M41" s="401"/>
      <c r="N41" s="387"/>
      <c r="O41" s="387"/>
      <c r="P41" s="104" t="s">
        <v>207</v>
      </c>
      <c r="Q41" s="104" t="s">
        <v>208</v>
      </c>
      <c r="R41" s="104" t="s">
        <v>209</v>
      </c>
      <c r="S41" s="104" t="s">
        <v>202</v>
      </c>
      <c r="T41" s="387"/>
      <c r="U41" s="104" t="s">
        <v>207</v>
      </c>
      <c r="V41" s="104" t="s">
        <v>208</v>
      </c>
      <c r="W41" s="104" t="s">
        <v>209</v>
      </c>
      <c r="X41" s="104" t="s">
        <v>202</v>
      </c>
      <c r="Y41" s="387"/>
      <c r="Z41" s="104" t="s">
        <v>207</v>
      </c>
      <c r="AA41" s="104" t="s">
        <v>208</v>
      </c>
      <c r="AB41" s="104" t="s">
        <v>209</v>
      </c>
      <c r="AC41" s="104" t="s">
        <v>202</v>
      </c>
      <c r="AD41" s="387"/>
      <c r="AE41" s="104" t="s">
        <v>207</v>
      </c>
      <c r="AF41" s="104" t="s">
        <v>208</v>
      </c>
      <c r="AG41" s="104" t="s">
        <v>209</v>
      </c>
      <c r="AH41" s="104" t="s">
        <v>202</v>
      </c>
      <c r="AI41" s="387"/>
      <c r="AJ41" s="104" t="s">
        <v>207</v>
      </c>
      <c r="AK41" s="104" t="s">
        <v>208</v>
      </c>
      <c r="AL41" s="104" t="s">
        <v>209</v>
      </c>
      <c r="AM41" s="104" t="s">
        <v>202</v>
      </c>
      <c r="AN41" s="387"/>
      <c r="AO41" s="104" t="s">
        <v>207</v>
      </c>
      <c r="AP41" s="104" t="s">
        <v>208</v>
      </c>
      <c r="AQ41" s="104" t="s">
        <v>209</v>
      </c>
      <c r="AR41" s="104" t="s">
        <v>202</v>
      </c>
      <c r="AS41" s="387"/>
      <c r="AT41" s="104" t="s">
        <v>207</v>
      </c>
      <c r="AU41" s="104" t="s">
        <v>208</v>
      </c>
      <c r="AV41" s="104" t="s">
        <v>209</v>
      </c>
      <c r="AW41" s="104" t="s">
        <v>202</v>
      </c>
      <c r="AX41" s="387"/>
    </row>
    <row r="42" spans="2:50">
      <c r="B42" s="387" t="s">
        <v>180</v>
      </c>
      <c r="C42" s="105">
        <v>1</v>
      </c>
      <c r="D42" s="228" t="s">
        <v>258</v>
      </c>
      <c r="E42" s="175">
        <v>5</v>
      </c>
      <c r="F42" s="105">
        <v>1600</v>
      </c>
      <c r="G42" s="202">
        <v>320</v>
      </c>
      <c r="H42" s="384">
        <f>AVERAGE(G42:G71)</f>
        <v>106.19341212362137</v>
      </c>
      <c r="I42" s="175">
        <f>AVERAGE(P42,U42,Z42,AE42,AJ42,AO42,AT42)</f>
        <v>5</v>
      </c>
      <c r="J42" s="175">
        <f>AVERAGE(Q42,V42,AA42,AF42,AK42,AP42,AU42)</f>
        <v>1242.8571428571472</v>
      </c>
      <c r="K42" s="202">
        <f>AVERAGE(R42,W42,AB42,AG42,AL42,AQ42,AV42)</f>
        <v>248.57142857142949</v>
      </c>
      <c r="L42" s="384">
        <f>IFERROR(AVERAGE(K42:K71),"-")</f>
        <v>88.770784660991097</v>
      </c>
      <c r="M42" s="203">
        <f>RANK(K42, K$42:$K$71)</f>
        <v>2</v>
      </c>
      <c r="N42" s="387"/>
      <c r="O42" s="387"/>
      <c r="P42" s="105">
        <v>5</v>
      </c>
      <c r="Q42" s="202">
        <v>1140.0000000000041</v>
      </c>
      <c r="R42" s="202">
        <v>228.00000000000082</v>
      </c>
      <c r="S42" s="105">
        <f>RANK(R42, R$42:R$71)</f>
        <v>2</v>
      </c>
      <c r="T42" s="412">
        <f>AVERAGE(R42:R71)</f>
        <v>88.420624259512934</v>
      </c>
      <c r="U42" s="105">
        <v>5</v>
      </c>
      <c r="V42" s="202">
        <v>1260.0000000000045</v>
      </c>
      <c r="W42" s="202">
        <v>252.00000000000091</v>
      </c>
      <c r="X42" s="105">
        <f>RANK(W42, W$42:W$71)</f>
        <v>2</v>
      </c>
      <c r="Y42" s="412">
        <f>AVERAGE(W42:W71)</f>
        <v>88.720513161990056</v>
      </c>
      <c r="Z42" s="105">
        <v>5</v>
      </c>
      <c r="AA42" s="202">
        <v>1440.000000000005</v>
      </c>
      <c r="AB42" s="202">
        <v>288.00000000000102</v>
      </c>
      <c r="AC42" s="105">
        <f>RANK(AB42, AB$42:AB$71)</f>
        <v>2</v>
      </c>
      <c r="AD42" s="412">
        <f>AVERAGE(AB42:AB71)</f>
        <v>90.029113223144421</v>
      </c>
      <c r="AE42" s="105">
        <v>5</v>
      </c>
      <c r="AF42" s="202">
        <v>1180.0000000000041</v>
      </c>
      <c r="AG42" s="202">
        <v>236.00000000000082</v>
      </c>
      <c r="AH42" s="105">
        <f>RANK(AG42, AG$42:AG$71)</f>
        <v>2</v>
      </c>
      <c r="AI42" s="412">
        <f>AVERAGE(AG42:AG71)</f>
        <v>88.995533397187174</v>
      </c>
      <c r="AJ42" s="105">
        <v>5</v>
      </c>
      <c r="AK42" s="202">
        <v>1320.0000000000048</v>
      </c>
      <c r="AL42" s="202">
        <v>264.00000000000097</v>
      </c>
      <c r="AM42" s="105">
        <f>RANK(AL42, AL$42:AL$71)</f>
        <v>2</v>
      </c>
      <c r="AN42" s="412">
        <f>AVERAGE(AL42:AL71)</f>
        <v>88.837862010714801</v>
      </c>
      <c r="AO42" s="105">
        <v>5</v>
      </c>
      <c r="AP42" s="202">
        <v>1260.0000000000045</v>
      </c>
      <c r="AQ42" s="202">
        <v>252.00000000000091</v>
      </c>
      <c r="AR42" s="105">
        <f>RANK(AQ42, AQ$42:AQ$71)</f>
        <v>2</v>
      </c>
      <c r="AS42" s="412">
        <f>AVERAGE(AQ42:AQ71)</f>
        <v>88.771800746766687</v>
      </c>
      <c r="AT42" s="105">
        <v>5</v>
      </c>
      <c r="AU42" s="202">
        <v>1100.0000000000041</v>
      </c>
      <c r="AV42" s="202">
        <v>220.00000000000082</v>
      </c>
      <c r="AW42" s="105">
        <f>RANK(AV42, AV$42:AV$71)</f>
        <v>2</v>
      </c>
      <c r="AX42" s="412">
        <f>AVERAGE(AV42:AV71)</f>
        <v>87.620045827621553</v>
      </c>
    </row>
    <row r="43" spans="2:50">
      <c r="B43" s="398"/>
      <c r="C43" s="105">
        <v>2</v>
      </c>
      <c r="D43" s="228" t="s">
        <v>259</v>
      </c>
      <c r="E43" s="175">
        <v>5</v>
      </c>
      <c r="F43" s="105">
        <v>1600</v>
      </c>
      <c r="G43" s="202">
        <v>320</v>
      </c>
      <c r="H43" s="385"/>
      <c r="I43" s="175">
        <f t="shared" ref="I43:K51" si="18">AVERAGE(P43,U43,Z43,AE43,AJ43,AO43,AT43)</f>
        <v>5</v>
      </c>
      <c r="J43" s="175">
        <f t="shared" si="18"/>
        <v>1490.5211090405294</v>
      </c>
      <c r="K43" s="202">
        <f t="shared" si="18"/>
        <v>298.10422180810593</v>
      </c>
      <c r="L43" s="385"/>
      <c r="M43" s="203">
        <f>RANK(K43, K$42:$K$71)</f>
        <v>1</v>
      </c>
      <c r="N43" s="387"/>
      <c r="O43" s="387"/>
      <c r="P43" s="105">
        <v>5</v>
      </c>
      <c r="Q43" s="202">
        <v>1503.9778546712803</v>
      </c>
      <c r="R43" s="202">
        <v>300.79557093425603</v>
      </c>
      <c r="S43" s="105">
        <f t="shared" ref="S43:S71" si="19">RANK(R43, R$42:R$71)</f>
        <v>1</v>
      </c>
      <c r="T43" s="412"/>
      <c r="U43" s="105">
        <v>5</v>
      </c>
      <c r="V43" s="202">
        <v>1466.9023255813956</v>
      </c>
      <c r="W43" s="202">
        <v>293.38046511627914</v>
      </c>
      <c r="X43" s="105">
        <f t="shared" ref="X43:X71" si="20">RANK(W43, W$42:W$71)</f>
        <v>1</v>
      </c>
      <c r="Y43" s="412"/>
      <c r="Z43" s="105">
        <v>5</v>
      </c>
      <c r="AA43" s="202">
        <v>1514.3745583038872</v>
      </c>
      <c r="AB43" s="202">
        <v>302.87491166077746</v>
      </c>
      <c r="AC43" s="105">
        <f t="shared" ref="AC43:AC71" si="21">RANK(AB43, AB$42:AB$71)</f>
        <v>1</v>
      </c>
      <c r="AD43" s="412"/>
      <c r="AE43" s="105">
        <v>5</v>
      </c>
      <c r="AF43" s="202">
        <v>1518.4615384615383</v>
      </c>
      <c r="AG43" s="202">
        <v>303.69230769230768</v>
      </c>
      <c r="AH43" s="105">
        <f t="shared" ref="AH43:AH71" si="22">RANK(AG43, AG$42:AG$71)</f>
        <v>1</v>
      </c>
      <c r="AI43" s="412"/>
      <c r="AJ43" s="105">
        <v>5</v>
      </c>
      <c r="AK43" s="202">
        <v>1454.0800000000004</v>
      </c>
      <c r="AL43" s="202">
        <v>290.81600000000009</v>
      </c>
      <c r="AM43" s="105">
        <f t="shared" ref="AM43:AM71" si="23">RANK(AL43, AL$42:AL$71)</f>
        <v>1</v>
      </c>
      <c r="AN43" s="412"/>
      <c r="AO43" s="105">
        <v>5</v>
      </c>
      <c r="AP43" s="202">
        <v>1505.0708171206225</v>
      </c>
      <c r="AQ43" s="202">
        <v>301.01416342412449</v>
      </c>
      <c r="AR43" s="105">
        <f t="shared" ref="AR43:AR71" si="24">RANK(AQ43, AQ$42:AQ$71)</f>
        <v>1</v>
      </c>
      <c r="AS43" s="412"/>
      <c r="AT43" s="105">
        <v>5</v>
      </c>
      <c r="AU43" s="202">
        <v>1470.7806691449812</v>
      </c>
      <c r="AV43" s="202">
        <v>294.15613382899625</v>
      </c>
      <c r="AW43" s="105">
        <f t="shared" ref="AW43:AW71" si="25">RANK(AV43, AV$42:AV$71)</f>
        <v>1</v>
      </c>
      <c r="AX43" s="412"/>
    </row>
    <row r="44" spans="2:50">
      <c r="B44" s="398"/>
      <c r="C44" s="105">
        <v>3</v>
      </c>
      <c r="D44" s="228" t="s">
        <v>283</v>
      </c>
      <c r="E44" s="175">
        <v>8</v>
      </c>
      <c r="F44" s="105">
        <v>1600</v>
      </c>
      <c r="G44" s="202">
        <v>200</v>
      </c>
      <c r="H44" s="385"/>
      <c r="I44" s="175">
        <f t="shared" si="18"/>
        <v>7.8571428571428568</v>
      </c>
      <c r="J44" s="175">
        <f t="shared" si="18"/>
        <v>1484.0237957190498</v>
      </c>
      <c r="K44" s="202">
        <f t="shared" si="18"/>
        <v>189.21254319803487</v>
      </c>
      <c r="L44" s="385"/>
      <c r="M44" s="203">
        <f>RANK(K44, K$42:$K$71)</f>
        <v>3</v>
      </c>
      <c r="N44" s="387"/>
      <c r="O44" s="387"/>
      <c r="P44" s="105">
        <v>8</v>
      </c>
      <c r="Q44" s="202">
        <v>1468.8888888888894</v>
      </c>
      <c r="R44" s="202">
        <v>183.61111111111117</v>
      </c>
      <c r="S44" s="105">
        <f t="shared" si="19"/>
        <v>3</v>
      </c>
      <c r="T44" s="412"/>
      <c r="U44" s="105">
        <v>8</v>
      </c>
      <c r="V44" s="202">
        <v>1484.299065420561</v>
      </c>
      <c r="W44" s="202">
        <v>185.53738317757012</v>
      </c>
      <c r="X44" s="105">
        <f t="shared" si="20"/>
        <v>3</v>
      </c>
      <c r="Y44" s="412"/>
      <c r="Z44" s="105">
        <v>8</v>
      </c>
      <c r="AA44" s="202">
        <v>1521.7142857142858</v>
      </c>
      <c r="AB44" s="202">
        <v>190.21428571428572</v>
      </c>
      <c r="AC44" s="105">
        <f t="shared" si="21"/>
        <v>3</v>
      </c>
      <c r="AD44" s="412"/>
      <c r="AE44" s="105">
        <v>7</v>
      </c>
      <c r="AF44" s="202">
        <v>1454.1509433962265</v>
      </c>
      <c r="AG44" s="202">
        <v>207.73584905660377</v>
      </c>
      <c r="AH44" s="105">
        <f t="shared" si="22"/>
        <v>3</v>
      </c>
      <c r="AI44" s="412"/>
      <c r="AJ44" s="105">
        <v>8</v>
      </c>
      <c r="AK44" s="202">
        <v>1513.2692307692309</v>
      </c>
      <c r="AL44" s="202">
        <v>189.15865384615387</v>
      </c>
      <c r="AM44" s="105">
        <f t="shared" si="23"/>
        <v>3</v>
      </c>
      <c r="AN44" s="412"/>
      <c r="AO44" s="105">
        <v>8</v>
      </c>
      <c r="AP44" s="202">
        <v>1485.272727272727</v>
      </c>
      <c r="AQ44" s="202">
        <v>185.65909090909088</v>
      </c>
      <c r="AR44" s="105">
        <f t="shared" si="24"/>
        <v>3</v>
      </c>
      <c r="AS44" s="412"/>
      <c r="AT44" s="105">
        <v>8</v>
      </c>
      <c r="AU44" s="202">
        <v>1460.5714285714287</v>
      </c>
      <c r="AV44" s="202">
        <v>182.57142857142858</v>
      </c>
      <c r="AW44" s="105">
        <f t="shared" si="25"/>
        <v>3</v>
      </c>
      <c r="AX44" s="412"/>
    </row>
    <row r="45" spans="2:50">
      <c r="B45" s="398"/>
      <c r="C45" s="105">
        <v>4</v>
      </c>
      <c r="D45" s="228" t="s">
        <v>261</v>
      </c>
      <c r="E45" s="175">
        <v>21</v>
      </c>
      <c r="F45" s="105">
        <v>1440</v>
      </c>
      <c r="G45" s="202">
        <v>68.571428571428569</v>
      </c>
      <c r="H45" s="385"/>
      <c r="I45" s="175">
        <f t="shared" si="18"/>
        <v>21</v>
      </c>
      <c r="J45" s="175">
        <f t="shared" si="18"/>
        <v>1087.3458495728262</v>
      </c>
      <c r="K45" s="202">
        <f t="shared" si="18"/>
        <v>51.77837378918219</v>
      </c>
      <c r="L45" s="385"/>
      <c r="M45" s="203">
        <f>RANK(K45, K$42:$K$71)</f>
        <v>26</v>
      </c>
      <c r="N45" s="387"/>
      <c r="O45" s="387"/>
      <c r="P45" s="105">
        <v>21</v>
      </c>
      <c r="Q45" s="202">
        <v>1104.9882352941183</v>
      </c>
      <c r="R45" s="202">
        <v>52.618487394958017</v>
      </c>
      <c r="S45" s="105">
        <f t="shared" si="19"/>
        <v>25</v>
      </c>
      <c r="T45" s="412"/>
      <c r="U45" s="105">
        <v>21</v>
      </c>
      <c r="V45" s="202">
        <v>1074.5999999999995</v>
      </c>
      <c r="W45" s="202">
        <v>51.171428571428542</v>
      </c>
      <c r="X45" s="105">
        <f t="shared" si="20"/>
        <v>27</v>
      </c>
      <c r="Y45" s="412"/>
      <c r="Z45" s="105">
        <v>21</v>
      </c>
      <c r="AA45" s="202">
        <v>1055.0943396226421</v>
      </c>
      <c r="AB45" s="202">
        <v>50.242587601078199</v>
      </c>
      <c r="AC45" s="105">
        <f t="shared" si="21"/>
        <v>27</v>
      </c>
      <c r="AD45" s="412"/>
      <c r="AE45" s="105">
        <v>21</v>
      </c>
      <c r="AF45" s="202">
        <v>1088.9999999999995</v>
      </c>
      <c r="AG45" s="202">
        <v>51.857142857142833</v>
      </c>
      <c r="AH45" s="105">
        <f t="shared" si="22"/>
        <v>27</v>
      </c>
      <c r="AI45" s="412"/>
      <c r="AJ45" s="105">
        <v>21</v>
      </c>
      <c r="AK45" s="202">
        <v>1117.4999999999998</v>
      </c>
      <c r="AL45" s="202">
        <v>53.214285714285701</v>
      </c>
      <c r="AM45" s="105">
        <f t="shared" si="23"/>
        <v>26</v>
      </c>
      <c r="AN45" s="412"/>
      <c r="AO45" s="105">
        <v>21</v>
      </c>
      <c r="AP45" s="202">
        <v>1086.7499999999995</v>
      </c>
      <c r="AQ45" s="202">
        <v>51.749999999999979</v>
      </c>
      <c r="AR45" s="105">
        <f t="shared" si="24"/>
        <v>26</v>
      </c>
      <c r="AS45" s="412"/>
      <c r="AT45" s="105">
        <v>21</v>
      </c>
      <c r="AU45" s="202">
        <v>1083.4883720930231</v>
      </c>
      <c r="AV45" s="202">
        <v>51.594684385382052</v>
      </c>
      <c r="AW45" s="105">
        <f t="shared" si="25"/>
        <v>26</v>
      </c>
      <c r="AX45" s="412"/>
    </row>
    <row r="46" spans="2:50">
      <c r="B46" s="398"/>
      <c r="C46" s="105">
        <v>5</v>
      </c>
      <c r="D46" s="228" t="s">
        <v>284</v>
      </c>
      <c r="E46" s="175">
        <v>20</v>
      </c>
      <c r="F46" s="105">
        <v>1385</v>
      </c>
      <c r="G46" s="202">
        <v>69.25</v>
      </c>
      <c r="H46" s="385"/>
      <c r="I46" s="175">
        <f t="shared" si="18"/>
        <v>21.285714285714285</v>
      </c>
      <c r="J46" s="175">
        <f t="shared" si="18"/>
        <v>1087.3920275210364</v>
      </c>
      <c r="K46" s="202">
        <f t="shared" si="18"/>
        <v>51.148419268624252</v>
      </c>
      <c r="L46" s="385"/>
      <c r="M46" s="203">
        <f>RANK(K46, K$42:$K$71)</f>
        <v>28</v>
      </c>
      <c r="N46" s="387"/>
      <c r="O46" s="387"/>
      <c r="P46" s="105">
        <v>21</v>
      </c>
      <c r="Q46" s="202">
        <v>1087.4285714285711</v>
      </c>
      <c r="R46" s="202">
        <v>51.782312925170054</v>
      </c>
      <c r="S46" s="105">
        <f t="shared" si="19"/>
        <v>27</v>
      </c>
      <c r="T46" s="412"/>
      <c r="U46" s="105">
        <v>20</v>
      </c>
      <c r="V46" s="202">
        <v>1092.824427480916</v>
      </c>
      <c r="W46" s="202">
        <v>54.641221374045799</v>
      </c>
      <c r="X46" s="105">
        <f t="shared" si="20"/>
        <v>25</v>
      </c>
      <c r="Y46" s="412"/>
      <c r="Z46" s="105">
        <v>21</v>
      </c>
      <c r="AA46" s="202">
        <v>1094.9999999999995</v>
      </c>
      <c r="AB46" s="202">
        <v>52.142857142857125</v>
      </c>
      <c r="AC46" s="105">
        <f t="shared" si="21"/>
        <v>26</v>
      </c>
      <c r="AD46" s="412"/>
      <c r="AE46" s="105">
        <v>21</v>
      </c>
      <c r="AF46" s="202">
        <v>1090.0000000000002</v>
      </c>
      <c r="AG46" s="202">
        <v>51.904761904761912</v>
      </c>
      <c r="AH46" s="105">
        <f t="shared" si="22"/>
        <v>26</v>
      </c>
      <c r="AI46" s="412"/>
      <c r="AJ46" s="105">
        <v>22</v>
      </c>
      <c r="AK46" s="202">
        <v>1089.2857142857149</v>
      </c>
      <c r="AL46" s="202">
        <v>49.51298701298704</v>
      </c>
      <c r="AM46" s="105">
        <f t="shared" si="23"/>
        <v>28</v>
      </c>
      <c r="AN46" s="412"/>
      <c r="AO46" s="105">
        <v>22</v>
      </c>
      <c r="AP46" s="202">
        <v>1091.9999999999989</v>
      </c>
      <c r="AQ46" s="202">
        <v>49.636363636363583</v>
      </c>
      <c r="AR46" s="105">
        <f t="shared" si="24"/>
        <v>28</v>
      </c>
      <c r="AS46" s="412"/>
      <c r="AT46" s="105">
        <v>22</v>
      </c>
      <c r="AU46" s="202">
        <v>1065.2054794520539</v>
      </c>
      <c r="AV46" s="202">
        <v>48.418430884184268</v>
      </c>
      <c r="AW46" s="105">
        <f t="shared" si="25"/>
        <v>28</v>
      </c>
      <c r="AX46" s="412"/>
    </row>
    <row r="47" spans="2:50">
      <c r="B47" s="398"/>
      <c r="C47" s="105">
        <v>6</v>
      </c>
      <c r="D47" s="228" t="s">
        <v>270</v>
      </c>
      <c r="E47" s="175">
        <v>16</v>
      </c>
      <c r="F47" s="105">
        <v>1440</v>
      </c>
      <c r="G47" s="202">
        <v>90</v>
      </c>
      <c r="H47" s="385"/>
      <c r="I47" s="175">
        <f t="shared" si="18"/>
        <v>16</v>
      </c>
      <c r="J47" s="175">
        <f t="shared" si="18"/>
        <v>1273.003214738374</v>
      </c>
      <c r="K47" s="202">
        <f t="shared" si="18"/>
        <v>79.562700921148377</v>
      </c>
      <c r="L47" s="385"/>
      <c r="M47" s="203">
        <f>RANK(K47, K$42:$K$71)</f>
        <v>8</v>
      </c>
      <c r="N47" s="387"/>
      <c r="O47" s="387"/>
      <c r="P47" s="105">
        <v>16</v>
      </c>
      <c r="Q47" s="202">
        <v>1245.7894736842097</v>
      </c>
      <c r="R47" s="202">
        <v>77.861842105263108</v>
      </c>
      <c r="S47" s="105">
        <f t="shared" si="19"/>
        <v>9</v>
      </c>
      <c r="T47" s="412"/>
      <c r="U47" s="105">
        <v>16</v>
      </c>
      <c r="V47" s="202">
        <v>1282.2857142857129</v>
      </c>
      <c r="W47" s="202">
        <v>80.142857142857054</v>
      </c>
      <c r="X47" s="105">
        <f t="shared" si="20"/>
        <v>7</v>
      </c>
      <c r="Y47" s="412"/>
      <c r="Z47" s="105">
        <v>16</v>
      </c>
      <c r="AA47" s="202">
        <v>1273.9999999999977</v>
      </c>
      <c r="AB47" s="202">
        <v>79.624999999999858</v>
      </c>
      <c r="AC47" s="105">
        <f t="shared" si="21"/>
        <v>8</v>
      </c>
      <c r="AD47" s="412"/>
      <c r="AE47" s="105">
        <v>16</v>
      </c>
      <c r="AF47" s="202">
        <v>1264.1379310344803</v>
      </c>
      <c r="AG47" s="202">
        <v>79.008620689655018</v>
      </c>
      <c r="AH47" s="105">
        <f t="shared" si="22"/>
        <v>7</v>
      </c>
      <c r="AI47" s="412"/>
      <c r="AJ47" s="105">
        <v>16</v>
      </c>
      <c r="AK47" s="202">
        <v>1279.3548387096753</v>
      </c>
      <c r="AL47" s="202">
        <v>79.959677419354705</v>
      </c>
      <c r="AM47" s="105">
        <f t="shared" si="23"/>
        <v>8</v>
      </c>
      <c r="AN47" s="412"/>
      <c r="AO47" s="105">
        <v>16</v>
      </c>
      <c r="AP47" s="202">
        <v>1287.2727272727257</v>
      </c>
      <c r="AQ47" s="202">
        <v>80.454545454545354</v>
      </c>
      <c r="AR47" s="105">
        <f t="shared" si="24"/>
        <v>6</v>
      </c>
      <c r="AS47" s="412"/>
      <c r="AT47" s="105">
        <v>16</v>
      </c>
      <c r="AU47" s="202">
        <v>1278.1818181818167</v>
      </c>
      <c r="AV47" s="202">
        <v>79.886363636363541</v>
      </c>
      <c r="AW47" s="105">
        <f t="shared" si="25"/>
        <v>6</v>
      </c>
      <c r="AX47" s="412"/>
    </row>
    <row r="48" spans="2:50">
      <c r="B48" s="398"/>
      <c r="C48" s="105">
        <v>7</v>
      </c>
      <c r="D48" s="228" t="s">
        <v>271</v>
      </c>
      <c r="E48" s="175">
        <v>17</v>
      </c>
      <c r="F48" s="105">
        <v>1440</v>
      </c>
      <c r="G48" s="202">
        <v>84.705882352941174</v>
      </c>
      <c r="H48" s="385"/>
      <c r="I48" s="175">
        <f t="shared" si="18"/>
        <v>17</v>
      </c>
      <c r="J48" s="175">
        <f t="shared" si="18"/>
        <v>1284.872497944267</v>
      </c>
      <c r="K48" s="202">
        <f t="shared" si="18"/>
        <v>75.580735173192167</v>
      </c>
      <c r="L48" s="385"/>
      <c r="M48" s="203">
        <f>RANK(K48, K$42:$K$71)</f>
        <v>11</v>
      </c>
      <c r="N48" s="387"/>
      <c r="O48" s="387"/>
      <c r="P48" s="105">
        <v>17</v>
      </c>
      <c r="Q48" s="202">
        <v>1268.0769230769238</v>
      </c>
      <c r="R48" s="202">
        <v>74.592760180995512</v>
      </c>
      <c r="S48" s="105">
        <f t="shared" si="19"/>
        <v>14</v>
      </c>
      <c r="T48" s="412"/>
      <c r="U48" s="105">
        <v>17</v>
      </c>
      <c r="V48" s="202">
        <v>1284.4897959183677</v>
      </c>
      <c r="W48" s="202">
        <v>75.558223289315748</v>
      </c>
      <c r="X48" s="105">
        <f t="shared" si="20"/>
        <v>11</v>
      </c>
      <c r="Y48" s="412"/>
      <c r="Z48" s="105">
        <v>17</v>
      </c>
      <c r="AA48" s="202">
        <v>1248.8372093023254</v>
      </c>
      <c r="AB48" s="202">
        <v>73.461012311901499</v>
      </c>
      <c r="AC48" s="105">
        <f t="shared" si="21"/>
        <v>15</v>
      </c>
      <c r="AD48" s="412"/>
      <c r="AE48" s="105">
        <v>17</v>
      </c>
      <c r="AF48" s="202">
        <v>1277.9999999999995</v>
      </c>
      <c r="AG48" s="202">
        <v>75.176470588235262</v>
      </c>
      <c r="AH48" s="105">
        <f t="shared" si="22"/>
        <v>11</v>
      </c>
      <c r="AI48" s="412"/>
      <c r="AJ48" s="105">
        <v>17</v>
      </c>
      <c r="AK48" s="202">
        <v>1296.5217391304348</v>
      </c>
      <c r="AL48" s="202">
        <v>76.265984654731454</v>
      </c>
      <c r="AM48" s="105">
        <f t="shared" si="23"/>
        <v>10</v>
      </c>
      <c r="AN48" s="412"/>
      <c r="AO48" s="105">
        <v>17</v>
      </c>
      <c r="AP48" s="202">
        <v>1302.2727272727273</v>
      </c>
      <c r="AQ48" s="202">
        <v>76.604278074866315</v>
      </c>
      <c r="AR48" s="105">
        <f t="shared" si="24"/>
        <v>11</v>
      </c>
      <c r="AS48" s="412"/>
      <c r="AT48" s="105">
        <v>17</v>
      </c>
      <c r="AU48" s="202">
        <v>1315.909090909091</v>
      </c>
      <c r="AV48" s="202">
        <v>77.406417112299465</v>
      </c>
      <c r="AW48" s="105">
        <f t="shared" si="25"/>
        <v>10</v>
      </c>
      <c r="AX48" s="412"/>
    </row>
    <row r="49" spans="2:50">
      <c r="B49" s="398"/>
      <c r="C49" s="105">
        <v>8</v>
      </c>
      <c r="D49" s="228" t="s">
        <v>266</v>
      </c>
      <c r="E49" s="175">
        <v>17</v>
      </c>
      <c r="F49" s="105">
        <v>1500</v>
      </c>
      <c r="G49" s="202">
        <v>88.235294117647058</v>
      </c>
      <c r="H49" s="385"/>
      <c r="I49" s="175">
        <f t="shared" si="18"/>
        <v>17</v>
      </c>
      <c r="J49" s="175">
        <f t="shared" si="18"/>
        <v>1072.0332284692545</v>
      </c>
      <c r="K49" s="202">
        <f t="shared" si="18"/>
        <v>63.060778145250254</v>
      </c>
      <c r="L49" s="385"/>
      <c r="M49" s="203">
        <f>RANK(K49, K$42:$K$71)</f>
        <v>23</v>
      </c>
      <c r="N49" s="387"/>
      <c r="O49" s="387"/>
      <c r="P49" s="105">
        <v>17</v>
      </c>
      <c r="Q49" s="202">
        <v>1073.3333333333308</v>
      </c>
      <c r="R49" s="202">
        <v>63.137254901960631</v>
      </c>
      <c r="S49" s="105">
        <f t="shared" si="19"/>
        <v>23</v>
      </c>
      <c r="T49" s="412"/>
      <c r="U49" s="105">
        <v>17</v>
      </c>
      <c r="V49" s="202">
        <v>1065.599999999997</v>
      </c>
      <c r="W49" s="202">
        <v>62.682352941176291</v>
      </c>
      <c r="X49" s="105">
        <f t="shared" si="20"/>
        <v>23</v>
      </c>
      <c r="Y49" s="412"/>
      <c r="Z49" s="105">
        <v>17</v>
      </c>
      <c r="AA49" s="202">
        <v>1059.1304347826124</v>
      </c>
      <c r="AB49" s="202">
        <v>62.301790281330142</v>
      </c>
      <c r="AC49" s="105">
        <f t="shared" si="21"/>
        <v>23</v>
      </c>
      <c r="AD49" s="412"/>
      <c r="AE49" s="105">
        <v>17</v>
      </c>
      <c r="AF49" s="202">
        <v>1090.9090909090949</v>
      </c>
      <c r="AG49" s="202">
        <v>64.171122994652634</v>
      </c>
      <c r="AH49" s="105">
        <f t="shared" si="22"/>
        <v>22</v>
      </c>
      <c r="AI49" s="412"/>
      <c r="AJ49" s="105">
        <v>17</v>
      </c>
      <c r="AK49" s="202">
        <v>1060.7142857142835</v>
      </c>
      <c r="AL49" s="202">
        <v>62.394957983193144</v>
      </c>
      <c r="AM49" s="105">
        <f t="shared" si="23"/>
        <v>23</v>
      </c>
      <c r="AN49" s="412"/>
      <c r="AO49" s="105">
        <v>17</v>
      </c>
      <c r="AP49" s="202">
        <v>1080.0000000000039</v>
      </c>
      <c r="AQ49" s="202">
        <v>63.529411764706111</v>
      </c>
      <c r="AR49" s="105">
        <f t="shared" si="24"/>
        <v>23</v>
      </c>
      <c r="AS49" s="412"/>
      <c r="AT49" s="105">
        <v>17</v>
      </c>
      <c r="AU49" s="202">
        <v>1074.5454545454584</v>
      </c>
      <c r="AV49" s="202">
        <v>63.208556149732843</v>
      </c>
      <c r="AW49" s="105">
        <f t="shared" si="25"/>
        <v>23</v>
      </c>
      <c r="AX49" s="412"/>
    </row>
    <row r="50" spans="2:50">
      <c r="B50" s="398"/>
      <c r="C50" s="105">
        <v>9</v>
      </c>
      <c r="D50" s="228" t="s">
        <v>285</v>
      </c>
      <c r="E50" s="175">
        <v>20</v>
      </c>
      <c r="F50" s="105">
        <v>1385</v>
      </c>
      <c r="G50" s="202">
        <v>69.25</v>
      </c>
      <c r="H50" s="385"/>
      <c r="I50" s="175">
        <f t="shared" si="18"/>
        <v>20.714285714285715</v>
      </c>
      <c r="J50" s="175">
        <f t="shared" si="18"/>
        <v>1096.1419266165665</v>
      </c>
      <c r="K50" s="202">
        <f t="shared" si="18"/>
        <v>52.947852840740936</v>
      </c>
      <c r="L50" s="385"/>
      <c r="M50" s="203">
        <f>RANK(K50, K$42:$K$71)</f>
        <v>25</v>
      </c>
      <c r="N50" s="387"/>
      <c r="O50" s="387"/>
      <c r="P50" s="105">
        <v>21</v>
      </c>
      <c r="Q50" s="202">
        <v>1067.7777777777774</v>
      </c>
      <c r="R50" s="202">
        <v>50.846560846560827</v>
      </c>
      <c r="S50" s="105">
        <f t="shared" si="19"/>
        <v>28</v>
      </c>
      <c r="T50" s="412"/>
      <c r="U50" s="105">
        <v>21</v>
      </c>
      <c r="V50" s="202">
        <v>1102.4427480916029</v>
      </c>
      <c r="W50" s="202">
        <v>52.497273718647754</v>
      </c>
      <c r="X50" s="105">
        <f t="shared" si="20"/>
        <v>26</v>
      </c>
      <c r="Y50" s="412"/>
      <c r="Z50" s="105">
        <v>21</v>
      </c>
      <c r="AA50" s="202">
        <v>1109.0322580645156</v>
      </c>
      <c r="AB50" s="202">
        <v>52.811059907834078</v>
      </c>
      <c r="AC50" s="105">
        <f t="shared" si="21"/>
        <v>25</v>
      </c>
      <c r="AD50" s="412"/>
      <c r="AE50" s="105">
        <v>20</v>
      </c>
      <c r="AF50" s="202">
        <v>1092.6315789473674</v>
      </c>
      <c r="AG50" s="202">
        <v>54.631578947368368</v>
      </c>
      <c r="AH50" s="105">
        <f t="shared" si="22"/>
        <v>25</v>
      </c>
      <c r="AI50" s="412"/>
      <c r="AJ50" s="105">
        <v>20</v>
      </c>
      <c r="AK50" s="202">
        <v>1114.1860465116279</v>
      </c>
      <c r="AL50" s="202">
        <v>55.70930232558139</v>
      </c>
      <c r="AM50" s="105">
        <f t="shared" si="23"/>
        <v>25</v>
      </c>
      <c r="AN50" s="412"/>
      <c r="AO50" s="105">
        <v>21</v>
      </c>
      <c r="AP50" s="202">
        <v>1099.2307692307686</v>
      </c>
      <c r="AQ50" s="202">
        <v>52.344322344322315</v>
      </c>
      <c r="AR50" s="105">
        <f t="shared" si="24"/>
        <v>25</v>
      </c>
      <c r="AS50" s="412"/>
      <c r="AT50" s="105">
        <v>21</v>
      </c>
      <c r="AU50" s="202">
        <v>1087.6923076923069</v>
      </c>
      <c r="AV50" s="202">
        <v>51.79487179487176</v>
      </c>
      <c r="AW50" s="105">
        <f t="shared" si="25"/>
        <v>25</v>
      </c>
      <c r="AX50" s="412"/>
    </row>
    <row r="51" spans="2:50">
      <c r="B51" s="398"/>
      <c r="C51" s="105">
        <v>10</v>
      </c>
      <c r="D51" s="228" t="s">
        <v>261</v>
      </c>
      <c r="E51" s="175">
        <v>21</v>
      </c>
      <c r="F51" s="105">
        <v>1440</v>
      </c>
      <c r="G51" s="202">
        <v>68.571428571428569</v>
      </c>
      <c r="H51" s="385"/>
      <c r="I51" s="175">
        <f t="shared" si="18"/>
        <v>21</v>
      </c>
      <c r="J51" s="175">
        <f t="shared" si="18"/>
        <v>1087.3458495728262</v>
      </c>
      <c r="K51" s="202">
        <f t="shared" si="18"/>
        <v>51.77837378918219</v>
      </c>
      <c r="L51" s="385"/>
      <c r="M51" s="203">
        <f>RANK(K51, K$42:$K$71)</f>
        <v>26</v>
      </c>
      <c r="N51" s="387"/>
      <c r="O51" s="387"/>
      <c r="P51" s="105">
        <v>21</v>
      </c>
      <c r="Q51" s="202">
        <v>1104.9882352941183</v>
      </c>
      <c r="R51" s="202">
        <v>52.618487394958017</v>
      </c>
      <c r="S51" s="105">
        <f t="shared" si="19"/>
        <v>25</v>
      </c>
      <c r="T51" s="412"/>
      <c r="U51" s="105">
        <v>21</v>
      </c>
      <c r="V51" s="202">
        <v>1074.5999999999995</v>
      </c>
      <c r="W51" s="202">
        <v>51.171428571428542</v>
      </c>
      <c r="X51" s="105">
        <f t="shared" si="20"/>
        <v>27</v>
      </c>
      <c r="Y51" s="412"/>
      <c r="Z51" s="105">
        <v>21</v>
      </c>
      <c r="AA51" s="202">
        <v>1055.0943396226421</v>
      </c>
      <c r="AB51" s="202">
        <v>50.242587601078199</v>
      </c>
      <c r="AC51" s="105">
        <f t="shared" si="21"/>
        <v>27</v>
      </c>
      <c r="AD51" s="412"/>
      <c r="AE51" s="105">
        <v>21</v>
      </c>
      <c r="AF51" s="202">
        <v>1088.9999999999995</v>
      </c>
      <c r="AG51" s="202">
        <v>51.857142857142833</v>
      </c>
      <c r="AH51" s="105">
        <f t="shared" si="22"/>
        <v>27</v>
      </c>
      <c r="AI51" s="412"/>
      <c r="AJ51" s="105">
        <v>21</v>
      </c>
      <c r="AK51" s="202">
        <v>1117.4999999999998</v>
      </c>
      <c r="AL51" s="202">
        <v>53.214285714285701</v>
      </c>
      <c r="AM51" s="105">
        <f t="shared" si="23"/>
        <v>26</v>
      </c>
      <c r="AN51" s="412"/>
      <c r="AO51" s="105">
        <v>21</v>
      </c>
      <c r="AP51" s="202">
        <v>1086.7499999999995</v>
      </c>
      <c r="AQ51" s="202">
        <v>51.749999999999979</v>
      </c>
      <c r="AR51" s="105">
        <f t="shared" si="24"/>
        <v>26</v>
      </c>
      <c r="AS51" s="412"/>
      <c r="AT51" s="105">
        <v>21</v>
      </c>
      <c r="AU51" s="202">
        <v>1083.4883720930231</v>
      </c>
      <c r="AV51" s="202">
        <v>51.594684385382052</v>
      </c>
      <c r="AW51" s="105">
        <f t="shared" si="25"/>
        <v>26</v>
      </c>
      <c r="AX51" s="412"/>
    </row>
    <row r="52" spans="2:50">
      <c r="B52" s="398"/>
      <c r="C52" s="105">
        <v>11</v>
      </c>
      <c r="D52" s="228" t="s">
        <v>264</v>
      </c>
      <c r="E52" s="175">
        <v>16</v>
      </c>
      <c r="F52" s="105">
        <v>1636</v>
      </c>
      <c r="G52" s="202">
        <v>102.25</v>
      </c>
      <c r="H52" s="385"/>
      <c r="I52" s="175">
        <f t="shared" ref="I52:I69" si="26">AVERAGE(P52,U52,Z52,AE52,AJ52,AO52,AT52)</f>
        <v>16</v>
      </c>
      <c r="J52" s="175">
        <f t="shared" ref="J52:J69" si="27">AVERAGE(Q52,V52,AA52,AF52,AK52,AP52,AU52)</f>
        <v>1281.3529788574319</v>
      </c>
      <c r="K52" s="202">
        <f t="shared" ref="K52:K69" si="28">AVERAGE(R52,W52,AB52,AG52,AL52,AQ52,AV52)</f>
        <v>80.084561178589496</v>
      </c>
      <c r="L52" s="385"/>
      <c r="M52" s="203">
        <f>RANK(K52, K$42:$K$71)</f>
        <v>6</v>
      </c>
      <c r="N52" s="387"/>
      <c r="O52" s="387"/>
      <c r="P52" s="105">
        <v>16</v>
      </c>
      <c r="Q52" s="202">
        <v>1312.2580645161304</v>
      </c>
      <c r="R52" s="202">
        <v>82.016129032258149</v>
      </c>
      <c r="S52" s="105">
        <f t="shared" si="19"/>
        <v>5</v>
      </c>
      <c r="T52" s="412"/>
      <c r="U52" s="105">
        <v>16</v>
      </c>
      <c r="V52" s="202">
        <v>1286.1290322580658</v>
      </c>
      <c r="W52" s="202">
        <v>80.38306451612911</v>
      </c>
      <c r="X52" s="105">
        <f t="shared" si="20"/>
        <v>6</v>
      </c>
      <c r="Y52" s="412"/>
      <c r="Z52" s="105">
        <v>16</v>
      </c>
      <c r="AA52" s="202">
        <v>1291.0714285714296</v>
      </c>
      <c r="AB52" s="202">
        <v>80.691964285714349</v>
      </c>
      <c r="AC52" s="105">
        <f t="shared" si="21"/>
        <v>5</v>
      </c>
      <c r="AD52" s="412"/>
      <c r="AE52" s="105">
        <v>16</v>
      </c>
      <c r="AF52" s="202">
        <v>1250.1818181818189</v>
      </c>
      <c r="AG52" s="202">
        <v>78.136363636363683</v>
      </c>
      <c r="AH52" s="105">
        <f t="shared" si="22"/>
        <v>8</v>
      </c>
      <c r="AI52" s="412"/>
      <c r="AJ52" s="105">
        <v>16</v>
      </c>
      <c r="AK52" s="202">
        <v>1281.3559322033909</v>
      </c>
      <c r="AL52" s="202">
        <v>80.084745762711933</v>
      </c>
      <c r="AM52" s="105">
        <f t="shared" si="23"/>
        <v>7</v>
      </c>
      <c r="AN52" s="412"/>
      <c r="AO52" s="105">
        <v>16</v>
      </c>
      <c r="AP52" s="202">
        <v>1274.2372881355943</v>
      </c>
      <c r="AQ52" s="202">
        <v>79.639830508474645</v>
      </c>
      <c r="AR52" s="105">
        <f t="shared" si="24"/>
        <v>7</v>
      </c>
      <c r="AS52" s="412"/>
      <c r="AT52" s="105">
        <v>16</v>
      </c>
      <c r="AU52" s="202">
        <v>1274.2372881355943</v>
      </c>
      <c r="AV52" s="202">
        <v>79.639830508474645</v>
      </c>
      <c r="AW52" s="105">
        <f t="shared" si="25"/>
        <v>8</v>
      </c>
      <c r="AX52" s="412"/>
    </row>
    <row r="53" spans="2:50">
      <c r="B53" s="398"/>
      <c r="C53" s="105">
        <v>12</v>
      </c>
      <c r="D53" s="228" t="s">
        <v>267</v>
      </c>
      <c r="E53" s="175">
        <v>18</v>
      </c>
      <c r="F53" s="105">
        <v>1440</v>
      </c>
      <c r="G53" s="202">
        <v>80</v>
      </c>
      <c r="H53" s="385"/>
      <c r="I53" s="175">
        <f t="shared" si="26"/>
        <v>18</v>
      </c>
      <c r="J53" s="175">
        <f t="shared" si="27"/>
        <v>1283.9683464308205</v>
      </c>
      <c r="K53" s="202">
        <f t="shared" si="28"/>
        <v>71.33157480171225</v>
      </c>
      <c r="L53" s="385"/>
      <c r="M53" s="203">
        <f>RANK(K53, K$42:$K$71)</f>
        <v>16</v>
      </c>
      <c r="N53" s="387"/>
      <c r="O53" s="387"/>
      <c r="P53" s="105">
        <v>18</v>
      </c>
      <c r="Q53" s="202">
        <v>1311.3333333333333</v>
      </c>
      <c r="R53" s="202">
        <v>72.851851851851848</v>
      </c>
      <c r="S53" s="105">
        <f t="shared" si="19"/>
        <v>16</v>
      </c>
      <c r="T53" s="412"/>
      <c r="U53" s="105">
        <v>18</v>
      </c>
      <c r="V53" s="202">
        <v>1283.4482758620686</v>
      </c>
      <c r="W53" s="202">
        <v>71.302681992337142</v>
      </c>
      <c r="X53" s="105">
        <f t="shared" si="20"/>
        <v>17</v>
      </c>
      <c r="Y53" s="412"/>
      <c r="Z53" s="105">
        <v>18</v>
      </c>
      <c r="AA53" s="202">
        <v>1259.2592592592589</v>
      </c>
      <c r="AB53" s="202">
        <v>69.958847736625501</v>
      </c>
      <c r="AC53" s="105">
        <f t="shared" si="21"/>
        <v>17</v>
      </c>
      <c r="AD53" s="412"/>
      <c r="AE53" s="105">
        <v>18</v>
      </c>
      <c r="AF53" s="202">
        <v>1299.9999999999991</v>
      </c>
      <c r="AG53" s="202">
        <v>72.222222222222172</v>
      </c>
      <c r="AH53" s="105">
        <f t="shared" si="22"/>
        <v>16</v>
      </c>
      <c r="AI53" s="412"/>
      <c r="AJ53" s="105">
        <v>18</v>
      </c>
      <c r="AK53" s="202">
        <v>1295.3846153846146</v>
      </c>
      <c r="AL53" s="202">
        <v>71.965811965811923</v>
      </c>
      <c r="AM53" s="105">
        <f t="shared" si="23"/>
        <v>16</v>
      </c>
      <c r="AN53" s="412"/>
      <c r="AO53" s="105">
        <v>18</v>
      </c>
      <c r="AP53" s="202">
        <v>1264.2352941176468</v>
      </c>
      <c r="AQ53" s="202">
        <v>70.235294117647044</v>
      </c>
      <c r="AR53" s="105">
        <f t="shared" si="24"/>
        <v>18</v>
      </c>
      <c r="AS53" s="412"/>
      <c r="AT53" s="105">
        <v>18</v>
      </c>
      <c r="AU53" s="202">
        <v>1274.1176470588232</v>
      </c>
      <c r="AV53" s="202">
        <v>70.784313725490179</v>
      </c>
      <c r="AW53" s="105">
        <f t="shared" si="25"/>
        <v>18</v>
      </c>
      <c r="AX53" s="412"/>
    </row>
    <row r="54" spans="2:50">
      <c r="B54" s="398"/>
      <c r="C54" s="105">
        <v>13</v>
      </c>
      <c r="D54" s="228" t="s">
        <v>280</v>
      </c>
      <c r="E54" s="175">
        <v>17</v>
      </c>
      <c r="F54" s="105">
        <v>1440</v>
      </c>
      <c r="G54" s="202">
        <v>84.705882352941174</v>
      </c>
      <c r="H54" s="385"/>
      <c r="I54" s="175">
        <f t="shared" si="26"/>
        <v>17</v>
      </c>
      <c r="J54" s="175">
        <f t="shared" si="27"/>
        <v>1344.3553029423947</v>
      </c>
      <c r="K54" s="202">
        <f t="shared" si="28"/>
        <v>79.079723702493794</v>
      </c>
      <c r="L54" s="385"/>
      <c r="M54" s="203">
        <f>RANK(K54, K$42:$K$71)</f>
        <v>9</v>
      </c>
      <c r="N54" s="387"/>
      <c r="O54" s="387"/>
      <c r="P54" s="105">
        <v>17</v>
      </c>
      <c r="Q54" s="202">
        <v>1342.7419354838705</v>
      </c>
      <c r="R54" s="202">
        <v>78.984819734345322</v>
      </c>
      <c r="S54" s="105">
        <f t="shared" si="19"/>
        <v>8</v>
      </c>
      <c r="T54" s="412"/>
      <c r="U54" s="105">
        <v>17</v>
      </c>
      <c r="V54" s="202">
        <v>1369.5412844036705</v>
      </c>
      <c r="W54" s="202">
        <v>80.561252023745325</v>
      </c>
      <c r="X54" s="105">
        <f t="shared" si="20"/>
        <v>5</v>
      </c>
      <c r="Y54" s="412"/>
      <c r="Z54" s="105">
        <v>17</v>
      </c>
      <c r="AA54" s="202">
        <v>1343.7500000000005</v>
      </c>
      <c r="AB54" s="202">
        <v>79.044117647058854</v>
      </c>
      <c r="AC54" s="105">
        <f t="shared" si="21"/>
        <v>9</v>
      </c>
      <c r="AD54" s="412"/>
      <c r="AE54" s="105">
        <v>17</v>
      </c>
      <c r="AF54" s="202">
        <v>1309.7872340425533</v>
      </c>
      <c r="AG54" s="202">
        <v>77.046307884856077</v>
      </c>
      <c r="AH54" s="105">
        <f t="shared" si="22"/>
        <v>10</v>
      </c>
      <c r="AI54" s="412"/>
      <c r="AJ54" s="105">
        <v>17</v>
      </c>
      <c r="AK54" s="202">
        <v>1364.6666666666665</v>
      </c>
      <c r="AL54" s="202">
        <v>80.274509803921561</v>
      </c>
      <c r="AM54" s="105">
        <f t="shared" si="23"/>
        <v>6</v>
      </c>
      <c r="AN54" s="412"/>
      <c r="AO54" s="105">
        <v>17</v>
      </c>
      <c r="AP54" s="202">
        <v>1345.714285714286</v>
      </c>
      <c r="AQ54" s="202">
        <v>79.159663865546236</v>
      </c>
      <c r="AR54" s="105">
        <f t="shared" si="24"/>
        <v>8</v>
      </c>
      <c r="AS54" s="412"/>
      <c r="AT54" s="105">
        <v>17</v>
      </c>
      <c r="AU54" s="202">
        <v>1334.2857142857151</v>
      </c>
      <c r="AV54" s="202">
        <v>78.487394957983241</v>
      </c>
      <c r="AW54" s="105">
        <f t="shared" si="25"/>
        <v>9</v>
      </c>
      <c r="AX54" s="412"/>
    </row>
    <row r="55" spans="2:50">
      <c r="B55" s="398"/>
      <c r="C55" s="105">
        <v>14</v>
      </c>
      <c r="D55" s="228" t="s">
        <v>269</v>
      </c>
      <c r="E55" s="175">
        <v>19</v>
      </c>
      <c r="F55" s="105">
        <v>1636</v>
      </c>
      <c r="G55" s="202">
        <v>86.10526315789474</v>
      </c>
      <c r="H55" s="385"/>
      <c r="I55" s="175">
        <f t="shared" si="26"/>
        <v>18.857142857142858</v>
      </c>
      <c r="J55" s="175">
        <f t="shared" si="27"/>
        <v>1273.0519288005783</v>
      </c>
      <c r="K55" s="202">
        <f t="shared" si="28"/>
        <v>67.541580212561769</v>
      </c>
      <c r="L55" s="385"/>
      <c r="M55" s="203">
        <f>RANK(K55, K$42:$K$71)</f>
        <v>22</v>
      </c>
      <c r="N55" s="387"/>
      <c r="O55" s="387"/>
      <c r="P55" s="105">
        <v>18</v>
      </c>
      <c r="Q55" s="202">
        <v>1290.0000000000007</v>
      </c>
      <c r="R55" s="202">
        <v>71.6666666666667</v>
      </c>
      <c r="S55" s="105">
        <f t="shared" si="19"/>
        <v>18</v>
      </c>
      <c r="T55" s="412"/>
      <c r="U55" s="105">
        <v>19</v>
      </c>
      <c r="V55" s="202">
        <v>1299.7826086956522</v>
      </c>
      <c r="W55" s="202">
        <v>68.409610983981693</v>
      </c>
      <c r="X55" s="105">
        <f t="shared" si="20"/>
        <v>21</v>
      </c>
      <c r="Y55" s="412"/>
      <c r="Z55" s="105">
        <v>19</v>
      </c>
      <c r="AA55" s="202">
        <v>1260.7317073170727</v>
      </c>
      <c r="AB55" s="202">
        <v>66.354300385109084</v>
      </c>
      <c r="AC55" s="105">
        <f t="shared" si="21"/>
        <v>20</v>
      </c>
      <c r="AD55" s="412"/>
      <c r="AE55" s="105">
        <v>19</v>
      </c>
      <c r="AF55" s="202">
        <v>1256.2025316455688</v>
      </c>
      <c r="AG55" s="202">
        <v>66.115922718187832</v>
      </c>
      <c r="AH55" s="105">
        <f t="shared" si="22"/>
        <v>20</v>
      </c>
      <c r="AI55" s="412"/>
      <c r="AJ55" s="105">
        <v>19</v>
      </c>
      <c r="AK55" s="202">
        <v>1255.862068965517</v>
      </c>
      <c r="AL55" s="202">
        <v>66.098003629764051</v>
      </c>
      <c r="AM55" s="105">
        <f t="shared" si="23"/>
        <v>21</v>
      </c>
      <c r="AN55" s="412"/>
      <c r="AO55" s="105">
        <v>19</v>
      </c>
      <c r="AP55" s="202">
        <v>1262.0454545454545</v>
      </c>
      <c r="AQ55" s="202">
        <v>66.423444976076553</v>
      </c>
      <c r="AR55" s="105">
        <f t="shared" si="24"/>
        <v>20</v>
      </c>
      <c r="AS55" s="412"/>
      <c r="AT55" s="105">
        <v>19</v>
      </c>
      <c r="AU55" s="202">
        <v>1286.7391304347825</v>
      </c>
      <c r="AV55" s="202">
        <v>67.723112128146454</v>
      </c>
      <c r="AW55" s="105">
        <f t="shared" si="25"/>
        <v>21</v>
      </c>
      <c r="AX55" s="412"/>
    </row>
    <row r="56" spans="2:50">
      <c r="B56" s="398"/>
      <c r="C56" s="105">
        <v>15</v>
      </c>
      <c r="D56" s="228" t="s">
        <v>268</v>
      </c>
      <c r="E56" s="175">
        <v>19</v>
      </c>
      <c r="F56" s="105">
        <v>1636</v>
      </c>
      <c r="G56" s="202">
        <v>86.10526315789474</v>
      </c>
      <c r="H56" s="385"/>
      <c r="I56" s="175">
        <f t="shared" si="26"/>
        <v>18.857142857142858</v>
      </c>
      <c r="J56" s="175">
        <f t="shared" si="27"/>
        <v>1279.9170747177361</v>
      </c>
      <c r="K56" s="202">
        <f t="shared" si="28"/>
        <v>67.890042581767133</v>
      </c>
      <c r="L56" s="385"/>
      <c r="M56" s="175">
        <f>RANK(K56, K$42:$K$71)</f>
        <v>20</v>
      </c>
      <c r="N56" s="387"/>
      <c r="O56" s="387"/>
      <c r="P56" s="105">
        <v>18</v>
      </c>
      <c r="Q56" s="202">
        <v>1259.2105263157887</v>
      </c>
      <c r="R56" s="202">
        <v>69.956140350877149</v>
      </c>
      <c r="S56" s="105">
        <f t="shared" ref="S56:S70" si="29">RANK(R56, R$42:R$71)</f>
        <v>20</v>
      </c>
      <c r="T56" s="412"/>
      <c r="U56" s="105">
        <v>19</v>
      </c>
      <c r="V56" s="202">
        <v>1307.4626865671626</v>
      </c>
      <c r="W56" s="202">
        <v>68.813825608798027</v>
      </c>
      <c r="X56" s="105">
        <f t="shared" ref="X56:X70" si="30">RANK(W56, W$42:W$71)</f>
        <v>20</v>
      </c>
      <c r="Y56" s="412"/>
      <c r="Z56" s="105">
        <v>19</v>
      </c>
      <c r="AA56" s="202">
        <v>1316.896551724139</v>
      </c>
      <c r="AB56" s="202">
        <v>69.310344827586263</v>
      </c>
      <c r="AC56" s="105">
        <f t="shared" ref="AC56:AC70" si="31">RANK(AB56, AB$42:AB$71)</f>
        <v>18</v>
      </c>
      <c r="AD56" s="412"/>
      <c r="AE56" s="105">
        <v>19</v>
      </c>
      <c r="AF56" s="202">
        <v>1248.813559322035</v>
      </c>
      <c r="AG56" s="202">
        <v>65.727029438001836</v>
      </c>
      <c r="AH56" s="105">
        <f t="shared" ref="AH56:AH70" si="32">RANK(AG56, AG$42:AG$71)</f>
        <v>21</v>
      </c>
      <c r="AI56" s="412"/>
      <c r="AJ56" s="105">
        <v>19</v>
      </c>
      <c r="AK56" s="202">
        <v>1306.1538461538476</v>
      </c>
      <c r="AL56" s="202">
        <v>68.744939271255134</v>
      </c>
      <c r="AM56" s="105">
        <f t="shared" ref="AM56:AM70" si="33">RANK(AL56, AL$42:AL$71)</f>
        <v>19</v>
      </c>
      <c r="AN56" s="412"/>
      <c r="AO56" s="105">
        <v>19</v>
      </c>
      <c r="AP56" s="202">
        <v>1260.0000000000014</v>
      </c>
      <c r="AQ56" s="202">
        <v>66.315789473684276</v>
      </c>
      <c r="AR56" s="105">
        <f t="shared" ref="AR56:AR70" si="34">RANK(AQ56, AQ$42:AQ$71)</f>
        <v>21</v>
      </c>
      <c r="AS56" s="412"/>
      <c r="AT56" s="105">
        <v>19</v>
      </c>
      <c r="AU56" s="202">
        <v>1260.8823529411779</v>
      </c>
      <c r="AV56" s="202">
        <v>66.362229102167262</v>
      </c>
      <c r="AW56" s="105">
        <f t="shared" ref="AW56:AW70" si="35">RANK(AV56, AV$42:AV$71)</f>
        <v>22</v>
      </c>
      <c r="AX56" s="412"/>
    </row>
    <row r="57" spans="2:50">
      <c r="B57" s="398"/>
      <c r="C57" s="105">
        <v>16</v>
      </c>
      <c r="D57" s="228" t="s">
        <v>263</v>
      </c>
      <c r="E57" s="175">
        <v>19</v>
      </c>
      <c r="F57" s="105">
        <v>1500</v>
      </c>
      <c r="G57" s="202">
        <v>78.94736842105263</v>
      </c>
      <c r="H57" s="385"/>
      <c r="I57" s="175">
        <f t="shared" si="26"/>
        <v>19</v>
      </c>
      <c r="J57" s="175">
        <f t="shared" si="27"/>
        <v>1283.6271943427826</v>
      </c>
      <c r="K57" s="202">
        <f t="shared" si="28"/>
        <v>67.559326018041205</v>
      </c>
      <c r="L57" s="385"/>
      <c r="M57" s="175">
        <f>RANK(K57, K$42:$K$71)</f>
        <v>21</v>
      </c>
      <c r="N57" s="387"/>
      <c r="O57" s="387"/>
      <c r="P57" s="105">
        <v>19</v>
      </c>
      <c r="Q57" s="202">
        <v>1256.3265306122453</v>
      </c>
      <c r="R57" s="202">
        <v>66.122448979591852</v>
      </c>
      <c r="S57" s="105">
        <f t="shared" si="29"/>
        <v>22</v>
      </c>
      <c r="T57" s="412"/>
      <c r="U57" s="105">
        <v>19</v>
      </c>
      <c r="V57" s="202">
        <v>1311.0638297872342</v>
      </c>
      <c r="W57" s="202">
        <v>69.003359462486017</v>
      </c>
      <c r="X57" s="105">
        <f t="shared" si="30"/>
        <v>19</v>
      </c>
      <c r="Y57" s="412"/>
      <c r="Z57" s="105">
        <v>19</v>
      </c>
      <c r="AA57" s="202">
        <v>1285.4999999999995</v>
      </c>
      <c r="AB57" s="202">
        <v>67.657894736842081</v>
      </c>
      <c r="AC57" s="105">
        <f t="shared" si="31"/>
        <v>19</v>
      </c>
      <c r="AD57" s="412"/>
      <c r="AE57" s="105">
        <v>19</v>
      </c>
      <c r="AF57" s="202">
        <v>1272.8571428571424</v>
      </c>
      <c r="AG57" s="202">
        <v>66.9924812030075</v>
      </c>
      <c r="AH57" s="105">
        <f t="shared" si="32"/>
        <v>19</v>
      </c>
      <c r="AI57" s="412"/>
      <c r="AJ57" s="105">
        <v>19</v>
      </c>
      <c r="AK57" s="202">
        <v>1271.2500000000005</v>
      </c>
      <c r="AL57" s="202">
        <v>66.907894736842124</v>
      </c>
      <c r="AM57" s="105">
        <f t="shared" si="33"/>
        <v>20</v>
      </c>
      <c r="AN57" s="412"/>
      <c r="AO57" s="105">
        <v>19</v>
      </c>
      <c r="AP57" s="202">
        <v>1271.2500000000005</v>
      </c>
      <c r="AQ57" s="202">
        <v>66.907894736842124</v>
      </c>
      <c r="AR57" s="105">
        <f t="shared" si="34"/>
        <v>19</v>
      </c>
      <c r="AS57" s="412"/>
      <c r="AT57" s="105">
        <v>19</v>
      </c>
      <c r="AU57" s="202">
        <v>1317.1428571428567</v>
      </c>
      <c r="AV57" s="202">
        <v>69.323308270676662</v>
      </c>
      <c r="AW57" s="105">
        <f t="shared" si="35"/>
        <v>20</v>
      </c>
      <c r="AX57" s="412"/>
    </row>
    <row r="58" spans="2:50">
      <c r="B58" s="398"/>
      <c r="C58" s="105">
        <v>17</v>
      </c>
      <c r="D58" s="228" t="s">
        <v>262</v>
      </c>
      <c r="E58" s="175">
        <v>18</v>
      </c>
      <c r="F58" s="105">
        <v>1636</v>
      </c>
      <c r="G58" s="202">
        <v>90.888888888888886</v>
      </c>
      <c r="H58" s="385"/>
      <c r="I58" s="175">
        <f t="shared" si="26"/>
        <v>17</v>
      </c>
      <c r="J58" s="175">
        <f t="shared" si="27"/>
        <v>1289.3178026444334</v>
      </c>
      <c r="K58" s="202">
        <f t="shared" si="28"/>
        <v>75.842223684966669</v>
      </c>
      <c r="L58" s="385"/>
      <c r="M58" s="175">
        <f>RANK(K58, K$42:$K$71)</f>
        <v>10</v>
      </c>
      <c r="N58" s="387"/>
      <c r="O58" s="387"/>
      <c r="P58" s="105">
        <v>17</v>
      </c>
      <c r="Q58" s="202">
        <v>1308.1034482758621</v>
      </c>
      <c r="R58" s="202">
        <v>76.947261663286</v>
      </c>
      <c r="S58" s="105">
        <f t="shared" si="29"/>
        <v>10</v>
      </c>
      <c r="T58" s="412"/>
      <c r="U58" s="105">
        <v>17</v>
      </c>
      <c r="V58" s="202">
        <v>1258.5245901639348</v>
      </c>
      <c r="W58" s="202">
        <v>74.030858244937349</v>
      </c>
      <c r="X58" s="105">
        <f t="shared" si="30"/>
        <v>15</v>
      </c>
      <c r="Y58" s="412"/>
      <c r="Z58" s="105">
        <v>17</v>
      </c>
      <c r="AA58" s="202">
        <v>1269.2307692307695</v>
      </c>
      <c r="AB58" s="202">
        <v>74.660633484162915</v>
      </c>
      <c r="AC58" s="105">
        <f t="shared" si="31"/>
        <v>13</v>
      </c>
      <c r="AD58" s="412"/>
      <c r="AE58" s="105">
        <v>17</v>
      </c>
      <c r="AF58" s="202">
        <v>1321.9354838709678</v>
      </c>
      <c r="AG58" s="202">
        <v>77.760910815939283</v>
      </c>
      <c r="AH58" s="105">
        <f t="shared" si="32"/>
        <v>9</v>
      </c>
      <c r="AI58" s="412"/>
      <c r="AJ58" s="105">
        <v>17</v>
      </c>
      <c r="AK58" s="202">
        <v>1295.5102040816332</v>
      </c>
      <c r="AL58" s="202">
        <v>76.206482593037251</v>
      </c>
      <c r="AM58" s="105">
        <f t="shared" si="33"/>
        <v>11</v>
      </c>
      <c r="AN58" s="412"/>
      <c r="AO58" s="105">
        <v>17</v>
      </c>
      <c r="AP58" s="202">
        <v>1310.9523809523812</v>
      </c>
      <c r="AQ58" s="202">
        <v>77.114845938375367</v>
      </c>
      <c r="AR58" s="105">
        <f t="shared" si="34"/>
        <v>10</v>
      </c>
      <c r="AS58" s="412"/>
      <c r="AT58" s="105">
        <v>17</v>
      </c>
      <c r="AU58" s="202">
        <v>1260.9677419354844</v>
      </c>
      <c r="AV58" s="202">
        <v>74.174573055028489</v>
      </c>
      <c r="AW58" s="105">
        <f t="shared" si="35"/>
        <v>15</v>
      </c>
      <c r="AX58" s="412"/>
    </row>
    <row r="59" spans="2:50">
      <c r="B59" s="398"/>
      <c r="C59" s="105">
        <v>18</v>
      </c>
      <c r="D59" s="228" t="s">
        <v>272</v>
      </c>
      <c r="E59" s="175">
        <v>17</v>
      </c>
      <c r="F59" s="105">
        <v>1565</v>
      </c>
      <c r="G59" s="202">
        <v>92.058823529411768</v>
      </c>
      <c r="H59" s="385"/>
      <c r="I59" s="175">
        <f t="shared" si="26"/>
        <v>17</v>
      </c>
      <c r="J59" s="175">
        <f t="shared" si="27"/>
        <v>1183.5742589684262</v>
      </c>
      <c r="K59" s="202">
        <f t="shared" si="28"/>
        <v>69.622015233436827</v>
      </c>
      <c r="L59" s="385"/>
      <c r="M59" s="175">
        <f>RANK(K59, K$42:$K$71)</f>
        <v>18</v>
      </c>
      <c r="N59" s="387"/>
      <c r="O59" s="387"/>
      <c r="P59" s="105">
        <v>17</v>
      </c>
      <c r="Q59" s="202">
        <v>1237.9999999999977</v>
      </c>
      <c r="R59" s="202">
        <v>72.823529411764568</v>
      </c>
      <c r="S59" s="105">
        <f t="shared" si="29"/>
        <v>17</v>
      </c>
      <c r="T59" s="412"/>
      <c r="U59" s="105">
        <v>17</v>
      </c>
      <c r="V59" s="202">
        <v>1267.7419354838689</v>
      </c>
      <c r="W59" s="202">
        <v>74.573055028462875</v>
      </c>
      <c r="X59" s="105">
        <f t="shared" si="30"/>
        <v>14</v>
      </c>
      <c r="Y59" s="412"/>
      <c r="Z59" s="105">
        <v>17</v>
      </c>
      <c r="AA59" s="202">
        <v>1078.1818181818169</v>
      </c>
      <c r="AB59" s="202">
        <v>63.42245989304805</v>
      </c>
      <c r="AC59" s="105">
        <f t="shared" si="31"/>
        <v>22</v>
      </c>
      <c r="AD59" s="412"/>
      <c r="AE59" s="105">
        <v>17</v>
      </c>
      <c r="AF59" s="202">
        <v>1069.2857142857151</v>
      </c>
      <c r="AG59" s="202">
        <v>62.899159663865596</v>
      </c>
      <c r="AH59" s="105">
        <f t="shared" si="32"/>
        <v>23</v>
      </c>
      <c r="AI59" s="412"/>
      <c r="AJ59" s="105">
        <v>17</v>
      </c>
      <c r="AK59" s="202">
        <v>1072.5000000000014</v>
      </c>
      <c r="AL59" s="202">
        <v>63.08823529411773</v>
      </c>
      <c r="AM59" s="105">
        <f t="shared" si="33"/>
        <v>22</v>
      </c>
      <c r="AN59" s="412"/>
      <c r="AO59" s="105">
        <v>17</v>
      </c>
      <c r="AP59" s="202">
        <v>1268.2758620689631</v>
      </c>
      <c r="AQ59" s="202">
        <v>74.60446247464489</v>
      </c>
      <c r="AR59" s="105">
        <f t="shared" si="34"/>
        <v>15</v>
      </c>
      <c r="AS59" s="412"/>
      <c r="AT59" s="105">
        <v>17</v>
      </c>
      <c r="AU59" s="202">
        <v>1291.0344827586182</v>
      </c>
      <c r="AV59" s="202">
        <v>75.943204868154012</v>
      </c>
      <c r="AW59" s="105">
        <f t="shared" si="35"/>
        <v>13</v>
      </c>
      <c r="AX59" s="412"/>
    </row>
    <row r="60" spans="2:50">
      <c r="B60" s="398"/>
      <c r="C60" s="105">
        <v>19</v>
      </c>
      <c r="D60" s="228" t="s">
        <v>273</v>
      </c>
      <c r="E60" s="175">
        <v>16</v>
      </c>
      <c r="F60" s="105">
        <v>1500</v>
      </c>
      <c r="G60" s="202">
        <v>93.75</v>
      </c>
      <c r="H60" s="385"/>
      <c r="I60" s="175">
        <f t="shared" si="26"/>
        <v>16</v>
      </c>
      <c r="J60" s="175">
        <f t="shared" si="27"/>
        <v>1275.187767752371</v>
      </c>
      <c r="K60" s="202">
        <f t="shared" si="28"/>
        <v>79.699235484523186</v>
      </c>
      <c r="L60" s="385"/>
      <c r="M60" s="175">
        <f>RANK(K60, K$42:$K$71)</f>
        <v>7</v>
      </c>
      <c r="N60" s="387"/>
      <c r="O60" s="387"/>
      <c r="P60" s="105">
        <v>16</v>
      </c>
      <c r="Q60" s="202">
        <v>1276.0000000000011</v>
      </c>
      <c r="R60" s="202">
        <v>79.750000000000071</v>
      </c>
      <c r="S60" s="105">
        <f t="shared" si="29"/>
        <v>7</v>
      </c>
      <c r="T60" s="412"/>
      <c r="U60" s="105">
        <v>16</v>
      </c>
      <c r="V60" s="202">
        <v>1264.761904761906</v>
      </c>
      <c r="W60" s="202">
        <v>79.047619047619122</v>
      </c>
      <c r="X60" s="105">
        <f t="shared" si="30"/>
        <v>8</v>
      </c>
      <c r="Y60" s="412"/>
      <c r="Z60" s="105">
        <v>16</v>
      </c>
      <c r="AA60" s="202">
        <v>1288.3636363636372</v>
      </c>
      <c r="AB60" s="202">
        <v>80.522727272727323</v>
      </c>
      <c r="AC60" s="105">
        <f t="shared" si="31"/>
        <v>6</v>
      </c>
      <c r="AD60" s="412"/>
      <c r="AE60" s="105">
        <v>16</v>
      </c>
      <c r="AF60" s="202">
        <v>1274.0425531914896</v>
      </c>
      <c r="AG60" s="202">
        <v>79.627659574468098</v>
      </c>
      <c r="AH60" s="105">
        <f t="shared" si="32"/>
        <v>6</v>
      </c>
      <c r="AI60" s="412"/>
      <c r="AJ60" s="105">
        <v>16</v>
      </c>
      <c r="AK60" s="202">
        <v>1265.7692307692314</v>
      </c>
      <c r="AL60" s="202">
        <v>79.110576923076962</v>
      </c>
      <c r="AM60" s="105">
        <f t="shared" si="33"/>
        <v>9</v>
      </c>
      <c r="AN60" s="412"/>
      <c r="AO60" s="105">
        <v>16</v>
      </c>
      <c r="AP60" s="202">
        <v>1256.0655737704928</v>
      </c>
      <c r="AQ60" s="202">
        <v>78.504098360655803</v>
      </c>
      <c r="AR60" s="105">
        <f t="shared" si="34"/>
        <v>9</v>
      </c>
      <c r="AS60" s="412"/>
      <c r="AT60" s="105">
        <v>16</v>
      </c>
      <c r="AU60" s="202">
        <v>1301.3114754098372</v>
      </c>
      <c r="AV60" s="202">
        <v>81.331967213114822</v>
      </c>
      <c r="AW60" s="105">
        <f t="shared" si="35"/>
        <v>5</v>
      </c>
      <c r="AX60" s="412"/>
    </row>
    <row r="61" spans="2:50">
      <c r="B61" s="398"/>
      <c r="C61" s="105">
        <v>20</v>
      </c>
      <c r="D61" s="228" t="s">
        <v>274</v>
      </c>
      <c r="E61" s="175">
        <v>16</v>
      </c>
      <c r="F61" s="105">
        <v>1565</v>
      </c>
      <c r="G61" s="202">
        <v>97.8125</v>
      </c>
      <c r="H61" s="385"/>
      <c r="I61" s="175">
        <f t="shared" si="26"/>
        <v>16</v>
      </c>
      <c r="J61" s="175">
        <f t="shared" si="27"/>
        <v>1299.951255264052</v>
      </c>
      <c r="K61" s="202">
        <f t="shared" si="28"/>
        <v>81.246953454003247</v>
      </c>
      <c r="L61" s="385"/>
      <c r="M61" s="175">
        <f>RANK(K61, K$42:$K$71)</f>
        <v>5</v>
      </c>
      <c r="N61" s="387"/>
      <c r="O61" s="387"/>
      <c r="P61" s="105">
        <v>16</v>
      </c>
      <c r="Q61" s="202">
        <v>1303.4693877551024</v>
      </c>
      <c r="R61" s="202">
        <v>81.466836734693899</v>
      </c>
      <c r="S61" s="105">
        <f t="shared" si="29"/>
        <v>6</v>
      </c>
      <c r="T61" s="412"/>
      <c r="U61" s="105">
        <v>16</v>
      </c>
      <c r="V61" s="202">
        <v>1303.7500000000002</v>
      </c>
      <c r="W61" s="202">
        <v>81.484375000000014</v>
      </c>
      <c r="X61" s="105">
        <f t="shared" si="30"/>
        <v>4</v>
      </c>
      <c r="Y61" s="412"/>
      <c r="Z61" s="105">
        <v>16</v>
      </c>
      <c r="AA61" s="202">
        <v>1280.2325581395348</v>
      </c>
      <c r="AB61" s="202">
        <v>80.014534883720927</v>
      </c>
      <c r="AC61" s="105">
        <f t="shared" si="31"/>
        <v>7</v>
      </c>
      <c r="AD61" s="412"/>
      <c r="AE61" s="105">
        <v>16</v>
      </c>
      <c r="AF61" s="202">
        <v>1315.588235294116</v>
      </c>
      <c r="AG61" s="202">
        <v>82.224264705882248</v>
      </c>
      <c r="AH61" s="105">
        <f t="shared" si="32"/>
        <v>5</v>
      </c>
      <c r="AI61" s="412"/>
      <c r="AJ61" s="105">
        <v>16</v>
      </c>
      <c r="AK61" s="202">
        <v>1302.0895522388043</v>
      </c>
      <c r="AL61" s="202">
        <v>81.380597014925272</v>
      </c>
      <c r="AM61" s="105">
        <f t="shared" si="33"/>
        <v>5</v>
      </c>
      <c r="AN61" s="412"/>
      <c r="AO61" s="105">
        <v>16</v>
      </c>
      <c r="AP61" s="202">
        <v>1316.590909090909</v>
      </c>
      <c r="AQ61" s="202">
        <v>82.286931818181813</v>
      </c>
      <c r="AR61" s="105">
        <f t="shared" si="34"/>
        <v>5</v>
      </c>
      <c r="AS61" s="412"/>
      <c r="AT61" s="105">
        <v>16</v>
      </c>
      <c r="AU61" s="202">
        <v>1277.9381443298973</v>
      </c>
      <c r="AV61" s="202">
        <v>79.871134020618584</v>
      </c>
      <c r="AW61" s="105">
        <f t="shared" si="35"/>
        <v>7</v>
      </c>
      <c r="AX61" s="412"/>
    </row>
    <row r="62" spans="2:50">
      <c r="B62" s="398"/>
      <c r="C62" s="105">
        <v>21</v>
      </c>
      <c r="D62" s="228" t="s">
        <v>275</v>
      </c>
      <c r="E62" s="175">
        <v>17</v>
      </c>
      <c r="F62" s="105">
        <v>1500</v>
      </c>
      <c r="G62" s="202">
        <v>88.235294117647058</v>
      </c>
      <c r="H62" s="385"/>
      <c r="I62" s="175">
        <f t="shared" si="26"/>
        <v>17</v>
      </c>
      <c r="J62" s="175">
        <f t="shared" si="27"/>
        <v>1277.542816630373</v>
      </c>
      <c r="K62" s="202">
        <f t="shared" si="28"/>
        <v>75.149577448845463</v>
      </c>
      <c r="L62" s="385"/>
      <c r="M62" s="175">
        <f>RANK(K62, K$42:$K$71)</f>
        <v>13</v>
      </c>
      <c r="N62" s="387"/>
      <c r="O62" s="387"/>
      <c r="P62" s="105">
        <v>17</v>
      </c>
      <c r="Q62" s="202">
        <v>1275.7142857142853</v>
      </c>
      <c r="R62" s="202">
        <v>75.042016806722671</v>
      </c>
      <c r="S62" s="105">
        <f t="shared" si="29"/>
        <v>13</v>
      </c>
      <c r="T62" s="412"/>
      <c r="U62" s="105">
        <v>17</v>
      </c>
      <c r="V62" s="202">
        <v>1284.6153846153838</v>
      </c>
      <c r="W62" s="202">
        <v>75.565610859728466</v>
      </c>
      <c r="X62" s="105">
        <f t="shared" si="30"/>
        <v>10</v>
      </c>
      <c r="Y62" s="412"/>
      <c r="Z62" s="105">
        <v>17</v>
      </c>
      <c r="AA62" s="202">
        <v>1287.9999999999977</v>
      </c>
      <c r="AB62" s="202">
        <v>75.764705882352814</v>
      </c>
      <c r="AC62" s="105">
        <f t="shared" si="31"/>
        <v>12</v>
      </c>
      <c r="AD62" s="412"/>
      <c r="AE62" s="105">
        <v>17</v>
      </c>
      <c r="AF62" s="202">
        <v>1271.6129032258045</v>
      </c>
      <c r="AG62" s="202">
        <v>74.800759013282615</v>
      </c>
      <c r="AH62" s="105">
        <f t="shared" si="32"/>
        <v>12</v>
      </c>
      <c r="AI62" s="412"/>
      <c r="AJ62" s="105">
        <v>17</v>
      </c>
      <c r="AK62" s="202">
        <v>1259.9999999999989</v>
      </c>
      <c r="AL62" s="202">
        <v>74.117647058823465</v>
      </c>
      <c r="AM62" s="105">
        <f t="shared" si="33"/>
        <v>13</v>
      </c>
      <c r="AN62" s="412"/>
      <c r="AO62" s="105">
        <v>17</v>
      </c>
      <c r="AP62" s="202">
        <v>1283.9999999999986</v>
      </c>
      <c r="AQ62" s="202">
        <v>75.529411764705799</v>
      </c>
      <c r="AR62" s="105">
        <f t="shared" si="34"/>
        <v>12</v>
      </c>
      <c r="AS62" s="412"/>
      <c r="AT62" s="105">
        <v>17</v>
      </c>
      <c r="AU62" s="202">
        <v>1278.8571428571415</v>
      </c>
      <c r="AV62" s="202">
        <v>75.226890756302438</v>
      </c>
      <c r="AW62" s="105">
        <f t="shared" si="35"/>
        <v>14</v>
      </c>
      <c r="AX62" s="412"/>
    </row>
    <row r="63" spans="2:50">
      <c r="B63" s="398"/>
      <c r="C63" s="105">
        <v>22</v>
      </c>
      <c r="D63" s="228" t="s">
        <v>276</v>
      </c>
      <c r="E63" s="175">
        <v>18</v>
      </c>
      <c r="F63" s="105">
        <v>1636</v>
      </c>
      <c r="G63" s="202">
        <v>90.888888888888886</v>
      </c>
      <c r="H63" s="385"/>
      <c r="I63" s="175">
        <f t="shared" si="26"/>
        <v>17.857142857142858</v>
      </c>
      <c r="J63" s="175">
        <f t="shared" si="27"/>
        <v>1088.6509900527733</v>
      </c>
      <c r="K63" s="202">
        <f t="shared" si="28"/>
        <v>60.974141304119009</v>
      </c>
      <c r="L63" s="385"/>
      <c r="M63" s="175">
        <f>RANK(K63, K$42:$K$71)</f>
        <v>24</v>
      </c>
      <c r="N63" s="387"/>
      <c r="O63" s="387"/>
      <c r="P63" s="105">
        <v>18</v>
      </c>
      <c r="Q63" s="202">
        <v>1108.6956521739094</v>
      </c>
      <c r="R63" s="202">
        <v>61.59420289855052</v>
      </c>
      <c r="S63" s="105">
        <f t="shared" si="29"/>
        <v>24</v>
      </c>
      <c r="T63" s="412"/>
      <c r="U63" s="105">
        <v>18</v>
      </c>
      <c r="V63" s="202">
        <v>1113.599999999997</v>
      </c>
      <c r="W63" s="202">
        <v>61.866666666666497</v>
      </c>
      <c r="X63" s="105">
        <f t="shared" si="30"/>
        <v>24</v>
      </c>
      <c r="Y63" s="412"/>
      <c r="Z63" s="105">
        <v>17</v>
      </c>
      <c r="AA63" s="202">
        <v>1057.1428571428607</v>
      </c>
      <c r="AB63" s="202">
        <v>62.184873949580044</v>
      </c>
      <c r="AC63" s="105">
        <f t="shared" si="31"/>
        <v>24</v>
      </c>
      <c r="AD63" s="412"/>
      <c r="AE63" s="105">
        <v>18</v>
      </c>
      <c r="AF63" s="202">
        <v>1110.0000000000039</v>
      </c>
      <c r="AG63" s="202">
        <v>61.666666666666885</v>
      </c>
      <c r="AH63" s="105">
        <f t="shared" si="32"/>
        <v>24</v>
      </c>
      <c r="AI63" s="412"/>
      <c r="AJ63" s="105">
        <v>18</v>
      </c>
      <c r="AK63" s="202">
        <v>1092.6315789473724</v>
      </c>
      <c r="AL63" s="202">
        <v>60.701754385965131</v>
      </c>
      <c r="AM63" s="105">
        <f t="shared" si="33"/>
        <v>24</v>
      </c>
      <c r="AN63" s="412"/>
      <c r="AO63" s="105">
        <v>18</v>
      </c>
      <c r="AP63" s="202">
        <v>1054.736842105267</v>
      </c>
      <c r="AQ63" s="202">
        <v>58.596491228070391</v>
      </c>
      <c r="AR63" s="105">
        <f t="shared" si="34"/>
        <v>24</v>
      </c>
      <c r="AS63" s="412"/>
      <c r="AT63" s="105">
        <v>18</v>
      </c>
      <c r="AU63" s="202">
        <v>1083.7500000000039</v>
      </c>
      <c r="AV63" s="202">
        <v>60.208333333333549</v>
      </c>
      <c r="AW63" s="105">
        <f t="shared" si="35"/>
        <v>24</v>
      </c>
      <c r="AX63" s="412"/>
    </row>
    <row r="64" spans="2:50">
      <c r="B64" s="398"/>
      <c r="C64" s="105">
        <v>23</v>
      </c>
      <c r="D64" s="228" t="s">
        <v>277</v>
      </c>
      <c r="E64" s="175">
        <v>18</v>
      </c>
      <c r="F64" s="105">
        <v>1500</v>
      </c>
      <c r="G64" s="202">
        <v>83.333333333333329</v>
      </c>
      <c r="H64" s="385"/>
      <c r="I64" s="175">
        <f t="shared" si="26"/>
        <v>17</v>
      </c>
      <c r="J64" s="175">
        <f t="shared" si="27"/>
        <v>1280.3711173619013</v>
      </c>
      <c r="K64" s="202">
        <f t="shared" si="28"/>
        <v>75.315948080111852</v>
      </c>
      <c r="L64" s="385"/>
      <c r="M64" s="175">
        <f>RANK(K64, K$42:$K$71)</f>
        <v>12</v>
      </c>
      <c r="N64" s="387"/>
      <c r="O64" s="387"/>
      <c r="P64" s="105">
        <v>17</v>
      </c>
      <c r="Q64" s="202">
        <v>1293.4285714285702</v>
      </c>
      <c r="R64" s="202">
        <v>76.0840336134453</v>
      </c>
      <c r="S64" s="105">
        <f t="shared" si="29"/>
        <v>11</v>
      </c>
      <c r="T64" s="412"/>
      <c r="U64" s="105">
        <v>17</v>
      </c>
      <c r="V64" s="202">
        <v>1281.8181818181833</v>
      </c>
      <c r="W64" s="202">
        <v>75.401069518716668</v>
      </c>
      <c r="X64" s="105">
        <f t="shared" si="30"/>
        <v>12</v>
      </c>
      <c r="Y64" s="412"/>
      <c r="Z64" s="105">
        <v>17</v>
      </c>
      <c r="AA64" s="202">
        <v>1299.2727272727282</v>
      </c>
      <c r="AB64" s="202">
        <v>76.427807486631067</v>
      </c>
      <c r="AC64" s="105">
        <f t="shared" si="31"/>
        <v>10</v>
      </c>
      <c r="AD64" s="412"/>
      <c r="AE64" s="105">
        <v>17</v>
      </c>
      <c r="AF64" s="202">
        <v>1262.1428571428582</v>
      </c>
      <c r="AG64" s="202">
        <v>74.243697478991663</v>
      </c>
      <c r="AH64" s="105">
        <f t="shared" si="32"/>
        <v>14</v>
      </c>
      <c r="AI64" s="412"/>
      <c r="AJ64" s="105">
        <v>17</v>
      </c>
      <c r="AK64" s="202">
        <v>1251.2903225806463</v>
      </c>
      <c r="AL64" s="202">
        <v>73.605313092979188</v>
      </c>
      <c r="AM64" s="105">
        <f t="shared" si="33"/>
        <v>14</v>
      </c>
      <c r="AN64" s="412"/>
      <c r="AO64" s="105">
        <v>17</v>
      </c>
      <c r="AP64" s="202">
        <v>1274.0000000000011</v>
      </c>
      <c r="AQ64" s="202">
        <v>74.941176470588303</v>
      </c>
      <c r="AR64" s="105">
        <f t="shared" si="34"/>
        <v>13</v>
      </c>
      <c r="AS64" s="412"/>
      <c r="AT64" s="105">
        <v>17</v>
      </c>
      <c r="AU64" s="202">
        <v>1300.6451612903238</v>
      </c>
      <c r="AV64" s="202">
        <v>76.508538899430818</v>
      </c>
      <c r="AW64" s="105">
        <f t="shared" si="35"/>
        <v>11</v>
      </c>
      <c r="AX64" s="412"/>
    </row>
    <row r="65" spans="2:50">
      <c r="B65" s="398"/>
      <c r="C65" s="105">
        <v>24</v>
      </c>
      <c r="D65" s="228" t="s">
        <v>278</v>
      </c>
      <c r="E65" s="175">
        <v>18</v>
      </c>
      <c r="F65" s="105">
        <v>1440</v>
      </c>
      <c r="G65" s="202">
        <v>80</v>
      </c>
      <c r="H65" s="385"/>
      <c r="I65" s="175">
        <f t="shared" si="26"/>
        <v>18</v>
      </c>
      <c r="J65" s="175">
        <f t="shared" si="27"/>
        <v>1338.0484647136286</v>
      </c>
      <c r="K65" s="202">
        <f t="shared" si="28"/>
        <v>74.336025817423803</v>
      </c>
      <c r="L65" s="385"/>
      <c r="M65" s="175">
        <f>RANK(K65, K$42:$K$71)</f>
        <v>15</v>
      </c>
      <c r="N65" s="387"/>
      <c r="O65" s="387"/>
      <c r="P65" s="105">
        <v>18</v>
      </c>
      <c r="Q65" s="202">
        <v>1357.113402061856</v>
      </c>
      <c r="R65" s="202">
        <v>75.395189003436442</v>
      </c>
      <c r="S65" s="105">
        <f t="shared" si="29"/>
        <v>12</v>
      </c>
      <c r="T65" s="412"/>
      <c r="U65" s="105">
        <v>18</v>
      </c>
      <c r="V65" s="202">
        <v>1346.2921348314608</v>
      </c>
      <c r="W65" s="202">
        <v>74.794007490636716</v>
      </c>
      <c r="X65" s="105">
        <f t="shared" si="30"/>
        <v>13</v>
      </c>
      <c r="Y65" s="412"/>
      <c r="Z65" s="105">
        <v>18</v>
      </c>
      <c r="AA65" s="202">
        <v>1340.2597402597396</v>
      </c>
      <c r="AB65" s="202">
        <v>74.458874458874419</v>
      </c>
      <c r="AC65" s="105">
        <f t="shared" si="31"/>
        <v>14</v>
      </c>
      <c r="AD65" s="412"/>
      <c r="AE65" s="105">
        <v>18</v>
      </c>
      <c r="AF65" s="202">
        <v>1340.8695652173899</v>
      </c>
      <c r="AG65" s="202">
        <v>74.492753623188321</v>
      </c>
      <c r="AH65" s="105">
        <f t="shared" si="32"/>
        <v>13</v>
      </c>
      <c r="AI65" s="412"/>
      <c r="AJ65" s="105">
        <v>18</v>
      </c>
      <c r="AK65" s="202">
        <v>1296.3157894736833</v>
      </c>
      <c r="AL65" s="202">
        <v>72.017543859649066</v>
      </c>
      <c r="AM65" s="105">
        <f t="shared" si="33"/>
        <v>15</v>
      </c>
      <c r="AN65" s="412"/>
      <c r="AO65" s="105">
        <v>18</v>
      </c>
      <c r="AP65" s="202">
        <v>1317.7777777777774</v>
      </c>
      <c r="AQ65" s="202">
        <v>73.209876543209859</v>
      </c>
      <c r="AR65" s="105">
        <f t="shared" si="34"/>
        <v>16</v>
      </c>
      <c r="AS65" s="412"/>
      <c r="AT65" s="105">
        <v>18</v>
      </c>
      <c r="AU65" s="202">
        <v>1367.7108433734934</v>
      </c>
      <c r="AV65" s="202">
        <v>75.983935742971852</v>
      </c>
      <c r="AW65" s="105">
        <f t="shared" si="35"/>
        <v>12</v>
      </c>
      <c r="AX65" s="412"/>
    </row>
    <row r="66" spans="2:50">
      <c r="B66" s="398"/>
      <c r="C66" s="105">
        <v>25</v>
      </c>
      <c r="D66" s="228" t="s">
        <v>279</v>
      </c>
      <c r="E66" s="175">
        <v>15</v>
      </c>
      <c r="F66" s="105">
        <v>1440</v>
      </c>
      <c r="G66" s="202">
        <v>96</v>
      </c>
      <c r="H66" s="385"/>
      <c r="I66" s="175">
        <f t="shared" si="26"/>
        <v>15.142857142857142</v>
      </c>
      <c r="J66" s="175">
        <f t="shared" si="27"/>
        <v>1285.3074104755869</v>
      </c>
      <c r="K66" s="202">
        <f t="shared" si="28"/>
        <v>84.940358992615515</v>
      </c>
      <c r="L66" s="385"/>
      <c r="M66" s="175">
        <f>RANK(K66, K$42:$K$71)</f>
        <v>4</v>
      </c>
      <c r="N66" s="387"/>
      <c r="O66" s="387"/>
      <c r="P66" s="105">
        <v>15</v>
      </c>
      <c r="Q66" s="202">
        <v>1313.3333333333323</v>
      </c>
      <c r="R66" s="202">
        <v>87.555555555555486</v>
      </c>
      <c r="S66" s="105">
        <f t="shared" si="29"/>
        <v>4</v>
      </c>
      <c r="T66" s="412"/>
      <c r="U66" s="105">
        <v>16</v>
      </c>
      <c r="V66" s="202">
        <v>1254.6268656716434</v>
      </c>
      <c r="W66" s="202">
        <v>78.414179104477711</v>
      </c>
      <c r="X66" s="105">
        <f t="shared" si="30"/>
        <v>9</v>
      </c>
      <c r="Y66" s="412"/>
      <c r="Z66" s="105">
        <v>15</v>
      </c>
      <c r="AA66" s="202">
        <v>1271.2500000000016</v>
      </c>
      <c r="AB66" s="202">
        <v>84.750000000000099</v>
      </c>
      <c r="AC66" s="105">
        <f t="shared" si="31"/>
        <v>4</v>
      </c>
      <c r="AD66" s="412"/>
      <c r="AE66" s="105">
        <v>15</v>
      </c>
      <c r="AF66" s="202">
        <v>1318.9655172413804</v>
      </c>
      <c r="AG66" s="202">
        <v>87.93103448275869</v>
      </c>
      <c r="AH66" s="105">
        <f t="shared" si="32"/>
        <v>4</v>
      </c>
      <c r="AI66" s="412"/>
      <c r="AJ66" s="105">
        <v>15</v>
      </c>
      <c r="AK66" s="202">
        <v>1250.3225806451624</v>
      </c>
      <c r="AL66" s="202">
        <v>83.354838709677495</v>
      </c>
      <c r="AM66" s="105">
        <f t="shared" si="33"/>
        <v>4</v>
      </c>
      <c r="AN66" s="412"/>
      <c r="AO66" s="105">
        <v>15</v>
      </c>
      <c r="AP66" s="202">
        <v>1293.8709677419367</v>
      </c>
      <c r="AQ66" s="202">
        <v>86.25806451612911</v>
      </c>
      <c r="AR66" s="105">
        <f t="shared" si="34"/>
        <v>4</v>
      </c>
      <c r="AS66" s="412"/>
      <c r="AT66" s="105">
        <v>15</v>
      </c>
      <c r="AU66" s="202">
        <v>1294.7826086956509</v>
      </c>
      <c r="AV66" s="202">
        <v>86.318840579710056</v>
      </c>
      <c r="AW66" s="105">
        <f t="shared" si="35"/>
        <v>4</v>
      </c>
      <c r="AX66" s="412"/>
    </row>
    <row r="67" spans="2:50">
      <c r="B67" s="398"/>
      <c r="C67" s="105">
        <v>26</v>
      </c>
      <c r="D67" s="228" t="s">
        <v>281</v>
      </c>
      <c r="E67" s="175">
        <v>16</v>
      </c>
      <c r="F67" s="105">
        <v>1500</v>
      </c>
      <c r="G67" s="202">
        <v>93.75</v>
      </c>
      <c r="H67" s="385"/>
      <c r="I67" s="175">
        <f t="shared" si="26"/>
        <v>16</v>
      </c>
      <c r="J67" s="175">
        <f t="shared" si="27"/>
        <v>1089.8126145194958</v>
      </c>
      <c r="K67" s="202">
        <f t="shared" si="28"/>
        <v>68.113288407468488</v>
      </c>
      <c r="L67" s="385"/>
      <c r="M67" s="175">
        <f>RANK(K67, K$42:$K$71)</f>
        <v>19</v>
      </c>
      <c r="N67" s="387"/>
      <c r="O67" s="387"/>
      <c r="P67" s="105">
        <v>16</v>
      </c>
      <c r="Q67" s="202">
        <v>1092.6315789473724</v>
      </c>
      <c r="R67" s="202">
        <v>68.289473684210776</v>
      </c>
      <c r="S67" s="105">
        <f t="shared" si="29"/>
        <v>21</v>
      </c>
      <c r="T67" s="412"/>
      <c r="U67" s="105">
        <v>16</v>
      </c>
      <c r="V67" s="202">
        <v>1080.0000000000039</v>
      </c>
      <c r="W67" s="202">
        <v>67.500000000000242</v>
      </c>
      <c r="X67" s="105">
        <f t="shared" si="30"/>
        <v>22</v>
      </c>
      <c r="Y67" s="412"/>
      <c r="Z67" s="105">
        <v>16</v>
      </c>
      <c r="AA67" s="202">
        <v>1061.2500000000039</v>
      </c>
      <c r="AB67" s="202">
        <v>66.328125000000242</v>
      </c>
      <c r="AC67" s="105">
        <f t="shared" si="31"/>
        <v>21</v>
      </c>
      <c r="AD67" s="412"/>
      <c r="AE67" s="105">
        <v>16</v>
      </c>
      <c r="AF67" s="202">
        <v>1088.5714285714323</v>
      </c>
      <c r="AG67" s="202">
        <v>68.035714285714519</v>
      </c>
      <c r="AH67" s="105">
        <f t="shared" si="32"/>
        <v>18</v>
      </c>
      <c r="AI67" s="412"/>
      <c r="AJ67" s="105">
        <v>16</v>
      </c>
      <c r="AK67" s="202">
        <v>1110.0000000000039</v>
      </c>
      <c r="AL67" s="202">
        <v>69.375000000000242</v>
      </c>
      <c r="AM67" s="105">
        <f t="shared" si="33"/>
        <v>18</v>
      </c>
      <c r="AN67" s="412"/>
      <c r="AO67" s="105">
        <v>16</v>
      </c>
      <c r="AP67" s="202">
        <v>1048.2352941176507</v>
      </c>
      <c r="AQ67" s="202">
        <v>65.514705882353169</v>
      </c>
      <c r="AR67" s="105">
        <f t="shared" si="34"/>
        <v>22</v>
      </c>
      <c r="AS67" s="412"/>
      <c r="AT67" s="105">
        <v>16</v>
      </c>
      <c r="AU67" s="202">
        <v>1148.0000000000041</v>
      </c>
      <c r="AV67" s="202">
        <v>71.750000000000256</v>
      </c>
      <c r="AW67" s="105">
        <f t="shared" si="35"/>
        <v>17</v>
      </c>
      <c r="AX67" s="412"/>
    </row>
    <row r="68" spans="2:50">
      <c r="B68" s="398"/>
      <c r="C68" s="105">
        <v>27</v>
      </c>
      <c r="D68" s="228" t="s">
        <v>282</v>
      </c>
      <c r="E68" s="175">
        <v>18</v>
      </c>
      <c r="F68" s="105">
        <v>1440</v>
      </c>
      <c r="G68" s="202">
        <v>80</v>
      </c>
      <c r="H68" s="385"/>
      <c r="I68" s="175">
        <f t="shared" si="26"/>
        <v>18</v>
      </c>
      <c r="J68" s="175">
        <f t="shared" si="27"/>
        <v>1272.9740386376966</v>
      </c>
      <c r="K68" s="202">
        <f t="shared" si="28"/>
        <v>70.720779924316474</v>
      </c>
      <c r="L68" s="385"/>
      <c r="M68" s="175">
        <f>RANK(K68, K$42:$K$71)</f>
        <v>17</v>
      </c>
      <c r="N68" s="387"/>
      <c r="O68" s="387"/>
      <c r="P68" s="105">
        <v>18</v>
      </c>
      <c r="Q68" s="202">
        <v>1260</v>
      </c>
      <c r="R68" s="202">
        <v>70</v>
      </c>
      <c r="S68" s="105">
        <f t="shared" si="29"/>
        <v>19</v>
      </c>
      <c r="T68" s="412"/>
      <c r="U68" s="105">
        <v>18</v>
      </c>
      <c r="V68" s="202">
        <v>1269.2307692307691</v>
      </c>
      <c r="W68" s="202">
        <v>70.512820512820497</v>
      </c>
      <c r="X68" s="105">
        <f t="shared" si="30"/>
        <v>18</v>
      </c>
      <c r="Y68" s="412"/>
      <c r="Z68" s="105">
        <v>18</v>
      </c>
      <c r="AA68" s="202">
        <v>1286.6666666666674</v>
      </c>
      <c r="AB68" s="202">
        <v>71.481481481481524</v>
      </c>
      <c r="AC68" s="105">
        <f t="shared" si="31"/>
        <v>16</v>
      </c>
      <c r="AD68" s="412"/>
      <c r="AE68" s="105">
        <v>18</v>
      </c>
      <c r="AF68" s="202">
        <v>1294.6788990825696</v>
      </c>
      <c r="AG68" s="202">
        <v>71.926605504587201</v>
      </c>
      <c r="AH68" s="105">
        <f t="shared" si="32"/>
        <v>17</v>
      </c>
      <c r="AI68" s="412"/>
      <c r="AJ68" s="105">
        <v>18</v>
      </c>
      <c r="AK68" s="202">
        <v>1267.7419354838705</v>
      </c>
      <c r="AL68" s="202">
        <v>70.430107526881699</v>
      </c>
      <c r="AM68" s="105">
        <f t="shared" si="33"/>
        <v>17</v>
      </c>
      <c r="AN68" s="412"/>
      <c r="AO68" s="105">
        <v>18</v>
      </c>
      <c r="AP68" s="202">
        <v>1272.4999999999995</v>
      </c>
      <c r="AQ68" s="202">
        <v>70.694444444444414</v>
      </c>
      <c r="AR68" s="105">
        <f t="shared" si="34"/>
        <v>17</v>
      </c>
      <c r="AS68" s="412"/>
      <c r="AT68" s="105">
        <v>18</v>
      </c>
      <c r="AU68" s="202">
        <v>1259.9999999999993</v>
      </c>
      <c r="AV68" s="202">
        <v>69.999999999999957</v>
      </c>
      <c r="AW68" s="105">
        <f t="shared" si="35"/>
        <v>19</v>
      </c>
      <c r="AX68" s="412"/>
    </row>
    <row r="69" spans="2:50">
      <c r="B69" s="398"/>
      <c r="C69" s="105">
        <v>28</v>
      </c>
      <c r="D69" s="228" t="s">
        <v>265</v>
      </c>
      <c r="E69" s="175">
        <v>16</v>
      </c>
      <c r="F69" s="105">
        <v>1440</v>
      </c>
      <c r="G69" s="202">
        <v>90</v>
      </c>
      <c r="H69" s="385"/>
      <c r="I69" s="175">
        <f t="shared" si="26"/>
        <v>16</v>
      </c>
      <c r="J69" s="175">
        <f t="shared" si="27"/>
        <v>1190.2269868138176</v>
      </c>
      <c r="K69" s="202">
        <f t="shared" si="28"/>
        <v>74.389186675863598</v>
      </c>
      <c r="L69" s="385"/>
      <c r="M69" s="175">
        <f>RANK(K69, K$42:$K$71)</f>
        <v>14</v>
      </c>
      <c r="N69" s="387"/>
      <c r="O69" s="387"/>
      <c r="P69" s="105">
        <v>16</v>
      </c>
      <c r="Q69" s="202">
        <v>1173.8709677419367</v>
      </c>
      <c r="R69" s="202">
        <v>73.366935483871046</v>
      </c>
      <c r="S69" s="105">
        <f t="shared" si="29"/>
        <v>15</v>
      </c>
      <c r="T69" s="412"/>
      <c r="U69" s="105">
        <v>16</v>
      </c>
      <c r="V69" s="202">
        <v>1179.642857142858</v>
      </c>
      <c r="W69" s="202">
        <v>73.727678571428626</v>
      </c>
      <c r="X69" s="105">
        <f t="shared" si="30"/>
        <v>16</v>
      </c>
      <c r="Y69" s="412"/>
      <c r="Z69" s="105">
        <v>16</v>
      </c>
      <c r="AA69" s="202">
        <v>1213.8461538461545</v>
      </c>
      <c r="AB69" s="202">
        <v>75.865384615384656</v>
      </c>
      <c r="AC69" s="105">
        <f t="shared" si="31"/>
        <v>11</v>
      </c>
      <c r="AD69" s="412"/>
      <c r="AE69" s="105">
        <v>16</v>
      </c>
      <c r="AF69" s="202">
        <v>1183.8461538461545</v>
      </c>
      <c r="AG69" s="202">
        <v>73.990384615384656</v>
      </c>
      <c r="AH69" s="105">
        <f t="shared" si="32"/>
        <v>15</v>
      </c>
      <c r="AI69" s="412"/>
      <c r="AJ69" s="105">
        <v>16</v>
      </c>
      <c r="AK69" s="202">
        <v>1212.0000000000009</v>
      </c>
      <c r="AL69" s="202">
        <v>75.750000000000057</v>
      </c>
      <c r="AM69" s="105">
        <f t="shared" si="33"/>
        <v>12</v>
      </c>
      <c r="AN69" s="412"/>
      <c r="AO69" s="105">
        <v>16</v>
      </c>
      <c r="AP69" s="202">
        <v>1198.9090909090917</v>
      </c>
      <c r="AQ69" s="202">
        <v>74.93181818181823</v>
      </c>
      <c r="AR69" s="105">
        <f t="shared" si="34"/>
        <v>14</v>
      </c>
      <c r="AS69" s="412"/>
      <c r="AT69" s="105">
        <v>16</v>
      </c>
      <c r="AU69" s="202">
        <v>1169.4736842105272</v>
      </c>
      <c r="AV69" s="202">
        <v>73.092105263157947</v>
      </c>
      <c r="AW69" s="105">
        <f t="shared" si="35"/>
        <v>16</v>
      </c>
      <c r="AX69" s="412"/>
    </row>
    <row r="70" spans="2:50">
      <c r="B70" s="398"/>
      <c r="C70" s="105">
        <v>29</v>
      </c>
      <c r="D70" s="228"/>
      <c r="E70" s="175"/>
      <c r="F70" s="105"/>
      <c r="G70" s="202"/>
      <c r="H70" s="385"/>
      <c r="I70" s="105"/>
      <c r="J70" s="105"/>
      <c r="K70" s="105"/>
      <c r="L70" s="385"/>
      <c r="M70" s="175" t="e">
        <f>RANK(K70, K$42:$K$71)</f>
        <v>#N/A</v>
      </c>
      <c r="N70" s="387"/>
      <c r="O70" s="387"/>
      <c r="P70" s="105"/>
      <c r="Q70" s="105"/>
      <c r="R70" s="105"/>
      <c r="S70" s="105" t="e">
        <f t="shared" si="29"/>
        <v>#N/A</v>
      </c>
      <c r="T70" s="412"/>
      <c r="U70" s="105"/>
      <c r="V70" s="105"/>
      <c r="W70" s="105"/>
      <c r="X70" s="105" t="e">
        <f t="shared" si="30"/>
        <v>#N/A</v>
      </c>
      <c r="Y70" s="412"/>
      <c r="Z70" s="105"/>
      <c r="AA70" s="105"/>
      <c r="AB70" s="105"/>
      <c r="AC70" s="105" t="e">
        <f t="shared" si="31"/>
        <v>#N/A</v>
      </c>
      <c r="AD70" s="412"/>
      <c r="AE70" s="105"/>
      <c r="AF70" s="105"/>
      <c r="AG70" s="105"/>
      <c r="AH70" s="105" t="e">
        <f t="shared" si="32"/>
        <v>#N/A</v>
      </c>
      <c r="AI70" s="412"/>
      <c r="AJ70" s="105"/>
      <c r="AK70" s="105"/>
      <c r="AL70" s="105"/>
      <c r="AM70" s="105" t="e">
        <f t="shared" si="33"/>
        <v>#N/A</v>
      </c>
      <c r="AN70" s="412"/>
      <c r="AO70" s="105"/>
      <c r="AP70" s="105"/>
      <c r="AQ70" s="105"/>
      <c r="AR70" s="105" t="e">
        <f t="shared" si="34"/>
        <v>#N/A</v>
      </c>
      <c r="AS70" s="412"/>
      <c r="AT70" s="105"/>
      <c r="AU70" s="105"/>
      <c r="AV70" s="105"/>
      <c r="AW70" s="105" t="e">
        <f t="shared" si="35"/>
        <v>#N/A</v>
      </c>
      <c r="AX70" s="412"/>
    </row>
    <row r="71" spans="2:50">
      <c r="B71" s="398"/>
      <c r="C71" s="105">
        <v>30</v>
      </c>
      <c r="D71" s="228"/>
      <c r="E71" s="175"/>
      <c r="F71" s="105"/>
      <c r="G71" s="202"/>
      <c r="H71" s="386"/>
      <c r="I71" s="105"/>
      <c r="J71" s="105"/>
      <c r="K71" s="105"/>
      <c r="L71" s="386"/>
      <c r="M71" s="175" t="e">
        <f>RANK(K71, K$42:$K$71)</f>
        <v>#N/A</v>
      </c>
      <c r="N71" s="387"/>
      <c r="O71" s="387"/>
      <c r="P71" s="105"/>
      <c r="Q71" s="105"/>
      <c r="R71" s="105"/>
      <c r="S71" s="105" t="e">
        <f t="shared" si="19"/>
        <v>#N/A</v>
      </c>
      <c r="T71" s="412"/>
      <c r="U71" s="105"/>
      <c r="V71" s="105"/>
      <c r="W71" s="105"/>
      <c r="X71" s="105" t="e">
        <f t="shared" si="20"/>
        <v>#N/A</v>
      </c>
      <c r="Y71" s="412"/>
      <c r="Z71" s="105"/>
      <c r="AA71" s="105"/>
      <c r="AB71" s="105"/>
      <c r="AC71" s="105" t="e">
        <f t="shared" si="21"/>
        <v>#N/A</v>
      </c>
      <c r="AD71" s="412"/>
      <c r="AE71" s="105"/>
      <c r="AF71" s="105"/>
      <c r="AG71" s="105"/>
      <c r="AH71" s="105" t="e">
        <f t="shared" si="22"/>
        <v>#N/A</v>
      </c>
      <c r="AI71" s="412"/>
      <c r="AJ71" s="105"/>
      <c r="AK71" s="105"/>
      <c r="AL71" s="105"/>
      <c r="AM71" s="105" t="e">
        <f t="shared" si="23"/>
        <v>#N/A</v>
      </c>
      <c r="AN71" s="412"/>
      <c r="AO71" s="105"/>
      <c r="AP71" s="105"/>
      <c r="AQ71" s="105"/>
      <c r="AR71" s="105" t="e">
        <f t="shared" si="24"/>
        <v>#N/A</v>
      </c>
      <c r="AS71" s="412"/>
      <c r="AT71" s="105"/>
      <c r="AU71" s="105"/>
      <c r="AV71" s="105"/>
      <c r="AW71" s="105" t="e">
        <f t="shared" si="25"/>
        <v>#N/A</v>
      </c>
      <c r="AX71" s="412"/>
    </row>
    <row r="72" spans="2:50" ht="15.75">
      <c r="B72" s="408" t="s">
        <v>195</v>
      </c>
      <c r="C72" s="409"/>
      <c r="D72" s="409"/>
      <c r="E72" s="409"/>
      <c r="F72" s="409"/>
      <c r="G72" s="409"/>
      <c r="H72" s="409"/>
      <c r="I72" s="205"/>
      <c r="J72" s="174"/>
      <c r="K72" s="205"/>
      <c r="L72" s="205"/>
      <c r="M72" s="171"/>
      <c r="N72" s="399" t="s">
        <v>196</v>
      </c>
      <c r="O72" s="399" t="s">
        <v>145</v>
      </c>
      <c r="P72" s="397">
        <f>P37+7</f>
        <v>45881</v>
      </c>
      <c r="Q72" s="398"/>
      <c r="R72" s="398"/>
      <c r="S72" s="398"/>
      <c r="T72" s="398"/>
      <c r="U72" s="394">
        <f>P72+1</f>
        <v>45882</v>
      </c>
      <c r="V72" s="395"/>
      <c r="W72" s="395"/>
      <c r="X72" s="395"/>
      <c r="Y72" s="396"/>
      <c r="Z72" s="394">
        <f>U72+1</f>
        <v>45883</v>
      </c>
      <c r="AA72" s="395"/>
      <c r="AB72" s="395"/>
      <c r="AC72" s="395"/>
      <c r="AD72" s="396"/>
      <c r="AE72" s="394">
        <f t="shared" ref="AE72" si="36">Z72+1</f>
        <v>45884</v>
      </c>
      <c r="AF72" s="395"/>
      <c r="AG72" s="395"/>
      <c r="AH72" s="395"/>
      <c r="AI72" s="396"/>
      <c r="AJ72" s="394">
        <f t="shared" ref="AJ72" si="37">AE72+1</f>
        <v>45885</v>
      </c>
      <c r="AK72" s="395"/>
      <c r="AL72" s="395"/>
      <c r="AM72" s="395"/>
      <c r="AN72" s="396"/>
      <c r="AO72" s="394">
        <f t="shared" ref="AO72" si="38">AJ72+1</f>
        <v>45886</v>
      </c>
      <c r="AP72" s="395"/>
      <c r="AQ72" s="395"/>
      <c r="AR72" s="395"/>
      <c r="AS72" s="396"/>
      <c r="AT72" s="394">
        <f t="shared" ref="AT72" si="39">AO72+1</f>
        <v>45887</v>
      </c>
      <c r="AU72" s="395"/>
      <c r="AV72" s="395"/>
      <c r="AW72" s="395"/>
      <c r="AX72" s="396"/>
    </row>
    <row r="73" spans="2:50" ht="15.75">
      <c r="B73" s="407"/>
      <c r="C73" s="407"/>
      <c r="D73" s="407"/>
      <c r="E73" s="407"/>
      <c r="F73" s="407"/>
      <c r="G73" s="407"/>
      <c r="H73" s="407"/>
      <c r="I73" s="172"/>
      <c r="J73" s="172"/>
      <c r="K73" s="172"/>
      <c r="L73" s="172"/>
      <c r="M73" s="173"/>
      <c r="N73" s="401"/>
      <c r="O73" s="401"/>
      <c r="P73" s="397" t="s">
        <v>159</v>
      </c>
      <c r="Q73" s="398"/>
      <c r="R73" s="398"/>
      <c r="S73" s="398"/>
      <c r="T73" s="398"/>
      <c r="U73" s="397" t="s">
        <v>160</v>
      </c>
      <c r="V73" s="398"/>
      <c r="W73" s="398"/>
      <c r="X73" s="398"/>
      <c r="Y73" s="398"/>
      <c r="Z73" s="397" t="s">
        <v>161</v>
      </c>
      <c r="AA73" s="398"/>
      <c r="AB73" s="398"/>
      <c r="AC73" s="398"/>
      <c r="AD73" s="398"/>
      <c r="AE73" s="397" t="s">
        <v>156</v>
      </c>
      <c r="AF73" s="398"/>
      <c r="AG73" s="398"/>
      <c r="AH73" s="398"/>
      <c r="AI73" s="398"/>
      <c r="AJ73" s="397" t="s">
        <v>157</v>
      </c>
      <c r="AK73" s="398"/>
      <c r="AL73" s="398"/>
      <c r="AM73" s="398"/>
      <c r="AN73" s="398"/>
      <c r="AO73" s="397" t="s">
        <v>152</v>
      </c>
      <c r="AP73" s="398"/>
      <c r="AQ73" s="398"/>
      <c r="AR73" s="398"/>
      <c r="AS73" s="398"/>
      <c r="AT73" s="397" t="s">
        <v>158</v>
      </c>
      <c r="AU73" s="398"/>
      <c r="AV73" s="398"/>
      <c r="AW73" s="398"/>
      <c r="AX73" s="398"/>
    </row>
    <row r="74" spans="2:50">
      <c r="B74" s="387" t="s">
        <v>197</v>
      </c>
      <c r="C74" s="387" t="s">
        <v>198</v>
      </c>
      <c r="D74" s="387"/>
      <c r="E74" s="387" t="s">
        <v>199</v>
      </c>
      <c r="F74" s="387"/>
      <c r="G74" s="387"/>
      <c r="H74" s="388" t="s">
        <v>200</v>
      </c>
      <c r="I74" s="387" t="s">
        <v>201</v>
      </c>
      <c r="J74" s="387"/>
      <c r="K74" s="387"/>
      <c r="L74" s="388" t="s">
        <v>200</v>
      </c>
      <c r="M74" s="399" t="s">
        <v>202</v>
      </c>
      <c r="N74" s="387"/>
      <c r="O74" s="387" t="s">
        <v>203</v>
      </c>
      <c r="P74" s="391" t="s">
        <v>204</v>
      </c>
      <c r="Q74" s="392"/>
      <c r="R74" s="392"/>
      <c r="S74" s="393"/>
      <c r="T74" s="387" t="s">
        <v>200</v>
      </c>
      <c r="U74" s="391" t="s">
        <v>204</v>
      </c>
      <c r="V74" s="392"/>
      <c r="W74" s="392"/>
      <c r="X74" s="393"/>
      <c r="Y74" s="387" t="s">
        <v>200</v>
      </c>
      <c r="Z74" s="391" t="s">
        <v>204</v>
      </c>
      <c r="AA74" s="392"/>
      <c r="AB74" s="392"/>
      <c r="AC74" s="393"/>
      <c r="AD74" s="387" t="s">
        <v>200</v>
      </c>
      <c r="AE74" s="391" t="s">
        <v>204</v>
      </c>
      <c r="AF74" s="392"/>
      <c r="AG74" s="392"/>
      <c r="AH74" s="393"/>
      <c r="AI74" s="387" t="s">
        <v>200</v>
      </c>
      <c r="AJ74" s="391" t="s">
        <v>204</v>
      </c>
      <c r="AK74" s="392"/>
      <c r="AL74" s="392"/>
      <c r="AM74" s="393"/>
      <c r="AN74" s="387" t="s">
        <v>200</v>
      </c>
      <c r="AO74" s="391" t="s">
        <v>204</v>
      </c>
      <c r="AP74" s="392"/>
      <c r="AQ74" s="392"/>
      <c r="AR74" s="393"/>
      <c r="AS74" s="387" t="s">
        <v>200</v>
      </c>
      <c r="AT74" s="391" t="s">
        <v>204</v>
      </c>
      <c r="AU74" s="392"/>
      <c r="AV74" s="392"/>
      <c r="AW74" s="393"/>
      <c r="AX74" s="387" t="s">
        <v>200</v>
      </c>
    </row>
    <row r="75" spans="2:50">
      <c r="B75" s="387"/>
      <c r="C75" s="387"/>
      <c r="D75" s="387"/>
      <c r="E75" s="387" t="s">
        <v>205</v>
      </c>
      <c r="F75" s="387"/>
      <c r="G75" s="387"/>
      <c r="H75" s="389"/>
      <c r="I75" s="387" t="s">
        <v>205</v>
      </c>
      <c r="J75" s="387"/>
      <c r="K75" s="387"/>
      <c r="L75" s="389"/>
      <c r="M75" s="400"/>
      <c r="N75" s="387"/>
      <c r="O75" s="387"/>
      <c r="P75" s="391" t="s">
        <v>206</v>
      </c>
      <c r="Q75" s="392"/>
      <c r="R75" s="392"/>
      <c r="S75" s="393"/>
      <c r="T75" s="387"/>
      <c r="U75" s="391" t="s">
        <v>206</v>
      </c>
      <c r="V75" s="392"/>
      <c r="W75" s="392"/>
      <c r="X75" s="393"/>
      <c r="Y75" s="387"/>
      <c r="Z75" s="391" t="s">
        <v>206</v>
      </c>
      <c r="AA75" s="392"/>
      <c r="AB75" s="392"/>
      <c r="AC75" s="393"/>
      <c r="AD75" s="387"/>
      <c r="AE75" s="391" t="s">
        <v>206</v>
      </c>
      <c r="AF75" s="392"/>
      <c r="AG75" s="392"/>
      <c r="AH75" s="393"/>
      <c r="AI75" s="387"/>
      <c r="AJ75" s="391" t="s">
        <v>206</v>
      </c>
      <c r="AK75" s="392"/>
      <c r="AL75" s="392"/>
      <c r="AM75" s="393"/>
      <c r="AN75" s="387"/>
      <c r="AO75" s="391" t="s">
        <v>206</v>
      </c>
      <c r="AP75" s="392"/>
      <c r="AQ75" s="392"/>
      <c r="AR75" s="393"/>
      <c r="AS75" s="387"/>
      <c r="AT75" s="391" t="s">
        <v>206</v>
      </c>
      <c r="AU75" s="392"/>
      <c r="AV75" s="392"/>
      <c r="AW75" s="393"/>
      <c r="AX75" s="387"/>
    </row>
    <row r="76" spans="2:50">
      <c r="B76" s="387"/>
      <c r="C76" s="387"/>
      <c r="D76" s="387"/>
      <c r="E76" s="104" t="s">
        <v>207</v>
      </c>
      <c r="F76" s="104" t="s">
        <v>208</v>
      </c>
      <c r="G76" s="104" t="s">
        <v>209</v>
      </c>
      <c r="H76" s="390"/>
      <c r="I76" s="104" t="s">
        <v>207</v>
      </c>
      <c r="J76" s="104" t="s">
        <v>208</v>
      </c>
      <c r="K76" s="104" t="s">
        <v>209</v>
      </c>
      <c r="L76" s="390"/>
      <c r="M76" s="401"/>
      <c r="N76" s="387"/>
      <c r="O76" s="387"/>
      <c r="P76" s="104" t="s">
        <v>207</v>
      </c>
      <c r="Q76" s="104" t="s">
        <v>208</v>
      </c>
      <c r="R76" s="104" t="s">
        <v>209</v>
      </c>
      <c r="S76" s="104" t="s">
        <v>202</v>
      </c>
      <c r="T76" s="387"/>
      <c r="U76" s="104" t="s">
        <v>207</v>
      </c>
      <c r="V76" s="104" t="s">
        <v>208</v>
      </c>
      <c r="W76" s="104" t="s">
        <v>209</v>
      </c>
      <c r="X76" s="104" t="s">
        <v>202</v>
      </c>
      <c r="Y76" s="387"/>
      <c r="Z76" s="104" t="s">
        <v>207</v>
      </c>
      <c r="AA76" s="104" t="s">
        <v>208</v>
      </c>
      <c r="AB76" s="104" t="s">
        <v>209</v>
      </c>
      <c r="AC76" s="104" t="s">
        <v>202</v>
      </c>
      <c r="AD76" s="387"/>
      <c r="AE76" s="104" t="s">
        <v>207</v>
      </c>
      <c r="AF76" s="104" t="s">
        <v>208</v>
      </c>
      <c r="AG76" s="104" t="s">
        <v>209</v>
      </c>
      <c r="AH76" s="104" t="s">
        <v>202</v>
      </c>
      <c r="AI76" s="387"/>
      <c r="AJ76" s="104" t="s">
        <v>207</v>
      </c>
      <c r="AK76" s="104" t="s">
        <v>208</v>
      </c>
      <c r="AL76" s="104" t="s">
        <v>209</v>
      </c>
      <c r="AM76" s="104" t="s">
        <v>202</v>
      </c>
      <c r="AN76" s="387"/>
      <c r="AO76" s="104" t="s">
        <v>207</v>
      </c>
      <c r="AP76" s="104" t="s">
        <v>208</v>
      </c>
      <c r="AQ76" s="104" t="s">
        <v>209</v>
      </c>
      <c r="AR76" s="104" t="s">
        <v>202</v>
      </c>
      <c r="AS76" s="387"/>
      <c r="AT76" s="104" t="s">
        <v>207</v>
      </c>
      <c r="AU76" s="104" t="s">
        <v>208</v>
      </c>
      <c r="AV76" s="104" t="s">
        <v>209</v>
      </c>
      <c r="AW76" s="104" t="s">
        <v>202</v>
      </c>
      <c r="AX76" s="387"/>
    </row>
    <row r="77" spans="2:50">
      <c r="B77" s="387" t="s">
        <v>180</v>
      </c>
      <c r="C77" s="105">
        <v>1</v>
      </c>
      <c r="D77" s="228" t="s">
        <v>258</v>
      </c>
      <c r="E77" s="175">
        <v>5</v>
      </c>
      <c r="F77" s="105">
        <v>1600</v>
      </c>
      <c r="G77" s="202">
        <v>320</v>
      </c>
      <c r="H77" s="384">
        <f>AVERAGE(G77:G106)</f>
        <v>106.45119944907788</v>
      </c>
      <c r="I77" s="175">
        <f>AVERAGE(P77,U77,Z77,AE77,AJ77,AO77,AT77)</f>
        <v>4.7142857142857144</v>
      </c>
      <c r="J77" s="175">
        <f>AVERAGE(Q77,V77,AA77,AF77,AK77,AP77,AU77)</f>
        <v>1117.142857142861</v>
      </c>
      <c r="K77" s="202">
        <f>AVERAGE(R77,W77,AB77,AG77,AL77,AQ77,AV77)</f>
        <v>238.07142857142941</v>
      </c>
      <c r="L77" s="384">
        <f>IFERROR(AVERAGE(K77:K106),"-")</f>
        <v>88.371438483557995</v>
      </c>
      <c r="M77" s="203">
        <f>RANK(K77, K$77:$K$106)</f>
        <v>2</v>
      </c>
      <c r="N77" s="387"/>
      <c r="O77" s="387"/>
      <c r="P77" s="105">
        <v>5</v>
      </c>
      <c r="Q77" s="202">
        <v>1240.0000000000043</v>
      </c>
      <c r="R77" s="202">
        <v>248.00000000000085</v>
      </c>
      <c r="S77" s="105">
        <f>RANK(R77, R$77:R$106)</f>
        <v>2</v>
      </c>
      <c r="T77" s="412">
        <f>AVERAGE(R77:R106)</f>
        <v>88.891942557173238</v>
      </c>
      <c r="U77" s="105">
        <v>5</v>
      </c>
      <c r="V77" s="202">
        <v>1320.0000000000048</v>
      </c>
      <c r="W77" s="202">
        <v>264.00000000000097</v>
      </c>
      <c r="X77" s="105">
        <f>RANK(W77, W$77:W$106)</f>
        <v>2</v>
      </c>
      <c r="Y77" s="412">
        <f>AVERAGE(W77:W106)</f>
        <v>90.139420919244714</v>
      </c>
      <c r="Z77" s="105">
        <v>5</v>
      </c>
      <c r="AA77" s="202">
        <v>1110.0000000000039</v>
      </c>
      <c r="AB77" s="202">
        <v>222.00000000000077</v>
      </c>
      <c r="AC77" s="105">
        <f>RANK(AB77, AB$77:AB$106)</f>
        <v>2</v>
      </c>
      <c r="AD77" s="412">
        <f>AVERAGE(AB77:AB106)</f>
        <v>89.006907573971475</v>
      </c>
      <c r="AE77" s="105">
        <v>5</v>
      </c>
      <c r="AF77" s="202">
        <v>960.00000000000341</v>
      </c>
      <c r="AG77" s="202">
        <v>192.00000000000068</v>
      </c>
      <c r="AH77" s="105">
        <f>RANK(AG77, AG$77:AG$106)</f>
        <v>2</v>
      </c>
      <c r="AI77" s="412">
        <f>AVERAGE(AG77:AG106)</f>
        <v>87.906026200999975</v>
      </c>
      <c r="AJ77" s="105">
        <v>4</v>
      </c>
      <c r="AK77" s="202">
        <v>940.00000000000341</v>
      </c>
      <c r="AL77" s="202">
        <v>235.00000000000085</v>
      </c>
      <c r="AM77" s="105">
        <f>RANK(AL77, AL$77:AL$106)</f>
        <v>2</v>
      </c>
      <c r="AN77" s="412">
        <f>AVERAGE(AL77:AL106)</f>
        <v>89.492828781914056</v>
      </c>
      <c r="AO77" s="105">
        <v>4</v>
      </c>
      <c r="AP77" s="202">
        <v>1110.0000000000039</v>
      </c>
      <c r="AQ77" s="202">
        <v>277.50000000000097</v>
      </c>
      <c r="AR77" s="105">
        <f>RANK(AQ77, AQ$77:AQ$106)</f>
        <v>2</v>
      </c>
      <c r="AS77" s="412">
        <f>AVERAGE(AQ77:AQ106)</f>
        <v>91.441003399507764</v>
      </c>
      <c r="AT77" s="105">
        <v>5</v>
      </c>
      <c r="AU77" s="202">
        <v>1140.0000000000041</v>
      </c>
      <c r="AV77" s="202">
        <v>228.00000000000082</v>
      </c>
      <c r="AW77" s="105">
        <f>RANK(AV77, AV$77:AV$106)</f>
        <v>2</v>
      </c>
      <c r="AX77" s="412">
        <f>AVERAGE(AV77:AV106)</f>
        <v>89.569701921441563</v>
      </c>
    </row>
    <row r="78" spans="2:50">
      <c r="B78" s="398"/>
      <c r="C78" s="105">
        <v>2</v>
      </c>
      <c r="D78" s="228" t="s">
        <v>259</v>
      </c>
      <c r="E78" s="175">
        <v>5</v>
      </c>
      <c r="F78" s="105">
        <v>1600</v>
      </c>
      <c r="G78" s="202">
        <v>320</v>
      </c>
      <c r="H78" s="385"/>
      <c r="I78" s="175">
        <f t="shared" ref="I78:I104" si="40">AVERAGE(P78,U78,Z78,AE78,AJ78,AO78,AT78)</f>
        <v>5</v>
      </c>
      <c r="J78" s="175">
        <f t="shared" ref="J78:J104" si="41">AVERAGE(Q78,V78,AA78,AF78,AK78,AP78,AU78)</f>
        <v>1483.2266675564204</v>
      </c>
      <c r="K78" s="202">
        <f t="shared" ref="K78:K104" si="42">AVERAGE(R78,W78,AB78,AG78,AL78,AQ78,AV78)</f>
        <v>296.64533351128404</v>
      </c>
      <c r="L78" s="385"/>
      <c r="M78" s="203">
        <f>RANK(K78, K$77:$K$106)</f>
        <v>1</v>
      </c>
      <c r="N78" s="387"/>
      <c r="O78" s="387"/>
      <c r="P78" s="105">
        <v>5</v>
      </c>
      <c r="Q78" s="202">
        <v>1499.64</v>
      </c>
      <c r="R78" s="202">
        <v>299.928</v>
      </c>
      <c r="S78" s="105">
        <f t="shared" ref="S78:S106" si="43">RANK(R78, R$77:R$106)</f>
        <v>1</v>
      </c>
      <c r="T78" s="412"/>
      <c r="U78" s="105">
        <v>5</v>
      </c>
      <c r="V78" s="202">
        <v>1461.1450236966818</v>
      </c>
      <c r="W78" s="202">
        <v>292.22900473933635</v>
      </c>
      <c r="X78" s="105">
        <f t="shared" ref="X78:X106" si="44">RANK(W78, W$77:W$106)</f>
        <v>1</v>
      </c>
      <c r="Y78" s="412"/>
      <c r="Z78" s="105">
        <v>5</v>
      </c>
      <c r="AA78" s="202">
        <v>1514.0745762711867</v>
      </c>
      <c r="AB78" s="202">
        <v>302.81491525423735</v>
      </c>
      <c r="AC78" s="105">
        <f t="shared" ref="AC78:AC106" si="45">RANK(AB78, AB$77:AB$106)</f>
        <v>1</v>
      </c>
      <c r="AD78" s="412"/>
      <c r="AE78" s="105">
        <v>5</v>
      </c>
      <c r="AF78" s="202">
        <v>1517.9999999999998</v>
      </c>
      <c r="AG78" s="202">
        <v>303.59999999999997</v>
      </c>
      <c r="AH78" s="105">
        <f t="shared" ref="AH78:AH106" si="46">RANK(AG78, AG$77:AG$106)</f>
        <v>1</v>
      </c>
      <c r="AI78" s="412"/>
      <c r="AJ78" s="105">
        <v>5</v>
      </c>
      <c r="AK78" s="202">
        <v>1456.6153846153848</v>
      </c>
      <c r="AL78" s="202">
        <v>291.32307692307694</v>
      </c>
      <c r="AM78" s="105">
        <f t="shared" ref="AM78:AM106" si="47">RANK(AL78, AL$77:AL$106)</f>
        <v>1</v>
      </c>
      <c r="AN78" s="412"/>
      <c r="AO78" s="105">
        <v>5</v>
      </c>
      <c r="AP78" s="202">
        <v>1458.077922077922</v>
      </c>
      <c r="AQ78" s="202">
        <v>291.61558441558441</v>
      </c>
      <c r="AR78" s="105">
        <f t="shared" ref="AR78:AR106" si="48">RANK(AQ78, AQ$77:AQ$106)</f>
        <v>1</v>
      </c>
      <c r="AS78" s="412"/>
      <c r="AT78" s="105">
        <v>5</v>
      </c>
      <c r="AU78" s="202">
        <v>1475.0337662337665</v>
      </c>
      <c r="AV78" s="202">
        <v>295.00675324675331</v>
      </c>
      <c r="AW78" s="105">
        <f t="shared" ref="AW78:AW106" si="49">RANK(AV78, AV$77:AV$106)</f>
        <v>1</v>
      </c>
      <c r="AX78" s="412"/>
    </row>
    <row r="79" spans="2:50">
      <c r="B79" s="398"/>
      <c r="C79" s="105">
        <v>3</v>
      </c>
      <c r="D79" s="228" t="s">
        <v>283</v>
      </c>
      <c r="E79" s="175">
        <v>8</v>
      </c>
      <c r="F79" s="105">
        <v>1600</v>
      </c>
      <c r="G79" s="202">
        <v>200</v>
      </c>
      <c r="H79" s="385"/>
      <c r="I79" s="175">
        <f t="shared" si="40"/>
        <v>8</v>
      </c>
      <c r="J79" s="175">
        <f t="shared" si="41"/>
        <v>1486.420357679395</v>
      </c>
      <c r="K79" s="202">
        <f t="shared" si="42"/>
        <v>185.80254470992438</v>
      </c>
      <c r="L79" s="385"/>
      <c r="M79" s="203">
        <f>RANK(K79, K$77:$K$106)</f>
        <v>3</v>
      </c>
      <c r="N79" s="387"/>
      <c r="O79" s="387"/>
      <c r="P79" s="105">
        <v>8</v>
      </c>
      <c r="Q79" s="202">
        <v>1479.6226415094343</v>
      </c>
      <c r="R79" s="202">
        <v>184.95283018867929</v>
      </c>
      <c r="S79" s="105">
        <f t="shared" si="43"/>
        <v>3</v>
      </c>
      <c r="T79" s="412"/>
      <c r="U79" s="105">
        <v>8</v>
      </c>
      <c r="V79" s="202">
        <v>1503.3027522935784</v>
      </c>
      <c r="W79" s="202">
        <v>187.91284403669729</v>
      </c>
      <c r="X79" s="105">
        <f t="shared" si="44"/>
        <v>3</v>
      </c>
      <c r="Y79" s="412"/>
      <c r="Z79" s="105">
        <v>8</v>
      </c>
      <c r="AA79" s="202">
        <v>1466.7326732673266</v>
      </c>
      <c r="AB79" s="202">
        <v>183.34158415841583</v>
      </c>
      <c r="AC79" s="105">
        <f t="shared" si="45"/>
        <v>3</v>
      </c>
      <c r="AD79" s="412"/>
      <c r="AE79" s="105">
        <v>8</v>
      </c>
      <c r="AF79" s="202">
        <v>1453.1428571428573</v>
      </c>
      <c r="AG79" s="202">
        <v>181.64285714285717</v>
      </c>
      <c r="AH79" s="105">
        <f t="shared" si="46"/>
        <v>3</v>
      </c>
      <c r="AI79" s="412"/>
      <c r="AJ79" s="105">
        <v>8</v>
      </c>
      <c r="AK79" s="202">
        <v>1511.5151515151513</v>
      </c>
      <c r="AL79" s="202">
        <v>188.93939393939391</v>
      </c>
      <c r="AM79" s="105">
        <f t="shared" si="47"/>
        <v>3</v>
      </c>
      <c r="AN79" s="412"/>
      <c r="AO79" s="105">
        <v>8</v>
      </c>
      <c r="AP79" s="202">
        <v>1515.5769230769233</v>
      </c>
      <c r="AQ79" s="202">
        <v>189.44711538461542</v>
      </c>
      <c r="AR79" s="105">
        <f t="shared" si="48"/>
        <v>3</v>
      </c>
      <c r="AS79" s="412"/>
      <c r="AT79" s="105">
        <v>8</v>
      </c>
      <c r="AU79" s="202">
        <v>1475.0495049504952</v>
      </c>
      <c r="AV79" s="202">
        <v>184.38118811881191</v>
      </c>
      <c r="AW79" s="105">
        <f t="shared" si="49"/>
        <v>3</v>
      </c>
      <c r="AX79" s="412"/>
    </row>
    <row r="80" spans="2:50">
      <c r="B80" s="398"/>
      <c r="C80" s="105">
        <v>4</v>
      </c>
      <c r="D80" s="228" t="s">
        <v>262</v>
      </c>
      <c r="E80" s="175">
        <v>18</v>
      </c>
      <c r="F80" s="105">
        <v>1636</v>
      </c>
      <c r="G80" s="202">
        <v>90.888888888888886</v>
      </c>
      <c r="H80" s="385"/>
      <c r="I80" s="175">
        <f t="shared" si="40"/>
        <v>17.142857142857142</v>
      </c>
      <c r="J80" s="175">
        <f t="shared" si="41"/>
        <v>1310.130335450734</v>
      </c>
      <c r="K80" s="202">
        <f t="shared" si="42"/>
        <v>76.465101939191882</v>
      </c>
      <c r="L80" s="385"/>
      <c r="M80" s="203">
        <f>RANK(K80, K$77:$K$106)</f>
        <v>10</v>
      </c>
      <c r="N80" s="387"/>
      <c r="O80" s="387"/>
      <c r="P80" s="105">
        <v>17</v>
      </c>
      <c r="Q80" s="202">
        <v>1290.7692307692309</v>
      </c>
      <c r="R80" s="202">
        <v>75.927601809954766</v>
      </c>
      <c r="S80" s="105">
        <f t="shared" si="43"/>
        <v>14</v>
      </c>
      <c r="T80" s="412"/>
      <c r="U80" s="105">
        <v>17</v>
      </c>
      <c r="V80" s="202">
        <v>1334.4827586206898</v>
      </c>
      <c r="W80" s="202">
        <v>78.498985801217046</v>
      </c>
      <c r="X80" s="105">
        <f t="shared" si="44"/>
        <v>9</v>
      </c>
      <c r="Y80" s="412"/>
      <c r="Z80" s="105">
        <v>17</v>
      </c>
      <c r="AA80" s="202">
        <v>1302.1621621621621</v>
      </c>
      <c r="AB80" s="202">
        <v>76.597774244833062</v>
      </c>
      <c r="AC80" s="105">
        <f t="shared" si="45"/>
        <v>10</v>
      </c>
      <c r="AD80" s="412"/>
      <c r="AE80" s="105">
        <v>17</v>
      </c>
      <c r="AF80" s="202">
        <v>1302.35294117647</v>
      </c>
      <c r="AG80" s="202">
        <v>76.608996539792358</v>
      </c>
      <c r="AH80" s="105">
        <f t="shared" si="46"/>
        <v>11</v>
      </c>
      <c r="AI80" s="412"/>
      <c r="AJ80" s="105">
        <v>17</v>
      </c>
      <c r="AK80" s="202">
        <v>1321.1764705882347</v>
      </c>
      <c r="AL80" s="202">
        <v>77.716262975778506</v>
      </c>
      <c r="AM80" s="105">
        <f t="shared" si="47"/>
        <v>11</v>
      </c>
      <c r="AN80" s="412"/>
      <c r="AO80" s="105">
        <v>17</v>
      </c>
      <c r="AP80" s="202">
        <v>1331.7948717948721</v>
      </c>
      <c r="AQ80" s="202">
        <v>78.340874811463067</v>
      </c>
      <c r="AR80" s="105">
        <f t="shared" si="48"/>
        <v>6</v>
      </c>
      <c r="AS80" s="412"/>
      <c r="AT80" s="105">
        <v>18</v>
      </c>
      <c r="AU80" s="202">
        <v>1288.1739130434785</v>
      </c>
      <c r="AV80" s="202">
        <v>71.565217391304358</v>
      </c>
      <c r="AW80" s="105">
        <f t="shared" si="49"/>
        <v>17</v>
      </c>
      <c r="AX80" s="412"/>
    </row>
    <row r="81" spans="2:50">
      <c r="B81" s="398"/>
      <c r="C81" s="105">
        <v>5</v>
      </c>
      <c r="D81" s="228" t="s">
        <v>265</v>
      </c>
      <c r="E81" s="175">
        <v>16</v>
      </c>
      <c r="F81" s="105">
        <v>1440</v>
      </c>
      <c r="G81" s="202">
        <v>90</v>
      </c>
      <c r="H81" s="385"/>
      <c r="I81" s="175">
        <f t="shared" si="40"/>
        <v>16</v>
      </c>
      <c r="J81" s="175">
        <f t="shared" si="41"/>
        <v>1186.4574862763063</v>
      </c>
      <c r="K81" s="202">
        <f t="shared" si="42"/>
        <v>74.153592892269145</v>
      </c>
      <c r="L81" s="385"/>
      <c r="M81" s="203">
        <f>RANK(K81, K$77:$K$106)</f>
        <v>15</v>
      </c>
      <c r="N81" s="387"/>
      <c r="O81" s="387"/>
      <c r="P81" s="105">
        <v>16</v>
      </c>
      <c r="Q81" s="202">
        <v>1220.6896551724146</v>
      </c>
      <c r="R81" s="202">
        <v>76.293103448275915</v>
      </c>
      <c r="S81" s="105">
        <f t="shared" si="43"/>
        <v>13</v>
      </c>
      <c r="T81" s="412"/>
      <c r="U81" s="105">
        <v>16</v>
      </c>
      <c r="V81" s="202">
        <v>1202.2222222222229</v>
      </c>
      <c r="W81" s="202">
        <v>75.138888888888928</v>
      </c>
      <c r="X81" s="105">
        <f t="shared" si="44"/>
        <v>13</v>
      </c>
      <c r="Y81" s="412"/>
      <c r="Z81" s="105">
        <v>16</v>
      </c>
      <c r="AA81" s="202">
        <v>1167.9310344827595</v>
      </c>
      <c r="AB81" s="202">
        <v>72.99568965517247</v>
      </c>
      <c r="AC81" s="105">
        <f t="shared" si="45"/>
        <v>16</v>
      </c>
      <c r="AD81" s="412"/>
      <c r="AE81" s="105">
        <v>16</v>
      </c>
      <c r="AF81" s="202">
        <v>1181.6949152542384</v>
      </c>
      <c r="AG81" s="202">
        <v>73.855932203389898</v>
      </c>
      <c r="AH81" s="105">
        <f t="shared" si="46"/>
        <v>15</v>
      </c>
      <c r="AI81" s="412"/>
      <c r="AJ81" s="105">
        <v>16</v>
      </c>
      <c r="AK81" s="202">
        <v>1170.0000000000009</v>
      </c>
      <c r="AL81" s="202">
        <v>73.125000000000057</v>
      </c>
      <c r="AM81" s="105">
        <f t="shared" si="47"/>
        <v>15</v>
      </c>
      <c r="AN81" s="412"/>
      <c r="AO81" s="105">
        <v>16</v>
      </c>
      <c r="AP81" s="202">
        <v>1184.4827586206907</v>
      </c>
      <c r="AQ81" s="202">
        <v>74.030172413793167</v>
      </c>
      <c r="AR81" s="105">
        <f t="shared" si="48"/>
        <v>14</v>
      </c>
      <c r="AS81" s="412"/>
      <c r="AT81" s="105">
        <v>16</v>
      </c>
      <c r="AU81" s="202">
        <v>1178.1818181818189</v>
      </c>
      <c r="AV81" s="202">
        <v>73.636363636363683</v>
      </c>
      <c r="AW81" s="105">
        <f t="shared" si="49"/>
        <v>12</v>
      </c>
      <c r="AX81" s="412"/>
    </row>
    <row r="82" spans="2:50">
      <c r="B82" s="398"/>
      <c r="C82" s="105">
        <v>6</v>
      </c>
      <c r="D82" s="228" t="s">
        <v>284</v>
      </c>
      <c r="E82" s="175">
        <v>20</v>
      </c>
      <c r="F82" s="105">
        <v>1385</v>
      </c>
      <c r="G82" s="202">
        <v>69.25</v>
      </c>
      <c r="H82" s="385"/>
      <c r="I82" s="175">
        <f t="shared" si="40"/>
        <v>20.285714285714285</v>
      </c>
      <c r="J82" s="175">
        <f t="shared" si="41"/>
        <v>1088.5536708992713</v>
      </c>
      <c r="K82" s="202">
        <f t="shared" si="42"/>
        <v>53.806957239769041</v>
      </c>
      <c r="L82" s="385"/>
      <c r="M82" s="203">
        <f>RANK(K82, K$77:$K$106)</f>
        <v>28</v>
      </c>
      <c r="N82" s="387"/>
      <c r="O82" s="387"/>
      <c r="P82" s="105">
        <v>22</v>
      </c>
      <c r="Q82" s="202">
        <v>1122.4390243902435</v>
      </c>
      <c r="R82" s="202">
        <v>51.019955654101977</v>
      </c>
      <c r="S82" s="105">
        <f t="shared" si="43"/>
        <v>28</v>
      </c>
      <c r="T82" s="412"/>
      <c r="U82" s="105">
        <v>22</v>
      </c>
      <c r="V82" s="202">
        <v>1088.2105263157935</v>
      </c>
      <c r="W82" s="202">
        <v>49.464114832536069</v>
      </c>
      <c r="X82" s="105">
        <f t="shared" si="44"/>
        <v>27</v>
      </c>
      <c r="Y82" s="412"/>
      <c r="Z82" s="105">
        <v>20</v>
      </c>
      <c r="AA82" s="202">
        <v>1063.5200000000036</v>
      </c>
      <c r="AB82" s="202">
        <v>53.17600000000018</v>
      </c>
      <c r="AC82" s="105">
        <f t="shared" si="45"/>
        <v>27</v>
      </c>
      <c r="AD82" s="412"/>
      <c r="AE82" s="105">
        <v>20</v>
      </c>
      <c r="AF82" s="202">
        <v>1063.0588235294117</v>
      </c>
      <c r="AG82" s="202">
        <v>53.152941176470584</v>
      </c>
      <c r="AH82" s="105">
        <f t="shared" si="46"/>
        <v>27</v>
      </c>
      <c r="AI82" s="412"/>
      <c r="AJ82" s="105">
        <v>20</v>
      </c>
      <c r="AK82" s="202">
        <v>1115.3846153846148</v>
      </c>
      <c r="AL82" s="202">
        <v>55.769230769230738</v>
      </c>
      <c r="AM82" s="105">
        <f t="shared" si="47"/>
        <v>24</v>
      </c>
      <c r="AN82" s="412"/>
      <c r="AO82" s="105">
        <v>19</v>
      </c>
      <c r="AP82" s="202">
        <v>1099.4366197183101</v>
      </c>
      <c r="AQ82" s="202">
        <v>57.865085248332115</v>
      </c>
      <c r="AR82" s="105">
        <f t="shared" si="48"/>
        <v>24</v>
      </c>
      <c r="AS82" s="412"/>
      <c r="AT82" s="105">
        <v>19</v>
      </c>
      <c r="AU82" s="202">
        <v>1067.8260869565217</v>
      </c>
      <c r="AV82" s="202">
        <v>56.201372997711672</v>
      </c>
      <c r="AW82" s="105">
        <f t="shared" si="49"/>
        <v>23</v>
      </c>
      <c r="AX82" s="412"/>
    </row>
    <row r="83" spans="2:50">
      <c r="B83" s="398"/>
      <c r="C83" s="105">
        <v>7</v>
      </c>
      <c r="D83" s="228" t="s">
        <v>261</v>
      </c>
      <c r="E83" s="175">
        <v>21</v>
      </c>
      <c r="F83" s="105">
        <v>1440</v>
      </c>
      <c r="G83" s="202">
        <v>68.571428571428569</v>
      </c>
      <c r="H83" s="385"/>
      <c r="I83" s="175">
        <f t="shared" si="40"/>
        <v>20</v>
      </c>
      <c r="J83" s="175">
        <f t="shared" si="41"/>
        <v>1111.0553818636529</v>
      </c>
      <c r="K83" s="202">
        <f t="shared" si="42"/>
        <v>55.552769093182647</v>
      </c>
      <c r="L83" s="385"/>
      <c r="M83" s="203">
        <f>RANK(K83, K$77:$K$106)</f>
        <v>25</v>
      </c>
      <c r="N83" s="387"/>
      <c r="O83" s="387"/>
      <c r="P83" s="105">
        <v>20</v>
      </c>
      <c r="Q83" s="202">
        <v>1095.6818181818182</v>
      </c>
      <c r="R83" s="202">
        <v>54.784090909090914</v>
      </c>
      <c r="S83" s="105">
        <f t="shared" si="43"/>
        <v>26</v>
      </c>
      <c r="T83" s="412"/>
      <c r="U83" s="105">
        <v>20</v>
      </c>
      <c r="V83" s="202">
        <v>1120.0000000000002</v>
      </c>
      <c r="W83" s="202">
        <v>56.000000000000014</v>
      </c>
      <c r="X83" s="105">
        <f t="shared" si="44"/>
        <v>24</v>
      </c>
      <c r="Y83" s="412"/>
      <c r="Z83" s="105">
        <v>20</v>
      </c>
      <c r="AA83" s="202">
        <v>1105.9259259259277</v>
      </c>
      <c r="AB83" s="202">
        <v>55.296296296296383</v>
      </c>
      <c r="AC83" s="105">
        <f t="shared" si="45"/>
        <v>26</v>
      </c>
      <c r="AD83" s="412"/>
      <c r="AE83" s="105">
        <v>20</v>
      </c>
      <c r="AF83" s="202">
        <v>1101.3157894736833</v>
      </c>
      <c r="AG83" s="202">
        <v>55.065789473684163</v>
      </c>
      <c r="AH83" s="105">
        <f t="shared" si="46"/>
        <v>25</v>
      </c>
      <c r="AI83" s="412"/>
      <c r="AJ83" s="105">
        <v>20</v>
      </c>
      <c r="AK83" s="202">
        <v>1111.6666666666681</v>
      </c>
      <c r="AL83" s="202">
        <v>55.583333333333407</v>
      </c>
      <c r="AM83" s="105">
        <f t="shared" si="47"/>
        <v>25</v>
      </c>
      <c r="AN83" s="412"/>
      <c r="AO83" s="105">
        <v>20</v>
      </c>
      <c r="AP83" s="202">
        <v>1165.1351351351366</v>
      </c>
      <c r="AQ83" s="202">
        <v>58.256756756756829</v>
      </c>
      <c r="AR83" s="105">
        <f t="shared" si="48"/>
        <v>23</v>
      </c>
      <c r="AS83" s="412"/>
      <c r="AT83" s="105">
        <v>20</v>
      </c>
      <c r="AU83" s="202">
        <v>1077.662337662337</v>
      </c>
      <c r="AV83" s="202">
        <v>53.883116883116848</v>
      </c>
      <c r="AW83" s="105">
        <f t="shared" si="49"/>
        <v>26</v>
      </c>
      <c r="AX83" s="412"/>
    </row>
    <row r="84" spans="2:50">
      <c r="B84" s="398"/>
      <c r="C84" s="105">
        <v>8</v>
      </c>
      <c r="D84" s="228" t="s">
        <v>285</v>
      </c>
      <c r="E84" s="175">
        <v>20</v>
      </c>
      <c r="F84" s="105">
        <v>1385</v>
      </c>
      <c r="G84" s="202">
        <v>69.25</v>
      </c>
      <c r="H84" s="385"/>
      <c r="I84" s="175">
        <f t="shared" si="40"/>
        <v>20</v>
      </c>
      <c r="J84" s="175">
        <f t="shared" si="41"/>
        <v>1098.1797567740355</v>
      </c>
      <c r="K84" s="202">
        <f t="shared" si="42"/>
        <v>54.908987838701762</v>
      </c>
      <c r="L84" s="385"/>
      <c r="M84" s="203">
        <f>RANK(K84, K$77:$K$106)</f>
        <v>26</v>
      </c>
      <c r="N84" s="387"/>
      <c r="O84" s="387"/>
      <c r="P84" s="105">
        <v>20</v>
      </c>
      <c r="Q84" s="202">
        <v>1073.7365853658532</v>
      </c>
      <c r="R84" s="202">
        <v>53.686829268292662</v>
      </c>
      <c r="S84" s="105">
        <f t="shared" si="43"/>
        <v>27</v>
      </c>
      <c r="T84" s="412"/>
      <c r="U84" s="105">
        <v>20</v>
      </c>
      <c r="V84" s="202">
        <v>1106.8071428571425</v>
      </c>
      <c r="W84" s="202">
        <v>55.340357142857123</v>
      </c>
      <c r="X84" s="105">
        <f t="shared" si="44"/>
        <v>25</v>
      </c>
      <c r="Y84" s="412"/>
      <c r="Z84" s="105">
        <v>20</v>
      </c>
      <c r="AA84" s="202">
        <v>1111.6860759493666</v>
      </c>
      <c r="AB84" s="202">
        <v>55.58430379746833</v>
      </c>
      <c r="AC84" s="105">
        <f t="shared" si="45"/>
        <v>25</v>
      </c>
      <c r="AD84" s="412"/>
      <c r="AE84" s="105">
        <v>20</v>
      </c>
      <c r="AF84" s="202">
        <v>1108.1538461538455</v>
      </c>
      <c r="AG84" s="202">
        <v>55.407692307692272</v>
      </c>
      <c r="AH84" s="105">
        <f t="shared" si="46"/>
        <v>24</v>
      </c>
      <c r="AI84" s="412"/>
      <c r="AJ84" s="105">
        <v>20</v>
      </c>
      <c r="AK84" s="202">
        <v>1078.0434782608695</v>
      </c>
      <c r="AL84" s="202">
        <v>53.902173913043477</v>
      </c>
      <c r="AM84" s="105">
        <f t="shared" si="47"/>
        <v>26</v>
      </c>
      <c r="AN84" s="412"/>
      <c r="AO84" s="105">
        <v>20</v>
      </c>
      <c r="AP84" s="202">
        <v>1108.5714285714305</v>
      </c>
      <c r="AQ84" s="202">
        <v>55.428571428571523</v>
      </c>
      <c r="AR84" s="105">
        <f t="shared" si="48"/>
        <v>25</v>
      </c>
      <c r="AS84" s="412"/>
      <c r="AT84" s="105">
        <v>20</v>
      </c>
      <c r="AU84" s="202">
        <v>1100.2597402597396</v>
      </c>
      <c r="AV84" s="202">
        <v>55.012987012986983</v>
      </c>
      <c r="AW84" s="105">
        <f t="shared" si="49"/>
        <v>24</v>
      </c>
      <c r="AX84" s="412"/>
    </row>
    <row r="85" spans="2:50">
      <c r="B85" s="398"/>
      <c r="C85" s="105">
        <v>9</v>
      </c>
      <c r="D85" s="228" t="s">
        <v>267</v>
      </c>
      <c r="E85" s="175">
        <v>18</v>
      </c>
      <c r="F85" s="105">
        <v>1440</v>
      </c>
      <c r="G85" s="202">
        <v>80</v>
      </c>
      <c r="H85" s="385"/>
      <c r="I85" s="175">
        <f t="shared" si="40"/>
        <v>18</v>
      </c>
      <c r="J85" s="175">
        <f t="shared" si="41"/>
        <v>1293.640395224857</v>
      </c>
      <c r="K85" s="202">
        <f t="shared" si="42"/>
        <v>71.868910845825397</v>
      </c>
      <c r="L85" s="385"/>
      <c r="M85" s="203">
        <f>RANK(K85, K$77:$K$106)</f>
        <v>16</v>
      </c>
      <c r="N85" s="387"/>
      <c r="O85" s="387"/>
      <c r="P85" s="105">
        <v>18</v>
      </c>
      <c r="Q85" s="202">
        <v>1290.6818181818182</v>
      </c>
      <c r="R85" s="202">
        <v>71.704545454545453</v>
      </c>
      <c r="S85" s="105">
        <f t="shared" si="43"/>
        <v>16</v>
      </c>
      <c r="T85" s="412"/>
      <c r="U85" s="105">
        <v>18</v>
      </c>
      <c r="V85" s="202">
        <v>1312.5925925925919</v>
      </c>
      <c r="W85" s="202">
        <v>72.921810699588434</v>
      </c>
      <c r="X85" s="105">
        <f t="shared" si="44"/>
        <v>16</v>
      </c>
      <c r="Y85" s="412"/>
      <c r="Z85" s="105">
        <v>18</v>
      </c>
      <c r="AA85" s="202">
        <v>1282.1428571428569</v>
      </c>
      <c r="AB85" s="202">
        <v>71.23015873015872</v>
      </c>
      <c r="AC85" s="105">
        <f t="shared" si="45"/>
        <v>17</v>
      </c>
      <c r="AD85" s="412"/>
      <c r="AE85" s="105">
        <v>18</v>
      </c>
      <c r="AF85" s="202">
        <v>1276.2352941176468</v>
      </c>
      <c r="AG85" s="202">
        <v>70.901960784313715</v>
      </c>
      <c r="AH85" s="105">
        <f t="shared" si="46"/>
        <v>16</v>
      </c>
      <c r="AI85" s="412"/>
      <c r="AJ85" s="105">
        <v>18</v>
      </c>
      <c r="AK85" s="202">
        <v>1278.7951807228912</v>
      </c>
      <c r="AL85" s="202">
        <v>71.044176706827287</v>
      </c>
      <c r="AM85" s="105">
        <f t="shared" si="47"/>
        <v>17</v>
      </c>
      <c r="AN85" s="412"/>
      <c r="AO85" s="105">
        <v>18</v>
      </c>
      <c r="AP85" s="202">
        <v>1290.6976744186045</v>
      </c>
      <c r="AQ85" s="202">
        <v>71.705426356589143</v>
      </c>
      <c r="AR85" s="105">
        <f t="shared" si="48"/>
        <v>15</v>
      </c>
      <c r="AS85" s="412"/>
      <c r="AT85" s="105">
        <v>18</v>
      </c>
      <c r="AU85" s="202">
        <v>1324.3373493975901</v>
      </c>
      <c r="AV85" s="202">
        <v>73.574297188754997</v>
      </c>
      <c r="AW85" s="105">
        <f t="shared" si="49"/>
        <v>14</v>
      </c>
      <c r="AX85" s="412"/>
    </row>
    <row r="86" spans="2:50">
      <c r="B86" s="398"/>
      <c r="C86" s="105">
        <v>10</v>
      </c>
      <c r="D86" s="228" t="s">
        <v>264</v>
      </c>
      <c r="E86" s="175">
        <v>16</v>
      </c>
      <c r="F86" s="105">
        <v>1636</v>
      </c>
      <c r="G86" s="202">
        <v>102.25</v>
      </c>
      <c r="H86" s="385"/>
      <c r="I86" s="175">
        <f t="shared" si="40"/>
        <v>16.285714285714285</v>
      </c>
      <c r="J86" s="175">
        <f t="shared" si="41"/>
        <v>1291.6680844026992</v>
      </c>
      <c r="K86" s="202">
        <f t="shared" si="42"/>
        <v>79.45302444385311</v>
      </c>
      <c r="L86" s="385"/>
      <c r="M86" s="203">
        <f>RANK(K86, K$77:$K$106)</f>
        <v>6</v>
      </c>
      <c r="N86" s="387"/>
      <c r="O86" s="387"/>
      <c r="P86" s="105">
        <v>16</v>
      </c>
      <c r="Q86" s="202">
        <v>1262.9032258064497</v>
      </c>
      <c r="R86" s="202">
        <v>78.931451612903103</v>
      </c>
      <c r="S86" s="105">
        <f t="shared" si="43"/>
        <v>7</v>
      </c>
      <c r="T86" s="412"/>
      <c r="U86" s="105">
        <v>18</v>
      </c>
      <c r="V86" s="202">
        <v>1286.4406779661028</v>
      </c>
      <c r="W86" s="202">
        <v>71.468926553672375</v>
      </c>
      <c r="X86" s="105">
        <f t="shared" si="44"/>
        <v>17</v>
      </c>
      <c r="Y86" s="412"/>
      <c r="Z86" s="105">
        <v>16</v>
      </c>
      <c r="AA86" s="202">
        <v>1309.8113207547178</v>
      </c>
      <c r="AB86" s="202">
        <v>81.863207547169864</v>
      </c>
      <c r="AC86" s="105">
        <f t="shared" si="45"/>
        <v>5</v>
      </c>
      <c r="AD86" s="412"/>
      <c r="AE86" s="105">
        <v>16</v>
      </c>
      <c r="AF86" s="202">
        <v>1314.9152542372892</v>
      </c>
      <c r="AG86" s="202">
        <v>82.182203389830576</v>
      </c>
      <c r="AH86" s="105">
        <f t="shared" si="46"/>
        <v>5</v>
      </c>
      <c r="AI86" s="412"/>
      <c r="AJ86" s="105">
        <v>16</v>
      </c>
      <c r="AK86" s="202">
        <v>1311.2903225806463</v>
      </c>
      <c r="AL86" s="202">
        <v>81.955645161290391</v>
      </c>
      <c r="AM86" s="105">
        <f t="shared" si="47"/>
        <v>6</v>
      </c>
      <c r="AN86" s="412"/>
      <c r="AO86" s="105">
        <v>16</v>
      </c>
      <c r="AP86" s="202">
        <v>1266.3157894736853</v>
      </c>
      <c r="AQ86" s="202">
        <v>79.144736842105331</v>
      </c>
      <c r="AR86" s="105">
        <f t="shared" si="48"/>
        <v>5</v>
      </c>
      <c r="AS86" s="412"/>
      <c r="AT86" s="105">
        <v>16</v>
      </c>
      <c r="AU86" s="202">
        <v>1290.0000000000009</v>
      </c>
      <c r="AV86" s="202">
        <v>80.625000000000057</v>
      </c>
      <c r="AW86" s="105">
        <f t="shared" si="49"/>
        <v>6</v>
      </c>
      <c r="AX86" s="412"/>
    </row>
    <row r="87" spans="2:50">
      <c r="B87" s="398"/>
      <c r="C87" s="105">
        <v>11</v>
      </c>
      <c r="D87" s="228" t="s">
        <v>263</v>
      </c>
      <c r="E87" s="175">
        <v>19</v>
      </c>
      <c r="F87" s="105">
        <v>1500</v>
      </c>
      <c r="G87" s="202">
        <v>78.94736842105263</v>
      </c>
      <c r="H87" s="385"/>
      <c r="I87" s="175">
        <f t="shared" si="40"/>
        <v>18.428571428571427</v>
      </c>
      <c r="J87" s="175">
        <f t="shared" si="41"/>
        <v>1278.626803541589</v>
      </c>
      <c r="K87" s="202">
        <f t="shared" si="42"/>
        <v>69.605793953425689</v>
      </c>
      <c r="L87" s="385"/>
      <c r="M87" s="203">
        <f>RANK(K87, K$77:$K$106)</f>
        <v>18</v>
      </c>
      <c r="N87" s="387"/>
      <c r="O87" s="387"/>
      <c r="P87" s="105">
        <v>19</v>
      </c>
      <c r="Q87" s="202">
        <v>1263.8297872340427</v>
      </c>
      <c r="R87" s="202">
        <v>66.517357222844353</v>
      </c>
      <c r="S87" s="105">
        <f t="shared" si="43"/>
        <v>21</v>
      </c>
      <c r="T87" s="412"/>
      <c r="U87" s="105">
        <v>16</v>
      </c>
      <c r="V87" s="202">
        <v>1256.0869565217392</v>
      </c>
      <c r="W87" s="202">
        <v>78.505434782608702</v>
      </c>
      <c r="X87" s="105">
        <f t="shared" si="44"/>
        <v>8</v>
      </c>
      <c r="Y87" s="412"/>
      <c r="Z87" s="105">
        <v>19</v>
      </c>
      <c r="AA87" s="202">
        <v>1274.6341463414628</v>
      </c>
      <c r="AB87" s="202">
        <v>67.086007702182258</v>
      </c>
      <c r="AC87" s="105">
        <f t="shared" si="45"/>
        <v>21</v>
      </c>
      <c r="AD87" s="412"/>
      <c r="AE87" s="105">
        <v>19</v>
      </c>
      <c r="AF87" s="202">
        <v>1290</v>
      </c>
      <c r="AG87" s="202">
        <v>67.89473684210526</v>
      </c>
      <c r="AH87" s="105">
        <f t="shared" si="46"/>
        <v>20</v>
      </c>
      <c r="AI87" s="412"/>
      <c r="AJ87" s="105">
        <v>19</v>
      </c>
      <c r="AK87" s="202">
        <v>1291.836734693878</v>
      </c>
      <c r="AL87" s="202">
        <v>67.99140708915148</v>
      </c>
      <c r="AM87" s="105">
        <f t="shared" si="47"/>
        <v>19</v>
      </c>
      <c r="AN87" s="412"/>
      <c r="AO87" s="105">
        <v>19</v>
      </c>
      <c r="AP87" s="202">
        <v>1284</v>
      </c>
      <c r="AQ87" s="202">
        <v>67.578947368421055</v>
      </c>
      <c r="AR87" s="105">
        <f t="shared" si="48"/>
        <v>20</v>
      </c>
      <c r="AS87" s="412"/>
      <c r="AT87" s="105">
        <v>18</v>
      </c>
      <c r="AU87" s="202">
        <v>1290</v>
      </c>
      <c r="AV87" s="202">
        <v>71.666666666666671</v>
      </c>
      <c r="AW87" s="105">
        <f t="shared" si="49"/>
        <v>16</v>
      </c>
      <c r="AX87" s="412"/>
    </row>
    <row r="88" spans="2:50">
      <c r="B88" s="398"/>
      <c r="C88" s="105">
        <v>12</v>
      </c>
      <c r="D88" s="228" t="s">
        <v>286</v>
      </c>
      <c r="E88" s="175">
        <v>19</v>
      </c>
      <c r="F88" s="105">
        <v>1440</v>
      </c>
      <c r="G88" s="202">
        <v>75.78947368421052</v>
      </c>
      <c r="H88" s="385"/>
      <c r="I88" s="175">
        <f t="shared" si="40"/>
        <v>19.857142857142858</v>
      </c>
      <c r="J88" s="175">
        <f t="shared" si="41"/>
        <v>1083.9147350355859</v>
      </c>
      <c r="K88" s="202">
        <f t="shared" si="42"/>
        <v>54.596476504386622</v>
      </c>
      <c r="L88" s="385"/>
      <c r="M88" s="203">
        <f>RANK(K88, K$77:$K$106)</f>
        <v>27</v>
      </c>
      <c r="N88" s="387"/>
      <c r="O88" s="387"/>
      <c r="P88" s="105">
        <v>20</v>
      </c>
      <c r="Q88" s="202">
        <v>1114.0460526315794</v>
      </c>
      <c r="R88" s="202">
        <v>55.702302631578974</v>
      </c>
      <c r="S88" s="105">
        <f t="shared" si="43"/>
        <v>25</v>
      </c>
      <c r="T88" s="412"/>
      <c r="U88" s="105">
        <v>20</v>
      </c>
      <c r="V88" s="202">
        <v>1062.4000000000005</v>
      </c>
      <c r="W88" s="202">
        <v>53.120000000000026</v>
      </c>
      <c r="X88" s="105">
        <f t="shared" si="44"/>
        <v>26</v>
      </c>
      <c r="Y88" s="412"/>
      <c r="Z88" s="105">
        <v>19</v>
      </c>
      <c r="AA88" s="202">
        <v>1065.9677419354834</v>
      </c>
      <c r="AB88" s="202">
        <v>56.103565365025446</v>
      </c>
      <c r="AC88" s="105">
        <f t="shared" si="45"/>
        <v>24</v>
      </c>
      <c r="AD88" s="412"/>
      <c r="AE88" s="105">
        <v>20</v>
      </c>
      <c r="AF88" s="202">
        <v>1079.4495412844044</v>
      </c>
      <c r="AG88" s="202">
        <v>53.972477064220222</v>
      </c>
      <c r="AH88" s="105">
        <f t="shared" si="46"/>
        <v>26</v>
      </c>
      <c r="AI88" s="412"/>
      <c r="AJ88" s="105">
        <v>20</v>
      </c>
      <c r="AK88" s="202">
        <v>1068.3185840707956</v>
      </c>
      <c r="AL88" s="202">
        <v>53.415929203539783</v>
      </c>
      <c r="AM88" s="105">
        <f t="shared" si="47"/>
        <v>27</v>
      </c>
      <c r="AN88" s="412"/>
      <c r="AO88" s="105">
        <v>20</v>
      </c>
      <c r="AP88" s="202">
        <v>1099.1489361702129</v>
      </c>
      <c r="AQ88" s="202">
        <v>54.957446808510646</v>
      </c>
      <c r="AR88" s="105">
        <f t="shared" si="48"/>
        <v>26</v>
      </c>
      <c r="AS88" s="412"/>
      <c r="AT88" s="105">
        <v>20</v>
      </c>
      <c r="AU88" s="202">
        <v>1098.0722891566261</v>
      </c>
      <c r="AV88" s="202">
        <v>54.903614457831303</v>
      </c>
      <c r="AW88" s="105">
        <f t="shared" si="49"/>
        <v>25</v>
      </c>
      <c r="AX88" s="412"/>
    </row>
    <row r="89" spans="2:50">
      <c r="B89" s="398"/>
      <c r="C89" s="105">
        <v>13</v>
      </c>
      <c r="D89" s="228" t="s">
        <v>280</v>
      </c>
      <c r="E89" s="175">
        <v>17</v>
      </c>
      <c r="F89" s="105">
        <v>1440</v>
      </c>
      <c r="G89" s="202">
        <v>84.705882352941174</v>
      </c>
      <c r="H89" s="385"/>
      <c r="I89" s="175">
        <f t="shared" si="40"/>
        <v>17</v>
      </c>
      <c r="J89" s="175">
        <f t="shared" si="41"/>
        <v>1339.7273447712873</v>
      </c>
      <c r="K89" s="202">
        <f t="shared" si="42"/>
        <v>78.807490868899251</v>
      </c>
      <c r="L89" s="385"/>
      <c r="M89" s="203">
        <f>RANK(K89, K$77:$K$106)</f>
        <v>9</v>
      </c>
      <c r="N89" s="387"/>
      <c r="O89" s="387"/>
      <c r="P89" s="105">
        <v>17</v>
      </c>
      <c r="Q89" s="202">
        <v>1362.1052631578939</v>
      </c>
      <c r="R89" s="202">
        <v>80.123839009287877</v>
      </c>
      <c r="S89" s="105">
        <f t="shared" si="43"/>
        <v>6</v>
      </c>
      <c r="T89" s="412"/>
      <c r="U89" s="105">
        <v>17</v>
      </c>
      <c r="V89" s="202">
        <v>1325.1764705882358</v>
      </c>
      <c r="W89" s="202">
        <v>77.951557093425635</v>
      </c>
      <c r="X89" s="105">
        <f t="shared" si="44"/>
        <v>10</v>
      </c>
      <c r="Y89" s="412"/>
      <c r="Z89" s="105">
        <v>17</v>
      </c>
      <c r="AA89" s="202">
        <v>1367.1794871794866</v>
      </c>
      <c r="AB89" s="202">
        <v>80.422322775263922</v>
      </c>
      <c r="AC89" s="105">
        <f t="shared" si="45"/>
        <v>7</v>
      </c>
      <c r="AD89" s="412"/>
      <c r="AE89" s="105">
        <v>17</v>
      </c>
      <c r="AF89" s="202">
        <v>1335.6756756756765</v>
      </c>
      <c r="AG89" s="202">
        <v>78.569157392686861</v>
      </c>
      <c r="AH89" s="105">
        <f t="shared" si="46"/>
        <v>8</v>
      </c>
      <c r="AI89" s="412"/>
      <c r="AJ89" s="105">
        <v>17</v>
      </c>
      <c r="AK89" s="202">
        <v>1333.5294117647063</v>
      </c>
      <c r="AL89" s="202">
        <v>78.442906574394485</v>
      </c>
      <c r="AM89" s="105">
        <f t="shared" si="47"/>
        <v>9</v>
      </c>
      <c r="AN89" s="412"/>
      <c r="AO89" s="105">
        <v>17</v>
      </c>
      <c r="AP89" s="202">
        <v>1326.168224299066</v>
      </c>
      <c r="AQ89" s="202">
        <v>78.009895547003879</v>
      </c>
      <c r="AR89" s="105">
        <f t="shared" si="48"/>
        <v>7</v>
      </c>
      <c r="AS89" s="412"/>
      <c r="AT89" s="105">
        <v>17</v>
      </c>
      <c r="AU89" s="202">
        <v>1328.2568807339458</v>
      </c>
      <c r="AV89" s="202">
        <v>78.132757690232097</v>
      </c>
      <c r="AW89" s="105">
        <f t="shared" si="49"/>
        <v>9</v>
      </c>
      <c r="AX89" s="412"/>
    </row>
    <row r="90" spans="2:50">
      <c r="B90" s="398"/>
      <c r="C90" s="105">
        <v>14</v>
      </c>
      <c r="D90" s="228" t="s">
        <v>269</v>
      </c>
      <c r="E90" s="175">
        <v>19</v>
      </c>
      <c r="F90" s="105">
        <v>1636</v>
      </c>
      <c r="G90" s="202">
        <v>86.10526315789474</v>
      </c>
      <c r="H90" s="385"/>
      <c r="I90" s="175">
        <f t="shared" si="40"/>
        <v>18.857142857142858</v>
      </c>
      <c r="J90" s="175">
        <f t="shared" si="41"/>
        <v>1280.8826271768653</v>
      </c>
      <c r="K90" s="202">
        <f t="shared" si="42"/>
        <v>67.933170853920245</v>
      </c>
      <c r="L90" s="385"/>
      <c r="M90" s="203">
        <f>RANK(K90, K$77:$K$106)</f>
        <v>20</v>
      </c>
      <c r="N90" s="387"/>
      <c r="O90" s="387"/>
      <c r="P90" s="105">
        <v>18</v>
      </c>
      <c r="Q90" s="202">
        <v>1240.8000000000045</v>
      </c>
      <c r="R90" s="202">
        <v>68.933333333333579</v>
      </c>
      <c r="S90" s="105">
        <f t="shared" si="43"/>
        <v>20</v>
      </c>
      <c r="T90" s="412"/>
      <c r="U90" s="105">
        <v>19</v>
      </c>
      <c r="V90" s="202">
        <v>1273.4831460674159</v>
      </c>
      <c r="W90" s="202">
        <v>67.025428740390311</v>
      </c>
      <c r="X90" s="105">
        <f t="shared" si="44"/>
        <v>20</v>
      </c>
      <c r="Y90" s="412"/>
      <c r="Z90" s="105">
        <v>19</v>
      </c>
      <c r="AA90" s="202">
        <v>1290.6521739130435</v>
      </c>
      <c r="AB90" s="202">
        <v>67.92906178489703</v>
      </c>
      <c r="AC90" s="105">
        <f t="shared" si="45"/>
        <v>19</v>
      </c>
      <c r="AD90" s="412"/>
      <c r="AE90" s="105">
        <v>19</v>
      </c>
      <c r="AF90" s="202">
        <v>1290.6666666666667</v>
      </c>
      <c r="AG90" s="202">
        <v>67.929824561403507</v>
      </c>
      <c r="AH90" s="105">
        <f t="shared" si="46"/>
        <v>19</v>
      </c>
      <c r="AI90" s="412"/>
      <c r="AJ90" s="105">
        <v>19</v>
      </c>
      <c r="AK90" s="202">
        <v>1322.1951219512191</v>
      </c>
      <c r="AL90" s="202">
        <v>69.589216944801009</v>
      </c>
      <c r="AM90" s="105">
        <f t="shared" si="47"/>
        <v>18</v>
      </c>
      <c r="AN90" s="412"/>
      <c r="AO90" s="105">
        <v>19</v>
      </c>
      <c r="AP90" s="202">
        <v>1287.032967032967</v>
      </c>
      <c r="AQ90" s="202">
        <v>67.738577212261418</v>
      </c>
      <c r="AR90" s="105">
        <f t="shared" si="48"/>
        <v>19</v>
      </c>
      <c r="AS90" s="412"/>
      <c r="AT90" s="105">
        <v>19</v>
      </c>
      <c r="AU90" s="202">
        <v>1261.3483146067415</v>
      </c>
      <c r="AV90" s="202">
        <v>66.38675340035482</v>
      </c>
      <c r="AW90" s="105">
        <f t="shared" si="49"/>
        <v>21</v>
      </c>
      <c r="AX90" s="412"/>
    </row>
    <row r="91" spans="2:50">
      <c r="B91" s="398"/>
      <c r="C91" s="105">
        <v>15</v>
      </c>
      <c r="D91" s="228" t="s">
        <v>268</v>
      </c>
      <c r="E91" s="175">
        <v>19</v>
      </c>
      <c r="F91" s="105">
        <v>1636</v>
      </c>
      <c r="G91" s="202">
        <v>86.10526315789474</v>
      </c>
      <c r="H91" s="385"/>
      <c r="I91" s="175">
        <f t="shared" si="40"/>
        <v>18.857142857142858</v>
      </c>
      <c r="J91" s="175">
        <f t="shared" si="41"/>
        <v>1274.8401009348734</v>
      </c>
      <c r="K91" s="202">
        <f t="shared" si="42"/>
        <v>67.623849855225771</v>
      </c>
      <c r="L91" s="385"/>
      <c r="M91" s="175">
        <f>RANK(K91, K$77:$K$106)</f>
        <v>21</v>
      </c>
      <c r="N91" s="387"/>
      <c r="O91" s="387"/>
      <c r="P91" s="105">
        <v>18</v>
      </c>
      <c r="Q91" s="202">
        <v>1261.6438356164374</v>
      </c>
      <c r="R91" s="202">
        <v>70.091324200913192</v>
      </c>
      <c r="S91" s="105">
        <f t="shared" ref="S91:S105" si="50">RANK(R91, R$77:R$106)</f>
        <v>17</v>
      </c>
      <c r="T91" s="412"/>
      <c r="U91" s="105">
        <v>19</v>
      </c>
      <c r="V91" s="202">
        <v>1259.1304347826074</v>
      </c>
      <c r="W91" s="202">
        <v>66.270022883295127</v>
      </c>
      <c r="X91" s="105">
        <f t="shared" ref="X91:X105" si="51">RANK(W91, W$77:W$106)</f>
        <v>21</v>
      </c>
      <c r="Y91" s="412"/>
      <c r="Z91" s="105">
        <v>19</v>
      </c>
      <c r="AA91" s="202">
        <v>1280.5970149253749</v>
      </c>
      <c r="AB91" s="202">
        <v>67.399842890809211</v>
      </c>
      <c r="AC91" s="105">
        <f t="shared" ref="AC91:AC105" si="52">RANK(AB91, AB$77:AB$106)</f>
        <v>20</v>
      </c>
      <c r="AD91" s="412"/>
      <c r="AE91" s="105">
        <v>19</v>
      </c>
      <c r="AF91" s="202">
        <v>1296.1764705882338</v>
      </c>
      <c r="AG91" s="202">
        <v>68.219814241485992</v>
      </c>
      <c r="AH91" s="105">
        <f t="shared" ref="AH91:AH105" si="53">RANK(AG91, AG$77:AG$106)</f>
        <v>18</v>
      </c>
      <c r="AI91" s="412"/>
      <c r="AJ91" s="105">
        <v>19</v>
      </c>
      <c r="AK91" s="202">
        <v>1275.2238805970132</v>
      </c>
      <c r="AL91" s="202">
        <v>67.117046347211229</v>
      </c>
      <c r="AM91" s="105">
        <f t="shared" ref="AM91:AM105" si="54">RANK(AL91, AL$77:AL$106)</f>
        <v>20</v>
      </c>
      <c r="AN91" s="412"/>
      <c r="AO91" s="105">
        <v>19</v>
      </c>
      <c r="AP91" s="202">
        <v>1268.9552238805986</v>
      </c>
      <c r="AQ91" s="202">
        <v>66.787117046347291</v>
      </c>
      <c r="AR91" s="105">
        <f t="shared" ref="AR91:AR105" si="55">RANK(AQ91, AQ$77:AQ$106)</f>
        <v>21</v>
      </c>
      <c r="AS91" s="412"/>
      <c r="AT91" s="105">
        <v>19</v>
      </c>
      <c r="AU91" s="202">
        <v>1282.1538461538476</v>
      </c>
      <c r="AV91" s="202">
        <v>67.481781376518299</v>
      </c>
      <c r="AW91" s="105">
        <f t="shared" ref="AW91:AW105" si="56">RANK(AV91, AV$77:AV$106)</f>
        <v>20</v>
      </c>
      <c r="AX91" s="412"/>
    </row>
    <row r="92" spans="2:50">
      <c r="B92" s="398"/>
      <c r="C92" s="105">
        <v>16</v>
      </c>
      <c r="D92" s="228" t="s">
        <v>282</v>
      </c>
      <c r="E92" s="175">
        <v>18</v>
      </c>
      <c r="F92" s="105">
        <v>1440</v>
      </c>
      <c r="G92" s="202">
        <v>80</v>
      </c>
      <c r="H92" s="385"/>
      <c r="I92" s="175">
        <f t="shared" si="40"/>
        <v>18</v>
      </c>
      <c r="J92" s="175">
        <f t="shared" si="41"/>
        <v>1275.6013034930297</v>
      </c>
      <c r="K92" s="202">
        <f t="shared" si="42"/>
        <v>70.866739082946097</v>
      </c>
      <c r="L92" s="385"/>
      <c r="M92" s="175">
        <f>RANK(K92, K$77:$K$106)</f>
        <v>17</v>
      </c>
      <c r="N92" s="387"/>
      <c r="O92" s="387"/>
      <c r="P92" s="105">
        <v>18</v>
      </c>
      <c r="Q92" s="202">
        <v>1254.1176470588239</v>
      </c>
      <c r="R92" s="202">
        <v>69.673202614379107</v>
      </c>
      <c r="S92" s="105">
        <f t="shared" si="50"/>
        <v>18</v>
      </c>
      <c r="T92" s="412"/>
      <c r="U92" s="105">
        <v>18</v>
      </c>
      <c r="V92" s="202">
        <v>1285.1785714285722</v>
      </c>
      <c r="W92" s="202">
        <v>71.398809523809575</v>
      </c>
      <c r="X92" s="105">
        <f t="shared" si="51"/>
        <v>18</v>
      </c>
      <c r="Y92" s="412"/>
      <c r="Z92" s="105">
        <v>18</v>
      </c>
      <c r="AA92" s="202">
        <v>1271.9008264462805</v>
      </c>
      <c r="AB92" s="202">
        <v>70.661157024793354</v>
      </c>
      <c r="AC92" s="105">
        <f t="shared" si="52"/>
        <v>18</v>
      </c>
      <c r="AD92" s="412"/>
      <c r="AE92" s="105">
        <v>18</v>
      </c>
      <c r="AF92" s="202">
        <v>1269.9999999999995</v>
      </c>
      <c r="AG92" s="202">
        <v>70.555555555555529</v>
      </c>
      <c r="AH92" s="105">
        <f t="shared" si="53"/>
        <v>17</v>
      </c>
      <c r="AI92" s="412"/>
      <c r="AJ92" s="105">
        <v>18</v>
      </c>
      <c r="AK92" s="202">
        <v>1282.8099173553712</v>
      </c>
      <c r="AL92" s="202">
        <v>71.267217630853963</v>
      </c>
      <c r="AM92" s="105">
        <f t="shared" si="54"/>
        <v>16</v>
      </c>
      <c r="AN92" s="412"/>
      <c r="AO92" s="105">
        <v>18</v>
      </c>
      <c r="AP92" s="202">
        <v>1283.0399999999997</v>
      </c>
      <c r="AQ92" s="202">
        <v>71.279999999999987</v>
      </c>
      <c r="AR92" s="105">
        <f t="shared" si="55"/>
        <v>16</v>
      </c>
      <c r="AS92" s="412"/>
      <c r="AT92" s="105">
        <v>18</v>
      </c>
      <c r="AU92" s="202">
        <v>1282.1621621621612</v>
      </c>
      <c r="AV92" s="202">
        <v>71.231231231231178</v>
      </c>
      <c r="AW92" s="105">
        <f t="shared" si="56"/>
        <v>18</v>
      </c>
      <c r="AX92" s="412"/>
    </row>
    <row r="93" spans="2:50">
      <c r="B93" s="398"/>
      <c r="C93" s="105">
        <v>17</v>
      </c>
      <c r="D93" s="228" t="s">
        <v>272</v>
      </c>
      <c r="E93" s="175">
        <v>17</v>
      </c>
      <c r="F93" s="105">
        <v>1565</v>
      </c>
      <c r="G93" s="202">
        <v>92.058823529411768</v>
      </c>
      <c r="H93" s="385"/>
      <c r="I93" s="175">
        <f t="shared" si="40"/>
        <v>17</v>
      </c>
      <c r="J93" s="175">
        <f t="shared" si="41"/>
        <v>1074.5454545454556</v>
      </c>
      <c r="K93" s="202">
        <f t="shared" si="42"/>
        <v>63.208556149732686</v>
      </c>
      <c r="L93" s="385"/>
      <c r="M93" s="175">
        <f>RANK(K93, K$77:$K$106)</f>
        <v>23</v>
      </c>
      <c r="N93" s="387"/>
      <c r="O93" s="387"/>
      <c r="P93" s="105">
        <v>17</v>
      </c>
      <c r="Q93" s="202">
        <v>1074.5454545454556</v>
      </c>
      <c r="R93" s="202">
        <v>63.208556149732686</v>
      </c>
      <c r="S93" s="105">
        <f t="shared" si="50"/>
        <v>22</v>
      </c>
      <c r="T93" s="412"/>
      <c r="U93" s="105"/>
      <c r="V93" s="202"/>
      <c r="W93" s="202"/>
      <c r="X93" s="105" t="e">
        <f t="shared" si="51"/>
        <v>#N/A</v>
      </c>
      <c r="Y93" s="412"/>
      <c r="Z93" s="105"/>
      <c r="AA93" s="202"/>
      <c r="AB93" s="202"/>
      <c r="AC93" s="105" t="e">
        <f t="shared" si="52"/>
        <v>#N/A</v>
      </c>
      <c r="AD93" s="412"/>
      <c r="AE93" s="105"/>
      <c r="AF93" s="202"/>
      <c r="AG93" s="202"/>
      <c r="AH93" s="105" t="e">
        <f t="shared" si="53"/>
        <v>#N/A</v>
      </c>
      <c r="AI93" s="412"/>
      <c r="AJ93" s="105"/>
      <c r="AK93" s="202"/>
      <c r="AL93" s="202"/>
      <c r="AM93" s="105" t="e">
        <f t="shared" si="54"/>
        <v>#N/A</v>
      </c>
      <c r="AN93" s="412"/>
      <c r="AO93" s="105"/>
      <c r="AP93" s="202"/>
      <c r="AQ93" s="202"/>
      <c r="AR93" s="105" t="e">
        <f t="shared" si="55"/>
        <v>#N/A</v>
      </c>
      <c r="AS93" s="412"/>
      <c r="AT93" s="105"/>
      <c r="AU93" s="202"/>
      <c r="AV93" s="202"/>
      <c r="AW93" s="105" t="e">
        <f t="shared" si="56"/>
        <v>#N/A</v>
      </c>
      <c r="AX93" s="412"/>
    </row>
    <row r="94" spans="2:50">
      <c r="B94" s="398"/>
      <c r="C94" s="105">
        <v>18</v>
      </c>
      <c r="D94" s="228" t="s">
        <v>273</v>
      </c>
      <c r="E94" s="175">
        <v>16</v>
      </c>
      <c r="F94" s="105">
        <v>1500</v>
      </c>
      <c r="G94" s="202">
        <v>93.75</v>
      </c>
      <c r="H94" s="385"/>
      <c r="I94" s="175">
        <f t="shared" si="40"/>
        <v>16.142857142857142</v>
      </c>
      <c r="J94" s="175">
        <f t="shared" si="41"/>
        <v>1277.7103575503847</v>
      </c>
      <c r="K94" s="202">
        <f t="shared" si="42"/>
        <v>79.183578019167967</v>
      </c>
      <c r="L94" s="385"/>
      <c r="M94" s="175">
        <f>RANK(K94, K$77:$K$106)</f>
        <v>7</v>
      </c>
      <c r="N94" s="387"/>
      <c r="O94" s="387"/>
      <c r="P94" s="105">
        <v>16</v>
      </c>
      <c r="Q94" s="202">
        <v>1256.3076923076922</v>
      </c>
      <c r="R94" s="202">
        <v>78.519230769230759</v>
      </c>
      <c r="S94" s="105">
        <f t="shared" si="50"/>
        <v>8</v>
      </c>
      <c r="T94" s="412"/>
      <c r="U94" s="105">
        <v>16</v>
      </c>
      <c r="V94" s="202">
        <v>1269.5238095238108</v>
      </c>
      <c r="W94" s="202">
        <v>79.345238095238173</v>
      </c>
      <c r="X94" s="105">
        <f t="shared" si="51"/>
        <v>7</v>
      </c>
      <c r="Y94" s="412"/>
      <c r="Z94" s="105">
        <v>16</v>
      </c>
      <c r="AA94" s="202">
        <v>1267.1186440677975</v>
      </c>
      <c r="AB94" s="202">
        <v>79.194915254237344</v>
      </c>
      <c r="AC94" s="105">
        <f t="shared" si="52"/>
        <v>9</v>
      </c>
      <c r="AD94" s="412"/>
      <c r="AE94" s="105">
        <v>16</v>
      </c>
      <c r="AF94" s="202">
        <v>1252.7586206896544</v>
      </c>
      <c r="AG94" s="202">
        <v>78.297413793103402</v>
      </c>
      <c r="AH94" s="105">
        <f t="shared" si="53"/>
        <v>9</v>
      </c>
      <c r="AI94" s="412"/>
      <c r="AJ94" s="105">
        <v>16</v>
      </c>
      <c r="AK94" s="202">
        <v>1317.6923076923085</v>
      </c>
      <c r="AL94" s="202">
        <v>82.355769230769283</v>
      </c>
      <c r="AM94" s="105">
        <f t="shared" si="54"/>
        <v>5</v>
      </c>
      <c r="AN94" s="412"/>
      <c r="AO94" s="105">
        <v>17</v>
      </c>
      <c r="AP94" s="202">
        <v>1282.0000000000014</v>
      </c>
      <c r="AQ94" s="202">
        <v>75.411764705882433</v>
      </c>
      <c r="AR94" s="105">
        <f t="shared" si="55"/>
        <v>11</v>
      </c>
      <c r="AS94" s="412"/>
      <c r="AT94" s="105">
        <v>16</v>
      </c>
      <c r="AU94" s="202">
        <v>1298.5714285714296</v>
      </c>
      <c r="AV94" s="202">
        <v>81.160714285714349</v>
      </c>
      <c r="AW94" s="105">
        <f t="shared" si="56"/>
        <v>5</v>
      </c>
      <c r="AX94" s="412"/>
    </row>
    <row r="95" spans="2:50">
      <c r="B95" s="398"/>
      <c r="C95" s="105">
        <v>19</v>
      </c>
      <c r="D95" s="228" t="s">
        <v>274</v>
      </c>
      <c r="E95" s="175">
        <v>16</v>
      </c>
      <c r="F95" s="105">
        <v>1565</v>
      </c>
      <c r="G95" s="202">
        <v>97.8125</v>
      </c>
      <c r="H95" s="385"/>
      <c r="I95" s="175">
        <f t="shared" si="40"/>
        <v>16.285714285714285</v>
      </c>
      <c r="J95" s="175">
        <f t="shared" si="41"/>
        <v>1286.8542356175442</v>
      </c>
      <c r="K95" s="202">
        <f t="shared" si="42"/>
        <v>79.075166915233041</v>
      </c>
      <c r="L95" s="385"/>
      <c r="M95" s="175">
        <f>RANK(K95, K$77:$K$106)</f>
        <v>8</v>
      </c>
      <c r="N95" s="387"/>
      <c r="O95" s="387"/>
      <c r="P95" s="105">
        <v>16</v>
      </c>
      <c r="Q95" s="202">
        <v>1282.2000000000003</v>
      </c>
      <c r="R95" s="202">
        <v>80.137500000000017</v>
      </c>
      <c r="S95" s="105">
        <f t="shared" si="50"/>
        <v>5</v>
      </c>
      <c r="T95" s="412"/>
      <c r="U95" s="105">
        <v>16</v>
      </c>
      <c r="V95" s="202">
        <v>1294.2857142857147</v>
      </c>
      <c r="W95" s="202">
        <v>80.892857142857167</v>
      </c>
      <c r="X95" s="105">
        <f t="shared" si="51"/>
        <v>5</v>
      </c>
      <c r="Y95" s="412"/>
      <c r="Z95" s="105">
        <v>16</v>
      </c>
      <c r="AA95" s="202">
        <v>1275.3191489361704</v>
      </c>
      <c r="AB95" s="202">
        <v>79.707446808510653</v>
      </c>
      <c r="AC95" s="105">
        <f t="shared" si="52"/>
        <v>8</v>
      </c>
      <c r="AD95" s="412"/>
      <c r="AE95" s="105">
        <v>16</v>
      </c>
      <c r="AF95" s="202">
        <v>1289.6385542168671</v>
      </c>
      <c r="AG95" s="202">
        <v>80.602409638554192</v>
      </c>
      <c r="AH95" s="105">
        <f t="shared" si="53"/>
        <v>6</v>
      </c>
      <c r="AI95" s="412"/>
      <c r="AJ95" s="105">
        <v>16</v>
      </c>
      <c r="AK95" s="202">
        <v>1289.9999999999993</v>
      </c>
      <c r="AL95" s="202">
        <v>80.624999999999957</v>
      </c>
      <c r="AM95" s="105">
        <f t="shared" si="54"/>
        <v>8</v>
      </c>
      <c r="AN95" s="412"/>
      <c r="AO95" s="105">
        <v>17</v>
      </c>
      <c r="AP95" s="202">
        <v>1295.8695652173915</v>
      </c>
      <c r="AQ95" s="202">
        <v>76.22762148337597</v>
      </c>
      <c r="AR95" s="105">
        <f t="shared" si="55"/>
        <v>9</v>
      </c>
      <c r="AS95" s="412"/>
      <c r="AT95" s="105">
        <v>17</v>
      </c>
      <c r="AU95" s="202">
        <v>1280.6666666666667</v>
      </c>
      <c r="AV95" s="202">
        <v>75.333333333333343</v>
      </c>
      <c r="AW95" s="105">
        <f t="shared" si="56"/>
        <v>10</v>
      </c>
      <c r="AX95" s="412"/>
    </row>
    <row r="96" spans="2:50">
      <c r="B96" s="398"/>
      <c r="C96" s="105">
        <v>20</v>
      </c>
      <c r="D96" s="228" t="s">
        <v>275</v>
      </c>
      <c r="E96" s="175">
        <v>17</v>
      </c>
      <c r="F96" s="105">
        <v>1500</v>
      </c>
      <c r="G96" s="202">
        <v>88.235294117647058</v>
      </c>
      <c r="H96" s="385"/>
      <c r="I96" s="175">
        <f t="shared" si="40"/>
        <v>17</v>
      </c>
      <c r="J96" s="175">
        <f t="shared" si="41"/>
        <v>1276.8252989305613</v>
      </c>
      <c r="K96" s="202">
        <f t="shared" si="42"/>
        <v>75.107370525327127</v>
      </c>
      <c r="L96" s="385"/>
      <c r="M96" s="175">
        <f>RANK(K96, K$77:$K$106)</f>
        <v>13</v>
      </c>
      <c r="N96" s="387"/>
      <c r="O96" s="387"/>
      <c r="P96" s="105">
        <v>17</v>
      </c>
      <c r="Q96" s="202">
        <v>1313.3333333333323</v>
      </c>
      <c r="R96" s="202">
        <v>77.254901960784252</v>
      </c>
      <c r="S96" s="105">
        <f t="shared" si="50"/>
        <v>10</v>
      </c>
      <c r="T96" s="412"/>
      <c r="U96" s="105">
        <v>17</v>
      </c>
      <c r="V96" s="202">
        <v>1279.9999999999991</v>
      </c>
      <c r="W96" s="202">
        <v>75.294117647058769</v>
      </c>
      <c r="X96" s="105">
        <f t="shared" si="51"/>
        <v>12</v>
      </c>
      <c r="Y96" s="412"/>
      <c r="Z96" s="105">
        <v>17</v>
      </c>
      <c r="AA96" s="202">
        <v>1243.3333333333323</v>
      </c>
      <c r="AB96" s="202">
        <v>73.137254901960731</v>
      </c>
      <c r="AC96" s="105">
        <f t="shared" si="52"/>
        <v>15</v>
      </c>
      <c r="AD96" s="412"/>
      <c r="AE96" s="105">
        <v>17</v>
      </c>
      <c r="AF96" s="202">
        <v>1299.4736842105253</v>
      </c>
      <c r="AG96" s="202">
        <v>76.439628482972083</v>
      </c>
      <c r="AH96" s="105">
        <f t="shared" si="53"/>
        <v>13</v>
      </c>
      <c r="AI96" s="412"/>
      <c r="AJ96" s="105">
        <v>17</v>
      </c>
      <c r="AK96" s="202">
        <v>1261.538461538461</v>
      </c>
      <c r="AL96" s="202">
        <v>74.208144796380054</v>
      </c>
      <c r="AM96" s="105">
        <f t="shared" si="54"/>
        <v>14</v>
      </c>
      <c r="AN96" s="412"/>
      <c r="AO96" s="105">
        <v>17</v>
      </c>
      <c r="AP96" s="202">
        <v>1289.1891891891883</v>
      </c>
      <c r="AQ96" s="202">
        <v>75.834658187599302</v>
      </c>
      <c r="AR96" s="105">
        <f t="shared" si="55"/>
        <v>10</v>
      </c>
      <c r="AS96" s="412"/>
      <c r="AT96" s="105">
        <v>17</v>
      </c>
      <c r="AU96" s="202">
        <v>1250.9090909090894</v>
      </c>
      <c r="AV96" s="202">
        <v>73.58288770053467</v>
      </c>
      <c r="AW96" s="105">
        <f t="shared" si="56"/>
        <v>13</v>
      </c>
      <c r="AX96" s="412"/>
    </row>
    <row r="97" spans="2:50">
      <c r="B97" s="398"/>
      <c r="C97" s="105">
        <v>21</v>
      </c>
      <c r="D97" s="228" t="s">
        <v>276</v>
      </c>
      <c r="E97" s="175">
        <v>18</v>
      </c>
      <c r="F97" s="105">
        <v>1636</v>
      </c>
      <c r="G97" s="202">
        <v>90.888888888888886</v>
      </c>
      <c r="H97" s="385"/>
      <c r="I97" s="175">
        <f t="shared" si="40"/>
        <v>18</v>
      </c>
      <c r="J97" s="175">
        <f t="shared" si="41"/>
        <v>1076.2012987013027</v>
      </c>
      <c r="K97" s="202">
        <f t="shared" si="42"/>
        <v>59.788961038961247</v>
      </c>
      <c r="L97" s="385"/>
      <c r="M97" s="175">
        <f>RANK(K97, K$77:$K$106)</f>
        <v>24</v>
      </c>
      <c r="N97" s="387"/>
      <c r="O97" s="387"/>
      <c r="P97" s="105">
        <v>18</v>
      </c>
      <c r="Q97" s="202">
        <v>1065.0000000000039</v>
      </c>
      <c r="R97" s="202">
        <v>59.166666666666885</v>
      </c>
      <c r="S97" s="105">
        <f t="shared" si="50"/>
        <v>24</v>
      </c>
      <c r="T97" s="412"/>
      <c r="U97" s="105">
        <v>18</v>
      </c>
      <c r="V97" s="202">
        <v>1072.5000000000039</v>
      </c>
      <c r="W97" s="202">
        <v>59.583333333333549</v>
      </c>
      <c r="X97" s="105">
        <f t="shared" si="51"/>
        <v>23</v>
      </c>
      <c r="Y97" s="412"/>
      <c r="Z97" s="105">
        <v>18</v>
      </c>
      <c r="AA97" s="202">
        <v>1080.0000000000039</v>
      </c>
      <c r="AB97" s="202">
        <v>60.000000000000213</v>
      </c>
      <c r="AC97" s="105">
        <f t="shared" si="52"/>
        <v>23</v>
      </c>
      <c r="AD97" s="412"/>
      <c r="AE97" s="105">
        <v>18</v>
      </c>
      <c r="AF97" s="202">
        <v>1127.1428571428612</v>
      </c>
      <c r="AG97" s="202">
        <v>62.619047619047848</v>
      </c>
      <c r="AH97" s="105">
        <f t="shared" si="53"/>
        <v>23</v>
      </c>
      <c r="AI97" s="412"/>
      <c r="AJ97" s="105">
        <v>18</v>
      </c>
      <c r="AK97" s="202">
        <v>1036.3636363636401</v>
      </c>
      <c r="AL97" s="202">
        <v>57.575757575757784</v>
      </c>
      <c r="AM97" s="105">
        <f t="shared" si="54"/>
        <v>23</v>
      </c>
      <c r="AN97" s="412"/>
      <c r="AO97" s="105"/>
      <c r="AP97" s="202"/>
      <c r="AQ97" s="202"/>
      <c r="AR97" s="105" t="e">
        <f t="shared" si="55"/>
        <v>#N/A</v>
      </c>
      <c r="AS97" s="412"/>
      <c r="AT97" s="105"/>
      <c r="AU97" s="202"/>
      <c r="AV97" s="202"/>
      <c r="AW97" s="105" t="e">
        <f t="shared" si="56"/>
        <v>#N/A</v>
      </c>
      <c r="AX97" s="412"/>
    </row>
    <row r="98" spans="2:50">
      <c r="B98" s="398"/>
      <c r="C98" s="105">
        <v>22</v>
      </c>
      <c r="D98" s="228" t="s">
        <v>277</v>
      </c>
      <c r="E98" s="175">
        <v>18</v>
      </c>
      <c r="F98" s="105">
        <v>1500</v>
      </c>
      <c r="G98" s="202">
        <v>83.333333333333329</v>
      </c>
      <c r="H98" s="385"/>
      <c r="I98" s="175">
        <f t="shared" si="40"/>
        <v>17.285714285714285</v>
      </c>
      <c r="J98" s="175">
        <f t="shared" si="41"/>
        <v>1292.3831917596169</v>
      </c>
      <c r="K98" s="202">
        <f t="shared" si="42"/>
        <v>74.832385941317412</v>
      </c>
      <c r="L98" s="385"/>
      <c r="M98" s="175">
        <f>RANK(K98, K$77:$K$106)</f>
        <v>14</v>
      </c>
      <c r="N98" s="387"/>
      <c r="O98" s="387"/>
      <c r="P98" s="105">
        <v>17</v>
      </c>
      <c r="Q98" s="202">
        <v>1301.2500000000016</v>
      </c>
      <c r="R98" s="202">
        <v>76.544117647058911</v>
      </c>
      <c r="S98" s="105">
        <f t="shared" si="50"/>
        <v>12</v>
      </c>
      <c r="T98" s="412"/>
      <c r="U98" s="105">
        <v>17</v>
      </c>
      <c r="V98" s="202">
        <v>1281.0000000000011</v>
      </c>
      <c r="W98" s="202">
        <v>75.352941176470651</v>
      </c>
      <c r="X98" s="105">
        <f t="shared" si="51"/>
        <v>11</v>
      </c>
      <c r="Y98" s="412"/>
      <c r="Z98" s="105">
        <v>17</v>
      </c>
      <c r="AA98" s="202">
        <v>1271.1864406779671</v>
      </c>
      <c r="AB98" s="202">
        <v>74.775672981056886</v>
      </c>
      <c r="AC98" s="105">
        <f t="shared" si="52"/>
        <v>12</v>
      </c>
      <c r="AD98" s="412"/>
      <c r="AE98" s="105">
        <v>17</v>
      </c>
      <c r="AF98" s="202">
        <v>1320.0000000000014</v>
      </c>
      <c r="AG98" s="202">
        <v>77.647058823529491</v>
      </c>
      <c r="AH98" s="105">
        <f t="shared" si="53"/>
        <v>10</v>
      </c>
      <c r="AI98" s="412"/>
      <c r="AJ98" s="105">
        <v>17</v>
      </c>
      <c r="AK98" s="202">
        <v>1323.9344262295094</v>
      </c>
      <c r="AL98" s="202">
        <v>77.878495660559381</v>
      </c>
      <c r="AM98" s="105">
        <f t="shared" si="54"/>
        <v>10</v>
      </c>
      <c r="AN98" s="412"/>
      <c r="AO98" s="105">
        <v>18</v>
      </c>
      <c r="AP98" s="202">
        <v>1248.0000000000011</v>
      </c>
      <c r="AQ98" s="202">
        <v>69.3333333333334</v>
      </c>
      <c r="AR98" s="105">
        <f t="shared" si="55"/>
        <v>17</v>
      </c>
      <c r="AS98" s="412"/>
      <c r="AT98" s="105">
        <v>18</v>
      </c>
      <c r="AU98" s="202">
        <v>1301.3114754098372</v>
      </c>
      <c r="AV98" s="202">
        <v>72.295081967213179</v>
      </c>
      <c r="AW98" s="105">
        <f t="shared" si="56"/>
        <v>15</v>
      </c>
      <c r="AX98" s="412"/>
    </row>
    <row r="99" spans="2:50">
      <c r="B99" s="398"/>
      <c r="C99" s="105">
        <v>23</v>
      </c>
      <c r="D99" s="228" t="s">
        <v>278</v>
      </c>
      <c r="E99" s="175">
        <v>18</v>
      </c>
      <c r="F99" s="105">
        <v>1440</v>
      </c>
      <c r="G99" s="202">
        <v>80</v>
      </c>
      <c r="H99" s="385"/>
      <c r="I99" s="175">
        <f t="shared" si="40"/>
        <v>17.857142857142858</v>
      </c>
      <c r="J99" s="175">
        <f t="shared" si="41"/>
        <v>1343.7392262015221</v>
      </c>
      <c r="K99" s="202">
        <f t="shared" si="42"/>
        <v>75.273208132782514</v>
      </c>
      <c r="L99" s="385"/>
      <c r="M99" s="175">
        <f>RANK(K99, K$77:$K$106)</f>
        <v>12</v>
      </c>
      <c r="N99" s="387"/>
      <c r="O99" s="387"/>
      <c r="P99" s="105">
        <v>18</v>
      </c>
      <c r="Q99" s="202">
        <v>1350.9890109890111</v>
      </c>
      <c r="R99" s="202">
        <v>75.054945054945065</v>
      </c>
      <c r="S99" s="105">
        <f t="shared" si="50"/>
        <v>15</v>
      </c>
      <c r="T99" s="412"/>
      <c r="U99" s="105">
        <v>18</v>
      </c>
      <c r="V99" s="202">
        <v>1346.9662921348315</v>
      </c>
      <c r="W99" s="202">
        <v>74.831460674157313</v>
      </c>
      <c r="X99" s="105">
        <f t="shared" si="51"/>
        <v>14</v>
      </c>
      <c r="Y99" s="412"/>
      <c r="Z99" s="105">
        <v>18</v>
      </c>
      <c r="AA99" s="202">
        <v>1332.9545454545455</v>
      </c>
      <c r="AB99" s="202">
        <v>74.053030303030312</v>
      </c>
      <c r="AC99" s="105">
        <f t="shared" si="52"/>
        <v>14</v>
      </c>
      <c r="AD99" s="412"/>
      <c r="AE99" s="105">
        <v>18</v>
      </c>
      <c r="AF99" s="202">
        <v>1355.7303370786517</v>
      </c>
      <c r="AG99" s="202">
        <v>75.31835205992509</v>
      </c>
      <c r="AH99" s="105">
        <f t="shared" si="53"/>
        <v>14</v>
      </c>
      <c r="AI99" s="412"/>
      <c r="AJ99" s="105">
        <v>18</v>
      </c>
      <c r="AK99" s="202">
        <v>1355.555555555555</v>
      </c>
      <c r="AL99" s="202">
        <v>75.308641975308603</v>
      </c>
      <c r="AM99" s="105">
        <f t="shared" si="54"/>
        <v>13</v>
      </c>
      <c r="AN99" s="412"/>
      <c r="AO99" s="105">
        <v>18</v>
      </c>
      <c r="AP99" s="202">
        <v>1333.7349397590358</v>
      </c>
      <c r="AQ99" s="202">
        <v>74.096385542168662</v>
      </c>
      <c r="AR99" s="105">
        <f t="shared" si="55"/>
        <v>13</v>
      </c>
      <c r="AS99" s="412"/>
      <c r="AT99" s="105">
        <v>17</v>
      </c>
      <c r="AU99" s="202">
        <v>1330.2439024390239</v>
      </c>
      <c r="AV99" s="202">
        <v>78.249641319942583</v>
      </c>
      <c r="AW99" s="105">
        <f t="shared" si="56"/>
        <v>8</v>
      </c>
      <c r="AX99" s="412"/>
    </row>
    <row r="100" spans="2:50">
      <c r="B100" s="398"/>
      <c r="C100" s="105">
        <v>24</v>
      </c>
      <c r="D100" s="228" t="s">
        <v>279</v>
      </c>
      <c r="E100" s="175">
        <v>15</v>
      </c>
      <c r="F100" s="105">
        <v>1440</v>
      </c>
      <c r="G100" s="202">
        <v>96</v>
      </c>
      <c r="H100" s="385"/>
      <c r="I100" s="175">
        <f t="shared" si="40"/>
        <v>15.285714285714286</v>
      </c>
      <c r="J100" s="175">
        <f t="shared" si="41"/>
        <v>1286.2310946652942</v>
      </c>
      <c r="K100" s="202">
        <f t="shared" si="42"/>
        <v>84.208236378369946</v>
      </c>
      <c r="L100" s="385"/>
      <c r="M100" s="175">
        <f>RANK(K100, K$77:$K$106)</f>
        <v>4</v>
      </c>
      <c r="N100" s="387"/>
      <c r="O100" s="387"/>
      <c r="P100" s="105">
        <v>15</v>
      </c>
      <c r="Q100" s="202">
        <v>1290.4477611940283</v>
      </c>
      <c r="R100" s="202">
        <v>86.029850746268551</v>
      </c>
      <c r="S100" s="105">
        <f t="shared" si="50"/>
        <v>4</v>
      </c>
      <c r="T100" s="412"/>
      <c r="U100" s="105">
        <v>15</v>
      </c>
      <c r="V100" s="202">
        <v>1274.7540983606568</v>
      </c>
      <c r="W100" s="202">
        <v>84.983606557377115</v>
      </c>
      <c r="X100" s="105">
        <f t="shared" si="51"/>
        <v>4</v>
      </c>
      <c r="Y100" s="412"/>
      <c r="Z100" s="105">
        <v>15</v>
      </c>
      <c r="AA100" s="202">
        <v>1277.2727272727286</v>
      </c>
      <c r="AB100" s="202">
        <v>85.151515151515241</v>
      </c>
      <c r="AC100" s="105">
        <f t="shared" si="52"/>
        <v>4</v>
      </c>
      <c r="AD100" s="412"/>
      <c r="AE100" s="105">
        <v>15</v>
      </c>
      <c r="AF100" s="202">
        <v>1274.3283582089537</v>
      </c>
      <c r="AG100" s="202">
        <v>84.955223880596904</v>
      </c>
      <c r="AH100" s="105">
        <f t="shared" si="53"/>
        <v>4</v>
      </c>
      <c r="AI100" s="412"/>
      <c r="AJ100" s="105">
        <v>15</v>
      </c>
      <c r="AK100" s="202">
        <v>1298.7692307692321</v>
      </c>
      <c r="AL100" s="202">
        <v>86.584615384615475</v>
      </c>
      <c r="AM100" s="105">
        <f t="shared" si="54"/>
        <v>4</v>
      </c>
      <c r="AN100" s="412"/>
      <c r="AO100" s="105">
        <v>16</v>
      </c>
      <c r="AP100" s="202">
        <v>1283.2835820895539</v>
      </c>
      <c r="AQ100" s="202">
        <v>80.205223880597117</v>
      </c>
      <c r="AR100" s="105">
        <f t="shared" si="55"/>
        <v>4</v>
      </c>
      <c r="AS100" s="412"/>
      <c r="AT100" s="105">
        <v>16</v>
      </c>
      <c r="AU100" s="202">
        <v>1304.7619047619062</v>
      </c>
      <c r="AV100" s="202">
        <v>81.547619047619136</v>
      </c>
      <c r="AW100" s="105">
        <f t="shared" si="56"/>
        <v>4</v>
      </c>
      <c r="AX100" s="412"/>
    </row>
    <row r="101" spans="2:50">
      <c r="B101" s="398"/>
      <c r="C101" s="105">
        <v>25</v>
      </c>
      <c r="D101" s="228" t="s">
        <v>266</v>
      </c>
      <c r="E101" s="175">
        <v>17</v>
      </c>
      <c r="F101" s="105">
        <v>1500</v>
      </c>
      <c r="G101" s="202">
        <v>88.235294117647058</v>
      </c>
      <c r="H101" s="385"/>
      <c r="I101" s="175">
        <f t="shared" si="40"/>
        <v>17</v>
      </c>
      <c r="J101" s="175">
        <f t="shared" si="41"/>
        <v>1080.3795202291451</v>
      </c>
      <c r="K101" s="202">
        <f t="shared" si="42"/>
        <v>63.551736484067355</v>
      </c>
      <c r="L101" s="385"/>
      <c r="M101" s="175">
        <f>RANK(K101, K$77:$K$106)</f>
        <v>22</v>
      </c>
      <c r="N101" s="387"/>
      <c r="O101" s="387"/>
      <c r="P101" s="105">
        <v>17</v>
      </c>
      <c r="Q101" s="202">
        <v>1052.4999999999966</v>
      </c>
      <c r="R101" s="202">
        <v>61.911764705882149</v>
      </c>
      <c r="S101" s="105">
        <f t="shared" si="50"/>
        <v>23</v>
      </c>
      <c r="T101" s="412"/>
      <c r="U101" s="105">
        <v>17</v>
      </c>
      <c r="V101" s="202">
        <v>1088.5714285714323</v>
      </c>
      <c r="W101" s="202">
        <v>64.033613445378364</v>
      </c>
      <c r="X101" s="105">
        <f t="shared" si="51"/>
        <v>22</v>
      </c>
      <c r="Y101" s="412"/>
      <c r="Z101" s="105">
        <v>17</v>
      </c>
      <c r="AA101" s="202">
        <v>1062.8571428571465</v>
      </c>
      <c r="AB101" s="202">
        <v>62.521008403361563</v>
      </c>
      <c r="AC101" s="105">
        <f t="shared" si="52"/>
        <v>22</v>
      </c>
      <c r="AD101" s="412"/>
      <c r="AE101" s="105">
        <v>17</v>
      </c>
      <c r="AF101" s="202">
        <v>1067.4999999999966</v>
      </c>
      <c r="AG101" s="202">
        <v>62.79411764705862</v>
      </c>
      <c r="AH101" s="105">
        <f t="shared" si="53"/>
        <v>22</v>
      </c>
      <c r="AI101" s="412"/>
      <c r="AJ101" s="105">
        <v>17</v>
      </c>
      <c r="AK101" s="202">
        <v>1109.9999999999966</v>
      </c>
      <c r="AL101" s="202">
        <v>65.294117647058627</v>
      </c>
      <c r="AM101" s="105">
        <f t="shared" si="54"/>
        <v>22</v>
      </c>
      <c r="AN101" s="412"/>
      <c r="AO101" s="105">
        <v>17</v>
      </c>
      <c r="AP101" s="202">
        <v>1123.3333333333374</v>
      </c>
      <c r="AQ101" s="202">
        <v>66.078431372549261</v>
      </c>
      <c r="AR101" s="105">
        <f t="shared" si="55"/>
        <v>22</v>
      </c>
      <c r="AS101" s="412"/>
      <c r="AT101" s="105">
        <v>17</v>
      </c>
      <c r="AU101" s="202">
        <v>1057.8947368421091</v>
      </c>
      <c r="AV101" s="202">
        <v>62.229102167182887</v>
      </c>
      <c r="AW101" s="105">
        <f t="shared" si="56"/>
        <v>22</v>
      </c>
      <c r="AX101" s="412"/>
    </row>
    <row r="102" spans="2:50">
      <c r="B102" s="398"/>
      <c r="C102" s="105">
        <v>26</v>
      </c>
      <c r="D102" s="228" t="s">
        <v>270</v>
      </c>
      <c r="E102" s="175">
        <v>16</v>
      </c>
      <c r="F102" s="105">
        <v>1440</v>
      </c>
      <c r="G102" s="202">
        <v>90</v>
      </c>
      <c r="H102" s="385"/>
      <c r="I102" s="175">
        <f t="shared" si="40"/>
        <v>16</v>
      </c>
      <c r="J102" s="175">
        <f t="shared" si="41"/>
        <v>1273.3857952271803</v>
      </c>
      <c r="K102" s="202">
        <f t="shared" si="42"/>
        <v>79.58661220169877</v>
      </c>
      <c r="L102" s="385"/>
      <c r="M102" s="175">
        <f>RANK(K102, K$77:$K$106)</f>
        <v>5</v>
      </c>
      <c r="N102" s="387"/>
      <c r="O102" s="387"/>
      <c r="P102" s="105">
        <v>16</v>
      </c>
      <c r="Q102" s="202">
        <v>1251.6666666666656</v>
      </c>
      <c r="R102" s="202">
        <v>78.2291666666666</v>
      </c>
      <c r="S102" s="105">
        <f t="shared" si="50"/>
        <v>9</v>
      </c>
      <c r="T102" s="412"/>
      <c r="U102" s="105">
        <v>16</v>
      </c>
      <c r="V102" s="202">
        <v>1291.8749999999982</v>
      </c>
      <c r="W102" s="202">
        <v>80.742187499999886</v>
      </c>
      <c r="X102" s="105">
        <f t="shared" si="51"/>
        <v>6</v>
      </c>
      <c r="Y102" s="412"/>
      <c r="Z102" s="105">
        <v>16</v>
      </c>
      <c r="AA102" s="202">
        <v>1289.9999999999982</v>
      </c>
      <c r="AB102" s="202">
        <v>80.624999999999886</v>
      </c>
      <c r="AC102" s="105">
        <f t="shared" si="52"/>
        <v>6</v>
      </c>
      <c r="AD102" s="412"/>
      <c r="AE102" s="105">
        <v>16</v>
      </c>
      <c r="AF102" s="202">
        <v>1289.1428571428557</v>
      </c>
      <c r="AG102" s="202">
        <v>80.571428571428484</v>
      </c>
      <c r="AH102" s="105">
        <f t="shared" si="53"/>
        <v>7</v>
      </c>
      <c r="AI102" s="412"/>
      <c r="AJ102" s="105">
        <v>16</v>
      </c>
      <c r="AK102" s="202">
        <v>1290.9090909090892</v>
      </c>
      <c r="AL102" s="202">
        <v>80.681818181818073</v>
      </c>
      <c r="AM102" s="105">
        <f t="shared" si="54"/>
        <v>7</v>
      </c>
      <c r="AN102" s="412"/>
      <c r="AO102" s="105">
        <v>16</v>
      </c>
      <c r="AP102" s="202">
        <v>1243.6363636363621</v>
      </c>
      <c r="AQ102" s="202">
        <v>77.727272727272634</v>
      </c>
      <c r="AR102" s="105">
        <f t="shared" si="55"/>
        <v>8</v>
      </c>
      <c r="AS102" s="412"/>
      <c r="AT102" s="105">
        <v>16</v>
      </c>
      <c r="AU102" s="202">
        <v>1256.4705882352926</v>
      </c>
      <c r="AV102" s="202">
        <v>78.529411764705785</v>
      </c>
      <c r="AW102" s="105">
        <f t="shared" si="56"/>
        <v>7</v>
      </c>
      <c r="AX102" s="412"/>
    </row>
    <row r="103" spans="2:50">
      <c r="B103" s="398"/>
      <c r="C103" s="105">
        <v>27</v>
      </c>
      <c r="D103" s="228" t="s">
        <v>271</v>
      </c>
      <c r="E103" s="175">
        <v>17</v>
      </c>
      <c r="F103" s="105">
        <v>1440</v>
      </c>
      <c r="G103" s="202">
        <v>84.705882352941174</v>
      </c>
      <c r="H103" s="385"/>
      <c r="I103" s="175">
        <f t="shared" si="40"/>
        <v>17</v>
      </c>
      <c r="J103" s="175">
        <f t="shared" si="41"/>
        <v>1286.0455196324599</v>
      </c>
      <c r="K103" s="202">
        <f t="shared" si="42"/>
        <v>75.649736448968241</v>
      </c>
      <c r="L103" s="385"/>
      <c r="M103" s="175">
        <f>RANK(K103, K$77:$K$106)</f>
        <v>11</v>
      </c>
      <c r="N103" s="387"/>
      <c r="O103" s="387"/>
      <c r="P103" s="105">
        <v>17</v>
      </c>
      <c r="Q103" s="202">
        <v>1311.7647058823534</v>
      </c>
      <c r="R103" s="202">
        <v>77.162629757785496</v>
      </c>
      <c r="S103" s="105">
        <f t="shared" si="50"/>
        <v>11</v>
      </c>
      <c r="T103" s="412"/>
      <c r="U103" s="105">
        <v>17</v>
      </c>
      <c r="V103" s="202">
        <v>1264.8000000000004</v>
      </c>
      <c r="W103" s="202">
        <v>74.40000000000002</v>
      </c>
      <c r="X103" s="105">
        <f t="shared" si="51"/>
        <v>15</v>
      </c>
      <c r="Y103" s="412"/>
      <c r="Z103" s="105">
        <v>17</v>
      </c>
      <c r="AA103" s="202">
        <v>1275.3191489361704</v>
      </c>
      <c r="AB103" s="202">
        <v>75.018773466833551</v>
      </c>
      <c r="AC103" s="105">
        <f t="shared" si="52"/>
        <v>11</v>
      </c>
      <c r="AD103" s="412"/>
      <c r="AE103" s="105">
        <v>17</v>
      </c>
      <c r="AF103" s="202">
        <v>1300</v>
      </c>
      <c r="AG103" s="202">
        <v>76.470588235294116</v>
      </c>
      <c r="AH103" s="105">
        <f t="shared" si="53"/>
        <v>12</v>
      </c>
      <c r="AI103" s="412"/>
      <c r="AJ103" s="105">
        <v>17</v>
      </c>
      <c r="AK103" s="202">
        <v>1318.695652173913</v>
      </c>
      <c r="AL103" s="202">
        <v>77.570332480818408</v>
      </c>
      <c r="AM103" s="105">
        <f t="shared" si="54"/>
        <v>12</v>
      </c>
      <c r="AN103" s="412"/>
      <c r="AO103" s="105">
        <v>17</v>
      </c>
      <c r="AP103" s="202">
        <v>1276.9565217391305</v>
      </c>
      <c r="AQ103" s="202">
        <v>75.115089514066497</v>
      </c>
      <c r="AR103" s="105">
        <f t="shared" si="55"/>
        <v>12</v>
      </c>
      <c r="AS103" s="412"/>
      <c r="AT103" s="105">
        <v>17</v>
      </c>
      <c r="AU103" s="202">
        <v>1254.7826086956522</v>
      </c>
      <c r="AV103" s="202">
        <v>73.810741687979544</v>
      </c>
      <c r="AW103" s="105">
        <f t="shared" si="56"/>
        <v>11</v>
      </c>
      <c r="AX103" s="412"/>
    </row>
    <row r="104" spans="2:50">
      <c r="B104" s="398"/>
      <c r="C104" s="105">
        <v>28</v>
      </c>
      <c r="D104" s="228" t="s">
        <v>281</v>
      </c>
      <c r="E104" s="175">
        <v>16</v>
      </c>
      <c r="F104" s="105">
        <v>1500</v>
      </c>
      <c r="G104" s="202">
        <v>93.75</v>
      </c>
      <c r="H104" s="385"/>
      <c r="I104" s="175">
        <f t="shared" si="40"/>
        <v>16</v>
      </c>
      <c r="J104" s="175">
        <f t="shared" si="41"/>
        <v>1100.3609135962099</v>
      </c>
      <c r="K104" s="202">
        <f t="shared" si="42"/>
        <v>68.772557099763119</v>
      </c>
      <c r="L104" s="385"/>
      <c r="M104" s="175">
        <f>RANK(K104, K$77:$K$106)</f>
        <v>19</v>
      </c>
      <c r="N104" s="387"/>
      <c r="O104" s="387"/>
      <c r="P104" s="105">
        <v>16</v>
      </c>
      <c r="Q104" s="202">
        <v>1111.7647058823568</v>
      </c>
      <c r="R104" s="202">
        <v>69.4852941176473</v>
      </c>
      <c r="S104" s="105">
        <f t="shared" si="50"/>
        <v>19</v>
      </c>
      <c r="T104" s="412"/>
      <c r="U104" s="105">
        <v>16</v>
      </c>
      <c r="V104" s="202">
        <v>1072.9411764705922</v>
      </c>
      <c r="W104" s="202">
        <v>67.05882352941201</v>
      </c>
      <c r="X104" s="105">
        <f t="shared" si="51"/>
        <v>19</v>
      </c>
      <c r="Y104" s="412"/>
      <c r="Z104" s="105">
        <v>16</v>
      </c>
      <c r="AA104" s="202">
        <v>1191.9999999999916</v>
      </c>
      <c r="AB104" s="202">
        <v>74.499999999999474</v>
      </c>
      <c r="AC104" s="105">
        <f t="shared" si="52"/>
        <v>13</v>
      </c>
      <c r="AD104" s="412"/>
      <c r="AE104" s="105">
        <v>16</v>
      </c>
      <c r="AF104" s="202">
        <v>1059.0000000000036</v>
      </c>
      <c r="AG104" s="202">
        <v>66.187500000000227</v>
      </c>
      <c r="AH104" s="105">
        <f t="shared" si="53"/>
        <v>21</v>
      </c>
      <c r="AI104" s="412"/>
      <c r="AJ104" s="105">
        <v>16</v>
      </c>
      <c r="AK104" s="202">
        <v>1056.6666666666704</v>
      </c>
      <c r="AL104" s="202">
        <v>66.041666666666899</v>
      </c>
      <c r="AM104" s="105">
        <f t="shared" si="54"/>
        <v>21</v>
      </c>
      <c r="AN104" s="412"/>
      <c r="AO104" s="105">
        <v>16</v>
      </c>
      <c r="AP104" s="202">
        <v>1084.0000000000039</v>
      </c>
      <c r="AQ104" s="202">
        <v>67.750000000000242</v>
      </c>
      <c r="AR104" s="105">
        <f t="shared" si="55"/>
        <v>18</v>
      </c>
      <c r="AS104" s="412"/>
      <c r="AT104" s="105">
        <v>16</v>
      </c>
      <c r="AU104" s="202">
        <v>1126.1538461538503</v>
      </c>
      <c r="AV104" s="202">
        <v>70.384615384615643</v>
      </c>
      <c r="AW104" s="105">
        <f t="shared" si="56"/>
        <v>19</v>
      </c>
      <c r="AX104" s="412"/>
    </row>
    <row r="105" spans="2:50">
      <c r="B105" s="398"/>
      <c r="C105" s="105">
        <v>29</v>
      </c>
      <c r="D105" s="228"/>
      <c r="E105" s="175"/>
      <c r="F105" s="105"/>
      <c r="G105" s="202"/>
      <c r="H105" s="385"/>
      <c r="I105" s="105"/>
      <c r="J105" s="105"/>
      <c r="K105" s="105"/>
      <c r="L105" s="385"/>
      <c r="M105" s="175" t="e">
        <f>RANK(K105, K$77:$K$106)</f>
        <v>#N/A</v>
      </c>
      <c r="N105" s="387"/>
      <c r="O105" s="387"/>
      <c r="P105" s="105"/>
      <c r="Q105" s="105"/>
      <c r="R105" s="105"/>
      <c r="S105" s="105" t="e">
        <f t="shared" si="50"/>
        <v>#N/A</v>
      </c>
      <c r="T105" s="412"/>
      <c r="U105" s="105"/>
      <c r="V105" s="105"/>
      <c r="W105" s="105"/>
      <c r="X105" s="105" t="e">
        <f t="shared" si="51"/>
        <v>#N/A</v>
      </c>
      <c r="Y105" s="412"/>
      <c r="Z105" s="105"/>
      <c r="AA105" s="105"/>
      <c r="AB105" s="105"/>
      <c r="AC105" s="105" t="e">
        <f t="shared" si="52"/>
        <v>#N/A</v>
      </c>
      <c r="AD105" s="412"/>
      <c r="AE105" s="105"/>
      <c r="AF105" s="105"/>
      <c r="AG105" s="105"/>
      <c r="AH105" s="105" t="e">
        <f t="shared" si="53"/>
        <v>#N/A</v>
      </c>
      <c r="AI105" s="412"/>
      <c r="AJ105" s="105"/>
      <c r="AK105" s="105"/>
      <c r="AL105" s="105"/>
      <c r="AM105" s="105" t="e">
        <f t="shared" si="54"/>
        <v>#N/A</v>
      </c>
      <c r="AN105" s="412"/>
      <c r="AO105" s="105"/>
      <c r="AP105" s="105"/>
      <c r="AQ105" s="105"/>
      <c r="AR105" s="105" t="e">
        <f t="shared" si="55"/>
        <v>#N/A</v>
      </c>
      <c r="AS105" s="412"/>
      <c r="AT105" s="105"/>
      <c r="AU105" s="105"/>
      <c r="AV105" s="105"/>
      <c r="AW105" s="105" t="e">
        <f t="shared" si="56"/>
        <v>#N/A</v>
      </c>
      <c r="AX105" s="412"/>
    </row>
    <row r="106" spans="2:50">
      <c r="B106" s="398"/>
      <c r="C106" s="105">
        <v>30</v>
      </c>
      <c r="D106" s="228"/>
      <c r="E106" s="175"/>
      <c r="F106" s="105"/>
      <c r="G106" s="202"/>
      <c r="H106" s="386"/>
      <c r="I106" s="105"/>
      <c r="J106" s="105"/>
      <c r="K106" s="105"/>
      <c r="L106" s="386"/>
      <c r="M106" s="175" t="e">
        <f>RANK(K106, K$77:$K$106)</f>
        <v>#N/A</v>
      </c>
      <c r="N106" s="387"/>
      <c r="O106" s="387"/>
      <c r="P106" s="105"/>
      <c r="Q106" s="105"/>
      <c r="R106" s="105"/>
      <c r="S106" s="105" t="e">
        <f t="shared" si="43"/>
        <v>#N/A</v>
      </c>
      <c r="T106" s="412"/>
      <c r="U106" s="105"/>
      <c r="V106" s="105"/>
      <c r="W106" s="105"/>
      <c r="X106" s="105" t="e">
        <f t="shared" si="44"/>
        <v>#N/A</v>
      </c>
      <c r="Y106" s="412"/>
      <c r="Z106" s="105"/>
      <c r="AA106" s="105"/>
      <c r="AB106" s="105"/>
      <c r="AC106" s="105" t="e">
        <f t="shared" si="45"/>
        <v>#N/A</v>
      </c>
      <c r="AD106" s="412"/>
      <c r="AE106" s="105"/>
      <c r="AF106" s="105"/>
      <c r="AG106" s="105"/>
      <c r="AH106" s="105" t="e">
        <f t="shared" si="46"/>
        <v>#N/A</v>
      </c>
      <c r="AI106" s="412"/>
      <c r="AJ106" s="105"/>
      <c r="AK106" s="105"/>
      <c r="AL106" s="105"/>
      <c r="AM106" s="105" t="e">
        <f t="shared" si="47"/>
        <v>#N/A</v>
      </c>
      <c r="AN106" s="412"/>
      <c r="AO106" s="105"/>
      <c r="AP106" s="105"/>
      <c r="AQ106" s="105"/>
      <c r="AR106" s="105" t="e">
        <f t="shared" si="48"/>
        <v>#N/A</v>
      </c>
      <c r="AS106" s="412"/>
      <c r="AT106" s="105"/>
      <c r="AU106" s="105"/>
      <c r="AV106" s="105"/>
      <c r="AW106" s="105" t="e">
        <f t="shared" si="49"/>
        <v>#N/A</v>
      </c>
      <c r="AX106" s="412"/>
    </row>
    <row r="107" spans="2:50" ht="15.75">
      <c r="B107" s="405" t="s">
        <v>195</v>
      </c>
      <c r="C107" s="406"/>
      <c r="D107" s="406"/>
      <c r="E107" s="406"/>
      <c r="F107" s="406"/>
      <c r="G107" s="406"/>
      <c r="H107" s="406"/>
      <c r="I107" s="205"/>
      <c r="J107" s="205"/>
      <c r="K107" s="205"/>
      <c r="L107" s="205"/>
      <c r="M107" s="204"/>
      <c r="N107" s="399" t="s">
        <v>196</v>
      </c>
      <c r="O107" s="399" t="s">
        <v>145</v>
      </c>
      <c r="P107" s="397">
        <f>P72+7</f>
        <v>45888</v>
      </c>
      <c r="Q107" s="398"/>
      <c r="R107" s="398"/>
      <c r="S107" s="398"/>
      <c r="T107" s="398"/>
      <c r="U107" s="394">
        <f>P107+1</f>
        <v>45889</v>
      </c>
      <c r="V107" s="395"/>
      <c r="W107" s="395"/>
      <c r="X107" s="395"/>
      <c r="Y107" s="396"/>
      <c r="Z107" s="394">
        <f>U107+1</f>
        <v>45890</v>
      </c>
      <c r="AA107" s="395"/>
      <c r="AB107" s="395"/>
      <c r="AC107" s="395"/>
      <c r="AD107" s="396"/>
      <c r="AE107" s="394">
        <f t="shared" ref="AE107" si="57">Z107+1</f>
        <v>45891</v>
      </c>
      <c r="AF107" s="395"/>
      <c r="AG107" s="395"/>
      <c r="AH107" s="395"/>
      <c r="AI107" s="396"/>
      <c r="AJ107" s="394">
        <f t="shared" ref="AJ107" si="58">AE107+1</f>
        <v>45892</v>
      </c>
      <c r="AK107" s="395"/>
      <c r="AL107" s="395"/>
      <c r="AM107" s="395"/>
      <c r="AN107" s="396"/>
      <c r="AO107" s="394">
        <f t="shared" ref="AO107" si="59">AJ107+1</f>
        <v>45893</v>
      </c>
      <c r="AP107" s="395"/>
      <c r="AQ107" s="395"/>
      <c r="AR107" s="395"/>
      <c r="AS107" s="396"/>
      <c r="AT107" s="394">
        <f t="shared" ref="AT107" si="60">AO107+1</f>
        <v>45894</v>
      </c>
      <c r="AU107" s="395"/>
      <c r="AV107" s="395"/>
      <c r="AW107" s="395"/>
      <c r="AX107" s="396"/>
    </row>
    <row r="108" spans="2:50" ht="15.75">
      <c r="B108" s="407"/>
      <c r="C108" s="407"/>
      <c r="D108" s="407"/>
      <c r="E108" s="407"/>
      <c r="F108" s="407"/>
      <c r="G108" s="407"/>
      <c r="H108" s="407"/>
      <c r="I108" s="172"/>
      <c r="J108" s="172"/>
      <c r="K108" s="172"/>
      <c r="L108" s="172"/>
      <c r="M108" s="173"/>
      <c r="N108" s="401"/>
      <c r="O108" s="401"/>
      <c r="P108" s="397" t="s">
        <v>159</v>
      </c>
      <c r="Q108" s="398"/>
      <c r="R108" s="398"/>
      <c r="S108" s="398"/>
      <c r="T108" s="398"/>
      <c r="U108" s="397" t="s">
        <v>160</v>
      </c>
      <c r="V108" s="398"/>
      <c r="W108" s="398"/>
      <c r="X108" s="398"/>
      <c r="Y108" s="398"/>
      <c r="Z108" s="397" t="s">
        <v>161</v>
      </c>
      <c r="AA108" s="398"/>
      <c r="AB108" s="398"/>
      <c r="AC108" s="398"/>
      <c r="AD108" s="398"/>
      <c r="AE108" s="397" t="s">
        <v>156</v>
      </c>
      <c r="AF108" s="398"/>
      <c r="AG108" s="398"/>
      <c r="AH108" s="398"/>
      <c r="AI108" s="398"/>
      <c r="AJ108" s="397" t="s">
        <v>157</v>
      </c>
      <c r="AK108" s="398"/>
      <c r="AL108" s="398"/>
      <c r="AM108" s="398"/>
      <c r="AN108" s="398"/>
      <c r="AO108" s="397" t="s">
        <v>152</v>
      </c>
      <c r="AP108" s="398"/>
      <c r="AQ108" s="398"/>
      <c r="AR108" s="398"/>
      <c r="AS108" s="398"/>
      <c r="AT108" s="397" t="s">
        <v>158</v>
      </c>
      <c r="AU108" s="398"/>
      <c r="AV108" s="398"/>
      <c r="AW108" s="398"/>
      <c r="AX108" s="398"/>
    </row>
    <row r="109" spans="2:50">
      <c r="B109" s="387" t="s">
        <v>197</v>
      </c>
      <c r="C109" s="387" t="s">
        <v>198</v>
      </c>
      <c r="D109" s="387"/>
      <c r="E109" s="387" t="s">
        <v>199</v>
      </c>
      <c r="F109" s="387"/>
      <c r="G109" s="387"/>
      <c r="H109" s="388" t="s">
        <v>200</v>
      </c>
      <c r="I109" s="387" t="s">
        <v>201</v>
      </c>
      <c r="J109" s="387"/>
      <c r="K109" s="387"/>
      <c r="L109" s="388" t="s">
        <v>200</v>
      </c>
      <c r="M109" s="399" t="s">
        <v>202</v>
      </c>
      <c r="N109" s="387"/>
      <c r="O109" s="387" t="s">
        <v>203</v>
      </c>
      <c r="P109" s="391" t="s">
        <v>204</v>
      </c>
      <c r="Q109" s="392"/>
      <c r="R109" s="392"/>
      <c r="S109" s="393"/>
      <c r="T109" s="387" t="s">
        <v>200</v>
      </c>
      <c r="U109" s="391" t="s">
        <v>204</v>
      </c>
      <c r="V109" s="392"/>
      <c r="W109" s="392"/>
      <c r="X109" s="393"/>
      <c r="Y109" s="387" t="s">
        <v>200</v>
      </c>
      <c r="Z109" s="391" t="s">
        <v>204</v>
      </c>
      <c r="AA109" s="392"/>
      <c r="AB109" s="392"/>
      <c r="AC109" s="393"/>
      <c r="AD109" s="387" t="s">
        <v>200</v>
      </c>
      <c r="AE109" s="391" t="s">
        <v>204</v>
      </c>
      <c r="AF109" s="392"/>
      <c r="AG109" s="392"/>
      <c r="AH109" s="393"/>
      <c r="AI109" s="387" t="s">
        <v>200</v>
      </c>
      <c r="AJ109" s="391" t="s">
        <v>204</v>
      </c>
      <c r="AK109" s="392"/>
      <c r="AL109" s="392"/>
      <c r="AM109" s="393"/>
      <c r="AN109" s="387" t="s">
        <v>200</v>
      </c>
      <c r="AO109" s="391" t="s">
        <v>204</v>
      </c>
      <c r="AP109" s="392"/>
      <c r="AQ109" s="392"/>
      <c r="AR109" s="393"/>
      <c r="AS109" s="387" t="s">
        <v>200</v>
      </c>
      <c r="AT109" s="391" t="s">
        <v>204</v>
      </c>
      <c r="AU109" s="392"/>
      <c r="AV109" s="392"/>
      <c r="AW109" s="393"/>
      <c r="AX109" s="387" t="s">
        <v>200</v>
      </c>
    </row>
    <row r="110" spans="2:50">
      <c r="B110" s="387"/>
      <c r="C110" s="387"/>
      <c r="D110" s="387"/>
      <c r="E110" s="387" t="s">
        <v>205</v>
      </c>
      <c r="F110" s="387"/>
      <c r="G110" s="387"/>
      <c r="H110" s="389"/>
      <c r="I110" s="387" t="s">
        <v>205</v>
      </c>
      <c r="J110" s="387"/>
      <c r="K110" s="387"/>
      <c r="L110" s="389"/>
      <c r="M110" s="400"/>
      <c r="N110" s="387"/>
      <c r="O110" s="387"/>
      <c r="P110" s="391" t="s">
        <v>206</v>
      </c>
      <c r="Q110" s="392"/>
      <c r="R110" s="392"/>
      <c r="S110" s="393"/>
      <c r="T110" s="387"/>
      <c r="U110" s="391" t="s">
        <v>206</v>
      </c>
      <c r="V110" s="392"/>
      <c r="W110" s="392"/>
      <c r="X110" s="393"/>
      <c r="Y110" s="387"/>
      <c r="Z110" s="391" t="s">
        <v>206</v>
      </c>
      <c r="AA110" s="392"/>
      <c r="AB110" s="392"/>
      <c r="AC110" s="393"/>
      <c r="AD110" s="387"/>
      <c r="AE110" s="391" t="s">
        <v>206</v>
      </c>
      <c r="AF110" s="392"/>
      <c r="AG110" s="392"/>
      <c r="AH110" s="393"/>
      <c r="AI110" s="387"/>
      <c r="AJ110" s="391" t="s">
        <v>206</v>
      </c>
      <c r="AK110" s="392"/>
      <c r="AL110" s="392"/>
      <c r="AM110" s="393"/>
      <c r="AN110" s="387"/>
      <c r="AO110" s="391" t="s">
        <v>206</v>
      </c>
      <c r="AP110" s="392"/>
      <c r="AQ110" s="392"/>
      <c r="AR110" s="393"/>
      <c r="AS110" s="387"/>
      <c r="AT110" s="391" t="s">
        <v>206</v>
      </c>
      <c r="AU110" s="392"/>
      <c r="AV110" s="392"/>
      <c r="AW110" s="393"/>
      <c r="AX110" s="387"/>
    </row>
    <row r="111" spans="2:50">
      <c r="B111" s="387"/>
      <c r="C111" s="387"/>
      <c r="D111" s="387"/>
      <c r="E111" s="104" t="s">
        <v>207</v>
      </c>
      <c r="F111" s="104" t="s">
        <v>208</v>
      </c>
      <c r="G111" s="104" t="s">
        <v>209</v>
      </c>
      <c r="H111" s="390"/>
      <c r="I111" s="104" t="s">
        <v>207</v>
      </c>
      <c r="J111" s="104" t="s">
        <v>208</v>
      </c>
      <c r="K111" s="104" t="s">
        <v>209</v>
      </c>
      <c r="L111" s="390"/>
      <c r="M111" s="401"/>
      <c r="N111" s="387"/>
      <c r="O111" s="387"/>
      <c r="P111" s="104" t="s">
        <v>207</v>
      </c>
      <c r="Q111" s="104" t="s">
        <v>208</v>
      </c>
      <c r="R111" s="104" t="s">
        <v>209</v>
      </c>
      <c r="S111" s="104" t="s">
        <v>202</v>
      </c>
      <c r="T111" s="387"/>
      <c r="U111" s="104" t="s">
        <v>207</v>
      </c>
      <c r="V111" s="104" t="s">
        <v>208</v>
      </c>
      <c r="W111" s="104" t="s">
        <v>209</v>
      </c>
      <c r="X111" s="104" t="s">
        <v>202</v>
      </c>
      <c r="Y111" s="387"/>
      <c r="Z111" s="104" t="s">
        <v>207</v>
      </c>
      <c r="AA111" s="104" t="s">
        <v>208</v>
      </c>
      <c r="AB111" s="104" t="s">
        <v>209</v>
      </c>
      <c r="AC111" s="104" t="s">
        <v>202</v>
      </c>
      <c r="AD111" s="387"/>
      <c r="AE111" s="104" t="s">
        <v>207</v>
      </c>
      <c r="AF111" s="104" t="s">
        <v>208</v>
      </c>
      <c r="AG111" s="104" t="s">
        <v>209</v>
      </c>
      <c r="AH111" s="104" t="s">
        <v>202</v>
      </c>
      <c r="AI111" s="387"/>
      <c r="AJ111" s="104" t="s">
        <v>207</v>
      </c>
      <c r="AK111" s="104" t="s">
        <v>208</v>
      </c>
      <c r="AL111" s="104" t="s">
        <v>209</v>
      </c>
      <c r="AM111" s="104" t="s">
        <v>202</v>
      </c>
      <c r="AN111" s="387"/>
      <c r="AO111" s="104" t="s">
        <v>207</v>
      </c>
      <c r="AP111" s="104" t="s">
        <v>208</v>
      </c>
      <c r="AQ111" s="104" t="s">
        <v>209</v>
      </c>
      <c r="AR111" s="104" t="s">
        <v>202</v>
      </c>
      <c r="AS111" s="387"/>
      <c r="AT111" s="104" t="s">
        <v>207</v>
      </c>
      <c r="AU111" s="104" t="s">
        <v>208</v>
      </c>
      <c r="AV111" s="104" t="s">
        <v>209</v>
      </c>
      <c r="AW111" s="104" t="s">
        <v>202</v>
      </c>
      <c r="AX111" s="387"/>
    </row>
    <row r="112" spans="2:50">
      <c r="B112" s="387" t="s">
        <v>180</v>
      </c>
      <c r="C112" s="105">
        <v>1</v>
      </c>
      <c r="D112" s="228" t="s">
        <v>258</v>
      </c>
      <c r="E112" s="175">
        <v>5</v>
      </c>
      <c r="F112" s="105">
        <v>1600</v>
      </c>
      <c r="G112" s="202">
        <v>320</v>
      </c>
      <c r="H112" s="384">
        <f>AVERAGE(G112:G141)</f>
        <v>104.88335329745931</v>
      </c>
      <c r="I112" s="175">
        <f>AVERAGE(P112,U112,Z112,AE112,AJ112,AO112,AT112)</f>
        <v>5</v>
      </c>
      <c r="J112" s="175">
        <f>AVERAGE(Q112,V112,AA112,AF112,AK112,AP112,AU112)</f>
        <v>1250.7142857142896</v>
      </c>
      <c r="K112" s="202">
        <f>AVERAGE(R112,W112,AB112,AG112,AL112,AQ112,AV112)</f>
        <v>250.14285714285796</v>
      </c>
      <c r="L112" s="384">
        <f>IFERROR(AVERAGE(K112:K141),"-")</f>
        <v>90.927236923264516</v>
      </c>
      <c r="M112" s="203">
        <f>RANK(K112, K$112:$K$141)</f>
        <v>2</v>
      </c>
      <c r="N112" s="387"/>
      <c r="O112" s="387"/>
      <c r="P112" s="105">
        <v>5</v>
      </c>
      <c r="Q112" s="202">
        <v>975.00000000000341</v>
      </c>
      <c r="R112" s="202">
        <v>195.00000000000068</v>
      </c>
      <c r="S112" s="105">
        <f>RANK(R112, R$112:R$141)</f>
        <v>2</v>
      </c>
      <c r="T112" s="412">
        <f>AVERAGE(R112:R141)</f>
        <v>88.919264968869157</v>
      </c>
      <c r="U112" s="105">
        <v>5</v>
      </c>
      <c r="V112" s="202">
        <v>1260.0000000000045</v>
      </c>
      <c r="W112" s="202">
        <v>252.00000000000091</v>
      </c>
      <c r="X112" s="105">
        <f>RANK(W112, W$112:W$141)</f>
        <v>2</v>
      </c>
      <c r="Y112" s="412">
        <f>AVERAGE(W112:W141)</f>
        <v>91.297541530400878</v>
      </c>
      <c r="Z112" s="105">
        <v>5</v>
      </c>
      <c r="AA112" s="202">
        <v>1680.0000000000396</v>
      </c>
      <c r="AB112" s="202">
        <v>336.0000000000079</v>
      </c>
      <c r="AC112" s="105">
        <f>RANK(AB112, AB$112:AB$141)</f>
        <v>1</v>
      </c>
      <c r="AD112" s="412">
        <f>AVERAGE(AB112:AB141)</f>
        <v>93.642734892593097</v>
      </c>
      <c r="AE112" s="105">
        <v>5</v>
      </c>
      <c r="AF112" s="202">
        <v>1469.9999999999907</v>
      </c>
      <c r="AG112" s="202">
        <v>293.99999999999812</v>
      </c>
      <c r="AH112" s="105">
        <f>RANK(AG112, AG$112:AG$141)</f>
        <v>1</v>
      </c>
      <c r="AI112" s="412">
        <f>AVERAGE(AG112:AG141)</f>
        <v>92.240977577557203</v>
      </c>
      <c r="AJ112" s="105">
        <v>5</v>
      </c>
      <c r="AK112" s="202">
        <v>1109.9999999999816</v>
      </c>
      <c r="AL112" s="202">
        <v>221.99999999999631</v>
      </c>
      <c r="AM112" s="105">
        <f>RANK(AL112, AL$112:AL$141)</f>
        <v>2</v>
      </c>
      <c r="AN112" s="412">
        <f>AVERAGE(AL112:AL141)</f>
        <v>90.059378214321015</v>
      </c>
      <c r="AO112" s="105">
        <v>5</v>
      </c>
      <c r="AP112" s="202">
        <v>1120.0000000000039</v>
      </c>
      <c r="AQ112" s="202">
        <v>224.00000000000077</v>
      </c>
      <c r="AR112" s="105">
        <f>RANK(AQ112, AQ$112:AQ$141)</f>
        <v>2</v>
      </c>
      <c r="AS112" s="412">
        <f>AVERAGE(AQ112:AQ141)</f>
        <v>90.089660972175281</v>
      </c>
      <c r="AT112" s="105">
        <v>5</v>
      </c>
      <c r="AU112" s="202">
        <v>1140.0000000000041</v>
      </c>
      <c r="AV112" s="202">
        <v>228.00000000000082</v>
      </c>
      <c r="AW112" s="105">
        <f>RANK(AV112, AV$112:AV$141)</f>
        <v>2</v>
      </c>
      <c r="AX112" s="412">
        <f>AVERAGE(AV112:AV141)</f>
        <v>90.241100306934882</v>
      </c>
    </row>
    <row r="113" spans="2:50">
      <c r="B113" s="398"/>
      <c r="C113" s="105">
        <v>2</v>
      </c>
      <c r="D113" s="228" t="s">
        <v>259</v>
      </c>
      <c r="E113" s="175">
        <v>5</v>
      </c>
      <c r="F113" s="105">
        <v>1600</v>
      </c>
      <c r="G113" s="202">
        <v>320</v>
      </c>
      <c r="H113" s="385"/>
      <c r="I113" s="175">
        <f t="shared" ref="I113:K121" si="61">AVERAGE(P113,U113,Z113,AE113,AJ113,AO113,AT113)</f>
        <v>5</v>
      </c>
      <c r="J113" s="175">
        <f t="shared" si="61"/>
        <v>1480.5197385968725</v>
      </c>
      <c r="K113" s="202">
        <f t="shared" si="61"/>
        <v>296.10394771937445</v>
      </c>
      <c r="L113" s="385"/>
      <c r="M113" s="203">
        <f>RANK(K113, K$112:$K$141)</f>
        <v>1</v>
      </c>
      <c r="N113" s="387"/>
      <c r="O113" s="387"/>
      <c r="P113" s="105">
        <v>5</v>
      </c>
      <c r="Q113" s="202">
        <v>1502.5979381443299</v>
      </c>
      <c r="R113" s="202">
        <v>300.51958762886596</v>
      </c>
      <c r="S113" s="105">
        <f t="shared" ref="S113:S141" si="62">RANK(R113, R$112:R$141)</f>
        <v>1</v>
      </c>
      <c r="T113" s="412"/>
      <c r="U113" s="105">
        <v>5</v>
      </c>
      <c r="V113" s="202">
        <v>1494.0610169491529</v>
      </c>
      <c r="W113" s="202">
        <v>298.81220338983059</v>
      </c>
      <c r="X113" s="105">
        <f t="shared" ref="X113:X141" si="63">RANK(W113, W$112:W$141)</f>
        <v>1</v>
      </c>
      <c r="Y113" s="412"/>
      <c r="Z113" s="105">
        <v>5</v>
      </c>
      <c r="AA113" s="202">
        <v>1449.3425605536331</v>
      </c>
      <c r="AB113" s="202">
        <v>289.86851211072661</v>
      </c>
      <c r="AC113" s="105">
        <f t="shared" ref="AC113:AC141" si="64">RANK(AB113, AB$112:AB$141)</f>
        <v>2</v>
      </c>
      <c r="AD113" s="412"/>
      <c r="AE113" s="105">
        <v>5</v>
      </c>
      <c r="AF113" s="202">
        <v>1422.7878787878788</v>
      </c>
      <c r="AG113" s="202">
        <v>284.55757575757576</v>
      </c>
      <c r="AH113" s="105">
        <f t="shared" ref="AH113:AH141" si="65">RANK(AG113, AG$112:AG$141)</f>
        <v>2</v>
      </c>
      <c r="AI113" s="412"/>
      <c r="AJ113" s="105">
        <v>5</v>
      </c>
      <c r="AK113" s="202">
        <v>1500.7972027972028</v>
      </c>
      <c r="AL113" s="202">
        <v>300.15944055944055</v>
      </c>
      <c r="AM113" s="105">
        <f t="shared" ref="AM113:AM141" si="66">RANK(AL113, AL$112:AL$141)</f>
        <v>1</v>
      </c>
      <c r="AN113" s="412"/>
      <c r="AO113" s="105">
        <v>5</v>
      </c>
      <c r="AP113" s="202">
        <v>1482.1651376146785</v>
      </c>
      <c r="AQ113" s="202">
        <v>296.43302752293573</v>
      </c>
      <c r="AR113" s="105">
        <f t="shared" ref="AR113:AR141" si="67">RANK(AQ113, AQ$112:AQ$141)</f>
        <v>1</v>
      </c>
      <c r="AS113" s="412"/>
      <c r="AT113" s="105">
        <v>5</v>
      </c>
      <c r="AU113" s="202">
        <v>1511.8864353312299</v>
      </c>
      <c r="AV113" s="202">
        <v>302.37728706624597</v>
      </c>
      <c r="AW113" s="105">
        <f t="shared" ref="AW113:AW141" si="68">RANK(AV113, AV$112:AV$141)</f>
        <v>1</v>
      </c>
      <c r="AX113" s="412"/>
    </row>
    <row r="114" spans="2:50">
      <c r="B114" s="398"/>
      <c r="C114" s="105">
        <v>3</v>
      </c>
      <c r="D114" s="228" t="s">
        <v>283</v>
      </c>
      <c r="E114" s="175">
        <v>8</v>
      </c>
      <c r="F114" s="105">
        <v>1500</v>
      </c>
      <c r="G114" s="202">
        <v>187.5</v>
      </c>
      <c r="H114" s="385"/>
      <c r="I114" s="175">
        <f t="shared" si="61"/>
        <v>8</v>
      </c>
      <c r="J114" s="175">
        <f t="shared" si="61"/>
        <v>1503.6655181690153</v>
      </c>
      <c r="K114" s="202">
        <f t="shared" si="61"/>
        <v>187.95818977112691</v>
      </c>
      <c r="L114" s="385"/>
      <c r="M114" s="203">
        <f>RANK(K114, K$112:$K$141)</f>
        <v>3</v>
      </c>
      <c r="N114" s="387"/>
      <c r="O114" s="387"/>
      <c r="P114" s="105">
        <v>8</v>
      </c>
      <c r="Q114" s="202">
        <v>1511.7647058823529</v>
      </c>
      <c r="R114" s="202">
        <v>188.97058823529412</v>
      </c>
      <c r="S114" s="105">
        <f t="shared" si="62"/>
        <v>3</v>
      </c>
      <c r="T114" s="412"/>
      <c r="U114" s="105">
        <v>8</v>
      </c>
      <c r="V114" s="202">
        <v>1502.9126213592233</v>
      </c>
      <c r="W114" s="202">
        <v>187.86407766990291</v>
      </c>
      <c r="X114" s="105">
        <f t="shared" si="63"/>
        <v>3</v>
      </c>
      <c r="Y114" s="412"/>
      <c r="Z114" s="105">
        <v>8</v>
      </c>
      <c r="AA114" s="202">
        <v>1538.2978723404249</v>
      </c>
      <c r="AB114" s="202">
        <v>192.28723404255311</v>
      </c>
      <c r="AC114" s="105">
        <f t="shared" si="64"/>
        <v>3</v>
      </c>
      <c r="AD114" s="412"/>
      <c r="AE114" s="105">
        <v>8</v>
      </c>
      <c r="AF114" s="202">
        <v>1516.1290322580642</v>
      </c>
      <c r="AG114" s="202">
        <v>189.51612903225802</v>
      </c>
      <c r="AH114" s="105">
        <f t="shared" si="65"/>
        <v>3</v>
      </c>
      <c r="AI114" s="412"/>
      <c r="AJ114" s="105">
        <v>8</v>
      </c>
      <c r="AK114" s="202">
        <v>1490.8163265306121</v>
      </c>
      <c r="AL114" s="202">
        <v>186.35204081632651</v>
      </c>
      <c r="AM114" s="105">
        <f t="shared" si="66"/>
        <v>3</v>
      </c>
      <c r="AN114" s="412"/>
      <c r="AO114" s="105">
        <v>8</v>
      </c>
      <c r="AP114" s="202">
        <v>1488.6792452830191</v>
      </c>
      <c r="AQ114" s="202">
        <v>186.08490566037739</v>
      </c>
      <c r="AR114" s="105">
        <f t="shared" si="67"/>
        <v>3</v>
      </c>
      <c r="AS114" s="412"/>
      <c r="AT114" s="105">
        <v>8</v>
      </c>
      <c r="AU114" s="202">
        <v>1477.0588235294117</v>
      </c>
      <c r="AV114" s="202">
        <v>184.63235294117646</v>
      </c>
      <c r="AW114" s="105">
        <f t="shared" si="68"/>
        <v>3</v>
      </c>
      <c r="AX114" s="412"/>
    </row>
    <row r="115" spans="2:50">
      <c r="B115" s="398"/>
      <c r="C115" s="105">
        <v>4</v>
      </c>
      <c r="D115" s="228" t="s">
        <v>262</v>
      </c>
      <c r="E115" s="175">
        <v>18</v>
      </c>
      <c r="F115" s="105">
        <v>1440</v>
      </c>
      <c r="G115" s="202">
        <v>80</v>
      </c>
      <c r="H115" s="385"/>
      <c r="I115" s="175">
        <f t="shared" si="61"/>
        <v>17.285714285714285</v>
      </c>
      <c r="J115" s="175">
        <f t="shared" si="61"/>
        <v>1286.4812428895361</v>
      </c>
      <c r="K115" s="202">
        <f t="shared" si="61"/>
        <v>74.463916941012116</v>
      </c>
      <c r="L115" s="385"/>
      <c r="M115" s="203">
        <f>RANK(K115, K$112:$K$141)</f>
        <v>12</v>
      </c>
      <c r="N115" s="387"/>
      <c r="O115" s="387"/>
      <c r="P115" s="105">
        <v>17</v>
      </c>
      <c r="Q115" s="202">
        <v>1271.7948717948721</v>
      </c>
      <c r="R115" s="202">
        <v>74.811463046757183</v>
      </c>
      <c r="S115" s="105">
        <f t="shared" si="62"/>
        <v>12</v>
      </c>
      <c r="T115" s="412"/>
      <c r="U115" s="105">
        <v>18</v>
      </c>
      <c r="V115" s="202">
        <v>1273.7614678899081</v>
      </c>
      <c r="W115" s="202">
        <v>70.76452599388378</v>
      </c>
      <c r="X115" s="105">
        <f t="shared" si="63"/>
        <v>17</v>
      </c>
      <c r="Y115" s="412"/>
      <c r="Z115" s="105">
        <v>18</v>
      </c>
      <c r="AA115" s="202">
        <v>1321.165048543689</v>
      </c>
      <c r="AB115" s="202">
        <v>73.398058252427163</v>
      </c>
      <c r="AC115" s="105">
        <f t="shared" si="64"/>
        <v>12</v>
      </c>
      <c r="AD115" s="412"/>
      <c r="AE115" s="105">
        <v>17</v>
      </c>
      <c r="AF115" s="202">
        <v>1283.7362637362637</v>
      </c>
      <c r="AG115" s="202">
        <v>75.513897866839045</v>
      </c>
      <c r="AH115" s="105">
        <f t="shared" si="65"/>
        <v>11</v>
      </c>
      <c r="AI115" s="412"/>
      <c r="AJ115" s="105">
        <v>17</v>
      </c>
      <c r="AK115" s="202">
        <v>1290.3092783505158</v>
      </c>
      <c r="AL115" s="202">
        <v>75.900545785324454</v>
      </c>
      <c r="AM115" s="105">
        <f t="shared" si="66"/>
        <v>11</v>
      </c>
      <c r="AN115" s="412"/>
      <c r="AO115" s="105">
        <v>17</v>
      </c>
      <c r="AP115" s="202">
        <v>1310.4424778761061</v>
      </c>
      <c r="AQ115" s="202">
        <v>77.084851639770946</v>
      </c>
      <c r="AR115" s="105">
        <f t="shared" si="67"/>
        <v>10</v>
      </c>
      <c r="AS115" s="412"/>
      <c r="AT115" s="105">
        <v>17</v>
      </c>
      <c r="AU115" s="202">
        <v>1254.1592920353983</v>
      </c>
      <c r="AV115" s="202">
        <v>73.774076002082253</v>
      </c>
      <c r="AW115" s="105">
        <f t="shared" si="68"/>
        <v>13</v>
      </c>
      <c r="AX115" s="412"/>
    </row>
    <row r="116" spans="2:50">
      <c r="B116" s="398"/>
      <c r="C116" s="105">
        <v>5</v>
      </c>
      <c r="D116" s="228" t="s">
        <v>284</v>
      </c>
      <c r="E116" s="175">
        <v>21</v>
      </c>
      <c r="F116" s="105">
        <v>1440</v>
      </c>
      <c r="G116" s="202">
        <v>68.571428571428569</v>
      </c>
      <c r="H116" s="385"/>
      <c r="I116" s="175">
        <f t="shared" si="61"/>
        <v>20</v>
      </c>
      <c r="J116" s="175">
        <f t="shared" si="61"/>
        <v>1194.9885618203382</v>
      </c>
      <c r="K116" s="202">
        <f t="shared" si="61"/>
        <v>59.74942809101691</v>
      </c>
      <c r="L116" s="385"/>
      <c r="M116" s="203">
        <f>RANK(K116, K$112:$K$141)</f>
        <v>23</v>
      </c>
      <c r="N116" s="387"/>
      <c r="O116" s="387"/>
      <c r="P116" s="105">
        <v>20</v>
      </c>
      <c r="Q116" s="202">
        <v>1108.7671232876714</v>
      </c>
      <c r="R116" s="202">
        <v>55.438356164383571</v>
      </c>
      <c r="S116" s="105">
        <f t="shared" si="62"/>
        <v>26</v>
      </c>
      <c r="T116" s="412"/>
      <c r="U116" s="105">
        <v>20</v>
      </c>
      <c r="V116" s="202">
        <v>1249.8461538461552</v>
      </c>
      <c r="W116" s="202">
        <v>62.492307692307762</v>
      </c>
      <c r="X116" s="105">
        <f t="shared" si="63"/>
        <v>23</v>
      </c>
      <c r="Y116" s="412"/>
      <c r="Z116" s="105">
        <v>20</v>
      </c>
      <c r="AA116" s="202">
        <v>1167.6923076923074</v>
      </c>
      <c r="AB116" s="202">
        <v>58.384615384615373</v>
      </c>
      <c r="AC116" s="105">
        <f t="shared" si="64"/>
        <v>23</v>
      </c>
      <c r="AD116" s="412"/>
      <c r="AE116" s="105">
        <v>20</v>
      </c>
      <c r="AF116" s="202">
        <v>1176.4285714285706</v>
      </c>
      <c r="AG116" s="202">
        <v>58.821428571428534</v>
      </c>
      <c r="AH116" s="105">
        <f t="shared" si="65"/>
        <v>23</v>
      </c>
      <c r="AI116" s="412"/>
      <c r="AJ116" s="105">
        <v>20</v>
      </c>
      <c r="AK116" s="202">
        <v>1254.33962264151</v>
      </c>
      <c r="AL116" s="202">
        <v>62.716981132075503</v>
      </c>
      <c r="AM116" s="105">
        <f t="shared" si="66"/>
        <v>22</v>
      </c>
      <c r="AN116" s="412"/>
      <c r="AO116" s="105">
        <v>20</v>
      </c>
      <c r="AP116" s="202">
        <v>1289.9999999999991</v>
      </c>
      <c r="AQ116" s="202">
        <v>64.499999999999957</v>
      </c>
      <c r="AR116" s="105">
        <f t="shared" si="67"/>
        <v>22</v>
      </c>
      <c r="AS116" s="412"/>
      <c r="AT116" s="105">
        <v>20</v>
      </c>
      <c r="AU116" s="202">
        <v>1117.8461538461536</v>
      </c>
      <c r="AV116" s="202">
        <v>55.892307692307682</v>
      </c>
      <c r="AW116" s="105">
        <f t="shared" si="68"/>
        <v>24</v>
      </c>
      <c r="AX116" s="412"/>
    </row>
    <row r="117" spans="2:50">
      <c r="B117" s="398"/>
      <c r="C117" s="105">
        <v>6</v>
      </c>
      <c r="D117" s="228" t="s">
        <v>261</v>
      </c>
      <c r="E117" s="175">
        <v>21</v>
      </c>
      <c r="F117" s="105">
        <v>1440</v>
      </c>
      <c r="G117" s="202">
        <v>68.571428571428569</v>
      </c>
      <c r="H117" s="385"/>
      <c r="I117" s="175">
        <f t="shared" si="61"/>
        <v>20</v>
      </c>
      <c r="J117" s="175">
        <f t="shared" si="61"/>
        <v>1130.6641018411653</v>
      </c>
      <c r="K117" s="202">
        <f t="shared" si="61"/>
        <v>56.533205092058267</v>
      </c>
      <c r="L117" s="385"/>
      <c r="M117" s="203">
        <f>RANK(K117, K$112:$K$141)</f>
        <v>24</v>
      </c>
      <c r="N117" s="387"/>
      <c r="O117" s="387"/>
      <c r="P117" s="105">
        <v>20</v>
      </c>
      <c r="Q117" s="202">
        <v>1119.5121951219487</v>
      </c>
      <c r="R117" s="202">
        <v>55.975609756097434</v>
      </c>
      <c r="S117" s="105">
        <f t="shared" si="62"/>
        <v>24</v>
      </c>
      <c r="T117" s="412"/>
      <c r="U117" s="105">
        <v>20</v>
      </c>
      <c r="V117" s="202">
        <v>1172.8767123287687</v>
      </c>
      <c r="W117" s="202">
        <v>58.643835616438437</v>
      </c>
      <c r="X117" s="105">
        <f t="shared" si="63"/>
        <v>24</v>
      </c>
      <c r="Y117" s="412"/>
      <c r="Z117" s="105">
        <v>20</v>
      </c>
      <c r="AA117" s="202">
        <v>1156.2857142857156</v>
      </c>
      <c r="AB117" s="202">
        <v>57.814285714285781</v>
      </c>
      <c r="AC117" s="105">
        <f t="shared" si="64"/>
        <v>24</v>
      </c>
      <c r="AD117" s="412"/>
      <c r="AE117" s="105">
        <v>20</v>
      </c>
      <c r="AF117" s="202">
        <v>1091.6417910447749</v>
      </c>
      <c r="AG117" s="202">
        <v>54.582089552238742</v>
      </c>
      <c r="AH117" s="105">
        <f t="shared" si="65"/>
        <v>25</v>
      </c>
      <c r="AI117" s="412"/>
      <c r="AJ117" s="105">
        <v>20</v>
      </c>
      <c r="AK117" s="202">
        <v>1130.4761904761915</v>
      </c>
      <c r="AL117" s="202">
        <v>56.523809523809575</v>
      </c>
      <c r="AM117" s="105">
        <f t="shared" si="66"/>
        <v>24</v>
      </c>
      <c r="AN117" s="412"/>
      <c r="AO117" s="105">
        <v>20</v>
      </c>
      <c r="AP117" s="202">
        <v>1148.4507042253535</v>
      </c>
      <c r="AQ117" s="202">
        <v>57.422535211267679</v>
      </c>
      <c r="AR117" s="105">
        <f t="shared" si="67"/>
        <v>24</v>
      </c>
      <c r="AS117" s="412"/>
      <c r="AT117" s="105">
        <v>20</v>
      </c>
      <c r="AU117" s="202">
        <v>1095.4054054054045</v>
      </c>
      <c r="AV117" s="202">
        <v>54.770270270270224</v>
      </c>
      <c r="AW117" s="105">
        <f t="shared" si="68"/>
        <v>26</v>
      </c>
      <c r="AX117" s="412"/>
    </row>
    <row r="118" spans="2:50">
      <c r="B118" s="398"/>
      <c r="C118" s="105">
        <v>7</v>
      </c>
      <c r="D118" s="228" t="s">
        <v>285</v>
      </c>
      <c r="E118" s="175">
        <v>21</v>
      </c>
      <c r="F118" s="105">
        <v>1440</v>
      </c>
      <c r="G118" s="202">
        <v>68.571428571428569</v>
      </c>
      <c r="H118" s="385"/>
      <c r="I118" s="175">
        <f t="shared" si="61"/>
        <v>20</v>
      </c>
      <c r="J118" s="175">
        <f t="shared" si="61"/>
        <v>1106.0952313456087</v>
      </c>
      <c r="K118" s="202">
        <f t="shared" si="61"/>
        <v>55.30476156728043</v>
      </c>
      <c r="L118" s="385"/>
      <c r="M118" s="203">
        <f>RANK(K118, K$112:$K$141)</f>
        <v>25</v>
      </c>
      <c r="N118" s="387"/>
      <c r="O118" s="387"/>
      <c r="P118" s="105">
        <v>20</v>
      </c>
      <c r="Q118" s="202">
        <v>1114.0740740740737</v>
      </c>
      <c r="R118" s="202">
        <v>55.703703703703681</v>
      </c>
      <c r="S118" s="105">
        <f t="shared" si="62"/>
        <v>25</v>
      </c>
      <c r="T118" s="412"/>
      <c r="U118" s="105">
        <v>20</v>
      </c>
      <c r="V118" s="202">
        <v>1082.7586206896551</v>
      </c>
      <c r="W118" s="202">
        <v>54.137931034482754</v>
      </c>
      <c r="X118" s="105">
        <f t="shared" si="63"/>
        <v>25</v>
      </c>
      <c r="Y118" s="412"/>
      <c r="Z118" s="105">
        <v>20</v>
      </c>
      <c r="AA118" s="202">
        <v>1077.5342465753417</v>
      </c>
      <c r="AB118" s="202">
        <v>53.876712328767084</v>
      </c>
      <c r="AC118" s="105">
        <f t="shared" si="64"/>
        <v>26</v>
      </c>
      <c r="AD118" s="412"/>
      <c r="AE118" s="105">
        <v>20</v>
      </c>
      <c r="AF118" s="202">
        <v>1103.2835820895536</v>
      </c>
      <c r="AG118" s="202">
        <v>55.164179104477682</v>
      </c>
      <c r="AH118" s="105">
        <f t="shared" si="65"/>
        <v>24</v>
      </c>
      <c r="AI118" s="412"/>
      <c r="AJ118" s="105">
        <v>20</v>
      </c>
      <c r="AK118" s="202">
        <v>1107.761194029852</v>
      </c>
      <c r="AL118" s="202">
        <v>55.388059701492601</v>
      </c>
      <c r="AM118" s="105">
        <f t="shared" si="66"/>
        <v>25</v>
      </c>
      <c r="AN118" s="412"/>
      <c r="AO118" s="105">
        <v>20</v>
      </c>
      <c r="AP118" s="202">
        <v>1106.6666666666656</v>
      </c>
      <c r="AQ118" s="202">
        <v>55.333333333333279</v>
      </c>
      <c r="AR118" s="105">
        <f t="shared" si="67"/>
        <v>25</v>
      </c>
      <c r="AS118" s="412"/>
      <c r="AT118" s="105">
        <v>20</v>
      </c>
      <c r="AU118" s="202">
        <v>1150.5882352941192</v>
      </c>
      <c r="AV118" s="202">
        <v>57.529411764705955</v>
      </c>
      <c r="AW118" s="105">
        <f t="shared" si="68"/>
        <v>23</v>
      </c>
      <c r="AX118" s="412"/>
    </row>
    <row r="119" spans="2:50">
      <c r="B119" s="398"/>
      <c r="C119" s="105">
        <v>8</v>
      </c>
      <c r="D119" s="228" t="s">
        <v>273</v>
      </c>
      <c r="E119" s="175">
        <v>17</v>
      </c>
      <c r="F119" s="105">
        <v>1500</v>
      </c>
      <c r="G119" s="202">
        <v>88.235294117647058</v>
      </c>
      <c r="H119" s="385"/>
      <c r="I119" s="175">
        <f t="shared" si="61"/>
        <v>16</v>
      </c>
      <c r="J119" s="175">
        <f t="shared" si="61"/>
        <v>1277.9329526722536</v>
      </c>
      <c r="K119" s="202">
        <f t="shared" si="61"/>
        <v>79.870809542015849</v>
      </c>
      <c r="L119" s="385"/>
      <c r="M119" s="203">
        <f>RANK(K119, K$112:$K$141)</f>
        <v>6</v>
      </c>
      <c r="N119" s="387"/>
      <c r="O119" s="387"/>
      <c r="P119" s="105">
        <v>16</v>
      </c>
      <c r="Q119" s="202">
        <v>1259.0322580645172</v>
      </c>
      <c r="R119" s="202">
        <v>78.689516129032327</v>
      </c>
      <c r="S119" s="105">
        <f t="shared" si="62"/>
        <v>7</v>
      </c>
      <c r="T119" s="412"/>
      <c r="U119" s="105">
        <v>16</v>
      </c>
      <c r="V119" s="202">
        <v>1298.0000000000014</v>
      </c>
      <c r="W119" s="202">
        <v>81.125000000000085</v>
      </c>
      <c r="X119" s="105">
        <f t="shared" si="63"/>
        <v>6</v>
      </c>
      <c r="Y119" s="412"/>
      <c r="Z119" s="105">
        <v>16</v>
      </c>
      <c r="AA119" s="202">
        <v>1264.2105263157905</v>
      </c>
      <c r="AB119" s="202">
        <v>79.013157894736906</v>
      </c>
      <c r="AC119" s="105">
        <f t="shared" si="64"/>
        <v>9</v>
      </c>
      <c r="AD119" s="412"/>
      <c r="AE119" s="105">
        <v>16</v>
      </c>
      <c r="AF119" s="202">
        <v>1267.9245283018877</v>
      </c>
      <c r="AG119" s="202">
        <v>79.24528301886798</v>
      </c>
      <c r="AH119" s="105">
        <f t="shared" si="65"/>
        <v>7</v>
      </c>
      <c r="AI119" s="412"/>
      <c r="AJ119" s="105">
        <v>16</v>
      </c>
      <c r="AK119" s="202">
        <v>1273.5849056603779</v>
      </c>
      <c r="AL119" s="202">
        <v>79.599056603773619</v>
      </c>
      <c r="AM119" s="105">
        <f t="shared" si="66"/>
        <v>7</v>
      </c>
      <c r="AN119" s="412"/>
      <c r="AO119" s="105">
        <v>16</v>
      </c>
      <c r="AP119" s="202">
        <v>1268.1355932203401</v>
      </c>
      <c r="AQ119" s="202">
        <v>79.258474576271254</v>
      </c>
      <c r="AR119" s="105">
        <f t="shared" si="67"/>
        <v>8</v>
      </c>
      <c r="AS119" s="412"/>
      <c r="AT119" s="105">
        <v>16</v>
      </c>
      <c r="AU119" s="202">
        <v>1314.6428571428582</v>
      </c>
      <c r="AV119" s="202">
        <v>82.16517857142864</v>
      </c>
      <c r="AW119" s="105">
        <f t="shared" si="68"/>
        <v>6</v>
      </c>
      <c r="AX119" s="412"/>
    </row>
    <row r="120" spans="2:50">
      <c r="B120" s="398"/>
      <c r="C120" s="105">
        <v>9</v>
      </c>
      <c r="D120" s="228" t="s">
        <v>274</v>
      </c>
      <c r="E120" s="175">
        <v>16</v>
      </c>
      <c r="F120" s="105">
        <v>1565</v>
      </c>
      <c r="G120" s="202">
        <v>97.8125</v>
      </c>
      <c r="H120" s="385"/>
      <c r="I120" s="175">
        <f t="shared" si="61"/>
        <v>16</v>
      </c>
      <c r="J120" s="175">
        <f t="shared" si="61"/>
        <v>1295.9066165011066</v>
      </c>
      <c r="K120" s="202">
        <f t="shared" si="61"/>
        <v>80.99416353131916</v>
      </c>
      <c r="L120" s="385"/>
      <c r="M120" s="203">
        <f>RANK(K120, K$112:$K$141)</f>
        <v>5</v>
      </c>
      <c r="N120" s="387"/>
      <c r="O120" s="387"/>
      <c r="P120" s="105">
        <v>16</v>
      </c>
      <c r="Q120" s="202">
        <v>1278.4615384615383</v>
      </c>
      <c r="R120" s="202">
        <v>79.903846153846146</v>
      </c>
      <c r="S120" s="105">
        <f t="shared" si="62"/>
        <v>6</v>
      </c>
      <c r="T120" s="412"/>
      <c r="U120" s="105">
        <v>16</v>
      </c>
      <c r="V120" s="202">
        <v>1304.4943820224719</v>
      </c>
      <c r="W120" s="202">
        <v>81.530898876404493</v>
      </c>
      <c r="X120" s="105">
        <f t="shared" si="63"/>
        <v>5</v>
      </c>
      <c r="Y120" s="412"/>
      <c r="Z120" s="105">
        <v>16</v>
      </c>
      <c r="AA120" s="202">
        <v>1279.3103448275861</v>
      </c>
      <c r="AB120" s="202">
        <v>79.956896551724128</v>
      </c>
      <c r="AC120" s="105">
        <f t="shared" si="64"/>
        <v>6</v>
      </c>
      <c r="AD120" s="412"/>
      <c r="AE120" s="105">
        <v>16</v>
      </c>
      <c r="AF120" s="202">
        <v>1318.3561643835606</v>
      </c>
      <c r="AG120" s="202">
        <v>82.397260273972535</v>
      </c>
      <c r="AH120" s="105">
        <f t="shared" si="65"/>
        <v>5</v>
      </c>
      <c r="AI120" s="412"/>
      <c r="AJ120" s="105">
        <v>16</v>
      </c>
      <c r="AK120" s="202">
        <v>1292.3684210526305</v>
      </c>
      <c r="AL120" s="202">
        <v>80.773026315789409</v>
      </c>
      <c r="AM120" s="105">
        <f t="shared" si="66"/>
        <v>5</v>
      </c>
      <c r="AN120" s="412"/>
      <c r="AO120" s="105">
        <v>16</v>
      </c>
      <c r="AP120" s="202">
        <v>1273.6363636363635</v>
      </c>
      <c r="AQ120" s="202">
        <v>79.60227272727272</v>
      </c>
      <c r="AR120" s="105">
        <f t="shared" si="67"/>
        <v>7</v>
      </c>
      <c r="AS120" s="412"/>
      <c r="AT120" s="105">
        <v>16</v>
      </c>
      <c r="AU120" s="202">
        <v>1324.7191011235955</v>
      </c>
      <c r="AV120" s="202">
        <v>82.794943820224717</v>
      </c>
      <c r="AW120" s="105">
        <f t="shared" si="68"/>
        <v>5</v>
      </c>
      <c r="AX120" s="412"/>
    </row>
    <row r="121" spans="2:50">
      <c r="B121" s="398"/>
      <c r="C121" s="105">
        <v>10</v>
      </c>
      <c r="D121" s="228" t="s">
        <v>286</v>
      </c>
      <c r="E121" s="175">
        <v>21</v>
      </c>
      <c r="F121" s="105">
        <v>1440</v>
      </c>
      <c r="G121" s="202">
        <v>68.571428571428569</v>
      </c>
      <c r="H121" s="385"/>
      <c r="I121" s="175">
        <f t="shared" si="61"/>
        <v>19.857142857142858</v>
      </c>
      <c r="J121" s="175">
        <f t="shared" si="61"/>
        <v>1087.1442111354975</v>
      </c>
      <c r="K121" s="202">
        <f t="shared" si="61"/>
        <v>54.761220581837527</v>
      </c>
      <c r="L121" s="385"/>
      <c r="M121" s="203">
        <f>RANK(K121, K$112:$K$141)</f>
        <v>26</v>
      </c>
      <c r="N121" s="387"/>
      <c r="O121" s="387"/>
      <c r="P121" s="105">
        <v>19</v>
      </c>
      <c r="Q121" s="202">
        <v>1074.6666666666667</v>
      </c>
      <c r="R121" s="202">
        <v>56.561403508771932</v>
      </c>
      <c r="S121" s="105">
        <f t="shared" si="62"/>
        <v>23</v>
      </c>
      <c r="T121" s="412"/>
      <c r="U121" s="105">
        <v>20</v>
      </c>
      <c r="V121" s="202">
        <v>1067.1428571428576</v>
      </c>
      <c r="W121" s="202">
        <v>53.357142857142875</v>
      </c>
      <c r="X121" s="105">
        <f t="shared" si="63"/>
        <v>26</v>
      </c>
      <c r="Y121" s="412"/>
      <c r="Z121" s="105">
        <v>20</v>
      </c>
      <c r="AA121" s="202">
        <v>1117.9591836734696</v>
      </c>
      <c r="AB121" s="202">
        <v>55.897959183673478</v>
      </c>
      <c r="AC121" s="105">
        <f t="shared" si="64"/>
        <v>25</v>
      </c>
      <c r="AD121" s="412"/>
      <c r="AE121" s="105">
        <v>20</v>
      </c>
      <c r="AF121" s="202">
        <v>1075.9550561797753</v>
      </c>
      <c r="AG121" s="202">
        <v>53.797752808988761</v>
      </c>
      <c r="AH121" s="105">
        <f t="shared" si="65"/>
        <v>26</v>
      </c>
      <c r="AI121" s="412"/>
      <c r="AJ121" s="105">
        <v>20</v>
      </c>
      <c r="AK121" s="202">
        <v>1060.7142857142853</v>
      </c>
      <c r="AL121" s="202">
        <v>53.035714285714263</v>
      </c>
      <c r="AM121" s="105">
        <f t="shared" si="66"/>
        <v>26</v>
      </c>
      <c r="AN121" s="412"/>
      <c r="AO121" s="105">
        <v>20</v>
      </c>
      <c r="AP121" s="202">
        <v>1103.5714285714282</v>
      </c>
      <c r="AQ121" s="202">
        <v>55.178571428571409</v>
      </c>
      <c r="AR121" s="105">
        <f t="shared" si="67"/>
        <v>26</v>
      </c>
      <c r="AS121" s="412"/>
      <c r="AT121" s="105">
        <v>20</v>
      </c>
      <c r="AU121" s="202">
        <v>1109.9999999999995</v>
      </c>
      <c r="AV121" s="202">
        <v>55.499999999999979</v>
      </c>
      <c r="AW121" s="105">
        <f t="shared" si="68"/>
        <v>25</v>
      </c>
      <c r="AX121" s="412"/>
    </row>
    <row r="122" spans="2:50">
      <c r="B122" s="398"/>
      <c r="C122" s="105">
        <v>11</v>
      </c>
      <c r="D122" s="228" t="s">
        <v>270</v>
      </c>
      <c r="E122" s="175">
        <v>16</v>
      </c>
      <c r="F122" s="105">
        <v>1440</v>
      </c>
      <c r="G122" s="202">
        <v>90</v>
      </c>
      <c r="H122" s="385"/>
      <c r="I122" s="175">
        <f t="shared" ref="I122:I137" si="69">AVERAGE(P122,U122,Z122,AE122,AJ122,AO122,AT122)</f>
        <v>16</v>
      </c>
      <c r="J122" s="175">
        <f t="shared" ref="J122:J137" si="70">AVERAGE(Q122,V122,AA122,AF122,AK122,AP122,AU122)</f>
        <v>1246.4773545781934</v>
      </c>
      <c r="K122" s="202">
        <f t="shared" ref="K122:K137" si="71">AVERAGE(R122,W122,AB122,AG122,AL122,AQ122,AV122)</f>
        <v>77.904834661137087</v>
      </c>
      <c r="L122" s="385"/>
      <c r="M122" s="203">
        <f>RANK(K122, K$112:$K$141)</f>
        <v>8</v>
      </c>
      <c r="N122" s="387"/>
      <c r="O122" s="387"/>
      <c r="P122" s="105">
        <v>16</v>
      </c>
      <c r="Q122" s="202">
        <v>1285.7142857142844</v>
      </c>
      <c r="R122" s="202">
        <v>80.357142857142776</v>
      </c>
      <c r="S122" s="105">
        <f t="shared" si="62"/>
        <v>5</v>
      </c>
      <c r="T122" s="412"/>
      <c r="U122" s="105">
        <v>16</v>
      </c>
      <c r="V122" s="202">
        <v>1270.9090909090894</v>
      </c>
      <c r="W122" s="202">
        <v>79.431818181818088</v>
      </c>
      <c r="X122" s="105">
        <f t="shared" si="63"/>
        <v>9</v>
      </c>
      <c r="Y122" s="412"/>
      <c r="Z122" s="105">
        <v>16</v>
      </c>
      <c r="AA122" s="202">
        <v>1265.9999999999977</v>
      </c>
      <c r="AB122" s="202">
        <v>79.124999999999858</v>
      </c>
      <c r="AC122" s="105">
        <f t="shared" si="64"/>
        <v>8</v>
      </c>
      <c r="AD122" s="412"/>
      <c r="AE122" s="105">
        <v>16</v>
      </c>
      <c r="AF122" s="202">
        <v>1087.2727272727257</v>
      </c>
      <c r="AG122" s="202">
        <v>67.954545454545354</v>
      </c>
      <c r="AH122" s="105">
        <f t="shared" si="65"/>
        <v>19</v>
      </c>
      <c r="AI122" s="412"/>
      <c r="AJ122" s="105">
        <v>16</v>
      </c>
      <c r="AK122" s="202">
        <v>1265.2941176470572</v>
      </c>
      <c r="AL122" s="202">
        <v>79.080882352941074</v>
      </c>
      <c r="AM122" s="105">
        <f t="shared" si="66"/>
        <v>8</v>
      </c>
      <c r="AN122" s="412"/>
      <c r="AO122" s="105">
        <v>16</v>
      </c>
      <c r="AP122" s="202">
        <v>1295.2941176470572</v>
      </c>
      <c r="AQ122" s="202">
        <v>80.955882352941074</v>
      </c>
      <c r="AR122" s="105">
        <f t="shared" si="67"/>
        <v>5</v>
      </c>
      <c r="AS122" s="412"/>
      <c r="AT122" s="105">
        <v>16</v>
      </c>
      <c r="AU122" s="202">
        <v>1254.8571428571415</v>
      </c>
      <c r="AV122" s="202">
        <v>78.428571428571345</v>
      </c>
      <c r="AW122" s="105">
        <f t="shared" si="68"/>
        <v>9</v>
      </c>
      <c r="AX122" s="412"/>
    </row>
    <row r="123" spans="2:50">
      <c r="B123" s="398"/>
      <c r="C123" s="105">
        <v>12</v>
      </c>
      <c r="D123" s="228" t="s">
        <v>271</v>
      </c>
      <c r="E123" s="175">
        <v>17</v>
      </c>
      <c r="F123" s="105">
        <v>1440</v>
      </c>
      <c r="G123" s="202">
        <v>84.705882352941174</v>
      </c>
      <c r="H123" s="385"/>
      <c r="I123" s="175">
        <f t="shared" si="69"/>
        <v>17</v>
      </c>
      <c r="J123" s="175">
        <f t="shared" si="70"/>
        <v>1282.0553375196243</v>
      </c>
      <c r="K123" s="202">
        <f t="shared" si="71"/>
        <v>75.415019854095519</v>
      </c>
      <c r="L123" s="385"/>
      <c r="M123" s="203">
        <f>RANK(K123, K$112:$K$141)</f>
        <v>9</v>
      </c>
      <c r="N123" s="387"/>
      <c r="O123" s="387"/>
      <c r="P123" s="105">
        <v>17</v>
      </c>
      <c r="Q123" s="202">
        <v>1311.9230769230776</v>
      </c>
      <c r="R123" s="202">
        <v>77.171945701357501</v>
      </c>
      <c r="S123" s="105">
        <f t="shared" si="62"/>
        <v>9</v>
      </c>
      <c r="T123" s="412"/>
      <c r="U123" s="105">
        <v>17</v>
      </c>
      <c r="V123" s="202">
        <v>1260.0000000000011</v>
      </c>
      <c r="W123" s="202">
        <v>74.117647058823593</v>
      </c>
      <c r="X123" s="105">
        <f t="shared" si="63"/>
        <v>11</v>
      </c>
      <c r="Y123" s="412"/>
      <c r="Z123" s="105">
        <v>17</v>
      </c>
      <c r="AA123" s="202">
        <v>1287.5000000000005</v>
      </c>
      <c r="AB123" s="202">
        <v>75.735294117647086</v>
      </c>
      <c r="AC123" s="105">
        <f t="shared" si="64"/>
        <v>10</v>
      </c>
      <c r="AD123" s="412"/>
      <c r="AE123" s="105">
        <v>17</v>
      </c>
      <c r="AF123" s="202">
        <v>1288.7500000000002</v>
      </c>
      <c r="AG123" s="202">
        <v>75.808823529411782</v>
      </c>
      <c r="AH123" s="105">
        <f t="shared" si="65"/>
        <v>10</v>
      </c>
      <c r="AI123" s="412"/>
      <c r="AJ123" s="105">
        <v>17</v>
      </c>
      <c r="AK123" s="202">
        <v>1300.0000000000009</v>
      </c>
      <c r="AL123" s="202">
        <v>76.470588235294173</v>
      </c>
      <c r="AM123" s="105">
        <f t="shared" si="66"/>
        <v>9</v>
      </c>
      <c r="AN123" s="412"/>
      <c r="AO123" s="105">
        <v>17</v>
      </c>
      <c r="AP123" s="202">
        <v>1278.2142857142867</v>
      </c>
      <c r="AQ123" s="202">
        <v>75.189075630252162</v>
      </c>
      <c r="AR123" s="105">
        <f t="shared" si="67"/>
        <v>13</v>
      </c>
      <c r="AS123" s="412"/>
      <c r="AT123" s="105">
        <v>17</v>
      </c>
      <c r="AU123" s="202">
        <v>1248.0000000000011</v>
      </c>
      <c r="AV123" s="202">
        <v>73.411764705882419</v>
      </c>
      <c r="AW123" s="105">
        <f t="shared" si="68"/>
        <v>14</v>
      </c>
      <c r="AX123" s="412"/>
    </row>
    <row r="124" spans="2:50">
      <c r="B124" s="398"/>
      <c r="C124" s="105">
        <v>13</v>
      </c>
      <c r="D124" s="228" t="s">
        <v>266</v>
      </c>
      <c r="E124" s="175">
        <v>16</v>
      </c>
      <c r="F124" s="105">
        <v>1440</v>
      </c>
      <c r="G124" s="202">
        <v>90</v>
      </c>
      <c r="H124" s="385"/>
      <c r="I124" s="175">
        <f t="shared" si="69"/>
        <v>16.857142857142858</v>
      </c>
      <c r="J124" s="175">
        <f t="shared" si="70"/>
        <v>1102.9858575008989</v>
      </c>
      <c r="K124" s="202">
        <f t="shared" si="71"/>
        <v>65.459777331985649</v>
      </c>
      <c r="L124" s="385"/>
      <c r="M124" s="203">
        <f>RANK(K124, K$112:$K$141)</f>
        <v>22</v>
      </c>
      <c r="N124" s="387"/>
      <c r="O124" s="387"/>
      <c r="P124" s="105">
        <v>17</v>
      </c>
      <c r="Q124" s="202">
        <v>1062.8571428571465</v>
      </c>
      <c r="R124" s="202">
        <v>62.521008403361563</v>
      </c>
      <c r="S124" s="105">
        <f t="shared" si="62"/>
        <v>22</v>
      </c>
      <c r="T124" s="412"/>
      <c r="U124" s="105">
        <v>16</v>
      </c>
      <c r="V124" s="202">
        <v>1101.0000000000039</v>
      </c>
      <c r="W124" s="202">
        <v>68.812500000000242</v>
      </c>
      <c r="X124" s="105">
        <f t="shared" si="63"/>
        <v>18</v>
      </c>
      <c r="Y124" s="412"/>
      <c r="Z124" s="105">
        <v>17</v>
      </c>
      <c r="AA124" s="202">
        <v>1083.3333333333374</v>
      </c>
      <c r="AB124" s="202">
        <v>63.725490196078667</v>
      </c>
      <c r="AC124" s="105">
        <f t="shared" si="64"/>
        <v>21</v>
      </c>
      <c r="AD124" s="412"/>
      <c r="AE124" s="105">
        <v>17</v>
      </c>
      <c r="AF124" s="202">
        <v>1236.0000000000043</v>
      </c>
      <c r="AG124" s="202">
        <v>72.70588235294143</v>
      </c>
      <c r="AH124" s="105">
        <f t="shared" si="65"/>
        <v>15</v>
      </c>
      <c r="AI124" s="412"/>
      <c r="AJ124" s="105">
        <v>17</v>
      </c>
      <c r="AK124" s="202">
        <v>1064.2105263157932</v>
      </c>
      <c r="AL124" s="202">
        <v>62.600619195046662</v>
      </c>
      <c r="AM124" s="105">
        <f t="shared" si="66"/>
        <v>23</v>
      </c>
      <c r="AN124" s="412"/>
      <c r="AO124" s="105">
        <v>17</v>
      </c>
      <c r="AP124" s="202">
        <v>1086.0000000000039</v>
      </c>
      <c r="AQ124" s="202">
        <v>63.882352941176698</v>
      </c>
      <c r="AR124" s="105">
        <f t="shared" si="67"/>
        <v>23</v>
      </c>
      <c r="AS124" s="412"/>
      <c r="AT124" s="105">
        <v>17</v>
      </c>
      <c r="AU124" s="202">
        <v>1087.5000000000039</v>
      </c>
      <c r="AV124" s="202">
        <v>63.970588235294343</v>
      </c>
      <c r="AW124" s="105">
        <f t="shared" si="68"/>
        <v>21</v>
      </c>
      <c r="AX124" s="412"/>
    </row>
    <row r="125" spans="2:50">
      <c r="B125" s="398"/>
      <c r="C125" s="105">
        <v>14</v>
      </c>
      <c r="D125" s="228" t="s">
        <v>265</v>
      </c>
      <c r="E125" s="175">
        <v>18</v>
      </c>
      <c r="F125" s="105">
        <v>1440</v>
      </c>
      <c r="G125" s="202">
        <v>80</v>
      </c>
      <c r="H125" s="385"/>
      <c r="I125" s="175">
        <f t="shared" si="69"/>
        <v>16.571428571428573</v>
      </c>
      <c r="J125" s="175">
        <f t="shared" si="70"/>
        <v>1194.7574755516816</v>
      </c>
      <c r="K125" s="202">
        <f t="shared" si="71"/>
        <v>72.157875922026165</v>
      </c>
      <c r="L125" s="385"/>
      <c r="M125" s="203">
        <f>RANK(K125, K$112:$K$141)</f>
        <v>15</v>
      </c>
      <c r="N125" s="387"/>
      <c r="O125" s="387"/>
      <c r="P125" s="105">
        <v>17</v>
      </c>
      <c r="Q125" s="202">
        <v>1203.4615384615354</v>
      </c>
      <c r="R125" s="202">
        <v>70.791855203619733</v>
      </c>
      <c r="S125" s="105">
        <f t="shared" si="62"/>
        <v>18</v>
      </c>
      <c r="T125" s="412"/>
      <c r="U125" s="105">
        <v>16</v>
      </c>
      <c r="V125" s="202">
        <v>1225.8823529411693</v>
      </c>
      <c r="W125" s="202">
        <v>76.617647058823081</v>
      </c>
      <c r="X125" s="105">
        <f t="shared" si="63"/>
        <v>10</v>
      </c>
      <c r="Y125" s="412"/>
      <c r="Z125" s="105">
        <v>17</v>
      </c>
      <c r="AA125" s="202">
        <v>1198.8000000000002</v>
      </c>
      <c r="AB125" s="202">
        <v>70.517647058823542</v>
      </c>
      <c r="AC125" s="105">
        <f t="shared" si="64"/>
        <v>17</v>
      </c>
      <c r="AD125" s="412"/>
      <c r="AE125" s="105">
        <v>16</v>
      </c>
      <c r="AF125" s="202">
        <v>1180.3846153846162</v>
      </c>
      <c r="AG125" s="202">
        <v>73.77403846153851</v>
      </c>
      <c r="AH125" s="105">
        <f t="shared" si="65"/>
        <v>14</v>
      </c>
      <c r="AI125" s="412"/>
      <c r="AJ125" s="105">
        <v>17</v>
      </c>
      <c r="AK125" s="202">
        <v>1230.5454545454554</v>
      </c>
      <c r="AL125" s="202">
        <v>72.385026737967962</v>
      </c>
      <c r="AM125" s="105">
        <f t="shared" si="66"/>
        <v>15</v>
      </c>
      <c r="AN125" s="412"/>
      <c r="AO125" s="105">
        <v>17</v>
      </c>
      <c r="AP125" s="202">
        <v>1154.736842105264</v>
      </c>
      <c r="AQ125" s="202">
        <v>67.925696594427293</v>
      </c>
      <c r="AR125" s="105">
        <f t="shared" si="67"/>
        <v>18</v>
      </c>
      <c r="AS125" s="412"/>
      <c r="AT125" s="105">
        <v>16</v>
      </c>
      <c r="AU125" s="202">
        <v>1169.4915254237299</v>
      </c>
      <c r="AV125" s="202">
        <v>73.093220338983116</v>
      </c>
      <c r="AW125" s="105">
        <f t="shared" si="68"/>
        <v>15</v>
      </c>
      <c r="AX125" s="412"/>
    </row>
    <row r="126" spans="2:50">
      <c r="B126" s="398"/>
      <c r="C126" s="105">
        <v>15</v>
      </c>
      <c r="D126" s="228" t="s">
        <v>269</v>
      </c>
      <c r="E126" s="175">
        <v>20</v>
      </c>
      <c r="F126" s="105">
        <v>1636</v>
      </c>
      <c r="G126" s="202">
        <v>81.8</v>
      </c>
      <c r="H126" s="385"/>
      <c r="I126" s="175">
        <f t="shared" si="69"/>
        <v>19</v>
      </c>
      <c r="J126" s="175">
        <f t="shared" si="70"/>
        <v>1288.0036568739163</v>
      </c>
      <c r="K126" s="202">
        <f t="shared" si="71"/>
        <v>67.789666151258743</v>
      </c>
      <c r="L126" s="385"/>
      <c r="M126" s="175">
        <f>RANK(K126, K$112:$K$141)</f>
        <v>19</v>
      </c>
      <c r="N126" s="387"/>
      <c r="O126" s="387"/>
      <c r="P126" s="105">
        <v>19</v>
      </c>
      <c r="Q126" s="202">
        <v>1256.590909090909</v>
      </c>
      <c r="R126" s="202">
        <v>66.136363636363626</v>
      </c>
      <c r="S126" s="105">
        <f t="shared" ref="S126:S140" si="72">RANK(R126, R$112:R$141)</f>
        <v>20</v>
      </c>
      <c r="T126" s="412"/>
      <c r="U126" s="105">
        <v>19</v>
      </c>
      <c r="V126" s="202">
        <v>1260.705882352941</v>
      </c>
      <c r="W126" s="202">
        <v>66.35294117647058</v>
      </c>
      <c r="X126" s="105">
        <f t="shared" ref="X126:X140" si="73">RANK(W126, W$112:W$141)</f>
        <v>20</v>
      </c>
      <c r="Y126" s="412"/>
      <c r="Z126" s="105">
        <v>19</v>
      </c>
      <c r="AA126" s="202">
        <v>1307.6923076923069</v>
      </c>
      <c r="AB126" s="202">
        <v>68.82591093117405</v>
      </c>
      <c r="AC126" s="105">
        <f t="shared" ref="AC126:AC140" si="74">RANK(AB126, AB$112:AB$141)</f>
        <v>18</v>
      </c>
      <c r="AD126" s="412"/>
      <c r="AE126" s="105">
        <v>19</v>
      </c>
      <c r="AF126" s="202">
        <v>1320.7499999999995</v>
      </c>
      <c r="AG126" s="202">
        <v>69.513157894736821</v>
      </c>
      <c r="AH126" s="105">
        <f t="shared" ref="AH126:AH140" si="75">RANK(AG126, AG$112:AG$141)</f>
        <v>18</v>
      </c>
      <c r="AI126" s="412"/>
      <c r="AJ126" s="105">
        <v>19</v>
      </c>
      <c r="AK126" s="202">
        <v>1299.5121951219508</v>
      </c>
      <c r="AL126" s="202">
        <v>68.395378690628988</v>
      </c>
      <c r="AM126" s="105">
        <f t="shared" ref="AM126:AM140" si="76">RANK(AL126, AL$112:AL$141)</f>
        <v>19</v>
      </c>
      <c r="AN126" s="412"/>
      <c r="AO126" s="105">
        <v>19</v>
      </c>
      <c r="AP126" s="202">
        <v>1297.0786516853932</v>
      </c>
      <c r="AQ126" s="202">
        <v>68.267297457125963</v>
      </c>
      <c r="AR126" s="105">
        <f t="shared" ref="AR126:AR140" si="77">RANK(AQ126, AQ$112:AQ$141)</f>
        <v>17</v>
      </c>
      <c r="AS126" s="412"/>
      <c r="AT126" s="105">
        <v>19</v>
      </c>
      <c r="AU126" s="202">
        <v>1273.695652173913</v>
      </c>
      <c r="AV126" s="202">
        <v>67.036613272311214</v>
      </c>
      <c r="AW126" s="105">
        <f t="shared" ref="AW126:AW140" si="78">RANK(AV126, AV$112:AV$141)</f>
        <v>19</v>
      </c>
      <c r="AX126" s="412"/>
    </row>
    <row r="127" spans="2:50">
      <c r="B127" s="398"/>
      <c r="C127" s="105">
        <v>16</v>
      </c>
      <c r="D127" s="228" t="s">
        <v>268</v>
      </c>
      <c r="E127" s="175">
        <v>19</v>
      </c>
      <c r="F127" s="105">
        <v>1636</v>
      </c>
      <c r="G127" s="202">
        <v>86.10526315789474</v>
      </c>
      <c r="H127" s="385"/>
      <c r="I127" s="175">
        <f t="shared" si="69"/>
        <v>19</v>
      </c>
      <c r="J127" s="175">
        <f t="shared" si="70"/>
        <v>1271.4219124018632</v>
      </c>
      <c r="K127" s="202">
        <f t="shared" si="71"/>
        <v>66.9169427579928</v>
      </c>
      <c r="L127" s="385"/>
      <c r="M127" s="175">
        <f>RANK(K127, K$112:$K$141)</f>
        <v>21</v>
      </c>
      <c r="N127" s="387"/>
      <c r="O127" s="387"/>
      <c r="P127" s="105">
        <v>19</v>
      </c>
      <c r="Q127" s="202">
        <v>1252.0588235294103</v>
      </c>
      <c r="R127" s="202">
        <v>65.897832817337388</v>
      </c>
      <c r="S127" s="105">
        <f t="shared" si="72"/>
        <v>21</v>
      </c>
      <c r="T127" s="412"/>
      <c r="U127" s="105">
        <v>19</v>
      </c>
      <c r="V127" s="202">
        <v>1250.7692307692321</v>
      </c>
      <c r="W127" s="202">
        <v>65.829959514170113</v>
      </c>
      <c r="X127" s="105">
        <f t="shared" si="73"/>
        <v>21</v>
      </c>
      <c r="Y127" s="412"/>
      <c r="Z127" s="105">
        <v>19</v>
      </c>
      <c r="AA127" s="202">
        <v>1274.2372881355943</v>
      </c>
      <c r="AB127" s="202">
        <v>67.065120428189175</v>
      </c>
      <c r="AC127" s="105">
        <f t="shared" si="74"/>
        <v>20</v>
      </c>
      <c r="AD127" s="412"/>
      <c r="AE127" s="105">
        <v>19</v>
      </c>
      <c r="AF127" s="202">
        <v>1280.0000000000011</v>
      </c>
      <c r="AG127" s="202">
        <v>67.368421052631632</v>
      </c>
      <c r="AH127" s="105">
        <f t="shared" si="75"/>
        <v>21</v>
      </c>
      <c r="AI127" s="412"/>
      <c r="AJ127" s="105">
        <v>19</v>
      </c>
      <c r="AK127" s="202">
        <v>1296.176470588237</v>
      </c>
      <c r="AL127" s="202">
        <v>68.219814241486162</v>
      </c>
      <c r="AM127" s="105">
        <f t="shared" si="76"/>
        <v>20</v>
      </c>
      <c r="AN127" s="412"/>
      <c r="AO127" s="105">
        <v>19</v>
      </c>
      <c r="AP127" s="202">
        <v>1268.4507042253508</v>
      </c>
      <c r="AQ127" s="202">
        <v>66.760563380281624</v>
      </c>
      <c r="AR127" s="105">
        <f t="shared" si="77"/>
        <v>20</v>
      </c>
      <c r="AS127" s="412"/>
      <c r="AT127" s="105">
        <v>19</v>
      </c>
      <c r="AU127" s="202">
        <v>1278.2608695652161</v>
      </c>
      <c r="AV127" s="202">
        <v>67.276887871853475</v>
      </c>
      <c r="AW127" s="105">
        <f t="shared" si="78"/>
        <v>18</v>
      </c>
      <c r="AX127" s="412"/>
    </row>
    <row r="128" spans="2:50">
      <c r="B128" s="398"/>
      <c r="C128" s="105">
        <v>17</v>
      </c>
      <c r="D128" s="228" t="s">
        <v>263</v>
      </c>
      <c r="E128" s="175">
        <v>19</v>
      </c>
      <c r="F128" s="105">
        <v>1500</v>
      </c>
      <c r="G128" s="202">
        <v>78.94736842105263</v>
      </c>
      <c r="H128" s="385"/>
      <c r="I128" s="175">
        <f t="shared" si="69"/>
        <v>19</v>
      </c>
      <c r="J128" s="175">
        <f t="shared" si="70"/>
        <v>1275.9617491150589</v>
      </c>
      <c r="K128" s="202">
        <f t="shared" si="71"/>
        <v>67.155881532371524</v>
      </c>
      <c r="L128" s="385"/>
      <c r="M128" s="175">
        <f>RANK(K128, K$112:$K$141)</f>
        <v>20</v>
      </c>
      <c r="N128" s="387"/>
      <c r="O128" s="387"/>
      <c r="P128" s="105">
        <v>19</v>
      </c>
      <c r="Q128" s="202">
        <v>1257.2727272727273</v>
      </c>
      <c r="R128" s="202">
        <v>66.172248803827756</v>
      </c>
      <c r="S128" s="105">
        <f t="shared" si="72"/>
        <v>19</v>
      </c>
      <c r="T128" s="412"/>
      <c r="U128" s="105">
        <v>19</v>
      </c>
      <c r="V128" s="202">
        <v>1305.7142857142853</v>
      </c>
      <c r="W128" s="202">
        <v>68.721804511278179</v>
      </c>
      <c r="X128" s="105">
        <f t="shared" si="73"/>
        <v>19</v>
      </c>
      <c r="Y128" s="412"/>
      <c r="Z128" s="105">
        <v>19</v>
      </c>
      <c r="AA128" s="202">
        <v>1298.9189189189178</v>
      </c>
      <c r="AB128" s="202">
        <v>68.364153627311467</v>
      </c>
      <c r="AC128" s="105">
        <f t="shared" si="74"/>
        <v>19</v>
      </c>
      <c r="AD128" s="412"/>
      <c r="AE128" s="105">
        <v>19</v>
      </c>
      <c r="AF128" s="202">
        <v>1286.3414634146336</v>
      </c>
      <c r="AG128" s="202">
        <v>67.702182284980722</v>
      </c>
      <c r="AH128" s="105">
        <f t="shared" si="75"/>
        <v>20</v>
      </c>
      <c r="AI128" s="412"/>
      <c r="AJ128" s="105">
        <v>19</v>
      </c>
      <c r="AK128" s="202">
        <v>1270.0000000000002</v>
      </c>
      <c r="AL128" s="202">
        <v>66.842105263157904</v>
      </c>
      <c r="AM128" s="105">
        <f t="shared" si="76"/>
        <v>21</v>
      </c>
      <c r="AN128" s="412"/>
      <c r="AO128" s="105">
        <v>19</v>
      </c>
      <c r="AP128" s="202">
        <v>1246.6666666666667</v>
      </c>
      <c r="AQ128" s="202">
        <v>65.614035087719301</v>
      </c>
      <c r="AR128" s="105">
        <f t="shared" si="77"/>
        <v>21</v>
      </c>
      <c r="AS128" s="412"/>
      <c r="AT128" s="105">
        <v>19</v>
      </c>
      <c r="AU128" s="202">
        <v>1266.8181818181818</v>
      </c>
      <c r="AV128" s="202">
        <v>66.67464114832535</v>
      </c>
      <c r="AW128" s="105">
        <f t="shared" si="78"/>
        <v>20</v>
      </c>
      <c r="AX128" s="412"/>
    </row>
    <row r="129" spans="2:50">
      <c r="B129" s="398"/>
      <c r="C129" s="105">
        <v>18</v>
      </c>
      <c r="D129" s="228" t="s">
        <v>275</v>
      </c>
      <c r="E129" s="175">
        <v>20</v>
      </c>
      <c r="F129" s="105">
        <v>1500</v>
      </c>
      <c r="G129" s="202">
        <v>75</v>
      </c>
      <c r="H129" s="385"/>
      <c r="I129" s="175">
        <f t="shared" si="69"/>
        <v>17.428571428571427</v>
      </c>
      <c r="J129" s="175">
        <f t="shared" si="70"/>
        <v>1274.8587543125345</v>
      </c>
      <c r="K129" s="202">
        <f t="shared" si="71"/>
        <v>73.196857121226799</v>
      </c>
      <c r="L129" s="385"/>
      <c r="M129" s="175">
        <f>RANK(K129, K$112:$K$141)</f>
        <v>14</v>
      </c>
      <c r="N129" s="387"/>
      <c r="O129" s="387"/>
      <c r="P129" s="105">
        <v>17</v>
      </c>
      <c r="Q129" s="202">
        <v>1299.42857142857</v>
      </c>
      <c r="R129" s="202">
        <v>76.43697478991588</v>
      </c>
      <c r="S129" s="105">
        <f t="shared" si="72"/>
        <v>11</v>
      </c>
      <c r="T129" s="412"/>
      <c r="U129" s="105">
        <v>18</v>
      </c>
      <c r="V129" s="202">
        <v>1287.42857142857</v>
      </c>
      <c r="W129" s="202">
        <v>71.523809523809447</v>
      </c>
      <c r="X129" s="105">
        <f t="shared" si="73"/>
        <v>16</v>
      </c>
      <c r="Y129" s="412"/>
      <c r="Z129" s="105">
        <v>18</v>
      </c>
      <c r="AA129" s="202">
        <v>1277.6470588235279</v>
      </c>
      <c r="AB129" s="202">
        <v>70.980392156862663</v>
      </c>
      <c r="AC129" s="105">
        <f t="shared" si="74"/>
        <v>15</v>
      </c>
      <c r="AD129" s="412"/>
      <c r="AE129" s="105">
        <v>17</v>
      </c>
      <c r="AF129" s="202">
        <v>1261.7142857142844</v>
      </c>
      <c r="AG129" s="202">
        <v>74.218487394957904</v>
      </c>
      <c r="AH129" s="105">
        <f t="shared" si="75"/>
        <v>13</v>
      </c>
      <c r="AI129" s="412"/>
      <c r="AJ129" s="105">
        <v>17</v>
      </c>
      <c r="AK129" s="202">
        <v>1244.9999999999995</v>
      </c>
      <c r="AL129" s="202">
        <v>73.23529411764703</v>
      </c>
      <c r="AM129" s="105">
        <f t="shared" si="76"/>
        <v>14</v>
      </c>
      <c r="AN129" s="412"/>
      <c r="AO129" s="105">
        <v>18</v>
      </c>
      <c r="AP129" s="202">
        <v>1279.4594594594585</v>
      </c>
      <c r="AQ129" s="202">
        <v>71.081081081081024</v>
      </c>
      <c r="AR129" s="105">
        <f t="shared" si="77"/>
        <v>15</v>
      </c>
      <c r="AS129" s="412"/>
      <c r="AT129" s="105">
        <v>17</v>
      </c>
      <c r="AU129" s="202">
        <v>1273.3333333333323</v>
      </c>
      <c r="AV129" s="202">
        <v>74.901960784313673</v>
      </c>
      <c r="AW129" s="105">
        <f t="shared" si="78"/>
        <v>12</v>
      </c>
      <c r="AX129" s="412"/>
    </row>
    <row r="130" spans="2:50">
      <c r="B130" s="398"/>
      <c r="C130" s="105">
        <v>19</v>
      </c>
      <c r="D130" s="228" t="s">
        <v>277</v>
      </c>
      <c r="E130" s="175">
        <v>18</v>
      </c>
      <c r="F130" s="105">
        <v>1500</v>
      </c>
      <c r="G130" s="202">
        <v>83.333333333333329</v>
      </c>
      <c r="H130" s="385"/>
      <c r="I130" s="175">
        <f t="shared" si="69"/>
        <v>17</v>
      </c>
      <c r="J130" s="175">
        <f t="shared" si="70"/>
        <v>1270.2438012446858</v>
      </c>
      <c r="K130" s="202">
        <f t="shared" si="71"/>
        <v>74.720223602628593</v>
      </c>
      <c r="L130" s="385"/>
      <c r="M130" s="175">
        <f>RANK(K130, K$112:$K$141)</f>
        <v>11</v>
      </c>
      <c r="N130" s="387"/>
      <c r="O130" s="387"/>
      <c r="P130" s="105">
        <v>17</v>
      </c>
      <c r="Q130" s="202">
        <v>1247.7966101694926</v>
      </c>
      <c r="R130" s="202">
        <v>73.399800598205445</v>
      </c>
      <c r="S130" s="105">
        <f t="shared" si="72"/>
        <v>15</v>
      </c>
      <c r="T130" s="412"/>
      <c r="U130" s="105">
        <v>17</v>
      </c>
      <c r="V130" s="202">
        <v>1248.4210526315799</v>
      </c>
      <c r="W130" s="202">
        <v>73.436532507739997</v>
      </c>
      <c r="X130" s="105">
        <f t="shared" si="73"/>
        <v>12</v>
      </c>
      <c r="Y130" s="412"/>
      <c r="Z130" s="105">
        <v>17</v>
      </c>
      <c r="AA130" s="202">
        <v>1260.0000000000009</v>
      </c>
      <c r="AB130" s="202">
        <v>74.117647058823579</v>
      </c>
      <c r="AC130" s="105">
        <f t="shared" si="74"/>
        <v>11</v>
      </c>
      <c r="AD130" s="412"/>
      <c r="AE130" s="105">
        <v>17</v>
      </c>
      <c r="AF130" s="202">
        <v>1303.6363636363644</v>
      </c>
      <c r="AG130" s="202">
        <v>76.684491978609671</v>
      </c>
      <c r="AH130" s="105">
        <f t="shared" si="75"/>
        <v>8</v>
      </c>
      <c r="AI130" s="412"/>
      <c r="AJ130" s="105">
        <v>17</v>
      </c>
      <c r="AK130" s="202">
        <v>1254.2857142857156</v>
      </c>
      <c r="AL130" s="202">
        <v>73.781512605042096</v>
      </c>
      <c r="AM130" s="105">
        <f t="shared" si="76"/>
        <v>12</v>
      </c>
      <c r="AN130" s="412"/>
      <c r="AO130" s="105">
        <v>17</v>
      </c>
      <c r="AP130" s="202">
        <v>1297.8947368421063</v>
      </c>
      <c r="AQ130" s="202">
        <v>76.346749226006253</v>
      </c>
      <c r="AR130" s="105">
        <f t="shared" si="77"/>
        <v>11</v>
      </c>
      <c r="AS130" s="412"/>
      <c r="AT130" s="105">
        <v>17</v>
      </c>
      <c r="AU130" s="202">
        <v>1279.6721311475421</v>
      </c>
      <c r="AV130" s="202">
        <v>75.274831243973068</v>
      </c>
      <c r="AW130" s="105">
        <f t="shared" si="78"/>
        <v>11</v>
      </c>
      <c r="AX130" s="412"/>
    </row>
    <row r="131" spans="2:50">
      <c r="B131" s="398"/>
      <c r="C131" s="105">
        <v>20</v>
      </c>
      <c r="D131" s="228" t="s">
        <v>278</v>
      </c>
      <c r="E131" s="175">
        <v>17</v>
      </c>
      <c r="F131" s="105">
        <v>1440</v>
      </c>
      <c r="G131" s="202">
        <v>84.705882352941174</v>
      </c>
      <c r="H131" s="385"/>
      <c r="I131" s="175">
        <f t="shared" si="69"/>
        <v>18</v>
      </c>
      <c r="J131" s="175">
        <f t="shared" si="70"/>
        <v>1334.8175695430671</v>
      </c>
      <c r="K131" s="202">
        <f t="shared" si="71"/>
        <v>74.156531641281489</v>
      </c>
      <c r="L131" s="385"/>
      <c r="M131" s="175">
        <f>RANK(K131, K$112:$K$141)</f>
        <v>13</v>
      </c>
      <c r="N131" s="387"/>
      <c r="O131" s="387"/>
      <c r="P131" s="105">
        <v>18</v>
      </c>
      <c r="Q131" s="202">
        <v>1323.6585365853653</v>
      </c>
      <c r="R131" s="202">
        <v>73.536585365853625</v>
      </c>
      <c r="S131" s="105">
        <f t="shared" si="72"/>
        <v>14</v>
      </c>
      <c r="T131" s="412"/>
      <c r="U131" s="105">
        <v>18</v>
      </c>
      <c r="V131" s="202">
        <v>1310.9302325581393</v>
      </c>
      <c r="W131" s="202">
        <v>72.829457364341067</v>
      </c>
      <c r="X131" s="105">
        <f t="shared" si="73"/>
        <v>13</v>
      </c>
      <c r="Y131" s="412"/>
      <c r="Z131" s="105">
        <v>18</v>
      </c>
      <c r="AA131" s="202">
        <v>1309.6296296296293</v>
      </c>
      <c r="AB131" s="202">
        <v>72.757201646090522</v>
      </c>
      <c r="AC131" s="105">
        <f t="shared" si="74"/>
        <v>13</v>
      </c>
      <c r="AD131" s="412"/>
      <c r="AE131" s="105">
        <v>18</v>
      </c>
      <c r="AF131" s="202">
        <v>1356.315789473683</v>
      </c>
      <c r="AG131" s="202">
        <v>75.350877192982395</v>
      </c>
      <c r="AH131" s="105">
        <f t="shared" si="75"/>
        <v>12</v>
      </c>
      <c r="AI131" s="412"/>
      <c r="AJ131" s="105">
        <v>18</v>
      </c>
      <c r="AK131" s="202">
        <v>1319.2682926829264</v>
      </c>
      <c r="AL131" s="202">
        <v>73.292682926829244</v>
      </c>
      <c r="AM131" s="105">
        <f t="shared" si="76"/>
        <v>13</v>
      </c>
      <c r="AN131" s="412"/>
      <c r="AO131" s="105">
        <v>18</v>
      </c>
      <c r="AP131" s="202">
        <v>1361.4814814814811</v>
      </c>
      <c r="AQ131" s="202">
        <v>75.637860082304499</v>
      </c>
      <c r="AR131" s="105">
        <f t="shared" si="77"/>
        <v>12</v>
      </c>
      <c r="AS131" s="412"/>
      <c r="AT131" s="105">
        <v>18</v>
      </c>
      <c r="AU131" s="202">
        <v>1362.4390243902435</v>
      </c>
      <c r="AV131" s="202">
        <v>75.691056910569088</v>
      </c>
      <c r="AW131" s="105">
        <f t="shared" si="78"/>
        <v>10</v>
      </c>
      <c r="AX131" s="412"/>
    </row>
    <row r="132" spans="2:50">
      <c r="B132" s="398"/>
      <c r="C132" s="105">
        <v>21</v>
      </c>
      <c r="D132" s="228" t="s">
        <v>279</v>
      </c>
      <c r="E132" s="175">
        <v>15</v>
      </c>
      <c r="F132" s="105">
        <v>1440</v>
      </c>
      <c r="G132" s="202">
        <v>96</v>
      </c>
      <c r="H132" s="385"/>
      <c r="I132" s="175">
        <f t="shared" si="69"/>
        <v>15</v>
      </c>
      <c r="J132" s="175">
        <f t="shared" si="70"/>
        <v>1285.7351646207046</v>
      </c>
      <c r="K132" s="202">
        <f t="shared" si="71"/>
        <v>85.715677641380324</v>
      </c>
      <c r="L132" s="385"/>
      <c r="M132" s="175">
        <f>RANK(K132, K$112:$K$141)</f>
        <v>4</v>
      </c>
      <c r="N132" s="387"/>
      <c r="O132" s="387"/>
      <c r="P132" s="105">
        <v>15</v>
      </c>
      <c r="Q132" s="202">
        <v>1280.9523809523821</v>
      </c>
      <c r="R132" s="202">
        <v>85.396825396825477</v>
      </c>
      <c r="S132" s="105">
        <f t="shared" si="72"/>
        <v>4</v>
      </c>
      <c r="T132" s="412"/>
      <c r="U132" s="105">
        <v>15</v>
      </c>
      <c r="V132" s="202">
        <v>1270.1538461538476</v>
      </c>
      <c r="W132" s="202">
        <v>84.676923076923174</v>
      </c>
      <c r="X132" s="105">
        <f t="shared" si="73"/>
        <v>4</v>
      </c>
      <c r="Y132" s="412"/>
      <c r="Z132" s="105">
        <v>15</v>
      </c>
      <c r="AA132" s="202">
        <v>1260.9836065573782</v>
      </c>
      <c r="AB132" s="202">
        <v>84.065573770491881</v>
      </c>
      <c r="AC132" s="105">
        <f t="shared" si="74"/>
        <v>4</v>
      </c>
      <c r="AD132" s="412"/>
      <c r="AE132" s="105">
        <v>15</v>
      </c>
      <c r="AF132" s="202">
        <v>1289.0625000000016</v>
      </c>
      <c r="AG132" s="202">
        <v>85.937500000000099</v>
      </c>
      <c r="AH132" s="105">
        <f t="shared" si="75"/>
        <v>4</v>
      </c>
      <c r="AI132" s="412"/>
      <c r="AJ132" s="105">
        <v>15</v>
      </c>
      <c r="AK132" s="202">
        <v>1301.5384615384628</v>
      </c>
      <c r="AL132" s="202">
        <v>86.769230769230859</v>
      </c>
      <c r="AM132" s="105">
        <f t="shared" si="76"/>
        <v>4</v>
      </c>
      <c r="AN132" s="412"/>
      <c r="AO132" s="105">
        <v>15</v>
      </c>
      <c r="AP132" s="202">
        <v>1297.1428571428585</v>
      </c>
      <c r="AQ132" s="202">
        <v>86.476190476190567</v>
      </c>
      <c r="AR132" s="105">
        <f t="shared" si="77"/>
        <v>4</v>
      </c>
      <c r="AS132" s="412"/>
      <c r="AT132" s="105">
        <v>15</v>
      </c>
      <c r="AU132" s="202">
        <v>1300.3125000000016</v>
      </c>
      <c r="AV132" s="202">
        <v>86.687500000000099</v>
      </c>
      <c r="AW132" s="105">
        <f t="shared" si="78"/>
        <v>4</v>
      </c>
      <c r="AX132" s="412"/>
    </row>
    <row r="133" spans="2:50">
      <c r="B133" s="398"/>
      <c r="C133" s="105">
        <v>22</v>
      </c>
      <c r="D133" s="228" t="s">
        <v>280</v>
      </c>
      <c r="E133" s="175">
        <v>17</v>
      </c>
      <c r="F133" s="105">
        <v>1440</v>
      </c>
      <c r="G133" s="202">
        <v>84.705882352941174</v>
      </c>
      <c r="H133" s="385"/>
      <c r="I133" s="175">
        <f t="shared" si="69"/>
        <v>17</v>
      </c>
      <c r="J133" s="175">
        <f t="shared" si="70"/>
        <v>1350.9336086845849</v>
      </c>
      <c r="K133" s="202">
        <f t="shared" si="71"/>
        <v>79.466682863799107</v>
      </c>
      <c r="L133" s="385"/>
      <c r="M133" s="175">
        <f>RANK(K133, K$112:$K$141)</f>
        <v>7</v>
      </c>
      <c r="N133" s="387"/>
      <c r="O133" s="387"/>
      <c r="P133" s="105">
        <v>17</v>
      </c>
      <c r="Q133" s="202">
        <v>1332.5454545454536</v>
      </c>
      <c r="R133" s="202">
        <v>78.385026737967863</v>
      </c>
      <c r="S133" s="105">
        <f t="shared" si="72"/>
        <v>8</v>
      </c>
      <c r="T133" s="412"/>
      <c r="U133" s="105">
        <v>17</v>
      </c>
      <c r="V133" s="202">
        <v>1374.7572815533988</v>
      </c>
      <c r="W133" s="202">
        <v>80.868075385494052</v>
      </c>
      <c r="X133" s="105">
        <f t="shared" si="73"/>
        <v>7</v>
      </c>
      <c r="Y133" s="412"/>
      <c r="Z133" s="105">
        <v>17</v>
      </c>
      <c r="AA133" s="202">
        <v>1349.7087378640781</v>
      </c>
      <c r="AB133" s="202">
        <v>79.394631639063419</v>
      </c>
      <c r="AC133" s="105">
        <f t="shared" si="74"/>
        <v>7</v>
      </c>
      <c r="AD133" s="412"/>
      <c r="AE133" s="105">
        <v>17</v>
      </c>
      <c r="AF133" s="202">
        <v>1353.0612244897964</v>
      </c>
      <c r="AG133" s="202">
        <v>79.591836734693899</v>
      </c>
      <c r="AH133" s="105">
        <f t="shared" si="75"/>
        <v>6</v>
      </c>
      <c r="AI133" s="412"/>
      <c r="AJ133" s="105">
        <v>17</v>
      </c>
      <c r="AK133" s="202">
        <v>1369.5918367346944</v>
      </c>
      <c r="AL133" s="202">
        <v>80.564225690276146</v>
      </c>
      <c r="AM133" s="105">
        <f t="shared" si="76"/>
        <v>6</v>
      </c>
      <c r="AN133" s="412"/>
      <c r="AO133" s="105">
        <v>17</v>
      </c>
      <c r="AP133" s="202">
        <v>1321.0909090909099</v>
      </c>
      <c r="AQ133" s="202">
        <v>77.711229946524114</v>
      </c>
      <c r="AR133" s="105">
        <f t="shared" si="77"/>
        <v>9</v>
      </c>
      <c r="AS133" s="412"/>
      <c r="AT133" s="105">
        <v>17</v>
      </c>
      <c r="AU133" s="202">
        <v>1355.7798165137624</v>
      </c>
      <c r="AV133" s="202">
        <v>79.751753912574259</v>
      </c>
      <c r="AW133" s="105">
        <f t="shared" si="78"/>
        <v>8</v>
      </c>
      <c r="AX133" s="412"/>
    </row>
    <row r="134" spans="2:50">
      <c r="B134" s="398"/>
      <c r="C134" s="105">
        <v>23</v>
      </c>
      <c r="D134" s="228" t="s">
        <v>264</v>
      </c>
      <c r="E134" s="175">
        <v>18</v>
      </c>
      <c r="F134" s="105">
        <v>1636</v>
      </c>
      <c r="G134" s="202">
        <v>90.888888888888886</v>
      </c>
      <c r="H134" s="385"/>
      <c r="I134" s="175">
        <f t="shared" si="69"/>
        <v>16.571428571428573</v>
      </c>
      <c r="J134" s="175">
        <f t="shared" si="70"/>
        <v>1240.3016611731593</v>
      </c>
      <c r="K134" s="202">
        <f t="shared" si="71"/>
        <v>74.881557423280952</v>
      </c>
      <c r="L134" s="385"/>
      <c r="M134" s="175">
        <f>RANK(K134, K$112:$K$141)</f>
        <v>10</v>
      </c>
      <c r="N134" s="387"/>
      <c r="O134" s="387"/>
      <c r="P134" s="105">
        <v>18</v>
      </c>
      <c r="Q134" s="202">
        <v>1338.8888888888857</v>
      </c>
      <c r="R134" s="202">
        <v>74.382716049382537</v>
      </c>
      <c r="S134" s="105">
        <f t="shared" si="72"/>
        <v>13</v>
      </c>
      <c r="T134" s="412"/>
      <c r="U134" s="105">
        <v>16</v>
      </c>
      <c r="V134" s="202">
        <v>1285.5555555555602</v>
      </c>
      <c r="W134" s="202">
        <v>80.347222222222513</v>
      </c>
      <c r="X134" s="105">
        <f t="shared" si="73"/>
        <v>8</v>
      </c>
      <c r="Y134" s="412"/>
      <c r="Z134" s="105">
        <v>16</v>
      </c>
      <c r="AA134" s="202">
        <v>1283.773584905661</v>
      </c>
      <c r="AB134" s="202">
        <v>80.235849056603811</v>
      </c>
      <c r="AC134" s="105">
        <f t="shared" si="74"/>
        <v>5</v>
      </c>
      <c r="AD134" s="412"/>
      <c r="AE134" s="105">
        <v>17</v>
      </c>
      <c r="AF134" s="202">
        <v>1292.3999999999962</v>
      </c>
      <c r="AG134" s="202">
        <v>76.023529411764486</v>
      </c>
      <c r="AH134" s="105">
        <f t="shared" si="75"/>
        <v>9</v>
      </c>
      <c r="AI134" s="412"/>
      <c r="AJ134" s="105">
        <v>17</v>
      </c>
      <c r="AK134" s="202">
        <v>1199.9999999999982</v>
      </c>
      <c r="AL134" s="202">
        <v>70.588235294117538</v>
      </c>
      <c r="AM134" s="105">
        <f t="shared" si="76"/>
        <v>17</v>
      </c>
      <c r="AN134" s="412"/>
      <c r="AO134" s="105">
        <v>16</v>
      </c>
      <c r="AP134" s="202">
        <v>1294.736842105257</v>
      </c>
      <c r="AQ134" s="202">
        <v>80.921052631578561</v>
      </c>
      <c r="AR134" s="105">
        <f t="shared" si="77"/>
        <v>6</v>
      </c>
      <c r="AS134" s="412"/>
      <c r="AT134" s="105">
        <v>16</v>
      </c>
      <c r="AU134" s="202">
        <v>986.75675675675598</v>
      </c>
      <c r="AV134" s="202">
        <v>61.672297297297249</v>
      </c>
      <c r="AW134" s="105">
        <f t="shared" si="78"/>
        <v>22</v>
      </c>
      <c r="AX134" s="412"/>
    </row>
    <row r="135" spans="2:50">
      <c r="B135" s="398"/>
      <c r="C135" s="105">
        <v>24</v>
      </c>
      <c r="D135" s="228" t="s">
        <v>267</v>
      </c>
      <c r="E135" s="175">
        <v>18</v>
      </c>
      <c r="F135" s="105">
        <v>1440</v>
      </c>
      <c r="G135" s="202">
        <v>80</v>
      </c>
      <c r="H135" s="385"/>
      <c r="I135" s="175">
        <f t="shared" si="69"/>
        <v>18</v>
      </c>
      <c r="J135" s="175">
        <f t="shared" si="70"/>
        <v>1294.0522716134383</v>
      </c>
      <c r="K135" s="202">
        <f t="shared" si="71"/>
        <v>71.89179286741323</v>
      </c>
      <c r="L135" s="385"/>
      <c r="M135" s="175">
        <f>RANK(K135, K$112:$K$141)</f>
        <v>17</v>
      </c>
      <c r="N135" s="387"/>
      <c r="O135" s="387"/>
      <c r="P135" s="105">
        <v>18</v>
      </c>
      <c r="Q135" s="202">
        <v>1292.5301204819273</v>
      </c>
      <c r="R135" s="202">
        <v>71.80722891566262</v>
      </c>
      <c r="S135" s="105">
        <f t="shared" si="72"/>
        <v>16</v>
      </c>
      <c r="T135" s="412"/>
      <c r="U135" s="105">
        <v>18</v>
      </c>
      <c r="V135" s="202">
        <v>1289.6385542168671</v>
      </c>
      <c r="W135" s="202">
        <v>71.646586345381507</v>
      </c>
      <c r="X135" s="105">
        <f t="shared" si="73"/>
        <v>15</v>
      </c>
      <c r="Y135" s="412"/>
      <c r="Z135" s="105">
        <v>18</v>
      </c>
      <c r="AA135" s="202">
        <v>1270.6329113924069</v>
      </c>
      <c r="AB135" s="202">
        <v>70.590717299578159</v>
      </c>
      <c r="AC135" s="105">
        <f t="shared" si="74"/>
        <v>16</v>
      </c>
      <c r="AD135" s="412"/>
      <c r="AE135" s="105">
        <v>18</v>
      </c>
      <c r="AF135" s="202">
        <v>1289.6103896103889</v>
      </c>
      <c r="AG135" s="202">
        <v>71.6450216450216</v>
      </c>
      <c r="AH135" s="105">
        <f t="shared" si="75"/>
        <v>16</v>
      </c>
      <c r="AI135" s="412"/>
      <c r="AJ135" s="105">
        <v>18</v>
      </c>
      <c r="AK135" s="202">
        <v>1367.6923076923069</v>
      </c>
      <c r="AL135" s="202">
        <v>75.982905982905947</v>
      </c>
      <c r="AM135" s="105">
        <f t="shared" si="76"/>
        <v>10</v>
      </c>
      <c r="AN135" s="412"/>
      <c r="AO135" s="105">
        <v>18</v>
      </c>
      <c r="AP135" s="202">
        <v>1254.2857142857138</v>
      </c>
      <c r="AQ135" s="202">
        <v>69.682539682539655</v>
      </c>
      <c r="AR135" s="105">
        <f t="shared" si="77"/>
        <v>16</v>
      </c>
      <c r="AS135" s="412"/>
      <c r="AT135" s="105">
        <v>18</v>
      </c>
      <c r="AU135" s="202">
        <v>1293.9759036144574</v>
      </c>
      <c r="AV135" s="202">
        <v>71.88755020080319</v>
      </c>
      <c r="AW135" s="105">
        <f t="shared" si="78"/>
        <v>17</v>
      </c>
      <c r="AX135" s="412"/>
    </row>
    <row r="136" spans="2:50">
      <c r="B136" s="398"/>
      <c r="C136" s="105">
        <v>25</v>
      </c>
      <c r="D136" s="228" t="s">
        <v>281</v>
      </c>
      <c r="E136" s="175">
        <v>17</v>
      </c>
      <c r="F136" s="105">
        <v>1440</v>
      </c>
      <c r="G136" s="202">
        <v>84.705882352941174</v>
      </c>
      <c r="H136" s="385"/>
      <c r="I136" s="175">
        <f t="shared" si="69"/>
        <v>16.142857142857142</v>
      </c>
      <c r="J136" s="175">
        <f t="shared" si="70"/>
        <v>1118.7789115646315</v>
      </c>
      <c r="K136" s="202">
        <f t="shared" si="71"/>
        <v>69.38205907362979</v>
      </c>
      <c r="L136" s="385"/>
      <c r="M136" s="175">
        <f>RANK(K136, K$112:$K$141)</f>
        <v>18</v>
      </c>
      <c r="N136" s="387"/>
      <c r="O136" s="387"/>
      <c r="P136" s="105">
        <v>16</v>
      </c>
      <c r="Q136" s="202">
        <v>1223.3333333333485</v>
      </c>
      <c r="R136" s="202">
        <v>76.458333333334281</v>
      </c>
      <c r="S136" s="105">
        <f t="shared" si="72"/>
        <v>10</v>
      </c>
      <c r="T136" s="412"/>
      <c r="U136" s="105">
        <v>16</v>
      </c>
      <c r="V136" s="202">
        <v>1041.0000000000036</v>
      </c>
      <c r="W136" s="202">
        <v>65.062500000000227</v>
      </c>
      <c r="X136" s="105">
        <f t="shared" si="73"/>
        <v>22</v>
      </c>
      <c r="Y136" s="412"/>
      <c r="Z136" s="105">
        <v>17</v>
      </c>
      <c r="AA136" s="202">
        <v>1031.2500000000036</v>
      </c>
      <c r="AB136" s="202">
        <v>60.661764705882568</v>
      </c>
      <c r="AC136" s="105">
        <f t="shared" si="74"/>
        <v>22</v>
      </c>
      <c r="AD136" s="412"/>
      <c r="AE136" s="105">
        <v>16</v>
      </c>
      <c r="AF136" s="202">
        <v>1052.0000000000036</v>
      </c>
      <c r="AG136" s="202">
        <v>65.750000000000227</v>
      </c>
      <c r="AH136" s="105">
        <f t="shared" si="75"/>
        <v>22</v>
      </c>
      <c r="AI136" s="412"/>
      <c r="AJ136" s="105">
        <v>16</v>
      </c>
      <c r="AK136" s="202">
        <v>1106.2500000000039</v>
      </c>
      <c r="AL136" s="202">
        <v>69.140625000000242</v>
      </c>
      <c r="AM136" s="105">
        <f t="shared" si="76"/>
        <v>18</v>
      </c>
      <c r="AN136" s="412"/>
      <c r="AO136" s="105">
        <v>16</v>
      </c>
      <c r="AP136" s="202">
        <v>1083.3333333333374</v>
      </c>
      <c r="AQ136" s="202">
        <v>67.708333333333584</v>
      </c>
      <c r="AR136" s="105">
        <f t="shared" si="77"/>
        <v>19</v>
      </c>
      <c r="AS136" s="412"/>
      <c r="AT136" s="105">
        <v>16</v>
      </c>
      <c r="AU136" s="202">
        <v>1294.2857142857188</v>
      </c>
      <c r="AV136" s="202">
        <v>80.892857142857423</v>
      </c>
      <c r="AW136" s="105">
        <f t="shared" si="78"/>
        <v>7</v>
      </c>
      <c r="AX136" s="412"/>
    </row>
    <row r="137" spans="2:50">
      <c r="B137" s="398"/>
      <c r="C137" s="105">
        <v>26</v>
      </c>
      <c r="D137" s="228" t="s">
        <v>282</v>
      </c>
      <c r="E137" s="175">
        <v>17</v>
      </c>
      <c r="F137" s="105">
        <v>1500</v>
      </c>
      <c r="G137" s="202">
        <v>88.235294117647058</v>
      </c>
      <c r="H137" s="385"/>
      <c r="I137" s="175">
        <f t="shared" si="69"/>
        <v>18</v>
      </c>
      <c r="J137" s="175">
        <f t="shared" si="70"/>
        <v>1296.2570324304559</v>
      </c>
      <c r="K137" s="202">
        <f t="shared" si="71"/>
        <v>72.014279579469786</v>
      </c>
      <c r="L137" s="385"/>
      <c r="M137" s="175">
        <f>RANK(K137, K$112:$K$141)</f>
        <v>16</v>
      </c>
      <c r="N137" s="387"/>
      <c r="O137" s="387"/>
      <c r="P137" s="105">
        <v>18</v>
      </c>
      <c r="Q137" s="202">
        <v>1286.5486725663707</v>
      </c>
      <c r="R137" s="202">
        <v>71.474926253687258</v>
      </c>
      <c r="S137" s="105">
        <f t="shared" si="72"/>
        <v>17</v>
      </c>
      <c r="T137" s="412"/>
      <c r="U137" s="105">
        <v>18</v>
      </c>
      <c r="V137" s="202">
        <v>1309.1891891891901</v>
      </c>
      <c r="W137" s="202">
        <v>72.732732732732785</v>
      </c>
      <c r="X137" s="105">
        <f t="shared" si="73"/>
        <v>14</v>
      </c>
      <c r="Y137" s="412"/>
      <c r="Z137" s="105">
        <v>18</v>
      </c>
      <c r="AA137" s="202">
        <v>1296.9230769230776</v>
      </c>
      <c r="AB137" s="202">
        <v>72.051282051282087</v>
      </c>
      <c r="AC137" s="105">
        <f t="shared" si="74"/>
        <v>14</v>
      </c>
      <c r="AD137" s="412"/>
      <c r="AE137" s="105">
        <v>18</v>
      </c>
      <c r="AF137" s="202">
        <v>1271.5384615384623</v>
      </c>
      <c r="AG137" s="202">
        <v>70.641025641025692</v>
      </c>
      <c r="AH137" s="105">
        <f t="shared" si="75"/>
        <v>17</v>
      </c>
      <c r="AI137" s="412"/>
      <c r="AJ137" s="105">
        <v>18</v>
      </c>
      <c r="AK137" s="202">
        <v>1291.4285714285722</v>
      </c>
      <c r="AL137" s="202">
        <v>71.74603174603179</v>
      </c>
      <c r="AM137" s="105">
        <f t="shared" si="76"/>
        <v>16</v>
      </c>
      <c r="AN137" s="412"/>
      <c r="AO137" s="105">
        <v>18</v>
      </c>
      <c r="AP137" s="202">
        <v>1318.9189189189196</v>
      </c>
      <c r="AQ137" s="202">
        <v>73.273273273273318</v>
      </c>
      <c r="AR137" s="105">
        <f t="shared" si="77"/>
        <v>14</v>
      </c>
      <c r="AS137" s="412"/>
      <c r="AT137" s="105">
        <v>18</v>
      </c>
      <c r="AU137" s="202">
        <v>1299.252336448599</v>
      </c>
      <c r="AV137" s="202">
        <v>72.180685358255502</v>
      </c>
      <c r="AW137" s="105">
        <f t="shared" si="78"/>
        <v>16</v>
      </c>
      <c r="AX137" s="412"/>
    </row>
    <row r="138" spans="2:50">
      <c r="B138" s="398"/>
      <c r="C138" s="105">
        <v>27</v>
      </c>
      <c r="D138" s="228"/>
      <c r="E138" s="175"/>
      <c r="F138" s="105"/>
      <c r="G138" s="202"/>
      <c r="H138" s="385"/>
      <c r="I138" s="175"/>
      <c r="J138" s="175"/>
      <c r="K138" s="202"/>
      <c r="L138" s="385"/>
      <c r="M138" s="175" t="e">
        <f>RANK(K138, K$112:$K$141)</f>
        <v>#N/A</v>
      </c>
      <c r="N138" s="387"/>
      <c r="O138" s="387"/>
      <c r="P138" s="105"/>
      <c r="Q138" s="202"/>
      <c r="R138" s="202"/>
      <c r="S138" s="105" t="e">
        <f t="shared" si="72"/>
        <v>#N/A</v>
      </c>
      <c r="T138" s="412"/>
      <c r="U138" s="105"/>
      <c r="V138" s="202"/>
      <c r="W138" s="202"/>
      <c r="X138" s="105" t="e">
        <f t="shared" si="73"/>
        <v>#N/A</v>
      </c>
      <c r="Y138" s="412"/>
      <c r="Z138" s="105"/>
      <c r="AA138" s="202"/>
      <c r="AB138" s="202"/>
      <c r="AC138" s="105" t="e">
        <f t="shared" si="74"/>
        <v>#N/A</v>
      </c>
      <c r="AD138" s="412"/>
      <c r="AE138" s="105"/>
      <c r="AF138" s="202"/>
      <c r="AG138" s="202"/>
      <c r="AH138" s="105" t="e">
        <f t="shared" si="75"/>
        <v>#N/A</v>
      </c>
      <c r="AI138" s="412"/>
      <c r="AJ138" s="105"/>
      <c r="AK138" s="202"/>
      <c r="AL138" s="202"/>
      <c r="AM138" s="105" t="e">
        <f t="shared" si="76"/>
        <v>#N/A</v>
      </c>
      <c r="AN138" s="412"/>
      <c r="AO138" s="105"/>
      <c r="AP138" s="202"/>
      <c r="AQ138" s="202"/>
      <c r="AR138" s="105" t="e">
        <f t="shared" si="77"/>
        <v>#N/A</v>
      </c>
      <c r="AS138" s="412"/>
      <c r="AT138" s="105"/>
      <c r="AU138" s="202"/>
      <c r="AV138" s="202"/>
      <c r="AW138" s="105" t="e">
        <f t="shared" si="78"/>
        <v>#N/A</v>
      </c>
      <c r="AX138" s="412"/>
    </row>
    <row r="139" spans="2:50">
      <c r="B139" s="398"/>
      <c r="C139" s="105">
        <v>28</v>
      </c>
      <c r="D139" s="228"/>
      <c r="E139" s="175"/>
      <c r="F139" s="105"/>
      <c r="G139" s="202"/>
      <c r="H139" s="385"/>
      <c r="I139" s="175"/>
      <c r="J139" s="175"/>
      <c r="K139" s="202"/>
      <c r="L139" s="385"/>
      <c r="M139" s="175" t="e">
        <f>RANK(K139, K$112:$K$141)</f>
        <v>#N/A</v>
      </c>
      <c r="N139" s="387"/>
      <c r="O139" s="387"/>
      <c r="P139" s="105"/>
      <c r="Q139" s="202"/>
      <c r="R139" s="202"/>
      <c r="S139" s="105" t="e">
        <f t="shared" si="72"/>
        <v>#N/A</v>
      </c>
      <c r="T139" s="412"/>
      <c r="U139" s="105"/>
      <c r="V139" s="202"/>
      <c r="W139" s="202"/>
      <c r="X139" s="105" t="e">
        <f t="shared" si="73"/>
        <v>#N/A</v>
      </c>
      <c r="Y139" s="412"/>
      <c r="Z139" s="105"/>
      <c r="AA139" s="202"/>
      <c r="AB139" s="202"/>
      <c r="AC139" s="105" t="e">
        <f t="shared" si="74"/>
        <v>#N/A</v>
      </c>
      <c r="AD139" s="412"/>
      <c r="AE139" s="105"/>
      <c r="AF139" s="202"/>
      <c r="AG139" s="202"/>
      <c r="AH139" s="105" t="e">
        <f t="shared" si="75"/>
        <v>#N/A</v>
      </c>
      <c r="AI139" s="412"/>
      <c r="AJ139" s="105"/>
      <c r="AK139" s="202"/>
      <c r="AL139" s="202"/>
      <c r="AM139" s="105" t="e">
        <f t="shared" si="76"/>
        <v>#N/A</v>
      </c>
      <c r="AN139" s="412"/>
      <c r="AO139" s="105"/>
      <c r="AP139" s="202"/>
      <c r="AQ139" s="202"/>
      <c r="AR139" s="105" t="e">
        <f t="shared" si="77"/>
        <v>#N/A</v>
      </c>
      <c r="AS139" s="412"/>
      <c r="AT139" s="105"/>
      <c r="AU139" s="202"/>
      <c r="AV139" s="202"/>
      <c r="AW139" s="105" t="e">
        <f t="shared" si="78"/>
        <v>#N/A</v>
      </c>
      <c r="AX139" s="412"/>
    </row>
    <row r="140" spans="2:50">
      <c r="B140" s="398"/>
      <c r="C140" s="105">
        <v>29</v>
      </c>
      <c r="D140" s="228"/>
      <c r="E140" s="175"/>
      <c r="F140" s="105"/>
      <c r="G140" s="202"/>
      <c r="H140" s="385"/>
      <c r="I140" s="105"/>
      <c r="J140" s="105"/>
      <c r="K140" s="105"/>
      <c r="L140" s="385"/>
      <c r="M140" s="175" t="e">
        <f>RANK(K140, K$112:$K$141)</f>
        <v>#N/A</v>
      </c>
      <c r="N140" s="387"/>
      <c r="O140" s="387"/>
      <c r="P140" s="105"/>
      <c r="Q140" s="105"/>
      <c r="R140" s="105"/>
      <c r="S140" s="105" t="e">
        <f t="shared" si="72"/>
        <v>#N/A</v>
      </c>
      <c r="T140" s="412"/>
      <c r="U140" s="105"/>
      <c r="V140" s="105"/>
      <c r="W140" s="105"/>
      <c r="X140" s="105" t="e">
        <f t="shared" si="73"/>
        <v>#N/A</v>
      </c>
      <c r="Y140" s="412"/>
      <c r="Z140" s="105"/>
      <c r="AA140" s="105"/>
      <c r="AB140" s="105"/>
      <c r="AC140" s="105" t="e">
        <f t="shared" si="74"/>
        <v>#N/A</v>
      </c>
      <c r="AD140" s="412"/>
      <c r="AE140" s="105"/>
      <c r="AF140" s="105"/>
      <c r="AG140" s="105"/>
      <c r="AH140" s="105" t="e">
        <f t="shared" si="75"/>
        <v>#N/A</v>
      </c>
      <c r="AI140" s="412"/>
      <c r="AJ140" s="105"/>
      <c r="AK140" s="105"/>
      <c r="AL140" s="105"/>
      <c r="AM140" s="105" t="e">
        <f t="shared" si="76"/>
        <v>#N/A</v>
      </c>
      <c r="AN140" s="412"/>
      <c r="AO140" s="105"/>
      <c r="AP140" s="105"/>
      <c r="AQ140" s="105"/>
      <c r="AR140" s="105" t="e">
        <f t="shared" si="77"/>
        <v>#N/A</v>
      </c>
      <c r="AS140" s="412"/>
      <c r="AT140" s="105"/>
      <c r="AU140" s="105"/>
      <c r="AV140" s="105"/>
      <c r="AW140" s="105" t="e">
        <f t="shared" si="78"/>
        <v>#N/A</v>
      </c>
      <c r="AX140" s="412"/>
    </row>
    <row r="141" spans="2:50">
      <c r="B141" s="398"/>
      <c r="C141" s="105">
        <v>30</v>
      </c>
      <c r="D141" s="228"/>
      <c r="E141" s="175"/>
      <c r="F141" s="105"/>
      <c r="G141" s="202"/>
      <c r="H141" s="386"/>
      <c r="I141" s="105"/>
      <c r="J141" s="105"/>
      <c r="K141" s="105"/>
      <c r="L141" s="386"/>
      <c r="M141" s="175" t="e">
        <f>RANK(K141, K$112:$K$141)</f>
        <v>#N/A</v>
      </c>
      <c r="N141" s="387"/>
      <c r="O141" s="387"/>
      <c r="P141" s="105"/>
      <c r="Q141" s="105"/>
      <c r="R141" s="105"/>
      <c r="S141" s="105" t="e">
        <f t="shared" si="62"/>
        <v>#N/A</v>
      </c>
      <c r="T141" s="412"/>
      <c r="U141" s="105"/>
      <c r="V141" s="105"/>
      <c r="W141" s="105"/>
      <c r="X141" s="105" t="e">
        <f t="shared" si="63"/>
        <v>#N/A</v>
      </c>
      <c r="Y141" s="412"/>
      <c r="Z141" s="105"/>
      <c r="AA141" s="105"/>
      <c r="AB141" s="105"/>
      <c r="AC141" s="105" t="e">
        <f t="shared" si="64"/>
        <v>#N/A</v>
      </c>
      <c r="AD141" s="412"/>
      <c r="AE141" s="105"/>
      <c r="AF141" s="105"/>
      <c r="AG141" s="105"/>
      <c r="AH141" s="105" t="e">
        <f t="shared" si="65"/>
        <v>#N/A</v>
      </c>
      <c r="AI141" s="412"/>
      <c r="AJ141" s="105"/>
      <c r="AK141" s="105"/>
      <c r="AL141" s="105"/>
      <c r="AM141" s="105" t="e">
        <f t="shared" si="66"/>
        <v>#N/A</v>
      </c>
      <c r="AN141" s="412"/>
      <c r="AO141" s="105"/>
      <c r="AP141" s="105"/>
      <c r="AQ141" s="105"/>
      <c r="AR141" s="105" t="e">
        <f t="shared" si="67"/>
        <v>#N/A</v>
      </c>
      <c r="AS141" s="412"/>
      <c r="AT141" s="105"/>
      <c r="AU141" s="105"/>
      <c r="AV141" s="105"/>
      <c r="AW141" s="105" t="e">
        <f t="shared" si="68"/>
        <v>#N/A</v>
      </c>
      <c r="AX141" s="412"/>
    </row>
    <row r="142" spans="2:50" ht="15.75">
      <c r="B142" s="405" t="s">
        <v>195</v>
      </c>
      <c r="C142" s="406"/>
      <c r="D142" s="406"/>
      <c r="E142" s="406"/>
      <c r="F142" s="406"/>
      <c r="G142" s="406"/>
      <c r="H142" s="406"/>
      <c r="I142" s="205"/>
      <c r="J142" s="205"/>
      <c r="K142" s="205"/>
      <c r="L142" s="205"/>
      <c r="M142" s="204"/>
      <c r="N142" s="399" t="s">
        <v>196</v>
      </c>
      <c r="O142" s="399" t="s">
        <v>145</v>
      </c>
      <c r="P142" s="397">
        <f>P107+7</f>
        <v>45895</v>
      </c>
      <c r="Q142" s="398"/>
      <c r="R142" s="398"/>
      <c r="S142" s="398"/>
      <c r="T142" s="398"/>
      <c r="U142" s="394">
        <f>P142+1</f>
        <v>45896</v>
      </c>
      <c r="V142" s="395"/>
      <c r="W142" s="395"/>
      <c r="X142" s="395"/>
      <c r="Y142" s="396"/>
      <c r="Z142" s="394">
        <f>U142+1</f>
        <v>45897</v>
      </c>
      <c r="AA142" s="395"/>
      <c r="AB142" s="395"/>
      <c r="AC142" s="395"/>
      <c r="AD142" s="396"/>
      <c r="AE142" s="394">
        <f t="shared" ref="AE142" si="79">Z142+1</f>
        <v>45898</v>
      </c>
      <c r="AF142" s="395"/>
      <c r="AG142" s="395"/>
      <c r="AH142" s="395"/>
      <c r="AI142" s="396"/>
      <c r="AJ142" s="394">
        <f t="shared" ref="AJ142" si="80">AE142+1</f>
        <v>45899</v>
      </c>
      <c r="AK142" s="395"/>
      <c r="AL142" s="395"/>
      <c r="AM142" s="395"/>
      <c r="AN142" s="396"/>
      <c r="AO142" s="394">
        <f t="shared" ref="AO142" si="81">AJ142+1</f>
        <v>45900</v>
      </c>
      <c r="AP142" s="395"/>
      <c r="AQ142" s="395"/>
      <c r="AR142" s="395"/>
      <c r="AS142" s="396"/>
      <c r="AT142" s="394">
        <f t="shared" ref="AT142" si="82">AO142+1</f>
        <v>45901</v>
      </c>
      <c r="AU142" s="395"/>
      <c r="AV142" s="395"/>
      <c r="AW142" s="395"/>
      <c r="AX142" s="396"/>
    </row>
    <row r="143" spans="2:50" ht="15.75">
      <c r="B143" s="407"/>
      <c r="C143" s="407"/>
      <c r="D143" s="407"/>
      <c r="E143" s="407"/>
      <c r="F143" s="407"/>
      <c r="G143" s="407"/>
      <c r="H143" s="407"/>
      <c r="I143" s="172"/>
      <c r="J143" s="172"/>
      <c r="K143" s="172"/>
      <c r="L143" s="172"/>
      <c r="M143" s="173"/>
      <c r="N143" s="401"/>
      <c r="O143" s="401"/>
      <c r="P143" s="397" t="s">
        <v>159</v>
      </c>
      <c r="Q143" s="398"/>
      <c r="R143" s="398"/>
      <c r="S143" s="398"/>
      <c r="T143" s="398"/>
      <c r="U143" s="397" t="s">
        <v>160</v>
      </c>
      <c r="V143" s="398"/>
      <c r="W143" s="398"/>
      <c r="X143" s="398"/>
      <c r="Y143" s="398"/>
      <c r="Z143" s="397" t="s">
        <v>161</v>
      </c>
      <c r="AA143" s="398"/>
      <c r="AB143" s="398"/>
      <c r="AC143" s="398"/>
      <c r="AD143" s="398"/>
      <c r="AE143" s="397" t="s">
        <v>156</v>
      </c>
      <c r="AF143" s="398"/>
      <c r="AG143" s="398"/>
      <c r="AH143" s="398"/>
      <c r="AI143" s="398"/>
      <c r="AJ143" s="397" t="s">
        <v>157</v>
      </c>
      <c r="AK143" s="398"/>
      <c r="AL143" s="398"/>
      <c r="AM143" s="398"/>
      <c r="AN143" s="398"/>
      <c r="AO143" s="397" t="s">
        <v>152</v>
      </c>
      <c r="AP143" s="398"/>
      <c r="AQ143" s="398"/>
      <c r="AR143" s="398"/>
      <c r="AS143" s="398"/>
      <c r="AT143" s="397" t="s">
        <v>158</v>
      </c>
      <c r="AU143" s="398"/>
      <c r="AV143" s="398"/>
      <c r="AW143" s="398"/>
      <c r="AX143" s="398"/>
    </row>
    <row r="144" spans="2:50">
      <c r="B144" s="387" t="s">
        <v>197</v>
      </c>
      <c r="C144" s="387" t="s">
        <v>198</v>
      </c>
      <c r="D144" s="387"/>
      <c r="E144" s="387" t="s">
        <v>199</v>
      </c>
      <c r="F144" s="387"/>
      <c r="G144" s="387"/>
      <c r="H144" s="388" t="s">
        <v>200</v>
      </c>
      <c r="I144" s="387" t="s">
        <v>201</v>
      </c>
      <c r="J144" s="387"/>
      <c r="K144" s="387"/>
      <c r="L144" s="388" t="s">
        <v>200</v>
      </c>
      <c r="M144" s="399" t="s">
        <v>202</v>
      </c>
      <c r="N144" s="387"/>
      <c r="O144" s="387" t="s">
        <v>203</v>
      </c>
      <c r="P144" s="391" t="s">
        <v>204</v>
      </c>
      <c r="Q144" s="392"/>
      <c r="R144" s="392"/>
      <c r="S144" s="393"/>
      <c r="T144" s="387" t="s">
        <v>200</v>
      </c>
      <c r="U144" s="391" t="s">
        <v>204</v>
      </c>
      <c r="V144" s="392"/>
      <c r="W144" s="392"/>
      <c r="X144" s="393"/>
      <c r="Y144" s="387" t="s">
        <v>200</v>
      </c>
      <c r="Z144" s="391" t="s">
        <v>204</v>
      </c>
      <c r="AA144" s="392"/>
      <c r="AB144" s="392"/>
      <c r="AC144" s="393"/>
      <c r="AD144" s="387" t="s">
        <v>200</v>
      </c>
      <c r="AE144" s="391" t="s">
        <v>204</v>
      </c>
      <c r="AF144" s="392"/>
      <c r="AG144" s="392"/>
      <c r="AH144" s="393"/>
      <c r="AI144" s="387" t="s">
        <v>200</v>
      </c>
      <c r="AJ144" s="391" t="s">
        <v>204</v>
      </c>
      <c r="AK144" s="392"/>
      <c r="AL144" s="392"/>
      <c r="AM144" s="393"/>
      <c r="AN144" s="387" t="s">
        <v>200</v>
      </c>
      <c r="AO144" s="391" t="s">
        <v>204</v>
      </c>
      <c r="AP144" s="392"/>
      <c r="AQ144" s="392"/>
      <c r="AR144" s="393"/>
      <c r="AS144" s="387" t="s">
        <v>200</v>
      </c>
      <c r="AT144" s="391" t="s">
        <v>204</v>
      </c>
      <c r="AU144" s="392"/>
      <c r="AV144" s="392"/>
      <c r="AW144" s="393"/>
      <c r="AX144" s="387" t="s">
        <v>200</v>
      </c>
    </row>
    <row r="145" spans="2:50">
      <c r="B145" s="387"/>
      <c r="C145" s="387"/>
      <c r="D145" s="387"/>
      <c r="E145" s="387" t="s">
        <v>205</v>
      </c>
      <c r="F145" s="387"/>
      <c r="G145" s="387"/>
      <c r="H145" s="389"/>
      <c r="I145" s="387" t="s">
        <v>205</v>
      </c>
      <c r="J145" s="387"/>
      <c r="K145" s="387"/>
      <c r="L145" s="389"/>
      <c r="M145" s="400"/>
      <c r="N145" s="387"/>
      <c r="O145" s="387"/>
      <c r="P145" s="391" t="s">
        <v>206</v>
      </c>
      <c r="Q145" s="392"/>
      <c r="R145" s="392"/>
      <c r="S145" s="393"/>
      <c r="T145" s="387"/>
      <c r="U145" s="391" t="s">
        <v>206</v>
      </c>
      <c r="V145" s="392"/>
      <c r="W145" s="392"/>
      <c r="X145" s="393"/>
      <c r="Y145" s="387"/>
      <c r="Z145" s="391" t="s">
        <v>206</v>
      </c>
      <c r="AA145" s="392"/>
      <c r="AB145" s="392"/>
      <c r="AC145" s="393"/>
      <c r="AD145" s="387"/>
      <c r="AE145" s="391" t="s">
        <v>206</v>
      </c>
      <c r="AF145" s="392"/>
      <c r="AG145" s="392"/>
      <c r="AH145" s="393"/>
      <c r="AI145" s="387"/>
      <c r="AJ145" s="391" t="s">
        <v>206</v>
      </c>
      <c r="AK145" s="392"/>
      <c r="AL145" s="392"/>
      <c r="AM145" s="393"/>
      <c r="AN145" s="387"/>
      <c r="AO145" s="391" t="s">
        <v>206</v>
      </c>
      <c r="AP145" s="392"/>
      <c r="AQ145" s="392"/>
      <c r="AR145" s="393"/>
      <c r="AS145" s="387"/>
      <c r="AT145" s="391" t="s">
        <v>206</v>
      </c>
      <c r="AU145" s="392"/>
      <c r="AV145" s="392"/>
      <c r="AW145" s="393"/>
      <c r="AX145" s="387"/>
    </row>
    <row r="146" spans="2:50">
      <c r="B146" s="387"/>
      <c r="C146" s="387"/>
      <c r="D146" s="387"/>
      <c r="E146" s="104" t="s">
        <v>207</v>
      </c>
      <c r="F146" s="104" t="s">
        <v>208</v>
      </c>
      <c r="G146" s="104" t="s">
        <v>209</v>
      </c>
      <c r="H146" s="390"/>
      <c r="I146" s="104" t="s">
        <v>207</v>
      </c>
      <c r="J146" s="104" t="s">
        <v>208</v>
      </c>
      <c r="K146" s="104" t="s">
        <v>209</v>
      </c>
      <c r="L146" s="390"/>
      <c r="M146" s="401"/>
      <c r="N146" s="387"/>
      <c r="O146" s="387"/>
      <c r="P146" s="104" t="s">
        <v>207</v>
      </c>
      <c r="Q146" s="104" t="s">
        <v>208</v>
      </c>
      <c r="R146" s="104" t="s">
        <v>209</v>
      </c>
      <c r="S146" s="104" t="s">
        <v>202</v>
      </c>
      <c r="T146" s="387"/>
      <c r="U146" s="104" t="s">
        <v>207</v>
      </c>
      <c r="V146" s="104" t="s">
        <v>208</v>
      </c>
      <c r="W146" s="104" t="s">
        <v>209</v>
      </c>
      <c r="X146" s="104" t="s">
        <v>202</v>
      </c>
      <c r="Y146" s="387"/>
      <c r="Z146" s="104" t="s">
        <v>207</v>
      </c>
      <c r="AA146" s="104" t="s">
        <v>208</v>
      </c>
      <c r="AB146" s="104" t="s">
        <v>209</v>
      </c>
      <c r="AC146" s="104" t="s">
        <v>202</v>
      </c>
      <c r="AD146" s="387"/>
      <c r="AE146" s="104" t="s">
        <v>207</v>
      </c>
      <c r="AF146" s="104" t="s">
        <v>208</v>
      </c>
      <c r="AG146" s="104" t="s">
        <v>209</v>
      </c>
      <c r="AH146" s="104" t="s">
        <v>202</v>
      </c>
      <c r="AI146" s="387"/>
      <c r="AJ146" s="104" t="s">
        <v>207</v>
      </c>
      <c r="AK146" s="104" t="s">
        <v>208</v>
      </c>
      <c r="AL146" s="104" t="s">
        <v>209</v>
      </c>
      <c r="AM146" s="104" t="s">
        <v>202</v>
      </c>
      <c r="AN146" s="387"/>
      <c r="AO146" s="104" t="s">
        <v>207</v>
      </c>
      <c r="AP146" s="104" t="s">
        <v>208</v>
      </c>
      <c r="AQ146" s="104" t="s">
        <v>209</v>
      </c>
      <c r="AR146" s="104" t="s">
        <v>202</v>
      </c>
      <c r="AS146" s="387"/>
      <c r="AT146" s="104" t="s">
        <v>207</v>
      </c>
      <c r="AU146" s="104" t="s">
        <v>208</v>
      </c>
      <c r="AV146" s="104" t="s">
        <v>209</v>
      </c>
      <c r="AW146" s="104" t="s">
        <v>202</v>
      </c>
      <c r="AX146" s="387"/>
    </row>
    <row r="147" spans="2:50">
      <c r="B147" s="387" t="s">
        <v>180</v>
      </c>
      <c r="C147" s="105">
        <v>1</v>
      </c>
      <c r="D147" s="228" t="s">
        <v>258</v>
      </c>
      <c r="E147" s="175">
        <v>5</v>
      </c>
      <c r="F147" s="105">
        <v>1600</v>
      </c>
      <c r="G147" s="202">
        <v>320</v>
      </c>
      <c r="H147" s="384">
        <f>AVERAGE(G147:G176)</f>
        <v>107.90934702462853</v>
      </c>
      <c r="I147" s="175">
        <f>AVERAGE(P147,U147,Z147,AE147,AJ147,AO147,AT147)</f>
        <v>5</v>
      </c>
      <c r="J147" s="175">
        <f>AVERAGE(Q147,V147,AA147,AF147,AK147,AP147,AU147)</f>
        <v>1073.3333333333371</v>
      </c>
      <c r="K147" s="202">
        <f>AVERAGE(R147,W147,AB147,AG147,AL147,AQ147,AV147)</f>
        <v>214.66666666666742</v>
      </c>
      <c r="L147" s="384">
        <f>IFERROR(AVERAGE(K147:K176),"-")</f>
        <v>93.011820005420134</v>
      </c>
      <c r="M147" s="203">
        <f>RANK(K147, K$147:$K$176)</f>
        <v>2</v>
      </c>
      <c r="N147" s="387"/>
      <c r="O147" s="387"/>
      <c r="P147" s="175">
        <v>5</v>
      </c>
      <c r="Q147" s="175">
        <v>1110.0000000000039</v>
      </c>
      <c r="R147" s="175">
        <v>222.00000000000077</v>
      </c>
      <c r="S147" s="105">
        <f>RANK(R147, R$147:R$176)</f>
        <v>2</v>
      </c>
      <c r="T147" s="412">
        <f>AVERAGE(R147:R176)</f>
        <v>93.636738054215172</v>
      </c>
      <c r="U147" s="175">
        <v>5</v>
      </c>
      <c r="V147" s="175">
        <v>940.00000000000341</v>
      </c>
      <c r="W147" s="175">
        <v>188.00000000000068</v>
      </c>
      <c r="X147" s="105">
        <f>RANK(W147, W$147:W$176)</f>
        <v>3</v>
      </c>
      <c r="Y147" s="412">
        <f>AVERAGE(W147:W176)</f>
        <v>93.240677049932771</v>
      </c>
      <c r="Z147" s="175">
        <v>5</v>
      </c>
      <c r="AA147" s="175">
        <v>940.00000000000341</v>
      </c>
      <c r="AB147" s="175">
        <v>188.00000000000068</v>
      </c>
      <c r="AC147" s="105">
        <f>RANK(AB147, AB$147:AB$176)</f>
        <v>2</v>
      </c>
      <c r="AD147" s="412">
        <f>AVERAGE(AB147:AB176)</f>
        <v>92.444808534687894</v>
      </c>
      <c r="AE147" s="175">
        <v>5</v>
      </c>
      <c r="AF147" s="175">
        <v>1140.0000000000041</v>
      </c>
      <c r="AG147" s="175">
        <v>228.00000000000082</v>
      </c>
      <c r="AH147" s="105">
        <f>RANK(AG147, AG$147:AG$176)</f>
        <v>2</v>
      </c>
      <c r="AI147" s="412">
        <f>AVERAGE(AG147:AG176)</f>
        <v>95.190334825110369</v>
      </c>
      <c r="AJ147" s="175">
        <v>5</v>
      </c>
      <c r="AK147" s="175">
        <v>1200.0000000000043</v>
      </c>
      <c r="AL147" s="175">
        <v>240.00000000000085</v>
      </c>
      <c r="AM147" s="105">
        <f>RANK(AL147, AL$147:AL$176)</f>
        <v>2</v>
      </c>
      <c r="AN147" s="412">
        <f>AVERAGE(AL147:AL176)</f>
        <v>95.169468727304334</v>
      </c>
      <c r="AO147" s="175">
        <v>5</v>
      </c>
      <c r="AP147" s="175">
        <v>1110.0000000000039</v>
      </c>
      <c r="AQ147" s="175">
        <v>222.00000000000077</v>
      </c>
      <c r="AR147" s="105">
        <f>RANK(AQ147, AQ$147:AQ$176)</f>
        <v>2</v>
      </c>
      <c r="AS147" s="412">
        <f>AVERAGE(AQ147:AQ176)</f>
        <v>93.97798042884385</v>
      </c>
      <c r="AT147" s="105"/>
      <c r="AU147" s="202"/>
      <c r="AV147" s="202"/>
      <c r="AW147" s="105" t="e">
        <f>RANK(AV147, AV$147:AV$176)</f>
        <v>#N/A</v>
      </c>
      <c r="AX147" s="412" t="e">
        <f>AVERAGE(AV147:AV176)</f>
        <v>#DIV/0!</v>
      </c>
    </row>
    <row r="148" spans="2:50">
      <c r="B148" s="398"/>
      <c r="C148" s="105">
        <v>2</v>
      </c>
      <c r="D148" s="228" t="s">
        <v>259</v>
      </c>
      <c r="E148" s="175">
        <v>5</v>
      </c>
      <c r="F148" s="105">
        <v>1600</v>
      </c>
      <c r="G148" s="202">
        <v>320</v>
      </c>
      <c r="H148" s="385"/>
      <c r="I148" s="175">
        <f t="shared" ref="I148:I170" si="83">AVERAGE(P148,U148,Z148,AE148,AJ148,AO148,AT148)</f>
        <v>5</v>
      </c>
      <c r="J148" s="175">
        <f t="shared" ref="J148:J170" si="84">AVERAGE(Q148,V148,AA148,AF148,AK148,AP148,AU148)</f>
        <v>1530.7450113072689</v>
      </c>
      <c r="K148" s="202">
        <f t="shared" ref="K148:K170" si="85">AVERAGE(R148,W148,AB148,AG148,AL148,AQ148,AV148)</f>
        <v>306.14900226145375</v>
      </c>
      <c r="L148" s="385"/>
      <c r="M148" s="203">
        <f>RANK(K148, K$147:$K$176)</f>
        <v>1</v>
      </c>
      <c r="N148" s="387"/>
      <c r="O148" s="387"/>
      <c r="P148" s="175">
        <v>5</v>
      </c>
      <c r="Q148" s="175">
        <v>1485.4160583941605</v>
      </c>
      <c r="R148" s="175">
        <v>297.08321167883207</v>
      </c>
      <c r="S148" s="105">
        <f t="shared" ref="S148:S176" si="86">RANK(R148, R$147:R$176)</f>
        <v>1</v>
      </c>
      <c r="T148" s="412"/>
      <c r="U148" s="175">
        <v>5</v>
      </c>
      <c r="V148" s="175">
        <v>1524.2255639097743</v>
      </c>
      <c r="W148" s="175">
        <v>304.84511278195487</v>
      </c>
      <c r="X148" s="105">
        <f t="shared" ref="X148:X176" si="87">RANK(W148, W$147:W$176)</f>
        <v>1</v>
      </c>
      <c r="Y148" s="412"/>
      <c r="Z148" s="175">
        <v>5</v>
      </c>
      <c r="AA148" s="175">
        <v>1520.6144486692017</v>
      </c>
      <c r="AB148" s="175">
        <v>304.12288973384034</v>
      </c>
      <c r="AC148" s="105">
        <f t="shared" ref="AC148:AC176" si="88">RANK(AB148, AB$147:AB$176)</f>
        <v>1</v>
      </c>
      <c r="AD148" s="412"/>
      <c r="AE148" s="175">
        <v>5</v>
      </c>
      <c r="AF148" s="175">
        <v>1556.1639344262296</v>
      </c>
      <c r="AG148" s="175">
        <v>311.2327868852459</v>
      </c>
      <c r="AH148" s="105">
        <f t="shared" ref="AH148:AH176" si="89">RANK(AG148, AG$147:AG$176)</f>
        <v>1</v>
      </c>
      <c r="AI148" s="412"/>
      <c r="AJ148" s="175">
        <v>5</v>
      </c>
      <c r="AK148" s="175">
        <v>1545.0568421052631</v>
      </c>
      <c r="AL148" s="175">
        <v>309.01136842105262</v>
      </c>
      <c r="AM148" s="105">
        <f t="shared" ref="AM148:AM176" si="90">RANK(AL148, AL$147:AL$176)</f>
        <v>1</v>
      </c>
      <c r="AN148" s="412"/>
      <c r="AO148" s="175">
        <v>5</v>
      </c>
      <c r="AP148" s="175">
        <v>1552.9932203389833</v>
      </c>
      <c r="AQ148" s="175">
        <v>310.59864406779667</v>
      </c>
      <c r="AR148" s="105">
        <f t="shared" ref="AR148:AR176" si="91">RANK(AQ148, AQ$147:AQ$176)</f>
        <v>1</v>
      </c>
      <c r="AS148" s="412"/>
      <c r="AT148" s="105"/>
      <c r="AU148" s="202"/>
      <c r="AV148" s="202"/>
      <c r="AW148" s="105" t="e">
        <f t="shared" ref="AW148:AW176" si="92">RANK(AV148, AV$147:AV$176)</f>
        <v>#N/A</v>
      </c>
      <c r="AX148" s="412"/>
    </row>
    <row r="149" spans="2:50">
      <c r="B149" s="398"/>
      <c r="C149" s="105">
        <v>3</v>
      </c>
      <c r="D149" s="228" t="s">
        <v>283</v>
      </c>
      <c r="E149" s="175">
        <v>8</v>
      </c>
      <c r="F149" s="105">
        <v>1500</v>
      </c>
      <c r="G149" s="202">
        <v>187.5</v>
      </c>
      <c r="H149" s="385"/>
      <c r="I149" s="175">
        <f t="shared" si="83"/>
        <v>8</v>
      </c>
      <c r="J149" s="175">
        <f t="shared" si="84"/>
        <v>1488.0687538756411</v>
      </c>
      <c r="K149" s="202">
        <f t="shared" si="85"/>
        <v>186.00859423445513</v>
      </c>
      <c r="L149" s="385"/>
      <c r="M149" s="203">
        <f>RANK(K149, K$147:$K$176)</f>
        <v>3</v>
      </c>
      <c r="N149" s="387"/>
      <c r="O149" s="387"/>
      <c r="P149" s="175">
        <v>8</v>
      </c>
      <c r="Q149" s="175">
        <v>1514.6938775510203</v>
      </c>
      <c r="R149" s="175">
        <v>189.33673469387753</v>
      </c>
      <c r="S149" s="105">
        <f t="shared" si="86"/>
        <v>3</v>
      </c>
      <c r="T149" s="412"/>
      <c r="U149" s="175">
        <v>8</v>
      </c>
      <c r="V149" s="175">
        <v>1506.80412371134</v>
      </c>
      <c r="W149" s="175">
        <v>188.3505154639175</v>
      </c>
      <c r="X149" s="105">
        <f t="shared" si="87"/>
        <v>2</v>
      </c>
      <c r="Y149" s="412"/>
      <c r="Z149" s="175">
        <v>8</v>
      </c>
      <c r="AA149" s="175">
        <v>1475.5102040816325</v>
      </c>
      <c r="AB149" s="175">
        <v>184.43877551020407</v>
      </c>
      <c r="AC149" s="105">
        <f t="shared" si="88"/>
        <v>3</v>
      </c>
      <c r="AD149" s="412"/>
      <c r="AE149" s="175">
        <v>8</v>
      </c>
      <c r="AF149" s="175">
        <v>1490.2173913043478</v>
      </c>
      <c r="AG149" s="175">
        <v>186.27717391304347</v>
      </c>
      <c r="AH149" s="105">
        <f t="shared" si="89"/>
        <v>3</v>
      </c>
      <c r="AI149" s="412"/>
      <c r="AJ149" s="175">
        <v>8</v>
      </c>
      <c r="AK149" s="175">
        <v>1486.8749999999998</v>
      </c>
      <c r="AL149" s="175">
        <v>185.85937499999997</v>
      </c>
      <c r="AM149" s="105">
        <f t="shared" si="90"/>
        <v>3</v>
      </c>
      <c r="AN149" s="412"/>
      <c r="AO149" s="175">
        <v>8</v>
      </c>
      <c r="AP149" s="175">
        <v>1454.3119266055051</v>
      </c>
      <c r="AQ149" s="175">
        <v>181.78899082568813</v>
      </c>
      <c r="AR149" s="105">
        <f t="shared" si="91"/>
        <v>3</v>
      </c>
      <c r="AS149" s="412"/>
      <c r="AT149" s="105"/>
      <c r="AU149" s="202"/>
      <c r="AV149" s="202"/>
      <c r="AW149" s="105" t="e">
        <f t="shared" si="92"/>
        <v>#N/A</v>
      </c>
      <c r="AX149" s="412"/>
    </row>
    <row r="150" spans="2:50">
      <c r="B150" s="398"/>
      <c r="C150" s="105">
        <v>4</v>
      </c>
      <c r="D150" s="228" t="s">
        <v>262</v>
      </c>
      <c r="E150" s="175">
        <v>18</v>
      </c>
      <c r="F150" s="105">
        <v>1440</v>
      </c>
      <c r="G150" s="202">
        <v>80</v>
      </c>
      <c r="H150" s="385"/>
      <c r="I150" s="175">
        <f t="shared" si="83"/>
        <v>17</v>
      </c>
      <c r="J150" s="175">
        <f t="shared" si="84"/>
        <v>1288.6828909075691</v>
      </c>
      <c r="K150" s="202">
        <f t="shared" si="85"/>
        <v>75.804875935739361</v>
      </c>
      <c r="L150" s="385"/>
      <c r="M150" s="203">
        <f>RANK(K150, K$147:$K$176)</f>
        <v>12</v>
      </c>
      <c r="N150" s="387"/>
      <c r="O150" s="387"/>
      <c r="P150" s="175">
        <v>17</v>
      </c>
      <c r="Q150" s="175">
        <v>1308.2242990654204</v>
      </c>
      <c r="R150" s="175">
        <v>76.954370533260018</v>
      </c>
      <c r="S150" s="105">
        <f t="shared" si="86"/>
        <v>13</v>
      </c>
      <c r="T150" s="412"/>
      <c r="U150" s="175">
        <v>17</v>
      </c>
      <c r="V150" s="175">
        <v>1309.1428571428567</v>
      </c>
      <c r="W150" s="175">
        <v>77.008403361344506</v>
      </c>
      <c r="X150" s="105">
        <f t="shared" si="87"/>
        <v>11</v>
      </c>
      <c r="Y150" s="412"/>
      <c r="Z150" s="175">
        <v>17</v>
      </c>
      <c r="AA150" s="175">
        <v>1293.7500000000005</v>
      </c>
      <c r="AB150" s="175">
        <v>76.102941176470608</v>
      </c>
      <c r="AC150" s="105">
        <f t="shared" si="88"/>
        <v>10</v>
      </c>
      <c r="AD150" s="412"/>
      <c r="AE150" s="175">
        <v>17</v>
      </c>
      <c r="AF150" s="175">
        <v>1284.2696629213483</v>
      </c>
      <c r="AG150" s="175">
        <v>75.545274289491076</v>
      </c>
      <c r="AH150" s="105">
        <f t="shared" si="89"/>
        <v>13</v>
      </c>
      <c r="AI150" s="412"/>
      <c r="AJ150" s="175">
        <v>17</v>
      </c>
      <c r="AK150" s="175">
        <v>1262.5000000000002</v>
      </c>
      <c r="AL150" s="175">
        <v>74.264705882352956</v>
      </c>
      <c r="AM150" s="105">
        <f t="shared" si="90"/>
        <v>14</v>
      </c>
      <c r="AN150" s="412"/>
      <c r="AO150" s="175">
        <v>17</v>
      </c>
      <c r="AP150" s="175">
        <v>1274.2105263157894</v>
      </c>
      <c r="AQ150" s="175">
        <v>74.953560371517028</v>
      </c>
      <c r="AR150" s="105">
        <f t="shared" si="91"/>
        <v>11</v>
      </c>
      <c r="AS150" s="412"/>
      <c r="AT150" s="105"/>
      <c r="AU150" s="202"/>
      <c r="AV150" s="202"/>
      <c r="AW150" s="105" t="e">
        <f t="shared" si="92"/>
        <v>#N/A</v>
      </c>
      <c r="AX150" s="412"/>
    </row>
    <row r="151" spans="2:50">
      <c r="B151" s="398"/>
      <c r="C151" s="105">
        <v>5</v>
      </c>
      <c r="D151" s="228" t="s">
        <v>261</v>
      </c>
      <c r="E151" s="175">
        <v>21</v>
      </c>
      <c r="F151" s="105">
        <v>1440</v>
      </c>
      <c r="G151" s="202">
        <v>68.571428571428569</v>
      </c>
      <c r="H151" s="385"/>
      <c r="I151" s="175">
        <f t="shared" si="83"/>
        <v>20</v>
      </c>
      <c r="J151" s="175">
        <f t="shared" si="84"/>
        <v>1099.1755987107979</v>
      </c>
      <c r="K151" s="202">
        <f t="shared" si="85"/>
        <v>54.958779935539894</v>
      </c>
      <c r="L151" s="385"/>
      <c r="M151" s="203">
        <f>RANK(K151, K$147:$K$176)</f>
        <v>24</v>
      </c>
      <c r="N151" s="387"/>
      <c r="O151" s="387"/>
      <c r="P151" s="175">
        <v>20</v>
      </c>
      <c r="Q151" s="175">
        <v>1107.7935483870976</v>
      </c>
      <c r="R151" s="175">
        <v>55.389677419354882</v>
      </c>
      <c r="S151" s="105">
        <f t="shared" si="86"/>
        <v>24</v>
      </c>
      <c r="T151" s="412"/>
      <c r="U151" s="175">
        <v>20</v>
      </c>
      <c r="V151" s="175">
        <v>1094.1666666666658</v>
      </c>
      <c r="W151" s="175">
        <v>54.708333333333293</v>
      </c>
      <c r="X151" s="105">
        <f t="shared" si="87"/>
        <v>22</v>
      </c>
      <c r="Y151" s="412"/>
      <c r="Z151" s="175">
        <v>20</v>
      </c>
      <c r="AA151" s="175">
        <v>1110.9090909090919</v>
      </c>
      <c r="AB151" s="175">
        <v>55.545454545454596</v>
      </c>
      <c r="AC151" s="105">
        <f t="shared" si="88"/>
        <v>23</v>
      </c>
      <c r="AD151" s="412"/>
      <c r="AE151" s="175">
        <v>20</v>
      </c>
      <c r="AF151" s="175">
        <v>1112.7272727272739</v>
      </c>
      <c r="AG151" s="175">
        <v>55.636363636363697</v>
      </c>
      <c r="AH151" s="105">
        <f t="shared" si="89"/>
        <v>22</v>
      </c>
      <c r="AI151" s="412"/>
      <c r="AJ151" s="175">
        <v>20</v>
      </c>
      <c r="AK151" s="175">
        <v>1081.7647058823516</v>
      </c>
      <c r="AL151" s="175">
        <v>54.088235294117581</v>
      </c>
      <c r="AM151" s="105">
        <f t="shared" si="90"/>
        <v>23</v>
      </c>
      <c r="AN151" s="412"/>
      <c r="AO151" s="175">
        <v>20</v>
      </c>
      <c r="AP151" s="175">
        <v>1087.6923076923069</v>
      </c>
      <c r="AQ151" s="175">
        <v>54.384615384615344</v>
      </c>
      <c r="AR151" s="105">
        <f t="shared" si="91"/>
        <v>23</v>
      </c>
      <c r="AS151" s="412"/>
      <c r="AT151" s="105"/>
      <c r="AU151" s="202"/>
      <c r="AV151" s="202"/>
      <c r="AW151" s="105" t="e">
        <f t="shared" si="92"/>
        <v>#N/A</v>
      </c>
      <c r="AX151" s="412"/>
    </row>
    <row r="152" spans="2:50">
      <c r="B152" s="398"/>
      <c r="C152" s="105">
        <v>6</v>
      </c>
      <c r="D152" s="228" t="s">
        <v>285</v>
      </c>
      <c r="E152" s="175">
        <v>21</v>
      </c>
      <c r="F152" s="105">
        <v>1440</v>
      </c>
      <c r="G152" s="202">
        <v>68.571428571428569</v>
      </c>
      <c r="H152" s="385"/>
      <c r="I152" s="175">
        <f t="shared" si="83"/>
        <v>20</v>
      </c>
      <c r="J152" s="175">
        <f t="shared" si="84"/>
        <v>1106.3556802061571</v>
      </c>
      <c r="K152" s="202">
        <f t="shared" si="85"/>
        <v>55.317784010307861</v>
      </c>
      <c r="L152" s="385"/>
      <c r="M152" s="203">
        <f>RANK(K152, K$147:$K$176)</f>
        <v>23</v>
      </c>
      <c r="N152" s="387"/>
      <c r="O152" s="387"/>
      <c r="P152" s="175">
        <v>20</v>
      </c>
      <c r="Q152" s="175">
        <v>1116.1904761904773</v>
      </c>
      <c r="R152" s="175">
        <v>55.809523809523867</v>
      </c>
      <c r="S152" s="105">
        <f t="shared" si="86"/>
        <v>23</v>
      </c>
      <c r="T152" s="412"/>
      <c r="U152" s="175">
        <v>20</v>
      </c>
      <c r="V152" s="175">
        <v>1083.8709677419365</v>
      </c>
      <c r="W152" s="175">
        <v>54.193548387096826</v>
      </c>
      <c r="X152" s="105">
        <f t="shared" si="87"/>
        <v>23</v>
      </c>
      <c r="Y152" s="412"/>
      <c r="Z152" s="175">
        <v>20</v>
      </c>
      <c r="AA152" s="175">
        <v>1129.3548387096785</v>
      </c>
      <c r="AB152" s="175">
        <v>56.467741935483922</v>
      </c>
      <c r="AC152" s="105">
        <f t="shared" si="88"/>
        <v>22</v>
      </c>
      <c r="AD152" s="412"/>
      <c r="AE152" s="175">
        <v>20</v>
      </c>
      <c r="AF152" s="175">
        <v>1100.3571428571438</v>
      </c>
      <c r="AG152" s="175">
        <v>55.017857142857189</v>
      </c>
      <c r="AH152" s="105">
        <f t="shared" si="89"/>
        <v>23</v>
      </c>
      <c r="AI152" s="412"/>
      <c r="AJ152" s="175">
        <v>20</v>
      </c>
      <c r="AK152" s="175">
        <v>1118.3606557377061</v>
      </c>
      <c r="AL152" s="175">
        <v>55.918032786885306</v>
      </c>
      <c r="AM152" s="105">
        <f t="shared" si="90"/>
        <v>22</v>
      </c>
      <c r="AN152" s="412"/>
      <c r="AO152" s="175">
        <v>20</v>
      </c>
      <c r="AP152" s="175">
        <v>1090.0000000000011</v>
      </c>
      <c r="AQ152" s="175">
        <v>54.500000000000057</v>
      </c>
      <c r="AR152" s="105">
        <f t="shared" si="91"/>
        <v>22</v>
      </c>
      <c r="AS152" s="412"/>
      <c r="AT152" s="105"/>
      <c r="AU152" s="202"/>
      <c r="AV152" s="202"/>
      <c r="AW152" s="105" t="e">
        <f t="shared" si="92"/>
        <v>#N/A</v>
      </c>
      <c r="AX152" s="412"/>
    </row>
    <row r="153" spans="2:50">
      <c r="B153" s="398"/>
      <c r="C153" s="105">
        <v>7</v>
      </c>
      <c r="D153" s="228" t="s">
        <v>273</v>
      </c>
      <c r="E153" s="175">
        <v>17</v>
      </c>
      <c r="F153" s="105">
        <v>1500</v>
      </c>
      <c r="G153" s="202">
        <v>88.235294117647058</v>
      </c>
      <c r="H153" s="385"/>
      <c r="I153" s="175">
        <f t="shared" si="83"/>
        <v>16</v>
      </c>
      <c r="J153" s="175">
        <f t="shared" si="84"/>
        <v>1285.3508690744218</v>
      </c>
      <c r="K153" s="202">
        <f t="shared" si="85"/>
        <v>80.334429317151361</v>
      </c>
      <c r="L153" s="385"/>
      <c r="M153" s="203">
        <f>RANK(K153, K$147:$K$176)</f>
        <v>7</v>
      </c>
      <c r="N153" s="387"/>
      <c r="O153" s="387"/>
      <c r="P153" s="175">
        <v>16</v>
      </c>
      <c r="Q153" s="175">
        <v>1283.3898305084758</v>
      </c>
      <c r="R153" s="175">
        <v>80.211864406779739</v>
      </c>
      <c r="S153" s="105">
        <f t="shared" si="86"/>
        <v>7</v>
      </c>
      <c r="T153" s="412"/>
      <c r="U153" s="175">
        <v>16</v>
      </c>
      <c r="V153" s="175">
        <v>1305.263157894738</v>
      </c>
      <c r="W153" s="175">
        <v>81.578947368421126</v>
      </c>
      <c r="X153" s="105">
        <f t="shared" si="87"/>
        <v>6</v>
      </c>
      <c r="Y153" s="412"/>
      <c r="Z153" s="175">
        <v>16</v>
      </c>
      <c r="AA153" s="175">
        <v>1262.1428571428582</v>
      </c>
      <c r="AB153" s="175">
        <v>78.88392857142864</v>
      </c>
      <c r="AC153" s="105">
        <f t="shared" si="88"/>
        <v>8</v>
      </c>
      <c r="AD153" s="412"/>
      <c r="AE153" s="175">
        <v>16</v>
      </c>
      <c r="AF153" s="175">
        <v>1282.5000000000005</v>
      </c>
      <c r="AG153" s="175">
        <v>80.156250000000028</v>
      </c>
      <c r="AH153" s="105">
        <f t="shared" si="89"/>
        <v>7</v>
      </c>
      <c r="AI153" s="412"/>
      <c r="AJ153" s="175">
        <v>16</v>
      </c>
      <c r="AK153" s="175">
        <v>1270.1886792452838</v>
      </c>
      <c r="AL153" s="175">
        <v>79.386792452830235</v>
      </c>
      <c r="AM153" s="105">
        <f t="shared" si="90"/>
        <v>8</v>
      </c>
      <c r="AN153" s="412"/>
      <c r="AO153" s="175">
        <v>16</v>
      </c>
      <c r="AP153" s="175">
        <v>1308.6206896551735</v>
      </c>
      <c r="AQ153" s="175">
        <v>81.788793103448342</v>
      </c>
      <c r="AR153" s="105">
        <f t="shared" si="91"/>
        <v>6</v>
      </c>
      <c r="AS153" s="412"/>
      <c r="AT153" s="105"/>
      <c r="AU153" s="202"/>
      <c r="AV153" s="202"/>
      <c r="AW153" s="105" t="e">
        <f t="shared" si="92"/>
        <v>#N/A</v>
      </c>
      <c r="AX153" s="412"/>
    </row>
    <row r="154" spans="2:50">
      <c r="B154" s="398"/>
      <c r="C154" s="105">
        <v>8</v>
      </c>
      <c r="D154" s="228" t="s">
        <v>274</v>
      </c>
      <c r="E154" s="175">
        <v>16</v>
      </c>
      <c r="F154" s="105">
        <v>1565</v>
      </c>
      <c r="G154" s="202">
        <v>97.8125</v>
      </c>
      <c r="H154" s="385"/>
      <c r="I154" s="175">
        <f t="shared" si="83"/>
        <v>16</v>
      </c>
      <c r="J154" s="175">
        <f t="shared" si="84"/>
        <v>1325.5374668711427</v>
      </c>
      <c r="K154" s="202">
        <f t="shared" si="85"/>
        <v>82.846091679446417</v>
      </c>
      <c r="L154" s="385"/>
      <c r="M154" s="203">
        <f>RANK(K154, K$147:$K$176)</f>
        <v>5</v>
      </c>
      <c r="N154" s="387"/>
      <c r="O154" s="387"/>
      <c r="P154" s="175">
        <v>16</v>
      </c>
      <c r="Q154" s="175">
        <v>1336.1797752808989</v>
      </c>
      <c r="R154" s="175">
        <v>83.511235955056179</v>
      </c>
      <c r="S154" s="105">
        <f t="shared" si="86"/>
        <v>5</v>
      </c>
      <c r="T154" s="412"/>
      <c r="U154" s="175">
        <v>16</v>
      </c>
      <c r="V154" s="175">
        <v>1343.1325301204813</v>
      </c>
      <c r="W154" s="175">
        <v>83.945783132530082</v>
      </c>
      <c r="X154" s="105">
        <f t="shared" si="87"/>
        <v>5</v>
      </c>
      <c r="Y154" s="412"/>
      <c r="Z154" s="175">
        <v>16</v>
      </c>
      <c r="AA154" s="175">
        <v>1288.192771084337</v>
      </c>
      <c r="AB154" s="175">
        <v>80.512048192771061</v>
      </c>
      <c r="AC154" s="105">
        <f t="shared" si="88"/>
        <v>6</v>
      </c>
      <c r="AD154" s="412"/>
      <c r="AE154" s="175">
        <v>16</v>
      </c>
      <c r="AF154" s="175">
        <v>1339.4366197183085</v>
      </c>
      <c r="AG154" s="175">
        <v>83.714788732394283</v>
      </c>
      <c r="AH154" s="105">
        <f t="shared" si="89"/>
        <v>5</v>
      </c>
      <c r="AI154" s="412"/>
      <c r="AJ154" s="175">
        <v>16</v>
      </c>
      <c r="AK154" s="175">
        <v>1335.6164383561634</v>
      </c>
      <c r="AL154" s="175">
        <v>83.476027397260211</v>
      </c>
      <c r="AM154" s="105">
        <f t="shared" si="90"/>
        <v>5</v>
      </c>
      <c r="AN154" s="412"/>
      <c r="AO154" s="175">
        <v>16</v>
      </c>
      <c r="AP154" s="175">
        <v>1310.6666666666667</v>
      </c>
      <c r="AQ154" s="175">
        <v>81.916666666666671</v>
      </c>
      <c r="AR154" s="105">
        <f t="shared" si="91"/>
        <v>5</v>
      </c>
      <c r="AS154" s="412"/>
      <c r="AT154" s="105"/>
      <c r="AU154" s="202"/>
      <c r="AV154" s="202"/>
      <c r="AW154" s="105" t="e">
        <f t="shared" si="92"/>
        <v>#N/A</v>
      </c>
      <c r="AX154" s="412"/>
    </row>
    <row r="155" spans="2:50">
      <c r="B155" s="398"/>
      <c r="C155" s="105">
        <v>9</v>
      </c>
      <c r="D155" s="228" t="s">
        <v>270</v>
      </c>
      <c r="E155" s="175">
        <v>16</v>
      </c>
      <c r="F155" s="105">
        <v>1440</v>
      </c>
      <c r="G155" s="202">
        <v>90</v>
      </c>
      <c r="H155" s="385"/>
      <c r="I155" s="175">
        <f t="shared" si="83"/>
        <v>16.666666666666668</v>
      </c>
      <c r="J155" s="175">
        <f t="shared" si="84"/>
        <v>1265.8625534280166</v>
      </c>
      <c r="K155" s="202">
        <f t="shared" si="85"/>
        <v>76.013528098261233</v>
      </c>
      <c r="L155" s="385"/>
      <c r="M155" s="203">
        <f>RANK(K155, K$147:$K$176)</f>
        <v>11</v>
      </c>
      <c r="N155" s="387"/>
      <c r="O155" s="387"/>
      <c r="P155" s="175">
        <v>16</v>
      </c>
      <c r="Q155" s="175">
        <v>1287.2727272727257</v>
      </c>
      <c r="R155" s="175">
        <v>80.454545454545354</v>
      </c>
      <c r="S155" s="105">
        <f t="shared" si="86"/>
        <v>6</v>
      </c>
      <c r="T155" s="412"/>
      <c r="U155" s="175">
        <v>16</v>
      </c>
      <c r="V155" s="175">
        <v>1243.9999999999977</v>
      </c>
      <c r="W155" s="175">
        <v>77.749999999999858</v>
      </c>
      <c r="X155" s="105">
        <f t="shared" si="87"/>
        <v>10</v>
      </c>
      <c r="Y155" s="412"/>
      <c r="Z155" s="175">
        <v>17</v>
      </c>
      <c r="AA155" s="175">
        <v>1258.0645161290302</v>
      </c>
      <c r="AB155" s="175">
        <v>74.003795066413545</v>
      </c>
      <c r="AC155" s="105">
        <f t="shared" si="88"/>
        <v>15</v>
      </c>
      <c r="AD155" s="412"/>
      <c r="AE155" s="175">
        <v>17</v>
      </c>
      <c r="AF155" s="175">
        <v>1248.3870967741916</v>
      </c>
      <c r="AG155" s="175">
        <v>73.434535104364215</v>
      </c>
      <c r="AH155" s="105">
        <f t="shared" si="89"/>
        <v>15</v>
      </c>
      <c r="AI155" s="412"/>
      <c r="AJ155" s="175">
        <v>17</v>
      </c>
      <c r="AK155" s="175">
        <v>1283.3333333333323</v>
      </c>
      <c r="AL155" s="175">
        <v>75.49019607843131</v>
      </c>
      <c r="AM155" s="105">
        <f t="shared" si="90"/>
        <v>9</v>
      </c>
      <c r="AN155" s="412"/>
      <c r="AO155" s="175">
        <v>17</v>
      </c>
      <c r="AP155" s="175">
        <v>1274.1176470588221</v>
      </c>
      <c r="AQ155" s="175">
        <v>74.948096885813058</v>
      </c>
      <c r="AR155" s="105">
        <f t="shared" si="91"/>
        <v>12</v>
      </c>
      <c r="AS155" s="412"/>
      <c r="AT155" s="105"/>
      <c r="AU155" s="202"/>
      <c r="AV155" s="202"/>
      <c r="AW155" s="105" t="e">
        <f t="shared" si="92"/>
        <v>#N/A</v>
      </c>
      <c r="AX155" s="412"/>
    </row>
    <row r="156" spans="2:50">
      <c r="B156" s="398"/>
      <c r="C156" s="105">
        <v>10</v>
      </c>
      <c r="D156" s="228" t="s">
        <v>271</v>
      </c>
      <c r="E156" s="175">
        <v>17</v>
      </c>
      <c r="F156" s="105">
        <v>1440</v>
      </c>
      <c r="G156" s="202">
        <v>84.705882352941174</v>
      </c>
      <c r="H156" s="385"/>
      <c r="I156" s="175">
        <f t="shared" si="83"/>
        <v>16.5</v>
      </c>
      <c r="J156" s="175">
        <f t="shared" si="84"/>
        <v>1297.5391862984632</v>
      </c>
      <c r="K156" s="202">
        <f t="shared" si="85"/>
        <v>78.699171393159801</v>
      </c>
      <c r="L156" s="385"/>
      <c r="M156" s="203">
        <f>RANK(K156, K$147:$K$176)</f>
        <v>8</v>
      </c>
      <c r="N156" s="387"/>
      <c r="O156" s="387"/>
      <c r="P156" s="175">
        <v>17</v>
      </c>
      <c r="Q156" s="175">
        <v>1323.3333333333342</v>
      </c>
      <c r="R156" s="175">
        <v>77.843137254902004</v>
      </c>
      <c r="S156" s="105">
        <f t="shared" si="86"/>
        <v>11</v>
      </c>
      <c r="T156" s="412"/>
      <c r="U156" s="175">
        <v>17</v>
      </c>
      <c r="V156" s="175">
        <v>1308.9795918367352</v>
      </c>
      <c r="W156" s="175">
        <v>76.998799519807946</v>
      </c>
      <c r="X156" s="105">
        <f t="shared" si="87"/>
        <v>12</v>
      </c>
      <c r="Y156" s="412"/>
      <c r="Z156" s="175">
        <v>16</v>
      </c>
      <c r="AA156" s="175">
        <v>1285.0000000000002</v>
      </c>
      <c r="AB156" s="175">
        <v>80.312500000000014</v>
      </c>
      <c r="AC156" s="105">
        <f t="shared" si="88"/>
        <v>7</v>
      </c>
      <c r="AD156" s="412"/>
      <c r="AE156" s="175">
        <v>16</v>
      </c>
      <c r="AF156" s="175">
        <v>1293.1914893617022</v>
      </c>
      <c r="AG156" s="175">
        <v>80.824468085106389</v>
      </c>
      <c r="AH156" s="105">
        <f t="shared" si="89"/>
        <v>6</v>
      </c>
      <c r="AI156" s="412"/>
      <c r="AJ156" s="175">
        <v>16</v>
      </c>
      <c r="AK156" s="175">
        <v>1295.0943396226421</v>
      </c>
      <c r="AL156" s="175">
        <v>80.943396226415132</v>
      </c>
      <c r="AM156" s="105">
        <f t="shared" si="90"/>
        <v>6</v>
      </c>
      <c r="AN156" s="412"/>
      <c r="AO156" s="175">
        <v>17</v>
      </c>
      <c r="AP156" s="175">
        <v>1279.6363636363644</v>
      </c>
      <c r="AQ156" s="175">
        <v>75.272727272727323</v>
      </c>
      <c r="AR156" s="105">
        <f t="shared" si="91"/>
        <v>10</v>
      </c>
      <c r="AS156" s="412"/>
      <c r="AT156" s="105"/>
      <c r="AU156" s="202"/>
      <c r="AV156" s="202"/>
      <c r="AW156" s="105" t="e">
        <f t="shared" si="92"/>
        <v>#N/A</v>
      </c>
      <c r="AX156" s="412"/>
    </row>
    <row r="157" spans="2:50">
      <c r="B157" s="398"/>
      <c r="C157" s="105">
        <v>11</v>
      </c>
      <c r="D157" s="228" t="s">
        <v>266</v>
      </c>
      <c r="E157" s="175">
        <v>16</v>
      </c>
      <c r="F157" s="105">
        <v>1440</v>
      </c>
      <c r="G157" s="202">
        <v>90</v>
      </c>
      <c r="H157" s="385"/>
      <c r="I157" s="175">
        <f t="shared" si="83"/>
        <v>17.5</v>
      </c>
      <c r="J157" s="175">
        <f t="shared" si="84"/>
        <v>1080.3267973856248</v>
      </c>
      <c r="K157" s="202">
        <f t="shared" si="85"/>
        <v>61.777521466103003</v>
      </c>
      <c r="L157" s="385"/>
      <c r="M157" s="203">
        <f>RANK(K157, K$147:$K$176)</f>
        <v>22</v>
      </c>
      <c r="N157" s="387"/>
      <c r="O157" s="387"/>
      <c r="P157" s="175">
        <v>17</v>
      </c>
      <c r="Q157" s="175">
        <v>1066.6666666666706</v>
      </c>
      <c r="R157" s="175">
        <v>62.745098039215918</v>
      </c>
      <c r="S157" s="105">
        <f t="shared" si="86"/>
        <v>22</v>
      </c>
      <c r="T157" s="412"/>
      <c r="U157" s="175">
        <v>17</v>
      </c>
      <c r="V157" s="175">
        <v>1080.0000000000039</v>
      </c>
      <c r="W157" s="175">
        <v>63.529411764706111</v>
      </c>
      <c r="X157" s="105">
        <f t="shared" si="87"/>
        <v>21</v>
      </c>
      <c r="Y157" s="412"/>
      <c r="Z157" s="175">
        <v>18</v>
      </c>
      <c r="AA157" s="175">
        <v>1036.0000000000039</v>
      </c>
      <c r="AB157" s="175">
        <v>57.55555555555577</v>
      </c>
      <c r="AC157" s="105">
        <f t="shared" si="88"/>
        <v>21</v>
      </c>
      <c r="AD157" s="412"/>
      <c r="AE157" s="175">
        <v>18</v>
      </c>
      <c r="AF157" s="175">
        <v>1104.0000000000039</v>
      </c>
      <c r="AG157" s="175">
        <v>61.333333333333549</v>
      </c>
      <c r="AH157" s="105">
        <f t="shared" si="89"/>
        <v>21</v>
      </c>
      <c r="AI157" s="412"/>
      <c r="AJ157" s="175">
        <v>18</v>
      </c>
      <c r="AK157" s="175">
        <v>1111.7647058823568</v>
      </c>
      <c r="AL157" s="175">
        <v>61.764705882353155</v>
      </c>
      <c r="AM157" s="105">
        <f t="shared" si="90"/>
        <v>21</v>
      </c>
      <c r="AN157" s="412"/>
      <c r="AO157" s="175">
        <v>17</v>
      </c>
      <c r="AP157" s="175">
        <v>1083.5294117647097</v>
      </c>
      <c r="AQ157" s="175">
        <v>63.73702422145351</v>
      </c>
      <c r="AR157" s="105">
        <f t="shared" si="91"/>
        <v>21</v>
      </c>
      <c r="AS157" s="412"/>
      <c r="AT157" s="105"/>
      <c r="AU157" s="202"/>
      <c r="AV157" s="202"/>
      <c r="AW157" s="105" t="e">
        <f t="shared" si="92"/>
        <v>#N/A</v>
      </c>
      <c r="AX157" s="412"/>
    </row>
    <row r="158" spans="2:50">
      <c r="B158" s="398"/>
      <c r="C158" s="105">
        <v>12</v>
      </c>
      <c r="D158" s="228" t="s">
        <v>265</v>
      </c>
      <c r="E158" s="175">
        <v>18</v>
      </c>
      <c r="F158" s="105">
        <v>1440</v>
      </c>
      <c r="G158" s="202">
        <v>80</v>
      </c>
      <c r="H158" s="385"/>
      <c r="I158" s="175">
        <f t="shared" si="83"/>
        <v>16.666666666666668</v>
      </c>
      <c r="J158" s="175">
        <f t="shared" si="84"/>
        <v>1172.420150868151</v>
      </c>
      <c r="K158" s="202">
        <f t="shared" si="85"/>
        <v>70.403495958664919</v>
      </c>
      <c r="L158" s="385"/>
      <c r="M158" s="203">
        <f>RANK(K158, K$147:$K$176)</f>
        <v>17</v>
      </c>
      <c r="N158" s="387"/>
      <c r="O158" s="387"/>
      <c r="P158" s="175">
        <v>16</v>
      </c>
      <c r="Q158" s="175">
        <v>1183.5294117647063</v>
      </c>
      <c r="R158" s="175">
        <v>73.970588235294144</v>
      </c>
      <c r="S158" s="105">
        <f t="shared" si="86"/>
        <v>14</v>
      </c>
      <c r="T158" s="412"/>
      <c r="U158" s="175">
        <v>16</v>
      </c>
      <c r="V158" s="175">
        <v>1162.6415094339629</v>
      </c>
      <c r="W158" s="175">
        <v>72.665094339622684</v>
      </c>
      <c r="X158" s="105">
        <f t="shared" si="87"/>
        <v>15</v>
      </c>
      <c r="Y158" s="412"/>
      <c r="Z158" s="175">
        <v>17</v>
      </c>
      <c r="AA158" s="175">
        <v>1162.6415094339629</v>
      </c>
      <c r="AB158" s="175">
        <v>68.390677025527225</v>
      </c>
      <c r="AC158" s="105">
        <f t="shared" si="88"/>
        <v>20</v>
      </c>
      <c r="AD158" s="412"/>
      <c r="AE158" s="175">
        <v>17</v>
      </c>
      <c r="AF158" s="175">
        <v>1195.2000000000003</v>
      </c>
      <c r="AG158" s="175">
        <v>70.305882352941197</v>
      </c>
      <c r="AH158" s="105">
        <f t="shared" si="89"/>
        <v>18</v>
      </c>
      <c r="AI158" s="412"/>
      <c r="AJ158" s="175">
        <v>17</v>
      </c>
      <c r="AK158" s="175">
        <v>1170.5084745762722</v>
      </c>
      <c r="AL158" s="175">
        <v>68.853439680957194</v>
      </c>
      <c r="AM158" s="105">
        <f t="shared" si="90"/>
        <v>19</v>
      </c>
      <c r="AN158" s="412"/>
      <c r="AO158" s="175">
        <v>17</v>
      </c>
      <c r="AP158" s="175">
        <v>1160.0000000000007</v>
      </c>
      <c r="AQ158" s="175">
        <v>68.235294117647101</v>
      </c>
      <c r="AR158" s="105">
        <f t="shared" si="91"/>
        <v>19</v>
      </c>
      <c r="AS158" s="412"/>
      <c r="AT158" s="105"/>
      <c r="AU158" s="202"/>
      <c r="AV158" s="202"/>
      <c r="AW158" s="105" t="e">
        <f t="shared" si="92"/>
        <v>#N/A</v>
      </c>
      <c r="AX158" s="412"/>
    </row>
    <row r="159" spans="2:50">
      <c r="B159" s="398"/>
      <c r="C159" s="105">
        <v>13</v>
      </c>
      <c r="D159" s="228" t="s">
        <v>269</v>
      </c>
      <c r="E159" s="175">
        <v>20</v>
      </c>
      <c r="F159" s="105">
        <v>1636</v>
      </c>
      <c r="G159" s="202">
        <v>81.8</v>
      </c>
      <c r="H159" s="385"/>
      <c r="I159" s="175">
        <f t="shared" si="83"/>
        <v>19</v>
      </c>
      <c r="J159" s="175">
        <f t="shared" si="84"/>
        <v>1300.0866728127282</v>
      </c>
      <c r="K159" s="202">
        <f t="shared" si="85"/>
        <v>68.425614358564658</v>
      </c>
      <c r="L159" s="385"/>
      <c r="M159" s="203">
        <f>RANK(K159, K$147:$K$176)</f>
        <v>20</v>
      </c>
      <c r="N159" s="387"/>
      <c r="O159" s="387"/>
      <c r="P159" s="175">
        <v>19</v>
      </c>
      <c r="Q159" s="175">
        <v>1307.4725274725274</v>
      </c>
      <c r="R159" s="175">
        <v>68.814343551185658</v>
      </c>
      <c r="S159" s="105">
        <f t="shared" si="86"/>
        <v>19</v>
      </c>
      <c r="T159" s="412"/>
      <c r="U159" s="175">
        <v>19</v>
      </c>
      <c r="V159" s="175">
        <v>1317.1764705882351</v>
      </c>
      <c r="W159" s="175">
        <v>69.325077399380802</v>
      </c>
      <c r="X159" s="105">
        <f t="shared" si="87"/>
        <v>18</v>
      </c>
      <c r="Y159" s="412"/>
      <c r="Z159" s="175">
        <v>19</v>
      </c>
      <c r="AA159" s="175">
        <v>1308.3116883116877</v>
      </c>
      <c r="AB159" s="175">
        <v>68.858509911141454</v>
      </c>
      <c r="AC159" s="105">
        <f t="shared" si="88"/>
        <v>18</v>
      </c>
      <c r="AD159" s="412"/>
      <c r="AE159" s="175">
        <v>19</v>
      </c>
      <c r="AF159" s="175">
        <v>1318.4999999999995</v>
      </c>
      <c r="AG159" s="175">
        <v>69.394736842105246</v>
      </c>
      <c r="AH159" s="105">
        <f t="shared" si="89"/>
        <v>20</v>
      </c>
      <c r="AI159" s="412"/>
      <c r="AJ159" s="175">
        <v>19</v>
      </c>
      <c r="AK159" s="175">
        <v>1288.4210526315792</v>
      </c>
      <c r="AL159" s="175">
        <v>67.811634349030484</v>
      </c>
      <c r="AM159" s="105">
        <f t="shared" si="90"/>
        <v>20</v>
      </c>
      <c r="AN159" s="412"/>
      <c r="AO159" s="175">
        <v>19</v>
      </c>
      <c r="AP159" s="175">
        <v>1260.6382978723407</v>
      </c>
      <c r="AQ159" s="175">
        <v>66.349384098544249</v>
      </c>
      <c r="AR159" s="105">
        <f t="shared" si="91"/>
        <v>20</v>
      </c>
      <c r="AS159" s="412"/>
      <c r="AT159" s="105"/>
      <c r="AU159" s="202"/>
      <c r="AV159" s="202"/>
      <c r="AW159" s="105" t="e">
        <f t="shared" si="92"/>
        <v>#N/A</v>
      </c>
      <c r="AX159" s="412"/>
    </row>
    <row r="160" spans="2:50">
      <c r="B160" s="398"/>
      <c r="C160" s="105">
        <v>14</v>
      </c>
      <c r="D160" s="228" t="s">
        <v>268</v>
      </c>
      <c r="E160" s="175">
        <v>19</v>
      </c>
      <c r="F160" s="105">
        <v>1636</v>
      </c>
      <c r="G160" s="202">
        <v>86.10526315789474</v>
      </c>
      <c r="H160" s="385"/>
      <c r="I160" s="175">
        <f t="shared" si="83"/>
        <v>19</v>
      </c>
      <c r="J160" s="175">
        <f t="shared" si="84"/>
        <v>1307.6635863461615</v>
      </c>
      <c r="K160" s="202">
        <f t="shared" si="85"/>
        <v>68.824399281376927</v>
      </c>
      <c r="L160" s="385"/>
      <c r="M160" s="203">
        <f>RANK(K160, K$147:$K$176)</f>
        <v>19</v>
      </c>
      <c r="N160" s="387"/>
      <c r="O160" s="387"/>
      <c r="P160" s="175">
        <v>19</v>
      </c>
      <c r="Q160" s="175">
        <v>1287.8260869565204</v>
      </c>
      <c r="R160" s="175">
        <v>67.780320366132656</v>
      </c>
      <c r="S160" s="105">
        <f t="shared" si="86"/>
        <v>20</v>
      </c>
      <c r="T160" s="412"/>
      <c r="U160" s="175">
        <v>19</v>
      </c>
      <c r="V160" s="175">
        <v>1286.3636363636379</v>
      </c>
      <c r="W160" s="175">
        <v>67.703349282296728</v>
      </c>
      <c r="X160" s="105">
        <f t="shared" si="87"/>
        <v>19</v>
      </c>
      <c r="Y160" s="412"/>
      <c r="Z160" s="175">
        <v>19</v>
      </c>
      <c r="AA160" s="175">
        <v>1301.6129032258077</v>
      </c>
      <c r="AB160" s="175">
        <v>68.505942275042514</v>
      </c>
      <c r="AC160" s="105">
        <f t="shared" si="88"/>
        <v>19</v>
      </c>
      <c r="AD160" s="412"/>
      <c r="AE160" s="175">
        <v>19</v>
      </c>
      <c r="AF160" s="175">
        <v>1335.4545454545469</v>
      </c>
      <c r="AG160" s="175">
        <v>70.287081339712998</v>
      </c>
      <c r="AH160" s="105">
        <f t="shared" si="89"/>
        <v>19</v>
      </c>
      <c r="AI160" s="412"/>
      <c r="AJ160" s="175">
        <v>19</v>
      </c>
      <c r="AK160" s="175">
        <v>1329.295774647886</v>
      </c>
      <c r="AL160" s="175">
        <v>69.96293550778347</v>
      </c>
      <c r="AM160" s="105">
        <f t="shared" si="90"/>
        <v>17</v>
      </c>
      <c r="AN160" s="412"/>
      <c r="AO160" s="175">
        <v>19</v>
      </c>
      <c r="AP160" s="175">
        <v>1305.4285714285702</v>
      </c>
      <c r="AQ160" s="175">
        <v>68.706766917293166</v>
      </c>
      <c r="AR160" s="105">
        <f t="shared" si="91"/>
        <v>18</v>
      </c>
      <c r="AS160" s="412"/>
      <c r="AT160" s="105"/>
      <c r="AU160" s="202"/>
      <c r="AV160" s="202"/>
      <c r="AW160" s="105" t="e">
        <f t="shared" si="92"/>
        <v>#N/A</v>
      </c>
      <c r="AX160" s="412"/>
    </row>
    <row r="161" spans="2:50">
      <c r="B161" s="398"/>
      <c r="C161" s="105">
        <v>15</v>
      </c>
      <c r="D161" s="228" t="s">
        <v>263</v>
      </c>
      <c r="E161" s="175">
        <v>19</v>
      </c>
      <c r="F161" s="105">
        <v>1500</v>
      </c>
      <c r="G161" s="202">
        <v>78.94736842105263</v>
      </c>
      <c r="H161" s="385"/>
      <c r="I161" s="175">
        <f t="shared" si="83"/>
        <v>19</v>
      </c>
      <c r="J161" s="175">
        <f t="shared" si="84"/>
        <v>1276.3636363636408</v>
      </c>
      <c r="K161" s="202">
        <f t="shared" si="85"/>
        <v>67.177033492823199</v>
      </c>
      <c r="L161" s="385"/>
      <c r="M161" s="175">
        <f>RANK(K161, K$147:$K$176)</f>
        <v>21</v>
      </c>
      <c r="N161" s="387"/>
      <c r="O161" s="387"/>
      <c r="P161" s="175">
        <v>19</v>
      </c>
      <c r="Q161" s="175">
        <v>1276.3636363636408</v>
      </c>
      <c r="R161" s="175">
        <v>67.177033492823199</v>
      </c>
      <c r="S161" s="105">
        <f t="shared" ref="S161:S175" si="93">RANK(R161, R$147:R$176)</f>
        <v>21</v>
      </c>
      <c r="T161" s="412"/>
      <c r="U161" s="175"/>
      <c r="V161" s="175"/>
      <c r="W161" s="175"/>
      <c r="X161" s="105" t="e">
        <f t="shared" ref="X161:X175" si="94">RANK(W161, W$147:W$176)</f>
        <v>#N/A</v>
      </c>
      <c r="Y161" s="412"/>
      <c r="Z161" s="175"/>
      <c r="AA161" s="175"/>
      <c r="AB161" s="175"/>
      <c r="AC161" s="105" t="e">
        <f t="shared" ref="AC161:AC175" si="95">RANK(AB161, AB$147:AB$176)</f>
        <v>#N/A</v>
      </c>
      <c r="AD161" s="412"/>
      <c r="AE161" s="175"/>
      <c r="AF161" s="175"/>
      <c r="AG161" s="175"/>
      <c r="AH161" s="105" t="e">
        <f t="shared" ref="AH161:AH175" si="96">RANK(AG161, AG$147:AG$176)</f>
        <v>#N/A</v>
      </c>
      <c r="AI161" s="412"/>
      <c r="AJ161" s="175"/>
      <c r="AK161" s="175"/>
      <c r="AL161" s="175"/>
      <c r="AM161" s="105" t="e">
        <f t="shared" ref="AM161:AM175" si="97">RANK(AL161, AL$147:AL$176)</f>
        <v>#N/A</v>
      </c>
      <c r="AN161" s="412"/>
      <c r="AO161" s="175"/>
      <c r="AP161" s="175"/>
      <c r="AQ161" s="175"/>
      <c r="AR161" s="105" t="e">
        <f t="shared" ref="AR161:AR175" si="98">RANK(AQ161, AQ$147:AQ$176)</f>
        <v>#N/A</v>
      </c>
      <c r="AS161" s="412"/>
      <c r="AT161" s="105"/>
      <c r="AU161" s="202"/>
      <c r="AV161" s="202"/>
      <c r="AW161" s="105" t="e">
        <f t="shared" ref="AW161:AW175" si="99">RANK(AV161, AV$147:AV$176)</f>
        <v>#N/A</v>
      </c>
      <c r="AX161" s="412"/>
    </row>
    <row r="162" spans="2:50">
      <c r="B162" s="398"/>
      <c r="C162" s="105">
        <v>16</v>
      </c>
      <c r="D162" s="228" t="s">
        <v>275</v>
      </c>
      <c r="E162" s="175">
        <v>20</v>
      </c>
      <c r="F162" s="105">
        <v>1500</v>
      </c>
      <c r="G162" s="202">
        <v>75</v>
      </c>
      <c r="H162" s="385"/>
      <c r="I162" s="175">
        <f t="shared" si="83"/>
        <v>17.333333333333332</v>
      </c>
      <c r="J162" s="175">
        <f t="shared" si="84"/>
        <v>1294.6889411926165</v>
      </c>
      <c r="K162" s="202">
        <f t="shared" si="85"/>
        <v>74.708192912453214</v>
      </c>
      <c r="L162" s="385"/>
      <c r="M162" s="175">
        <f>RANK(K162, K$147:$K$176)</f>
        <v>14</v>
      </c>
      <c r="N162" s="387"/>
      <c r="O162" s="387"/>
      <c r="P162" s="175">
        <v>17</v>
      </c>
      <c r="Q162" s="175">
        <v>1256.5714285714273</v>
      </c>
      <c r="R162" s="175">
        <v>73.915966386554544</v>
      </c>
      <c r="S162" s="105">
        <f t="shared" si="93"/>
        <v>16</v>
      </c>
      <c r="T162" s="412"/>
      <c r="U162" s="175">
        <v>17</v>
      </c>
      <c r="V162" s="175">
        <v>1254.7058823529396</v>
      </c>
      <c r="W162" s="175">
        <v>73.806228373702325</v>
      </c>
      <c r="X162" s="105">
        <f t="shared" si="94"/>
        <v>14</v>
      </c>
      <c r="Y162" s="412"/>
      <c r="Z162" s="175">
        <v>18</v>
      </c>
      <c r="AA162" s="175">
        <v>1340.6249999999982</v>
      </c>
      <c r="AB162" s="175">
        <v>74.479166666666572</v>
      </c>
      <c r="AC162" s="105">
        <f t="shared" si="95"/>
        <v>13</v>
      </c>
      <c r="AD162" s="412"/>
      <c r="AE162" s="175">
        <v>17</v>
      </c>
      <c r="AF162" s="175">
        <v>1290.9090909090892</v>
      </c>
      <c r="AG162" s="175">
        <v>75.93582887700525</v>
      </c>
      <c r="AH162" s="105">
        <f t="shared" si="96"/>
        <v>12</v>
      </c>
      <c r="AI162" s="412"/>
      <c r="AJ162" s="175">
        <v>18</v>
      </c>
      <c r="AK162" s="175">
        <v>1321.538461538461</v>
      </c>
      <c r="AL162" s="175">
        <v>73.418803418803392</v>
      </c>
      <c r="AM162" s="105">
        <f t="shared" si="97"/>
        <v>15</v>
      </c>
      <c r="AN162" s="412"/>
      <c r="AO162" s="175">
        <v>17</v>
      </c>
      <c r="AP162" s="175">
        <v>1303.7837837837828</v>
      </c>
      <c r="AQ162" s="175">
        <v>76.693163751987228</v>
      </c>
      <c r="AR162" s="105">
        <f t="shared" si="98"/>
        <v>8</v>
      </c>
      <c r="AS162" s="412"/>
      <c r="AT162" s="105"/>
      <c r="AU162" s="202"/>
      <c r="AV162" s="202"/>
      <c r="AW162" s="105" t="e">
        <f t="shared" si="99"/>
        <v>#N/A</v>
      </c>
      <c r="AX162" s="412"/>
    </row>
    <row r="163" spans="2:50">
      <c r="B163" s="398"/>
      <c r="C163" s="105">
        <v>17</v>
      </c>
      <c r="D163" s="228" t="s">
        <v>277</v>
      </c>
      <c r="E163" s="175">
        <v>18</v>
      </c>
      <c r="F163" s="105">
        <v>1500</v>
      </c>
      <c r="G163" s="202">
        <v>83.333333333333329</v>
      </c>
      <c r="H163" s="385"/>
      <c r="I163" s="175">
        <f t="shared" si="83"/>
        <v>17</v>
      </c>
      <c r="J163" s="175">
        <f t="shared" si="84"/>
        <v>1313.9750337381927</v>
      </c>
      <c r="K163" s="202">
        <f t="shared" si="85"/>
        <v>77.292649043423083</v>
      </c>
      <c r="L163" s="385"/>
      <c r="M163" s="175">
        <f>RANK(K163, K$147:$K$176)</f>
        <v>9</v>
      </c>
      <c r="N163" s="387"/>
      <c r="O163" s="387"/>
      <c r="P163" s="175">
        <v>17</v>
      </c>
      <c r="Q163" s="175">
        <v>1328.4210526315801</v>
      </c>
      <c r="R163" s="175">
        <v>78.142414860681185</v>
      </c>
      <c r="S163" s="105">
        <f t="shared" si="93"/>
        <v>10</v>
      </c>
      <c r="T163" s="412"/>
      <c r="U163" s="175">
        <v>17</v>
      </c>
      <c r="V163" s="175">
        <v>1330.0000000000007</v>
      </c>
      <c r="W163" s="175">
        <v>78.235294117647101</v>
      </c>
      <c r="X163" s="105">
        <f t="shared" si="94"/>
        <v>9</v>
      </c>
      <c r="Y163" s="412"/>
      <c r="Z163" s="175">
        <v>17</v>
      </c>
      <c r="AA163" s="175">
        <v>1330.3846153846162</v>
      </c>
      <c r="AB163" s="175">
        <v>78.257918552036244</v>
      </c>
      <c r="AC163" s="105">
        <f t="shared" si="95"/>
        <v>9</v>
      </c>
      <c r="AD163" s="412"/>
      <c r="AE163" s="175">
        <v>17</v>
      </c>
      <c r="AF163" s="175">
        <v>1320.0000000000007</v>
      </c>
      <c r="AG163" s="175">
        <v>77.647058823529449</v>
      </c>
      <c r="AH163" s="105">
        <f t="shared" si="96"/>
        <v>9</v>
      </c>
      <c r="AI163" s="412"/>
      <c r="AJ163" s="175">
        <v>17</v>
      </c>
      <c r="AK163" s="175">
        <v>1280.3076923076937</v>
      </c>
      <c r="AL163" s="175">
        <v>75.312217194570223</v>
      </c>
      <c r="AM163" s="105">
        <f t="shared" si="97"/>
        <v>12</v>
      </c>
      <c r="AN163" s="412"/>
      <c r="AO163" s="175">
        <v>17</v>
      </c>
      <c r="AP163" s="175">
        <v>1294.7368421052643</v>
      </c>
      <c r="AQ163" s="175">
        <v>76.160990712074366</v>
      </c>
      <c r="AR163" s="105">
        <f t="shared" si="98"/>
        <v>9</v>
      </c>
      <c r="AS163" s="412"/>
      <c r="AT163" s="105"/>
      <c r="AU163" s="202"/>
      <c r="AV163" s="202"/>
      <c r="AW163" s="105" t="e">
        <f t="shared" si="99"/>
        <v>#N/A</v>
      </c>
      <c r="AX163" s="412"/>
    </row>
    <row r="164" spans="2:50">
      <c r="B164" s="398"/>
      <c r="C164" s="105">
        <v>18</v>
      </c>
      <c r="D164" s="228" t="s">
        <v>278</v>
      </c>
      <c r="E164" s="175">
        <v>17</v>
      </c>
      <c r="F164" s="105">
        <v>1440</v>
      </c>
      <c r="G164" s="202">
        <v>84.705882352941174</v>
      </c>
      <c r="H164" s="385"/>
      <c r="I164" s="175">
        <f t="shared" si="83"/>
        <v>18</v>
      </c>
      <c r="J164" s="175">
        <f t="shared" si="84"/>
        <v>1363.1041888418574</v>
      </c>
      <c r="K164" s="202">
        <f t="shared" si="85"/>
        <v>75.728010491214292</v>
      </c>
      <c r="L164" s="385"/>
      <c r="M164" s="175">
        <f>RANK(K164, K$147:$K$176)</f>
        <v>13</v>
      </c>
      <c r="N164" s="387"/>
      <c r="O164" s="387"/>
      <c r="P164" s="175">
        <v>18</v>
      </c>
      <c r="Q164" s="175">
        <v>1386.9230769230762</v>
      </c>
      <c r="R164" s="175">
        <v>77.051282051282016</v>
      </c>
      <c r="S164" s="105">
        <f t="shared" si="93"/>
        <v>12</v>
      </c>
      <c r="T164" s="412"/>
      <c r="U164" s="175">
        <v>18</v>
      </c>
      <c r="V164" s="175">
        <v>1368.4615384615377</v>
      </c>
      <c r="W164" s="175">
        <v>76.025641025640979</v>
      </c>
      <c r="X164" s="105">
        <f t="shared" si="94"/>
        <v>13</v>
      </c>
      <c r="Y164" s="412"/>
      <c r="Z164" s="175">
        <v>18</v>
      </c>
      <c r="AA164" s="175">
        <v>1348.8607594936702</v>
      </c>
      <c r="AB164" s="175">
        <v>74.936708860759452</v>
      </c>
      <c r="AC164" s="105">
        <f t="shared" si="95"/>
        <v>11</v>
      </c>
      <c r="AD164" s="412"/>
      <c r="AE164" s="175">
        <v>18</v>
      </c>
      <c r="AF164" s="175">
        <v>1367.5324675324669</v>
      </c>
      <c r="AG164" s="175">
        <v>75.974025974025935</v>
      </c>
      <c r="AH164" s="105">
        <f t="shared" si="96"/>
        <v>11</v>
      </c>
      <c r="AI164" s="412"/>
      <c r="AJ164" s="175">
        <v>18</v>
      </c>
      <c r="AK164" s="175">
        <v>1358.5714285714282</v>
      </c>
      <c r="AL164" s="175">
        <v>75.476190476190453</v>
      </c>
      <c r="AM164" s="105">
        <f t="shared" si="97"/>
        <v>10</v>
      </c>
      <c r="AN164" s="412"/>
      <c r="AO164" s="175">
        <v>18</v>
      </c>
      <c r="AP164" s="175">
        <v>1348.2758620689651</v>
      </c>
      <c r="AQ164" s="175">
        <v>74.904214559386958</v>
      </c>
      <c r="AR164" s="105">
        <f t="shared" si="98"/>
        <v>13</v>
      </c>
      <c r="AS164" s="412"/>
      <c r="AT164" s="105"/>
      <c r="AU164" s="202"/>
      <c r="AV164" s="202"/>
      <c r="AW164" s="105" t="e">
        <f t="shared" si="99"/>
        <v>#N/A</v>
      </c>
      <c r="AX164" s="412"/>
    </row>
    <row r="165" spans="2:50">
      <c r="B165" s="398"/>
      <c r="C165" s="105">
        <v>19</v>
      </c>
      <c r="D165" s="228" t="s">
        <v>279</v>
      </c>
      <c r="E165" s="175">
        <v>15</v>
      </c>
      <c r="F165" s="105">
        <v>1440</v>
      </c>
      <c r="G165" s="202">
        <v>96</v>
      </c>
      <c r="H165" s="385"/>
      <c r="I165" s="175">
        <f t="shared" si="83"/>
        <v>15</v>
      </c>
      <c r="J165" s="175">
        <f t="shared" si="84"/>
        <v>1298.9391024169245</v>
      </c>
      <c r="K165" s="202">
        <f t="shared" si="85"/>
        <v>86.595940161128283</v>
      </c>
      <c r="L165" s="385"/>
      <c r="M165" s="175">
        <f>RANK(K165, K$147:$K$176)</f>
        <v>4</v>
      </c>
      <c r="N165" s="387"/>
      <c r="O165" s="387"/>
      <c r="P165" s="175">
        <v>15</v>
      </c>
      <c r="Q165" s="175">
        <v>1297.0000000000014</v>
      </c>
      <c r="R165" s="175">
        <v>86.466666666666754</v>
      </c>
      <c r="S165" s="105">
        <f t="shared" si="93"/>
        <v>4</v>
      </c>
      <c r="T165" s="412"/>
      <c r="U165" s="175">
        <v>15</v>
      </c>
      <c r="V165" s="175">
        <v>1296.0000000000011</v>
      </c>
      <c r="W165" s="175">
        <v>86.400000000000077</v>
      </c>
      <c r="X165" s="105">
        <f t="shared" si="94"/>
        <v>4</v>
      </c>
      <c r="Y165" s="412"/>
      <c r="Z165" s="175">
        <v>15</v>
      </c>
      <c r="AA165" s="175">
        <v>1288.5245901639357</v>
      </c>
      <c r="AB165" s="175">
        <v>85.901639344262378</v>
      </c>
      <c r="AC165" s="105">
        <f t="shared" si="95"/>
        <v>4</v>
      </c>
      <c r="AD165" s="412"/>
      <c r="AE165" s="175">
        <v>15</v>
      </c>
      <c r="AF165" s="175">
        <v>1288.5245901639357</v>
      </c>
      <c r="AG165" s="175">
        <v>85.901639344262378</v>
      </c>
      <c r="AH165" s="105">
        <f t="shared" si="96"/>
        <v>4</v>
      </c>
      <c r="AI165" s="412"/>
      <c r="AJ165" s="175">
        <v>15</v>
      </c>
      <c r="AK165" s="175">
        <v>1298.8235294117662</v>
      </c>
      <c r="AL165" s="175">
        <v>86.588235294117752</v>
      </c>
      <c r="AM165" s="105">
        <f t="shared" si="97"/>
        <v>4</v>
      </c>
      <c r="AN165" s="412"/>
      <c r="AO165" s="175">
        <v>15</v>
      </c>
      <c r="AP165" s="175">
        <v>1324.761904761906</v>
      </c>
      <c r="AQ165" s="175">
        <v>88.317460317460402</v>
      </c>
      <c r="AR165" s="105">
        <f t="shared" si="98"/>
        <v>4</v>
      </c>
      <c r="AS165" s="412"/>
      <c r="AT165" s="105"/>
      <c r="AU165" s="202"/>
      <c r="AV165" s="202"/>
      <c r="AW165" s="105" t="e">
        <f t="shared" si="99"/>
        <v>#N/A</v>
      </c>
      <c r="AX165" s="412"/>
    </row>
    <row r="166" spans="2:50">
      <c r="B166" s="398"/>
      <c r="C166" s="105">
        <v>20</v>
      </c>
      <c r="D166" s="228" t="s">
        <v>280</v>
      </c>
      <c r="E166" s="175">
        <v>17</v>
      </c>
      <c r="F166" s="105">
        <v>1440</v>
      </c>
      <c r="G166" s="202">
        <v>84.705882352941174</v>
      </c>
      <c r="H166" s="385"/>
      <c r="I166" s="175">
        <f t="shared" si="83"/>
        <v>17</v>
      </c>
      <c r="J166" s="175">
        <f t="shared" si="84"/>
        <v>1366.5765790187045</v>
      </c>
      <c r="K166" s="202">
        <f t="shared" si="85"/>
        <v>80.386857589335548</v>
      </c>
      <c r="L166" s="385"/>
      <c r="M166" s="175">
        <f>RANK(K166, K$147:$K$176)</f>
        <v>6</v>
      </c>
      <c r="N166" s="387"/>
      <c r="O166" s="387"/>
      <c r="P166" s="175">
        <v>17</v>
      </c>
      <c r="Q166" s="175">
        <v>1346.1111111111118</v>
      </c>
      <c r="R166" s="175">
        <v>79.183006535947754</v>
      </c>
      <c r="S166" s="105">
        <f t="shared" si="93"/>
        <v>8</v>
      </c>
      <c r="T166" s="412"/>
      <c r="U166" s="175">
        <v>17</v>
      </c>
      <c r="V166" s="175">
        <v>1375.882352941177</v>
      </c>
      <c r="W166" s="175">
        <v>80.934256055363349</v>
      </c>
      <c r="X166" s="105">
        <f t="shared" si="94"/>
        <v>7</v>
      </c>
      <c r="Y166" s="412"/>
      <c r="Z166" s="175">
        <v>17</v>
      </c>
      <c r="AA166" s="175">
        <v>1382.9411764705887</v>
      </c>
      <c r="AB166" s="175">
        <v>81.34948096885816</v>
      </c>
      <c r="AC166" s="105">
        <f t="shared" si="95"/>
        <v>5</v>
      </c>
      <c r="AD166" s="412"/>
      <c r="AE166" s="175">
        <v>17</v>
      </c>
      <c r="AF166" s="175">
        <v>1338.0645161290324</v>
      </c>
      <c r="AG166" s="175">
        <v>78.709677419354847</v>
      </c>
      <c r="AH166" s="105">
        <f t="shared" si="96"/>
        <v>8</v>
      </c>
      <c r="AI166" s="412"/>
      <c r="AJ166" s="175">
        <v>17</v>
      </c>
      <c r="AK166" s="175">
        <v>1372.5714285714271</v>
      </c>
      <c r="AL166" s="175">
        <v>80.73949579831924</v>
      </c>
      <c r="AM166" s="105">
        <f t="shared" si="97"/>
        <v>7</v>
      </c>
      <c r="AN166" s="412"/>
      <c r="AO166" s="175">
        <v>17</v>
      </c>
      <c r="AP166" s="175">
        <v>1383.8888888888896</v>
      </c>
      <c r="AQ166" s="175">
        <v>81.405228758169983</v>
      </c>
      <c r="AR166" s="105">
        <f t="shared" si="98"/>
        <v>7</v>
      </c>
      <c r="AS166" s="412"/>
      <c r="AT166" s="105"/>
      <c r="AU166" s="202"/>
      <c r="AV166" s="202"/>
      <c r="AW166" s="105" t="e">
        <f t="shared" si="99"/>
        <v>#N/A</v>
      </c>
      <c r="AX166" s="412"/>
    </row>
    <row r="167" spans="2:50">
      <c r="B167" s="398"/>
      <c r="C167" s="105">
        <v>21</v>
      </c>
      <c r="D167" s="228" t="s">
        <v>264</v>
      </c>
      <c r="E167" s="175">
        <v>18</v>
      </c>
      <c r="F167" s="105">
        <v>1636</v>
      </c>
      <c r="G167" s="202">
        <v>90.888888888888886</v>
      </c>
      <c r="H167" s="385"/>
      <c r="I167" s="175">
        <f t="shared" si="83"/>
        <v>16.333333333333332</v>
      </c>
      <c r="J167" s="175">
        <f t="shared" si="84"/>
        <v>1243.4756494604317</v>
      </c>
      <c r="K167" s="202">
        <f t="shared" si="85"/>
        <v>76.185288271323842</v>
      </c>
      <c r="L167" s="385"/>
      <c r="M167" s="175">
        <f>RANK(K167, K$147:$K$176)</f>
        <v>10</v>
      </c>
      <c r="N167" s="387"/>
      <c r="O167" s="387"/>
      <c r="P167" s="175">
        <v>16</v>
      </c>
      <c r="Q167" s="175">
        <v>1256.8421052631554</v>
      </c>
      <c r="R167" s="175">
        <v>78.552631578947214</v>
      </c>
      <c r="S167" s="105">
        <f t="shared" si="93"/>
        <v>9</v>
      </c>
      <c r="T167" s="412"/>
      <c r="U167" s="175">
        <v>16</v>
      </c>
      <c r="V167" s="175">
        <v>1263.1578947368396</v>
      </c>
      <c r="W167" s="175">
        <v>78.947368421052474</v>
      </c>
      <c r="X167" s="105">
        <f t="shared" si="94"/>
        <v>8</v>
      </c>
      <c r="Y167" s="412"/>
      <c r="Z167" s="175">
        <v>17</v>
      </c>
      <c r="AA167" s="175">
        <v>1266.7924528301892</v>
      </c>
      <c r="AB167" s="175">
        <v>74.51720310765819</v>
      </c>
      <c r="AC167" s="105">
        <f t="shared" si="95"/>
        <v>12</v>
      </c>
      <c r="AD167" s="412"/>
      <c r="AE167" s="175">
        <v>16</v>
      </c>
      <c r="AF167" s="175">
        <v>1233.8709677419336</v>
      </c>
      <c r="AG167" s="175">
        <v>77.116935483870847</v>
      </c>
      <c r="AH167" s="105">
        <f t="shared" si="96"/>
        <v>10</v>
      </c>
      <c r="AI167" s="412"/>
      <c r="AJ167" s="175">
        <v>16</v>
      </c>
      <c r="AK167" s="175">
        <v>1206.8571428571415</v>
      </c>
      <c r="AL167" s="175">
        <v>75.428571428571345</v>
      </c>
      <c r="AM167" s="105">
        <f t="shared" si="97"/>
        <v>11</v>
      </c>
      <c r="AN167" s="412"/>
      <c r="AO167" s="175">
        <v>17</v>
      </c>
      <c r="AP167" s="175">
        <v>1233.3333333333312</v>
      </c>
      <c r="AQ167" s="175">
        <v>72.549019607843007</v>
      </c>
      <c r="AR167" s="105">
        <f t="shared" si="98"/>
        <v>14</v>
      </c>
      <c r="AS167" s="412"/>
      <c r="AT167" s="105"/>
      <c r="AU167" s="202"/>
      <c r="AV167" s="202"/>
      <c r="AW167" s="105" t="e">
        <f t="shared" si="99"/>
        <v>#N/A</v>
      </c>
      <c r="AX167" s="412"/>
    </row>
    <row r="168" spans="2:50">
      <c r="B168" s="398"/>
      <c r="C168" s="105">
        <v>22</v>
      </c>
      <c r="D168" s="228" t="s">
        <v>267</v>
      </c>
      <c r="E168" s="175">
        <v>18</v>
      </c>
      <c r="F168" s="105">
        <v>1440</v>
      </c>
      <c r="G168" s="202">
        <v>80</v>
      </c>
      <c r="H168" s="385"/>
      <c r="I168" s="175">
        <f t="shared" si="83"/>
        <v>18</v>
      </c>
      <c r="J168" s="175">
        <f t="shared" si="84"/>
        <v>1289.6376628530263</v>
      </c>
      <c r="K168" s="202">
        <f t="shared" si="85"/>
        <v>71.646536825168127</v>
      </c>
      <c r="L168" s="385"/>
      <c r="M168" s="175">
        <f>RANK(K168, K$147:$K$176)</f>
        <v>16</v>
      </c>
      <c r="N168" s="387"/>
      <c r="O168" s="387"/>
      <c r="P168" s="175">
        <v>18</v>
      </c>
      <c r="Q168" s="175">
        <v>1288.6046511627906</v>
      </c>
      <c r="R168" s="175">
        <v>71.589147286821699</v>
      </c>
      <c r="S168" s="105">
        <f t="shared" si="93"/>
        <v>17</v>
      </c>
      <c r="T168" s="412"/>
      <c r="U168" s="175">
        <v>18</v>
      </c>
      <c r="V168" s="175">
        <v>1287.8571428571424</v>
      </c>
      <c r="W168" s="175">
        <v>71.547619047619023</v>
      </c>
      <c r="X168" s="105">
        <f t="shared" si="94"/>
        <v>16</v>
      </c>
      <c r="Y168" s="412"/>
      <c r="Z168" s="175">
        <v>18</v>
      </c>
      <c r="AA168" s="175">
        <v>1285.4999999999995</v>
      </c>
      <c r="AB168" s="175">
        <v>71.416666666666643</v>
      </c>
      <c r="AC168" s="105">
        <f t="shared" si="95"/>
        <v>16</v>
      </c>
      <c r="AD168" s="412"/>
      <c r="AE168" s="175">
        <v>18</v>
      </c>
      <c r="AF168" s="175">
        <v>1295.555555555555</v>
      </c>
      <c r="AG168" s="175">
        <v>71.975308641975275</v>
      </c>
      <c r="AH168" s="105">
        <f t="shared" si="96"/>
        <v>16</v>
      </c>
      <c r="AI168" s="412"/>
      <c r="AJ168" s="175">
        <v>18</v>
      </c>
      <c r="AK168" s="175">
        <v>1290.6382978723407</v>
      </c>
      <c r="AL168" s="175">
        <v>71.702127659574487</v>
      </c>
      <c r="AM168" s="105">
        <f t="shared" si="97"/>
        <v>16</v>
      </c>
      <c r="AN168" s="412"/>
      <c r="AO168" s="175">
        <v>18</v>
      </c>
      <c r="AP168" s="175">
        <v>1289.6703296703295</v>
      </c>
      <c r="AQ168" s="175">
        <v>71.648351648351635</v>
      </c>
      <c r="AR168" s="105">
        <f t="shared" si="98"/>
        <v>15</v>
      </c>
      <c r="AS168" s="412"/>
      <c r="AT168" s="105"/>
      <c r="AU168" s="202"/>
      <c r="AV168" s="202"/>
      <c r="AW168" s="105" t="e">
        <f t="shared" si="99"/>
        <v>#N/A</v>
      </c>
      <c r="AX168" s="412"/>
    </row>
    <row r="169" spans="2:50">
      <c r="B169" s="398"/>
      <c r="C169" s="105">
        <v>23</v>
      </c>
      <c r="D169" s="228" t="s">
        <v>281</v>
      </c>
      <c r="E169" s="175">
        <v>17</v>
      </c>
      <c r="F169" s="105">
        <v>1440</v>
      </c>
      <c r="G169" s="202">
        <v>84.705882352941174</v>
      </c>
      <c r="H169" s="385"/>
      <c r="I169" s="175">
        <f t="shared" si="83"/>
        <v>16</v>
      </c>
      <c r="J169" s="175">
        <f t="shared" si="84"/>
        <v>1103.2581699346445</v>
      </c>
      <c r="K169" s="202">
        <f t="shared" si="85"/>
        <v>68.953635620915279</v>
      </c>
      <c r="L169" s="385"/>
      <c r="M169" s="175">
        <f>RANK(K169, K$147:$K$176)</f>
        <v>18</v>
      </c>
      <c r="N169" s="387"/>
      <c r="O169" s="387"/>
      <c r="P169" s="175">
        <v>16</v>
      </c>
      <c r="Q169" s="175">
        <v>1110.0000000000039</v>
      </c>
      <c r="R169" s="175">
        <v>69.375000000000242</v>
      </c>
      <c r="S169" s="105">
        <f t="shared" si="93"/>
        <v>18</v>
      </c>
      <c r="T169" s="412"/>
      <c r="U169" s="175">
        <v>16</v>
      </c>
      <c r="V169" s="175">
        <v>1065.8823529411804</v>
      </c>
      <c r="W169" s="175">
        <v>66.617647058823778</v>
      </c>
      <c r="X169" s="105">
        <f t="shared" si="94"/>
        <v>20</v>
      </c>
      <c r="Y169" s="412"/>
      <c r="Z169" s="175">
        <v>16</v>
      </c>
      <c r="AA169" s="175">
        <v>1108.0000000000039</v>
      </c>
      <c r="AB169" s="175">
        <v>69.250000000000242</v>
      </c>
      <c r="AC169" s="105">
        <f t="shared" si="95"/>
        <v>17</v>
      </c>
      <c r="AD169" s="412"/>
      <c r="AE169" s="175">
        <v>16</v>
      </c>
      <c r="AF169" s="175">
        <v>1125.0000000000041</v>
      </c>
      <c r="AG169" s="175">
        <v>70.312500000000256</v>
      </c>
      <c r="AH169" s="105">
        <f t="shared" si="96"/>
        <v>17</v>
      </c>
      <c r="AI169" s="412"/>
      <c r="AJ169" s="175">
        <v>16</v>
      </c>
      <c r="AK169" s="175">
        <v>1104.0000000000039</v>
      </c>
      <c r="AL169" s="175">
        <v>69.000000000000242</v>
      </c>
      <c r="AM169" s="105">
        <f t="shared" si="97"/>
        <v>18</v>
      </c>
      <c r="AN169" s="412"/>
      <c r="AO169" s="175">
        <v>16</v>
      </c>
      <c r="AP169" s="175">
        <v>1106.6666666666706</v>
      </c>
      <c r="AQ169" s="175">
        <v>69.166666666666913</v>
      </c>
      <c r="AR169" s="105">
        <f t="shared" si="98"/>
        <v>17</v>
      </c>
      <c r="AS169" s="412"/>
      <c r="AT169" s="105"/>
      <c r="AU169" s="202"/>
      <c r="AV169" s="202"/>
      <c r="AW169" s="105" t="e">
        <f t="shared" si="99"/>
        <v>#N/A</v>
      </c>
      <c r="AX169" s="412"/>
    </row>
    <row r="170" spans="2:50">
      <c r="B170" s="398"/>
      <c r="C170" s="105">
        <v>24</v>
      </c>
      <c r="D170" s="228" t="s">
        <v>282</v>
      </c>
      <c r="E170" s="175">
        <v>17</v>
      </c>
      <c r="F170" s="105">
        <v>1500</v>
      </c>
      <c r="G170" s="202">
        <v>88.235294117647058</v>
      </c>
      <c r="H170" s="385"/>
      <c r="I170" s="175">
        <f t="shared" si="83"/>
        <v>18</v>
      </c>
      <c r="J170" s="175">
        <f t="shared" si="84"/>
        <v>1320.8324602573255</v>
      </c>
      <c r="K170" s="202">
        <f t="shared" si="85"/>
        <v>73.379581125406972</v>
      </c>
      <c r="L170" s="385"/>
      <c r="M170" s="175">
        <f>RANK(K170, K$147:$K$176)</f>
        <v>15</v>
      </c>
      <c r="N170" s="387"/>
      <c r="O170" s="387"/>
      <c r="P170" s="175">
        <v>18</v>
      </c>
      <c r="Q170" s="175">
        <v>1330.6304347826087</v>
      </c>
      <c r="R170" s="175">
        <v>73.923913043478265</v>
      </c>
      <c r="S170" s="105">
        <f t="shared" si="93"/>
        <v>15</v>
      </c>
      <c r="T170" s="412"/>
      <c r="U170" s="175">
        <v>18</v>
      </c>
      <c r="V170" s="175">
        <v>1285.5445544554461</v>
      </c>
      <c r="W170" s="175">
        <v>71.419141914191457</v>
      </c>
      <c r="X170" s="105">
        <f t="shared" si="94"/>
        <v>17</v>
      </c>
      <c r="Y170" s="412"/>
      <c r="Z170" s="175">
        <v>18</v>
      </c>
      <c r="AA170" s="175">
        <v>1339.5789473684213</v>
      </c>
      <c r="AB170" s="175">
        <v>74.421052631578959</v>
      </c>
      <c r="AC170" s="105">
        <f t="shared" si="95"/>
        <v>14</v>
      </c>
      <c r="AD170" s="412"/>
      <c r="AE170" s="175">
        <v>18</v>
      </c>
      <c r="AF170" s="175">
        <v>1343.5955056179776</v>
      </c>
      <c r="AG170" s="175">
        <v>74.644194756554313</v>
      </c>
      <c r="AH170" s="105">
        <f t="shared" si="96"/>
        <v>14</v>
      </c>
      <c r="AI170" s="412"/>
      <c r="AJ170" s="175">
        <v>18</v>
      </c>
      <c r="AK170" s="175">
        <v>1339.2233009708743</v>
      </c>
      <c r="AL170" s="175">
        <v>74.401294498381901</v>
      </c>
      <c r="AM170" s="105">
        <f t="shared" si="97"/>
        <v>13</v>
      </c>
      <c r="AN170" s="412"/>
      <c r="AO170" s="175">
        <v>18</v>
      </c>
      <c r="AP170" s="175">
        <v>1286.4220183486248</v>
      </c>
      <c r="AQ170" s="175">
        <v>71.467889908256936</v>
      </c>
      <c r="AR170" s="105">
        <f t="shared" si="98"/>
        <v>16</v>
      </c>
      <c r="AS170" s="412"/>
      <c r="AT170" s="105"/>
      <c r="AU170" s="202"/>
      <c r="AV170" s="202"/>
      <c r="AW170" s="105" t="e">
        <f t="shared" si="99"/>
        <v>#N/A</v>
      </c>
      <c r="AX170" s="412"/>
    </row>
    <row r="171" spans="2:50">
      <c r="B171" s="398"/>
      <c r="C171" s="105">
        <v>25</v>
      </c>
      <c r="D171" s="228"/>
      <c r="E171" s="175"/>
      <c r="F171" s="105"/>
      <c r="G171" s="202"/>
      <c r="H171" s="385"/>
      <c r="I171" s="175"/>
      <c r="J171" s="175"/>
      <c r="K171" s="202"/>
      <c r="L171" s="385"/>
      <c r="M171" s="175" t="e">
        <f>RANK(K171, K$147:$K$176)</f>
        <v>#N/A</v>
      </c>
      <c r="N171" s="387"/>
      <c r="O171" s="387"/>
      <c r="P171" s="105"/>
      <c r="Q171" s="202"/>
      <c r="R171" s="202"/>
      <c r="S171" s="105" t="e">
        <f t="shared" si="93"/>
        <v>#N/A</v>
      </c>
      <c r="T171" s="412"/>
      <c r="U171" s="105"/>
      <c r="V171" s="202"/>
      <c r="W171" s="202"/>
      <c r="X171" s="105" t="e">
        <f t="shared" si="94"/>
        <v>#N/A</v>
      </c>
      <c r="Y171" s="412"/>
      <c r="Z171" s="105"/>
      <c r="AA171" s="202"/>
      <c r="AB171" s="202"/>
      <c r="AC171" s="105" t="e">
        <f t="shared" si="95"/>
        <v>#N/A</v>
      </c>
      <c r="AD171" s="412"/>
      <c r="AE171" s="105"/>
      <c r="AF171" s="202"/>
      <c r="AG171" s="202"/>
      <c r="AH171" s="105" t="e">
        <f t="shared" si="96"/>
        <v>#N/A</v>
      </c>
      <c r="AI171" s="412"/>
      <c r="AJ171" s="105"/>
      <c r="AK171" s="202"/>
      <c r="AL171" s="202"/>
      <c r="AM171" s="105" t="e">
        <f t="shared" si="97"/>
        <v>#N/A</v>
      </c>
      <c r="AN171" s="412"/>
      <c r="AO171" s="105"/>
      <c r="AP171" s="202"/>
      <c r="AQ171" s="202"/>
      <c r="AR171" s="105" t="e">
        <f t="shared" si="98"/>
        <v>#N/A</v>
      </c>
      <c r="AS171" s="412"/>
      <c r="AT171" s="105"/>
      <c r="AU171" s="202"/>
      <c r="AV171" s="202"/>
      <c r="AW171" s="105" t="e">
        <f t="shared" si="99"/>
        <v>#N/A</v>
      </c>
      <c r="AX171" s="412"/>
    </row>
    <row r="172" spans="2:50">
      <c r="B172" s="398"/>
      <c r="C172" s="105">
        <v>26</v>
      </c>
      <c r="D172" s="228"/>
      <c r="E172" s="175"/>
      <c r="F172" s="105"/>
      <c r="G172" s="202"/>
      <c r="H172" s="385"/>
      <c r="I172" s="175"/>
      <c r="J172" s="175"/>
      <c r="K172" s="202"/>
      <c r="L172" s="385"/>
      <c r="M172" s="175" t="e">
        <f>RANK(K172, K$147:$K$176)</f>
        <v>#N/A</v>
      </c>
      <c r="N172" s="387"/>
      <c r="O172" s="387"/>
      <c r="P172" s="105"/>
      <c r="Q172" s="202"/>
      <c r="R172" s="202"/>
      <c r="S172" s="105" t="e">
        <f t="shared" si="93"/>
        <v>#N/A</v>
      </c>
      <c r="T172" s="412"/>
      <c r="U172" s="105"/>
      <c r="V172" s="202"/>
      <c r="W172" s="202"/>
      <c r="X172" s="105" t="e">
        <f t="shared" si="94"/>
        <v>#N/A</v>
      </c>
      <c r="Y172" s="412"/>
      <c r="Z172" s="105"/>
      <c r="AA172" s="202"/>
      <c r="AB172" s="202"/>
      <c r="AC172" s="105" t="e">
        <f t="shared" si="95"/>
        <v>#N/A</v>
      </c>
      <c r="AD172" s="412"/>
      <c r="AE172" s="105"/>
      <c r="AF172" s="202"/>
      <c r="AG172" s="202"/>
      <c r="AH172" s="105" t="e">
        <f t="shared" si="96"/>
        <v>#N/A</v>
      </c>
      <c r="AI172" s="412"/>
      <c r="AJ172" s="105"/>
      <c r="AK172" s="202"/>
      <c r="AL172" s="202"/>
      <c r="AM172" s="105" t="e">
        <f t="shared" si="97"/>
        <v>#N/A</v>
      </c>
      <c r="AN172" s="412"/>
      <c r="AO172" s="105"/>
      <c r="AP172" s="202"/>
      <c r="AQ172" s="202"/>
      <c r="AR172" s="105" t="e">
        <f t="shared" si="98"/>
        <v>#N/A</v>
      </c>
      <c r="AS172" s="412"/>
      <c r="AT172" s="105"/>
      <c r="AU172" s="202"/>
      <c r="AV172" s="202"/>
      <c r="AW172" s="105" t="e">
        <f t="shared" si="99"/>
        <v>#N/A</v>
      </c>
      <c r="AX172" s="412"/>
    </row>
    <row r="173" spans="2:50">
      <c r="B173" s="398"/>
      <c r="C173" s="105">
        <v>27</v>
      </c>
      <c r="D173" s="228"/>
      <c r="E173" s="175"/>
      <c r="F173" s="105"/>
      <c r="G173" s="202"/>
      <c r="H173" s="385"/>
      <c r="I173" s="175"/>
      <c r="J173" s="175"/>
      <c r="K173" s="202"/>
      <c r="L173" s="385"/>
      <c r="M173" s="175" t="e">
        <f>RANK(K173, K$147:$K$176)</f>
        <v>#N/A</v>
      </c>
      <c r="N173" s="387"/>
      <c r="O173" s="387"/>
      <c r="P173" s="105"/>
      <c r="Q173" s="202"/>
      <c r="R173" s="202"/>
      <c r="S173" s="105" t="e">
        <f t="shared" si="93"/>
        <v>#N/A</v>
      </c>
      <c r="T173" s="412"/>
      <c r="U173" s="105"/>
      <c r="V173" s="202"/>
      <c r="W173" s="202"/>
      <c r="X173" s="105" t="e">
        <f t="shared" si="94"/>
        <v>#N/A</v>
      </c>
      <c r="Y173" s="412"/>
      <c r="Z173" s="105"/>
      <c r="AA173" s="202"/>
      <c r="AB173" s="202"/>
      <c r="AC173" s="105" t="e">
        <f t="shared" si="95"/>
        <v>#N/A</v>
      </c>
      <c r="AD173" s="412"/>
      <c r="AE173" s="105"/>
      <c r="AF173" s="202"/>
      <c r="AG173" s="202"/>
      <c r="AH173" s="105" t="e">
        <f t="shared" si="96"/>
        <v>#N/A</v>
      </c>
      <c r="AI173" s="412"/>
      <c r="AJ173" s="105"/>
      <c r="AK173" s="202"/>
      <c r="AL173" s="202"/>
      <c r="AM173" s="105" t="e">
        <f t="shared" si="97"/>
        <v>#N/A</v>
      </c>
      <c r="AN173" s="412"/>
      <c r="AO173" s="105"/>
      <c r="AP173" s="202"/>
      <c r="AQ173" s="202"/>
      <c r="AR173" s="105" t="e">
        <f t="shared" si="98"/>
        <v>#N/A</v>
      </c>
      <c r="AS173" s="412"/>
      <c r="AT173" s="105"/>
      <c r="AU173" s="202"/>
      <c r="AV173" s="202"/>
      <c r="AW173" s="105" t="e">
        <f t="shared" si="99"/>
        <v>#N/A</v>
      </c>
      <c r="AX173" s="412"/>
    </row>
    <row r="174" spans="2:50">
      <c r="B174" s="398"/>
      <c r="C174" s="105">
        <v>28</v>
      </c>
      <c r="D174" s="228"/>
      <c r="E174" s="175"/>
      <c r="F174" s="105"/>
      <c r="G174" s="202"/>
      <c r="H174" s="385"/>
      <c r="I174" s="175"/>
      <c r="J174" s="175"/>
      <c r="K174" s="202"/>
      <c r="L174" s="385"/>
      <c r="M174" s="175" t="e">
        <f>RANK(K174, K$147:$K$176)</f>
        <v>#N/A</v>
      </c>
      <c r="N174" s="387"/>
      <c r="O174" s="387"/>
      <c r="P174" s="105"/>
      <c r="Q174" s="202"/>
      <c r="R174" s="202"/>
      <c r="S174" s="105" t="e">
        <f t="shared" si="93"/>
        <v>#N/A</v>
      </c>
      <c r="T174" s="412"/>
      <c r="U174" s="105"/>
      <c r="V174" s="202"/>
      <c r="W174" s="202"/>
      <c r="X174" s="105" t="e">
        <f t="shared" si="94"/>
        <v>#N/A</v>
      </c>
      <c r="Y174" s="412"/>
      <c r="Z174" s="105"/>
      <c r="AA174" s="202"/>
      <c r="AB174" s="202"/>
      <c r="AC174" s="105" t="e">
        <f t="shared" si="95"/>
        <v>#N/A</v>
      </c>
      <c r="AD174" s="412"/>
      <c r="AE174" s="105"/>
      <c r="AF174" s="202"/>
      <c r="AG174" s="202"/>
      <c r="AH174" s="105" t="e">
        <f t="shared" si="96"/>
        <v>#N/A</v>
      </c>
      <c r="AI174" s="412"/>
      <c r="AJ174" s="105"/>
      <c r="AK174" s="202"/>
      <c r="AL174" s="202"/>
      <c r="AM174" s="105" t="e">
        <f t="shared" si="97"/>
        <v>#N/A</v>
      </c>
      <c r="AN174" s="412"/>
      <c r="AO174" s="105"/>
      <c r="AP174" s="202"/>
      <c r="AQ174" s="202"/>
      <c r="AR174" s="105" t="e">
        <f t="shared" si="98"/>
        <v>#N/A</v>
      </c>
      <c r="AS174" s="412"/>
      <c r="AT174" s="105"/>
      <c r="AU174" s="202"/>
      <c r="AV174" s="202"/>
      <c r="AW174" s="105" t="e">
        <f t="shared" si="99"/>
        <v>#N/A</v>
      </c>
      <c r="AX174" s="412"/>
    </row>
    <row r="175" spans="2:50">
      <c r="B175" s="398"/>
      <c r="C175" s="105">
        <v>29</v>
      </c>
      <c r="D175" s="228"/>
      <c r="E175" s="175"/>
      <c r="F175" s="105"/>
      <c r="G175" s="202"/>
      <c r="H175" s="385"/>
      <c r="I175" s="105"/>
      <c r="J175" s="105"/>
      <c r="K175" s="105"/>
      <c r="L175" s="385"/>
      <c r="M175" s="175" t="e">
        <f>RANK(K175, K$147:$K$176)</f>
        <v>#N/A</v>
      </c>
      <c r="N175" s="387"/>
      <c r="O175" s="387"/>
      <c r="P175" s="105"/>
      <c r="Q175" s="105"/>
      <c r="R175" s="105"/>
      <c r="S175" s="105" t="e">
        <f t="shared" si="93"/>
        <v>#N/A</v>
      </c>
      <c r="T175" s="412"/>
      <c r="U175" s="105"/>
      <c r="V175" s="105"/>
      <c r="W175" s="105"/>
      <c r="X175" s="105" t="e">
        <f t="shared" si="94"/>
        <v>#N/A</v>
      </c>
      <c r="Y175" s="412"/>
      <c r="Z175" s="105"/>
      <c r="AA175" s="105"/>
      <c r="AB175" s="105"/>
      <c r="AC175" s="105" t="e">
        <f t="shared" si="95"/>
        <v>#N/A</v>
      </c>
      <c r="AD175" s="412"/>
      <c r="AE175" s="105"/>
      <c r="AF175" s="105"/>
      <c r="AG175" s="105"/>
      <c r="AH175" s="105" t="e">
        <f t="shared" si="96"/>
        <v>#N/A</v>
      </c>
      <c r="AI175" s="412"/>
      <c r="AJ175" s="105"/>
      <c r="AK175" s="105"/>
      <c r="AL175" s="105"/>
      <c r="AM175" s="105" t="e">
        <f t="shared" si="97"/>
        <v>#N/A</v>
      </c>
      <c r="AN175" s="412"/>
      <c r="AO175" s="105"/>
      <c r="AP175" s="105"/>
      <c r="AQ175" s="105"/>
      <c r="AR175" s="105" t="e">
        <f t="shared" si="98"/>
        <v>#N/A</v>
      </c>
      <c r="AS175" s="412"/>
      <c r="AT175" s="105"/>
      <c r="AU175" s="105"/>
      <c r="AV175" s="105"/>
      <c r="AW175" s="105" t="e">
        <f t="shared" si="99"/>
        <v>#N/A</v>
      </c>
      <c r="AX175" s="412"/>
    </row>
    <row r="176" spans="2:50">
      <c r="B176" s="398"/>
      <c r="C176" s="105">
        <v>30</v>
      </c>
      <c r="D176" s="228"/>
      <c r="E176" s="175"/>
      <c r="F176" s="105"/>
      <c r="G176" s="202"/>
      <c r="H176" s="386"/>
      <c r="I176" s="105"/>
      <c r="J176" s="105"/>
      <c r="K176" s="105"/>
      <c r="L176" s="386"/>
      <c r="M176" s="175" t="e">
        <f>RANK(K176, K$147:$K$176)</f>
        <v>#N/A</v>
      </c>
      <c r="N176" s="387"/>
      <c r="O176" s="387"/>
      <c r="P176" s="105"/>
      <c r="Q176" s="105"/>
      <c r="R176" s="105"/>
      <c r="S176" s="105" t="e">
        <f t="shared" si="86"/>
        <v>#N/A</v>
      </c>
      <c r="T176" s="412"/>
      <c r="U176" s="105"/>
      <c r="V176" s="105"/>
      <c r="W176" s="105"/>
      <c r="X176" s="105" t="e">
        <f t="shared" si="87"/>
        <v>#N/A</v>
      </c>
      <c r="Y176" s="412"/>
      <c r="Z176" s="105"/>
      <c r="AA176" s="105"/>
      <c r="AB176" s="105"/>
      <c r="AC176" s="105" t="e">
        <f t="shared" si="88"/>
        <v>#N/A</v>
      </c>
      <c r="AD176" s="412"/>
      <c r="AE176" s="105"/>
      <c r="AF176" s="105"/>
      <c r="AG176" s="105"/>
      <c r="AH176" s="105" t="e">
        <f t="shared" si="89"/>
        <v>#N/A</v>
      </c>
      <c r="AI176" s="412"/>
      <c r="AJ176" s="105"/>
      <c r="AK176" s="105"/>
      <c r="AL176" s="105"/>
      <c r="AM176" s="105" t="e">
        <f t="shared" si="90"/>
        <v>#N/A</v>
      </c>
      <c r="AN176" s="412"/>
      <c r="AO176" s="105"/>
      <c r="AP176" s="105"/>
      <c r="AQ176" s="105"/>
      <c r="AR176" s="105" t="e">
        <f t="shared" si="91"/>
        <v>#N/A</v>
      </c>
      <c r="AS176" s="412"/>
      <c r="AT176" s="105"/>
      <c r="AU176" s="105"/>
      <c r="AV176" s="105"/>
      <c r="AW176" s="105" t="e">
        <f t="shared" si="92"/>
        <v>#N/A</v>
      </c>
      <c r="AX176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01"/>
  <sheetViews>
    <sheetView topLeftCell="A37" zoomScale="50" zoomScaleNormal="50" workbookViewId="0">
      <pane xSplit="15" topLeftCell="P1" activePane="topRight" state="frozen"/>
      <selection pane="topRight" activeCell="G37" sqref="G1:G1048576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219">
        <f>AVERAGE(L7,L27,L47,L67,L87)</f>
        <v>65.67274245927976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87" t="s">
        <v>181</v>
      </c>
      <c r="C7" s="105">
        <v>1</v>
      </c>
      <c r="D7" s="228" t="s">
        <v>287</v>
      </c>
      <c r="E7" s="175">
        <v>19</v>
      </c>
      <c r="F7" s="105">
        <v>1440</v>
      </c>
      <c r="G7" s="202">
        <v>75.78947368421052</v>
      </c>
      <c r="H7" s="384">
        <f>AVERAGE(G7:G21)</f>
        <v>68.872417153996111</v>
      </c>
      <c r="I7" s="175">
        <f>AVERAGE(P7,U7,Z7,AE7,AJ7,AO7,AT7)</f>
        <v>19</v>
      </c>
      <c r="J7" s="175">
        <f>AVERAGE(Q7,V7,AA7,AF7,AK7,AP7,AU7)</f>
        <v>1278.504478337135</v>
      </c>
      <c r="K7" s="202">
        <f>AVERAGE(R7,W7,AB7,AG7,AL7,AQ7,AV7)</f>
        <v>67.289709386165001</v>
      </c>
      <c r="L7" s="384">
        <f>IFERROR(AVERAGE(K7:K21),"-")</f>
        <v>66.331196475783315</v>
      </c>
      <c r="M7" s="203">
        <f>RANK(K7, K$7:$K$21)</f>
        <v>5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v>19</v>
      </c>
      <c r="AF7" s="175">
        <v>1274.4578313253007</v>
      </c>
      <c r="AG7" s="202">
        <v>67.076727964489507</v>
      </c>
      <c r="AH7" s="105">
        <f>RANK(AG7, AG$7:AG$21)</f>
        <v>5</v>
      </c>
      <c r="AI7" s="412">
        <f>AVERAGE(AG7:AG21)</f>
        <v>65.059072820231705</v>
      </c>
      <c r="AJ7" s="105">
        <v>19</v>
      </c>
      <c r="AK7" s="175">
        <v>1282.7999999999995</v>
      </c>
      <c r="AL7" s="202">
        <v>67.51578947368418</v>
      </c>
      <c r="AM7" s="105">
        <f>RANK(AL7, AL$7:AL$21)</f>
        <v>6</v>
      </c>
      <c r="AN7" s="412">
        <f>AVERAGE(AL7:AL21)</f>
        <v>66.696086282012246</v>
      </c>
      <c r="AO7" s="105">
        <v>19</v>
      </c>
      <c r="AP7" s="175">
        <v>1267.6691729323309</v>
      </c>
      <c r="AQ7" s="202">
        <v>66.71943015433321</v>
      </c>
      <c r="AR7" s="105">
        <f>RANK(AQ7, AQ$7:AQ$21)</f>
        <v>7</v>
      </c>
      <c r="AS7" s="412">
        <f>AVERAGE(AQ7:AQ21)</f>
        <v>66.34207888511483</v>
      </c>
      <c r="AT7" s="105">
        <v>19</v>
      </c>
      <c r="AU7" s="175">
        <v>1289.090909090909</v>
      </c>
      <c r="AV7" s="202">
        <v>67.846889952153106</v>
      </c>
      <c r="AW7" s="105">
        <f>RANK(AV7, AV$7:AV$21)</f>
        <v>5</v>
      </c>
      <c r="AX7" s="412">
        <f>AVERAGE(AV7:AV21)</f>
        <v>67.227547915774522</v>
      </c>
    </row>
    <row r="8" spans="1:50" ht="15" customHeight="1">
      <c r="A8" s="79"/>
      <c r="B8" s="398"/>
      <c r="C8" s="105">
        <v>2</v>
      </c>
      <c r="D8" s="228" t="s">
        <v>288</v>
      </c>
      <c r="E8" s="175">
        <v>18</v>
      </c>
      <c r="F8" s="105">
        <v>1440</v>
      </c>
      <c r="G8" s="202">
        <v>80</v>
      </c>
      <c r="H8" s="385"/>
      <c r="I8" s="175">
        <f t="shared" ref="I8:K16" si="0">AVERAGE(P8,U8,Z8,AE8,AJ8,AO8,AT8)</f>
        <v>18</v>
      </c>
      <c r="J8" s="175">
        <f t="shared" si="0"/>
        <v>1285.6942421866247</v>
      </c>
      <c r="K8" s="202">
        <f t="shared" si="0"/>
        <v>71.427457899256936</v>
      </c>
      <c r="L8" s="385"/>
      <c r="M8" s="203">
        <f>RANK(K8, K$7:$K$21)</f>
        <v>3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v>18</v>
      </c>
      <c r="AF8" s="175">
        <v>1260</v>
      </c>
      <c r="AG8" s="202">
        <v>70</v>
      </c>
      <c r="AH8" s="105">
        <f t="shared" ref="AH8:AH21" si="4">RANK(AG8, AG$7:AG$21)</f>
        <v>4</v>
      </c>
      <c r="AI8" s="412"/>
      <c r="AJ8" s="105">
        <v>18</v>
      </c>
      <c r="AK8" s="175">
        <v>1306.1946902654868</v>
      </c>
      <c r="AL8" s="202">
        <v>72.56637168141593</v>
      </c>
      <c r="AM8" s="105">
        <f t="shared" ref="AM8:AM21" si="5">RANK(AL8, AL$7:AL$21)</f>
        <v>3</v>
      </c>
      <c r="AN8" s="412"/>
      <c r="AO8" s="105">
        <v>18</v>
      </c>
      <c r="AP8" s="175">
        <v>1305.1898734177207</v>
      </c>
      <c r="AQ8" s="202">
        <v>72.510548523206708</v>
      </c>
      <c r="AR8" s="105">
        <f t="shared" ref="AR8:AR21" si="6">RANK(AQ8, AQ$7:AQ$21)</f>
        <v>3</v>
      </c>
      <c r="AS8" s="412"/>
      <c r="AT8" s="105">
        <v>18</v>
      </c>
      <c r="AU8" s="175">
        <v>1271.3924050632918</v>
      </c>
      <c r="AV8" s="202">
        <v>70.632911392405106</v>
      </c>
      <c r="AW8" s="105">
        <f t="shared" ref="AW8:AW21" si="7">RANK(AV8, AV$7:AV$21)</f>
        <v>3</v>
      </c>
      <c r="AX8" s="412"/>
    </row>
    <row r="9" spans="1:50">
      <c r="A9" s="79"/>
      <c r="B9" s="398"/>
      <c r="C9" s="105">
        <v>3</v>
      </c>
      <c r="D9" s="228" t="s">
        <v>289</v>
      </c>
      <c r="E9" s="175">
        <v>19</v>
      </c>
      <c r="F9" s="105">
        <v>1440</v>
      </c>
      <c r="G9" s="202">
        <v>75.78947368421052</v>
      </c>
      <c r="H9" s="385"/>
      <c r="I9" s="175">
        <f t="shared" si="0"/>
        <v>19</v>
      </c>
      <c r="J9" s="175">
        <f t="shared" si="0"/>
        <v>1192.1667490118577</v>
      </c>
      <c r="K9" s="202">
        <f t="shared" si="0"/>
        <v>62.745618369045147</v>
      </c>
      <c r="L9" s="385"/>
      <c r="M9" s="203">
        <f>RANK(K9, K$7:$K$21)</f>
        <v>9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v>19</v>
      </c>
      <c r="AF9" s="175">
        <v>1187.9999999999995</v>
      </c>
      <c r="AG9" s="202">
        <v>62.526315789473664</v>
      </c>
      <c r="AH9" s="105">
        <f t="shared" si="4"/>
        <v>7</v>
      </c>
      <c r="AI9" s="412"/>
      <c r="AJ9" s="105">
        <v>19</v>
      </c>
      <c r="AK9" s="175">
        <v>1174.090909090909</v>
      </c>
      <c r="AL9" s="202">
        <v>61.794258373205736</v>
      </c>
      <c r="AM9" s="105">
        <f t="shared" si="5"/>
        <v>9</v>
      </c>
      <c r="AN9" s="412"/>
      <c r="AO9" s="105">
        <v>19</v>
      </c>
      <c r="AP9" s="175">
        <v>1198.7500000000002</v>
      </c>
      <c r="AQ9" s="202">
        <v>63.092105263157904</v>
      </c>
      <c r="AR9" s="105">
        <f t="shared" si="6"/>
        <v>9</v>
      </c>
      <c r="AS9" s="412"/>
      <c r="AT9" s="105">
        <v>19</v>
      </c>
      <c r="AU9" s="175">
        <v>1207.8260869565217</v>
      </c>
      <c r="AV9" s="202">
        <v>63.569794050343248</v>
      </c>
      <c r="AW9" s="105">
        <f t="shared" si="7"/>
        <v>9</v>
      </c>
      <c r="AX9" s="412"/>
    </row>
    <row r="10" spans="1:50">
      <c r="A10" s="79"/>
      <c r="B10" s="398"/>
      <c r="C10" s="105">
        <v>4</v>
      </c>
      <c r="D10" s="228" t="s">
        <v>290</v>
      </c>
      <c r="E10" s="175">
        <v>20</v>
      </c>
      <c r="F10" s="105">
        <v>1440</v>
      </c>
      <c r="G10" s="202">
        <v>72</v>
      </c>
      <c r="H10" s="385"/>
      <c r="I10" s="175">
        <f t="shared" si="0"/>
        <v>19.75</v>
      </c>
      <c r="J10" s="175">
        <f t="shared" si="0"/>
        <v>1110.604797441365</v>
      </c>
      <c r="K10" s="202">
        <f t="shared" si="0"/>
        <v>56.258134608910353</v>
      </c>
      <c r="L10" s="385"/>
      <c r="M10" s="203">
        <f>RANK(K10, K$7:$K$21)</f>
        <v>13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v>20</v>
      </c>
      <c r="AF10" s="175">
        <v>1065.0000000000007</v>
      </c>
      <c r="AG10" s="202">
        <v>53.250000000000036</v>
      </c>
      <c r="AH10" s="105">
        <f t="shared" si="4"/>
        <v>13</v>
      </c>
      <c r="AI10" s="412"/>
      <c r="AJ10" s="105">
        <v>19</v>
      </c>
      <c r="AK10" s="175">
        <v>1106.4000000000003</v>
      </c>
      <c r="AL10" s="202">
        <v>58.23157894736844</v>
      </c>
      <c r="AM10" s="105">
        <f t="shared" si="5"/>
        <v>13</v>
      </c>
      <c r="AN10" s="412"/>
      <c r="AO10" s="105">
        <v>20</v>
      </c>
      <c r="AP10" s="175">
        <v>1100.5714285714275</v>
      </c>
      <c r="AQ10" s="202">
        <v>55.028571428571375</v>
      </c>
      <c r="AR10" s="105">
        <f t="shared" si="6"/>
        <v>13</v>
      </c>
      <c r="AS10" s="412"/>
      <c r="AT10" s="105">
        <v>20</v>
      </c>
      <c r="AU10" s="175">
        <v>1170.4477611940313</v>
      </c>
      <c r="AV10" s="202">
        <v>58.522388059701562</v>
      </c>
      <c r="AW10" s="105">
        <f t="shared" si="7"/>
        <v>13</v>
      </c>
      <c r="AX10" s="412"/>
    </row>
    <row r="11" spans="1:50">
      <c r="A11" s="79"/>
      <c r="B11" s="398"/>
      <c r="C11" s="105">
        <v>5</v>
      </c>
      <c r="D11" s="228" t="s">
        <v>291</v>
      </c>
      <c r="E11" s="175">
        <v>16</v>
      </c>
      <c r="F11" s="105">
        <v>1440</v>
      </c>
      <c r="G11" s="202">
        <v>90</v>
      </c>
      <c r="H11" s="385"/>
      <c r="I11" s="175">
        <f t="shared" si="0"/>
        <v>16</v>
      </c>
      <c r="J11" s="175">
        <f t="shared" si="0"/>
        <v>1298.0377472622586</v>
      </c>
      <c r="K11" s="202">
        <f t="shared" si="0"/>
        <v>81.12735920389116</v>
      </c>
      <c r="L11" s="385"/>
      <c r="M11" s="203">
        <f>RANK(K11, K$7:$K$21)</f>
        <v>1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v>16</v>
      </c>
      <c r="AF11" s="175">
        <v>1313.207547169812</v>
      </c>
      <c r="AG11" s="202">
        <v>82.075471698113247</v>
      </c>
      <c r="AH11" s="105">
        <f t="shared" si="4"/>
        <v>1</v>
      </c>
      <c r="AI11" s="412"/>
      <c r="AJ11" s="105">
        <v>16</v>
      </c>
      <c r="AK11" s="175">
        <v>1283.1192660550466</v>
      </c>
      <c r="AL11" s="202">
        <v>80.194954128440415</v>
      </c>
      <c r="AM11" s="105">
        <f t="shared" si="5"/>
        <v>2</v>
      </c>
      <c r="AN11" s="412"/>
      <c r="AO11" s="105">
        <v>16</v>
      </c>
      <c r="AP11" s="175">
        <v>1307.5384615384612</v>
      </c>
      <c r="AQ11" s="202">
        <v>81.721153846153825</v>
      </c>
      <c r="AR11" s="105">
        <f t="shared" si="6"/>
        <v>1</v>
      </c>
      <c r="AS11" s="412"/>
      <c r="AT11" s="105">
        <v>16</v>
      </c>
      <c r="AU11" s="175">
        <v>1288.2857142857144</v>
      </c>
      <c r="AV11" s="202">
        <v>80.517857142857153</v>
      </c>
      <c r="AW11" s="105">
        <f t="shared" si="7"/>
        <v>2</v>
      </c>
      <c r="AX11" s="412"/>
    </row>
    <row r="12" spans="1:50">
      <c r="A12" s="79"/>
      <c r="B12" s="398"/>
      <c r="C12" s="105">
        <v>6</v>
      </c>
      <c r="D12" s="228" t="s">
        <v>292</v>
      </c>
      <c r="E12" s="175">
        <v>18</v>
      </c>
      <c r="F12" s="105">
        <v>1636</v>
      </c>
      <c r="G12" s="202">
        <v>90.888888888888886</v>
      </c>
      <c r="H12" s="385"/>
      <c r="I12" s="175">
        <f t="shared" si="0"/>
        <v>18</v>
      </c>
      <c r="J12" s="175">
        <f t="shared" si="0"/>
        <v>1265.2430580928026</v>
      </c>
      <c r="K12" s="202">
        <f t="shared" si="0"/>
        <v>70.291281005155682</v>
      </c>
      <c r="L12" s="385"/>
      <c r="M12" s="203">
        <f>RANK(K12, K$7:$K$21)</f>
        <v>4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>
        <v>18</v>
      </c>
      <c r="AF12" s="175">
        <v>1322.9999999999995</v>
      </c>
      <c r="AG12" s="202">
        <v>73.499999999999972</v>
      </c>
      <c r="AH12" s="105">
        <f t="shared" si="4"/>
        <v>2</v>
      </c>
      <c r="AI12" s="412"/>
      <c r="AJ12" s="105">
        <v>18</v>
      </c>
      <c r="AK12" s="175">
        <v>1252.8571428571424</v>
      </c>
      <c r="AL12" s="202">
        <v>69.60317460317458</v>
      </c>
      <c r="AM12" s="105">
        <f t="shared" si="5"/>
        <v>4</v>
      </c>
      <c r="AN12" s="412"/>
      <c r="AO12" s="105">
        <v>18</v>
      </c>
      <c r="AP12" s="175">
        <v>1252.1739130434805</v>
      </c>
      <c r="AQ12" s="202">
        <v>69.565217391304472</v>
      </c>
      <c r="AR12" s="105">
        <f t="shared" si="6"/>
        <v>4</v>
      </c>
      <c r="AS12" s="412"/>
      <c r="AT12" s="105">
        <v>18</v>
      </c>
      <c r="AU12" s="175">
        <v>1232.9411764705869</v>
      </c>
      <c r="AV12" s="202">
        <v>68.496732026143718</v>
      </c>
      <c r="AW12" s="105">
        <f t="shared" si="7"/>
        <v>4</v>
      </c>
      <c r="AX12" s="412"/>
    </row>
    <row r="13" spans="1:50">
      <c r="A13" s="79"/>
      <c r="B13" s="398"/>
      <c r="C13" s="105">
        <v>7</v>
      </c>
      <c r="D13" s="228" t="s">
        <v>293</v>
      </c>
      <c r="E13" s="175">
        <v>19</v>
      </c>
      <c r="F13" s="105">
        <v>1440</v>
      </c>
      <c r="G13" s="202">
        <v>75.78947368421052</v>
      </c>
      <c r="H13" s="385"/>
      <c r="I13" s="175">
        <f t="shared" si="0"/>
        <v>19</v>
      </c>
      <c r="J13" s="175">
        <f t="shared" si="0"/>
        <v>1216.9444444444405</v>
      </c>
      <c r="K13" s="202">
        <f t="shared" si="0"/>
        <v>64.099415204678152</v>
      </c>
      <c r="L13" s="385"/>
      <c r="M13" s="203">
        <f>RANK(K13, K$7:$K$21)</f>
        <v>7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>
        <v>19</v>
      </c>
      <c r="AF13" s="175">
        <v>1179.9999999999916</v>
      </c>
      <c r="AG13" s="202">
        <v>62.105263157894292</v>
      </c>
      <c r="AH13" s="105">
        <f t="shared" si="4"/>
        <v>8</v>
      </c>
      <c r="AI13" s="412"/>
      <c r="AJ13" s="105">
        <v>20</v>
      </c>
      <c r="AK13" s="175">
        <v>1237.7777777777749</v>
      </c>
      <c r="AL13" s="202">
        <v>61.888888888888744</v>
      </c>
      <c r="AM13" s="105">
        <f t="shared" si="5"/>
        <v>7</v>
      </c>
      <c r="AN13" s="412"/>
      <c r="AO13" s="105">
        <v>19</v>
      </c>
      <c r="AP13" s="175">
        <v>1267.9999999999977</v>
      </c>
      <c r="AQ13" s="202">
        <v>66.736842105263037</v>
      </c>
      <c r="AR13" s="105">
        <f t="shared" si="6"/>
        <v>5</v>
      </c>
      <c r="AS13" s="412"/>
      <c r="AT13" s="105">
        <v>18</v>
      </c>
      <c r="AU13" s="175">
        <v>1181.9999999999977</v>
      </c>
      <c r="AV13" s="202">
        <v>65.666666666666544</v>
      </c>
      <c r="AW13" s="105">
        <f t="shared" si="7"/>
        <v>7</v>
      </c>
      <c r="AX13" s="412"/>
    </row>
    <row r="14" spans="1:50">
      <c r="A14" s="79"/>
      <c r="B14" s="398"/>
      <c r="C14" s="105">
        <v>8</v>
      </c>
      <c r="D14" s="228" t="s">
        <v>294</v>
      </c>
      <c r="E14" s="175">
        <v>19</v>
      </c>
      <c r="F14" s="105">
        <v>1440</v>
      </c>
      <c r="G14" s="202">
        <v>75.78947368421052</v>
      </c>
      <c r="H14" s="385"/>
      <c r="I14" s="175">
        <f t="shared" si="0"/>
        <v>19</v>
      </c>
      <c r="J14" s="175">
        <f t="shared" si="0"/>
        <v>1116.615970961888</v>
      </c>
      <c r="K14" s="202">
        <f t="shared" si="0"/>
        <v>58.769261629573066</v>
      </c>
      <c r="L14" s="385"/>
      <c r="M14" s="203">
        <f>RANK(K14, K$7:$K$21)</f>
        <v>12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>
        <v>19</v>
      </c>
      <c r="AF14" s="175">
        <v>1086.0000000000039</v>
      </c>
      <c r="AG14" s="202">
        <v>57.157894736842309</v>
      </c>
      <c r="AH14" s="105">
        <f t="shared" si="4"/>
        <v>12</v>
      </c>
      <c r="AI14" s="412"/>
      <c r="AJ14" s="105">
        <v>19</v>
      </c>
      <c r="AK14" s="175">
        <v>1155.6000000000004</v>
      </c>
      <c r="AL14" s="202">
        <v>60.821052631578965</v>
      </c>
      <c r="AM14" s="105">
        <f t="shared" si="5"/>
        <v>10</v>
      </c>
      <c r="AN14" s="412"/>
      <c r="AO14" s="105">
        <v>19</v>
      </c>
      <c r="AP14" s="175">
        <v>1062.1052631578955</v>
      </c>
      <c r="AQ14" s="202">
        <v>55.90027700831029</v>
      </c>
      <c r="AR14" s="105">
        <f t="shared" si="6"/>
        <v>12</v>
      </c>
      <c r="AS14" s="412"/>
      <c r="AT14" s="105">
        <v>19</v>
      </c>
      <c r="AU14" s="175">
        <v>1162.7586206896528</v>
      </c>
      <c r="AV14" s="202">
        <v>61.197822141560678</v>
      </c>
      <c r="AW14" s="105">
        <f t="shared" si="7"/>
        <v>10</v>
      </c>
      <c r="AX14" s="412"/>
    </row>
    <row r="15" spans="1:50">
      <c r="A15" s="79"/>
      <c r="B15" s="398"/>
      <c r="C15" s="105">
        <v>9</v>
      </c>
      <c r="D15" s="228" t="s">
        <v>295</v>
      </c>
      <c r="E15" s="175">
        <v>15</v>
      </c>
      <c r="F15" s="105">
        <v>1500</v>
      </c>
      <c r="G15" s="202">
        <v>100</v>
      </c>
      <c r="H15" s="385"/>
      <c r="I15" s="175">
        <f t="shared" si="0"/>
        <v>15.25</v>
      </c>
      <c r="J15" s="175">
        <f t="shared" si="0"/>
        <v>1233.0827033007558</v>
      </c>
      <c r="K15" s="202">
        <f t="shared" si="0"/>
        <v>80.880145906324884</v>
      </c>
      <c r="L15" s="385"/>
      <c r="M15" s="203">
        <f>RANK(K15, K$7:$K$21)</f>
        <v>2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>
        <v>15</v>
      </c>
      <c r="AF15" s="175">
        <v>1085.4545454545466</v>
      </c>
      <c r="AG15" s="202">
        <v>72.363636363636445</v>
      </c>
      <c r="AH15" s="105">
        <f t="shared" si="4"/>
        <v>3</v>
      </c>
      <c r="AI15" s="412"/>
      <c r="AJ15" s="105">
        <v>15</v>
      </c>
      <c r="AK15" s="175">
        <v>1282.758620689656</v>
      </c>
      <c r="AL15" s="202">
        <v>85.517241379310406</v>
      </c>
      <c r="AM15" s="105">
        <f t="shared" si="5"/>
        <v>1</v>
      </c>
      <c r="AN15" s="412"/>
      <c r="AO15" s="105">
        <v>16</v>
      </c>
      <c r="AP15" s="175">
        <v>1272.3529411764689</v>
      </c>
      <c r="AQ15" s="202">
        <v>79.522058823529306</v>
      </c>
      <c r="AR15" s="105">
        <f t="shared" si="6"/>
        <v>2</v>
      </c>
      <c r="AS15" s="412"/>
      <c r="AT15" s="105">
        <v>15</v>
      </c>
      <c r="AU15" s="175">
        <v>1291.7647058823513</v>
      </c>
      <c r="AV15" s="202">
        <v>86.117647058823422</v>
      </c>
      <c r="AW15" s="105">
        <f t="shared" si="7"/>
        <v>1</v>
      </c>
      <c r="AX15" s="412"/>
    </row>
    <row r="16" spans="1:50">
      <c r="A16" s="79"/>
      <c r="B16" s="398"/>
      <c r="C16" s="105">
        <v>10</v>
      </c>
      <c r="D16" s="228" t="s">
        <v>293</v>
      </c>
      <c r="E16" s="175">
        <v>19</v>
      </c>
      <c r="F16" s="105">
        <v>1440</v>
      </c>
      <c r="G16" s="202">
        <v>75.78947368421052</v>
      </c>
      <c r="H16" s="385"/>
      <c r="I16" s="175">
        <f t="shared" si="0"/>
        <v>19</v>
      </c>
      <c r="J16" s="175">
        <f t="shared" si="0"/>
        <v>1216.9444444444405</v>
      </c>
      <c r="K16" s="202">
        <f t="shared" si="0"/>
        <v>64.099415204678152</v>
      </c>
      <c r="L16" s="385"/>
      <c r="M16" s="203">
        <f>RANK(K16, K$7:$K$21)</f>
        <v>7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>
        <v>19</v>
      </c>
      <c r="AF16" s="175">
        <v>1179.9999999999916</v>
      </c>
      <c r="AG16" s="202">
        <v>62.105263157894292</v>
      </c>
      <c r="AH16" s="105">
        <f t="shared" si="4"/>
        <v>8</v>
      </c>
      <c r="AI16" s="412"/>
      <c r="AJ16" s="105">
        <v>20</v>
      </c>
      <c r="AK16" s="175">
        <v>1237.7777777777749</v>
      </c>
      <c r="AL16" s="202">
        <v>61.888888888888744</v>
      </c>
      <c r="AM16" s="105">
        <f t="shared" si="5"/>
        <v>7</v>
      </c>
      <c r="AN16" s="412"/>
      <c r="AO16" s="105">
        <v>19</v>
      </c>
      <c r="AP16" s="175">
        <v>1267.9999999999977</v>
      </c>
      <c r="AQ16" s="202">
        <v>66.736842105263037</v>
      </c>
      <c r="AR16" s="105">
        <f t="shared" si="6"/>
        <v>5</v>
      </c>
      <c r="AS16" s="412"/>
      <c r="AT16" s="105">
        <v>18</v>
      </c>
      <c r="AU16" s="175">
        <v>1181.9999999999977</v>
      </c>
      <c r="AV16" s="202">
        <v>65.666666666666544</v>
      </c>
      <c r="AW16" s="105">
        <f t="shared" si="7"/>
        <v>7</v>
      </c>
      <c r="AX16" s="412"/>
    </row>
    <row r="17" spans="2:50">
      <c r="B17" s="398"/>
      <c r="C17" s="105">
        <v>11</v>
      </c>
      <c r="D17" s="228" t="s">
        <v>296</v>
      </c>
      <c r="E17" s="175">
        <v>18</v>
      </c>
      <c r="F17" s="105">
        <v>1440</v>
      </c>
      <c r="G17" s="202">
        <v>80</v>
      </c>
      <c r="H17" s="385"/>
      <c r="I17" s="175">
        <f t="shared" ref="I17:I19" si="8">AVERAGE(P17,U17,Z17,AE17,AJ17,AO17,AT17)</f>
        <v>18</v>
      </c>
      <c r="J17" s="175">
        <f t="shared" ref="J17:J19" si="9">AVERAGE(Q17,V17,AA17,AF17,AK17,AP17,AU17)</f>
        <v>1190.6636627906978</v>
      </c>
      <c r="K17" s="202">
        <f t="shared" ref="K17:K19" si="10">AVERAGE(R17,W17,AB17,AG17,AL17,AQ17,AV17)</f>
        <v>66.147981266149884</v>
      </c>
      <c r="L17" s="385"/>
      <c r="M17" s="203">
        <f>RANK(K17, K$7:$K$21)</f>
        <v>6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>
        <v>18</v>
      </c>
      <c r="AF17" s="175">
        <v>1176.2790697674418</v>
      </c>
      <c r="AG17" s="202">
        <v>65.348837209302317</v>
      </c>
      <c r="AH17" s="105">
        <f t="shared" si="4"/>
        <v>6</v>
      </c>
      <c r="AI17" s="412"/>
      <c r="AJ17" s="105">
        <v>18</v>
      </c>
      <c r="AK17" s="175">
        <v>1222.3255813953488</v>
      </c>
      <c r="AL17" s="202">
        <v>67.906976744186039</v>
      </c>
      <c r="AM17" s="105">
        <f t="shared" si="5"/>
        <v>5</v>
      </c>
      <c r="AN17" s="412"/>
      <c r="AO17" s="105">
        <v>18</v>
      </c>
      <c r="AP17" s="175">
        <v>1171.2500000000005</v>
      </c>
      <c r="AQ17" s="202">
        <v>65.069444444444471</v>
      </c>
      <c r="AR17" s="105">
        <f t="shared" si="6"/>
        <v>8</v>
      </c>
      <c r="AS17" s="412"/>
      <c r="AT17" s="105">
        <v>18</v>
      </c>
      <c r="AU17" s="175">
        <v>1192.8000000000004</v>
      </c>
      <c r="AV17" s="202">
        <v>66.266666666666694</v>
      </c>
      <c r="AW17" s="105">
        <f t="shared" si="7"/>
        <v>6</v>
      </c>
      <c r="AX17" s="412"/>
    </row>
    <row r="18" spans="2:50">
      <c r="B18" s="398"/>
      <c r="C18" s="105">
        <v>12</v>
      </c>
      <c r="D18" s="228" t="s">
        <v>297</v>
      </c>
      <c r="E18" s="175">
        <v>20</v>
      </c>
      <c r="F18" s="105">
        <v>1385</v>
      </c>
      <c r="G18" s="202">
        <v>69.25</v>
      </c>
      <c r="H18" s="385"/>
      <c r="I18" s="175">
        <f t="shared" si="8"/>
        <v>20</v>
      </c>
      <c r="J18" s="175">
        <f t="shared" si="9"/>
        <v>1194.303090244837</v>
      </c>
      <c r="K18" s="202">
        <f t="shared" si="10"/>
        <v>59.715154512241853</v>
      </c>
      <c r="L18" s="385"/>
      <c r="M18" s="203">
        <f>RANK(K18, K$7:$K$21)</f>
        <v>10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>
        <v>20</v>
      </c>
      <c r="AF18" s="175">
        <v>1212.0000000000005</v>
      </c>
      <c r="AG18" s="202">
        <v>60.600000000000023</v>
      </c>
      <c r="AH18" s="105">
        <f t="shared" si="4"/>
        <v>10</v>
      </c>
      <c r="AI18" s="412"/>
      <c r="AJ18" s="105">
        <v>20</v>
      </c>
      <c r="AK18" s="175">
        <v>1185.436893203884</v>
      </c>
      <c r="AL18" s="202">
        <v>59.271844660194198</v>
      </c>
      <c r="AM18" s="105">
        <f t="shared" si="5"/>
        <v>12</v>
      </c>
      <c r="AN18" s="412"/>
      <c r="AO18" s="105">
        <v>20</v>
      </c>
      <c r="AP18" s="175">
        <v>1198.1538461538432</v>
      </c>
      <c r="AQ18" s="202">
        <v>59.907692307692159</v>
      </c>
      <c r="AR18" s="105">
        <f t="shared" si="6"/>
        <v>11</v>
      </c>
      <c r="AS18" s="412"/>
      <c r="AT18" s="105">
        <v>20</v>
      </c>
      <c r="AU18" s="175">
        <v>1181.6216216216208</v>
      </c>
      <c r="AV18" s="202">
        <v>59.081081081081038</v>
      </c>
      <c r="AW18" s="105">
        <f t="shared" si="7"/>
        <v>12</v>
      </c>
      <c r="AX18" s="412"/>
    </row>
    <row r="19" spans="2:50">
      <c r="B19" s="398"/>
      <c r="C19" s="105">
        <v>13</v>
      </c>
      <c r="D19" s="228" t="s">
        <v>298</v>
      </c>
      <c r="E19" s="175">
        <v>20</v>
      </c>
      <c r="F19" s="105">
        <v>1440</v>
      </c>
      <c r="G19" s="202">
        <v>72</v>
      </c>
      <c r="H19" s="385"/>
      <c r="I19" s="175">
        <f t="shared" si="8"/>
        <v>20</v>
      </c>
      <c r="J19" s="175">
        <f t="shared" si="9"/>
        <v>1189.092399782259</v>
      </c>
      <c r="K19" s="202">
        <f t="shared" si="10"/>
        <v>59.454619989112949</v>
      </c>
      <c r="L19" s="385"/>
      <c r="M19" s="203">
        <f>RANK(K19, K$7:$K$21)</f>
        <v>11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>
        <v>20</v>
      </c>
      <c r="AF19" s="175">
        <v>1153.1707317073167</v>
      </c>
      <c r="AG19" s="202">
        <v>57.658536585365837</v>
      </c>
      <c r="AH19" s="105">
        <f t="shared" si="4"/>
        <v>11</v>
      </c>
      <c r="AI19" s="412"/>
      <c r="AJ19" s="105">
        <v>20</v>
      </c>
      <c r="AK19" s="175">
        <v>1196.9620253164551</v>
      </c>
      <c r="AL19" s="202">
        <v>59.848101265822756</v>
      </c>
      <c r="AM19" s="105">
        <f t="shared" si="5"/>
        <v>11</v>
      </c>
      <c r="AN19" s="412"/>
      <c r="AO19" s="105">
        <v>20</v>
      </c>
      <c r="AP19" s="175">
        <v>1198.7368421052633</v>
      </c>
      <c r="AQ19" s="202">
        <v>59.936842105263167</v>
      </c>
      <c r="AR19" s="105">
        <f t="shared" si="6"/>
        <v>10</v>
      </c>
      <c r="AS19" s="412"/>
      <c r="AT19" s="105">
        <v>20</v>
      </c>
      <c r="AU19" s="175">
        <v>1207.5000000000007</v>
      </c>
      <c r="AV19" s="202">
        <v>60.375000000000036</v>
      </c>
      <c r="AW19" s="105">
        <f t="shared" si="7"/>
        <v>11</v>
      </c>
      <c r="AX19" s="412"/>
    </row>
    <row r="20" spans="2:50">
      <c r="B20" s="398"/>
      <c r="C20" s="105">
        <v>14</v>
      </c>
      <c r="D20" s="228"/>
      <c r="E20" s="175">
        <f>IFERROR(VLOOKUP($D20,[2]晉欣4度C0801!$D$5:$AD$9999,7,0),"")</f>
        <v>0</v>
      </c>
      <c r="F20" s="105">
        <f>IFERROR(VLOOKUP($D20,[2]晉欣4度C0801!$D$5:$AD$9999,8,0),"")</f>
        <v>0</v>
      </c>
      <c r="G20" s="202">
        <f>IFERROR(VLOOKUP($D20,[2]晉欣4度C0801!$D$5:$AD$9999,9,0),"")</f>
        <v>0</v>
      </c>
      <c r="H20" s="385"/>
      <c r="I20" s="105"/>
      <c r="J20" s="105"/>
      <c r="K20" s="105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202"/>
      <c r="AH20" s="105" t="e">
        <f t="shared" si="4"/>
        <v>#N/A</v>
      </c>
      <c r="AI20" s="412"/>
      <c r="AJ20" s="105"/>
      <c r="AK20" s="175"/>
      <c r="AL20" s="202"/>
      <c r="AM20" s="105" t="e">
        <f t="shared" si="5"/>
        <v>#N/A</v>
      </c>
      <c r="AN20" s="412"/>
      <c r="AO20" s="105"/>
      <c r="AP20" s="175"/>
      <c r="AQ20" s="202"/>
      <c r="AR20" s="105" t="e">
        <f t="shared" si="6"/>
        <v>#N/A</v>
      </c>
      <c r="AS20" s="412"/>
      <c r="AT20" s="105"/>
      <c r="AU20" s="175"/>
      <c r="AV20" s="202"/>
      <c r="AW20" s="105" t="e">
        <f t="shared" si="7"/>
        <v>#N/A</v>
      </c>
      <c r="AX20" s="412"/>
    </row>
    <row r="21" spans="2:50">
      <c r="B21" s="398"/>
      <c r="C21" s="105">
        <v>15</v>
      </c>
      <c r="D21" s="228"/>
      <c r="E21" s="175">
        <f>IFERROR(VLOOKUP($D21,[2]晉欣4度C0801!$D$5:$AD$9999,7,0),"")</f>
        <v>0</v>
      </c>
      <c r="F21" s="105">
        <f>IFERROR(VLOOKUP($D21,[2]晉欣4度C0801!$D$5:$AD$9999,8,0),"")</f>
        <v>0</v>
      </c>
      <c r="G21" s="202">
        <f>IFERROR(VLOOKUP($D21,[2]晉欣4度C0801!$D$5:$AD$9999,9,0),"")</f>
        <v>0</v>
      </c>
      <c r="H21" s="386"/>
      <c r="I21" s="105"/>
      <c r="J21" s="105"/>
      <c r="K21" s="105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202"/>
      <c r="AH21" s="105" t="e">
        <f t="shared" si="4"/>
        <v>#N/A</v>
      </c>
      <c r="AI21" s="412"/>
      <c r="AJ21" s="105"/>
      <c r="AK21" s="175"/>
      <c r="AL21" s="202"/>
      <c r="AM21" s="105" t="e">
        <f t="shared" si="5"/>
        <v>#N/A</v>
      </c>
      <c r="AN21" s="412"/>
      <c r="AO21" s="105"/>
      <c r="AP21" s="175"/>
      <c r="AQ21" s="202"/>
      <c r="AR21" s="105" t="e">
        <f t="shared" si="6"/>
        <v>#N/A</v>
      </c>
      <c r="AS21" s="412"/>
      <c r="AT21" s="105"/>
      <c r="AU21" s="175"/>
      <c r="AV21" s="202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387" t="s">
        <v>181</v>
      </c>
      <c r="C27" s="105">
        <v>1</v>
      </c>
      <c r="D27" s="228" t="s">
        <v>287</v>
      </c>
      <c r="E27" s="175">
        <v>19</v>
      </c>
      <c r="F27" s="105">
        <v>1440</v>
      </c>
      <c r="G27" s="202">
        <v>75.78947368421052</v>
      </c>
      <c r="H27" s="384">
        <f>AVERAGE(G27:G41)</f>
        <v>79.754253056884636</v>
      </c>
      <c r="I27" s="175">
        <f>AVERAGE(P27,U27,Z27,AE27,AJ27,AO27,AT27)</f>
        <v>19</v>
      </c>
      <c r="J27" s="175">
        <f>AVERAGE(Q27,V27,AA27,AF27,AK27,AP27,AU27)</f>
        <v>1285.7311921202668</v>
      </c>
      <c r="K27" s="202">
        <f>AVERAGE(R27,W27,AB27,AG27,AL27,AQ27,AV27)</f>
        <v>67.67006274317194</v>
      </c>
      <c r="L27" s="384">
        <f>IFERROR(AVERAGE(K27:K41),"-")</f>
        <v>65.330919279497223</v>
      </c>
      <c r="M27" s="203">
        <f>RANK(K27, K$27:$K$41)</f>
        <v>4</v>
      </c>
      <c r="N27" s="387"/>
      <c r="O27" s="387"/>
      <c r="P27" s="105">
        <v>19</v>
      </c>
      <c r="Q27" s="202">
        <v>1293.6923076923074</v>
      </c>
      <c r="R27" s="202">
        <v>68.089068825910914</v>
      </c>
      <c r="S27" s="105">
        <f>RANK(R27, R$27:R$41)</f>
        <v>3</v>
      </c>
      <c r="T27" s="384">
        <f>AVERAGE(R27:R41)</f>
        <v>65.822261022611485</v>
      </c>
      <c r="U27" s="105">
        <v>19</v>
      </c>
      <c r="V27" s="202">
        <v>1267.9069767441858</v>
      </c>
      <c r="W27" s="202">
        <v>66.731946144430836</v>
      </c>
      <c r="X27" s="105">
        <f>RANK(W27, W$27:W$41)</f>
        <v>5</v>
      </c>
      <c r="Y27" s="384">
        <f>AVERAGE(W27:W41)</f>
        <v>65.766348439891829</v>
      </c>
      <c r="Z27" s="105">
        <v>19</v>
      </c>
      <c r="AA27" s="202">
        <v>1268.2258064516134</v>
      </c>
      <c r="AB27" s="202">
        <v>66.748726655348079</v>
      </c>
      <c r="AC27" s="105">
        <f>RANK(AB27, AB$27:AB$41)</f>
        <v>5</v>
      </c>
      <c r="AD27" s="384">
        <f>AVERAGE(AB27:AB41)</f>
        <v>64.671886452820686</v>
      </c>
      <c r="AE27" s="105">
        <v>19</v>
      </c>
      <c r="AF27" s="202">
        <v>1315.0000000000002</v>
      </c>
      <c r="AG27" s="202">
        <v>69.21052631578948</v>
      </c>
      <c r="AH27" s="105">
        <f>RANK(AG27, AG$27:AG$41)</f>
        <v>3</v>
      </c>
      <c r="AI27" s="384">
        <f>AVERAGE(AG27:AG41)</f>
        <v>63.669930313739037</v>
      </c>
      <c r="AJ27" s="105">
        <v>19</v>
      </c>
      <c r="AK27" s="202">
        <v>1305.4736842105265</v>
      </c>
      <c r="AL27" s="202">
        <v>68.709141274238235</v>
      </c>
      <c r="AM27" s="105">
        <f>RANK(AL27, AL$27:AL$41)</f>
        <v>4</v>
      </c>
      <c r="AN27" s="384">
        <f>AVERAGE(AL27:AL41)</f>
        <v>64.131102682388331</v>
      </c>
      <c r="AO27" s="105">
        <v>19</v>
      </c>
      <c r="AP27" s="202">
        <v>1253.6363636363637</v>
      </c>
      <c r="AQ27" s="202">
        <v>65.980861244019138</v>
      </c>
      <c r="AR27" s="105">
        <f>RANK(AQ27, AQ$27:AQ$41)</f>
        <v>4</v>
      </c>
      <c r="AS27" s="384">
        <f>AVERAGE(AQ27:AQ41)</f>
        <v>65.129758413383428</v>
      </c>
      <c r="AT27" s="105">
        <v>19</v>
      </c>
      <c r="AU27" s="202">
        <v>1296.1832061068703</v>
      </c>
      <c r="AV27" s="202">
        <v>68.220168742466853</v>
      </c>
      <c r="AW27" s="105">
        <f>RANK(AV27, AV$27:AV$41)</f>
        <v>4</v>
      </c>
      <c r="AX27" s="412">
        <f>AVERAGE(AV27:AV41)</f>
        <v>65.696883589853613</v>
      </c>
    </row>
    <row r="28" spans="2:50">
      <c r="B28" s="398"/>
      <c r="C28" s="105">
        <v>2</v>
      </c>
      <c r="D28" s="228" t="s">
        <v>289</v>
      </c>
      <c r="E28" s="175">
        <v>19</v>
      </c>
      <c r="F28" s="105">
        <v>1440</v>
      </c>
      <c r="G28" s="202">
        <v>75.78947368421052</v>
      </c>
      <c r="H28" s="385"/>
      <c r="I28" s="175">
        <f t="shared" ref="I28:K36" si="11">AVERAGE(P28,U28,Z28,AE28,AJ28,AO28,AT28)</f>
        <v>19</v>
      </c>
      <c r="J28" s="175">
        <f t="shared" si="11"/>
        <v>1184.5343306971788</v>
      </c>
      <c r="K28" s="202">
        <f t="shared" si="11"/>
        <v>62.343912141956778</v>
      </c>
      <c r="L28" s="385"/>
      <c r="M28" s="203">
        <f>RANK(K28, K$27:$K$41)</f>
        <v>6</v>
      </c>
      <c r="N28" s="387"/>
      <c r="O28" s="387"/>
      <c r="P28" s="105">
        <v>19</v>
      </c>
      <c r="Q28" s="202">
        <v>1171.9148936170216</v>
      </c>
      <c r="R28" s="202">
        <v>61.679731243001136</v>
      </c>
      <c r="S28" s="105">
        <f t="shared" ref="S28:S41" si="12">RANK(R28, R$27:R$41)</f>
        <v>7</v>
      </c>
      <c r="T28" s="385"/>
      <c r="U28" s="105">
        <v>19</v>
      </c>
      <c r="V28" s="202">
        <v>1176.7346938775513</v>
      </c>
      <c r="W28" s="202">
        <v>61.933404940923751</v>
      </c>
      <c r="X28" s="105">
        <f t="shared" ref="X28:X41" si="13">RANK(W28, W$27:W$41)</f>
        <v>7</v>
      </c>
      <c r="Y28" s="385"/>
      <c r="Z28" s="105">
        <v>19</v>
      </c>
      <c r="AA28" s="202">
        <v>1166.6666666666665</v>
      </c>
      <c r="AB28" s="202">
        <v>61.403508771929815</v>
      </c>
      <c r="AC28" s="105">
        <f t="shared" ref="AC28:AC41" si="14">RANK(AB28, AB$27:AB$41)</f>
        <v>6</v>
      </c>
      <c r="AD28" s="385"/>
      <c r="AE28" s="105">
        <v>19</v>
      </c>
      <c r="AF28" s="202">
        <v>1165.1162790697672</v>
      </c>
      <c r="AG28" s="202">
        <v>61.321909424724588</v>
      </c>
      <c r="AH28" s="105">
        <f t="shared" ref="AH28:AH41" si="15">RANK(AG28, AG$27:AG$41)</f>
        <v>6</v>
      </c>
      <c r="AI28" s="385"/>
      <c r="AJ28" s="105">
        <v>19</v>
      </c>
      <c r="AK28" s="202">
        <v>1202.9268292682923</v>
      </c>
      <c r="AL28" s="202">
        <v>63.311938382541697</v>
      </c>
      <c r="AM28" s="105">
        <f t="shared" ref="AM28:AM41" si="16">RANK(AL28, AL$27:AL$41)</f>
        <v>6</v>
      </c>
      <c r="AN28" s="385"/>
      <c r="AO28" s="105">
        <v>19</v>
      </c>
      <c r="AP28" s="202">
        <v>1222.6666666666665</v>
      </c>
      <c r="AQ28" s="202">
        <v>64.350877192982452</v>
      </c>
      <c r="AR28" s="105">
        <f t="shared" ref="AR28:AR41" si="17">RANK(AQ28, AQ$27:AQ$41)</f>
        <v>6</v>
      </c>
      <c r="AS28" s="385"/>
      <c r="AT28" s="105">
        <v>19</v>
      </c>
      <c r="AU28" s="202">
        <v>1185.7142857142853</v>
      </c>
      <c r="AV28" s="202">
        <v>62.406015037593967</v>
      </c>
      <c r="AW28" s="105">
        <f t="shared" ref="AW28:AW41" si="18">RANK(AV28, AV$27:AV$41)</f>
        <v>6</v>
      </c>
      <c r="AX28" s="412"/>
    </row>
    <row r="29" spans="2:50">
      <c r="B29" s="398"/>
      <c r="C29" s="105">
        <v>3</v>
      </c>
      <c r="D29" s="228" t="s">
        <v>290</v>
      </c>
      <c r="E29" s="175">
        <v>20</v>
      </c>
      <c r="F29" s="105">
        <v>1440</v>
      </c>
      <c r="G29" s="202">
        <v>72</v>
      </c>
      <c r="H29" s="385"/>
      <c r="I29" s="175">
        <f t="shared" si="11"/>
        <v>19.714285714285715</v>
      </c>
      <c r="J29" s="175">
        <f t="shared" si="11"/>
        <v>1065.6692166497128</v>
      </c>
      <c r="K29" s="202">
        <f t="shared" si="11"/>
        <v>54.077659207833356</v>
      </c>
      <c r="L29" s="385"/>
      <c r="M29" s="203">
        <f>RANK(K29, K$27:$K$41)</f>
        <v>10</v>
      </c>
      <c r="N29" s="387"/>
      <c r="O29" s="387"/>
      <c r="P29" s="105">
        <v>20</v>
      </c>
      <c r="Q29" s="202">
        <v>1063.1999999999994</v>
      </c>
      <c r="R29" s="202">
        <v>53.159999999999968</v>
      </c>
      <c r="S29" s="105">
        <f t="shared" si="12"/>
        <v>11</v>
      </c>
      <c r="T29" s="385"/>
      <c r="U29" s="105">
        <v>20</v>
      </c>
      <c r="V29" s="202">
        <v>1065.7894736842109</v>
      </c>
      <c r="W29" s="202">
        <v>53.289473684210542</v>
      </c>
      <c r="X29" s="105">
        <f t="shared" si="13"/>
        <v>11</v>
      </c>
      <c r="Y29" s="385"/>
      <c r="Z29" s="105">
        <v>19</v>
      </c>
      <c r="AA29" s="202">
        <v>1060.8695652173913</v>
      </c>
      <c r="AB29" s="202">
        <v>55.835240274599542</v>
      </c>
      <c r="AC29" s="105">
        <f t="shared" si="14"/>
        <v>11</v>
      </c>
      <c r="AD29" s="385"/>
      <c r="AE29" s="105">
        <v>20</v>
      </c>
      <c r="AF29" s="202">
        <v>1067.3076923076928</v>
      </c>
      <c r="AG29" s="202">
        <v>53.365384615384642</v>
      </c>
      <c r="AH29" s="105">
        <f t="shared" si="15"/>
        <v>11</v>
      </c>
      <c r="AI29" s="385"/>
      <c r="AJ29" s="105">
        <v>19</v>
      </c>
      <c r="AK29" s="202">
        <v>1051.6981132075477</v>
      </c>
      <c r="AL29" s="202">
        <v>55.352532274081462</v>
      </c>
      <c r="AM29" s="105">
        <f t="shared" si="16"/>
        <v>11</v>
      </c>
      <c r="AN29" s="385"/>
      <c r="AO29" s="105">
        <v>20</v>
      </c>
      <c r="AP29" s="202">
        <v>1059.9999999999998</v>
      </c>
      <c r="AQ29" s="202">
        <v>52.999999999999986</v>
      </c>
      <c r="AR29" s="105">
        <f t="shared" si="17"/>
        <v>10</v>
      </c>
      <c r="AS29" s="385"/>
      <c r="AT29" s="105">
        <v>20</v>
      </c>
      <c r="AU29" s="202">
        <v>1090.8196721311472</v>
      </c>
      <c r="AV29" s="202">
        <v>54.540983606557361</v>
      </c>
      <c r="AW29" s="105">
        <f t="shared" si="18"/>
        <v>10</v>
      </c>
      <c r="AX29" s="412"/>
    </row>
    <row r="30" spans="2:50">
      <c r="B30" s="398"/>
      <c r="C30" s="105">
        <v>4</v>
      </c>
      <c r="D30" s="228" t="s">
        <v>292</v>
      </c>
      <c r="E30" s="175">
        <v>18</v>
      </c>
      <c r="F30" s="105">
        <v>1636</v>
      </c>
      <c r="G30" s="202">
        <v>90.888888888888886</v>
      </c>
      <c r="H30" s="385"/>
      <c r="I30" s="175">
        <f t="shared" si="11"/>
        <v>18</v>
      </c>
      <c r="J30" s="175">
        <f t="shared" si="11"/>
        <v>1222.9613744439328</v>
      </c>
      <c r="K30" s="202">
        <f t="shared" si="11"/>
        <v>67.942298580218491</v>
      </c>
      <c r="L30" s="385"/>
      <c r="M30" s="203">
        <f>RANK(K30, K$27:$K$41)</f>
        <v>3</v>
      </c>
      <c r="N30" s="387"/>
      <c r="O30" s="387"/>
      <c r="P30" s="105">
        <v>18</v>
      </c>
      <c r="Q30" s="202">
        <v>1213.5849056603779</v>
      </c>
      <c r="R30" s="202">
        <v>67.421383647798777</v>
      </c>
      <c r="S30" s="105">
        <f t="shared" si="12"/>
        <v>4</v>
      </c>
      <c r="T30" s="385"/>
      <c r="U30" s="105">
        <v>18</v>
      </c>
      <c r="V30" s="202">
        <v>1221.6000000000004</v>
      </c>
      <c r="W30" s="202">
        <v>67.866666666666688</v>
      </c>
      <c r="X30" s="105">
        <f t="shared" si="13"/>
        <v>3</v>
      </c>
      <c r="Y30" s="385"/>
      <c r="Z30" s="105">
        <v>18</v>
      </c>
      <c r="AA30" s="202">
        <v>1204.9999999999982</v>
      </c>
      <c r="AB30" s="202">
        <v>66.944444444444343</v>
      </c>
      <c r="AC30" s="105">
        <f t="shared" si="14"/>
        <v>4</v>
      </c>
      <c r="AD30" s="385"/>
      <c r="AE30" s="105">
        <v>18</v>
      </c>
      <c r="AF30" s="202">
        <v>1224.8780487804875</v>
      </c>
      <c r="AG30" s="202">
        <v>68.048780487804862</v>
      </c>
      <c r="AH30" s="105">
        <f t="shared" si="15"/>
        <v>4</v>
      </c>
      <c r="AI30" s="385"/>
      <c r="AJ30" s="105">
        <v>18</v>
      </c>
      <c r="AK30" s="202">
        <v>1243.4999999999995</v>
      </c>
      <c r="AL30" s="202">
        <v>69.083333333333314</v>
      </c>
      <c r="AM30" s="105">
        <f t="shared" si="16"/>
        <v>3</v>
      </c>
      <c r="AN30" s="385"/>
      <c r="AO30" s="105">
        <v>18</v>
      </c>
      <c r="AP30" s="202">
        <v>1197.5000000000005</v>
      </c>
      <c r="AQ30" s="202">
        <v>66.5277777777778</v>
      </c>
      <c r="AR30" s="105">
        <f t="shared" si="17"/>
        <v>3</v>
      </c>
      <c r="AS30" s="385"/>
      <c r="AT30" s="105">
        <v>18</v>
      </c>
      <c r="AU30" s="202">
        <v>1254.6666666666667</v>
      </c>
      <c r="AV30" s="202">
        <v>69.703703703703709</v>
      </c>
      <c r="AW30" s="105">
        <f t="shared" si="18"/>
        <v>3</v>
      </c>
      <c r="AX30" s="412"/>
    </row>
    <row r="31" spans="2:50">
      <c r="B31" s="398"/>
      <c r="C31" s="105">
        <v>5</v>
      </c>
      <c r="D31" s="228" t="s">
        <v>291</v>
      </c>
      <c r="E31" s="175">
        <v>16</v>
      </c>
      <c r="F31" s="105">
        <v>1440</v>
      </c>
      <c r="G31" s="202">
        <v>90</v>
      </c>
      <c r="H31" s="385"/>
      <c r="I31" s="175">
        <f t="shared" si="11"/>
        <v>16.714285714285715</v>
      </c>
      <c r="J31" s="175">
        <f t="shared" si="11"/>
        <v>1278.1156166244873</v>
      </c>
      <c r="K31" s="202">
        <f t="shared" si="11"/>
        <v>76.538221736246427</v>
      </c>
      <c r="L31" s="385"/>
      <c r="M31" s="203">
        <f>RANK(K31, K$27:$K$41)</f>
        <v>2</v>
      </c>
      <c r="N31" s="387"/>
      <c r="O31" s="387"/>
      <c r="P31" s="105">
        <v>16</v>
      </c>
      <c r="Q31" s="202">
        <v>1314.8936170212769</v>
      </c>
      <c r="R31" s="202">
        <v>82.180851063829806</v>
      </c>
      <c r="S31" s="105">
        <f t="shared" si="12"/>
        <v>2</v>
      </c>
      <c r="T31" s="385"/>
      <c r="U31" s="105">
        <v>16</v>
      </c>
      <c r="V31" s="202">
        <v>1264.9315068493154</v>
      </c>
      <c r="W31" s="202">
        <v>79.058219178082211</v>
      </c>
      <c r="X31" s="105">
        <f t="shared" si="13"/>
        <v>2</v>
      </c>
      <c r="Y31" s="385"/>
      <c r="Z31" s="105">
        <v>17</v>
      </c>
      <c r="AA31" s="202">
        <v>1252.230215827338</v>
      </c>
      <c r="AB31" s="202">
        <v>73.660600931019886</v>
      </c>
      <c r="AC31" s="105">
        <f t="shared" si="14"/>
        <v>2</v>
      </c>
      <c r="AD31" s="385"/>
      <c r="AE31" s="105">
        <v>17</v>
      </c>
      <c r="AF31" s="202">
        <v>1273.6363636363628</v>
      </c>
      <c r="AG31" s="202">
        <v>74.919786096256644</v>
      </c>
      <c r="AH31" s="105">
        <f t="shared" si="15"/>
        <v>1</v>
      </c>
      <c r="AI31" s="385"/>
      <c r="AJ31" s="105">
        <v>17</v>
      </c>
      <c r="AK31" s="202">
        <v>1305.5769230769238</v>
      </c>
      <c r="AL31" s="202">
        <v>76.798642533936686</v>
      </c>
      <c r="AM31" s="105">
        <f t="shared" si="16"/>
        <v>1</v>
      </c>
      <c r="AN31" s="385"/>
      <c r="AO31" s="105">
        <v>17</v>
      </c>
      <c r="AP31" s="202">
        <v>1264.5112781954888</v>
      </c>
      <c r="AQ31" s="202">
        <v>74.383016364440522</v>
      </c>
      <c r="AR31" s="105">
        <f t="shared" si="17"/>
        <v>2</v>
      </c>
      <c r="AS31" s="385"/>
      <c r="AT31" s="105">
        <v>17</v>
      </c>
      <c r="AU31" s="202">
        <v>1271.0294117647059</v>
      </c>
      <c r="AV31" s="202">
        <v>74.766435986159166</v>
      </c>
      <c r="AW31" s="105">
        <f t="shared" si="18"/>
        <v>2</v>
      </c>
      <c r="AX31" s="412"/>
    </row>
    <row r="32" spans="2:50">
      <c r="B32" s="398"/>
      <c r="C32" s="105">
        <v>6</v>
      </c>
      <c r="D32" s="228" t="s">
        <v>296</v>
      </c>
      <c r="E32" s="175">
        <v>18</v>
      </c>
      <c r="F32" s="105">
        <v>1440</v>
      </c>
      <c r="G32" s="202">
        <v>80</v>
      </c>
      <c r="H32" s="385"/>
      <c r="I32" s="175">
        <f t="shared" si="11"/>
        <v>18</v>
      </c>
      <c r="J32" s="175">
        <f t="shared" si="11"/>
        <v>1184.415808874495</v>
      </c>
      <c r="K32" s="202">
        <f t="shared" si="11"/>
        <v>65.800878270805285</v>
      </c>
      <c r="L32" s="385"/>
      <c r="M32" s="203">
        <f>RANK(K32, K$27:$K$41)</f>
        <v>5</v>
      </c>
      <c r="N32" s="387"/>
      <c r="O32" s="387"/>
      <c r="P32" s="105">
        <v>18</v>
      </c>
      <c r="Q32" s="202">
        <v>1165.5555555555561</v>
      </c>
      <c r="R32" s="202">
        <v>64.753086419753117</v>
      </c>
      <c r="S32" s="105">
        <f t="shared" si="12"/>
        <v>6</v>
      </c>
      <c r="T32" s="385"/>
      <c r="U32" s="105">
        <v>18</v>
      </c>
      <c r="V32" s="202">
        <v>1180.0000000000007</v>
      </c>
      <c r="W32" s="202">
        <v>65.5555555555556</v>
      </c>
      <c r="X32" s="105">
        <f t="shared" si="13"/>
        <v>6</v>
      </c>
      <c r="Y32" s="385"/>
      <c r="Z32" s="105">
        <v>18</v>
      </c>
      <c r="AA32" s="202">
        <v>1211.2500000000005</v>
      </c>
      <c r="AB32" s="202">
        <v>67.291666666666686</v>
      </c>
      <c r="AC32" s="105">
        <f t="shared" si="14"/>
        <v>3</v>
      </c>
      <c r="AD32" s="385"/>
      <c r="AE32" s="105">
        <v>18</v>
      </c>
      <c r="AF32" s="202">
        <v>1207.3170731707312</v>
      </c>
      <c r="AG32" s="202">
        <v>67.073170731707293</v>
      </c>
      <c r="AH32" s="105">
        <f t="shared" si="15"/>
        <v>5</v>
      </c>
      <c r="AI32" s="385"/>
      <c r="AJ32" s="105">
        <v>18</v>
      </c>
      <c r="AK32" s="202">
        <v>1167.2727272727273</v>
      </c>
      <c r="AL32" s="202">
        <v>64.848484848484844</v>
      </c>
      <c r="AM32" s="105">
        <f t="shared" si="16"/>
        <v>5</v>
      </c>
      <c r="AN32" s="385"/>
      <c r="AO32" s="105">
        <v>18</v>
      </c>
      <c r="AP32" s="202">
        <v>1163.2653061224491</v>
      </c>
      <c r="AQ32" s="202">
        <v>64.625850340136068</v>
      </c>
      <c r="AR32" s="105">
        <f t="shared" si="17"/>
        <v>5</v>
      </c>
      <c r="AS32" s="385"/>
      <c r="AT32" s="105">
        <v>18</v>
      </c>
      <c r="AU32" s="202">
        <v>1196.2500000000005</v>
      </c>
      <c r="AV32" s="202">
        <v>66.458333333333357</v>
      </c>
      <c r="AW32" s="105">
        <f t="shared" si="18"/>
        <v>5</v>
      </c>
      <c r="AX32" s="412"/>
    </row>
    <row r="33" spans="2:50">
      <c r="B33" s="398"/>
      <c r="C33" s="105">
        <v>7</v>
      </c>
      <c r="D33" s="228" t="s">
        <v>294</v>
      </c>
      <c r="E33" s="175">
        <v>19</v>
      </c>
      <c r="F33" s="105">
        <v>1440</v>
      </c>
      <c r="G33" s="202">
        <v>75.78947368421052</v>
      </c>
      <c r="H33" s="385"/>
      <c r="I33" s="175">
        <f t="shared" si="11"/>
        <v>19</v>
      </c>
      <c r="J33" s="175">
        <f t="shared" si="11"/>
        <v>1090.2873416096377</v>
      </c>
      <c r="K33" s="202">
        <f t="shared" si="11"/>
        <v>57.383544295244086</v>
      </c>
      <c r="L33" s="385"/>
      <c r="M33" s="203">
        <f>RANK(K33, K$27:$K$41)</f>
        <v>9</v>
      </c>
      <c r="N33" s="387"/>
      <c r="O33" s="387"/>
      <c r="P33" s="105">
        <v>19</v>
      </c>
      <c r="Q33" s="202">
        <v>1094.285714285714</v>
      </c>
      <c r="R33" s="202">
        <v>57.593984962405997</v>
      </c>
      <c r="S33" s="105">
        <f t="shared" si="12"/>
        <v>10</v>
      </c>
      <c r="T33" s="385"/>
      <c r="U33" s="105">
        <v>19</v>
      </c>
      <c r="V33" s="202">
        <v>1068.3870967741932</v>
      </c>
      <c r="W33" s="202">
        <v>56.230899830220693</v>
      </c>
      <c r="X33" s="105">
        <f t="shared" si="13"/>
        <v>10</v>
      </c>
      <c r="Y33" s="385"/>
      <c r="Z33" s="105">
        <v>19</v>
      </c>
      <c r="AA33" s="202">
        <v>1092.4528301886799</v>
      </c>
      <c r="AB33" s="202">
        <v>57.497517378351574</v>
      </c>
      <c r="AC33" s="105">
        <f t="shared" si="14"/>
        <v>9</v>
      </c>
      <c r="AD33" s="385"/>
      <c r="AE33" s="105">
        <v>19</v>
      </c>
      <c r="AF33" s="202">
        <v>1081.0169491525419</v>
      </c>
      <c r="AG33" s="202">
        <v>56.89562890276536</v>
      </c>
      <c r="AH33" s="105">
        <f t="shared" si="15"/>
        <v>9</v>
      </c>
      <c r="AI33" s="385"/>
      <c r="AJ33" s="105">
        <v>19</v>
      </c>
      <c r="AK33" s="202">
        <v>1115.2941176470592</v>
      </c>
      <c r="AL33" s="202">
        <v>58.699690402476804</v>
      </c>
      <c r="AM33" s="105">
        <f t="shared" si="16"/>
        <v>8</v>
      </c>
      <c r="AN33" s="385"/>
      <c r="AO33" s="105"/>
      <c r="AP33" s="202"/>
      <c r="AQ33" s="202"/>
      <c r="AR33" s="105" t="e">
        <f t="shared" si="17"/>
        <v>#N/A</v>
      </c>
      <c r="AS33" s="385"/>
      <c r="AT33" s="105"/>
      <c r="AU33" s="202"/>
      <c r="AV33" s="202"/>
      <c r="AW33" s="105" t="e">
        <f t="shared" si="18"/>
        <v>#N/A</v>
      </c>
      <c r="AX33" s="412"/>
    </row>
    <row r="34" spans="2:50">
      <c r="B34" s="398"/>
      <c r="C34" s="105">
        <v>8</v>
      </c>
      <c r="D34" s="228" t="s">
        <v>293</v>
      </c>
      <c r="E34" s="175">
        <v>19</v>
      </c>
      <c r="F34" s="105">
        <v>1440</v>
      </c>
      <c r="G34" s="202">
        <v>75.78947368421052</v>
      </c>
      <c r="H34" s="385"/>
      <c r="I34" s="175">
        <f t="shared" si="11"/>
        <v>19</v>
      </c>
      <c r="J34" s="175">
        <f t="shared" si="11"/>
        <v>1138.6852937746796</v>
      </c>
      <c r="K34" s="202">
        <f t="shared" si="11"/>
        <v>59.930804935509457</v>
      </c>
      <c r="L34" s="385"/>
      <c r="M34" s="203">
        <f>RANK(K34, K$27:$K$41)</f>
        <v>7</v>
      </c>
      <c r="N34" s="387"/>
      <c r="O34" s="387"/>
      <c r="P34" s="105">
        <v>19</v>
      </c>
      <c r="Q34" s="202">
        <v>1269.6774193548399</v>
      </c>
      <c r="R34" s="202">
        <v>66.825127334465265</v>
      </c>
      <c r="S34" s="105">
        <f t="shared" si="12"/>
        <v>5</v>
      </c>
      <c r="T34" s="385"/>
      <c r="U34" s="105">
        <v>19</v>
      </c>
      <c r="V34" s="202">
        <v>1274.4827586206907</v>
      </c>
      <c r="W34" s="202">
        <v>67.078039927404774</v>
      </c>
      <c r="X34" s="105">
        <f t="shared" si="13"/>
        <v>4</v>
      </c>
      <c r="Y34" s="385"/>
      <c r="Z34" s="105">
        <v>19</v>
      </c>
      <c r="AA34" s="202">
        <v>1072.5000000000014</v>
      </c>
      <c r="AB34" s="202">
        <v>56.447368421052701</v>
      </c>
      <c r="AC34" s="105">
        <f t="shared" si="14"/>
        <v>10</v>
      </c>
      <c r="AD34" s="385"/>
      <c r="AE34" s="105">
        <v>19</v>
      </c>
      <c r="AF34" s="202">
        <v>1067.5862068965525</v>
      </c>
      <c r="AG34" s="202">
        <v>56.188747731397505</v>
      </c>
      <c r="AH34" s="105">
        <f t="shared" si="15"/>
        <v>10</v>
      </c>
      <c r="AI34" s="385"/>
      <c r="AJ34" s="105">
        <v>19</v>
      </c>
      <c r="AK34" s="202">
        <v>1096.1538461538469</v>
      </c>
      <c r="AL34" s="202">
        <v>57.692307692307729</v>
      </c>
      <c r="AM34" s="105">
        <f t="shared" si="16"/>
        <v>10</v>
      </c>
      <c r="AN34" s="385"/>
      <c r="AO34" s="105">
        <v>19</v>
      </c>
      <c r="AP34" s="202">
        <v>1091.1111111111115</v>
      </c>
      <c r="AQ34" s="202">
        <v>57.426900584795341</v>
      </c>
      <c r="AR34" s="105">
        <f t="shared" si="17"/>
        <v>9</v>
      </c>
      <c r="AS34" s="385"/>
      <c r="AT34" s="105">
        <v>19</v>
      </c>
      <c r="AU34" s="202">
        <v>1099.2857142857151</v>
      </c>
      <c r="AV34" s="202">
        <v>57.857142857142904</v>
      </c>
      <c r="AW34" s="105">
        <f t="shared" si="18"/>
        <v>9</v>
      </c>
      <c r="AX34" s="412"/>
    </row>
    <row r="35" spans="2:50">
      <c r="B35" s="398"/>
      <c r="C35" s="105">
        <v>9</v>
      </c>
      <c r="D35" s="228" t="s">
        <v>295</v>
      </c>
      <c r="E35" s="175">
        <v>15</v>
      </c>
      <c r="F35" s="105">
        <v>1500</v>
      </c>
      <c r="G35" s="202">
        <v>100</v>
      </c>
      <c r="H35" s="385"/>
      <c r="I35" s="175">
        <f t="shared" si="11"/>
        <v>15</v>
      </c>
      <c r="J35" s="175">
        <f t="shared" si="11"/>
        <v>1231.5540914869318</v>
      </c>
      <c r="K35" s="202">
        <f t="shared" si="11"/>
        <v>82.103606099128768</v>
      </c>
      <c r="L35" s="385"/>
      <c r="M35" s="203">
        <f>RANK(K35, K$27:$K$41)</f>
        <v>1</v>
      </c>
      <c r="N35" s="387"/>
      <c r="O35" s="387"/>
      <c r="P35" s="105">
        <v>15</v>
      </c>
      <c r="Q35" s="202">
        <v>1270.9090909090894</v>
      </c>
      <c r="R35" s="202">
        <v>84.72727272727262</v>
      </c>
      <c r="S35" s="105">
        <f t="shared" si="12"/>
        <v>1</v>
      </c>
      <c r="T35" s="385"/>
      <c r="U35" s="105">
        <v>15</v>
      </c>
      <c r="V35" s="202">
        <v>1299.9999999999984</v>
      </c>
      <c r="W35" s="202">
        <v>86.666666666666558</v>
      </c>
      <c r="X35" s="105">
        <f t="shared" si="13"/>
        <v>1</v>
      </c>
      <c r="Y35" s="385"/>
      <c r="Z35" s="105">
        <v>15</v>
      </c>
      <c r="AA35" s="202">
        <v>1288.9655172413768</v>
      </c>
      <c r="AB35" s="202">
        <v>85.931034482758449</v>
      </c>
      <c r="AC35" s="105">
        <f t="shared" si="14"/>
        <v>1</v>
      </c>
      <c r="AD35" s="385"/>
      <c r="AE35" s="105">
        <v>15</v>
      </c>
      <c r="AF35" s="202">
        <v>1117.999999999998</v>
      </c>
      <c r="AG35" s="202">
        <v>74.533333333333204</v>
      </c>
      <c r="AH35" s="105">
        <f t="shared" si="15"/>
        <v>2</v>
      </c>
      <c r="AI35" s="385"/>
      <c r="AJ35" s="105">
        <v>15</v>
      </c>
      <c r="AK35" s="202">
        <v>1083.8709677419338</v>
      </c>
      <c r="AL35" s="202">
        <v>72.258064516128925</v>
      </c>
      <c r="AM35" s="105">
        <f t="shared" si="16"/>
        <v>2</v>
      </c>
      <c r="AN35" s="385"/>
      <c r="AO35" s="105">
        <v>15</v>
      </c>
      <c r="AP35" s="202">
        <v>1312.258064516127</v>
      </c>
      <c r="AQ35" s="202">
        <v>87.483870967741794</v>
      </c>
      <c r="AR35" s="105">
        <f t="shared" si="17"/>
        <v>1</v>
      </c>
      <c r="AS35" s="385"/>
      <c r="AT35" s="105">
        <v>15</v>
      </c>
      <c r="AU35" s="202">
        <v>1246.8749999999982</v>
      </c>
      <c r="AV35" s="202">
        <v>83.124999999999872</v>
      </c>
      <c r="AW35" s="105">
        <f t="shared" si="18"/>
        <v>1</v>
      </c>
      <c r="AX35" s="412"/>
    </row>
    <row r="36" spans="2:50">
      <c r="B36" s="398"/>
      <c r="C36" s="105">
        <v>10</v>
      </c>
      <c r="D36" s="228" t="s">
        <v>297</v>
      </c>
      <c r="E36" s="175">
        <v>20</v>
      </c>
      <c r="F36" s="105">
        <v>1385</v>
      </c>
      <c r="G36" s="202">
        <v>69.25</v>
      </c>
      <c r="H36" s="385"/>
      <c r="I36" s="175">
        <f t="shared" si="11"/>
        <v>20</v>
      </c>
      <c r="J36" s="175">
        <f t="shared" si="11"/>
        <v>1190.3640956971519</v>
      </c>
      <c r="K36" s="202">
        <f t="shared" si="11"/>
        <v>59.518204784857595</v>
      </c>
      <c r="L36" s="385"/>
      <c r="M36" s="203">
        <f>RANK(K36, K$27:$K$41)</f>
        <v>8</v>
      </c>
      <c r="N36" s="387"/>
      <c r="O36" s="387"/>
      <c r="P36" s="105">
        <v>20</v>
      </c>
      <c r="Q36" s="202">
        <v>1189.9236641221376</v>
      </c>
      <c r="R36" s="202">
        <v>59.496183206106878</v>
      </c>
      <c r="S36" s="105">
        <f t="shared" si="12"/>
        <v>8</v>
      </c>
      <c r="T36" s="385"/>
      <c r="U36" s="105">
        <v>20</v>
      </c>
      <c r="V36" s="202">
        <v>1185.3333333333335</v>
      </c>
      <c r="W36" s="202">
        <v>59.266666666666673</v>
      </c>
      <c r="X36" s="105">
        <f t="shared" si="13"/>
        <v>9</v>
      </c>
      <c r="Y36" s="385"/>
      <c r="Z36" s="105">
        <v>20</v>
      </c>
      <c r="AA36" s="202">
        <v>1187.9069767441858</v>
      </c>
      <c r="AB36" s="202">
        <v>59.395348837209291</v>
      </c>
      <c r="AC36" s="105">
        <f t="shared" si="14"/>
        <v>8</v>
      </c>
      <c r="AD36" s="385"/>
      <c r="AE36" s="105">
        <v>20</v>
      </c>
      <c r="AF36" s="202">
        <v>1218.461538461539</v>
      </c>
      <c r="AG36" s="202">
        <v>60.923076923076948</v>
      </c>
      <c r="AH36" s="105">
        <f t="shared" si="15"/>
        <v>7</v>
      </c>
      <c r="AI36" s="385"/>
      <c r="AJ36" s="105">
        <v>20</v>
      </c>
      <c r="AK36" s="202">
        <v>1162.9906542056081</v>
      </c>
      <c r="AL36" s="202">
        <v>58.149532710280404</v>
      </c>
      <c r="AM36" s="105">
        <f t="shared" si="16"/>
        <v>9</v>
      </c>
      <c r="AN36" s="385"/>
      <c r="AO36" s="105">
        <v>20</v>
      </c>
      <c r="AP36" s="202">
        <v>1183.5114503816794</v>
      </c>
      <c r="AQ36" s="202">
        <v>59.175572519083971</v>
      </c>
      <c r="AR36" s="105">
        <f t="shared" si="17"/>
        <v>7</v>
      </c>
      <c r="AS36" s="385"/>
      <c r="AT36" s="105">
        <v>20</v>
      </c>
      <c r="AU36" s="202">
        <v>1204.4210526315792</v>
      </c>
      <c r="AV36" s="202">
        <v>60.221052631578956</v>
      </c>
      <c r="AW36" s="105">
        <f t="shared" si="18"/>
        <v>7</v>
      </c>
      <c r="AX36" s="412"/>
    </row>
    <row r="37" spans="2:50">
      <c r="B37" s="398"/>
      <c r="C37" s="105">
        <v>11</v>
      </c>
      <c r="D37" s="228" t="s">
        <v>298</v>
      </c>
      <c r="E37" s="175">
        <v>20</v>
      </c>
      <c r="F37" s="105">
        <v>1440</v>
      </c>
      <c r="G37" s="202">
        <v>72</v>
      </c>
      <c r="H37" s="385"/>
      <c r="I37" s="105"/>
      <c r="J37" s="105"/>
      <c r="K37" s="105"/>
      <c r="L37" s="385"/>
      <c r="M37" s="203" t="e">
        <f>RANK(K37, K$27:$K$41)</f>
        <v>#N/A</v>
      </c>
      <c r="N37" s="387"/>
      <c r="O37" s="387"/>
      <c r="P37" s="105">
        <v>20</v>
      </c>
      <c r="Q37" s="202">
        <v>1162.3636363636372</v>
      </c>
      <c r="R37" s="202">
        <v>58.11818181818186</v>
      </c>
      <c r="S37" s="105">
        <f t="shared" si="12"/>
        <v>9</v>
      </c>
      <c r="T37" s="385"/>
      <c r="U37" s="105">
        <v>20</v>
      </c>
      <c r="V37" s="202">
        <v>1195.0458715596337</v>
      </c>
      <c r="W37" s="202">
        <v>59.752293577981689</v>
      </c>
      <c r="X37" s="105">
        <f t="shared" si="13"/>
        <v>8</v>
      </c>
      <c r="Y37" s="385"/>
      <c r="Z37" s="105">
        <v>20</v>
      </c>
      <c r="AA37" s="202">
        <v>1204.7058823529417</v>
      </c>
      <c r="AB37" s="202">
        <v>60.235294117647086</v>
      </c>
      <c r="AC37" s="105">
        <f t="shared" si="14"/>
        <v>7</v>
      </c>
      <c r="AD37" s="385"/>
      <c r="AE37" s="105">
        <v>20</v>
      </c>
      <c r="AF37" s="202">
        <v>1157.7777777777774</v>
      </c>
      <c r="AG37" s="202">
        <v>57.888888888888872</v>
      </c>
      <c r="AH37" s="105">
        <f t="shared" si="15"/>
        <v>8</v>
      </c>
      <c r="AI37" s="385"/>
      <c r="AJ37" s="105">
        <v>20</v>
      </c>
      <c r="AK37" s="202">
        <v>1210.76923076923</v>
      </c>
      <c r="AL37" s="202">
        <v>60.538461538461505</v>
      </c>
      <c r="AM37" s="105">
        <f t="shared" si="16"/>
        <v>7</v>
      </c>
      <c r="AN37" s="385"/>
      <c r="AO37" s="105">
        <v>20</v>
      </c>
      <c r="AP37" s="202">
        <v>1166.8571428571433</v>
      </c>
      <c r="AQ37" s="202">
        <v>58.34285714285717</v>
      </c>
      <c r="AR37" s="105">
        <f t="shared" si="17"/>
        <v>8</v>
      </c>
      <c r="AS37" s="385"/>
      <c r="AT37" s="105">
        <v>20</v>
      </c>
      <c r="AU37" s="202">
        <v>1193.4000000000003</v>
      </c>
      <c r="AV37" s="202">
        <v>59.670000000000016</v>
      </c>
      <c r="AW37" s="105">
        <f t="shared" si="18"/>
        <v>8</v>
      </c>
      <c r="AX37" s="412"/>
    </row>
    <row r="38" spans="2:50">
      <c r="B38" s="398"/>
      <c r="C38" s="105">
        <v>12</v>
      </c>
      <c r="D38" s="228"/>
      <c r="E38" s="175"/>
      <c r="F38" s="105"/>
      <c r="G38" s="202"/>
      <c r="H38" s="385"/>
      <c r="I38" s="105"/>
      <c r="J38" s="105"/>
      <c r="K38" s="105"/>
      <c r="L38" s="385"/>
      <c r="M38" s="203" t="e">
        <f>RANK(K38, K$27:$K$41)</f>
        <v>#N/A</v>
      </c>
      <c r="N38" s="387"/>
      <c r="O38" s="387"/>
      <c r="P38" s="105"/>
      <c r="Q38" s="202"/>
      <c r="R38" s="202"/>
      <c r="S38" s="105" t="e">
        <f t="shared" si="12"/>
        <v>#N/A</v>
      </c>
      <c r="T38" s="385"/>
      <c r="U38" s="105"/>
      <c r="V38" s="105"/>
      <c r="W38" s="105"/>
      <c r="X38" s="105" t="e">
        <f t="shared" si="13"/>
        <v>#N/A</v>
      </c>
      <c r="Y38" s="385"/>
      <c r="Z38" s="105"/>
      <c r="AA38" s="105"/>
      <c r="AB38" s="105"/>
      <c r="AC38" s="105" t="e">
        <f t="shared" si="14"/>
        <v>#N/A</v>
      </c>
      <c r="AD38" s="385"/>
      <c r="AE38" s="105"/>
      <c r="AF38" s="105"/>
      <c r="AG38" s="105"/>
      <c r="AH38" s="105" t="e">
        <f t="shared" si="15"/>
        <v>#N/A</v>
      </c>
      <c r="AI38" s="385"/>
      <c r="AJ38" s="105"/>
      <c r="AK38" s="105"/>
      <c r="AL38" s="105"/>
      <c r="AM38" s="105" t="e">
        <f t="shared" si="16"/>
        <v>#N/A</v>
      </c>
      <c r="AN38" s="385"/>
      <c r="AO38" s="105"/>
      <c r="AP38" s="105"/>
      <c r="AQ38" s="105"/>
      <c r="AR38" s="105" t="e">
        <f t="shared" si="17"/>
        <v>#N/A</v>
      </c>
      <c r="AS38" s="385"/>
      <c r="AT38" s="105"/>
      <c r="AU38" s="105"/>
      <c r="AV38" s="105"/>
      <c r="AW38" s="105" t="e">
        <f t="shared" si="18"/>
        <v>#N/A</v>
      </c>
      <c r="AX38" s="412"/>
    </row>
    <row r="39" spans="2:50">
      <c r="B39" s="398"/>
      <c r="C39" s="105">
        <v>13</v>
      </c>
      <c r="D39" s="228"/>
      <c r="E39" s="175"/>
      <c r="F39" s="105"/>
      <c r="G39" s="202"/>
      <c r="H39" s="385"/>
      <c r="I39" s="105"/>
      <c r="J39" s="105"/>
      <c r="K39" s="105"/>
      <c r="L39" s="385"/>
      <c r="M39" s="203" t="e">
        <f>RANK(K39, K$27:$K$41)</f>
        <v>#N/A</v>
      </c>
      <c r="N39" s="387"/>
      <c r="O39" s="387"/>
      <c r="P39" s="105"/>
      <c r="Q39" s="202"/>
      <c r="R39" s="202"/>
      <c r="S39" s="105" t="e">
        <f t="shared" si="12"/>
        <v>#N/A</v>
      </c>
      <c r="T39" s="385"/>
      <c r="U39" s="105"/>
      <c r="V39" s="105"/>
      <c r="W39" s="105"/>
      <c r="X39" s="105" t="e">
        <f t="shared" si="13"/>
        <v>#N/A</v>
      </c>
      <c r="Y39" s="385"/>
      <c r="Z39" s="105"/>
      <c r="AA39" s="105"/>
      <c r="AB39" s="105"/>
      <c r="AC39" s="105" t="e">
        <f t="shared" si="14"/>
        <v>#N/A</v>
      </c>
      <c r="AD39" s="385"/>
      <c r="AE39" s="105"/>
      <c r="AF39" s="105"/>
      <c r="AG39" s="105"/>
      <c r="AH39" s="105" t="e">
        <f t="shared" si="15"/>
        <v>#N/A</v>
      </c>
      <c r="AI39" s="385"/>
      <c r="AJ39" s="105"/>
      <c r="AK39" s="105"/>
      <c r="AL39" s="105"/>
      <c r="AM39" s="105" t="e">
        <f t="shared" si="16"/>
        <v>#N/A</v>
      </c>
      <c r="AN39" s="385"/>
      <c r="AO39" s="105"/>
      <c r="AP39" s="105"/>
      <c r="AQ39" s="105"/>
      <c r="AR39" s="105" t="e">
        <f t="shared" si="17"/>
        <v>#N/A</v>
      </c>
      <c r="AS39" s="385"/>
      <c r="AT39" s="105"/>
      <c r="AU39" s="105"/>
      <c r="AV39" s="105"/>
      <c r="AW39" s="105" t="e">
        <f t="shared" si="18"/>
        <v>#N/A</v>
      </c>
      <c r="AX39" s="412"/>
    </row>
    <row r="40" spans="2:50">
      <c r="B40" s="398"/>
      <c r="C40" s="105">
        <v>14</v>
      </c>
      <c r="D40" s="228"/>
      <c r="E40" s="175"/>
      <c r="F40" s="105"/>
      <c r="G40" s="202"/>
      <c r="H40" s="385"/>
      <c r="I40" s="105"/>
      <c r="J40" s="105"/>
      <c r="K40" s="105"/>
      <c r="L40" s="385"/>
      <c r="M40" s="203" t="e">
        <f>RANK(K40, K$27:$K$41)</f>
        <v>#N/A</v>
      </c>
      <c r="N40" s="387"/>
      <c r="O40" s="387"/>
      <c r="P40" s="105"/>
      <c r="Q40" s="202"/>
      <c r="R40" s="202"/>
      <c r="S40" s="105" t="e">
        <f t="shared" si="12"/>
        <v>#N/A</v>
      </c>
      <c r="T40" s="385"/>
      <c r="U40" s="105"/>
      <c r="V40" s="105"/>
      <c r="W40" s="105"/>
      <c r="X40" s="105" t="e">
        <f t="shared" si="13"/>
        <v>#N/A</v>
      </c>
      <c r="Y40" s="385"/>
      <c r="Z40" s="105"/>
      <c r="AA40" s="105"/>
      <c r="AB40" s="105"/>
      <c r="AC40" s="105" t="e">
        <f t="shared" si="14"/>
        <v>#N/A</v>
      </c>
      <c r="AD40" s="385"/>
      <c r="AE40" s="105"/>
      <c r="AF40" s="105"/>
      <c r="AG40" s="105"/>
      <c r="AH40" s="105" t="e">
        <f t="shared" si="15"/>
        <v>#N/A</v>
      </c>
      <c r="AI40" s="385"/>
      <c r="AJ40" s="105"/>
      <c r="AK40" s="105"/>
      <c r="AL40" s="105"/>
      <c r="AM40" s="105" t="e">
        <f t="shared" si="16"/>
        <v>#N/A</v>
      </c>
      <c r="AN40" s="385"/>
      <c r="AO40" s="105"/>
      <c r="AP40" s="105"/>
      <c r="AQ40" s="105"/>
      <c r="AR40" s="105" t="e">
        <f t="shared" si="17"/>
        <v>#N/A</v>
      </c>
      <c r="AS40" s="385"/>
      <c r="AT40" s="105"/>
      <c r="AU40" s="105"/>
      <c r="AV40" s="105"/>
      <c r="AW40" s="105" t="e">
        <f t="shared" si="18"/>
        <v>#N/A</v>
      </c>
      <c r="AX40" s="412"/>
    </row>
    <row r="41" spans="2:50">
      <c r="B41" s="398"/>
      <c r="C41" s="105">
        <v>15</v>
      </c>
      <c r="D41" s="228"/>
      <c r="E41" s="175"/>
      <c r="F41" s="105"/>
      <c r="G41" s="202"/>
      <c r="H41" s="386"/>
      <c r="I41" s="105"/>
      <c r="J41" s="105"/>
      <c r="K41" s="105"/>
      <c r="L41" s="386"/>
      <c r="M41" s="175" t="e">
        <f>RANK(K41, K$27:$K$41)</f>
        <v>#N/A</v>
      </c>
      <c r="N41" s="387"/>
      <c r="O41" s="387"/>
      <c r="P41" s="105"/>
      <c r="Q41" s="202"/>
      <c r="R41" s="202"/>
      <c r="S41" s="105" t="e">
        <f t="shared" si="12"/>
        <v>#N/A</v>
      </c>
      <c r="T41" s="386"/>
      <c r="U41" s="105"/>
      <c r="V41" s="105"/>
      <c r="W41" s="105"/>
      <c r="X41" s="105" t="e">
        <f t="shared" si="13"/>
        <v>#N/A</v>
      </c>
      <c r="Y41" s="386"/>
      <c r="Z41" s="105"/>
      <c r="AA41" s="105"/>
      <c r="AB41" s="105"/>
      <c r="AC41" s="105" t="e">
        <f t="shared" si="14"/>
        <v>#N/A</v>
      </c>
      <c r="AD41" s="386"/>
      <c r="AE41" s="105"/>
      <c r="AF41" s="105"/>
      <c r="AG41" s="105"/>
      <c r="AH41" s="105" t="e">
        <f t="shared" si="15"/>
        <v>#N/A</v>
      </c>
      <c r="AI41" s="386"/>
      <c r="AJ41" s="105"/>
      <c r="AK41" s="105"/>
      <c r="AL41" s="105"/>
      <c r="AM41" s="105" t="e">
        <f t="shared" si="16"/>
        <v>#N/A</v>
      </c>
      <c r="AN41" s="386"/>
      <c r="AO41" s="105"/>
      <c r="AP41" s="105"/>
      <c r="AQ41" s="105"/>
      <c r="AR41" s="105" t="e">
        <f t="shared" si="17"/>
        <v>#N/A</v>
      </c>
      <c r="AS41" s="386"/>
      <c r="AT41" s="105"/>
      <c r="AU41" s="105"/>
      <c r="AV41" s="105"/>
      <c r="AW41" s="105" t="e">
        <f t="shared" si="18"/>
        <v>#N/A</v>
      </c>
      <c r="AX41" s="412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9">Z42+1</f>
        <v>45884</v>
      </c>
      <c r="AF42" s="395"/>
      <c r="AG42" s="395"/>
      <c r="AH42" s="395"/>
      <c r="AI42" s="396"/>
      <c r="AJ42" s="394">
        <f t="shared" ref="AJ42" si="20">AE42+1</f>
        <v>45885</v>
      </c>
      <c r="AK42" s="395"/>
      <c r="AL42" s="395"/>
      <c r="AM42" s="395"/>
      <c r="AN42" s="396"/>
      <c r="AO42" s="394">
        <f t="shared" ref="AO42" si="21">AJ42+1</f>
        <v>45886</v>
      </c>
      <c r="AP42" s="395"/>
      <c r="AQ42" s="395"/>
      <c r="AR42" s="395"/>
      <c r="AS42" s="396"/>
      <c r="AT42" s="394">
        <f t="shared" ref="AT42" si="22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387" t="s">
        <v>181</v>
      </c>
      <c r="C47" s="105">
        <v>1</v>
      </c>
      <c r="D47" s="228" t="s">
        <v>287</v>
      </c>
      <c r="E47" s="175">
        <v>19</v>
      </c>
      <c r="F47" s="105">
        <v>1440</v>
      </c>
      <c r="G47" s="202">
        <v>75.78947368421052</v>
      </c>
      <c r="H47" s="384">
        <f>AVERAGE(G47:G61)</f>
        <v>80.150730994152042</v>
      </c>
      <c r="I47" s="175">
        <f>AVERAGE(P47,U47,Z47,AE47,AJ47,AO47,AT47)</f>
        <v>19</v>
      </c>
      <c r="J47" s="175">
        <f>AVERAGE(Q47,V47,AA47,AF47,AK47,AP47,AU47)</f>
        <v>1302.2596245264449</v>
      </c>
      <c r="K47" s="202">
        <f>AVERAGE(R47,W47,AB47,AG47,AL47,AQ47,AV47)</f>
        <v>68.539980238233937</v>
      </c>
      <c r="L47" s="384">
        <f>IFERROR(AVERAGE(K47:K61),"-")</f>
        <v>66.484347915745417</v>
      </c>
      <c r="M47" s="203">
        <f>RANK(K47, K$47:$K$61)</f>
        <v>4</v>
      </c>
      <c r="N47" s="387"/>
      <c r="O47" s="387"/>
      <c r="P47" s="105">
        <v>19</v>
      </c>
      <c r="Q47" s="202">
        <v>1291.1278195488721</v>
      </c>
      <c r="R47" s="202">
        <v>67.954095765730116</v>
      </c>
      <c r="S47" s="105">
        <f>RANK(R47, R$47:R$61)</f>
        <v>4</v>
      </c>
      <c r="T47" s="384">
        <f>AVERAGE(R47:R61)</f>
        <v>66.627142951995012</v>
      </c>
      <c r="U47" s="105">
        <v>19</v>
      </c>
      <c r="V47" s="202">
        <v>1308.902970297029</v>
      </c>
      <c r="W47" s="202">
        <v>68.889630015633102</v>
      </c>
      <c r="X47" s="105">
        <f>RANK(W47, W$47:W$61)</f>
        <v>4</v>
      </c>
      <c r="Y47" s="384">
        <f>AVERAGE(W47:W61)</f>
        <v>66.848861770759157</v>
      </c>
      <c r="Z47" s="105">
        <v>19</v>
      </c>
      <c r="AA47" s="202">
        <v>1292.3076923076924</v>
      </c>
      <c r="AB47" s="202">
        <v>68.016194331983812</v>
      </c>
      <c r="AC47" s="105">
        <f>RANK(AB47, AB$47:AB$61)</f>
        <v>3</v>
      </c>
      <c r="AD47" s="384">
        <f>AVERAGE(AB47:AB61)</f>
        <v>65.260268694638526</v>
      </c>
      <c r="AE47" s="105">
        <v>19</v>
      </c>
      <c r="AF47" s="202">
        <v>1311.9230769230767</v>
      </c>
      <c r="AG47" s="202">
        <v>69.048582995951406</v>
      </c>
      <c r="AH47" s="105">
        <f>RANK(AG47, AG$47:AG$61)</f>
        <v>3</v>
      </c>
      <c r="AI47" s="384">
        <f>AVERAGE(AG47:AG61)</f>
        <v>66.699592876087905</v>
      </c>
      <c r="AJ47" s="105">
        <v>19</v>
      </c>
      <c r="AK47" s="202">
        <v>1307.9999999999995</v>
      </c>
      <c r="AL47" s="202">
        <v>68.842105263157876</v>
      </c>
      <c r="AM47" s="105">
        <f>RANK(AL47, AL$47:AL$61)</f>
        <v>4</v>
      </c>
      <c r="AN47" s="384">
        <f>AVERAGE(AL47:AL61)</f>
        <v>66.811419321246376</v>
      </c>
      <c r="AO47" s="105">
        <v>19</v>
      </c>
      <c r="AP47" s="202">
        <v>1299.2481203007519</v>
      </c>
      <c r="AQ47" s="202">
        <v>68.381480015829041</v>
      </c>
      <c r="AR47" s="105">
        <f>RANK(AQ47, AQ$47:AQ$61)</f>
        <v>4</v>
      </c>
      <c r="AS47" s="384">
        <f>AVERAGE(AQ47:AQ61)</f>
        <v>66.558153215400466</v>
      </c>
      <c r="AT47" s="105">
        <v>19</v>
      </c>
      <c r="AU47" s="202">
        <v>1304.3076923076919</v>
      </c>
      <c r="AV47" s="202">
        <v>68.647773279352208</v>
      </c>
      <c r="AW47" s="105">
        <f>RANK(AV47, AV$47:AV$61)</f>
        <v>4</v>
      </c>
      <c r="AX47" s="412">
        <f>AVERAGE(AV47:AV61)</f>
        <v>66.584996580090518</v>
      </c>
    </row>
    <row r="48" spans="2:50">
      <c r="B48" s="398"/>
      <c r="C48" s="105">
        <v>2</v>
      </c>
      <c r="D48" s="228" t="s">
        <v>289</v>
      </c>
      <c r="E48" s="175">
        <v>19</v>
      </c>
      <c r="F48" s="105">
        <v>1440</v>
      </c>
      <c r="G48" s="202">
        <v>75.78947368421052</v>
      </c>
      <c r="H48" s="385"/>
      <c r="I48" s="175">
        <f t="shared" ref="I48:K56" si="23">AVERAGE(P48,U48,Z48,AE48,AJ48,AO48,AT48)</f>
        <v>18.571428571428573</v>
      </c>
      <c r="J48" s="175">
        <f t="shared" si="23"/>
        <v>1193.7905027317722</v>
      </c>
      <c r="K48" s="202">
        <f t="shared" si="23"/>
        <v>64.347436830413855</v>
      </c>
      <c r="L48" s="385"/>
      <c r="M48" s="203">
        <f>RANK(K48, K$47:$K$61)</f>
        <v>6</v>
      </c>
      <c r="N48" s="387"/>
      <c r="O48" s="387"/>
      <c r="P48" s="105">
        <v>19</v>
      </c>
      <c r="Q48" s="202">
        <v>1227.8048780487802</v>
      </c>
      <c r="R48" s="202">
        <v>64.621309370988428</v>
      </c>
      <c r="S48" s="105">
        <f t="shared" ref="S48:S61" si="24">RANK(R48, R$47:R$61)</f>
        <v>6</v>
      </c>
      <c r="T48" s="385"/>
      <c r="U48" s="105">
        <v>19</v>
      </c>
      <c r="V48" s="202">
        <v>1192.8571428571424</v>
      </c>
      <c r="W48" s="202">
        <v>62.781954887218021</v>
      </c>
      <c r="X48" s="105">
        <f t="shared" ref="X48:X61" si="25">RANK(W48, W$47:W$61)</f>
        <v>6</v>
      </c>
      <c r="Y48" s="385"/>
      <c r="Z48" s="105">
        <v>19</v>
      </c>
      <c r="AA48" s="202">
        <v>1191.627906976744</v>
      </c>
      <c r="AB48" s="202">
        <v>62.7172582619339</v>
      </c>
      <c r="AC48" s="105">
        <f t="shared" ref="AC48:AC61" si="26">RANK(AB48, AB$47:AB$61)</f>
        <v>6</v>
      </c>
      <c r="AD48" s="385"/>
      <c r="AE48" s="105">
        <v>19</v>
      </c>
      <c r="AF48" s="202">
        <v>1207.8947368421045</v>
      </c>
      <c r="AG48" s="202">
        <v>63.573407202216025</v>
      </c>
      <c r="AH48" s="105">
        <f t="shared" ref="AH48:AH61" si="27">RANK(AG48, AG$47:AG$61)</f>
        <v>6</v>
      </c>
      <c r="AI48" s="385"/>
      <c r="AJ48" s="105">
        <v>19</v>
      </c>
      <c r="AK48" s="202">
        <v>1217.5609756097556</v>
      </c>
      <c r="AL48" s="202">
        <v>64.082156611039764</v>
      </c>
      <c r="AM48" s="105">
        <f t="shared" ref="AM48:AM61" si="28">RANK(AL48, AL$47:AL$61)</f>
        <v>6</v>
      </c>
      <c r="AN48" s="385"/>
      <c r="AO48" s="105">
        <v>17</v>
      </c>
      <c r="AP48" s="202">
        <v>1173.3333333333335</v>
      </c>
      <c r="AQ48" s="202">
        <v>69.019607843137265</v>
      </c>
      <c r="AR48" s="105">
        <f t="shared" ref="AR48:AR61" si="29">RANK(AQ48, AQ$47:AQ$61)</f>
        <v>3</v>
      </c>
      <c r="AS48" s="385"/>
      <c r="AT48" s="105">
        <v>18</v>
      </c>
      <c r="AU48" s="202">
        <v>1145.4545454545455</v>
      </c>
      <c r="AV48" s="202">
        <v>63.63636363636364</v>
      </c>
      <c r="AW48" s="105">
        <f t="shared" ref="AW48:AW61" si="30">RANK(AV48, AV$47:AV$61)</f>
        <v>6</v>
      </c>
      <c r="AX48" s="412"/>
    </row>
    <row r="49" spans="2:50">
      <c r="B49" s="398"/>
      <c r="C49" s="105">
        <v>3</v>
      </c>
      <c r="D49" s="228" t="s">
        <v>290</v>
      </c>
      <c r="E49" s="175">
        <v>20</v>
      </c>
      <c r="F49" s="105">
        <v>1440</v>
      </c>
      <c r="G49" s="202">
        <v>72</v>
      </c>
      <c r="H49" s="385"/>
      <c r="I49" s="175">
        <f t="shared" si="23"/>
        <v>19.714285714285715</v>
      </c>
      <c r="J49" s="175">
        <f t="shared" si="23"/>
        <v>1155.5535341600983</v>
      </c>
      <c r="K49" s="202">
        <f t="shared" si="23"/>
        <v>58.603400198280802</v>
      </c>
      <c r="L49" s="385"/>
      <c r="M49" s="203">
        <f>RANK(K49, K$47:$K$61)</f>
        <v>9</v>
      </c>
      <c r="N49" s="387"/>
      <c r="O49" s="387"/>
      <c r="P49" s="105">
        <v>20</v>
      </c>
      <c r="Q49" s="202">
        <v>1227.3684210526326</v>
      </c>
      <c r="R49" s="202">
        <v>61.368421052631632</v>
      </c>
      <c r="S49" s="105">
        <f t="shared" si="24"/>
        <v>7</v>
      </c>
      <c r="T49" s="385"/>
      <c r="U49" s="105">
        <v>20</v>
      </c>
      <c r="V49" s="202">
        <v>1196.8965517241388</v>
      </c>
      <c r="W49" s="202">
        <v>59.844827586206939</v>
      </c>
      <c r="X49" s="105">
        <f t="shared" si="25"/>
        <v>8</v>
      </c>
      <c r="Y49" s="385"/>
      <c r="Z49" s="105">
        <v>20</v>
      </c>
      <c r="AA49" s="202">
        <v>1203.5294117647063</v>
      </c>
      <c r="AB49" s="202">
        <v>60.176470588235318</v>
      </c>
      <c r="AC49" s="105">
        <f t="shared" si="26"/>
        <v>7</v>
      </c>
      <c r="AD49" s="385"/>
      <c r="AE49" s="105">
        <v>20</v>
      </c>
      <c r="AF49" s="202">
        <v>1133.0769230769235</v>
      </c>
      <c r="AG49" s="202">
        <v>56.653846153846175</v>
      </c>
      <c r="AH49" s="105">
        <f t="shared" si="27"/>
        <v>10</v>
      </c>
      <c r="AI49" s="385"/>
      <c r="AJ49" s="105">
        <v>20</v>
      </c>
      <c r="AK49" s="202">
        <v>1131.578947368422</v>
      </c>
      <c r="AL49" s="202">
        <v>56.578947368421098</v>
      </c>
      <c r="AM49" s="105">
        <f t="shared" si="28"/>
        <v>10</v>
      </c>
      <c r="AN49" s="385"/>
      <c r="AO49" s="105">
        <v>19</v>
      </c>
      <c r="AP49" s="202">
        <v>1086.8354430379741</v>
      </c>
      <c r="AQ49" s="202">
        <v>57.201865423051267</v>
      </c>
      <c r="AR49" s="105">
        <f t="shared" si="29"/>
        <v>10</v>
      </c>
      <c r="AS49" s="385"/>
      <c r="AT49" s="105">
        <v>19</v>
      </c>
      <c r="AU49" s="202">
        <v>1109.5890410958896</v>
      </c>
      <c r="AV49" s="202">
        <v>58.399423215573137</v>
      </c>
      <c r="AW49" s="105">
        <f t="shared" si="30"/>
        <v>10</v>
      </c>
      <c r="AX49" s="412"/>
    </row>
    <row r="50" spans="2:50">
      <c r="B50" s="398"/>
      <c r="C50" s="105">
        <v>4</v>
      </c>
      <c r="D50" s="228" t="s">
        <v>292</v>
      </c>
      <c r="E50" s="175">
        <v>18</v>
      </c>
      <c r="F50" s="105">
        <v>1636</v>
      </c>
      <c r="G50" s="202">
        <v>90.888888888888886</v>
      </c>
      <c r="H50" s="385"/>
      <c r="I50" s="175">
        <f t="shared" si="23"/>
        <v>18</v>
      </c>
      <c r="J50" s="175">
        <f t="shared" si="23"/>
        <v>1242.1405775075989</v>
      </c>
      <c r="K50" s="202">
        <f t="shared" si="23"/>
        <v>69.007809861533275</v>
      </c>
      <c r="L50" s="385"/>
      <c r="M50" s="203">
        <f>RANK(K50, K$47:$K$61)</f>
        <v>3</v>
      </c>
      <c r="N50" s="387"/>
      <c r="O50" s="387"/>
      <c r="P50" s="105">
        <v>18</v>
      </c>
      <c r="Q50" s="202">
        <v>1254.0000000000005</v>
      </c>
      <c r="R50" s="202">
        <v>69.666666666666686</v>
      </c>
      <c r="S50" s="105">
        <f t="shared" si="24"/>
        <v>3</v>
      </c>
      <c r="T50" s="385"/>
      <c r="U50" s="105">
        <v>18</v>
      </c>
      <c r="V50" s="202">
        <v>1242.5000000000005</v>
      </c>
      <c r="W50" s="202">
        <v>69.0277777777778</v>
      </c>
      <c r="X50" s="105">
        <f t="shared" si="25"/>
        <v>3</v>
      </c>
      <c r="Y50" s="385"/>
      <c r="Z50" s="105">
        <v>18</v>
      </c>
      <c r="AA50" s="202">
        <v>1222.9787234042553</v>
      </c>
      <c r="AB50" s="202">
        <v>67.943262411347519</v>
      </c>
      <c r="AC50" s="105">
        <f t="shared" si="26"/>
        <v>4</v>
      </c>
      <c r="AD50" s="385"/>
      <c r="AE50" s="105">
        <v>18</v>
      </c>
      <c r="AF50" s="202">
        <v>1240</v>
      </c>
      <c r="AG50" s="202">
        <v>68.888888888888886</v>
      </c>
      <c r="AH50" s="105">
        <f t="shared" si="27"/>
        <v>4</v>
      </c>
      <c r="AI50" s="385"/>
      <c r="AJ50" s="105">
        <v>18</v>
      </c>
      <c r="AK50" s="202">
        <v>1259.9999999999995</v>
      </c>
      <c r="AL50" s="202">
        <v>69.999999999999972</v>
      </c>
      <c r="AM50" s="105">
        <f t="shared" si="28"/>
        <v>3</v>
      </c>
      <c r="AN50" s="385"/>
      <c r="AO50" s="105">
        <v>18</v>
      </c>
      <c r="AP50" s="202">
        <v>1224.2553191489362</v>
      </c>
      <c r="AQ50" s="202">
        <v>68.01418439716312</v>
      </c>
      <c r="AR50" s="105">
        <f t="shared" si="29"/>
        <v>5</v>
      </c>
      <c r="AS50" s="385"/>
      <c r="AT50" s="105">
        <v>18</v>
      </c>
      <c r="AU50" s="202">
        <v>1251.2500000000002</v>
      </c>
      <c r="AV50" s="202">
        <v>69.5138888888889</v>
      </c>
      <c r="AW50" s="105">
        <f t="shared" si="30"/>
        <v>3</v>
      </c>
      <c r="AX50" s="412"/>
    </row>
    <row r="51" spans="2:50">
      <c r="B51" s="398"/>
      <c r="C51" s="105">
        <v>5</v>
      </c>
      <c r="D51" s="228" t="s">
        <v>291</v>
      </c>
      <c r="E51" s="175">
        <v>16</v>
      </c>
      <c r="F51" s="105">
        <v>1440</v>
      </c>
      <c r="G51" s="202">
        <v>90</v>
      </c>
      <c r="H51" s="385"/>
      <c r="I51" s="175">
        <f t="shared" si="23"/>
        <v>16.428571428571427</v>
      </c>
      <c r="J51" s="175">
        <f t="shared" si="23"/>
        <v>1285.0883076817931</v>
      </c>
      <c r="K51" s="202">
        <f t="shared" si="23"/>
        <v>78.295997808844803</v>
      </c>
      <c r="L51" s="385"/>
      <c r="M51" s="203">
        <f>RANK(K51, K$47:$K$61)</f>
        <v>2</v>
      </c>
      <c r="N51" s="387"/>
      <c r="O51" s="387"/>
      <c r="P51" s="105">
        <v>17</v>
      </c>
      <c r="Q51" s="202">
        <v>1287.2558139534881</v>
      </c>
      <c r="R51" s="202">
        <v>75.720930232558118</v>
      </c>
      <c r="S51" s="105">
        <f t="shared" si="24"/>
        <v>2</v>
      </c>
      <c r="T51" s="385"/>
      <c r="U51" s="105">
        <v>16</v>
      </c>
      <c r="V51" s="202">
        <v>1287.0796460176982</v>
      </c>
      <c r="W51" s="202">
        <v>80.442477876106139</v>
      </c>
      <c r="X51" s="105">
        <f t="shared" si="25"/>
        <v>2</v>
      </c>
      <c r="Y51" s="385"/>
      <c r="Z51" s="105">
        <v>16</v>
      </c>
      <c r="AA51" s="202">
        <v>1283.7313432835822</v>
      </c>
      <c r="AB51" s="202">
        <v>80.233208955223887</v>
      </c>
      <c r="AC51" s="105">
        <f t="shared" si="26"/>
        <v>1</v>
      </c>
      <c r="AD51" s="385"/>
      <c r="AE51" s="105">
        <v>16</v>
      </c>
      <c r="AF51" s="202">
        <v>1280.4999999999995</v>
      </c>
      <c r="AG51" s="202">
        <v>80.031249999999972</v>
      </c>
      <c r="AH51" s="105">
        <f t="shared" si="27"/>
        <v>2</v>
      </c>
      <c r="AI51" s="385"/>
      <c r="AJ51" s="105">
        <v>16</v>
      </c>
      <c r="AK51" s="202">
        <v>1294.3783783783776</v>
      </c>
      <c r="AL51" s="202">
        <v>80.898648648648603</v>
      </c>
      <c r="AM51" s="105">
        <f t="shared" si="28"/>
        <v>2</v>
      </c>
      <c r="AN51" s="385"/>
      <c r="AO51" s="105">
        <v>17</v>
      </c>
      <c r="AP51" s="202">
        <v>1295.9124087591242</v>
      </c>
      <c r="AQ51" s="202">
        <v>76.230141691713186</v>
      </c>
      <c r="AR51" s="105">
        <f t="shared" si="29"/>
        <v>2</v>
      </c>
      <c r="AS51" s="385"/>
      <c r="AT51" s="105">
        <v>17</v>
      </c>
      <c r="AU51" s="202">
        <v>1266.7605633802818</v>
      </c>
      <c r="AV51" s="202">
        <v>74.515327257663643</v>
      </c>
      <c r="AW51" s="105">
        <f t="shared" si="30"/>
        <v>2</v>
      </c>
      <c r="AX51" s="412"/>
    </row>
    <row r="52" spans="2:50">
      <c r="B52" s="398"/>
      <c r="C52" s="105">
        <v>6</v>
      </c>
      <c r="D52" s="228" t="s">
        <v>296</v>
      </c>
      <c r="E52" s="175">
        <v>18</v>
      </c>
      <c r="F52" s="105">
        <v>1440</v>
      </c>
      <c r="G52" s="202">
        <v>80</v>
      </c>
      <c r="H52" s="385"/>
      <c r="I52" s="175">
        <f t="shared" si="23"/>
        <v>18</v>
      </c>
      <c r="J52" s="175">
        <f t="shared" si="23"/>
        <v>1181.3799948550852</v>
      </c>
      <c r="K52" s="202">
        <f t="shared" si="23"/>
        <v>65.63222193639362</v>
      </c>
      <c r="L52" s="385"/>
      <c r="M52" s="203">
        <f>RANK(K52, K$47:$K$61)</f>
        <v>5</v>
      </c>
      <c r="N52" s="387"/>
      <c r="O52" s="387"/>
      <c r="P52" s="105">
        <v>18</v>
      </c>
      <c r="Q52" s="202">
        <v>1174.1176470588241</v>
      </c>
      <c r="R52" s="202">
        <v>65.228758169934679</v>
      </c>
      <c r="S52" s="105">
        <f t="shared" si="24"/>
        <v>5</v>
      </c>
      <c r="T52" s="385"/>
      <c r="U52" s="105">
        <v>18</v>
      </c>
      <c r="V52" s="202">
        <v>1165.882352941177</v>
      </c>
      <c r="W52" s="202">
        <v>64.771241830065392</v>
      </c>
      <c r="X52" s="105">
        <f t="shared" si="25"/>
        <v>5</v>
      </c>
      <c r="Y52" s="385"/>
      <c r="Z52" s="105">
        <v>18</v>
      </c>
      <c r="AA52" s="202">
        <v>1168.7500000000002</v>
      </c>
      <c r="AB52" s="202">
        <v>64.930555555555571</v>
      </c>
      <c r="AC52" s="105">
        <f t="shared" si="26"/>
        <v>5</v>
      </c>
      <c r="AD52" s="385"/>
      <c r="AE52" s="105">
        <v>18</v>
      </c>
      <c r="AF52" s="202">
        <v>1218.5714285714282</v>
      </c>
      <c r="AG52" s="202">
        <v>67.698412698412682</v>
      </c>
      <c r="AH52" s="105">
        <f t="shared" si="27"/>
        <v>5</v>
      </c>
      <c r="AI52" s="385"/>
      <c r="AJ52" s="105">
        <v>18</v>
      </c>
      <c r="AK52" s="202">
        <v>1196</v>
      </c>
      <c r="AL52" s="202">
        <v>66.444444444444443</v>
      </c>
      <c r="AM52" s="105">
        <f t="shared" si="28"/>
        <v>5</v>
      </c>
      <c r="AN52" s="385"/>
      <c r="AO52" s="105">
        <v>18</v>
      </c>
      <c r="AP52" s="202">
        <v>1164.7058823529417</v>
      </c>
      <c r="AQ52" s="202">
        <v>64.705882352941202</v>
      </c>
      <c r="AR52" s="105">
        <f t="shared" si="29"/>
        <v>6</v>
      </c>
      <c r="AS52" s="385"/>
      <c r="AT52" s="105">
        <v>18</v>
      </c>
      <c r="AU52" s="202">
        <v>1181.6326530612248</v>
      </c>
      <c r="AV52" s="202">
        <v>65.646258503401384</v>
      </c>
      <c r="AW52" s="105">
        <f t="shared" si="30"/>
        <v>5</v>
      </c>
      <c r="AX52" s="412"/>
    </row>
    <row r="53" spans="2:50">
      <c r="B53" s="398"/>
      <c r="C53" s="105">
        <v>7</v>
      </c>
      <c r="D53" s="228" t="s">
        <v>293</v>
      </c>
      <c r="E53" s="175">
        <v>19</v>
      </c>
      <c r="F53" s="105">
        <v>1440</v>
      </c>
      <c r="G53" s="202">
        <v>75.78947368421052</v>
      </c>
      <c r="H53" s="385"/>
      <c r="I53" s="175">
        <f t="shared" si="23"/>
        <v>18.857142857142858</v>
      </c>
      <c r="J53" s="175">
        <f t="shared" si="23"/>
        <v>1097.4382332643211</v>
      </c>
      <c r="K53" s="202">
        <f t="shared" si="23"/>
        <v>58.209945152736964</v>
      </c>
      <c r="L53" s="385"/>
      <c r="M53" s="203">
        <f>RANK(K53, K$47:$K$61)</f>
        <v>10</v>
      </c>
      <c r="N53" s="387"/>
      <c r="O53" s="387"/>
      <c r="P53" s="105">
        <v>19</v>
      </c>
      <c r="Q53" s="202">
        <v>1106.666666666664</v>
      </c>
      <c r="R53" s="202">
        <v>58.245614035087577</v>
      </c>
      <c r="S53" s="105">
        <f t="shared" si="24"/>
        <v>10</v>
      </c>
      <c r="T53" s="385"/>
      <c r="U53" s="105">
        <v>19</v>
      </c>
      <c r="V53" s="202">
        <v>1099.2000000000003</v>
      </c>
      <c r="W53" s="202">
        <v>57.852631578947381</v>
      </c>
      <c r="X53" s="105">
        <f t="shared" si="25"/>
        <v>10</v>
      </c>
      <c r="Y53" s="385"/>
      <c r="Z53" s="105">
        <v>19</v>
      </c>
      <c r="AA53" s="202">
        <v>1084.8000000000004</v>
      </c>
      <c r="AB53" s="202">
        <v>57.094736842105284</v>
      </c>
      <c r="AC53" s="105">
        <f t="shared" si="26"/>
        <v>10</v>
      </c>
      <c r="AD53" s="385"/>
      <c r="AE53" s="105">
        <v>19</v>
      </c>
      <c r="AF53" s="202">
        <v>1104.444444444445</v>
      </c>
      <c r="AG53" s="202">
        <v>58.128654970760266</v>
      </c>
      <c r="AH53" s="105">
        <f t="shared" si="27"/>
        <v>9</v>
      </c>
      <c r="AI53" s="385"/>
      <c r="AJ53" s="105">
        <v>19</v>
      </c>
      <c r="AK53" s="202">
        <v>1087.8260869565217</v>
      </c>
      <c r="AL53" s="202">
        <v>57.254004576659042</v>
      </c>
      <c r="AM53" s="105">
        <f t="shared" si="28"/>
        <v>9</v>
      </c>
      <c r="AN53" s="385"/>
      <c r="AO53" s="105">
        <v>18</v>
      </c>
      <c r="AP53" s="202">
        <v>1077.3913043478299</v>
      </c>
      <c r="AQ53" s="202">
        <v>59.855072463768323</v>
      </c>
      <c r="AR53" s="105">
        <f t="shared" si="29"/>
        <v>8</v>
      </c>
      <c r="AS53" s="385"/>
      <c r="AT53" s="105">
        <v>19</v>
      </c>
      <c r="AU53" s="202">
        <v>1121.7391304347866</v>
      </c>
      <c r="AV53" s="202">
        <v>59.038901601830872</v>
      </c>
      <c r="AW53" s="105">
        <f t="shared" si="30"/>
        <v>8</v>
      </c>
      <c r="AX53" s="412"/>
    </row>
    <row r="54" spans="2:50">
      <c r="B54" s="398"/>
      <c r="C54" s="105">
        <v>8</v>
      </c>
      <c r="D54" s="228" t="s">
        <v>295</v>
      </c>
      <c r="E54" s="175">
        <v>15</v>
      </c>
      <c r="F54" s="105">
        <v>1500</v>
      </c>
      <c r="G54" s="202">
        <v>100</v>
      </c>
      <c r="H54" s="385"/>
      <c r="I54" s="175">
        <f t="shared" si="23"/>
        <v>15</v>
      </c>
      <c r="J54" s="175">
        <f t="shared" si="23"/>
        <v>1244.1725925631633</v>
      </c>
      <c r="K54" s="202">
        <f t="shared" si="23"/>
        <v>82.944839504210904</v>
      </c>
      <c r="L54" s="385"/>
      <c r="M54" s="203">
        <f>RANK(K54, K$47:$K$61)</f>
        <v>1</v>
      </c>
      <c r="N54" s="387"/>
      <c r="O54" s="387"/>
      <c r="P54" s="105">
        <v>15</v>
      </c>
      <c r="Q54" s="202">
        <v>1278.7499999999982</v>
      </c>
      <c r="R54" s="202">
        <v>85.249999999999872</v>
      </c>
      <c r="S54" s="105">
        <f t="shared" si="24"/>
        <v>1</v>
      </c>
      <c r="T54" s="385"/>
      <c r="U54" s="105">
        <v>15</v>
      </c>
      <c r="V54" s="202">
        <v>1265.8064516129011</v>
      </c>
      <c r="W54" s="202">
        <v>84.387096774193409</v>
      </c>
      <c r="X54" s="105">
        <f t="shared" si="25"/>
        <v>1</v>
      </c>
      <c r="Y54" s="385"/>
      <c r="Z54" s="105">
        <v>15</v>
      </c>
      <c r="AA54" s="202">
        <v>1100.6249999999984</v>
      </c>
      <c r="AB54" s="202">
        <v>73.374999999999901</v>
      </c>
      <c r="AC54" s="105">
        <f t="shared" si="26"/>
        <v>2</v>
      </c>
      <c r="AD54" s="385"/>
      <c r="AE54" s="105">
        <v>15</v>
      </c>
      <c r="AF54" s="202">
        <v>1252.2580645161272</v>
      </c>
      <c r="AG54" s="202">
        <v>83.483870967741808</v>
      </c>
      <c r="AH54" s="105">
        <f t="shared" si="27"/>
        <v>1</v>
      </c>
      <c r="AI54" s="385"/>
      <c r="AJ54" s="105">
        <v>15</v>
      </c>
      <c r="AK54" s="202">
        <v>1268.2758620689631</v>
      </c>
      <c r="AL54" s="202">
        <v>84.551724137930876</v>
      </c>
      <c r="AM54" s="105">
        <f t="shared" si="28"/>
        <v>1</v>
      </c>
      <c r="AN54" s="385"/>
      <c r="AO54" s="105">
        <v>15</v>
      </c>
      <c r="AP54" s="202">
        <v>1264.1379310344803</v>
      </c>
      <c r="AQ54" s="202">
        <v>84.275862068965353</v>
      </c>
      <c r="AR54" s="105">
        <f t="shared" si="29"/>
        <v>1</v>
      </c>
      <c r="AS54" s="385"/>
      <c r="AT54" s="105">
        <v>15</v>
      </c>
      <c r="AU54" s="202">
        <v>1279.3548387096753</v>
      </c>
      <c r="AV54" s="202">
        <v>85.290322580645025</v>
      </c>
      <c r="AW54" s="105">
        <f t="shared" si="30"/>
        <v>1</v>
      </c>
      <c r="AX54" s="412"/>
    </row>
    <row r="55" spans="2:50">
      <c r="B55" s="398"/>
      <c r="C55" s="105">
        <v>9</v>
      </c>
      <c r="D55" s="228" t="s">
        <v>297</v>
      </c>
      <c r="E55" s="175">
        <v>20</v>
      </c>
      <c r="F55" s="105">
        <v>1385</v>
      </c>
      <c r="G55" s="202">
        <v>69.25</v>
      </c>
      <c r="H55" s="385"/>
      <c r="I55" s="175">
        <f t="shared" si="23"/>
        <v>19.857142857142858</v>
      </c>
      <c r="J55" s="175">
        <f t="shared" si="23"/>
        <v>1191.3513862659124</v>
      </c>
      <c r="K55" s="202">
        <f t="shared" si="23"/>
        <v>60.011648260664025</v>
      </c>
      <c r="L55" s="385"/>
      <c r="M55" s="203">
        <f>RANK(K55, K$47:$K$61)</f>
        <v>7</v>
      </c>
      <c r="N55" s="387"/>
      <c r="O55" s="387"/>
      <c r="P55" s="105">
        <v>20</v>
      </c>
      <c r="Q55" s="202">
        <v>1188.8288135593216</v>
      </c>
      <c r="R55" s="202">
        <v>59.441440677966078</v>
      </c>
      <c r="S55" s="105">
        <f t="shared" si="24"/>
        <v>8</v>
      </c>
      <c r="T55" s="385"/>
      <c r="U55" s="105">
        <v>20</v>
      </c>
      <c r="V55" s="202">
        <v>1192.4999999999998</v>
      </c>
      <c r="W55" s="202">
        <v>59.624999999999986</v>
      </c>
      <c r="X55" s="105">
        <f t="shared" si="25"/>
        <v>9</v>
      </c>
      <c r="Y55" s="385"/>
      <c r="Z55" s="105">
        <v>20</v>
      </c>
      <c r="AA55" s="202">
        <v>1199.5199999999995</v>
      </c>
      <c r="AB55" s="202">
        <v>59.975999999999978</v>
      </c>
      <c r="AC55" s="105">
        <f t="shared" si="26"/>
        <v>8</v>
      </c>
      <c r="AD55" s="385"/>
      <c r="AE55" s="105">
        <v>20</v>
      </c>
      <c r="AF55" s="202">
        <v>1194.1176470588239</v>
      </c>
      <c r="AG55" s="202">
        <v>59.705882352941195</v>
      </c>
      <c r="AH55" s="105">
        <f t="shared" si="27"/>
        <v>8</v>
      </c>
      <c r="AI55" s="385"/>
      <c r="AJ55" s="105">
        <v>20</v>
      </c>
      <c r="AK55" s="202">
        <v>1183.2432432432424</v>
      </c>
      <c r="AL55" s="202">
        <v>59.162162162162119</v>
      </c>
      <c r="AM55" s="105">
        <f t="shared" si="28"/>
        <v>8</v>
      </c>
      <c r="AN55" s="385"/>
      <c r="AO55" s="105">
        <v>20</v>
      </c>
      <c r="AP55" s="202">
        <v>1199.9999999999998</v>
      </c>
      <c r="AQ55" s="202">
        <v>59.999999999999986</v>
      </c>
      <c r="AR55" s="105">
        <f t="shared" si="29"/>
        <v>7</v>
      </c>
      <c r="AS55" s="385"/>
      <c r="AT55" s="105">
        <v>19</v>
      </c>
      <c r="AU55" s="202">
        <v>1181.2499999999984</v>
      </c>
      <c r="AV55" s="202">
        <v>62.171052631578867</v>
      </c>
      <c r="AW55" s="105">
        <f t="shared" si="30"/>
        <v>7</v>
      </c>
      <c r="AX55" s="412"/>
    </row>
    <row r="56" spans="2:50">
      <c r="B56" s="398"/>
      <c r="C56" s="105">
        <v>10</v>
      </c>
      <c r="D56" s="228" t="s">
        <v>298</v>
      </c>
      <c r="E56" s="175">
        <v>20</v>
      </c>
      <c r="F56" s="105">
        <v>1440</v>
      </c>
      <c r="G56" s="202">
        <v>72</v>
      </c>
      <c r="H56" s="385"/>
      <c r="I56" s="175">
        <f t="shared" si="23"/>
        <v>20</v>
      </c>
      <c r="J56" s="175">
        <f t="shared" si="23"/>
        <v>1185.0039873228409</v>
      </c>
      <c r="K56" s="202">
        <f t="shared" si="23"/>
        <v>59.250199366142034</v>
      </c>
      <c r="L56" s="385"/>
      <c r="M56" s="203">
        <f>RANK(K56, K$47:$K$61)</f>
        <v>8</v>
      </c>
      <c r="N56" s="387"/>
      <c r="O56" s="387"/>
      <c r="P56" s="105">
        <v>20</v>
      </c>
      <c r="Q56" s="202">
        <v>1175.483870967742</v>
      </c>
      <c r="R56" s="202">
        <v>58.774193548387096</v>
      </c>
      <c r="S56" s="105">
        <f t="shared" si="24"/>
        <v>9</v>
      </c>
      <c r="T56" s="385"/>
      <c r="U56" s="105">
        <v>20</v>
      </c>
      <c r="V56" s="202">
        <v>1217.3195876288664</v>
      </c>
      <c r="W56" s="202">
        <v>60.865979381443324</v>
      </c>
      <c r="X56" s="105">
        <f t="shared" si="25"/>
        <v>7</v>
      </c>
      <c r="Y56" s="385"/>
      <c r="Z56" s="105">
        <v>20</v>
      </c>
      <c r="AA56" s="202">
        <v>1162.8000000000004</v>
      </c>
      <c r="AB56" s="202">
        <v>58.140000000000022</v>
      </c>
      <c r="AC56" s="105">
        <f t="shared" si="26"/>
        <v>9</v>
      </c>
      <c r="AD56" s="385"/>
      <c r="AE56" s="105">
        <v>20</v>
      </c>
      <c r="AF56" s="202">
        <v>1195.6626506024093</v>
      </c>
      <c r="AG56" s="202">
        <v>59.783132530120461</v>
      </c>
      <c r="AH56" s="105">
        <f t="shared" si="27"/>
        <v>7</v>
      </c>
      <c r="AI56" s="385"/>
      <c r="AJ56" s="105">
        <v>20</v>
      </c>
      <c r="AK56" s="202">
        <v>1205.9999999999995</v>
      </c>
      <c r="AL56" s="202">
        <v>60.299999999999976</v>
      </c>
      <c r="AM56" s="105">
        <f t="shared" si="28"/>
        <v>7</v>
      </c>
      <c r="AN56" s="385"/>
      <c r="AO56" s="105">
        <v>20</v>
      </c>
      <c r="AP56" s="202">
        <v>1157.9487179487176</v>
      </c>
      <c r="AQ56" s="202">
        <v>57.897435897435876</v>
      </c>
      <c r="AR56" s="105">
        <f t="shared" si="29"/>
        <v>9</v>
      </c>
      <c r="AS56" s="385"/>
      <c r="AT56" s="105">
        <v>20</v>
      </c>
      <c r="AU56" s="202">
        <v>1179.8130841121501</v>
      </c>
      <c r="AV56" s="202">
        <v>58.990654205607505</v>
      </c>
      <c r="AW56" s="105">
        <f t="shared" si="30"/>
        <v>9</v>
      </c>
      <c r="AX56" s="412"/>
    </row>
    <row r="57" spans="2:50">
      <c r="B57" s="398"/>
      <c r="C57" s="105">
        <v>11</v>
      </c>
      <c r="D57" s="228"/>
      <c r="E57" s="175"/>
      <c r="F57" s="105"/>
      <c r="G57" s="202"/>
      <c r="H57" s="385"/>
      <c r="I57" s="105"/>
      <c r="J57" s="105"/>
      <c r="K57" s="105"/>
      <c r="L57" s="385"/>
      <c r="M57" s="203" t="e">
        <f>RANK(K57, K$47:$K$61)</f>
        <v>#N/A</v>
      </c>
      <c r="N57" s="387"/>
      <c r="O57" s="387"/>
      <c r="P57" s="105"/>
      <c r="Q57" s="202"/>
      <c r="R57" s="202"/>
      <c r="S57" s="105" t="e">
        <f t="shared" si="24"/>
        <v>#N/A</v>
      </c>
      <c r="T57" s="385"/>
      <c r="U57" s="105"/>
      <c r="V57" s="202"/>
      <c r="W57" s="202"/>
      <c r="X57" s="105" t="e">
        <f t="shared" si="25"/>
        <v>#N/A</v>
      </c>
      <c r="Y57" s="385"/>
      <c r="Z57" s="105"/>
      <c r="AA57" s="202"/>
      <c r="AB57" s="202"/>
      <c r="AC57" s="105" t="e">
        <f t="shared" si="26"/>
        <v>#N/A</v>
      </c>
      <c r="AD57" s="385"/>
      <c r="AE57" s="105"/>
      <c r="AF57" s="202"/>
      <c r="AG57" s="202"/>
      <c r="AH57" s="105" t="e">
        <f t="shared" si="27"/>
        <v>#N/A</v>
      </c>
      <c r="AI57" s="385"/>
      <c r="AJ57" s="105"/>
      <c r="AK57" s="202"/>
      <c r="AL57" s="202"/>
      <c r="AM57" s="105" t="e">
        <f t="shared" si="28"/>
        <v>#N/A</v>
      </c>
      <c r="AN57" s="385"/>
      <c r="AO57" s="105"/>
      <c r="AP57" s="202"/>
      <c r="AQ57" s="202"/>
      <c r="AR57" s="105" t="e">
        <f t="shared" si="29"/>
        <v>#N/A</v>
      </c>
      <c r="AS57" s="385"/>
      <c r="AT57" s="105"/>
      <c r="AU57" s="202"/>
      <c r="AV57" s="202"/>
      <c r="AW57" s="105" t="e">
        <f t="shared" si="30"/>
        <v>#N/A</v>
      </c>
      <c r="AX57" s="412"/>
    </row>
    <row r="58" spans="2:50">
      <c r="B58" s="398"/>
      <c r="C58" s="105">
        <v>12</v>
      </c>
      <c r="D58" s="228"/>
      <c r="E58" s="175"/>
      <c r="F58" s="105"/>
      <c r="G58" s="202"/>
      <c r="H58" s="385"/>
      <c r="I58" s="105"/>
      <c r="J58" s="105"/>
      <c r="K58" s="105"/>
      <c r="L58" s="385"/>
      <c r="M58" s="203" t="e">
        <f>RANK(K58, K$47:$K$61)</f>
        <v>#N/A</v>
      </c>
      <c r="N58" s="387"/>
      <c r="O58" s="387"/>
      <c r="P58" s="105"/>
      <c r="Q58" s="202"/>
      <c r="R58" s="202"/>
      <c r="S58" s="105" t="e">
        <f t="shared" si="24"/>
        <v>#N/A</v>
      </c>
      <c r="T58" s="385"/>
      <c r="U58" s="105"/>
      <c r="V58" s="105"/>
      <c r="W58" s="105"/>
      <c r="X58" s="105" t="e">
        <f t="shared" si="25"/>
        <v>#N/A</v>
      </c>
      <c r="Y58" s="385"/>
      <c r="Z58" s="105"/>
      <c r="AA58" s="105"/>
      <c r="AB58" s="105"/>
      <c r="AC58" s="105" t="e">
        <f t="shared" si="26"/>
        <v>#N/A</v>
      </c>
      <c r="AD58" s="385"/>
      <c r="AE58" s="105"/>
      <c r="AF58" s="105"/>
      <c r="AG58" s="105"/>
      <c r="AH58" s="105" t="e">
        <f t="shared" si="27"/>
        <v>#N/A</v>
      </c>
      <c r="AI58" s="385"/>
      <c r="AJ58" s="105"/>
      <c r="AK58" s="105"/>
      <c r="AL58" s="105"/>
      <c r="AM58" s="105" t="e">
        <f t="shared" si="28"/>
        <v>#N/A</v>
      </c>
      <c r="AN58" s="385"/>
      <c r="AO58" s="105"/>
      <c r="AP58" s="105"/>
      <c r="AQ58" s="105"/>
      <c r="AR58" s="105" t="e">
        <f t="shared" si="29"/>
        <v>#N/A</v>
      </c>
      <c r="AS58" s="385"/>
      <c r="AT58" s="105"/>
      <c r="AU58" s="105"/>
      <c r="AV58" s="105"/>
      <c r="AW58" s="105" t="e">
        <f t="shared" si="30"/>
        <v>#N/A</v>
      </c>
      <c r="AX58" s="412"/>
    </row>
    <row r="59" spans="2:50">
      <c r="B59" s="398"/>
      <c r="C59" s="105">
        <v>13</v>
      </c>
      <c r="D59" s="228"/>
      <c r="E59" s="175"/>
      <c r="F59" s="105"/>
      <c r="G59" s="202"/>
      <c r="H59" s="385"/>
      <c r="I59" s="105"/>
      <c r="J59" s="105"/>
      <c r="K59" s="105"/>
      <c r="L59" s="385"/>
      <c r="M59" s="203" t="e">
        <f>RANK(K59, K$47:$K$61)</f>
        <v>#N/A</v>
      </c>
      <c r="N59" s="387"/>
      <c r="O59" s="387"/>
      <c r="P59" s="105"/>
      <c r="Q59" s="202"/>
      <c r="R59" s="202"/>
      <c r="S59" s="105" t="e">
        <f t="shared" si="24"/>
        <v>#N/A</v>
      </c>
      <c r="T59" s="385"/>
      <c r="U59" s="105"/>
      <c r="V59" s="105"/>
      <c r="W59" s="105"/>
      <c r="X59" s="105" t="e">
        <f t="shared" si="25"/>
        <v>#N/A</v>
      </c>
      <c r="Y59" s="385"/>
      <c r="Z59" s="105"/>
      <c r="AA59" s="105"/>
      <c r="AB59" s="105"/>
      <c r="AC59" s="105" t="e">
        <f t="shared" si="26"/>
        <v>#N/A</v>
      </c>
      <c r="AD59" s="385"/>
      <c r="AE59" s="105"/>
      <c r="AF59" s="105"/>
      <c r="AG59" s="105"/>
      <c r="AH59" s="105" t="e">
        <f t="shared" si="27"/>
        <v>#N/A</v>
      </c>
      <c r="AI59" s="385"/>
      <c r="AJ59" s="105"/>
      <c r="AK59" s="105"/>
      <c r="AL59" s="105"/>
      <c r="AM59" s="105" t="e">
        <f t="shared" si="28"/>
        <v>#N/A</v>
      </c>
      <c r="AN59" s="385"/>
      <c r="AO59" s="105"/>
      <c r="AP59" s="105"/>
      <c r="AQ59" s="105"/>
      <c r="AR59" s="105" t="e">
        <f t="shared" si="29"/>
        <v>#N/A</v>
      </c>
      <c r="AS59" s="385"/>
      <c r="AT59" s="105"/>
      <c r="AU59" s="105"/>
      <c r="AV59" s="105"/>
      <c r="AW59" s="105" t="e">
        <f t="shared" si="30"/>
        <v>#N/A</v>
      </c>
      <c r="AX59" s="412"/>
    </row>
    <row r="60" spans="2:50">
      <c r="B60" s="398"/>
      <c r="C60" s="105">
        <v>14</v>
      </c>
      <c r="D60" s="228"/>
      <c r="E60" s="175"/>
      <c r="F60" s="105"/>
      <c r="G60" s="202"/>
      <c r="H60" s="385"/>
      <c r="I60" s="105"/>
      <c r="J60" s="105"/>
      <c r="K60" s="105"/>
      <c r="L60" s="385"/>
      <c r="M60" s="203" t="e">
        <f>RANK(K60, K$47:$K$61)</f>
        <v>#N/A</v>
      </c>
      <c r="N60" s="387"/>
      <c r="O60" s="387"/>
      <c r="P60" s="105"/>
      <c r="Q60" s="202"/>
      <c r="R60" s="202"/>
      <c r="S60" s="105" t="e">
        <f t="shared" si="24"/>
        <v>#N/A</v>
      </c>
      <c r="T60" s="385"/>
      <c r="U60" s="105"/>
      <c r="V60" s="105"/>
      <c r="W60" s="105"/>
      <c r="X60" s="105" t="e">
        <f t="shared" si="25"/>
        <v>#N/A</v>
      </c>
      <c r="Y60" s="385"/>
      <c r="Z60" s="105"/>
      <c r="AA60" s="105"/>
      <c r="AB60" s="105"/>
      <c r="AC60" s="105" t="e">
        <f t="shared" si="26"/>
        <v>#N/A</v>
      </c>
      <c r="AD60" s="385"/>
      <c r="AE60" s="105"/>
      <c r="AF60" s="105"/>
      <c r="AG60" s="105"/>
      <c r="AH60" s="105" t="e">
        <f t="shared" si="27"/>
        <v>#N/A</v>
      </c>
      <c r="AI60" s="385"/>
      <c r="AJ60" s="105"/>
      <c r="AK60" s="105"/>
      <c r="AL60" s="105"/>
      <c r="AM60" s="105" t="e">
        <f t="shared" si="28"/>
        <v>#N/A</v>
      </c>
      <c r="AN60" s="385"/>
      <c r="AO60" s="105"/>
      <c r="AP60" s="105"/>
      <c r="AQ60" s="105"/>
      <c r="AR60" s="105" t="e">
        <f t="shared" si="29"/>
        <v>#N/A</v>
      </c>
      <c r="AS60" s="385"/>
      <c r="AT60" s="105"/>
      <c r="AU60" s="105"/>
      <c r="AV60" s="105"/>
      <c r="AW60" s="105" t="e">
        <f t="shared" si="30"/>
        <v>#N/A</v>
      </c>
      <c r="AX60" s="412"/>
    </row>
    <row r="61" spans="2:50">
      <c r="B61" s="398"/>
      <c r="C61" s="105">
        <v>15</v>
      </c>
      <c r="D61" s="228"/>
      <c r="E61" s="175"/>
      <c r="F61" s="105"/>
      <c r="G61" s="202"/>
      <c r="H61" s="386"/>
      <c r="I61" s="105"/>
      <c r="J61" s="105"/>
      <c r="K61" s="105"/>
      <c r="L61" s="386"/>
      <c r="M61" s="175" t="e">
        <f>RANK(K61, K$47:$K$61)</f>
        <v>#N/A</v>
      </c>
      <c r="N61" s="387"/>
      <c r="O61" s="387"/>
      <c r="P61" s="105"/>
      <c r="Q61" s="202"/>
      <c r="R61" s="202"/>
      <c r="S61" s="105" t="e">
        <f t="shared" si="24"/>
        <v>#N/A</v>
      </c>
      <c r="T61" s="386"/>
      <c r="U61" s="105"/>
      <c r="V61" s="105"/>
      <c r="W61" s="105"/>
      <c r="X61" s="105" t="e">
        <f t="shared" si="25"/>
        <v>#N/A</v>
      </c>
      <c r="Y61" s="386"/>
      <c r="Z61" s="105"/>
      <c r="AA61" s="105"/>
      <c r="AB61" s="105"/>
      <c r="AC61" s="105" t="e">
        <f t="shared" si="26"/>
        <v>#N/A</v>
      </c>
      <c r="AD61" s="386"/>
      <c r="AE61" s="105"/>
      <c r="AF61" s="105"/>
      <c r="AG61" s="105"/>
      <c r="AH61" s="105" t="e">
        <f t="shared" si="27"/>
        <v>#N/A</v>
      </c>
      <c r="AI61" s="386"/>
      <c r="AJ61" s="105"/>
      <c r="AK61" s="105"/>
      <c r="AL61" s="105"/>
      <c r="AM61" s="105" t="e">
        <f t="shared" si="28"/>
        <v>#N/A</v>
      </c>
      <c r="AN61" s="386"/>
      <c r="AO61" s="105"/>
      <c r="AP61" s="105"/>
      <c r="AQ61" s="105"/>
      <c r="AR61" s="105" t="e">
        <f t="shared" si="29"/>
        <v>#N/A</v>
      </c>
      <c r="AS61" s="386"/>
      <c r="AT61" s="105"/>
      <c r="AU61" s="105"/>
      <c r="AV61" s="105"/>
      <c r="AW61" s="105" t="e">
        <f t="shared" si="30"/>
        <v>#N/A</v>
      </c>
      <c r="AX61" s="412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31">Z62+1</f>
        <v>45891</v>
      </c>
      <c r="AF62" s="395"/>
      <c r="AG62" s="395"/>
      <c r="AH62" s="395"/>
      <c r="AI62" s="396"/>
      <c r="AJ62" s="394">
        <f t="shared" ref="AJ62" si="32">AE62+1</f>
        <v>45892</v>
      </c>
      <c r="AK62" s="395"/>
      <c r="AL62" s="395"/>
      <c r="AM62" s="395"/>
      <c r="AN62" s="396"/>
      <c r="AO62" s="394">
        <f t="shared" ref="AO62" si="33">AJ62+1</f>
        <v>45893</v>
      </c>
      <c r="AP62" s="395"/>
      <c r="AQ62" s="395"/>
      <c r="AR62" s="395"/>
      <c r="AS62" s="396"/>
      <c r="AT62" s="394">
        <f t="shared" ref="AT62" si="34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387" t="s">
        <v>181</v>
      </c>
      <c r="C67" s="105">
        <v>1</v>
      </c>
      <c r="D67" s="228" t="s">
        <v>287</v>
      </c>
      <c r="E67" s="175">
        <v>19</v>
      </c>
      <c r="F67" s="105">
        <v>1440</v>
      </c>
      <c r="G67" s="202">
        <v>75.78947368421052</v>
      </c>
      <c r="H67" s="384">
        <f>AVERAGE(G67:G81)</f>
        <v>78.427167182662544</v>
      </c>
      <c r="I67" s="175">
        <f>AVERAGE(P67,U67,Z67,AE67,AJ67,AO67,AT67)</f>
        <v>19</v>
      </c>
      <c r="J67" s="175">
        <f>AVERAGE(Q67,V67,AA67,AF67,AK67,AP67,AU67)</f>
        <v>1285.6423053467079</v>
      </c>
      <c r="K67" s="202">
        <f>AVERAGE(R67,W67,AB67,AG67,AL67,AQ67,AV67)</f>
        <v>67.665384491931988</v>
      </c>
      <c r="L67" s="384">
        <f>IFERROR(AVERAGE(K67:K81),"-")</f>
        <v>65.660494760954435</v>
      </c>
      <c r="M67" s="203">
        <f>RANK(K67, K$67:$K$81)</f>
        <v>4</v>
      </c>
      <c r="N67" s="387"/>
      <c r="O67" s="387"/>
      <c r="P67" s="105"/>
      <c r="Q67" s="202">
        <f>'[3]（５-6）品群別人時生產性(便當)'!Q67</f>
        <v>1282.7906976744184</v>
      </c>
      <c r="R67" s="202">
        <f>'[3]（５-6）品群別人時生產性(便當)'!R67</f>
        <v>67.515299877600967</v>
      </c>
      <c r="S67" s="105">
        <f>RANK(R67, R$67:R$81)</f>
        <v>4</v>
      </c>
      <c r="T67" s="384">
        <f>AVERAGE(R67:R81)</f>
        <v>66.533230516804451</v>
      </c>
      <c r="U67" s="105">
        <v>19</v>
      </c>
      <c r="V67" s="202">
        <v>1307.8048780487809</v>
      </c>
      <c r="W67" s="202">
        <v>68.831835686777936</v>
      </c>
      <c r="X67" s="105">
        <f>RANK(W67, W$67:W$81)</f>
        <v>4</v>
      </c>
      <c r="Y67" s="384">
        <f>AVERAGE(W67:W81)</f>
        <v>66.829410830360928</v>
      </c>
      <c r="Z67" s="105">
        <v>19</v>
      </c>
      <c r="AA67" s="202">
        <v>1317.3913043478262</v>
      </c>
      <c r="AB67" s="202">
        <v>69.336384439359279</v>
      </c>
      <c r="AC67" s="105">
        <f>RANK(AB67, AB$67:AB$81)</f>
        <v>3</v>
      </c>
      <c r="AD67" s="384">
        <f>AVERAGE(AB67:AB81)</f>
        <v>64.293040823975105</v>
      </c>
      <c r="AE67" s="105">
        <v>19</v>
      </c>
      <c r="AF67" s="202">
        <v>1259.4000000000003</v>
      </c>
      <c r="AG67" s="202">
        <v>66.284210526315803</v>
      </c>
      <c r="AH67" s="105">
        <f>RANK(AG67, AG$67:AG$81)</f>
        <v>4</v>
      </c>
      <c r="AI67" s="384">
        <f>AVERAGE(AG67:AG81)</f>
        <v>64.825307047159413</v>
      </c>
      <c r="AJ67" s="105">
        <v>19</v>
      </c>
      <c r="AK67" s="202">
        <v>1252.7102803738317</v>
      </c>
      <c r="AL67" s="202">
        <v>65.932120019675352</v>
      </c>
      <c r="AM67" s="105">
        <f>RANK(AL67, AL$67:AL$81)</f>
        <v>4</v>
      </c>
      <c r="AN67" s="384">
        <f>AVERAGE(AL67:AL81)</f>
        <v>64.715452175735891</v>
      </c>
      <c r="AO67" s="105">
        <v>19</v>
      </c>
      <c r="AP67" s="202">
        <v>1300.8695652173913</v>
      </c>
      <c r="AQ67" s="202">
        <v>68.466819221967967</v>
      </c>
      <c r="AR67" s="105">
        <f>RANK(AQ67, AQ$67:AQ$81)</f>
        <v>4</v>
      </c>
      <c r="AS67" s="384">
        <f>AVERAGE(AQ67:AQ81)</f>
        <v>66.499395359245895</v>
      </c>
      <c r="AT67" s="105">
        <v>19</v>
      </c>
      <c r="AU67" s="202">
        <v>1278.5294117647059</v>
      </c>
      <c r="AV67" s="202">
        <v>67.291021671826627</v>
      </c>
      <c r="AW67" s="105">
        <f>RANK(AV67, AV$67:AV$81)</f>
        <v>4</v>
      </c>
      <c r="AX67" s="412">
        <f>AVERAGE(AV67:AV81)</f>
        <v>67.055232681135436</v>
      </c>
    </row>
    <row r="68" spans="2:50">
      <c r="B68" s="398"/>
      <c r="C68" s="105">
        <v>2</v>
      </c>
      <c r="D68" s="228" t="s">
        <v>289</v>
      </c>
      <c r="E68" s="175">
        <v>19</v>
      </c>
      <c r="F68" s="105">
        <v>1440</v>
      </c>
      <c r="G68" s="202">
        <v>75.78947368421052</v>
      </c>
      <c r="H68" s="385"/>
      <c r="I68" s="175">
        <f t="shared" ref="I68:K76" si="35">AVERAGE(P68,U68,Z68,AE68,AJ68,AO68,AT68)</f>
        <v>19</v>
      </c>
      <c r="J68" s="175">
        <f t="shared" si="35"/>
        <v>1184.2954545454545</v>
      </c>
      <c r="K68" s="202">
        <f t="shared" si="35"/>
        <v>62.331339712918663</v>
      </c>
      <c r="L68" s="385"/>
      <c r="M68" s="203">
        <f>RANK(K68, K$67:$K$81)</f>
        <v>6</v>
      </c>
      <c r="N68" s="387"/>
      <c r="O68" s="387"/>
      <c r="P68" s="105">
        <f>'[3]（５-6）品群別人時生產性(便當)'!P68</f>
        <v>19</v>
      </c>
      <c r="Q68" s="202">
        <f>'[3]（５-6）品群別人時生產性(便當)'!Q68</f>
        <v>1199.9999999999995</v>
      </c>
      <c r="R68" s="202">
        <f>'[3]（５-6）品群別人時生產性(便當)'!R68</f>
        <v>63.157894736842081</v>
      </c>
      <c r="S68" s="105">
        <f t="shared" ref="S68:S81" si="36">RANK(R68, R$67:R$81)</f>
        <v>6</v>
      </c>
      <c r="T68" s="385"/>
      <c r="U68" s="105">
        <v>19</v>
      </c>
      <c r="V68" s="202">
        <v>1172.7272727272727</v>
      </c>
      <c r="W68" s="202">
        <v>61.722488038277511</v>
      </c>
      <c r="X68" s="105">
        <f t="shared" ref="X68:X81" si="37">RANK(W68, W$67:W$81)</f>
        <v>6</v>
      </c>
      <c r="Y68" s="385"/>
      <c r="Z68" s="105">
        <v>19</v>
      </c>
      <c r="AA68" s="202">
        <v>1178.9999999999995</v>
      </c>
      <c r="AB68" s="202">
        <v>62.052631578947341</v>
      </c>
      <c r="AC68" s="105">
        <f t="shared" ref="AC68:AC81" si="38">RANK(AB68, AB$67:AB$81)</f>
        <v>6</v>
      </c>
      <c r="AD68" s="385"/>
      <c r="AE68" s="105">
        <v>19</v>
      </c>
      <c r="AF68" s="202">
        <v>1185.4545454545469</v>
      </c>
      <c r="AG68" s="202">
        <v>62.392344497607731</v>
      </c>
      <c r="AH68" s="105">
        <f t="shared" ref="AH68:AH81" si="39">RANK(AG68, AG$67:AG$81)</f>
        <v>6</v>
      </c>
      <c r="AI68" s="385"/>
      <c r="AJ68" s="105"/>
      <c r="AK68" s="202"/>
      <c r="AL68" s="202"/>
      <c r="AM68" s="105" t="e">
        <f t="shared" ref="AM68:AM81" si="40">RANK(AL68, AL$67:AL$81)</f>
        <v>#N/A</v>
      </c>
      <c r="AN68" s="385"/>
      <c r="AO68" s="105"/>
      <c r="AP68" s="202"/>
      <c r="AQ68" s="202"/>
      <c r="AR68" s="105" t="e">
        <f t="shared" ref="AR68:AR81" si="41">RANK(AQ68, AQ$67:AQ$81)</f>
        <v>#N/A</v>
      </c>
      <c r="AS68" s="385"/>
      <c r="AT68" s="105"/>
      <c r="AU68" s="202"/>
      <c r="AV68" s="202"/>
      <c r="AW68" s="105" t="e">
        <f t="shared" ref="AW68:AW81" si="42">RANK(AV68, AV$67:AV$81)</f>
        <v>#N/A</v>
      </c>
      <c r="AX68" s="412"/>
    </row>
    <row r="69" spans="2:50">
      <c r="B69" s="398"/>
      <c r="C69" s="105">
        <v>3</v>
      </c>
      <c r="D69" s="228" t="s">
        <v>290</v>
      </c>
      <c r="E69" s="175">
        <v>20</v>
      </c>
      <c r="F69" s="105">
        <v>1440</v>
      </c>
      <c r="G69" s="202">
        <v>72</v>
      </c>
      <c r="H69" s="385"/>
      <c r="I69" s="175">
        <f t="shared" si="35"/>
        <v>19.857142857142858</v>
      </c>
      <c r="J69" s="175">
        <f t="shared" si="35"/>
        <v>1084.7068343528647</v>
      </c>
      <c r="K69" s="202">
        <f t="shared" si="35"/>
        <v>54.639515417198247</v>
      </c>
      <c r="L69" s="385"/>
      <c r="M69" s="203">
        <f>RANK(K69, K$67:$K$81)</f>
        <v>10</v>
      </c>
      <c r="N69" s="387"/>
      <c r="O69" s="387"/>
      <c r="P69" s="105">
        <f>'[3]（５-6）品群別人時生產性(便當)'!P69</f>
        <v>20</v>
      </c>
      <c r="Q69" s="202">
        <f>'[3]（５-6）品群別人時生產性(便當)'!Q69</f>
        <v>1088.2191780821909</v>
      </c>
      <c r="R69" s="202">
        <f>'[3]（５-6）品群別人時生產性(便當)'!R69</f>
        <v>54.410958904109542</v>
      </c>
      <c r="S69" s="105">
        <f t="shared" si="36"/>
        <v>10</v>
      </c>
      <c r="T69" s="385"/>
      <c r="U69" s="105">
        <v>20</v>
      </c>
      <c r="V69" s="202">
        <v>1099.7368421052624</v>
      </c>
      <c r="W69" s="202">
        <v>54.986842105263122</v>
      </c>
      <c r="X69" s="105">
        <f t="shared" si="37"/>
        <v>10</v>
      </c>
      <c r="Y69" s="385"/>
      <c r="Z69" s="105">
        <v>20</v>
      </c>
      <c r="AA69" s="202">
        <v>1075.7746478873228</v>
      </c>
      <c r="AB69" s="202">
        <v>53.788732394366136</v>
      </c>
      <c r="AC69" s="105">
        <f t="shared" si="38"/>
        <v>10</v>
      </c>
      <c r="AD69" s="385"/>
      <c r="AE69" s="105">
        <v>19</v>
      </c>
      <c r="AF69" s="202">
        <v>1075.1020408163267</v>
      </c>
      <c r="AG69" s="202">
        <v>56.584317937701407</v>
      </c>
      <c r="AH69" s="105">
        <f t="shared" si="39"/>
        <v>10</v>
      </c>
      <c r="AI69" s="385"/>
      <c r="AJ69" s="105">
        <v>20</v>
      </c>
      <c r="AK69" s="202">
        <v>1081.0526315789482</v>
      </c>
      <c r="AL69" s="202">
        <v>54.052631578947413</v>
      </c>
      <c r="AM69" s="105">
        <f t="shared" si="40"/>
        <v>9</v>
      </c>
      <c r="AN69" s="385"/>
      <c r="AO69" s="105">
        <v>20</v>
      </c>
      <c r="AP69" s="202">
        <v>1079.0000000000011</v>
      </c>
      <c r="AQ69" s="202">
        <v>53.95000000000006</v>
      </c>
      <c r="AR69" s="105">
        <f t="shared" si="41"/>
        <v>9</v>
      </c>
      <c r="AS69" s="385"/>
      <c r="AT69" s="105">
        <v>20</v>
      </c>
      <c r="AU69" s="202">
        <v>1094.0625000000014</v>
      </c>
      <c r="AV69" s="202">
        <v>54.703125000000071</v>
      </c>
      <c r="AW69" s="105">
        <f t="shared" si="42"/>
        <v>9</v>
      </c>
      <c r="AX69" s="412"/>
    </row>
    <row r="70" spans="2:50">
      <c r="B70" s="398"/>
      <c r="C70" s="105">
        <v>4</v>
      </c>
      <c r="D70" s="228" t="s">
        <v>292</v>
      </c>
      <c r="E70" s="175">
        <v>18</v>
      </c>
      <c r="F70" s="105">
        <v>1440</v>
      </c>
      <c r="G70" s="202">
        <v>80</v>
      </c>
      <c r="H70" s="385"/>
      <c r="I70" s="175">
        <f t="shared" si="35"/>
        <v>17.857142857142858</v>
      </c>
      <c r="J70" s="175">
        <f t="shared" si="35"/>
        <v>1257.4075370361584</v>
      </c>
      <c r="K70" s="202">
        <f t="shared" si="35"/>
        <v>70.436739919375739</v>
      </c>
      <c r="L70" s="385"/>
      <c r="M70" s="203">
        <f>RANK(K70, K$67:$K$81)</f>
        <v>3</v>
      </c>
      <c r="N70" s="387"/>
      <c r="O70" s="387"/>
      <c r="P70" s="105">
        <f>'[3]（５-6）品群別人時生產性(便當)'!P70</f>
        <v>17</v>
      </c>
      <c r="Q70" s="202">
        <f>'[3]（５-6）品群別人時生產性(便當)'!Q70</f>
        <v>1244</v>
      </c>
      <c r="R70" s="202">
        <f>'[3]（５-6）品群別人時生產性(便當)'!R70</f>
        <v>73.17647058823529</v>
      </c>
      <c r="S70" s="105">
        <f t="shared" si="36"/>
        <v>3</v>
      </c>
      <c r="T70" s="385"/>
      <c r="U70" s="105">
        <v>18</v>
      </c>
      <c r="V70" s="202">
        <v>1304.2857142857138</v>
      </c>
      <c r="W70" s="202">
        <v>72.460317460317427</v>
      </c>
      <c r="X70" s="105">
        <f t="shared" si="37"/>
        <v>3</v>
      </c>
      <c r="Y70" s="385"/>
      <c r="Z70" s="105">
        <v>18</v>
      </c>
      <c r="AA70" s="202">
        <v>1220.4255319148938</v>
      </c>
      <c r="AB70" s="202">
        <v>67.801418439716315</v>
      </c>
      <c r="AC70" s="105">
        <f t="shared" si="38"/>
        <v>4</v>
      </c>
      <c r="AD70" s="385"/>
      <c r="AE70" s="105">
        <v>18</v>
      </c>
      <c r="AF70" s="202">
        <v>1244.9999999999968</v>
      </c>
      <c r="AG70" s="202">
        <v>69.166666666666487</v>
      </c>
      <c r="AH70" s="105">
        <f t="shared" si="39"/>
        <v>3</v>
      </c>
      <c r="AI70" s="385"/>
      <c r="AJ70" s="105">
        <v>18</v>
      </c>
      <c r="AK70" s="202">
        <v>1230.7317073170727</v>
      </c>
      <c r="AL70" s="202">
        <v>68.373983739837371</v>
      </c>
      <c r="AM70" s="105">
        <f t="shared" si="40"/>
        <v>3</v>
      </c>
      <c r="AN70" s="385"/>
      <c r="AO70" s="105">
        <v>18</v>
      </c>
      <c r="AP70" s="202">
        <v>1279.1489361702129</v>
      </c>
      <c r="AQ70" s="202">
        <v>71.063829787234056</v>
      </c>
      <c r="AR70" s="105">
        <f t="shared" si="41"/>
        <v>3</v>
      </c>
      <c r="AS70" s="385"/>
      <c r="AT70" s="105">
        <v>18</v>
      </c>
      <c r="AU70" s="202">
        <v>1278.2608695652175</v>
      </c>
      <c r="AV70" s="202">
        <v>71.014492753623188</v>
      </c>
      <c r="AW70" s="105">
        <f t="shared" si="42"/>
        <v>3</v>
      </c>
      <c r="AX70" s="412"/>
    </row>
    <row r="71" spans="2:50">
      <c r="B71" s="398"/>
      <c r="C71" s="105">
        <v>5</v>
      </c>
      <c r="D71" s="228" t="s">
        <v>291</v>
      </c>
      <c r="E71" s="175">
        <v>17</v>
      </c>
      <c r="F71" s="105">
        <v>1440</v>
      </c>
      <c r="G71" s="202">
        <v>84.705882352941174</v>
      </c>
      <c r="H71" s="385"/>
      <c r="I71" s="175">
        <f t="shared" si="35"/>
        <v>16</v>
      </c>
      <c r="J71" s="175">
        <f t="shared" si="35"/>
        <v>1290.911919222257</v>
      </c>
      <c r="K71" s="202">
        <f t="shared" si="35"/>
        <v>80.681994951391061</v>
      </c>
      <c r="L71" s="385"/>
      <c r="M71" s="203">
        <f>RANK(K71, K$67:$K$81)</f>
        <v>1</v>
      </c>
      <c r="N71" s="387"/>
      <c r="O71" s="387"/>
      <c r="P71" s="105">
        <f>'[3]（５-6）品群別人時生產性(便當)'!P71</f>
        <v>16</v>
      </c>
      <c r="Q71" s="202">
        <f>'[3]（５-6）品群別人時生產性(便當)'!Q71</f>
        <v>1313.1743119266064</v>
      </c>
      <c r="R71" s="202">
        <f>'[3]（５-6）品群別人時生產性(便當)'!R71</f>
        <v>82.073394495412899</v>
      </c>
      <c r="S71" s="105">
        <f t="shared" si="36"/>
        <v>2</v>
      </c>
      <c r="T71" s="385"/>
      <c r="U71" s="105">
        <v>16</v>
      </c>
      <c r="V71" s="202">
        <v>1304.545454545455</v>
      </c>
      <c r="W71" s="202">
        <v>81.534090909090935</v>
      </c>
      <c r="X71" s="105">
        <f t="shared" si="37"/>
        <v>2</v>
      </c>
      <c r="Y71" s="385"/>
      <c r="Z71" s="105">
        <v>16</v>
      </c>
      <c r="AA71" s="202">
        <v>1263.2307692307688</v>
      </c>
      <c r="AB71" s="202">
        <v>78.951923076923052</v>
      </c>
      <c r="AC71" s="105">
        <f t="shared" si="38"/>
        <v>1</v>
      </c>
      <c r="AD71" s="385"/>
      <c r="AE71" s="105">
        <v>16</v>
      </c>
      <c r="AF71" s="202">
        <v>1270.1785714285704</v>
      </c>
      <c r="AG71" s="202">
        <v>79.386160714285651</v>
      </c>
      <c r="AH71" s="105">
        <f t="shared" si="39"/>
        <v>1</v>
      </c>
      <c r="AI71" s="385"/>
      <c r="AJ71" s="105">
        <v>16</v>
      </c>
      <c r="AK71" s="202">
        <v>1271.4999999999993</v>
      </c>
      <c r="AL71" s="202">
        <v>79.468749999999957</v>
      </c>
      <c r="AM71" s="105">
        <f t="shared" si="40"/>
        <v>1</v>
      </c>
      <c r="AN71" s="385"/>
      <c r="AO71" s="105">
        <v>16</v>
      </c>
      <c r="AP71" s="202">
        <v>1313.868613138686</v>
      </c>
      <c r="AQ71" s="202">
        <v>82.116788321167874</v>
      </c>
      <c r="AR71" s="105">
        <f t="shared" si="41"/>
        <v>2</v>
      </c>
      <c r="AS71" s="385"/>
      <c r="AT71" s="105">
        <v>16</v>
      </c>
      <c r="AU71" s="202">
        <v>1299.8857142857141</v>
      </c>
      <c r="AV71" s="202">
        <v>81.242857142857133</v>
      </c>
      <c r="AW71" s="105">
        <f t="shared" si="42"/>
        <v>2</v>
      </c>
      <c r="AX71" s="412"/>
    </row>
    <row r="72" spans="2:50">
      <c r="B72" s="398"/>
      <c r="C72" s="105">
        <v>6</v>
      </c>
      <c r="D72" s="228" t="s">
        <v>296</v>
      </c>
      <c r="E72" s="175">
        <v>19</v>
      </c>
      <c r="F72" s="105">
        <v>1440</v>
      </c>
      <c r="G72" s="202">
        <v>75.78947368421052</v>
      </c>
      <c r="H72" s="385"/>
      <c r="I72" s="175">
        <f t="shared" si="35"/>
        <v>18</v>
      </c>
      <c r="J72" s="175">
        <f t="shared" si="35"/>
        <v>1177.7207587247763</v>
      </c>
      <c r="K72" s="202">
        <f t="shared" si="35"/>
        <v>65.42893104026534</v>
      </c>
      <c r="L72" s="385"/>
      <c r="M72" s="203">
        <f>RANK(K72, K$67:$K$81)</f>
        <v>5</v>
      </c>
      <c r="N72" s="387"/>
      <c r="O72" s="387"/>
      <c r="P72" s="105">
        <f>'[3]（５-6）品群別人時生產性(便當)'!P72</f>
        <v>18</v>
      </c>
      <c r="Q72" s="202">
        <f>'[3]（５-6）品群別人時生產性(便當)'!Q72</f>
        <v>1186.8000000000002</v>
      </c>
      <c r="R72" s="202">
        <f>'[3]（５-6）品群別人時生產性(便當)'!R72</f>
        <v>65.933333333333337</v>
      </c>
      <c r="S72" s="105">
        <f t="shared" si="36"/>
        <v>5</v>
      </c>
      <c r="T72" s="385"/>
      <c r="U72" s="105">
        <v>18</v>
      </c>
      <c r="V72" s="202">
        <v>1177.64705882353</v>
      </c>
      <c r="W72" s="202">
        <v>65.42483660130722</v>
      </c>
      <c r="X72" s="105">
        <f t="shared" si="37"/>
        <v>5</v>
      </c>
      <c r="Y72" s="385"/>
      <c r="Z72" s="105">
        <v>18</v>
      </c>
      <c r="AA72" s="202">
        <v>1155.6000000000004</v>
      </c>
      <c r="AB72" s="202">
        <v>64.200000000000017</v>
      </c>
      <c r="AC72" s="105">
        <f t="shared" si="38"/>
        <v>5</v>
      </c>
      <c r="AD72" s="385"/>
      <c r="AE72" s="105">
        <v>18</v>
      </c>
      <c r="AF72" s="202">
        <v>1186.8292682926826</v>
      </c>
      <c r="AG72" s="202">
        <v>65.934959349593484</v>
      </c>
      <c r="AH72" s="105">
        <f t="shared" si="39"/>
        <v>5</v>
      </c>
      <c r="AI72" s="385"/>
      <c r="AJ72" s="105">
        <v>18</v>
      </c>
      <c r="AK72" s="202">
        <v>1179.5454545454545</v>
      </c>
      <c r="AL72" s="202">
        <v>65.530303030303031</v>
      </c>
      <c r="AM72" s="105">
        <f t="shared" si="40"/>
        <v>5</v>
      </c>
      <c r="AN72" s="385"/>
      <c r="AO72" s="105">
        <v>18</v>
      </c>
      <c r="AP72" s="202">
        <v>1158.8235294117653</v>
      </c>
      <c r="AQ72" s="202">
        <v>64.379084967320296</v>
      </c>
      <c r="AR72" s="105">
        <f t="shared" si="41"/>
        <v>5</v>
      </c>
      <c r="AS72" s="385"/>
      <c r="AT72" s="105">
        <v>18</v>
      </c>
      <c r="AU72" s="202">
        <v>1198.8000000000002</v>
      </c>
      <c r="AV72" s="202">
        <v>66.600000000000009</v>
      </c>
      <c r="AW72" s="105">
        <f t="shared" si="42"/>
        <v>5</v>
      </c>
      <c r="AX72" s="412"/>
    </row>
    <row r="73" spans="2:50">
      <c r="B73" s="398"/>
      <c r="C73" s="105">
        <v>7</v>
      </c>
      <c r="D73" s="228" t="s">
        <v>293</v>
      </c>
      <c r="E73" s="175">
        <v>19</v>
      </c>
      <c r="F73" s="105">
        <v>1500</v>
      </c>
      <c r="G73" s="202">
        <v>78.94736842105263</v>
      </c>
      <c r="H73" s="385"/>
      <c r="I73" s="175">
        <f t="shared" si="35"/>
        <v>19</v>
      </c>
      <c r="J73" s="175">
        <f t="shared" si="35"/>
        <v>1085.2489032706419</v>
      </c>
      <c r="K73" s="202">
        <f t="shared" si="35"/>
        <v>57.11836333003378</v>
      </c>
      <c r="L73" s="385"/>
      <c r="M73" s="203">
        <f>RANK(K73, K$67:$K$81)</f>
        <v>9</v>
      </c>
      <c r="N73" s="387"/>
      <c r="O73" s="387"/>
      <c r="P73" s="105">
        <f>'[3]（５-6）品群別人時生產性(便當)'!P73</f>
        <v>19</v>
      </c>
      <c r="Q73" s="202">
        <f>'[3]（５-6）品群別人時生產性(便當)'!Q73</f>
        <v>1098.2608695652136</v>
      </c>
      <c r="R73" s="202">
        <f>'[3]（５-6）品群別人時生產性(便當)'!R73</f>
        <v>57.803203661327032</v>
      </c>
      <c r="S73" s="105">
        <f t="shared" si="36"/>
        <v>9</v>
      </c>
      <c r="T73" s="385"/>
      <c r="U73" s="105">
        <v>19</v>
      </c>
      <c r="V73" s="202">
        <v>1100.8695652173951</v>
      </c>
      <c r="W73" s="202">
        <v>57.940503432494481</v>
      </c>
      <c r="X73" s="105">
        <f t="shared" si="37"/>
        <v>9</v>
      </c>
      <c r="Y73" s="385"/>
      <c r="Z73" s="105">
        <v>19</v>
      </c>
      <c r="AA73" s="202">
        <v>1052.7272727272764</v>
      </c>
      <c r="AB73" s="202">
        <v>55.406698564593491</v>
      </c>
      <c r="AC73" s="105">
        <f t="shared" si="38"/>
        <v>9</v>
      </c>
      <c r="AD73" s="385"/>
      <c r="AE73" s="105">
        <v>19</v>
      </c>
      <c r="AF73" s="202">
        <v>1079.9999999999991</v>
      </c>
      <c r="AG73" s="202">
        <v>56.842105263157848</v>
      </c>
      <c r="AH73" s="105">
        <f t="shared" si="39"/>
        <v>9</v>
      </c>
      <c r="AI73" s="385"/>
      <c r="AJ73" s="105">
        <v>19</v>
      </c>
      <c r="AK73" s="202">
        <v>1106.9999999999995</v>
      </c>
      <c r="AL73" s="202">
        <v>58.263157894736821</v>
      </c>
      <c r="AM73" s="105">
        <f t="shared" si="40"/>
        <v>8</v>
      </c>
      <c r="AN73" s="385"/>
      <c r="AO73" s="105">
        <v>19</v>
      </c>
      <c r="AP73" s="202">
        <v>1082.4999999999966</v>
      </c>
      <c r="AQ73" s="202">
        <v>56.973684210526137</v>
      </c>
      <c r="AR73" s="105">
        <f t="shared" si="41"/>
        <v>8</v>
      </c>
      <c r="AS73" s="385"/>
      <c r="AT73" s="105">
        <v>19</v>
      </c>
      <c r="AU73" s="202">
        <v>1075.3846153846125</v>
      </c>
      <c r="AV73" s="202">
        <v>56.599190283400659</v>
      </c>
      <c r="AW73" s="105">
        <f t="shared" si="42"/>
        <v>8</v>
      </c>
      <c r="AX73" s="412"/>
    </row>
    <row r="74" spans="2:50">
      <c r="B74" s="398"/>
      <c r="C74" s="105">
        <v>8</v>
      </c>
      <c r="D74" s="228" t="s">
        <v>295</v>
      </c>
      <c r="E74" s="175">
        <v>15</v>
      </c>
      <c r="F74" s="105">
        <v>1500</v>
      </c>
      <c r="G74" s="202">
        <v>100</v>
      </c>
      <c r="H74" s="385"/>
      <c r="I74" s="175">
        <f t="shared" si="35"/>
        <v>15</v>
      </c>
      <c r="J74" s="175">
        <f t="shared" si="35"/>
        <v>1188.4493386797512</v>
      </c>
      <c r="K74" s="202">
        <f t="shared" si="35"/>
        <v>79.229955911983424</v>
      </c>
      <c r="L74" s="385"/>
      <c r="M74" s="203">
        <f>RANK(K74, K$67:$K$81)</f>
        <v>2</v>
      </c>
      <c r="N74" s="387"/>
      <c r="O74" s="387"/>
      <c r="P74" s="105">
        <f>'[3]（５-6）品群別人時生產性(便當)'!P74</f>
        <v>15</v>
      </c>
      <c r="Q74" s="202">
        <f>'[3]（５-6）品群別人時生產性(便當)'!Q74</f>
        <v>1247.9999999999977</v>
      </c>
      <c r="R74" s="202">
        <f>'[3]（５-6）品群別人時生產性(便當)'!R74</f>
        <v>83.199999999999847</v>
      </c>
      <c r="S74" s="105">
        <f t="shared" si="36"/>
        <v>1</v>
      </c>
      <c r="T74" s="385"/>
      <c r="U74" s="105">
        <v>15</v>
      </c>
      <c r="V74" s="202">
        <v>1287.8571428571402</v>
      </c>
      <c r="W74" s="202">
        <v>85.857142857142676</v>
      </c>
      <c r="X74" s="105">
        <f t="shared" si="37"/>
        <v>1</v>
      </c>
      <c r="Y74" s="385"/>
      <c r="Z74" s="105">
        <v>15</v>
      </c>
      <c r="AA74" s="202">
        <v>1061.999999999998</v>
      </c>
      <c r="AB74" s="202">
        <v>70.799999999999869</v>
      </c>
      <c r="AC74" s="105">
        <f t="shared" si="38"/>
        <v>2</v>
      </c>
      <c r="AD74" s="385"/>
      <c r="AE74" s="105">
        <v>15</v>
      </c>
      <c r="AF74" s="202">
        <v>1107.8571428571406</v>
      </c>
      <c r="AG74" s="202">
        <v>73.857142857142705</v>
      </c>
      <c r="AH74" s="105">
        <f t="shared" si="39"/>
        <v>2</v>
      </c>
      <c r="AI74" s="385"/>
      <c r="AJ74" s="105">
        <v>15</v>
      </c>
      <c r="AK74" s="202">
        <v>1081.8181818181804</v>
      </c>
      <c r="AL74" s="202">
        <v>72.121212121212025</v>
      </c>
      <c r="AM74" s="105">
        <f t="shared" si="40"/>
        <v>2</v>
      </c>
      <c r="AN74" s="385"/>
      <c r="AO74" s="105">
        <v>15</v>
      </c>
      <c r="AP74" s="202">
        <v>1238.7096774193528</v>
      </c>
      <c r="AQ74" s="202">
        <v>82.580645161290192</v>
      </c>
      <c r="AR74" s="105">
        <f t="shared" si="41"/>
        <v>1</v>
      </c>
      <c r="AS74" s="385"/>
      <c r="AT74" s="105">
        <v>15</v>
      </c>
      <c r="AU74" s="202">
        <v>1292.9032258064497</v>
      </c>
      <c r="AV74" s="202">
        <v>86.193548387096641</v>
      </c>
      <c r="AW74" s="105">
        <f t="shared" si="42"/>
        <v>1</v>
      </c>
      <c r="AX74" s="412"/>
    </row>
    <row r="75" spans="2:50">
      <c r="B75" s="398"/>
      <c r="C75" s="105">
        <v>9</v>
      </c>
      <c r="D75" s="228" t="s">
        <v>297</v>
      </c>
      <c r="E75" s="175">
        <v>20</v>
      </c>
      <c r="F75" s="105">
        <v>1385</v>
      </c>
      <c r="G75" s="202">
        <v>69.25</v>
      </c>
      <c r="H75" s="385"/>
      <c r="I75" s="175">
        <f t="shared" si="35"/>
        <v>20</v>
      </c>
      <c r="J75" s="175">
        <f t="shared" si="35"/>
        <v>1185.4692479371483</v>
      </c>
      <c r="K75" s="202">
        <f t="shared" si="35"/>
        <v>59.273462396857418</v>
      </c>
      <c r="L75" s="385"/>
      <c r="M75" s="203">
        <f>RANK(K75, K$67:$K$81)</f>
        <v>8</v>
      </c>
      <c r="N75" s="387"/>
      <c r="O75" s="387"/>
      <c r="P75" s="105">
        <f>'[3]（５-6）品群別人時生產性(便當)'!P75</f>
        <v>20</v>
      </c>
      <c r="Q75" s="202">
        <f>'[3]（５-6）品群別人時生產性(便當)'!Q75</f>
        <v>1157.2727272727273</v>
      </c>
      <c r="R75" s="202">
        <f>'[3]（５-6）品群別人時生產性(便當)'!R75</f>
        <v>57.86363636363636</v>
      </c>
      <c r="S75" s="105">
        <f t="shared" si="36"/>
        <v>8</v>
      </c>
      <c r="T75" s="385"/>
      <c r="U75" s="105">
        <v>20</v>
      </c>
      <c r="V75" s="202">
        <v>1183.9285714285722</v>
      </c>
      <c r="W75" s="202">
        <v>59.196428571428612</v>
      </c>
      <c r="X75" s="105">
        <f t="shared" si="37"/>
        <v>8</v>
      </c>
      <c r="Y75" s="385"/>
      <c r="Z75" s="105">
        <v>20</v>
      </c>
      <c r="AA75" s="202">
        <v>1213.064516129032</v>
      </c>
      <c r="AB75" s="202">
        <v>60.653225806451601</v>
      </c>
      <c r="AC75" s="105">
        <f t="shared" si="38"/>
        <v>7</v>
      </c>
      <c r="AD75" s="385"/>
      <c r="AE75" s="105">
        <v>20</v>
      </c>
      <c r="AF75" s="202">
        <v>1183.9603960396046</v>
      </c>
      <c r="AG75" s="202">
        <v>59.19801980198023</v>
      </c>
      <c r="AH75" s="105">
        <f t="shared" si="39"/>
        <v>7</v>
      </c>
      <c r="AI75" s="385"/>
      <c r="AJ75" s="105">
        <v>20</v>
      </c>
      <c r="AK75" s="202">
        <v>1181.0810810810801</v>
      </c>
      <c r="AL75" s="202">
        <v>59.054054054054006</v>
      </c>
      <c r="AM75" s="105">
        <f t="shared" si="40"/>
        <v>7</v>
      </c>
      <c r="AN75" s="385"/>
      <c r="AO75" s="105">
        <v>20</v>
      </c>
      <c r="AP75" s="202">
        <v>1196.5714285714289</v>
      </c>
      <c r="AQ75" s="202">
        <v>59.828571428571443</v>
      </c>
      <c r="AR75" s="105">
        <f t="shared" si="41"/>
        <v>6</v>
      </c>
      <c r="AS75" s="385"/>
      <c r="AT75" s="105">
        <v>20</v>
      </c>
      <c r="AU75" s="202">
        <v>1182.406015037594</v>
      </c>
      <c r="AV75" s="202">
        <v>59.120300751879697</v>
      </c>
      <c r="AW75" s="105">
        <f t="shared" si="42"/>
        <v>7</v>
      </c>
      <c r="AX75" s="412"/>
    </row>
    <row r="76" spans="2:50">
      <c r="B76" s="398"/>
      <c r="C76" s="105">
        <v>10</v>
      </c>
      <c r="D76" s="228" t="s">
        <v>298</v>
      </c>
      <c r="E76" s="175">
        <v>20</v>
      </c>
      <c r="F76" s="105">
        <v>1440</v>
      </c>
      <c r="G76" s="202">
        <v>72</v>
      </c>
      <c r="H76" s="385"/>
      <c r="I76" s="175">
        <f t="shared" si="35"/>
        <v>20</v>
      </c>
      <c r="J76" s="175">
        <f t="shared" si="35"/>
        <v>1195.9852087517731</v>
      </c>
      <c r="K76" s="202">
        <f t="shared" si="35"/>
        <v>59.79926043758865</v>
      </c>
      <c r="L76" s="385"/>
      <c r="M76" s="203">
        <f>RANK(K76, K$67:$K$81)</f>
        <v>7</v>
      </c>
      <c r="N76" s="387"/>
      <c r="O76" s="387"/>
      <c r="P76" s="105">
        <f>'[3]（５-6）品群別人時生產性(便當)'!P76</f>
        <v>20</v>
      </c>
      <c r="Q76" s="202">
        <f>'[3]（５-6）品群別人時生產性(便當)'!Q76</f>
        <v>1203.9622641509441</v>
      </c>
      <c r="R76" s="202">
        <f>'[3]（５-6）品群別人時生產性(便當)'!R76</f>
        <v>60.198113207547202</v>
      </c>
      <c r="S76" s="105">
        <f t="shared" si="36"/>
        <v>7</v>
      </c>
      <c r="T76" s="385"/>
      <c r="U76" s="105">
        <v>20</v>
      </c>
      <c r="V76" s="202">
        <v>1206.7924528301892</v>
      </c>
      <c r="W76" s="202">
        <v>60.339622641509457</v>
      </c>
      <c r="X76" s="105">
        <f t="shared" si="37"/>
        <v>7</v>
      </c>
      <c r="Y76" s="385"/>
      <c r="Z76" s="105">
        <v>20</v>
      </c>
      <c r="AA76" s="202">
        <v>1198.7878787878792</v>
      </c>
      <c r="AB76" s="202">
        <v>59.939393939393959</v>
      </c>
      <c r="AC76" s="105">
        <f t="shared" si="38"/>
        <v>8</v>
      </c>
      <c r="AD76" s="385"/>
      <c r="AE76" s="105">
        <v>20</v>
      </c>
      <c r="AF76" s="202">
        <v>1172.1428571428567</v>
      </c>
      <c r="AG76" s="202">
        <v>58.607142857142833</v>
      </c>
      <c r="AH76" s="105">
        <f t="shared" si="39"/>
        <v>8</v>
      </c>
      <c r="AI76" s="385"/>
      <c r="AJ76" s="105">
        <v>20</v>
      </c>
      <c r="AK76" s="202">
        <v>1192.8571428571424</v>
      </c>
      <c r="AL76" s="202">
        <v>59.642857142857125</v>
      </c>
      <c r="AM76" s="105">
        <f t="shared" si="40"/>
        <v>6</v>
      </c>
      <c r="AN76" s="385"/>
      <c r="AO76" s="105">
        <v>20</v>
      </c>
      <c r="AP76" s="202">
        <v>1182.7027027027018</v>
      </c>
      <c r="AQ76" s="202">
        <v>59.135135135135087</v>
      </c>
      <c r="AR76" s="105">
        <f t="shared" si="41"/>
        <v>7</v>
      </c>
      <c r="AS76" s="385"/>
      <c r="AT76" s="105">
        <v>20</v>
      </c>
      <c r="AU76" s="202">
        <v>1214.6511627906975</v>
      </c>
      <c r="AV76" s="202">
        <v>60.732558139534873</v>
      </c>
      <c r="AW76" s="105">
        <f t="shared" si="42"/>
        <v>6</v>
      </c>
      <c r="AX76" s="412"/>
    </row>
    <row r="77" spans="2:50">
      <c r="B77" s="398"/>
      <c r="C77" s="105">
        <v>11</v>
      </c>
      <c r="D77" s="228"/>
      <c r="E77" s="175"/>
      <c r="F77" s="105"/>
      <c r="G77" s="202"/>
      <c r="H77" s="385"/>
      <c r="I77" s="105"/>
      <c r="J77" s="105"/>
      <c r="K77" s="105"/>
      <c r="L77" s="385"/>
      <c r="M77" s="203" t="e">
        <f>RANK(K77, K$67:$K$81)</f>
        <v>#N/A</v>
      </c>
      <c r="N77" s="387"/>
      <c r="O77" s="387"/>
      <c r="P77" s="105"/>
      <c r="Q77" s="202"/>
      <c r="R77" s="202"/>
      <c r="S77" s="105" t="e">
        <f t="shared" si="36"/>
        <v>#N/A</v>
      </c>
      <c r="T77" s="385"/>
      <c r="U77" s="105"/>
      <c r="V77" s="202"/>
      <c r="W77" s="202"/>
      <c r="X77" s="105" t="e">
        <f t="shared" si="37"/>
        <v>#N/A</v>
      </c>
      <c r="Y77" s="385"/>
      <c r="Z77" s="105"/>
      <c r="AA77" s="202"/>
      <c r="AB77" s="202"/>
      <c r="AC77" s="105" t="e">
        <f t="shared" si="38"/>
        <v>#N/A</v>
      </c>
      <c r="AD77" s="385"/>
      <c r="AE77" s="105"/>
      <c r="AF77" s="202"/>
      <c r="AG77" s="202"/>
      <c r="AH77" s="105" t="e">
        <f t="shared" si="39"/>
        <v>#N/A</v>
      </c>
      <c r="AI77" s="385"/>
      <c r="AJ77" s="105"/>
      <c r="AK77" s="202"/>
      <c r="AL77" s="202"/>
      <c r="AM77" s="105" t="e">
        <f t="shared" si="40"/>
        <v>#N/A</v>
      </c>
      <c r="AN77" s="385"/>
      <c r="AO77" s="105"/>
      <c r="AP77" s="202"/>
      <c r="AQ77" s="202"/>
      <c r="AR77" s="105" t="e">
        <f t="shared" si="41"/>
        <v>#N/A</v>
      </c>
      <c r="AS77" s="385"/>
      <c r="AT77" s="105"/>
      <c r="AU77" s="202"/>
      <c r="AV77" s="202"/>
      <c r="AW77" s="105" t="e">
        <f t="shared" si="42"/>
        <v>#N/A</v>
      </c>
      <c r="AX77" s="412"/>
    </row>
    <row r="78" spans="2:50">
      <c r="B78" s="398"/>
      <c r="C78" s="105">
        <v>12</v>
      </c>
      <c r="D78" s="228"/>
      <c r="E78" s="175"/>
      <c r="F78" s="105"/>
      <c r="G78" s="202"/>
      <c r="H78" s="385"/>
      <c r="I78" s="105"/>
      <c r="J78" s="105"/>
      <c r="K78" s="105"/>
      <c r="L78" s="385"/>
      <c r="M78" s="203" t="e">
        <f>RANK(K78, K$67:$K$81)</f>
        <v>#N/A</v>
      </c>
      <c r="N78" s="387"/>
      <c r="O78" s="387"/>
      <c r="P78" s="105"/>
      <c r="Q78" s="202"/>
      <c r="R78" s="202"/>
      <c r="S78" s="105" t="e">
        <f t="shared" si="36"/>
        <v>#N/A</v>
      </c>
      <c r="T78" s="385"/>
      <c r="U78" s="105"/>
      <c r="V78" s="105"/>
      <c r="W78" s="105"/>
      <c r="X78" s="105" t="e">
        <f t="shared" si="37"/>
        <v>#N/A</v>
      </c>
      <c r="Y78" s="385"/>
      <c r="Z78" s="105"/>
      <c r="AA78" s="105"/>
      <c r="AB78" s="105"/>
      <c r="AC78" s="105" t="e">
        <f t="shared" si="38"/>
        <v>#N/A</v>
      </c>
      <c r="AD78" s="385"/>
      <c r="AE78" s="105"/>
      <c r="AF78" s="105"/>
      <c r="AG78" s="105"/>
      <c r="AH78" s="105" t="e">
        <f t="shared" si="39"/>
        <v>#N/A</v>
      </c>
      <c r="AI78" s="385"/>
      <c r="AJ78" s="105"/>
      <c r="AK78" s="105"/>
      <c r="AL78" s="105"/>
      <c r="AM78" s="105" t="e">
        <f t="shared" si="40"/>
        <v>#N/A</v>
      </c>
      <c r="AN78" s="385"/>
      <c r="AO78" s="105"/>
      <c r="AP78" s="105"/>
      <c r="AQ78" s="105"/>
      <c r="AR78" s="105" t="e">
        <f t="shared" si="41"/>
        <v>#N/A</v>
      </c>
      <c r="AS78" s="385"/>
      <c r="AT78" s="105"/>
      <c r="AU78" s="105"/>
      <c r="AV78" s="105"/>
      <c r="AW78" s="105" t="e">
        <f t="shared" si="42"/>
        <v>#N/A</v>
      </c>
      <c r="AX78" s="412"/>
    </row>
    <row r="79" spans="2:50">
      <c r="B79" s="398"/>
      <c r="C79" s="105">
        <v>13</v>
      </c>
      <c r="D79" s="228"/>
      <c r="E79" s="175"/>
      <c r="F79" s="105"/>
      <c r="G79" s="202"/>
      <c r="H79" s="385"/>
      <c r="I79" s="105"/>
      <c r="J79" s="105"/>
      <c r="K79" s="105"/>
      <c r="L79" s="385"/>
      <c r="M79" s="203" t="e">
        <f>RANK(K79, K$67:$K$81)</f>
        <v>#N/A</v>
      </c>
      <c r="N79" s="387"/>
      <c r="O79" s="387"/>
      <c r="P79" s="105"/>
      <c r="Q79" s="202"/>
      <c r="R79" s="202"/>
      <c r="S79" s="105" t="e">
        <f t="shared" si="36"/>
        <v>#N/A</v>
      </c>
      <c r="T79" s="385"/>
      <c r="U79" s="105"/>
      <c r="V79" s="105"/>
      <c r="W79" s="105"/>
      <c r="X79" s="105" t="e">
        <f t="shared" si="37"/>
        <v>#N/A</v>
      </c>
      <c r="Y79" s="385"/>
      <c r="Z79" s="105"/>
      <c r="AA79" s="105"/>
      <c r="AB79" s="105"/>
      <c r="AC79" s="105" t="e">
        <f t="shared" si="38"/>
        <v>#N/A</v>
      </c>
      <c r="AD79" s="385"/>
      <c r="AE79" s="105"/>
      <c r="AF79" s="105"/>
      <c r="AG79" s="105"/>
      <c r="AH79" s="105" t="e">
        <f t="shared" si="39"/>
        <v>#N/A</v>
      </c>
      <c r="AI79" s="385"/>
      <c r="AJ79" s="105"/>
      <c r="AK79" s="105"/>
      <c r="AL79" s="105"/>
      <c r="AM79" s="105" t="e">
        <f t="shared" si="40"/>
        <v>#N/A</v>
      </c>
      <c r="AN79" s="385"/>
      <c r="AO79" s="105"/>
      <c r="AP79" s="105"/>
      <c r="AQ79" s="105"/>
      <c r="AR79" s="105" t="e">
        <f t="shared" si="41"/>
        <v>#N/A</v>
      </c>
      <c r="AS79" s="385"/>
      <c r="AT79" s="105"/>
      <c r="AU79" s="105"/>
      <c r="AV79" s="105"/>
      <c r="AW79" s="105" t="e">
        <f t="shared" si="42"/>
        <v>#N/A</v>
      </c>
      <c r="AX79" s="412"/>
    </row>
    <row r="80" spans="2:50">
      <c r="B80" s="398"/>
      <c r="C80" s="105">
        <v>14</v>
      </c>
      <c r="D80" s="228"/>
      <c r="E80" s="175"/>
      <c r="F80" s="105"/>
      <c r="G80" s="202"/>
      <c r="H80" s="385"/>
      <c r="I80" s="105"/>
      <c r="J80" s="105"/>
      <c r="K80" s="105"/>
      <c r="L80" s="385"/>
      <c r="M80" s="203" t="e">
        <f>RANK(K80, K$67:$K$81)</f>
        <v>#N/A</v>
      </c>
      <c r="N80" s="387"/>
      <c r="O80" s="387"/>
      <c r="P80" s="105"/>
      <c r="Q80" s="202"/>
      <c r="R80" s="202"/>
      <c r="S80" s="105" t="e">
        <f t="shared" si="36"/>
        <v>#N/A</v>
      </c>
      <c r="T80" s="385"/>
      <c r="U80" s="105"/>
      <c r="V80" s="105"/>
      <c r="W80" s="105"/>
      <c r="X80" s="105" t="e">
        <f t="shared" si="37"/>
        <v>#N/A</v>
      </c>
      <c r="Y80" s="385"/>
      <c r="Z80" s="105"/>
      <c r="AA80" s="105"/>
      <c r="AB80" s="105"/>
      <c r="AC80" s="105" t="e">
        <f t="shared" si="38"/>
        <v>#N/A</v>
      </c>
      <c r="AD80" s="385"/>
      <c r="AE80" s="105"/>
      <c r="AF80" s="105"/>
      <c r="AG80" s="105"/>
      <c r="AH80" s="105" t="e">
        <f t="shared" si="39"/>
        <v>#N/A</v>
      </c>
      <c r="AI80" s="385"/>
      <c r="AJ80" s="105"/>
      <c r="AK80" s="105"/>
      <c r="AL80" s="105"/>
      <c r="AM80" s="105" t="e">
        <f t="shared" si="40"/>
        <v>#N/A</v>
      </c>
      <c r="AN80" s="385"/>
      <c r="AO80" s="105"/>
      <c r="AP80" s="105"/>
      <c r="AQ80" s="105"/>
      <c r="AR80" s="105" t="e">
        <f t="shared" si="41"/>
        <v>#N/A</v>
      </c>
      <c r="AS80" s="385"/>
      <c r="AT80" s="105"/>
      <c r="AU80" s="105"/>
      <c r="AV80" s="105"/>
      <c r="AW80" s="105" t="e">
        <f t="shared" si="42"/>
        <v>#N/A</v>
      </c>
      <c r="AX80" s="412"/>
    </row>
    <row r="81" spans="2:50">
      <c r="B81" s="398"/>
      <c r="C81" s="105">
        <v>15</v>
      </c>
      <c r="D81" s="228"/>
      <c r="E81" s="175"/>
      <c r="F81" s="105"/>
      <c r="G81" s="202"/>
      <c r="H81" s="386"/>
      <c r="I81" s="105"/>
      <c r="J81" s="105"/>
      <c r="K81" s="105"/>
      <c r="L81" s="386"/>
      <c r="M81" s="175" t="e">
        <f>RANK(K81, K$67:$K$81)</f>
        <v>#N/A</v>
      </c>
      <c r="N81" s="387"/>
      <c r="O81" s="387"/>
      <c r="P81" s="105"/>
      <c r="Q81" s="202"/>
      <c r="R81" s="202"/>
      <c r="S81" s="105" t="e">
        <f t="shared" si="36"/>
        <v>#N/A</v>
      </c>
      <c r="T81" s="386"/>
      <c r="U81" s="105"/>
      <c r="V81" s="105"/>
      <c r="W81" s="105"/>
      <c r="X81" s="105" t="e">
        <f t="shared" si="37"/>
        <v>#N/A</v>
      </c>
      <c r="Y81" s="386"/>
      <c r="Z81" s="105"/>
      <c r="AA81" s="105"/>
      <c r="AB81" s="105"/>
      <c r="AC81" s="105" t="e">
        <f t="shared" si="38"/>
        <v>#N/A</v>
      </c>
      <c r="AD81" s="386"/>
      <c r="AE81" s="105"/>
      <c r="AF81" s="105"/>
      <c r="AG81" s="105"/>
      <c r="AH81" s="105" t="e">
        <f t="shared" si="39"/>
        <v>#N/A</v>
      </c>
      <c r="AI81" s="386"/>
      <c r="AJ81" s="105"/>
      <c r="AK81" s="105"/>
      <c r="AL81" s="105"/>
      <c r="AM81" s="105" t="e">
        <f t="shared" si="40"/>
        <v>#N/A</v>
      </c>
      <c r="AN81" s="386"/>
      <c r="AO81" s="105"/>
      <c r="AP81" s="105"/>
      <c r="AQ81" s="105"/>
      <c r="AR81" s="105" t="e">
        <f t="shared" si="41"/>
        <v>#N/A</v>
      </c>
      <c r="AS81" s="386"/>
      <c r="AT81" s="105"/>
      <c r="AU81" s="105"/>
      <c r="AV81" s="105"/>
      <c r="AW81" s="105" t="e">
        <f t="shared" si="42"/>
        <v>#N/A</v>
      </c>
      <c r="AX81" s="412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43">Z82+1</f>
        <v>45898</v>
      </c>
      <c r="AF82" s="395"/>
      <c r="AG82" s="395"/>
      <c r="AH82" s="395"/>
      <c r="AI82" s="396"/>
      <c r="AJ82" s="394">
        <f t="shared" ref="AJ82" si="44">AE82+1</f>
        <v>45899</v>
      </c>
      <c r="AK82" s="395"/>
      <c r="AL82" s="395"/>
      <c r="AM82" s="395"/>
      <c r="AN82" s="396"/>
      <c r="AO82" s="394">
        <f t="shared" ref="AO82" si="45">AJ82+1</f>
        <v>45900</v>
      </c>
      <c r="AP82" s="395"/>
      <c r="AQ82" s="395"/>
      <c r="AR82" s="395"/>
      <c r="AS82" s="396"/>
      <c r="AT82" s="394">
        <f t="shared" ref="AT82" si="46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387" t="s">
        <v>181</v>
      </c>
      <c r="C87" s="105">
        <v>1</v>
      </c>
      <c r="D87" s="228" t="s">
        <v>287</v>
      </c>
      <c r="E87" s="175">
        <v>19</v>
      </c>
      <c r="F87" s="105">
        <v>1440</v>
      </c>
      <c r="G87" s="202">
        <v>75.78947368421052</v>
      </c>
      <c r="H87" s="384">
        <f>AVERAGE(G87:G101)</f>
        <v>76.060274767801857</v>
      </c>
      <c r="I87" s="175">
        <f>AVERAGE(P87,U87,Z87,AE87,AJ87,AO87,AT87)</f>
        <v>19</v>
      </c>
      <c r="J87" s="175">
        <f>AVERAGE(Q87,V87,AA87,AF87,AK87,AP87,AU87)</f>
        <v>1285.7856518978199</v>
      </c>
      <c r="K87" s="202">
        <f>AVERAGE(R87,W87,AB87,AG87,AL87,AQ87,AV87)</f>
        <v>67.672929047253689</v>
      </c>
      <c r="L87" s="384">
        <f>IFERROR(AVERAGE(K87:K101),"-")</f>
        <v>64.556753864418411</v>
      </c>
      <c r="M87" s="203">
        <f>RANK(K87, K$87:$K$101)</f>
        <v>3</v>
      </c>
      <c r="N87" s="387"/>
      <c r="O87" s="387"/>
      <c r="P87" s="105">
        <v>19</v>
      </c>
      <c r="Q87" s="202">
        <v>1265.2173913043478</v>
      </c>
      <c r="R87" s="202">
        <v>66.590389016018307</v>
      </c>
      <c r="S87" s="105">
        <f>RANK(R87, R$87:R$101)</f>
        <v>4</v>
      </c>
      <c r="T87" s="384">
        <f>AVERAGE(R87:R101)</f>
        <v>64.021657489563509</v>
      </c>
      <c r="U87" s="105">
        <v>19</v>
      </c>
      <c r="V87" s="202">
        <v>1256.793893129771</v>
      </c>
      <c r="W87" s="202">
        <v>66.14704700683005</v>
      </c>
      <c r="X87" s="105">
        <f>RANK(W87, W$87:W$101)</f>
        <v>4</v>
      </c>
      <c r="Y87" s="384">
        <f>AVERAGE(W87:W101)</f>
        <v>63.904260649613455</v>
      </c>
      <c r="Z87" s="105">
        <v>19</v>
      </c>
      <c r="AA87" s="202">
        <v>1299.5000000000002</v>
      </c>
      <c r="AB87" s="202">
        <v>68.394736842105274</v>
      </c>
      <c r="AC87" s="105">
        <f>RANK(AB87, AB$87:AB$101)</f>
        <v>2</v>
      </c>
      <c r="AD87" s="384">
        <f>AVERAGE(AB87:AB101)</f>
        <v>65.513611728782195</v>
      </c>
      <c r="AE87" s="105">
        <v>19</v>
      </c>
      <c r="AF87" s="202">
        <v>1306.8571428571424</v>
      </c>
      <c r="AG87" s="202">
        <v>68.781954887218021</v>
      </c>
      <c r="AH87" s="105">
        <f>RANK(AG87, AG$87:AG$101)</f>
        <v>2</v>
      </c>
      <c r="AI87" s="384">
        <f>AVERAGE(AG87:AG101)</f>
        <v>65.230770243927054</v>
      </c>
      <c r="AJ87" s="105">
        <v>19</v>
      </c>
      <c r="AK87" s="202">
        <v>1282.3728813559323</v>
      </c>
      <c r="AL87" s="202">
        <v>67.493309545049073</v>
      </c>
      <c r="AM87" s="105">
        <f>RANK(AL87, AL$87:AL$101)</f>
        <v>3</v>
      </c>
      <c r="AN87" s="384">
        <f>AVERAGE(AL87:AL101)</f>
        <v>64.796360093744909</v>
      </c>
      <c r="AO87" s="105">
        <v>19</v>
      </c>
      <c r="AP87" s="202">
        <v>1303.9726027397257</v>
      </c>
      <c r="AQ87" s="202">
        <v>68.630136986301352</v>
      </c>
      <c r="AR87" s="105">
        <f>RANK(AQ87, AQ$87:AQ$101)</f>
        <v>2</v>
      </c>
      <c r="AS87" s="384">
        <f>AVERAGE(AQ87:AQ101)</f>
        <v>64.766119095942287</v>
      </c>
      <c r="AT87" s="105"/>
      <c r="AU87" s="202"/>
      <c r="AV87" s="202"/>
      <c r="AW87" s="105" t="e">
        <f>RANK(AV87, AV$87:AV$101)</f>
        <v>#N/A</v>
      </c>
      <c r="AX87" s="412" t="e">
        <f>AVERAGE(AV87:AV101)</f>
        <v>#DIV/0!</v>
      </c>
    </row>
    <row r="88" spans="2:50">
      <c r="B88" s="398"/>
      <c r="C88" s="105">
        <v>2</v>
      </c>
      <c r="D88" s="228" t="s">
        <v>290</v>
      </c>
      <c r="E88" s="175">
        <v>20</v>
      </c>
      <c r="F88" s="105">
        <v>1440</v>
      </c>
      <c r="G88" s="202">
        <v>72</v>
      </c>
      <c r="H88" s="385"/>
      <c r="I88" s="175">
        <f t="shared" ref="I88:K94" si="47">AVERAGE(P88,U88,Z88,AE88,AJ88,AO88,AT88)</f>
        <v>19.833333333333332</v>
      </c>
      <c r="J88" s="175">
        <f t="shared" si="47"/>
        <v>1083.2371226171706</v>
      </c>
      <c r="K88" s="202">
        <f t="shared" si="47"/>
        <v>54.628574397112409</v>
      </c>
      <c r="L88" s="385"/>
      <c r="M88" s="203">
        <f>RANK(K88, K$87:$K$101)</f>
        <v>8</v>
      </c>
      <c r="N88" s="387"/>
      <c r="O88" s="387"/>
      <c r="P88" s="105">
        <v>20</v>
      </c>
      <c r="Q88" s="202">
        <v>1077.3529411764691</v>
      </c>
      <c r="R88" s="202">
        <v>53.867647058823458</v>
      </c>
      <c r="S88" s="105">
        <f t="shared" ref="S88:S101" si="48">RANK(R88, R$87:R$101)</f>
        <v>8</v>
      </c>
      <c r="T88" s="385"/>
      <c r="U88" s="105">
        <v>20</v>
      </c>
      <c r="V88" s="202">
        <v>1102.5000000000014</v>
      </c>
      <c r="W88" s="202">
        <v>55.125000000000071</v>
      </c>
      <c r="X88" s="105">
        <f t="shared" ref="X88:X101" si="49">RANK(W88, W$87:W$101)</f>
        <v>8</v>
      </c>
      <c r="Y88" s="385"/>
      <c r="Z88" s="105">
        <v>20</v>
      </c>
      <c r="AA88" s="202">
        <v>1084.6875000000014</v>
      </c>
      <c r="AB88" s="202">
        <v>54.234375000000071</v>
      </c>
      <c r="AC88" s="105">
        <f t="shared" ref="AC88:AC101" si="50">RANK(AB88, AB$87:AB$101)</f>
        <v>8</v>
      </c>
      <c r="AD88" s="385"/>
      <c r="AE88" s="105">
        <v>20</v>
      </c>
      <c r="AF88" s="202">
        <v>1083.3962264150948</v>
      </c>
      <c r="AG88" s="202">
        <v>54.169811320754739</v>
      </c>
      <c r="AH88" s="105">
        <f t="shared" ref="AH88:AH101" si="51">RANK(AG88, AG$87:AG$101)</f>
        <v>8</v>
      </c>
      <c r="AI88" s="385"/>
      <c r="AJ88" s="105">
        <v>20</v>
      </c>
      <c r="AK88" s="202">
        <v>1087.3684210526324</v>
      </c>
      <c r="AL88" s="202">
        <v>54.368421052631618</v>
      </c>
      <c r="AM88" s="105">
        <f t="shared" ref="AM88:AM101" si="52">RANK(AL88, AL$87:AL$101)</f>
        <v>8</v>
      </c>
      <c r="AN88" s="385"/>
      <c r="AO88" s="105">
        <v>19</v>
      </c>
      <c r="AP88" s="202">
        <v>1064.1176470588248</v>
      </c>
      <c r="AQ88" s="202">
        <v>56.006191950464462</v>
      </c>
      <c r="AR88" s="105">
        <f t="shared" ref="AR88:AR101" si="53">RANK(AQ88, AQ$87:AQ$101)</f>
        <v>7</v>
      </c>
      <c r="AS88" s="385"/>
      <c r="AT88" s="105"/>
      <c r="AU88" s="202"/>
      <c r="AV88" s="202"/>
      <c r="AW88" s="105" t="e">
        <f t="shared" ref="AW88:AW101" si="54">RANK(AV88, AV$87:AV$101)</f>
        <v>#N/A</v>
      </c>
      <c r="AX88" s="412"/>
    </row>
    <row r="89" spans="2:50">
      <c r="B89" s="398"/>
      <c r="C89" s="105">
        <v>3</v>
      </c>
      <c r="D89" s="228" t="s">
        <v>292</v>
      </c>
      <c r="E89" s="175">
        <v>18</v>
      </c>
      <c r="F89" s="105">
        <v>1440</v>
      </c>
      <c r="G89" s="202">
        <v>80</v>
      </c>
      <c r="H89" s="385"/>
      <c r="I89" s="175">
        <f t="shared" si="47"/>
        <v>18</v>
      </c>
      <c r="J89" s="175">
        <f t="shared" si="47"/>
        <v>1226.4939961367697</v>
      </c>
      <c r="K89" s="202">
        <f t="shared" si="47"/>
        <v>68.13855534093166</v>
      </c>
      <c r="L89" s="385"/>
      <c r="M89" s="203">
        <f>RANK(K89, K$87:$K$101)</f>
        <v>2</v>
      </c>
      <c r="N89" s="387"/>
      <c r="O89" s="387"/>
      <c r="P89" s="105">
        <v>18</v>
      </c>
      <c r="Q89" s="202">
        <v>1219.1489361702129</v>
      </c>
      <c r="R89" s="202">
        <v>67.730496453900713</v>
      </c>
      <c r="S89" s="105">
        <f t="shared" si="48"/>
        <v>2</v>
      </c>
      <c r="T89" s="385"/>
      <c r="U89" s="105">
        <v>18</v>
      </c>
      <c r="V89" s="202">
        <v>1218.6666666666665</v>
      </c>
      <c r="W89" s="202">
        <v>67.703703703703695</v>
      </c>
      <c r="X89" s="105">
        <f t="shared" si="49"/>
        <v>2</v>
      </c>
      <c r="Y89" s="385"/>
      <c r="Z89" s="105">
        <v>18</v>
      </c>
      <c r="AA89" s="202">
        <v>1212</v>
      </c>
      <c r="AB89" s="202">
        <v>67.333333333333329</v>
      </c>
      <c r="AC89" s="105">
        <f t="shared" si="50"/>
        <v>3</v>
      </c>
      <c r="AD89" s="385"/>
      <c r="AE89" s="105">
        <v>18</v>
      </c>
      <c r="AF89" s="202">
        <v>1230.7317073170727</v>
      </c>
      <c r="AG89" s="202">
        <v>68.373983739837371</v>
      </c>
      <c r="AH89" s="105">
        <f t="shared" si="51"/>
        <v>3</v>
      </c>
      <c r="AI89" s="385"/>
      <c r="AJ89" s="105">
        <v>18</v>
      </c>
      <c r="AK89" s="202">
        <v>1234.6666666666667</v>
      </c>
      <c r="AL89" s="202">
        <v>68.592592592592595</v>
      </c>
      <c r="AM89" s="105">
        <f t="shared" si="52"/>
        <v>2</v>
      </c>
      <c r="AN89" s="385"/>
      <c r="AO89" s="105">
        <v>18</v>
      </c>
      <c r="AP89" s="202">
        <v>1243.7500000000002</v>
      </c>
      <c r="AQ89" s="202">
        <v>69.097222222222229</v>
      </c>
      <c r="AR89" s="105">
        <f t="shared" si="53"/>
        <v>1</v>
      </c>
      <c r="AS89" s="385"/>
      <c r="AT89" s="105"/>
      <c r="AU89" s="202"/>
      <c r="AV89" s="202"/>
      <c r="AW89" s="105" t="e">
        <f t="shared" si="54"/>
        <v>#N/A</v>
      </c>
      <c r="AX89" s="412"/>
    </row>
    <row r="90" spans="2:50">
      <c r="B90" s="398"/>
      <c r="C90" s="105">
        <v>4</v>
      </c>
      <c r="D90" s="228" t="s">
        <v>291</v>
      </c>
      <c r="E90" s="175">
        <v>17</v>
      </c>
      <c r="F90" s="105">
        <v>1440</v>
      </c>
      <c r="G90" s="202">
        <v>84.705882352941174</v>
      </c>
      <c r="H90" s="385"/>
      <c r="I90" s="175">
        <f t="shared" si="47"/>
        <v>16.666666666666668</v>
      </c>
      <c r="J90" s="175">
        <f t="shared" si="47"/>
        <v>1294.3855524556827</v>
      </c>
      <c r="K90" s="202">
        <f t="shared" si="47"/>
        <v>78.179672568048503</v>
      </c>
      <c r="L90" s="385"/>
      <c r="M90" s="203">
        <f>RANK(K90, K$87:$K$101)</f>
        <v>1</v>
      </c>
      <c r="N90" s="387"/>
      <c r="O90" s="387"/>
      <c r="P90" s="105">
        <v>16</v>
      </c>
      <c r="Q90" s="202">
        <v>1292.3181818181818</v>
      </c>
      <c r="R90" s="202">
        <v>80.76988636363636</v>
      </c>
      <c r="S90" s="105">
        <f t="shared" si="48"/>
        <v>1</v>
      </c>
      <c r="T90" s="385"/>
      <c r="U90" s="105">
        <v>16</v>
      </c>
      <c r="V90" s="202">
        <v>1284.0944881889759</v>
      </c>
      <c r="W90" s="202">
        <v>80.255905511810994</v>
      </c>
      <c r="X90" s="105">
        <f t="shared" si="49"/>
        <v>1</v>
      </c>
      <c r="Y90" s="385"/>
      <c r="Z90" s="105">
        <v>16</v>
      </c>
      <c r="AA90" s="202">
        <v>1307.7983193277305</v>
      </c>
      <c r="AB90" s="202">
        <v>81.737394957983156</v>
      </c>
      <c r="AC90" s="105">
        <f t="shared" si="50"/>
        <v>1</v>
      </c>
      <c r="AD90" s="385"/>
      <c r="AE90" s="105">
        <v>16</v>
      </c>
      <c r="AF90" s="202">
        <v>1283.1578947368412</v>
      </c>
      <c r="AG90" s="202">
        <v>80.197368421052573</v>
      </c>
      <c r="AH90" s="105">
        <f t="shared" si="51"/>
        <v>1</v>
      </c>
      <c r="AI90" s="385"/>
      <c r="AJ90" s="105">
        <v>16</v>
      </c>
      <c r="AK90" s="202">
        <v>1293.6206896551716</v>
      </c>
      <c r="AL90" s="202">
        <v>80.851293103448228</v>
      </c>
      <c r="AM90" s="105">
        <f t="shared" si="52"/>
        <v>1</v>
      </c>
      <c r="AN90" s="385"/>
      <c r="AO90" s="105">
        <v>20</v>
      </c>
      <c r="AP90" s="202">
        <v>1305.3237410071943</v>
      </c>
      <c r="AQ90" s="202">
        <v>65.266187050359719</v>
      </c>
      <c r="AR90" s="105">
        <f t="shared" si="53"/>
        <v>5</v>
      </c>
      <c r="AS90" s="385"/>
      <c r="AT90" s="105"/>
      <c r="AU90" s="202"/>
      <c r="AV90" s="202"/>
      <c r="AW90" s="105" t="e">
        <f t="shared" si="54"/>
        <v>#N/A</v>
      </c>
      <c r="AX90" s="412"/>
    </row>
    <row r="91" spans="2:50">
      <c r="B91" s="398"/>
      <c r="C91" s="105">
        <v>5</v>
      </c>
      <c r="D91" s="228" t="s">
        <v>296</v>
      </c>
      <c r="E91" s="175">
        <v>19</v>
      </c>
      <c r="F91" s="105">
        <v>1440</v>
      </c>
      <c r="G91" s="202">
        <v>75.78947368421052</v>
      </c>
      <c r="H91" s="385"/>
      <c r="I91" s="175">
        <f t="shared" si="47"/>
        <v>18</v>
      </c>
      <c r="J91" s="175">
        <f t="shared" si="47"/>
        <v>1204.6705441843715</v>
      </c>
      <c r="K91" s="202">
        <f t="shared" si="47"/>
        <v>66.926141343576191</v>
      </c>
      <c r="L91" s="385"/>
      <c r="M91" s="203">
        <f>RANK(K91, K$87:$K$101)</f>
        <v>4</v>
      </c>
      <c r="N91" s="387"/>
      <c r="O91" s="387"/>
      <c r="P91" s="105">
        <v>18</v>
      </c>
      <c r="Q91" s="202">
        <v>1198.8235294117651</v>
      </c>
      <c r="R91" s="202">
        <v>66.60130718954251</v>
      </c>
      <c r="S91" s="105">
        <f t="shared" si="48"/>
        <v>3</v>
      </c>
      <c r="T91" s="385"/>
      <c r="U91" s="105">
        <v>18</v>
      </c>
      <c r="V91" s="202">
        <v>1200.0000000000005</v>
      </c>
      <c r="W91" s="202">
        <v>66.666666666666686</v>
      </c>
      <c r="X91" s="105">
        <f t="shared" si="49"/>
        <v>3</v>
      </c>
      <c r="Y91" s="385"/>
      <c r="Z91" s="105">
        <v>18</v>
      </c>
      <c r="AA91" s="202">
        <v>1209.1304347826085</v>
      </c>
      <c r="AB91" s="202">
        <v>67.173913043478251</v>
      </c>
      <c r="AC91" s="105">
        <f t="shared" si="50"/>
        <v>4</v>
      </c>
      <c r="AD91" s="385"/>
      <c r="AE91" s="105">
        <v>18</v>
      </c>
      <c r="AF91" s="202">
        <v>1228.5714285714282</v>
      </c>
      <c r="AG91" s="202">
        <v>68.253968253968239</v>
      </c>
      <c r="AH91" s="105">
        <f t="shared" si="51"/>
        <v>4</v>
      </c>
      <c r="AI91" s="385"/>
      <c r="AJ91" s="105">
        <v>18</v>
      </c>
      <c r="AK91" s="202">
        <v>1178.2978723404256</v>
      </c>
      <c r="AL91" s="202">
        <v>65.460992907801426</v>
      </c>
      <c r="AM91" s="105">
        <f t="shared" si="52"/>
        <v>4</v>
      </c>
      <c r="AN91" s="385"/>
      <c r="AO91" s="105">
        <v>18</v>
      </c>
      <c r="AP91" s="202">
        <v>1213.2000000000003</v>
      </c>
      <c r="AQ91" s="202">
        <v>67.40000000000002</v>
      </c>
      <c r="AR91" s="105">
        <f t="shared" si="53"/>
        <v>3</v>
      </c>
      <c r="AS91" s="385"/>
      <c r="AT91" s="105"/>
      <c r="AU91" s="202"/>
      <c r="AV91" s="202"/>
      <c r="AW91" s="105" t="e">
        <f t="shared" si="54"/>
        <v>#N/A</v>
      </c>
      <c r="AX91" s="412"/>
    </row>
    <row r="92" spans="2:50">
      <c r="B92" s="398"/>
      <c r="C92" s="105">
        <v>6</v>
      </c>
      <c r="D92" s="228" t="s">
        <v>293</v>
      </c>
      <c r="E92" s="175">
        <v>19</v>
      </c>
      <c r="F92" s="105">
        <v>1500</v>
      </c>
      <c r="G92" s="202">
        <v>78.94736842105263</v>
      </c>
      <c r="H92" s="385"/>
      <c r="I92" s="175">
        <f t="shared" si="47"/>
        <v>19</v>
      </c>
      <c r="J92" s="175">
        <f t="shared" si="47"/>
        <v>1094.9333333333343</v>
      </c>
      <c r="K92" s="202">
        <f t="shared" si="47"/>
        <v>57.628070175438651</v>
      </c>
      <c r="L92" s="385"/>
      <c r="M92" s="203">
        <f>RANK(K92, K$87:$K$101)</f>
        <v>7</v>
      </c>
      <c r="N92" s="387"/>
      <c r="O92" s="387"/>
      <c r="P92" s="105">
        <v>19</v>
      </c>
      <c r="Q92" s="202">
        <v>1080.0000000000039</v>
      </c>
      <c r="R92" s="202">
        <v>56.842105263158096</v>
      </c>
      <c r="S92" s="105">
        <f t="shared" si="48"/>
        <v>7</v>
      </c>
      <c r="T92" s="385"/>
      <c r="U92" s="105">
        <v>19</v>
      </c>
      <c r="V92" s="202">
        <v>1074.0000000000036</v>
      </c>
      <c r="W92" s="202">
        <v>56.526315789473877</v>
      </c>
      <c r="X92" s="105">
        <f t="shared" si="49"/>
        <v>7</v>
      </c>
      <c r="Y92" s="385"/>
      <c r="Z92" s="105">
        <v>19</v>
      </c>
      <c r="AA92" s="202">
        <v>1113.3333333333323</v>
      </c>
      <c r="AB92" s="202">
        <v>58.596491228070121</v>
      </c>
      <c r="AC92" s="105">
        <f t="shared" si="50"/>
        <v>7</v>
      </c>
      <c r="AD92" s="385"/>
      <c r="AE92" s="105">
        <v>19</v>
      </c>
      <c r="AF92" s="202">
        <v>1103.3333333333326</v>
      </c>
      <c r="AG92" s="202">
        <v>58.070175438596451</v>
      </c>
      <c r="AH92" s="105">
        <f t="shared" si="51"/>
        <v>7</v>
      </c>
      <c r="AI92" s="385"/>
      <c r="AJ92" s="105">
        <v>19</v>
      </c>
      <c r="AK92" s="202">
        <v>1103.9999999999998</v>
      </c>
      <c r="AL92" s="202">
        <v>58.105263157894726</v>
      </c>
      <c r="AM92" s="105">
        <f t="shared" si="52"/>
        <v>7</v>
      </c>
      <c r="AN92" s="385"/>
      <c r="AO92" s="105"/>
      <c r="AP92" s="202"/>
      <c r="AQ92" s="202"/>
      <c r="AR92" s="105" t="e">
        <f t="shared" si="53"/>
        <v>#N/A</v>
      </c>
      <c r="AS92" s="385"/>
      <c r="AT92" s="105"/>
      <c r="AU92" s="202"/>
      <c r="AV92" s="202"/>
      <c r="AW92" s="105" t="e">
        <f t="shared" si="54"/>
        <v>#N/A</v>
      </c>
      <c r="AX92" s="412"/>
    </row>
    <row r="93" spans="2:50">
      <c r="B93" s="398"/>
      <c r="C93" s="105">
        <v>7</v>
      </c>
      <c r="D93" s="228" t="s">
        <v>297</v>
      </c>
      <c r="E93" s="175">
        <v>20</v>
      </c>
      <c r="F93" s="105">
        <v>1385</v>
      </c>
      <c r="G93" s="202">
        <v>69.25</v>
      </c>
      <c r="H93" s="385"/>
      <c r="I93" s="175">
        <f t="shared" si="47"/>
        <v>20</v>
      </c>
      <c r="J93" s="175">
        <f t="shared" si="47"/>
        <v>1195.3278058007556</v>
      </c>
      <c r="K93" s="202">
        <f t="shared" si="47"/>
        <v>59.766390290037798</v>
      </c>
      <c r="L93" s="385"/>
      <c r="M93" s="203">
        <f>RANK(K93, K$87:$K$101)</f>
        <v>6</v>
      </c>
      <c r="N93" s="387"/>
      <c r="O93" s="387"/>
      <c r="P93" s="105">
        <v>20</v>
      </c>
      <c r="Q93" s="202">
        <v>1212.5714285714291</v>
      </c>
      <c r="R93" s="202">
        <v>60.628571428571455</v>
      </c>
      <c r="S93" s="105">
        <f t="shared" si="48"/>
        <v>5</v>
      </c>
      <c r="T93" s="385"/>
      <c r="U93" s="105">
        <v>20</v>
      </c>
      <c r="V93" s="202">
        <v>1177.3770491803275</v>
      </c>
      <c r="W93" s="202">
        <v>58.868852459016374</v>
      </c>
      <c r="X93" s="105">
        <f t="shared" si="49"/>
        <v>6</v>
      </c>
      <c r="Y93" s="385"/>
      <c r="Z93" s="105">
        <v>20</v>
      </c>
      <c r="AA93" s="202">
        <v>1205.689655172413</v>
      </c>
      <c r="AB93" s="202">
        <v>60.284482758620655</v>
      </c>
      <c r="AC93" s="105">
        <f t="shared" si="50"/>
        <v>6</v>
      </c>
      <c r="AD93" s="385"/>
      <c r="AE93" s="105">
        <v>20</v>
      </c>
      <c r="AF93" s="202">
        <v>1191.0891089108916</v>
      </c>
      <c r="AG93" s="202">
        <v>59.554455445544576</v>
      </c>
      <c r="AH93" s="105">
        <f t="shared" si="51"/>
        <v>6</v>
      </c>
      <c r="AI93" s="385"/>
      <c r="AJ93" s="105">
        <v>20</v>
      </c>
      <c r="AK93" s="202">
        <v>1182.2608695652182</v>
      </c>
      <c r="AL93" s="202">
        <v>59.113043478260906</v>
      </c>
      <c r="AM93" s="105">
        <f t="shared" si="52"/>
        <v>6</v>
      </c>
      <c r="AN93" s="385"/>
      <c r="AO93" s="105">
        <v>20</v>
      </c>
      <c r="AP93" s="202">
        <v>1202.9787234042556</v>
      </c>
      <c r="AQ93" s="202">
        <v>60.148936170212778</v>
      </c>
      <c r="AR93" s="105">
        <f t="shared" si="53"/>
        <v>6</v>
      </c>
      <c r="AS93" s="385"/>
      <c r="AT93" s="105"/>
      <c r="AU93" s="202"/>
      <c r="AV93" s="202"/>
      <c r="AW93" s="105" t="e">
        <f t="shared" si="54"/>
        <v>#N/A</v>
      </c>
      <c r="AX93" s="412"/>
    </row>
    <row r="94" spans="2:50">
      <c r="B94" s="398"/>
      <c r="C94" s="105">
        <v>8</v>
      </c>
      <c r="D94" s="228" t="s">
        <v>298</v>
      </c>
      <c r="E94" s="175">
        <v>20</v>
      </c>
      <c r="F94" s="105">
        <v>1440</v>
      </c>
      <c r="G94" s="202">
        <v>72</v>
      </c>
      <c r="H94" s="385"/>
      <c r="I94" s="175">
        <f t="shared" si="47"/>
        <v>18.666666666666668</v>
      </c>
      <c r="J94" s="175">
        <f t="shared" si="47"/>
        <v>1182.9410432871589</v>
      </c>
      <c r="K94" s="202">
        <f t="shared" si="47"/>
        <v>63.513697752948396</v>
      </c>
      <c r="L94" s="385"/>
      <c r="M94" s="203">
        <f>RANK(K94, K$87:$K$101)</f>
        <v>5</v>
      </c>
      <c r="N94" s="387"/>
      <c r="O94" s="387"/>
      <c r="P94" s="105">
        <v>20</v>
      </c>
      <c r="Q94" s="202">
        <v>1182.8571428571431</v>
      </c>
      <c r="R94" s="202">
        <v>59.142857142857153</v>
      </c>
      <c r="S94" s="105">
        <f t="shared" si="48"/>
        <v>6</v>
      </c>
      <c r="T94" s="385"/>
      <c r="U94" s="105">
        <v>20</v>
      </c>
      <c r="V94" s="202">
        <v>1198.8118811881193</v>
      </c>
      <c r="W94" s="202">
        <v>59.940594059405967</v>
      </c>
      <c r="X94" s="105">
        <f t="shared" si="49"/>
        <v>5</v>
      </c>
      <c r="Y94" s="385"/>
      <c r="Z94" s="105">
        <v>18</v>
      </c>
      <c r="AA94" s="202">
        <v>1194.3750000000005</v>
      </c>
      <c r="AB94" s="202">
        <v>66.354166666666686</v>
      </c>
      <c r="AC94" s="105">
        <f t="shared" si="50"/>
        <v>5</v>
      </c>
      <c r="AD94" s="385"/>
      <c r="AE94" s="105">
        <v>18</v>
      </c>
      <c r="AF94" s="202">
        <v>1159.9999999999995</v>
      </c>
      <c r="AG94" s="202">
        <v>64.444444444444414</v>
      </c>
      <c r="AH94" s="105">
        <f t="shared" si="51"/>
        <v>5</v>
      </c>
      <c r="AI94" s="385"/>
      <c r="AJ94" s="105">
        <v>18</v>
      </c>
      <c r="AK94" s="202">
        <v>1158.9473684210527</v>
      </c>
      <c r="AL94" s="202">
        <v>64.385964912280713</v>
      </c>
      <c r="AM94" s="105">
        <f t="shared" si="52"/>
        <v>5</v>
      </c>
      <c r="AN94" s="385"/>
      <c r="AO94" s="105">
        <v>18</v>
      </c>
      <c r="AP94" s="202">
        <v>1202.654867256638</v>
      </c>
      <c r="AQ94" s="202">
        <v>66.814159292035441</v>
      </c>
      <c r="AR94" s="105">
        <f t="shared" si="53"/>
        <v>4</v>
      </c>
      <c r="AS94" s="385"/>
      <c r="AT94" s="105"/>
      <c r="AU94" s="202"/>
      <c r="AV94" s="202"/>
      <c r="AW94" s="105" t="e">
        <f t="shared" si="54"/>
        <v>#N/A</v>
      </c>
      <c r="AX94" s="412"/>
    </row>
    <row r="95" spans="2:50">
      <c r="B95" s="398"/>
      <c r="C95" s="105">
        <v>9</v>
      </c>
      <c r="D95" s="228"/>
      <c r="E95" s="175"/>
      <c r="F95" s="105"/>
      <c r="G95" s="202"/>
      <c r="H95" s="385"/>
      <c r="I95" s="175"/>
      <c r="J95" s="175"/>
      <c r="K95" s="202"/>
      <c r="L95" s="385"/>
      <c r="M95" s="203" t="e">
        <f>RANK(K95, K$87:$K$101)</f>
        <v>#N/A</v>
      </c>
      <c r="N95" s="387"/>
      <c r="O95" s="387"/>
      <c r="P95" s="105"/>
      <c r="Q95" s="202"/>
      <c r="R95" s="202"/>
      <c r="S95" s="105" t="e">
        <f t="shared" si="48"/>
        <v>#N/A</v>
      </c>
      <c r="T95" s="385"/>
      <c r="U95" s="105"/>
      <c r="V95" s="202"/>
      <c r="W95" s="202"/>
      <c r="X95" s="105" t="e">
        <f t="shared" si="49"/>
        <v>#N/A</v>
      </c>
      <c r="Y95" s="385"/>
      <c r="Z95" s="105"/>
      <c r="AA95" s="202"/>
      <c r="AB95" s="202"/>
      <c r="AC95" s="105" t="e">
        <f t="shared" si="50"/>
        <v>#N/A</v>
      </c>
      <c r="AD95" s="385"/>
      <c r="AE95" s="105"/>
      <c r="AF95" s="202"/>
      <c r="AG95" s="202"/>
      <c r="AH95" s="105" t="e">
        <f t="shared" si="51"/>
        <v>#N/A</v>
      </c>
      <c r="AI95" s="385"/>
      <c r="AJ95" s="105"/>
      <c r="AK95" s="202"/>
      <c r="AL95" s="202"/>
      <c r="AM95" s="105" t="e">
        <f t="shared" si="52"/>
        <v>#N/A</v>
      </c>
      <c r="AN95" s="385"/>
      <c r="AO95" s="105"/>
      <c r="AP95" s="202"/>
      <c r="AQ95" s="202"/>
      <c r="AR95" s="105" t="e">
        <f t="shared" si="53"/>
        <v>#N/A</v>
      </c>
      <c r="AS95" s="385"/>
      <c r="AT95" s="105"/>
      <c r="AU95" s="202"/>
      <c r="AV95" s="202"/>
      <c r="AW95" s="105" t="e">
        <f t="shared" si="54"/>
        <v>#N/A</v>
      </c>
      <c r="AX95" s="412"/>
    </row>
    <row r="96" spans="2:50">
      <c r="B96" s="398"/>
      <c r="C96" s="105">
        <v>10</v>
      </c>
      <c r="D96" s="228"/>
      <c r="E96" s="175"/>
      <c r="F96" s="105"/>
      <c r="G96" s="202"/>
      <c r="H96" s="385"/>
      <c r="I96" s="175"/>
      <c r="J96" s="175"/>
      <c r="K96" s="202"/>
      <c r="L96" s="385"/>
      <c r="M96" s="203" t="e">
        <f>RANK(K96, K$87:$K$101)</f>
        <v>#N/A</v>
      </c>
      <c r="N96" s="387"/>
      <c r="O96" s="387"/>
      <c r="P96" s="105"/>
      <c r="Q96" s="202"/>
      <c r="R96" s="202"/>
      <c r="S96" s="105" t="e">
        <f t="shared" si="48"/>
        <v>#N/A</v>
      </c>
      <c r="T96" s="385"/>
      <c r="U96" s="105"/>
      <c r="V96" s="202"/>
      <c r="W96" s="202"/>
      <c r="X96" s="105" t="e">
        <f t="shared" si="49"/>
        <v>#N/A</v>
      </c>
      <c r="Y96" s="385"/>
      <c r="Z96" s="105"/>
      <c r="AA96" s="202"/>
      <c r="AB96" s="202"/>
      <c r="AC96" s="105" t="e">
        <f t="shared" si="50"/>
        <v>#N/A</v>
      </c>
      <c r="AD96" s="385"/>
      <c r="AE96" s="105"/>
      <c r="AF96" s="202"/>
      <c r="AG96" s="202"/>
      <c r="AH96" s="105" t="e">
        <f t="shared" si="51"/>
        <v>#N/A</v>
      </c>
      <c r="AI96" s="385"/>
      <c r="AJ96" s="105"/>
      <c r="AK96" s="202"/>
      <c r="AL96" s="202"/>
      <c r="AM96" s="105" t="e">
        <f t="shared" si="52"/>
        <v>#N/A</v>
      </c>
      <c r="AN96" s="385"/>
      <c r="AO96" s="105"/>
      <c r="AP96" s="202"/>
      <c r="AQ96" s="202"/>
      <c r="AR96" s="105" t="e">
        <f t="shared" si="53"/>
        <v>#N/A</v>
      </c>
      <c r="AS96" s="385"/>
      <c r="AT96" s="105"/>
      <c r="AU96" s="202"/>
      <c r="AV96" s="202"/>
      <c r="AW96" s="105" t="e">
        <f t="shared" si="54"/>
        <v>#N/A</v>
      </c>
      <c r="AX96" s="412"/>
    </row>
    <row r="97" spans="2:50">
      <c r="B97" s="398"/>
      <c r="C97" s="105">
        <v>11</v>
      </c>
      <c r="D97" s="228"/>
      <c r="E97" s="175"/>
      <c r="F97" s="105"/>
      <c r="G97" s="202"/>
      <c r="H97" s="385"/>
      <c r="I97" s="105"/>
      <c r="J97" s="105"/>
      <c r="K97" s="105"/>
      <c r="L97" s="385"/>
      <c r="M97" s="203" t="e">
        <f>RANK(K97, K$87:$K$101)</f>
        <v>#N/A</v>
      </c>
      <c r="N97" s="387"/>
      <c r="O97" s="387"/>
      <c r="P97" s="105"/>
      <c r="Q97" s="202"/>
      <c r="R97" s="202"/>
      <c r="S97" s="105" t="e">
        <f t="shared" si="48"/>
        <v>#N/A</v>
      </c>
      <c r="T97" s="385"/>
      <c r="U97" s="105"/>
      <c r="V97" s="202"/>
      <c r="W97" s="202"/>
      <c r="X97" s="105" t="e">
        <f t="shared" si="49"/>
        <v>#N/A</v>
      </c>
      <c r="Y97" s="385"/>
      <c r="Z97" s="105"/>
      <c r="AA97" s="202"/>
      <c r="AB97" s="202"/>
      <c r="AC97" s="105" t="e">
        <f t="shared" si="50"/>
        <v>#N/A</v>
      </c>
      <c r="AD97" s="385"/>
      <c r="AE97" s="105"/>
      <c r="AF97" s="202"/>
      <c r="AG97" s="202"/>
      <c r="AH97" s="105" t="e">
        <f t="shared" si="51"/>
        <v>#N/A</v>
      </c>
      <c r="AI97" s="385"/>
      <c r="AJ97" s="105"/>
      <c r="AK97" s="202"/>
      <c r="AL97" s="202"/>
      <c r="AM97" s="105" t="e">
        <f t="shared" si="52"/>
        <v>#N/A</v>
      </c>
      <c r="AN97" s="385"/>
      <c r="AO97" s="105"/>
      <c r="AP97" s="202"/>
      <c r="AQ97" s="202"/>
      <c r="AR97" s="105" t="e">
        <f t="shared" si="53"/>
        <v>#N/A</v>
      </c>
      <c r="AS97" s="385"/>
      <c r="AT97" s="105"/>
      <c r="AU97" s="202"/>
      <c r="AV97" s="202"/>
      <c r="AW97" s="105" t="e">
        <f t="shared" si="54"/>
        <v>#N/A</v>
      </c>
      <c r="AX97" s="412"/>
    </row>
    <row r="98" spans="2:50">
      <c r="B98" s="398"/>
      <c r="C98" s="105">
        <v>12</v>
      </c>
      <c r="D98" s="228"/>
      <c r="E98" s="175"/>
      <c r="F98" s="105"/>
      <c r="G98" s="202"/>
      <c r="H98" s="385"/>
      <c r="I98" s="105"/>
      <c r="J98" s="105"/>
      <c r="K98" s="105"/>
      <c r="L98" s="385"/>
      <c r="M98" s="203" t="e">
        <f>RANK(K98, K$87:$K$101)</f>
        <v>#N/A</v>
      </c>
      <c r="N98" s="387"/>
      <c r="O98" s="387"/>
      <c r="P98" s="105"/>
      <c r="Q98" s="202"/>
      <c r="R98" s="202"/>
      <c r="S98" s="105" t="e">
        <f t="shared" si="48"/>
        <v>#N/A</v>
      </c>
      <c r="T98" s="385"/>
      <c r="U98" s="105"/>
      <c r="V98" s="105"/>
      <c r="W98" s="105"/>
      <c r="X98" s="105" t="e">
        <f t="shared" si="49"/>
        <v>#N/A</v>
      </c>
      <c r="Y98" s="385"/>
      <c r="Z98" s="105"/>
      <c r="AA98" s="105"/>
      <c r="AB98" s="105"/>
      <c r="AC98" s="105" t="e">
        <f t="shared" si="50"/>
        <v>#N/A</v>
      </c>
      <c r="AD98" s="385"/>
      <c r="AE98" s="105"/>
      <c r="AF98" s="105"/>
      <c r="AG98" s="105"/>
      <c r="AH98" s="105" t="e">
        <f t="shared" si="51"/>
        <v>#N/A</v>
      </c>
      <c r="AI98" s="385"/>
      <c r="AJ98" s="105"/>
      <c r="AK98" s="105"/>
      <c r="AL98" s="105"/>
      <c r="AM98" s="105" t="e">
        <f t="shared" si="52"/>
        <v>#N/A</v>
      </c>
      <c r="AN98" s="385"/>
      <c r="AO98" s="105"/>
      <c r="AP98" s="105"/>
      <c r="AQ98" s="105"/>
      <c r="AR98" s="105" t="e">
        <f t="shared" si="53"/>
        <v>#N/A</v>
      </c>
      <c r="AS98" s="385"/>
      <c r="AT98" s="105"/>
      <c r="AU98" s="105"/>
      <c r="AV98" s="105"/>
      <c r="AW98" s="105" t="e">
        <f t="shared" si="54"/>
        <v>#N/A</v>
      </c>
      <c r="AX98" s="412"/>
    </row>
    <row r="99" spans="2:50">
      <c r="B99" s="398"/>
      <c r="C99" s="105">
        <v>13</v>
      </c>
      <c r="D99" s="228"/>
      <c r="E99" s="175"/>
      <c r="F99" s="105"/>
      <c r="G99" s="202"/>
      <c r="H99" s="385"/>
      <c r="I99" s="105"/>
      <c r="J99" s="105"/>
      <c r="K99" s="105"/>
      <c r="L99" s="385"/>
      <c r="M99" s="203" t="e">
        <f>RANK(K99, K$87:$K$101)</f>
        <v>#N/A</v>
      </c>
      <c r="N99" s="387"/>
      <c r="O99" s="387"/>
      <c r="P99" s="105"/>
      <c r="Q99" s="202"/>
      <c r="R99" s="202"/>
      <c r="S99" s="105" t="e">
        <f t="shared" si="48"/>
        <v>#N/A</v>
      </c>
      <c r="T99" s="385"/>
      <c r="U99" s="105"/>
      <c r="V99" s="105"/>
      <c r="W99" s="105"/>
      <c r="X99" s="105" t="e">
        <f t="shared" si="49"/>
        <v>#N/A</v>
      </c>
      <c r="Y99" s="385"/>
      <c r="Z99" s="105"/>
      <c r="AA99" s="105"/>
      <c r="AB99" s="105"/>
      <c r="AC99" s="105" t="e">
        <f t="shared" si="50"/>
        <v>#N/A</v>
      </c>
      <c r="AD99" s="385"/>
      <c r="AE99" s="105"/>
      <c r="AF99" s="105"/>
      <c r="AG99" s="105"/>
      <c r="AH99" s="105" t="e">
        <f t="shared" si="51"/>
        <v>#N/A</v>
      </c>
      <c r="AI99" s="385"/>
      <c r="AJ99" s="105"/>
      <c r="AK99" s="105"/>
      <c r="AL99" s="105"/>
      <c r="AM99" s="105" t="e">
        <f t="shared" si="52"/>
        <v>#N/A</v>
      </c>
      <c r="AN99" s="385"/>
      <c r="AO99" s="105"/>
      <c r="AP99" s="105"/>
      <c r="AQ99" s="105"/>
      <c r="AR99" s="105" t="e">
        <f t="shared" si="53"/>
        <v>#N/A</v>
      </c>
      <c r="AS99" s="385"/>
      <c r="AT99" s="105"/>
      <c r="AU99" s="105"/>
      <c r="AV99" s="105"/>
      <c r="AW99" s="105" t="e">
        <f t="shared" si="54"/>
        <v>#N/A</v>
      </c>
      <c r="AX99" s="412"/>
    </row>
    <row r="100" spans="2:50">
      <c r="B100" s="398"/>
      <c r="C100" s="105">
        <v>14</v>
      </c>
      <c r="D100" s="228"/>
      <c r="E100" s="175"/>
      <c r="F100" s="105"/>
      <c r="G100" s="202"/>
      <c r="H100" s="385"/>
      <c r="I100" s="105"/>
      <c r="J100" s="105"/>
      <c r="K100" s="105"/>
      <c r="L100" s="385"/>
      <c r="M100" s="203" t="e">
        <f>RANK(K100, K$87:$K$101)</f>
        <v>#N/A</v>
      </c>
      <c r="N100" s="387"/>
      <c r="O100" s="387"/>
      <c r="P100" s="105"/>
      <c r="Q100" s="202"/>
      <c r="R100" s="202"/>
      <c r="S100" s="105" t="e">
        <f t="shared" si="48"/>
        <v>#N/A</v>
      </c>
      <c r="T100" s="385"/>
      <c r="U100" s="105"/>
      <c r="V100" s="105"/>
      <c r="W100" s="105"/>
      <c r="X100" s="105" t="e">
        <f t="shared" si="49"/>
        <v>#N/A</v>
      </c>
      <c r="Y100" s="385"/>
      <c r="Z100" s="105"/>
      <c r="AA100" s="105"/>
      <c r="AB100" s="105"/>
      <c r="AC100" s="105" t="e">
        <f t="shared" si="50"/>
        <v>#N/A</v>
      </c>
      <c r="AD100" s="385"/>
      <c r="AE100" s="105"/>
      <c r="AF100" s="105"/>
      <c r="AG100" s="105"/>
      <c r="AH100" s="105" t="e">
        <f t="shared" si="51"/>
        <v>#N/A</v>
      </c>
      <c r="AI100" s="385"/>
      <c r="AJ100" s="105"/>
      <c r="AK100" s="105"/>
      <c r="AL100" s="105"/>
      <c r="AM100" s="105" t="e">
        <f t="shared" si="52"/>
        <v>#N/A</v>
      </c>
      <c r="AN100" s="385"/>
      <c r="AO100" s="105"/>
      <c r="AP100" s="105"/>
      <c r="AQ100" s="105"/>
      <c r="AR100" s="105" t="e">
        <f t="shared" si="53"/>
        <v>#N/A</v>
      </c>
      <c r="AS100" s="385"/>
      <c r="AT100" s="105"/>
      <c r="AU100" s="105"/>
      <c r="AV100" s="105"/>
      <c r="AW100" s="105" t="e">
        <f t="shared" si="54"/>
        <v>#N/A</v>
      </c>
      <c r="AX100" s="412"/>
    </row>
    <row r="101" spans="2:50">
      <c r="B101" s="398"/>
      <c r="C101" s="105">
        <v>15</v>
      </c>
      <c r="D101" s="228"/>
      <c r="E101" s="175"/>
      <c r="F101" s="105"/>
      <c r="G101" s="202"/>
      <c r="H101" s="386"/>
      <c r="I101" s="105"/>
      <c r="J101" s="105"/>
      <c r="K101" s="105"/>
      <c r="L101" s="386"/>
      <c r="M101" s="175" t="e">
        <f>RANK(K101, K$87:$K$101)</f>
        <v>#N/A</v>
      </c>
      <c r="N101" s="387"/>
      <c r="O101" s="387"/>
      <c r="P101" s="105"/>
      <c r="Q101" s="202"/>
      <c r="R101" s="202"/>
      <c r="S101" s="105" t="e">
        <f t="shared" si="48"/>
        <v>#N/A</v>
      </c>
      <c r="T101" s="386"/>
      <c r="U101" s="105"/>
      <c r="V101" s="105"/>
      <c r="W101" s="105"/>
      <c r="X101" s="105" t="e">
        <f t="shared" si="49"/>
        <v>#N/A</v>
      </c>
      <c r="Y101" s="386"/>
      <c r="Z101" s="105"/>
      <c r="AA101" s="105"/>
      <c r="AB101" s="105"/>
      <c r="AC101" s="105" t="e">
        <f t="shared" si="50"/>
        <v>#N/A</v>
      </c>
      <c r="AD101" s="386"/>
      <c r="AE101" s="105"/>
      <c r="AF101" s="105"/>
      <c r="AG101" s="105"/>
      <c r="AH101" s="105" t="e">
        <f t="shared" si="51"/>
        <v>#N/A</v>
      </c>
      <c r="AI101" s="386"/>
      <c r="AJ101" s="105"/>
      <c r="AK101" s="105"/>
      <c r="AL101" s="105"/>
      <c r="AM101" s="105" t="e">
        <f t="shared" si="52"/>
        <v>#N/A</v>
      </c>
      <c r="AN101" s="386"/>
      <c r="AO101" s="105"/>
      <c r="AP101" s="105"/>
      <c r="AQ101" s="105"/>
      <c r="AR101" s="105" t="e">
        <f t="shared" si="53"/>
        <v>#N/A</v>
      </c>
      <c r="AS101" s="386"/>
      <c r="AT101" s="105"/>
      <c r="AU101" s="105"/>
      <c r="AV101" s="105"/>
      <c r="AW101" s="105" t="e">
        <f t="shared" si="54"/>
        <v>#N/A</v>
      </c>
      <c r="AX101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01"/>
  <sheetViews>
    <sheetView topLeftCell="A42" zoomScale="50" zoomScaleNormal="50" workbookViewId="0">
      <pane xSplit="15" topLeftCell="Z1" activePane="topRight" state="frozen"/>
      <selection pane="topRight" activeCell="G46" sqref="G1:G1048576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102">
        <f>AVERAGE(L7,L27,L47,L67,L87)</f>
        <v>75.478569021952779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87" t="s">
        <v>299</v>
      </c>
      <c r="C7" s="105">
        <v>1</v>
      </c>
      <c r="D7" s="228" t="s">
        <v>300</v>
      </c>
      <c r="E7" s="175">
        <v>19</v>
      </c>
      <c r="F7" s="105">
        <v>1636</v>
      </c>
      <c r="G7" s="202">
        <v>86.10526315789474</v>
      </c>
      <c r="H7" s="384">
        <f>AVERAGE(G7:G21)</f>
        <v>84.889791881664948</v>
      </c>
      <c r="I7" s="175">
        <f>AVERAGE(P7,U7,Z7,AE7,AJ7,AO7,AT7)</f>
        <v>19</v>
      </c>
      <c r="J7" s="175">
        <f>AVERAGE(Q7,V7,AA7,AF7,AK7,AP7,AU7)</f>
        <v>1376.4678740075681</v>
      </c>
      <c r="K7" s="202">
        <f>AVERAGE(R7,W7,AB7,AG7,AL7,AQ7,AV7)</f>
        <v>72.445677579345698</v>
      </c>
      <c r="L7" s="384">
        <f>IFERROR(AVERAGE(K7:K21),"-")</f>
        <v>71.145661111156215</v>
      </c>
      <c r="M7" s="203">
        <f>RANK(K7, K$7:$K$21)</f>
        <v>5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f>IFERROR(VLOOKUP($D7,[2]晉欣4度C0801!$D$5:$AD$9999,10,0),"")</f>
        <v>19</v>
      </c>
      <c r="AF7" s="175">
        <f>IFERROR(VLOOKUP($D7,[2]晉欣4度C0801!$D$5:$AD$9999,11,0),"")</f>
        <v>1420.4819277108436</v>
      </c>
      <c r="AG7" s="202">
        <f>IFERROR(VLOOKUP($D7,[2]晉欣4度C0801!$D$5:$AD$9999,12,0),"")</f>
        <v>74.762206721623343</v>
      </c>
      <c r="AH7" s="105">
        <f>RANK(AG7, AG$7:AG$21)</f>
        <v>4</v>
      </c>
      <c r="AI7" s="412">
        <f>AVERAGE(AG7:AG21)</f>
        <v>70.564366300995502</v>
      </c>
      <c r="AJ7" s="105">
        <v>19</v>
      </c>
      <c r="AK7" s="175">
        <v>1358.7096774193544</v>
      </c>
      <c r="AL7" s="202">
        <v>71.511035653650239</v>
      </c>
      <c r="AM7" s="105">
        <f>RANK(AL7, AL$7:AL$21)</f>
        <v>5</v>
      </c>
      <c r="AN7" s="412">
        <f>AVERAGE(AL7:AL21)</f>
        <v>71.691176741450761</v>
      </c>
      <c r="AO7" s="105">
        <v>19</v>
      </c>
      <c r="AP7" s="175">
        <v>1365.9459459459461</v>
      </c>
      <c r="AQ7" s="202">
        <v>71.891891891891902</v>
      </c>
      <c r="AR7" s="105">
        <f>RANK(AQ7, AQ$7:AQ$21)</f>
        <v>5</v>
      </c>
      <c r="AS7" s="412">
        <f>AVERAGE(AQ7:AQ21)</f>
        <v>71.6867180715183</v>
      </c>
      <c r="AT7" s="105">
        <v>19</v>
      </c>
      <c r="AU7" s="175">
        <v>1360.7339449541287</v>
      </c>
      <c r="AV7" s="202">
        <v>71.617576050217295</v>
      </c>
      <c r="AW7" s="105">
        <f>RANK(AV7, AV$7:AV$21)</f>
        <v>5</v>
      </c>
      <c r="AX7" s="412">
        <f>AVERAGE(AV7:AV21)</f>
        <v>70.640383330660327</v>
      </c>
    </row>
    <row r="8" spans="1:50" ht="15" customHeight="1">
      <c r="A8" s="79"/>
      <c r="B8" s="398"/>
      <c r="C8" s="105">
        <v>2</v>
      </c>
      <c r="D8" s="228" t="s">
        <v>301</v>
      </c>
      <c r="E8" s="175">
        <v>19</v>
      </c>
      <c r="F8" s="105">
        <v>1565</v>
      </c>
      <c r="G8" s="202">
        <v>82.368421052631575</v>
      </c>
      <c r="H8" s="385"/>
      <c r="I8" s="175">
        <f t="shared" ref="I8:K14" si="0">AVERAGE(P8,U8,Z8,AE8,AJ8,AO8,AT8)</f>
        <v>19</v>
      </c>
      <c r="J8" s="175">
        <f t="shared" si="0"/>
        <v>1274.9186046511627</v>
      </c>
      <c r="K8" s="202">
        <f t="shared" si="0"/>
        <v>67.100979192166449</v>
      </c>
      <c r="L8" s="385"/>
      <c r="M8" s="203">
        <f>RANK(K8, K$7:$K$21)</f>
        <v>7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f>IFERROR(VLOOKUP($D8,[2]晉欣4度C0801!$D$5:$AD$9999,10,0),"")</f>
        <v>19</v>
      </c>
      <c r="AF8" s="175">
        <f>IFERROR(VLOOKUP($D8,[2]晉欣4度C0801!$D$5:$AD$9999,11,0),"")</f>
        <v>1239.9999999999993</v>
      </c>
      <c r="AG8" s="202">
        <f>IFERROR(VLOOKUP($D8,[2]晉欣4度C0801!$D$5:$AD$9999,12,0),"")</f>
        <v>65.263157894736807</v>
      </c>
      <c r="AH8" s="105">
        <f t="shared" ref="AH8:AH21" si="4">RANK(AG8, AG$7:AG$21)</f>
        <v>7</v>
      </c>
      <c r="AI8" s="412"/>
      <c r="AJ8" s="105">
        <v>19</v>
      </c>
      <c r="AK8" s="175">
        <v>1302.0000000000007</v>
      </c>
      <c r="AL8" s="202">
        <v>68.526315789473713</v>
      </c>
      <c r="AM8" s="105">
        <f t="shared" ref="AM8:AM21" si="5">RANK(AL8, AL$7:AL$21)</f>
        <v>6</v>
      </c>
      <c r="AN8" s="412"/>
      <c r="AO8" s="105">
        <v>19</v>
      </c>
      <c r="AP8" s="175">
        <v>1283.7209302325577</v>
      </c>
      <c r="AQ8" s="202">
        <v>67.564259485924097</v>
      </c>
      <c r="AR8" s="105">
        <f t="shared" ref="AR8:AR21" si="6">RANK(AQ8, AQ$7:AQ$21)</f>
        <v>7</v>
      </c>
      <c r="AS8" s="412"/>
      <c r="AT8" s="105">
        <v>19</v>
      </c>
      <c r="AU8" s="175">
        <v>1273.9534883720928</v>
      </c>
      <c r="AV8" s="202">
        <v>67.050183598531206</v>
      </c>
      <c r="AW8" s="105">
        <f t="shared" ref="AW8:AW21" si="7">RANK(AV8, AV$7:AV$21)</f>
        <v>6</v>
      </c>
      <c r="AX8" s="412"/>
    </row>
    <row r="9" spans="1:50">
      <c r="A9" s="79"/>
      <c r="B9" s="398"/>
      <c r="C9" s="105">
        <v>3</v>
      </c>
      <c r="D9" s="228" t="s">
        <v>302</v>
      </c>
      <c r="E9" s="175">
        <v>18</v>
      </c>
      <c r="F9" s="105">
        <v>1636</v>
      </c>
      <c r="G9" s="202">
        <v>90.888888888888886</v>
      </c>
      <c r="H9" s="385"/>
      <c r="I9" s="175">
        <f t="shared" si="0"/>
        <v>18</v>
      </c>
      <c r="J9" s="175">
        <f t="shared" si="0"/>
        <v>1334.1879441561564</v>
      </c>
      <c r="K9" s="202">
        <f t="shared" si="0"/>
        <v>74.121552453119804</v>
      </c>
      <c r="L9" s="385"/>
      <c r="M9" s="203">
        <f>RANK(K9, K$7:$K$21)</f>
        <v>4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f>IFERROR(VLOOKUP($D9,[2]晉欣4度C0801!$D$5:$AD$9999,10,0),"")</f>
        <v>18</v>
      </c>
      <c r="AF9" s="175">
        <f>IFERROR(VLOOKUP($D9,[2]晉欣4度C0801!$D$5:$AD$9999,11,0),"")</f>
        <v>1313.7313432835822</v>
      </c>
      <c r="AG9" s="202">
        <f>IFERROR(VLOOKUP($D9,[2]晉欣4度C0801!$D$5:$AD$9999,12,0),"")</f>
        <v>72.985074626865682</v>
      </c>
      <c r="AH9" s="105">
        <f t="shared" si="4"/>
        <v>5</v>
      </c>
      <c r="AI9" s="412"/>
      <c r="AJ9" s="105">
        <v>18</v>
      </c>
      <c r="AK9" s="175">
        <v>1360.4444444444443</v>
      </c>
      <c r="AL9" s="202">
        <v>75.58024691358024</v>
      </c>
      <c r="AM9" s="105">
        <f t="shared" si="5"/>
        <v>4</v>
      </c>
      <c r="AN9" s="412"/>
      <c r="AO9" s="105">
        <v>18</v>
      </c>
      <c r="AP9" s="175">
        <v>1344.5454545454545</v>
      </c>
      <c r="AQ9" s="202">
        <v>74.696969696969688</v>
      </c>
      <c r="AR9" s="105">
        <f t="shared" si="6"/>
        <v>4</v>
      </c>
      <c r="AS9" s="412"/>
      <c r="AT9" s="105">
        <v>18</v>
      </c>
      <c r="AU9" s="175">
        <v>1318.030534351145</v>
      </c>
      <c r="AV9" s="202">
        <v>73.223918575063607</v>
      </c>
      <c r="AW9" s="105">
        <f t="shared" si="7"/>
        <v>4</v>
      </c>
      <c r="AX9" s="412"/>
    </row>
    <row r="10" spans="1:50">
      <c r="A10" s="79"/>
      <c r="B10" s="398"/>
      <c r="C10" s="105">
        <v>4</v>
      </c>
      <c r="D10" s="228" t="s">
        <v>303</v>
      </c>
      <c r="E10" s="175">
        <v>18</v>
      </c>
      <c r="F10" s="105">
        <v>1636</v>
      </c>
      <c r="G10" s="202">
        <v>90.888888888888886</v>
      </c>
      <c r="H10" s="385"/>
      <c r="I10" s="175">
        <f t="shared" si="0"/>
        <v>18</v>
      </c>
      <c r="J10" s="175">
        <f t="shared" si="0"/>
        <v>1363.5355013242852</v>
      </c>
      <c r="K10" s="202">
        <f t="shared" si="0"/>
        <v>75.751972295793635</v>
      </c>
      <c r="L10" s="385"/>
      <c r="M10" s="203">
        <f>RANK(K10, K$7:$K$21)</f>
        <v>3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f>IFERROR(VLOOKUP($D10,[2]晉欣4度C0801!$D$5:$AD$9999,10,0),"")</f>
        <v>18</v>
      </c>
      <c r="AF10" s="175">
        <f>IFERROR(VLOOKUP($D10,[2]晉欣4度C0801!$D$5:$AD$9999,11,0),"")</f>
        <v>1363.7500000000002</v>
      </c>
      <c r="AG10" s="202">
        <f>IFERROR(VLOOKUP($D10,[2]晉欣4度C0801!$D$5:$AD$9999,12,0),"")</f>
        <v>75.7638888888889</v>
      </c>
      <c r="AH10" s="105">
        <f t="shared" si="4"/>
        <v>2</v>
      </c>
      <c r="AI10" s="412"/>
      <c r="AJ10" s="105">
        <v>18</v>
      </c>
      <c r="AK10" s="175">
        <v>1365.9633027522934</v>
      </c>
      <c r="AL10" s="202">
        <v>75.886850152905197</v>
      </c>
      <c r="AM10" s="105">
        <f t="shared" si="5"/>
        <v>3</v>
      </c>
      <c r="AN10" s="412"/>
      <c r="AO10" s="105">
        <v>18</v>
      </c>
      <c r="AP10" s="175">
        <v>1379.5659574468089</v>
      </c>
      <c r="AQ10" s="202">
        <v>76.642553191489384</v>
      </c>
      <c r="AR10" s="105">
        <f t="shared" si="6"/>
        <v>2</v>
      </c>
      <c r="AS10" s="412"/>
      <c r="AT10" s="105">
        <v>18</v>
      </c>
      <c r="AU10" s="175">
        <v>1344.8627450980389</v>
      </c>
      <c r="AV10" s="202">
        <v>74.714596949891046</v>
      </c>
      <c r="AW10" s="105">
        <f t="shared" si="7"/>
        <v>2</v>
      </c>
      <c r="AX10" s="412"/>
    </row>
    <row r="11" spans="1:50">
      <c r="A11" s="79"/>
      <c r="B11" s="398"/>
      <c r="C11" s="105">
        <v>5</v>
      </c>
      <c r="D11" s="228" t="s">
        <v>304</v>
      </c>
      <c r="E11" s="175">
        <v>19</v>
      </c>
      <c r="F11" s="105">
        <v>1636</v>
      </c>
      <c r="G11" s="202">
        <v>86.10526315789474</v>
      </c>
      <c r="H11" s="385"/>
      <c r="I11" s="175">
        <f t="shared" si="0"/>
        <v>19</v>
      </c>
      <c r="J11" s="175">
        <f t="shared" si="0"/>
        <v>1275.7014613735107</v>
      </c>
      <c r="K11" s="202">
        <f t="shared" si="0"/>
        <v>67.142182177553195</v>
      </c>
      <c r="L11" s="385"/>
      <c r="M11" s="203">
        <f>RANK(K11, K$7:$K$21)</f>
        <v>6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f>IFERROR(VLOOKUP($D11,[2]晉欣4度C0801!$D$5:$AD$9999,10,0),"")</f>
        <v>19</v>
      </c>
      <c r="AF11" s="175">
        <f>IFERROR(VLOOKUP($D11,[2]晉欣4度C0801!$D$5:$AD$9999,11,0),"")</f>
        <v>1270.1408450704228</v>
      </c>
      <c r="AG11" s="202">
        <f>IFERROR(VLOOKUP($D11,[2]晉欣4度C0801!$D$5:$AD$9999,12,0),"")</f>
        <v>66.849518161601196</v>
      </c>
      <c r="AH11" s="105">
        <f t="shared" si="4"/>
        <v>6</v>
      </c>
      <c r="AI11" s="412"/>
      <c r="AJ11" s="105">
        <v>19</v>
      </c>
      <c r="AK11" s="175">
        <v>1268.9189189189187</v>
      </c>
      <c r="AL11" s="202">
        <v>66.785206258890454</v>
      </c>
      <c r="AM11" s="105">
        <f t="shared" si="5"/>
        <v>7</v>
      </c>
      <c r="AN11" s="412"/>
      <c r="AO11" s="105">
        <v>19</v>
      </c>
      <c r="AP11" s="175">
        <v>1294.090909090909</v>
      </c>
      <c r="AQ11" s="202">
        <v>68.110047846889941</v>
      </c>
      <c r="AR11" s="105">
        <f t="shared" si="6"/>
        <v>6</v>
      </c>
      <c r="AS11" s="412"/>
      <c r="AT11" s="105">
        <v>19</v>
      </c>
      <c r="AU11" s="175">
        <v>1269.6551724137928</v>
      </c>
      <c r="AV11" s="202">
        <v>66.823956442831204</v>
      </c>
      <c r="AW11" s="105">
        <f t="shared" si="7"/>
        <v>7</v>
      </c>
      <c r="AX11" s="412"/>
    </row>
    <row r="12" spans="1:50">
      <c r="A12" s="79"/>
      <c r="B12" s="398"/>
      <c r="C12" s="105">
        <v>6</v>
      </c>
      <c r="D12" s="228" t="s">
        <v>305</v>
      </c>
      <c r="E12" s="175">
        <v>19</v>
      </c>
      <c r="F12" s="105">
        <v>1636</v>
      </c>
      <c r="G12" s="202">
        <v>86.10526315789474</v>
      </c>
      <c r="H12" s="385"/>
      <c r="I12" s="175">
        <f t="shared" si="0"/>
        <v>17.5</v>
      </c>
      <c r="J12" s="175">
        <f t="shared" si="0"/>
        <v>1346.5363906506823</v>
      </c>
      <c r="K12" s="202">
        <f t="shared" si="0"/>
        <v>77.119569128289939</v>
      </c>
      <c r="L12" s="385"/>
      <c r="M12" s="203">
        <f>RANK(K12, K$7:$K$21)</f>
        <v>2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>
        <f>IFERROR(VLOOKUP($D12,[2]晉欣4度C0801!$D$5:$AD$9999,10,0),"")</f>
        <v>18</v>
      </c>
      <c r="AF12" s="175">
        <f>IFERROR(VLOOKUP($D12,[2]晉欣4度C0801!$D$5:$AD$9999,11,0),"")</f>
        <v>1354.4262295081962</v>
      </c>
      <c r="AG12" s="202">
        <f>IFERROR(VLOOKUP($D12,[2]晉欣4度C0801!$D$5:$AD$9999,12,0),"")</f>
        <v>75.24590163934424</v>
      </c>
      <c r="AH12" s="105">
        <f t="shared" si="4"/>
        <v>3</v>
      </c>
      <c r="AI12" s="412"/>
      <c r="AJ12" s="105">
        <v>16</v>
      </c>
      <c r="AK12" s="175">
        <v>1331.707317073171</v>
      </c>
      <c r="AL12" s="202">
        <v>83.231707317073187</v>
      </c>
      <c r="AM12" s="105">
        <f t="shared" si="5"/>
        <v>1</v>
      </c>
      <c r="AN12" s="412"/>
      <c r="AO12" s="105">
        <v>18</v>
      </c>
      <c r="AP12" s="175">
        <v>1371.8691588785045</v>
      </c>
      <c r="AQ12" s="202">
        <v>76.214953271028037</v>
      </c>
      <c r="AR12" s="105">
        <f t="shared" si="6"/>
        <v>3</v>
      </c>
      <c r="AS12" s="412"/>
      <c r="AT12" s="105">
        <v>18</v>
      </c>
      <c r="AU12" s="175">
        <v>1328.1428571428573</v>
      </c>
      <c r="AV12" s="202">
        <v>73.785714285714292</v>
      </c>
      <c r="AW12" s="105">
        <f t="shared" si="7"/>
        <v>3</v>
      </c>
      <c r="AX12" s="412"/>
    </row>
    <row r="13" spans="1:50">
      <c r="A13" s="79"/>
      <c r="B13" s="398"/>
      <c r="C13" s="105">
        <v>7</v>
      </c>
      <c r="D13" s="228" t="s">
        <v>306</v>
      </c>
      <c r="E13" s="175">
        <v>17</v>
      </c>
      <c r="F13" s="105">
        <v>1500</v>
      </c>
      <c r="G13" s="202">
        <v>88.235294117647058</v>
      </c>
      <c r="H13" s="385"/>
      <c r="I13" s="175">
        <f t="shared" si="0"/>
        <v>17</v>
      </c>
      <c r="J13" s="175">
        <f t="shared" si="0"/>
        <v>1334.9838836477993</v>
      </c>
      <c r="K13" s="202">
        <f t="shared" si="0"/>
        <v>78.528463743988183</v>
      </c>
      <c r="L13" s="385"/>
      <c r="M13" s="203">
        <f>RANK(K13, K$7:$K$21)</f>
        <v>1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>
        <f>IFERROR(VLOOKUP($D13,[2]晉欣4度C0801!$D$5:$AD$9999,10,0),"")</f>
        <v>17</v>
      </c>
      <c r="AF13" s="175">
        <f>IFERROR(VLOOKUP($D13,[2]晉欣4度C0801!$D$5:$AD$9999,11,0),"")</f>
        <v>1318.6666666666667</v>
      </c>
      <c r="AG13" s="202">
        <f>IFERROR(VLOOKUP($D13,[2]晉欣4度C0801!$D$5:$AD$9999,12,0),"")</f>
        <v>77.568627450980401</v>
      </c>
      <c r="AH13" s="105">
        <f t="shared" si="4"/>
        <v>1</v>
      </c>
      <c r="AI13" s="412"/>
      <c r="AJ13" s="105">
        <v>17</v>
      </c>
      <c r="AK13" s="175">
        <v>1296.2500000000002</v>
      </c>
      <c r="AL13" s="202">
        <v>76.250000000000014</v>
      </c>
      <c r="AM13" s="105">
        <f t="shared" si="5"/>
        <v>2</v>
      </c>
      <c r="AN13" s="412"/>
      <c r="AO13" s="105">
        <v>17</v>
      </c>
      <c r="AP13" s="175">
        <v>1363.0188679245291</v>
      </c>
      <c r="AQ13" s="202">
        <v>80.177580466148768</v>
      </c>
      <c r="AR13" s="105">
        <f t="shared" si="6"/>
        <v>1</v>
      </c>
      <c r="AS13" s="412"/>
      <c r="AT13" s="105">
        <v>17</v>
      </c>
      <c r="AU13" s="175">
        <v>1362.0000000000005</v>
      </c>
      <c r="AV13" s="202">
        <v>80.11764705882355</v>
      </c>
      <c r="AW13" s="105">
        <f t="shared" si="7"/>
        <v>1</v>
      </c>
      <c r="AX13" s="412"/>
    </row>
    <row r="14" spans="1:50">
      <c r="A14" s="79"/>
      <c r="B14" s="398"/>
      <c r="C14" s="105">
        <v>8</v>
      </c>
      <c r="D14" s="228" t="s">
        <v>307</v>
      </c>
      <c r="E14" s="175">
        <v>19</v>
      </c>
      <c r="F14" s="105">
        <v>1300</v>
      </c>
      <c r="G14" s="202">
        <v>68.421052631578945</v>
      </c>
      <c r="H14" s="385"/>
      <c r="I14" s="175">
        <f t="shared" si="0"/>
        <v>19</v>
      </c>
      <c r="J14" s="175">
        <f t="shared" si="0"/>
        <v>1082.1429540608644</v>
      </c>
      <c r="K14" s="202">
        <f t="shared" si="0"/>
        <v>56.954892318992862</v>
      </c>
      <c r="L14" s="385"/>
      <c r="M14" s="203">
        <f>RANK(K14, K$7:$K$21)</f>
        <v>8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>
        <f>IFERROR(VLOOKUP($D14,[2]晉欣4度C0801!$D$5:$AD$9999,10,0),"")</f>
        <v>19</v>
      </c>
      <c r="AF14" s="175">
        <f>IFERROR(VLOOKUP($D14,[2]晉欣4度C0801!$D$5:$AD$9999,11,0),"")</f>
        <v>1065.4545454545455</v>
      </c>
      <c r="AG14" s="202">
        <f>IFERROR(VLOOKUP($D14,[2]晉欣4度C0801!$D$5:$AD$9999,12,0),"")</f>
        <v>56.076555023923447</v>
      </c>
      <c r="AH14" s="105">
        <f t="shared" si="4"/>
        <v>8</v>
      </c>
      <c r="AI14" s="412"/>
      <c r="AJ14" s="105">
        <v>19</v>
      </c>
      <c r="AK14" s="175">
        <v>1059.4029850746269</v>
      </c>
      <c r="AL14" s="202">
        <v>55.758051846032998</v>
      </c>
      <c r="AM14" s="105">
        <f t="shared" si="5"/>
        <v>8</v>
      </c>
      <c r="AN14" s="412"/>
      <c r="AO14" s="105">
        <v>19</v>
      </c>
      <c r="AP14" s="175">
        <v>1105.7142857142858</v>
      </c>
      <c r="AQ14" s="202">
        <v>58.195488721804516</v>
      </c>
      <c r="AR14" s="105">
        <f t="shared" si="6"/>
        <v>8</v>
      </c>
      <c r="AS14" s="412"/>
      <c r="AT14" s="105">
        <v>19</v>
      </c>
      <c r="AU14" s="175">
        <v>1097.9999999999993</v>
      </c>
      <c r="AV14" s="202">
        <v>57.789473684210492</v>
      </c>
      <c r="AW14" s="105">
        <f t="shared" si="7"/>
        <v>8</v>
      </c>
      <c r="AX14" s="412"/>
    </row>
    <row r="15" spans="1:50">
      <c r="A15" s="79"/>
      <c r="B15" s="398"/>
      <c r="C15" s="105">
        <v>9</v>
      </c>
      <c r="D15" s="228"/>
      <c r="E15" s="175"/>
      <c r="F15" s="105"/>
      <c r="G15" s="202"/>
      <c r="H15" s="385"/>
      <c r="I15" s="175"/>
      <c r="J15" s="175"/>
      <c r="K15" s="202"/>
      <c r="L15" s="385"/>
      <c r="M15" s="203" t="e">
        <f>RANK(K15, K$7:$K$21)</f>
        <v>#N/A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/>
      <c r="AF15" s="175"/>
      <c r="AG15" s="202"/>
      <c r="AH15" s="105" t="e">
        <f t="shared" si="4"/>
        <v>#N/A</v>
      </c>
      <c r="AI15" s="412"/>
      <c r="AJ15" s="105"/>
      <c r="AK15" s="175"/>
      <c r="AL15" s="202"/>
      <c r="AM15" s="105" t="e">
        <f t="shared" si="5"/>
        <v>#N/A</v>
      </c>
      <c r="AN15" s="412"/>
      <c r="AO15" s="105"/>
      <c r="AP15" s="175"/>
      <c r="AQ15" s="202"/>
      <c r="AR15" s="105" t="e">
        <f t="shared" si="6"/>
        <v>#N/A</v>
      </c>
      <c r="AS15" s="412"/>
      <c r="AT15" s="105"/>
      <c r="AU15" s="175"/>
      <c r="AV15" s="202"/>
      <c r="AW15" s="105" t="e">
        <f t="shared" si="7"/>
        <v>#N/A</v>
      </c>
      <c r="AX15" s="412"/>
    </row>
    <row r="16" spans="1:50">
      <c r="A16" s="79"/>
      <c r="B16" s="398"/>
      <c r="C16" s="105">
        <v>10</v>
      </c>
      <c r="D16" s="228"/>
      <c r="E16" s="175"/>
      <c r="F16" s="105"/>
      <c r="G16" s="202"/>
      <c r="H16" s="385"/>
      <c r="I16" s="175"/>
      <c r="J16" s="175"/>
      <c r="K16" s="202"/>
      <c r="L16" s="385"/>
      <c r="M16" s="203" t="e">
        <f>RANK(K16, K$7:$K$21)</f>
        <v>#N/A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/>
      <c r="AF16" s="175"/>
      <c r="AG16" s="202"/>
      <c r="AH16" s="105" t="e">
        <f t="shared" si="4"/>
        <v>#N/A</v>
      </c>
      <c r="AI16" s="412"/>
      <c r="AJ16" s="105"/>
      <c r="AK16" s="175"/>
      <c r="AL16" s="202"/>
      <c r="AM16" s="105" t="e">
        <f t="shared" si="5"/>
        <v>#N/A</v>
      </c>
      <c r="AN16" s="412"/>
      <c r="AO16" s="105"/>
      <c r="AP16" s="175"/>
      <c r="AQ16" s="202"/>
      <c r="AR16" s="105" t="e">
        <f t="shared" si="6"/>
        <v>#N/A</v>
      </c>
      <c r="AS16" s="412"/>
      <c r="AT16" s="105"/>
      <c r="AU16" s="175"/>
      <c r="AV16" s="202"/>
      <c r="AW16" s="105" t="e">
        <f t="shared" si="7"/>
        <v>#N/A</v>
      </c>
      <c r="AX16" s="412"/>
    </row>
    <row r="17" spans="2:50">
      <c r="B17" s="398"/>
      <c r="C17" s="105">
        <v>11</v>
      </c>
      <c r="D17" s="228"/>
      <c r="E17" s="175"/>
      <c r="F17" s="105"/>
      <c r="G17" s="202"/>
      <c r="H17" s="385"/>
      <c r="I17" s="105"/>
      <c r="J17" s="105"/>
      <c r="K17" s="105"/>
      <c r="L17" s="385"/>
      <c r="M17" s="203" t="e">
        <f>RANK(K17, K$7:$K$21)</f>
        <v>#N/A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/>
      <c r="AF17" s="175"/>
      <c r="AG17" s="202"/>
      <c r="AH17" s="105" t="e">
        <f t="shared" si="4"/>
        <v>#N/A</v>
      </c>
      <c r="AI17" s="412"/>
      <c r="AJ17" s="105"/>
      <c r="AK17" s="105"/>
      <c r="AL17" s="105"/>
      <c r="AM17" s="105" t="e">
        <f t="shared" si="5"/>
        <v>#N/A</v>
      </c>
      <c r="AN17" s="412"/>
      <c r="AO17" s="105"/>
      <c r="AP17" s="105"/>
      <c r="AQ17" s="105"/>
      <c r="AR17" s="105" t="e">
        <f t="shared" si="6"/>
        <v>#N/A</v>
      </c>
      <c r="AS17" s="412"/>
      <c r="AT17" s="105"/>
      <c r="AU17" s="105"/>
      <c r="AV17" s="105"/>
      <c r="AW17" s="105" t="e">
        <f t="shared" si="7"/>
        <v>#N/A</v>
      </c>
      <c r="AX17" s="412"/>
    </row>
    <row r="18" spans="2:50">
      <c r="B18" s="398"/>
      <c r="C18" s="105">
        <v>12</v>
      </c>
      <c r="D18" s="228"/>
      <c r="E18" s="175"/>
      <c r="F18" s="105"/>
      <c r="G18" s="202"/>
      <c r="H18" s="385"/>
      <c r="I18" s="105"/>
      <c r="J18" s="105"/>
      <c r="K18" s="105"/>
      <c r="L18" s="385"/>
      <c r="M18" s="203" t="e">
        <f>RANK(K18, K$7:$K$21)</f>
        <v>#N/A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/>
      <c r="AF18" s="175"/>
      <c r="AG18" s="202"/>
      <c r="AH18" s="105" t="e">
        <f t="shared" si="4"/>
        <v>#N/A</v>
      </c>
      <c r="AI18" s="412"/>
      <c r="AJ18" s="105"/>
      <c r="AK18" s="105"/>
      <c r="AL18" s="105"/>
      <c r="AM18" s="105" t="e">
        <f t="shared" si="5"/>
        <v>#N/A</v>
      </c>
      <c r="AN18" s="412"/>
      <c r="AO18" s="105"/>
      <c r="AP18" s="105"/>
      <c r="AQ18" s="105"/>
      <c r="AR18" s="105" t="e">
        <f t="shared" si="6"/>
        <v>#N/A</v>
      </c>
      <c r="AS18" s="412"/>
      <c r="AT18" s="105"/>
      <c r="AU18" s="105"/>
      <c r="AV18" s="105"/>
      <c r="AW18" s="105" t="e">
        <f t="shared" si="7"/>
        <v>#N/A</v>
      </c>
      <c r="AX18" s="412"/>
    </row>
    <row r="19" spans="2:50">
      <c r="B19" s="398"/>
      <c r="C19" s="105">
        <v>13</v>
      </c>
      <c r="D19" s="228"/>
      <c r="E19" s="175"/>
      <c r="F19" s="105"/>
      <c r="G19" s="202"/>
      <c r="H19" s="385"/>
      <c r="I19" s="105"/>
      <c r="J19" s="105"/>
      <c r="K19" s="105"/>
      <c r="L19" s="385"/>
      <c r="M19" s="203" t="e">
        <f>RANK(K19, K$7:$K$21)</f>
        <v>#N/A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/>
      <c r="AF19" s="175"/>
      <c r="AG19" s="202"/>
      <c r="AH19" s="105" t="e">
        <f t="shared" si="4"/>
        <v>#N/A</v>
      </c>
      <c r="AI19" s="412"/>
      <c r="AJ19" s="105"/>
      <c r="AK19" s="105"/>
      <c r="AL19" s="105"/>
      <c r="AM19" s="105" t="e">
        <f t="shared" si="5"/>
        <v>#N/A</v>
      </c>
      <c r="AN19" s="412"/>
      <c r="AO19" s="105"/>
      <c r="AP19" s="105"/>
      <c r="AQ19" s="105"/>
      <c r="AR19" s="105" t="e">
        <f t="shared" si="6"/>
        <v>#N/A</v>
      </c>
      <c r="AS19" s="412"/>
      <c r="AT19" s="105"/>
      <c r="AU19" s="105"/>
      <c r="AV19" s="105"/>
      <c r="AW19" s="105" t="e">
        <f t="shared" si="7"/>
        <v>#N/A</v>
      </c>
      <c r="AX19" s="412"/>
    </row>
    <row r="20" spans="2:50">
      <c r="B20" s="398"/>
      <c r="C20" s="105">
        <v>14</v>
      </c>
      <c r="D20" s="228"/>
      <c r="E20" s="175"/>
      <c r="F20" s="105"/>
      <c r="G20" s="202"/>
      <c r="H20" s="385"/>
      <c r="I20" s="105"/>
      <c r="J20" s="105"/>
      <c r="K20" s="105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202"/>
      <c r="AH20" s="105" t="e">
        <f t="shared" si="4"/>
        <v>#N/A</v>
      </c>
      <c r="AI20" s="412"/>
      <c r="AJ20" s="105"/>
      <c r="AK20" s="105"/>
      <c r="AL20" s="105"/>
      <c r="AM20" s="105" t="e">
        <f t="shared" si="5"/>
        <v>#N/A</v>
      </c>
      <c r="AN20" s="412"/>
      <c r="AO20" s="105"/>
      <c r="AP20" s="105"/>
      <c r="AQ20" s="105"/>
      <c r="AR20" s="105" t="e">
        <f t="shared" si="6"/>
        <v>#N/A</v>
      </c>
      <c r="AS20" s="412"/>
      <c r="AT20" s="105"/>
      <c r="AU20" s="105"/>
      <c r="AV20" s="105"/>
      <c r="AW20" s="105" t="e">
        <f t="shared" si="7"/>
        <v>#N/A</v>
      </c>
      <c r="AX20" s="412"/>
    </row>
    <row r="21" spans="2:50">
      <c r="B21" s="398"/>
      <c r="C21" s="105">
        <v>15</v>
      </c>
      <c r="D21" s="228"/>
      <c r="E21" s="175"/>
      <c r="F21" s="105"/>
      <c r="G21" s="202"/>
      <c r="H21" s="386"/>
      <c r="I21" s="105"/>
      <c r="J21" s="105"/>
      <c r="K21" s="105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202"/>
      <c r="AH21" s="105" t="e">
        <f t="shared" si="4"/>
        <v>#N/A</v>
      </c>
      <c r="AI21" s="412"/>
      <c r="AJ21" s="105"/>
      <c r="AK21" s="105"/>
      <c r="AL21" s="105"/>
      <c r="AM21" s="105" t="e">
        <f t="shared" si="5"/>
        <v>#N/A</v>
      </c>
      <c r="AN21" s="412"/>
      <c r="AO21" s="105"/>
      <c r="AP21" s="105"/>
      <c r="AQ21" s="105"/>
      <c r="AR21" s="105" t="e">
        <f t="shared" si="6"/>
        <v>#N/A</v>
      </c>
      <c r="AS21" s="412"/>
      <c r="AT21" s="105"/>
      <c r="AU21" s="105"/>
      <c r="AV21" s="105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387" t="s">
        <v>299</v>
      </c>
      <c r="C27" s="105">
        <v>1</v>
      </c>
      <c r="D27" s="228" t="s">
        <v>300</v>
      </c>
      <c r="E27" s="175">
        <v>19</v>
      </c>
      <c r="F27" s="105">
        <v>1636</v>
      </c>
      <c r="G27" s="202">
        <v>86.10526315789474</v>
      </c>
      <c r="H27" s="384">
        <f>AVERAGE(G27:G41)</f>
        <v>84.889791881664948</v>
      </c>
      <c r="I27" s="175">
        <f>AVERAGE(P27,U27,Z27,AE27,AJ27,AO27,AT27)</f>
        <v>19</v>
      </c>
      <c r="J27" s="175">
        <f>AVERAGE(Q27,V27,AA27,AF27,AK27,AP27,AU27)</f>
        <v>1385.3521099215873</v>
      </c>
      <c r="K27" s="202">
        <f>AVERAGE(R27,W27,AB27,AG27,AL27,AQ27,AV27)</f>
        <v>72.913268943241434</v>
      </c>
      <c r="L27" s="384">
        <f>IFERROR(AVERAGE(K27:K41),"-")</f>
        <v>71.497525108276761</v>
      </c>
      <c r="M27" s="203">
        <f>RANK(K27, K$27:$K$41)</f>
        <v>5</v>
      </c>
      <c r="N27" s="387"/>
      <c r="O27" s="387"/>
      <c r="P27" s="175">
        <v>19</v>
      </c>
      <c r="Q27" s="175">
        <v>1379.4444444444448</v>
      </c>
      <c r="R27" s="175">
        <v>72.602339181286567</v>
      </c>
      <c r="S27" s="105">
        <f>RANK(R27, R$27:R$41)</f>
        <v>5</v>
      </c>
      <c r="T27" s="412">
        <f>AVERAGE(R27:R41)</f>
        <v>72.217140544601079</v>
      </c>
      <c r="U27" s="175">
        <v>19</v>
      </c>
      <c r="V27" s="175">
        <v>1378.3333333333337</v>
      </c>
      <c r="W27" s="175">
        <v>72.543859649122822</v>
      </c>
      <c r="X27" s="105">
        <f>RANK(W27, W$27:W$41)</f>
        <v>5</v>
      </c>
      <c r="Y27" s="412">
        <f>AVERAGE(W27:W41)</f>
        <v>72.243570613556301</v>
      </c>
      <c r="Z27" s="175">
        <v>19</v>
      </c>
      <c r="AA27" s="175">
        <v>1356.2264150943399</v>
      </c>
      <c r="AB27" s="175">
        <v>71.380337636544212</v>
      </c>
      <c r="AC27" s="105">
        <f>RANK(AB27, AB$27:AB$41)</f>
        <v>5</v>
      </c>
      <c r="AD27" s="412">
        <f>AVERAGE(AB27:AB41)</f>
        <v>73.427899927175758</v>
      </c>
      <c r="AE27" s="175">
        <v>19</v>
      </c>
      <c r="AF27" s="175">
        <v>1411.7647058823534</v>
      </c>
      <c r="AG27" s="175">
        <v>74.303405572755437</v>
      </c>
      <c r="AH27" s="105">
        <f>RANK(AG27, AG$27:AG$41)</f>
        <v>4</v>
      </c>
      <c r="AI27" s="412">
        <f>AVERAGE(AG27:AG41)</f>
        <v>73.392959642201703</v>
      </c>
      <c r="AJ27" s="175">
        <v>19</v>
      </c>
      <c r="AK27" s="175">
        <v>1382.1428571428573</v>
      </c>
      <c r="AL27" s="175">
        <v>72.74436090225565</v>
      </c>
      <c r="AM27" s="105">
        <f>RANK(AL27, AL$27:AL$41)</f>
        <v>5</v>
      </c>
      <c r="AN27" s="412">
        <f>AVERAGE(AL27:AL41)</f>
        <v>73.244398728419654</v>
      </c>
      <c r="AO27" s="175">
        <v>19</v>
      </c>
      <c r="AP27" s="175">
        <v>1387.5728155339807</v>
      </c>
      <c r="AQ27" s="175">
        <v>73.030148185998982</v>
      </c>
      <c r="AR27" s="105">
        <f>RANK(AQ27, AQ$27:AQ$41)</f>
        <v>5</v>
      </c>
      <c r="AS27" s="412">
        <f>AVERAGE(AQ27:AQ41)</f>
        <v>72.863033449675925</v>
      </c>
      <c r="AT27" s="175">
        <v>19</v>
      </c>
      <c r="AU27" s="175">
        <v>1401.9801980198019</v>
      </c>
      <c r="AV27" s="175">
        <v>73.788431474726423</v>
      </c>
      <c r="AW27" s="105">
        <f>RANK(AV27, AV$27:AV$41)</f>
        <v>4</v>
      </c>
      <c r="AX27" s="412">
        <f>AVERAGE(AV27:AV41)</f>
        <v>73.273518656051309</v>
      </c>
    </row>
    <row r="28" spans="2:50">
      <c r="B28" s="398"/>
      <c r="C28" s="105">
        <v>2</v>
      </c>
      <c r="D28" s="228" t="s">
        <v>301</v>
      </c>
      <c r="E28" s="175">
        <v>19</v>
      </c>
      <c r="F28" s="105">
        <v>1565</v>
      </c>
      <c r="G28" s="202">
        <v>82.368421052631575</v>
      </c>
      <c r="H28" s="385"/>
      <c r="I28" s="175">
        <f t="shared" ref="I28:K34" si="8">AVERAGE(P28,U28,Z28,AE28,AJ28,AO28,AT28)</f>
        <v>19</v>
      </c>
      <c r="J28" s="175">
        <f t="shared" si="8"/>
        <v>1283.5541826916103</v>
      </c>
      <c r="K28" s="202">
        <f t="shared" si="8"/>
        <v>67.555483299558432</v>
      </c>
      <c r="L28" s="385"/>
      <c r="M28" s="203">
        <f>RANK(K28, K$27:$K$41)</f>
        <v>6</v>
      </c>
      <c r="N28" s="387"/>
      <c r="O28" s="387"/>
      <c r="P28" s="175">
        <v>19</v>
      </c>
      <c r="Q28" s="175">
        <v>1313.0232558139533</v>
      </c>
      <c r="R28" s="175">
        <v>69.106487148102801</v>
      </c>
      <c r="S28" s="105">
        <f t="shared" ref="S28:S41" si="9">RANK(R28, R$27:R$41)</f>
        <v>6</v>
      </c>
      <c r="T28" s="412"/>
      <c r="U28" s="175">
        <v>19</v>
      </c>
      <c r="V28" s="175">
        <v>1296.2790697674418</v>
      </c>
      <c r="W28" s="175">
        <v>68.225214198286409</v>
      </c>
      <c r="X28" s="105">
        <f t="shared" ref="X28:X41" si="10">RANK(W28, W$27:W$41)</f>
        <v>7</v>
      </c>
      <c r="Y28" s="412"/>
      <c r="Z28" s="175">
        <v>19</v>
      </c>
      <c r="AA28" s="175">
        <v>1265.853658536585</v>
      </c>
      <c r="AB28" s="175">
        <v>66.623876765083423</v>
      </c>
      <c r="AC28" s="105">
        <f t="shared" ref="AC28:AC41" si="11">RANK(AB28, AB$27:AB$41)</f>
        <v>7</v>
      </c>
      <c r="AD28" s="412"/>
      <c r="AE28" s="175">
        <v>19</v>
      </c>
      <c r="AF28" s="175">
        <v>1295.6756756756747</v>
      </c>
      <c r="AG28" s="175">
        <v>68.193456614509202</v>
      </c>
      <c r="AH28" s="105">
        <f t="shared" ref="AH28:AH41" si="12">RANK(AG28, AG$27:AG$41)</f>
        <v>6</v>
      </c>
      <c r="AI28" s="412"/>
      <c r="AJ28" s="175">
        <v>19</v>
      </c>
      <c r="AK28" s="175">
        <v>1288.3333333333321</v>
      </c>
      <c r="AL28" s="175">
        <v>67.807017543859587</v>
      </c>
      <c r="AM28" s="105">
        <f t="shared" ref="AM28:AM41" si="13">RANK(AL28, AL$27:AL$41)</f>
        <v>6</v>
      </c>
      <c r="AN28" s="412"/>
      <c r="AO28" s="175">
        <v>19</v>
      </c>
      <c r="AP28" s="175">
        <v>1259.9999999999995</v>
      </c>
      <c r="AQ28" s="175">
        <v>66.315789473684191</v>
      </c>
      <c r="AR28" s="105">
        <f t="shared" ref="AR28:AR41" si="14">RANK(AQ28, AQ$27:AQ$41)</f>
        <v>7</v>
      </c>
      <c r="AS28" s="412"/>
      <c r="AT28" s="175">
        <v>19</v>
      </c>
      <c r="AU28" s="175">
        <v>1265.7142857142853</v>
      </c>
      <c r="AV28" s="175">
        <v>66.61654135338344</v>
      </c>
      <c r="AW28" s="105">
        <f t="shared" ref="AW28:AW41" si="15">RANK(AV28, AV$27:AV$41)</f>
        <v>6</v>
      </c>
      <c r="AX28" s="412"/>
    </row>
    <row r="29" spans="2:50">
      <c r="B29" s="398"/>
      <c r="C29" s="105">
        <v>3</v>
      </c>
      <c r="D29" s="228" t="s">
        <v>302</v>
      </c>
      <c r="E29" s="175">
        <v>18</v>
      </c>
      <c r="F29" s="105">
        <v>1636</v>
      </c>
      <c r="G29" s="202">
        <v>90.888888888888886</v>
      </c>
      <c r="H29" s="385"/>
      <c r="I29" s="175">
        <f t="shared" si="8"/>
        <v>18</v>
      </c>
      <c r="J29" s="175">
        <f t="shared" si="8"/>
        <v>1353.6128261796059</v>
      </c>
      <c r="K29" s="202">
        <f t="shared" si="8"/>
        <v>75.200712565533649</v>
      </c>
      <c r="L29" s="385"/>
      <c r="M29" s="203">
        <f>RANK(K29, K$27:$K$41)</f>
        <v>4</v>
      </c>
      <c r="N29" s="387"/>
      <c r="O29" s="387"/>
      <c r="P29" s="175">
        <v>18</v>
      </c>
      <c r="Q29" s="175">
        <v>1335.3435114503816</v>
      </c>
      <c r="R29" s="175">
        <v>74.185750636132312</v>
      </c>
      <c r="S29" s="105">
        <f t="shared" si="9"/>
        <v>4</v>
      </c>
      <c r="T29" s="412"/>
      <c r="U29" s="175">
        <v>18</v>
      </c>
      <c r="V29" s="175">
        <v>1364.8372093023252</v>
      </c>
      <c r="W29" s="175">
        <v>75.824289405684738</v>
      </c>
      <c r="X29" s="105">
        <f t="shared" si="10"/>
        <v>4</v>
      </c>
      <c r="Y29" s="412"/>
      <c r="Z29" s="175">
        <v>18</v>
      </c>
      <c r="AA29" s="175">
        <v>1371.7985611510792</v>
      </c>
      <c r="AB29" s="175">
        <v>76.211031175059958</v>
      </c>
      <c r="AC29" s="105">
        <f t="shared" si="11"/>
        <v>3</v>
      </c>
      <c r="AD29" s="412"/>
      <c r="AE29" s="175">
        <v>18</v>
      </c>
      <c r="AF29" s="175">
        <v>1366.8613138686133</v>
      </c>
      <c r="AG29" s="175">
        <v>75.936739659367404</v>
      </c>
      <c r="AH29" s="105">
        <f t="shared" si="12"/>
        <v>3</v>
      </c>
      <c r="AI29" s="412"/>
      <c r="AJ29" s="175">
        <v>18</v>
      </c>
      <c r="AK29" s="175">
        <v>1319.0977443609022</v>
      </c>
      <c r="AL29" s="175">
        <v>73.283208020050125</v>
      </c>
      <c r="AM29" s="105">
        <f t="shared" si="13"/>
        <v>4</v>
      </c>
      <c r="AN29" s="412"/>
      <c r="AO29" s="175">
        <v>18</v>
      </c>
      <c r="AP29" s="175">
        <v>1353.1578947368423</v>
      </c>
      <c r="AQ29" s="175">
        <v>75.175438596491233</v>
      </c>
      <c r="AR29" s="105">
        <f t="shared" si="14"/>
        <v>3</v>
      </c>
      <c r="AS29" s="412"/>
      <c r="AT29" s="175">
        <v>18</v>
      </c>
      <c r="AU29" s="175">
        <v>1364.1935483870971</v>
      </c>
      <c r="AV29" s="175">
        <v>75.788530465949833</v>
      </c>
      <c r="AW29" s="105">
        <f t="shared" si="15"/>
        <v>3</v>
      </c>
      <c r="AX29" s="412"/>
    </row>
    <row r="30" spans="2:50">
      <c r="B30" s="398"/>
      <c r="C30" s="105">
        <v>4</v>
      </c>
      <c r="D30" s="228" t="s">
        <v>303</v>
      </c>
      <c r="E30" s="175">
        <v>18</v>
      </c>
      <c r="F30" s="105">
        <v>1636</v>
      </c>
      <c r="G30" s="202">
        <v>90.888888888888886</v>
      </c>
      <c r="H30" s="385"/>
      <c r="I30" s="175">
        <f t="shared" si="8"/>
        <v>18</v>
      </c>
      <c r="J30" s="175">
        <f t="shared" si="8"/>
        <v>1393.7264261633184</v>
      </c>
      <c r="K30" s="202">
        <f t="shared" si="8"/>
        <v>77.429245897962119</v>
      </c>
      <c r="L30" s="385"/>
      <c r="M30" s="203">
        <f>RANK(K30, K$27:$K$41)</f>
        <v>2</v>
      </c>
      <c r="N30" s="387"/>
      <c r="O30" s="387"/>
      <c r="P30" s="175">
        <v>18</v>
      </c>
      <c r="Q30" s="175">
        <v>1387.4582278481014</v>
      </c>
      <c r="R30" s="175">
        <v>77.081012658227849</v>
      </c>
      <c r="S30" s="105">
        <f t="shared" si="9"/>
        <v>3</v>
      </c>
      <c r="T30" s="412"/>
      <c r="U30" s="175">
        <v>18</v>
      </c>
      <c r="V30" s="175">
        <v>1379.4666666666667</v>
      </c>
      <c r="W30" s="175">
        <v>76.637037037037032</v>
      </c>
      <c r="X30" s="105">
        <f t="shared" si="10"/>
        <v>2</v>
      </c>
      <c r="Y30" s="412"/>
      <c r="Z30" s="175">
        <v>18</v>
      </c>
      <c r="AA30" s="175">
        <v>1384.127388535032</v>
      </c>
      <c r="AB30" s="175">
        <v>76.895966029723994</v>
      </c>
      <c r="AC30" s="105">
        <f t="shared" si="11"/>
        <v>2</v>
      </c>
      <c r="AD30" s="412"/>
      <c r="AE30" s="175">
        <v>18</v>
      </c>
      <c r="AF30" s="175">
        <v>1379.9999999999998</v>
      </c>
      <c r="AG30" s="175">
        <v>76.666666666666657</v>
      </c>
      <c r="AH30" s="105">
        <f t="shared" si="12"/>
        <v>2</v>
      </c>
      <c r="AI30" s="412"/>
      <c r="AJ30" s="175">
        <v>18</v>
      </c>
      <c r="AK30" s="175">
        <v>1390.2958579881654</v>
      </c>
      <c r="AL30" s="175">
        <v>77.238658777120293</v>
      </c>
      <c r="AM30" s="105">
        <f t="shared" si="13"/>
        <v>2</v>
      </c>
      <c r="AN30" s="412"/>
      <c r="AO30" s="175">
        <v>18</v>
      </c>
      <c r="AP30" s="175">
        <v>1417.3684210526312</v>
      </c>
      <c r="AQ30" s="175">
        <v>78.742690058479511</v>
      </c>
      <c r="AR30" s="105">
        <f t="shared" si="14"/>
        <v>1</v>
      </c>
      <c r="AS30" s="412"/>
      <c r="AT30" s="175">
        <v>18</v>
      </c>
      <c r="AU30" s="175">
        <v>1417.3684210526312</v>
      </c>
      <c r="AV30" s="175">
        <v>78.742690058479511</v>
      </c>
      <c r="AW30" s="105">
        <f t="shared" si="15"/>
        <v>1</v>
      </c>
      <c r="AX30" s="412"/>
    </row>
    <row r="31" spans="2:50">
      <c r="B31" s="398"/>
      <c r="C31" s="105">
        <v>5</v>
      </c>
      <c r="D31" s="228" t="s">
        <v>304</v>
      </c>
      <c r="E31" s="175">
        <v>19</v>
      </c>
      <c r="F31" s="105">
        <v>1636</v>
      </c>
      <c r="G31" s="202">
        <v>86.10526315789474</v>
      </c>
      <c r="H31" s="385"/>
      <c r="I31" s="175">
        <f t="shared" si="8"/>
        <v>19</v>
      </c>
      <c r="J31" s="175">
        <f t="shared" si="8"/>
        <v>1276.8464929895079</v>
      </c>
      <c r="K31" s="202">
        <f t="shared" si="8"/>
        <v>67.202446999447787</v>
      </c>
      <c r="L31" s="385"/>
      <c r="M31" s="203">
        <f>RANK(K31, K$27:$K$41)</f>
        <v>7</v>
      </c>
      <c r="N31" s="387"/>
      <c r="O31" s="387"/>
      <c r="P31" s="175">
        <v>19</v>
      </c>
      <c r="Q31" s="175">
        <v>1265.5999999999999</v>
      </c>
      <c r="R31" s="175">
        <v>66.610526315789471</v>
      </c>
      <c r="S31" s="105">
        <f t="shared" si="9"/>
        <v>7</v>
      </c>
      <c r="T31" s="412"/>
      <c r="U31" s="175">
        <v>19</v>
      </c>
      <c r="V31" s="175">
        <v>1314.9999999999995</v>
      </c>
      <c r="W31" s="175">
        <v>69.210526315789451</v>
      </c>
      <c r="X31" s="105">
        <f t="shared" si="10"/>
        <v>6</v>
      </c>
      <c r="Y31" s="412"/>
      <c r="Z31" s="175">
        <v>19</v>
      </c>
      <c r="AA31" s="175">
        <v>1295.294117647059</v>
      </c>
      <c r="AB31" s="175">
        <v>68.173374613003105</v>
      </c>
      <c r="AC31" s="105">
        <f t="shared" si="11"/>
        <v>6</v>
      </c>
      <c r="AD31" s="412"/>
      <c r="AE31" s="175">
        <v>19</v>
      </c>
      <c r="AF31" s="175">
        <v>1254.8275862068967</v>
      </c>
      <c r="AG31" s="175">
        <v>66.043557168784034</v>
      </c>
      <c r="AH31" s="105">
        <f t="shared" si="12"/>
        <v>7</v>
      </c>
      <c r="AI31" s="412"/>
      <c r="AJ31" s="175">
        <v>19</v>
      </c>
      <c r="AK31" s="175">
        <v>1272.8571428571429</v>
      </c>
      <c r="AL31" s="175">
        <v>66.992481203007515</v>
      </c>
      <c r="AM31" s="105">
        <f t="shared" si="13"/>
        <v>7</v>
      </c>
      <c r="AN31" s="412"/>
      <c r="AO31" s="175">
        <v>19</v>
      </c>
      <c r="AP31" s="175">
        <v>1269.4285714285718</v>
      </c>
      <c r="AQ31" s="175">
        <v>66.812030075187991</v>
      </c>
      <c r="AR31" s="105">
        <f t="shared" si="14"/>
        <v>6</v>
      </c>
      <c r="AS31" s="412"/>
      <c r="AT31" s="175">
        <v>19</v>
      </c>
      <c r="AU31" s="175">
        <v>1264.9180327868855</v>
      </c>
      <c r="AV31" s="175">
        <v>66.574633304572927</v>
      </c>
      <c r="AW31" s="105">
        <f t="shared" si="15"/>
        <v>7</v>
      </c>
      <c r="AX31" s="412"/>
    </row>
    <row r="32" spans="2:50">
      <c r="B32" s="398"/>
      <c r="C32" s="105">
        <v>6</v>
      </c>
      <c r="D32" s="228" t="s">
        <v>305</v>
      </c>
      <c r="E32" s="175">
        <v>19</v>
      </c>
      <c r="F32" s="105">
        <v>1636</v>
      </c>
      <c r="G32" s="202">
        <v>86.10526315789474</v>
      </c>
      <c r="H32" s="385"/>
      <c r="I32" s="175">
        <f t="shared" si="8"/>
        <v>17.428571428571427</v>
      </c>
      <c r="J32" s="175">
        <f t="shared" si="8"/>
        <v>1337.2454544897269</v>
      </c>
      <c r="K32" s="202">
        <f t="shared" si="8"/>
        <v>76.927972296935152</v>
      </c>
      <c r="L32" s="385"/>
      <c r="M32" s="203">
        <f>RANK(K32, K$27:$K$41)</f>
        <v>3</v>
      </c>
      <c r="N32" s="387"/>
      <c r="O32" s="387"/>
      <c r="P32" s="175">
        <v>16</v>
      </c>
      <c r="Q32" s="175">
        <v>1353.5294117647063</v>
      </c>
      <c r="R32" s="175">
        <v>84.595588235294144</v>
      </c>
      <c r="S32" s="105">
        <f t="shared" si="9"/>
        <v>1</v>
      </c>
      <c r="T32" s="412"/>
      <c r="U32" s="175">
        <v>16</v>
      </c>
      <c r="V32" s="175">
        <v>1304.1212121212118</v>
      </c>
      <c r="W32" s="175">
        <v>81.507575757575736</v>
      </c>
      <c r="X32" s="105">
        <f t="shared" si="10"/>
        <v>1</v>
      </c>
      <c r="Y32" s="412"/>
      <c r="Z32" s="175">
        <v>18</v>
      </c>
      <c r="AA32" s="175">
        <v>1354</v>
      </c>
      <c r="AB32" s="175">
        <v>75.222222222222229</v>
      </c>
      <c r="AC32" s="105">
        <f t="shared" si="11"/>
        <v>4</v>
      </c>
      <c r="AD32" s="412"/>
      <c r="AE32" s="175">
        <v>18</v>
      </c>
      <c r="AF32" s="175">
        <v>1334.1509433962265</v>
      </c>
      <c r="AG32" s="175">
        <v>74.119496855345915</v>
      </c>
      <c r="AH32" s="105">
        <f t="shared" si="12"/>
        <v>5</v>
      </c>
      <c r="AI32" s="412"/>
      <c r="AJ32" s="175">
        <v>18</v>
      </c>
      <c r="AK32" s="175">
        <v>1359.6226415094341</v>
      </c>
      <c r="AL32" s="175">
        <v>75.534591194968556</v>
      </c>
      <c r="AM32" s="105">
        <f t="shared" si="13"/>
        <v>3</v>
      </c>
      <c r="AN32" s="412"/>
      <c r="AO32" s="175">
        <v>18</v>
      </c>
      <c r="AP32" s="175">
        <v>1330.375939849624</v>
      </c>
      <c r="AQ32" s="175">
        <v>73.909774436090231</v>
      </c>
      <c r="AR32" s="105">
        <f t="shared" si="14"/>
        <v>4</v>
      </c>
      <c r="AS32" s="412"/>
      <c r="AT32" s="175">
        <v>18</v>
      </c>
      <c r="AU32" s="175">
        <v>1324.9180327868853</v>
      </c>
      <c r="AV32" s="175">
        <v>73.606557377049185</v>
      </c>
      <c r="AW32" s="105">
        <f t="shared" si="15"/>
        <v>5</v>
      </c>
      <c r="AX32" s="412"/>
    </row>
    <row r="33" spans="2:50">
      <c r="B33" s="398"/>
      <c r="C33" s="105">
        <v>7</v>
      </c>
      <c r="D33" s="228" t="s">
        <v>307</v>
      </c>
      <c r="E33" s="175">
        <v>19</v>
      </c>
      <c r="F33" s="105">
        <v>1300</v>
      </c>
      <c r="G33" s="202">
        <v>68.421052631578945</v>
      </c>
      <c r="H33" s="385"/>
      <c r="I33" s="175">
        <f t="shared" si="8"/>
        <v>19</v>
      </c>
      <c r="J33" s="175">
        <f t="shared" si="8"/>
        <v>1082.0995670995671</v>
      </c>
      <c r="K33" s="202">
        <f t="shared" si="8"/>
        <v>56.952608794714052</v>
      </c>
      <c r="L33" s="385"/>
      <c r="M33" s="203">
        <f>RANK(K33, K$27:$K$41)</f>
        <v>8</v>
      </c>
      <c r="N33" s="387"/>
      <c r="O33" s="387"/>
      <c r="P33" s="175">
        <v>19</v>
      </c>
      <c r="Q33" s="175">
        <v>1072.3809523809523</v>
      </c>
      <c r="R33" s="175">
        <v>56.441102756892228</v>
      </c>
      <c r="S33" s="105">
        <f t="shared" si="9"/>
        <v>8</v>
      </c>
      <c r="T33" s="412"/>
      <c r="U33" s="175">
        <v>19</v>
      </c>
      <c r="V33" s="175">
        <v>1091.8181818181818</v>
      </c>
      <c r="W33" s="175">
        <v>57.464114832535884</v>
      </c>
      <c r="X33" s="105">
        <f t="shared" si="10"/>
        <v>8</v>
      </c>
      <c r="Y33" s="412"/>
      <c r="Z33" s="175"/>
      <c r="AA33" s="175"/>
      <c r="AB33" s="175"/>
      <c r="AC33" s="105" t="e">
        <f t="shared" si="11"/>
        <v>#N/A</v>
      </c>
      <c r="AD33" s="412"/>
      <c r="AE33" s="175"/>
      <c r="AF33" s="175"/>
      <c r="AG33" s="175"/>
      <c r="AH33" s="105" t="e">
        <f t="shared" si="12"/>
        <v>#N/A</v>
      </c>
      <c r="AI33" s="412"/>
      <c r="AJ33" s="175"/>
      <c r="AK33" s="175"/>
      <c r="AL33" s="175"/>
      <c r="AM33" s="105" t="e">
        <f t="shared" si="13"/>
        <v>#N/A</v>
      </c>
      <c r="AN33" s="412"/>
      <c r="AO33" s="175"/>
      <c r="AP33" s="175"/>
      <c r="AQ33" s="175"/>
      <c r="AR33" s="105" t="e">
        <f t="shared" si="14"/>
        <v>#N/A</v>
      </c>
      <c r="AS33" s="412"/>
      <c r="AT33" s="175"/>
      <c r="AU33" s="175"/>
      <c r="AV33" s="175"/>
      <c r="AW33" s="105" t="e">
        <f t="shared" si="15"/>
        <v>#N/A</v>
      </c>
      <c r="AX33" s="412"/>
    </row>
    <row r="34" spans="2:50">
      <c r="B34" s="398"/>
      <c r="C34" s="105">
        <v>8</v>
      </c>
      <c r="D34" s="228" t="s">
        <v>306</v>
      </c>
      <c r="E34" s="175">
        <v>17</v>
      </c>
      <c r="F34" s="105">
        <v>1500</v>
      </c>
      <c r="G34" s="202">
        <v>88.235294117647058</v>
      </c>
      <c r="H34" s="385"/>
      <c r="I34" s="175">
        <f t="shared" si="8"/>
        <v>17</v>
      </c>
      <c r="J34" s="175">
        <f t="shared" si="8"/>
        <v>1322.5738551699667</v>
      </c>
      <c r="K34" s="202">
        <f t="shared" si="8"/>
        <v>77.798462068821564</v>
      </c>
      <c r="L34" s="385"/>
      <c r="M34" s="203">
        <f>RANK(K34, K$27:$K$41)</f>
        <v>1</v>
      </c>
      <c r="N34" s="387"/>
      <c r="O34" s="387"/>
      <c r="P34" s="175">
        <v>17</v>
      </c>
      <c r="Q34" s="175">
        <v>1310.9433962264159</v>
      </c>
      <c r="R34" s="175">
        <v>77.114317425083286</v>
      </c>
      <c r="S34" s="105">
        <f t="shared" si="9"/>
        <v>2</v>
      </c>
      <c r="T34" s="412"/>
      <c r="U34" s="175">
        <v>17</v>
      </c>
      <c r="V34" s="175">
        <v>1301.1111111111118</v>
      </c>
      <c r="W34" s="175">
        <v>76.535947712418334</v>
      </c>
      <c r="X34" s="105">
        <f t="shared" si="10"/>
        <v>3</v>
      </c>
      <c r="Y34" s="412"/>
      <c r="Z34" s="175">
        <v>17</v>
      </c>
      <c r="AA34" s="175">
        <v>1351.304347826087</v>
      </c>
      <c r="AB34" s="175">
        <v>79.488491048593346</v>
      </c>
      <c r="AC34" s="105">
        <f t="shared" si="11"/>
        <v>1</v>
      </c>
      <c r="AD34" s="412"/>
      <c r="AE34" s="175">
        <v>17</v>
      </c>
      <c r="AF34" s="175">
        <v>1334.2857142857138</v>
      </c>
      <c r="AG34" s="175">
        <v>78.487394957983156</v>
      </c>
      <c r="AH34" s="105">
        <f t="shared" si="12"/>
        <v>1</v>
      </c>
      <c r="AI34" s="412"/>
      <c r="AJ34" s="175">
        <v>17</v>
      </c>
      <c r="AK34" s="175">
        <v>1344.8780487804875</v>
      </c>
      <c r="AL34" s="175">
        <v>79.110473457675738</v>
      </c>
      <c r="AM34" s="105">
        <f t="shared" si="13"/>
        <v>1</v>
      </c>
      <c r="AN34" s="412"/>
      <c r="AO34" s="175">
        <v>17</v>
      </c>
      <c r="AP34" s="175">
        <v>1292.9411764705887</v>
      </c>
      <c r="AQ34" s="175">
        <v>76.055363321799334</v>
      </c>
      <c r="AR34" s="105">
        <f t="shared" si="14"/>
        <v>2</v>
      </c>
      <c r="AS34" s="412"/>
      <c r="AT34" s="175">
        <v>17</v>
      </c>
      <c r="AU34" s="175">
        <v>1322.5531914893618</v>
      </c>
      <c r="AV34" s="175">
        <v>77.797246558197756</v>
      </c>
      <c r="AW34" s="105">
        <f t="shared" si="15"/>
        <v>2</v>
      </c>
      <c r="AX34" s="412"/>
    </row>
    <row r="35" spans="2:50">
      <c r="B35" s="398"/>
      <c r="C35" s="105">
        <v>9</v>
      </c>
      <c r="D35" s="228"/>
      <c r="E35" s="175"/>
      <c r="F35" s="105"/>
      <c r="G35" s="202"/>
      <c r="H35" s="385"/>
      <c r="I35" s="175"/>
      <c r="J35" s="175"/>
      <c r="K35" s="202"/>
      <c r="L35" s="385"/>
      <c r="M35" s="203" t="e">
        <f>RANK(K35, K$27:$K$41)</f>
        <v>#N/A</v>
      </c>
      <c r="N35" s="387"/>
      <c r="O35" s="387"/>
      <c r="P35" s="175"/>
      <c r="Q35" s="175"/>
      <c r="R35" s="175"/>
      <c r="S35" s="105" t="e">
        <f t="shared" si="9"/>
        <v>#N/A</v>
      </c>
      <c r="T35" s="412"/>
      <c r="U35" s="175"/>
      <c r="V35" s="175"/>
      <c r="W35" s="202"/>
      <c r="X35" s="105" t="e">
        <f t="shared" si="10"/>
        <v>#N/A</v>
      </c>
      <c r="Y35" s="412"/>
      <c r="Z35" s="175"/>
      <c r="AA35" s="175"/>
      <c r="AB35" s="202"/>
      <c r="AC35" s="105" t="e">
        <f t="shared" si="11"/>
        <v>#N/A</v>
      </c>
      <c r="AD35" s="412"/>
      <c r="AE35" s="175"/>
      <c r="AF35" s="175"/>
      <c r="AG35" s="202"/>
      <c r="AH35" s="105" t="e">
        <f t="shared" si="12"/>
        <v>#N/A</v>
      </c>
      <c r="AI35" s="412"/>
      <c r="AJ35" s="175"/>
      <c r="AK35" s="175"/>
      <c r="AL35" s="202"/>
      <c r="AM35" s="105" t="e">
        <f t="shared" si="13"/>
        <v>#N/A</v>
      </c>
      <c r="AN35" s="412"/>
      <c r="AO35" s="175"/>
      <c r="AP35" s="175"/>
      <c r="AQ35" s="202"/>
      <c r="AR35" s="105" t="e">
        <f t="shared" si="14"/>
        <v>#N/A</v>
      </c>
      <c r="AS35" s="412"/>
      <c r="AT35" s="175"/>
      <c r="AU35" s="175"/>
      <c r="AV35" s="202"/>
      <c r="AW35" s="105" t="e">
        <f t="shared" si="15"/>
        <v>#N/A</v>
      </c>
      <c r="AX35" s="412"/>
    </row>
    <row r="36" spans="2:50">
      <c r="B36" s="398"/>
      <c r="C36" s="105">
        <v>10</v>
      </c>
      <c r="D36" s="228"/>
      <c r="E36" s="175"/>
      <c r="F36" s="105"/>
      <c r="G36" s="202"/>
      <c r="H36" s="385"/>
      <c r="I36" s="175"/>
      <c r="J36" s="175"/>
      <c r="K36" s="202"/>
      <c r="L36" s="385"/>
      <c r="M36" s="203" t="e">
        <f>RANK(K36, K$27:$K$41)</f>
        <v>#N/A</v>
      </c>
      <c r="N36" s="387"/>
      <c r="O36" s="387"/>
      <c r="P36" s="175"/>
      <c r="Q36" s="175"/>
      <c r="R36" s="175"/>
      <c r="S36" s="105" t="e">
        <f t="shared" si="9"/>
        <v>#N/A</v>
      </c>
      <c r="T36" s="412"/>
      <c r="U36" s="175"/>
      <c r="V36" s="175"/>
      <c r="W36" s="202"/>
      <c r="X36" s="105" t="e">
        <f t="shared" si="10"/>
        <v>#N/A</v>
      </c>
      <c r="Y36" s="412"/>
      <c r="Z36" s="175"/>
      <c r="AA36" s="175"/>
      <c r="AB36" s="202"/>
      <c r="AC36" s="105" t="e">
        <f t="shared" si="11"/>
        <v>#N/A</v>
      </c>
      <c r="AD36" s="412"/>
      <c r="AE36" s="175"/>
      <c r="AF36" s="175"/>
      <c r="AG36" s="202"/>
      <c r="AH36" s="105" t="e">
        <f t="shared" si="12"/>
        <v>#N/A</v>
      </c>
      <c r="AI36" s="412"/>
      <c r="AJ36" s="175"/>
      <c r="AK36" s="175"/>
      <c r="AL36" s="202"/>
      <c r="AM36" s="105" t="e">
        <f t="shared" si="13"/>
        <v>#N/A</v>
      </c>
      <c r="AN36" s="412"/>
      <c r="AO36" s="175"/>
      <c r="AP36" s="175"/>
      <c r="AQ36" s="202"/>
      <c r="AR36" s="105" t="e">
        <f t="shared" si="14"/>
        <v>#N/A</v>
      </c>
      <c r="AS36" s="412"/>
      <c r="AT36" s="175"/>
      <c r="AU36" s="175"/>
      <c r="AV36" s="202"/>
      <c r="AW36" s="105" t="e">
        <f t="shared" si="15"/>
        <v>#N/A</v>
      </c>
      <c r="AX36" s="412"/>
    </row>
    <row r="37" spans="2:50">
      <c r="B37" s="398"/>
      <c r="C37" s="105">
        <v>11</v>
      </c>
      <c r="D37" s="228"/>
      <c r="E37" s="175"/>
      <c r="F37" s="105"/>
      <c r="G37" s="202"/>
      <c r="H37" s="385"/>
      <c r="I37" s="105"/>
      <c r="J37" s="105"/>
      <c r="K37" s="105"/>
      <c r="L37" s="385"/>
      <c r="M37" s="203" t="e">
        <f>RANK(K37, K$27:$K$41)</f>
        <v>#N/A</v>
      </c>
      <c r="N37" s="387"/>
      <c r="O37" s="387"/>
      <c r="P37" s="175"/>
      <c r="Q37" s="175"/>
      <c r="R37" s="175"/>
      <c r="S37" s="105" t="e">
        <f t="shared" si="9"/>
        <v>#N/A</v>
      </c>
      <c r="T37" s="412"/>
      <c r="U37" s="175"/>
      <c r="V37" s="175"/>
      <c r="W37" s="202"/>
      <c r="X37" s="105" t="e">
        <f t="shared" si="10"/>
        <v>#N/A</v>
      </c>
      <c r="Y37" s="412"/>
      <c r="Z37" s="175"/>
      <c r="AA37" s="175"/>
      <c r="AB37" s="202"/>
      <c r="AC37" s="105" t="e">
        <f t="shared" si="11"/>
        <v>#N/A</v>
      </c>
      <c r="AD37" s="412"/>
      <c r="AE37" s="175"/>
      <c r="AF37" s="175"/>
      <c r="AG37" s="202"/>
      <c r="AH37" s="105" t="e">
        <f t="shared" si="12"/>
        <v>#N/A</v>
      </c>
      <c r="AI37" s="412"/>
      <c r="AJ37" s="175"/>
      <c r="AK37" s="175"/>
      <c r="AL37" s="202"/>
      <c r="AM37" s="105" t="e">
        <f t="shared" si="13"/>
        <v>#N/A</v>
      </c>
      <c r="AN37" s="412"/>
      <c r="AO37" s="175"/>
      <c r="AP37" s="175"/>
      <c r="AQ37" s="202"/>
      <c r="AR37" s="105" t="e">
        <f t="shared" si="14"/>
        <v>#N/A</v>
      </c>
      <c r="AS37" s="412"/>
      <c r="AT37" s="175"/>
      <c r="AU37" s="175"/>
      <c r="AV37" s="202"/>
      <c r="AW37" s="105" t="e">
        <f t="shared" si="15"/>
        <v>#N/A</v>
      </c>
      <c r="AX37" s="412"/>
    </row>
    <row r="38" spans="2:50">
      <c r="B38" s="398"/>
      <c r="C38" s="105">
        <v>12</v>
      </c>
      <c r="D38" s="228"/>
      <c r="E38" s="175"/>
      <c r="F38" s="105"/>
      <c r="G38" s="202"/>
      <c r="H38" s="385"/>
      <c r="I38" s="105"/>
      <c r="J38" s="105"/>
      <c r="K38" s="105"/>
      <c r="L38" s="385"/>
      <c r="M38" s="203" t="e">
        <f>RANK(K38, K$27:$K$41)</f>
        <v>#N/A</v>
      </c>
      <c r="N38" s="387"/>
      <c r="O38" s="387"/>
      <c r="P38" s="175"/>
      <c r="Q38" s="175"/>
      <c r="R38" s="175"/>
      <c r="S38" s="105" t="e">
        <f t="shared" si="9"/>
        <v>#N/A</v>
      </c>
      <c r="T38" s="412"/>
      <c r="U38" s="175"/>
      <c r="V38" s="175"/>
      <c r="W38" s="202"/>
      <c r="X38" s="105" t="e">
        <f t="shared" si="10"/>
        <v>#N/A</v>
      </c>
      <c r="Y38" s="412"/>
      <c r="Z38" s="175"/>
      <c r="AA38" s="175"/>
      <c r="AB38" s="202"/>
      <c r="AC38" s="105" t="e">
        <f t="shared" si="11"/>
        <v>#N/A</v>
      </c>
      <c r="AD38" s="412"/>
      <c r="AE38" s="175"/>
      <c r="AF38" s="175"/>
      <c r="AG38" s="202"/>
      <c r="AH38" s="105" t="e">
        <f t="shared" si="12"/>
        <v>#N/A</v>
      </c>
      <c r="AI38" s="412"/>
      <c r="AJ38" s="175"/>
      <c r="AK38" s="175"/>
      <c r="AL38" s="202"/>
      <c r="AM38" s="105" t="e">
        <f t="shared" si="13"/>
        <v>#N/A</v>
      </c>
      <c r="AN38" s="412"/>
      <c r="AO38" s="175"/>
      <c r="AP38" s="175"/>
      <c r="AQ38" s="202"/>
      <c r="AR38" s="105" t="e">
        <f t="shared" si="14"/>
        <v>#N/A</v>
      </c>
      <c r="AS38" s="412"/>
      <c r="AT38" s="175"/>
      <c r="AU38" s="175"/>
      <c r="AV38" s="202"/>
      <c r="AW38" s="105" t="e">
        <f t="shared" si="15"/>
        <v>#N/A</v>
      </c>
      <c r="AX38" s="412"/>
    </row>
    <row r="39" spans="2:50">
      <c r="B39" s="398"/>
      <c r="C39" s="105">
        <v>13</v>
      </c>
      <c r="D39" s="228"/>
      <c r="E39" s="175"/>
      <c r="F39" s="105"/>
      <c r="G39" s="202"/>
      <c r="H39" s="385"/>
      <c r="I39" s="105"/>
      <c r="J39" s="105"/>
      <c r="K39" s="105"/>
      <c r="L39" s="385"/>
      <c r="M39" s="203" t="e">
        <f>RANK(K39, K$27:$K$41)</f>
        <v>#N/A</v>
      </c>
      <c r="N39" s="387"/>
      <c r="O39" s="387"/>
      <c r="P39" s="175"/>
      <c r="Q39" s="175"/>
      <c r="R39" s="175"/>
      <c r="S39" s="105" t="e">
        <f t="shared" si="9"/>
        <v>#N/A</v>
      </c>
      <c r="T39" s="412"/>
      <c r="U39" s="175"/>
      <c r="V39" s="175"/>
      <c r="W39" s="202"/>
      <c r="X39" s="105" t="e">
        <f t="shared" si="10"/>
        <v>#N/A</v>
      </c>
      <c r="Y39" s="412"/>
      <c r="Z39" s="175"/>
      <c r="AA39" s="175"/>
      <c r="AB39" s="202"/>
      <c r="AC39" s="105" t="e">
        <f t="shared" si="11"/>
        <v>#N/A</v>
      </c>
      <c r="AD39" s="412"/>
      <c r="AE39" s="175"/>
      <c r="AF39" s="175"/>
      <c r="AG39" s="202"/>
      <c r="AH39" s="105" t="e">
        <f t="shared" si="12"/>
        <v>#N/A</v>
      </c>
      <c r="AI39" s="412"/>
      <c r="AJ39" s="175"/>
      <c r="AK39" s="175"/>
      <c r="AL39" s="202"/>
      <c r="AM39" s="105" t="e">
        <f t="shared" si="13"/>
        <v>#N/A</v>
      </c>
      <c r="AN39" s="412"/>
      <c r="AO39" s="175"/>
      <c r="AP39" s="175"/>
      <c r="AQ39" s="202"/>
      <c r="AR39" s="105" t="e">
        <f t="shared" si="14"/>
        <v>#N/A</v>
      </c>
      <c r="AS39" s="412"/>
      <c r="AT39" s="175"/>
      <c r="AU39" s="175"/>
      <c r="AV39" s="202"/>
      <c r="AW39" s="105" t="e">
        <f t="shared" si="15"/>
        <v>#N/A</v>
      </c>
      <c r="AX39" s="412"/>
    </row>
    <row r="40" spans="2:50">
      <c r="B40" s="398"/>
      <c r="C40" s="105">
        <v>14</v>
      </c>
      <c r="D40" s="228"/>
      <c r="E40" s="175"/>
      <c r="F40" s="105"/>
      <c r="G40" s="202"/>
      <c r="H40" s="385"/>
      <c r="I40" s="105"/>
      <c r="J40" s="105"/>
      <c r="K40" s="105"/>
      <c r="L40" s="385"/>
      <c r="M40" s="203" t="e">
        <f>RANK(K40, K$27:$K$41)</f>
        <v>#N/A</v>
      </c>
      <c r="N40" s="387"/>
      <c r="O40" s="387"/>
      <c r="P40" s="175"/>
      <c r="Q40" s="175"/>
      <c r="R40" s="175"/>
      <c r="S40" s="105" t="e">
        <f t="shared" si="9"/>
        <v>#N/A</v>
      </c>
      <c r="T40" s="412"/>
      <c r="U40" s="175"/>
      <c r="V40" s="175"/>
      <c r="W40" s="202"/>
      <c r="X40" s="105" t="e">
        <f t="shared" si="10"/>
        <v>#N/A</v>
      </c>
      <c r="Y40" s="412"/>
      <c r="Z40" s="175"/>
      <c r="AA40" s="175"/>
      <c r="AB40" s="202"/>
      <c r="AC40" s="105" t="e">
        <f t="shared" si="11"/>
        <v>#N/A</v>
      </c>
      <c r="AD40" s="412"/>
      <c r="AE40" s="175"/>
      <c r="AF40" s="175"/>
      <c r="AG40" s="202"/>
      <c r="AH40" s="105" t="e">
        <f t="shared" si="12"/>
        <v>#N/A</v>
      </c>
      <c r="AI40" s="412"/>
      <c r="AJ40" s="175"/>
      <c r="AK40" s="175"/>
      <c r="AL40" s="202"/>
      <c r="AM40" s="105" t="e">
        <f t="shared" si="13"/>
        <v>#N/A</v>
      </c>
      <c r="AN40" s="412"/>
      <c r="AO40" s="175"/>
      <c r="AP40" s="175"/>
      <c r="AQ40" s="202"/>
      <c r="AR40" s="105" t="e">
        <f t="shared" si="14"/>
        <v>#N/A</v>
      </c>
      <c r="AS40" s="412"/>
      <c r="AT40" s="175"/>
      <c r="AU40" s="175"/>
      <c r="AV40" s="202"/>
      <c r="AW40" s="105" t="e">
        <f t="shared" si="15"/>
        <v>#N/A</v>
      </c>
      <c r="AX40" s="412"/>
    </row>
    <row r="41" spans="2:50">
      <c r="B41" s="398"/>
      <c r="C41" s="105">
        <v>15</v>
      </c>
      <c r="D41" s="228"/>
      <c r="E41" s="175"/>
      <c r="F41" s="105"/>
      <c r="G41" s="202"/>
      <c r="H41" s="386"/>
      <c r="I41" s="105"/>
      <c r="J41" s="105"/>
      <c r="K41" s="105"/>
      <c r="L41" s="386"/>
      <c r="M41" s="175" t="e">
        <f>RANK(K41, K$27:$K$41)</f>
        <v>#N/A</v>
      </c>
      <c r="N41" s="387"/>
      <c r="O41" s="387"/>
      <c r="P41" s="175"/>
      <c r="Q41" s="175"/>
      <c r="R41" s="175"/>
      <c r="S41" s="105" t="e">
        <f t="shared" si="9"/>
        <v>#N/A</v>
      </c>
      <c r="T41" s="412"/>
      <c r="U41" s="175"/>
      <c r="V41" s="175"/>
      <c r="W41" s="202"/>
      <c r="X41" s="105" t="e">
        <f t="shared" si="10"/>
        <v>#N/A</v>
      </c>
      <c r="Y41" s="412"/>
      <c r="Z41" s="175"/>
      <c r="AA41" s="175"/>
      <c r="AB41" s="202"/>
      <c r="AC41" s="105" t="e">
        <f t="shared" si="11"/>
        <v>#N/A</v>
      </c>
      <c r="AD41" s="412"/>
      <c r="AE41" s="175"/>
      <c r="AF41" s="175"/>
      <c r="AG41" s="202"/>
      <c r="AH41" s="105" t="e">
        <f t="shared" si="12"/>
        <v>#N/A</v>
      </c>
      <c r="AI41" s="412"/>
      <c r="AJ41" s="175"/>
      <c r="AK41" s="175"/>
      <c r="AL41" s="202"/>
      <c r="AM41" s="105" t="e">
        <f t="shared" si="13"/>
        <v>#N/A</v>
      </c>
      <c r="AN41" s="412"/>
      <c r="AO41" s="175"/>
      <c r="AP41" s="175"/>
      <c r="AQ41" s="202"/>
      <c r="AR41" s="105" t="e">
        <f t="shared" si="14"/>
        <v>#N/A</v>
      </c>
      <c r="AS41" s="412"/>
      <c r="AT41" s="175"/>
      <c r="AU41" s="175"/>
      <c r="AV41" s="202"/>
      <c r="AW41" s="105" t="e">
        <f t="shared" si="15"/>
        <v>#N/A</v>
      </c>
      <c r="AX41" s="412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6">Z42+1</f>
        <v>45884</v>
      </c>
      <c r="AF42" s="395"/>
      <c r="AG42" s="395"/>
      <c r="AH42" s="395"/>
      <c r="AI42" s="396"/>
      <c r="AJ42" s="394">
        <f t="shared" ref="AJ42" si="17">AE42+1</f>
        <v>45885</v>
      </c>
      <c r="AK42" s="395"/>
      <c r="AL42" s="395"/>
      <c r="AM42" s="395"/>
      <c r="AN42" s="396"/>
      <c r="AO42" s="394">
        <f t="shared" ref="AO42" si="18">AJ42+1</f>
        <v>45886</v>
      </c>
      <c r="AP42" s="395"/>
      <c r="AQ42" s="395"/>
      <c r="AR42" s="395"/>
      <c r="AS42" s="396"/>
      <c r="AT42" s="394">
        <f t="shared" ref="AT42" si="19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387" t="s">
        <v>299</v>
      </c>
      <c r="C47" s="105">
        <v>1</v>
      </c>
      <c r="D47" s="228" t="s">
        <v>300</v>
      </c>
      <c r="E47" s="175">
        <v>19</v>
      </c>
      <c r="F47" s="105">
        <v>1636</v>
      </c>
      <c r="G47" s="202">
        <v>86.10526315789474</v>
      </c>
      <c r="H47" s="384">
        <f>AVERAGE(G47:G61)</f>
        <v>88.459678608285429</v>
      </c>
      <c r="I47" s="175">
        <f>AVERAGE(P47,U47,Z47,AE47,AJ47,AO47,AT47)</f>
        <v>19</v>
      </c>
      <c r="J47" s="175">
        <f>AVERAGE(Q47,V47,AA47,AF47,AK47,AP47,AU47)</f>
        <v>1384.7808725784448</v>
      </c>
      <c r="K47" s="202">
        <f>AVERAGE(R47,W47,AB47,AG47,AL47,AQ47,AV47)</f>
        <v>72.883203819918137</v>
      </c>
      <c r="L47" s="384">
        <f>IFERROR(AVERAGE(K47:K61),"-")</f>
        <v>73.874445710223014</v>
      </c>
      <c r="M47" s="203">
        <f>RANK(K47, K$47:$K$61)</f>
        <v>5</v>
      </c>
      <c r="N47" s="387"/>
      <c r="O47" s="387"/>
      <c r="P47" s="175">
        <v>19</v>
      </c>
      <c r="Q47" s="175">
        <v>1382.4999999999998</v>
      </c>
      <c r="R47" s="175">
        <v>72.763157894736835</v>
      </c>
      <c r="S47" s="105">
        <f>RANK(R47, R$47:R$61)</f>
        <v>5</v>
      </c>
      <c r="T47" s="412">
        <f>AVERAGE(R47:R61)</f>
        <v>73.661318251315706</v>
      </c>
      <c r="U47" s="175">
        <v>19</v>
      </c>
      <c r="V47" s="175">
        <v>1384.2424242424242</v>
      </c>
      <c r="W47" s="175">
        <v>72.854864433811798</v>
      </c>
      <c r="X47" s="105">
        <f>RANK(W47, W$47:W$61)</f>
        <v>4</v>
      </c>
      <c r="Y47" s="412">
        <f>AVERAGE(W47:W61)</f>
        <v>73.292497801822051</v>
      </c>
      <c r="Z47" s="175">
        <v>19</v>
      </c>
      <c r="AA47" s="175">
        <v>1375.7142857142853</v>
      </c>
      <c r="AB47" s="175">
        <v>72.40601503759396</v>
      </c>
      <c r="AC47" s="105">
        <f>RANK(AB47, AB$47:AB$61)</f>
        <v>5</v>
      </c>
      <c r="AD47" s="412">
        <f>AVERAGE(AB47:AB61)</f>
        <v>73.581061194390145</v>
      </c>
      <c r="AE47" s="175">
        <v>19</v>
      </c>
      <c r="AF47" s="175">
        <v>1360.2272727272727</v>
      </c>
      <c r="AG47" s="175">
        <v>71.590909090909093</v>
      </c>
      <c r="AH47" s="105">
        <f>RANK(AG47, AG$47:AG$61)</f>
        <v>5</v>
      </c>
      <c r="AI47" s="412">
        <f>AVERAGE(AG47:AG61)</f>
        <v>74.484545723427715</v>
      </c>
      <c r="AJ47" s="175">
        <v>19</v>
      </c>
      <c r="AK47" s="175">
        <v>1371.627906976744</v>
      </c>
      <c r="AL47" s="175">
        <v>72.190942472460208</v>
      </c>
      <c r="AM47" s="105">
        <f>RANK(AL47, AL$47:AL$61)</f>
        <v>5</v>
      </c>
      <c r="AN47" s="412">
        <f>AVERAGE(AL47:AL61)</f>
        <v>74.108840026951256</v>
      </c>
      <c r="AO47" s="175">
        <v>19</v>
      </c>
      <c r="AP47" s="175">
        <v>1402.0408163265306</v>
      </c>
      <c r="AQ47" s="175">
        <v>73.791621911922661</v>
      </c>
      <c r="AR47" s="105">
        <f>RANK(AQ47, AQ$47:AQ$61)</f>
        <v>5</v>
      </c>
      <c r="AS47" s="412">
        <f>AVERAGE(AQ47:AQ61)</f>
        <v>73.918150107781102</v>
      </c>
      <c r="AT47" s="175">
        <v>19</v>
      </c>
      <c r="AU47" s="175">
        <v>1417.1134020618556</v>
      </c>
      <c r="AV47" s="175">
        <v>74.584915897992403</v>
      </c>
      <c r="AW47" s="105">
        <f>RANK(AV47, AV$47:AV$61)</f>
        <v>3</v>
      </c>
      <c r="AX47" s="412">
        <f>AVERAGE(AV47:AV61)</f>
        <v>74.033321395417929</v>
      </c>
    </row>
    <row r="48" spans="2:50">
      <c r="B48" s="398"/>
      <c r="C48" s="105">
        <v>2</v>
      </c>
      <c r="D48" s="228" t="s">
        <v>306</v>
      </c>
      <c r="E48" s="175">
        <v>17</v>
      </c>
      <c r="F48" s="105">
        <v>1500</v>
      </c>
      <c r="G48" s="202">
        <v>88.235294117647058</v>
      </c>
      <c r="H48" s="385"/>
      <c r="I48" s="175">
        <f t="shared" ref="I48:K53" si="20">AVERAGE(P48,U48,Z48,AE48,AJ48,AO48,AT48)</f>
        <v>17</v>
      </c>
      <c r="J48" s="175">
        <f t="shared" si="20"/>
        <v>1323.7916606050374</v>
      </c>
      <c r="K48" s="202">
        <f t="shared" si="20"/>
        <v>77.870097682649273</v>
      </c>
      <c r="L48" s="385"/>
      <c r="M48" s="203">
        <f>RANK(K48, K$47:$K$61)</f>
        <v>1</v>
      </c>
      <c r="N48" s="387"/>
      <c r="O48" s="387"/>
      <c r="P48" s="175">
        <v>17</v>
      </c>
      <c r="Q48" s="175">
        <v>1317.391304347826</v>
      </c>
      <c r="R48" s="175">
        <v>77.49360613810741</v>
      </c>
      <c r="S48" s="105">
        <f t="shared" ref="S48:S61" si="21">RANK(R48, R$47:R$61)</f>
        <v>2</v>
      </c>
      <c r="T48" s="412"/>
      <c r="U48" s="175">
        <v>17</v>
      </c>
      <c r="V48" s="175">
        <v>1301.9999999999995</v>
      </c>
      <c r="W48" s="175">
        <v>76.588235294117624</v>
      </c>
      <c r="X48" s="105">
        <f t="shared" ref="X48:X61" si="22">RANK(W48, W$47:W$61)</f>
        <v>2</v>
      </c>
      <c r="Y48" s="412"/>
      <c r="Z48" s="175">
        <v>17</v>
      </c>
      <c r="AA48" s="175">
        <v>1311.0638297872342</v>
      </c>
      <c r="AB48" s="175">
        <v>77.121401752190252</v>
      </c>
      <c r="AC48" s="105">
        <f t="shared" ref="AC48:AC61" si="23">RANK(AB48, AB$47:AB$61)</f>
        <v>1</v>
      </c>
      <c r="AD48" s="412"/>
      <c r="AE48" s="175">
        <v>17</v>
      </c>
      <c r="AF48" s="175">
        <v>1300.4347826086957</v>
      </c>
      <c r="AG48" s="175">
        <v>76.496163682864449</v>
      </c>
      <c r="AH48" s="105">
        <f t="shared" ref="AH48:AH61" si="24">RANK(AG48, AG$47:AG$61)</f>
        <v>2</v>
      </c>
      <c r="AI48" s="412"/>
      <c r="AJ48" s="175">
        <v>17</v>
      </c>
      <c r="AK48" s="175">
        <v>1365.7142857142853</v>
      </c>
      <c r="AL48" s="175">
        <v>80.336134453781483</v>
      </c>
      <c r="AM48" s="105">
        <f t="shared" ref="AM48:AM61" si="25">RANK(AL48, AL$47:AL$61)</f>
        <v>1</v>
      </c>
      <c r="AN48" s="412"/>
      <c r="AO48" s="175">
        <v>17</v>
      </c>
      <c r="AP48" s="175">
        <v>1328.2352941176466</v>
      </c>
      <c r="AQ48" s="175">
        <v>78.13148788927333</v>
      </c>
      <c r="AR48" s="105">
        <f t="shared" ref="AR48:AR61" si="26">RANK(AQ48, AQ$47:AQ$61)</f>
        <v>2</v>
      </c>
      <c r="AS48" s="412"/>
      <c r="AT48" s="175">
        <v>17</v>
      </c>
      <c r="AU48" s="175">
        <v>1341.7021276595747</v>
      </c>
      <c r="AV48" s="175">
        <v>78.923654568210281</v>
      </c>
      <c r="AW48" s="105">
        <f t="shared" ref="AW48:AW61" si="27">RANK(AV48, AV$47:AV$61)</f>
        <v>1</v>
      </c>
      <c r="AX48" s="412"/>
    </row>
    <row r="49" spans="2:50">
      <c r="B49" s="398"/>
      <c r="C49" s="105">
        <v>3</v>
      </c>
      <c r="D49" s="228" t="s">
        <v>302</v>
      </c>
      <c r="E49" s="175">
        <v>18</v>
      </c>
      <c r="F49" s="105">
        <v>1636</v>
      </c>
      <c r="G49" s="202">
        <v>90.888888888888886</v>
      </c>
      <c r="H49" s="385"/>
      <c r="I49" s="175">
        <f t="shared" si="20"/>
        <v>18</v>
      </c>
      <c r="J49" s="175">
        <f t="shared" si="20"/>
        <v>1337.8143543948881</v>
      </c>
      <c r="K49" s="202">
        <f t="shared" si="20"/>
        <v>74.323019688604901</v>
      </c>
      <c r="L49" s="385"/>
      <c r="M49" s="203">
        <f>RANK(K49, K$47:$K$61)</f>
        <v>4</v>
      </c>
      <c r="N49" s="387"/>
      <c r="O49" s="387"/>
      <c r="P49" s="175">
        <v>18</v>
      </c>
      <c r="Q49" s="175">
        <v>1339.1438596491225</v>
      </c>
      <c r="R49" s="175">
        <v>74.396881091617914</v>
      </c>
      <c r="S49" s="105">
        <f t="shared" si="21"/>
        <v>3</v>
      </c>
      <c r="T49" s="412"/>
      <c r="U49" s="175">
        <v>18</v>
      </c>
      <c r="V49" s="175">
        <v>1308.3928571428569</v>
      </c>
      <c r="W49" s="175">
        <v>72.688492063492049</v>
      </c>
      <c r="X49" s="105">
        <f t="shared" si="22"/>
        <v>5</v>
      </c>
      <c r="Y49" s="412"/>
      <c r="Z49" s="175">
        <v>18</v>
      </c>
      <c r="AA49" s="175">
        <v>1351.6544117647059</v>
      </c>
      <c r="AB49" s="175">
        <v>75.091911764705884</v>
      </c>
      <c r="AC49" s="105">
        <f t="shared" si="23"/>
        <v>4</v>
      </c>
      <c r="AD49" s="412"/>
      <c r="AE49" s="175">
        <v>18</v>
      </c>
      <c r="AF49" s="175">
        <v>1317.4789915966385</v>
      </c>
      <c r="AG49" s="175">
        <v>73.193277310924358</v>
      </c>
      <c r="AH49" s="105">
        <f t="shared" si="24"/>
        <v>4</v>
      </c>
      <c r="AI49" s="412"/>
      <c r="AJ49" s="175">
        <v>18</v>
      </c>
      <c r="AK49" s="175">
        <v>1351.1111111111104</v>
      </c>
      <c r="AL49" s="175">
        <v>75.061728395061692</v>
      </c>
      <c r="AM49" s="105">
        <f t="shared" si="25"/>
        <v>4</v>
      </c>
      <c r="AN49" s="412"/>
      <c r="AO49" s="175">
        <v>18</v>
      </c>
      <c r="AP49" s="175">
        <v>1359.1048951048956</v>
      </c>
      <c r="AQ49" s="175">
        <v>75.50582750582754</v>
      </c>
      <c r="AR49" s="105">
        <f t="shared" si="26"/>
        <v>3</v>
      </c>
      <c r="AS49" s="412"/>
      <c r="AT49" s="175"/>
      <c r="AU49" s="175"/>
      <c r="AV49" s="175"/>
      <c r="AW49" s="105" t="e">
        <f t="shared" si="27"/>
        <v>#N/A</v>
      </c>
      <c r="AX49" s="412"/>
    </row>
    <row r="50" spans="2:50">
      <c r="B50" s="398"/>
      <c r="C50" s="105">
        <v>4</v>
      </c>
      <c r="D50" s="228" t="s">
        <v>303</v>
      </c>
      <c r="E50" s="175">
        <v>18</v>
      </c>
      <c r="F50" s="105">
        <v>1636</v>
      </c>
      <c r="G50" s="202">
        <v>90.888888888888886</v>
      </c>
      <c r="H50" s="385"/>
      <c r="I50" s="175">
        <f t="shared" si="20"/>
        <v>18</v>
      </c>
      <c r="J50" s="175">
        <f t="shared" si="20"/>
        <v>1394.0007984524839</v>
      </c>
      <c r="K50" s="202">
        <f t="shared" si="20"/>
        <v>77.444488802915771</v>
      </c>
      <c r="L50" s="385"/>
      <c r="M50" s="203">
        <f>RANK(K50, K$47:$K$61)</f>
        <v>2</v>
      </c>
      <c r="N50" s="387"/>
      <c r="O50" s="387"/>
      <c r="P50" s="175">
        <v>18</v>
      </c>
      <c r="Q50" s="175">
        <v>1408.8857142857141</v>
      </c>
      <c r="R50" s="175">
        <v>78.271428571428558</v>
      </c>
      <c r="S50" s="105">
        <f t="shared" si="21"/>
        <v>1</v>
      </c>
      <c r="T50" s="412"/>
      <c r="U50" s="175">
        <v>18</v>
      </c>
      <c r="V50" s="175">
        <v>1382.3999999999999</v>
      </c>
      <c r="W50" s="175">
        <v>76.8</v>
      </c>
      <c r="X50" s="105">
        <f t="shared" si="22"/>
        <v>1</v>
      </c>
      <c r="Y50" s="412"/>
      <c r="Z50" s="175">
        <v>18</v>
      </c>
      <c r="AA50" s="175">
        <v>1365.0876404494381</v>
      </c>
      <c r="AB50" s="175">
        <v>75.838202247191006</v>
      </c>
      <c r="AC50" s="105">
        <f t="shared" si="23"/>
        <v>2</v>
      </c>
      <c r="AD50" s="412"/>
      <c r="AE50" s="175">
        <v>18</v>
      </c>
      <c r="AF50" s="175">
        <v>1369.714285714286</v>
      </c>
      <c r="AG50" s="175">
        <v>76.095238095238116</v>
      </c>
      <c r="AH50" s="105">
        <f t="shared" si="24"/>
        <v>3</v>
      </c>
      <c r="AI50" s="412"/>
      <c r="AJ50" s="175">
        <v>18</v>
      </c>
      <c r="AK50" s="175">
        <v>1410.3846153846152</v>
      </c>
      <c r="AL50" s="175">
        <v>78.354700854700852</v>
      </c>
      <c r="AM50" s="105">
        <f t="shared" si="25"/>
        <v>2</v>
      </c>
      <c r="AN50" s="412"/>
      <c r="AO50" s="175">
        <v>18</v>
      </c>
      <c r="AP50" s="175">
        <v>1418.3333333333335</v>
      </c>
      <c r="AQ50" s="175">
        <v>78.796296296296305</v>
      </c>
      <c r="AR50" s="105">
        <f t="shared" si="26"/>
        <v>1</v>
      </c>
      <c r="AS50" s="412"/>
      <c r="AT50" s="175">
        <v>18</v>
      </c>
      <c r="AU50" s="175">
        <v>1403.2</v>
      </c>
      <c r="AV50" s="175">
        <v>77.955555555555563</v>
      </c>
      <c r="AW50" s="105">
        <f t="shared" si="27"/>
        <v>2</v>
      </c>
      <c r="AX50" s="412"/>
    </row>
    <row r="51" spans="2:50">
      <c r="B51" s="398"/>
      <c r="C51" s="105">
        <v>5</v>
      </c>
      <c r="D51" s="228" t="s">
        <v>304</v>
      </c>
      <c r="E51" s="175">
        <v>19</v>
      </c>
      <c r="F51" s="105">
        <v>1636</v>
      </c>
      <c r="G51" s="202">
        <v>86.10526315789474</v>
      </c>
      <c r="H51" s="385"/>
      <c r="I51" s="175">
        <f t="shared" si="20"/>
        <v>19</v>
      </c>
      <c r="J51" s="175">
        <f t="shared" si="20"/>
        <v>1287.2323263340511</v>
      </c>
      <c r="K51" s="202">
        <f t="shared" si="20"/>
        <v>67.749069807055321</v>
      </c>
      <c r="L51" s="385"/>
      <c r="M51" s="203">
        <f>RANK(K51, K$47:$K$61)</f>
        <v>7</v>
      </c>
      <c r="N51" s="387"/>
      <c r="O51" s="387"/>
      <c r="P51" s="175">
        <v>19</v>
      </c>
      <c r="Q51" s="175">
        <v>1285.8620689655174</v>
      </c>
      <c r="R51" s="175">
        <v>67.676950998185134</v>
      </c>
      <c r="S51" s="105">
        <f t="shared" si="21"/>
        <v>7</v>
      </c>
      <c r="T51" s="412"/>
      <c r="U51" s="175">
        <v>19</v>
      </c>
      <c r="V51" s="175">
        <v>1271.8032786885249</v>
      </c>
      <c r="W51" s="175">
        <v>66.937014667817095</v>
      </c>
      <c r="X51" s="105">
        <f t="shared" si="22"/>
        <v>7</v>
      </c>
      <c r="Y51" s="412"/>
      <c r="Z51" s="175">
        <v>19</v>
      </c>
      <c r="AA51" s="175">
        <v>1283.7735849056598</v>
      </c>
      <c r="AB51" s="175">
        <v>67.567030784508418</v>
      </c>
      <c r="AC51" s="105">
        <f t="shared" si="23"/>
        <v>7</v>
      </c>
      <c r="AD51" s="412"/>
      <c r="AE51" s="175">
        <v>19</v>
      </c>
      <c r="AF51" s="175">
        <v>1313.4782608695652</v>
      </c>
      <c r="AG51" s="175">
        <v>69.130434782608702</v>
      </c>
      <c r="AH51" s="105">
        <f t="shared" si="24"/>
        <v>7</v>
      </c>
      <c r="AI51" s="412"/>
      <c r="AJ51" s="175">
        <v>19</v>
      </c>
      <c r="AK51" s="175">
        <v>1260.0000000000002</v>
      </c>
      <c r="AL51" s="175">
        <v>66.31578947368422</v>
      </c>
      <c r="AM51" s="105">
        <f t="shared" si="25"/>
        <v>7</v>
      </c>
      <c r="AN51" s="412"/>
      <c r="AO51" s="175">
        <v>19</v>
      </c>
      <c r="AP51" s="175">
        <v>1294.9090909090908</v>
      </c>
      <c r="AQ51" s="175">
        <v>68.15311004784688</v>
      </c>
      <c r="AR51" s="105">
        <f t="shared" si="26"/>
        <v>7</v>
      </c>
      <c r="AS51" s="412"/>
      <c r="AT51" s="175">
        <v>19</v>
      </c>
      <c r="AU51" s="175">
        <v>1300.7999999999993</v>
      </c>
      <c r="AV51" s="175">
        <v>68.46315789473681</v>
      </c>
      <c r="AW51" s="105">
        <f t="shared" si="27"/>
        <v>6</v>
      </c>
      <c r="AX51" s="412"/>
    </row>
    <row r="52" spans="2:50">
      <c r="B52" s="398"/>
      <c r="C52" s="105">
        <v>6</v>
      </c>
      <c r="D52" s="228" t="s">
        <v>305</v>
      </c>
      <c r="E52" s="175">
        <v>19</v>
      </c>
      <c r="F52" s="105">
        <v>1636</v>
      </c>
      <c r="G52" s="202">
        <v>86.10526315789474</v>
      </c>
      <c r="H52" s="385"/>
      <c r="I52" s="175">
        <f t="shared" si="20"/>
        <v>17.714285714285715</v>
      </c>
      <c r="J52" s="175">
        <f t="shared" si="20"/>
        <v>1345.391639792017</v>
      </c>
      <c r="K52" s="202">
        <f t="shared" si="20"/>
        <v>76.077313321778732</v>
      </c>
      <c r="L52" s="385"/>
      <c r="M52" s="203">
        <f>RANK(K52, K$47:$K$61)</f>
        <v>3</v>
      </c>
      <c r="N52" s="387"/>
      <c r="O52" s="387"/>
      <c r="P52" s="175">
        <v>18</v>
      </c>
      <c r="Q52" s="175">
        <v>1336.2758620689654</v>
      </c>
      <c r="R52" s="175">
        <v>74.237547892720301</v>
      </c>
      <c r="S52" s="105">
        <f t="shared" si="21"/>
        <v>4</v>
      </c>
      <c r="T52" s="412"/>
      <c r="U52" s="175">
        <v>18</v>
      </c>
      <c r="V52" s="175">
        <v>1346.1111111111111</v>
      </c>
      <c r="W52" s="175">
        <v>74.783950617283949</v>
      </c>
      <c r="X52" s="105">
        <f t="shared" si="22"/>
        <v>3</v>
      </c>
      <c r="Y52" s="412"/>
      <c r="Z52" s="175">
        <v>18</v>
      </c>
      <c r="AA52" s="175">
        <v>1358.4466019417482</v>
      </c>
      <c r="AB52" s="175">
        <v>75.469255663430459</v>
      </c>
      <c r="AC52" s="105">
        <f t="shared" si="23"/>
        <v>3</v>
      </c>
      <c r="AD52" s="412"/>
      <c r="AE52" s="175">
        <v>16</v>
      </c>
      <c r="AF52" s="175">
        <v>1344</v>
      </c>
      <c r="AG52" s="175">
        <v>84</v>
      </c>
      <c r="AH52" s="105">
        <f t="shared" si="24"/>
        <v>1</v>
      </c>
      <c r="AI52" s="412"/>
      <c r="AJ52" s="175">
        <v>18</v>
      </c>
      <c r="AK52" s="175">
        <v>1360.2061855670108</v>
      </c>
      <c r="AL52" s="175">
        <v>75.567010309278373</v>
      </c>
      <c r="AM52" s="105">
        <f t="shared" si="25"/>
        <v>3</v>
      </c>
      <c r="AN52" s="412"/>
      <c r="AO52" s="175">
        <v>18</v>
      </c>
      <c r="AP52" s="175">
        <v>1334.1176470588239</v>
      </c>
      <c r="AQ52" s="175">
        <v>74.11764705882355</v>
      </c>
      <c r="AR52" s="105">
        <f t="shared" si="26"/>
        <v>4</v>
      </c>
      <c r="AS52" s="412"/>
      <c r="AT52" s="175">
        <v>18</v>
      </c>
      <c r="AU52" s="175">
        <v>1338.5840707964601</v>
      </c>
      <c r="AV52" s="175">
        <v>74.365781710914447</v>
      </c>
      <c r="AW52" s="105">
        <f t="shared" si="27"/>
        <v>4</v>
      </c>
      <c r="AX52" s="412"/>
    </row>
    <row r="53" spans="2:50">
      <c r="B53" s="398"/>
      <c r="C53" s="105">
        <v>7</v>
      </c>
      <c r="D53" s="228" t="s">
        <v>308</v>
      </c>
      <c r="E53" s="175">
        <v>18</v>
      </c>
      <c r="F53" s="105">
        <v>1636</v>
      </c>
      <c r="G53" s="202">
        <v>90.888888888888886</v>
      </c>
      <c r="H53" s="385"/>
      <c r="I53" s="175">
        <f t="shared" si="20"/>
        <v>18.142857142857142</v>
      </c>
      <c r="J53" s="175">
        <f t="shared" si="20"/>
        <v>1283.777977567571</v>
      </c>
      <c r="K53" s="202">
        <f t="shared" si="20"/>
        <v>70.77392684863905</v>
      </c>
      <c r="L53" s="385"/>
      <c r="M53" s="203">
        <f>RANK(K53, K$47:$K$61)</f>
        <v>6</v>
      </c>
      <c r="N53" s="387"/>
      <c r="O53" s="387"/>
      <c r="P53" s="175">
        <v>18</v>
      </c>
      <c r="Q53" s="175">
        <v>1274.2137931034476</v>
      </c>
      <c r="R53" s="175">
        <v>70.789655172413759</v>
      </c>
      <c r="S53" s="105">
        <f t="shared" si="21"/>
        <v>6</v>
      </c>
      <c r="T53" s="412"/>
      <c r="U53" s="175">
        <v>18</v>
      </c>
      <c r="V53" s="175">
        <v>1303.108695652174</v>
      </c>
      <c r="W53" s="175">
        <v>72.39492753623189</v>
      </c>
      <c r="X53" s="105">
        <f t="shared" si="22"/>
        <v>6</v>
      </c>
      <c r="Y53" s="412"/>
      <c r="Z53" s="175">
        <v>18</v>
      </c>
      <c r="AA53" s="175">
        <v>1288.3249999999994</v>
      </c>
      <c r="AB53" s="175">
        <v>71.573611111111077</v>
      </c>
      <c r="AC53" s="105">
        <f t="shared" si="23"/>
        <v>6</v>
      </c>
      <c r="AD53" s="412"/>
      <c r="AE53" s="175">
        <v>18</v>
      </c>
      <c r="AF53" s="175">
        <v>1275.9443478260871</v>
      </c>
      <c r="AG53" s="175">
        <v>70.885797101449285</v>
      </c>
      <c r="AH53" s="105">
        <f t="shared" si="24"/>
        <v>6</v>
      </c>
      <c r="AI53" s="412"/>
      <c r="AJ53" s="175">
        <v>18</v>
      </c>
      <c r="AK53" s="175">
        <v>1276.8403361344542</v>
      </c>
      <c r="AL53" s="175">
        <v>70.935574229691895</v>
      </c>
      <c r="AM53" s="105">
        <f t="shared" si="25"/>
        <v>6</v>
      </c>
      <c r="AN53" s="412"/>
      <c r="AO53" s="175">
        <v>19</v>
      </c>
      <c r="AP53" s="175">
        <v>1309.6901408450708</v>
      </c>
      <c r="AQ53" s="175">
        <v>68.931060044477405</v>
      </c>
      <c r="AR53" s="105">
        <f t="shared" si="26"/>
        <v>6</v>
      </c>
      <c r="AS53" s="412"/>
      <c r="AT53" s="175">
        <v>18</v>
      </c>
      <c r="AU53" s="175">
        <v>1258.3235294117646</v>
      </c>
      <c r="AV53" s="175">
        <v>69.906862745098039</v>
      </c>
      <c r="AW53" s="105">
        <f t="shared" si="27"/>
        <v>5</v>
      </c>
      <c r="AX53" s="412"/>
    </row>
    <row r="54" spans="2:50">
      <c r="B54" s="398"/>
      <c r="C54" s="105">
        <v>8</v>
      </c>
      <c r="D54" s="228"/>
      <c r="E54" s="175"/>
      <c r="F54" s="105"/>
      <c r="G54" s="202"/>
      <c r="H54" s="385"/>
      <c r="I54" s="175"/>
      <c r="J54" s="175"/>
      <c r="K54" s="202"/>
      <c r="L54" s="385"/>
      <c r="M54" s="203" t="e">
        <f>RANK(K54, K$47:$K$61)</f>
        <v>#N/A</v>
      </c>
      <c r="N54" s="387"/>
      <c r="O54" s="387"/>
      <c r="P54" s="175"/>
      <c r="Q54" s="175"/>
      <c r="R54" s="175"/>
      <c r="S54" s="105" t="e">
        <f t="shared" si="21"/>
        <v>#N/A</v>
      </c>
      <c r="T54" s="412"/>
      <c r="U54" s="175"/>
      <c r="V54" s="175"/>
      <c r="W54" s="175"/>
      <c r="X54" s="105" t="e">
        <f t="shared" si="22"/>
        <v>#N/A</v>
      </c>
      <c r="Y54" s="412"/>
      <c r="Z54" s="175"/>
      <c r="AA54" s="175"/>
      <c r="AB54" s="175"/>
      <c r="AC54" s="105" t="e">
        <f t="shared" si="23"/>
        <v>#N/A</v>
      </c>
      <c r="AD54" s="412"/>
      <c r="AE54" s="175"/>
      <c r="AF54" s="175"/>
      <c r="AG54" s="175"/>
      <c r="AH54" s="105" t="e">
        <f t="shared" si="24"/>
        <v>#N/A</v>
      </c>
      <c r="AI54" s="412"/>
      <c r="AJ54" s="175"/>
      <c r="AK54" s="175"/>
      <c r="AL54" s="175"/>
      <c r="AM54" s="105" t="e">
        <f t="shared" si="25"/>
        <v>#N/A</v>
      </c>
      <c r="AN54" s="412"/>
      <c r="AO54" s="175"/>
      <c r="AP54" s="175"/>
      <c r="AQ54" s="175"/>
      <c r="AR54" s="105" t="e">
        <f t="shared" si="26"/>
        <v>#N/A</v>
      </c>
      <c r="AS54" s="412"/>
      <c r="AT54" s="175"/>
      <c r="AU54" s="175"/>
      <c r="AV54" s="175"/>
      <c r="AW54" s="105" t="e">
        <f t="shared" si="27"/>
        <v>#N/A</v>
      </c>
      <c r="AX54" s="412"/>
    </row>
    <row r="55" spans="2:50">
      <c r="B55" s="398"/>
      <c r="C55" s="105">
        <v>9</v>
      </c>
      <c r="D55" s="228"/>
      <c r="E55" s="175"/>
      <c r="F55" s="105"/>
      <c r="G55" s="202"/>
      <c r="H55" s="385"/>
      <c r="I55" s="175"/>
      <c r="J55" s="175"/>
      <c r="K55" s="202"/>
      <c r="L55" s="385"/>
      <c r="M55" s="203" t="e">
        <f>RANK(K55, K$47:$K$61)</f>
        <v>#N/A</v>
      </c>
      <c r="N55" s="387"/>
      <c r="O55" s="387"/>
      <c r="P55" s="175"/>
      <c r="Q55" s="175"/>
      <c r="R55" s="175"/>
      <c r="S55" s="105" t="e">
        <f t="shared" si="21"/>
        <v>#N/A</v>
      </c>
      <c r="T55" s="412"/>
      <c r="U55" s="175"/>
      <c r="V55" s="175"/>
      <c r="W55" s="202"/>
      <c r="X55" s="105" t="e">
        <f t="shared" si="22"/>
        <v>#N/A</v>
      </c>
      <c r="Y55" s="412"/>
      <c r="Z55" s="175"/>
      <c r="AA55" s="175"/>
      <c r="AB55" s="202"/>
      <c r="AC55" s="105" t="e">
        <f t="shared" si="23"/>
        <v>#N/A</v>
      </c>
      <c r="AD55" s="412"/>
      <c r="AE55" s="175"/>
      <c r="AF55" s="175"/>
      <c r="AG55" s="202"/>
      <c r="AH55" s="105" t="e">
        <f t="shared" si="24"/>
        <v>#N/A</v>
      </c>
      <c r="AI55" s="412"/>
      <c r="AJ55" s="175"/>
      <c r="AK55" s="175"/>
      <c r="AL55" s="202"/>
      <c r="AM55" s="105" t="e">
        <f t="shared" si="25"/>
        <v>#N/A</v>
      </c>
      <c r="AN55" s="412"/>
      <c r="AO55" s="175"/>
      <c r="AP55" s="175"/>
      <c r="AQ55" s="202"/>
      <c r="AR55" s="105" t="e">
        <f t="shared" si="26"/>
        <v>#N/A</v>
      </c>
      <c r="AS55" s="412"/>
      <c r="AT55" s="175"/>
      <c r="AU55" s="175"/>
      <c r="AV55" s="202"/>
      <c r="AW55" s="105" t="e">
        <f t="shared" si="27"/>
        <v>#N/A</v>
      </c>
      <c r="AX55" s="412"/>
    </row>
    <row r="56" spans="2:50">
      <c r="B56" s="398"/>
      <c r="C56" s="105">
        <v>10</v>
      </c>
      <c r="D56" s="228"/>
      <c r="E56" s="175"/>
      <c r="F56" s="105"/>
      <c r="G56" s="202"/>
      <c r="H56" s="385"/>
      <c r="I56" s="175"/>
      <c r="J56" s="175"/>
      <c r="K56" s="202"/>
      <c r="L56" s="385"/>
      <c r="M56" s="203" t="e">
        <f>RANK(K56, K$47:$K$61)</f>
        <v>#N/A</v>
      </c>
      <c r="N56" s="387"/>
      <c r="O56" s="387"/>
      <c r="P56" s="175"/>
      <c r="Q56" s="175"/>
      <c r="R56" s="175"/>
      <c r="S56" s="105" t="e">
        <f t="shared" si="21"/>
        <v>#N/A</v>
      </c>
      <c r="T56" s="412"/>
      <c r="U56" s="175"/>
      <c r="V56" s="175"/>
      <c r="W56" s="202"/>
      <c r="X56" s="105" t="e">
        <f t="shared" si="22"/>
        <v>#N/A</v>
      </c>
      <c r="Y56" s="412"/>
      <c r="Z56" s="175"/>
      <c r="AA56" s="175"/>
      <c r="AB56" s="202"/>
      <c r="AC56" s="105" t="e">
        <f t="shared" si="23"/>
        <v>#N/A</v>
      </c>
      <c r="AD56" s="412"/>
      <c r="AE56" s="175"/>
      <c r="AF56" s="175"/>
      <c r="AG56" s="202"/>
      <c r="AH56" s="105" t="e">
        <f t="shared" si="24"/>
        <v>#N/A</v>
      </c>
      <c r="AI56" s="412"/>
      <c r="AJ56" s="175"/>
      <c r="AK56" s="175"/>
      <c r="AL56" s="202"/>
      <c r="AM56" s="105" t="e">
        <f t="shared" si="25"/>
        <v>#N/A</v>
      </c>
      <c r="AN56" s="412"/>
      <c r="AO56" s="175"/>
      <c r="AP56" s="175"/>
      <c r="AQ56" s="202"/>
      <c r="AR56" s="105" t="e">
        <f t="shared" si="26"/>
        <v>#N/A</v>
      </c>
      <c r="AS56" s="412"/>
      <c r="AT56" s="175"/>
      <c r="AU56" s="175"/>
      <c r="AV56" s="202"/>
      <c r="AW56" s="105" t="e">
        <f t="shared" si="27"/>
        <v>#N/A</v>
      </c>
      <c r="AX56" s="412"/>
    </row>
    <row r="57" spans="2:50">
      <c r="B57" s="398"/>
      <c r="C57" s="105">
        <v>11</v>
      </c>
      <c r="D57" s="228"/>
      <c r="E57" s="175"/>
      <c r="F57" s="105"/>
      <c r="G57" s="202"/>
      <c r="H57" s="385"/>
      <c r="I57" s="105"/>
      <c r="J57" s="105"/>
      <c r="K57" s="105"/>
      <c r="L57" s="385"/>
      <c r="M57" s="203" t="e">
        <f>RANK(K57, K$47:$K$61)</f>
        <v>#N/A</v>
      </c>
      <c r="N57" s="387"/>
      <c r="O57" s="387"/>
      <c r="P57" s="175"/>
      <c r="Q57" s="175"/>
      <c r="R57" s="175"/>
      <c r="S57" s="105" t="e">
        <f t="shared" si="21"/>
        <v>#N/A</v>
      </c>
      <c r="T57" s="412"/>
      <c r="U57" s="175"/>
      <c r="V57" s="175"/>
      <c r="W57" s="202"/>
      <c r="X57" s="105" t="e">
        <f t="shared" si="22"/>
        <v>#N/A</v>
      </c>
      <c r="Y57" s="412"/>
      <c r="Z57" s="175"/>
      <c r="AA57" s="175"/>
      <c r="AB57" s="202"/>
      <c r="AC57" s="105" t="e">
        <f t="shared" si="23"/>
        <v>#N/A</v>
      </c>
      <c r="AD57" s="412"/>
      <c r="AE57" s="175"/>
      <c r="AF57" s="175"/>
      <c r="AG57" s="202"/>
      <c r="AH57" s="105" t="e">
        <f t="shared" si="24"/>
        <v>#N/A</v>
      </c>
      <c r="AI57" s="412"/>
      <c r="AJ57" s="175"/>
      <c r="AK57" s="175"/>
      <c r="AL57" s="202"/>
      <c r="AM57" s="105" t="e">
        <f t="shared" si="25"/>
        <v>#N/A</v>
      </c>
      <c r="AN57" s="412"/>
      <c r="AO57" s="175"/>
      <c r="AP57" s="175"/>
      <c r="AQ57" s="202"/>
      <c r="AR57" s="105" t="e">
        <f t="shared" si="26"/>
        <v>#N/A</v>
      </c>
      <c r="AS57" s="412"/>
      <c r="AT57" s="175"/>
      <c r="AU57" s="175"/>
      <c r="AV57" s="202"/>
      <c r="AW57" s="105" t="e">
        <f t="shared" si="27"/>
        <v>#N/A</v>
      </c>
      <c r="AX57" s="412"/>
    </row>
    <row r="58" spans="2:50">
      <c r="B58" s="398"/>
      <c r="C58" s="105">
        <v>12</v>
      </c>
      <c r="D58" s="228"/>
      <c r="E58" s="175"/>
      <c r="F58" s="105"/>
      <c r="G58" s="202"/>
      <c r="H58" s="385"/>
      <c r="I58" s="105"/>
      <c r="J58" s="105"/>
      <c r="K58" s="105"/>
      <c r="L58" s="385"/>
      <c r="M58" s="203" t="e">
        <f>RANK(K58, K$47:$K$61)</f>
        <v>#N/A</v>
      </c>
      <c r="N58" s="387"/>
      <c r="O58" s="387"/>
      <c r="P58" s="175"/>
      <c r="Q58" s="175"/>
      <c r="R58" s="175"/>
      <c r="S58" s="105" t="e">
        <f t="shared" si="21"/>
        <v>#N/A</v>
      </c>
      <c r="T58" s="412"/>
      <c r="U58" s="175"/>
      <c r="V58" s="175"/>
      <c r="W58" s="202"/>
      <c r="X58" s="105" t="e">
        <f t="shared" si="22"/>
        <v>#N/A</v>
      </c>
      <c r="Y58" s="412"/>
      <c r="Z58" s="175"/>
      <c r="AA58" s="175"/>
      <c r="AB58" s="202"/>
      <c r="AC58" s="105" t="e">
        <f t="shared" si="23"/>
        <v>#N/A</v>
      </c>
      <c r="AD58" s="412"/>
      <c r="AE58" s="175"/>
      <c r="AF58" s="175"/>
      <c r="AG58" s="202"/>
      <c r="AH58" s="105" t="e">
        <f t="shared" si="24"/>
        <v>#N/A</v>
      </c>
      <c r="AI58" s="412"/>
      <c r="AJ58" s="175"/>
      <c r="AK58" s="175"/>
      <c r="AL58" s="202"/>
      <c r="AM58" s="105" t="e">
        <f t="shared" si="25"/>
        <v>#N/A</v>
      </c>
      <c r="AN58" s="412"/>
      <c r="AO58" s="175"/>
      <c r="AP58" s="175"/>
      <c r="AQ58" s="202"/>
      <c r="AR58" s="105" t="e">
        <f t="shared" si="26"/>
        <v>#N/A</v>
      </c>
      <c r="AS58" s="412"/>
      <c r="AT58" s="175"/>
      <c r="AU58" s="175"/>
      <c r="AV58" s="202"/>
      <c r="AW58" s="105" t="e">
        <f t="shared" si="27"/>
        <v>#N/A</v>
      </c>
      <c r="AX58" s="412"/>
    </row>
    <row r="59" spans="2:50">
      <c r="B59" s="398"/>
      <c r="C59" s="105">
        <v>13</v>
      </c>
      <c r="D59" s="228"/>
      <c r="E59" s="175"/>
      <c r="F59" s="105"/>
      <c r="G59" s="202"/>
      <c r="H59" s="385"/>
      <c r="I59" s="105"/>
      <c r="J59" s="105"/>
      <c r="K59" s="105"/>
      <c r="L59" s="385"/>
      <c r="M59" s="203" t="e">
        <f>RANK(K59, K$47:$K$61)</f>
        <v>#N/A</v>
      </c>
      <c r="N59" s="387"/>
      <c r="O59" s="387"/>
      <c r="P59" s="175"/>
      <c r="Q59" s="175"/>
      <c r="R59" s="175"/>
      <c r="S59" s="105" t="e">
        <f t="shared" si="21"/>
        <v>#N/A</v>
      </c>
      <c r="T59" s="412"/>
      <c r="U59" s="175"/>
      <c r="V59" s="175"/>
      <c r="W59" s="202"/>
      <c r="X59" s="105" t="e">
        <f t="shared" si="22"/>
        <v>#N/A</v>
      </c>
      <c r="Y59" s="412"/>
      <c r="Z59" s="175"/>
      <c r="AA59" s="175"/>
      <c r="AB59" s="202"/>
      <c r="AC59" s="105" t="e">
        <f t="shared" si="23"/>
        <v>#N/A</v>
      </c>
      <c r="AD59" s="412"/>
      <c r="AE59" s="175"/>
      <c r="AF59" s="175"/>
      <c r="AG59" s="202"/>
      <c r="AH59" s="105" t="e">
        <f t="shared" si="24"/>
        <v>#N/A</v>
      </c>
      <c r="AI59" s="412"/>
      <c r="AJ59" s="175"/>
      <c r="AK59" s="175"/>
      <c r="AL59" s="202"/>
      <c r="AM59" s="105" t="e">
        <f t="shared" si="25"/>
        <v>#N/A</v>
      </c>
      <c r="AN59" s="412"/>
      <c r="AO59" s="175"/>
      <c r="AP59" s="175"/>
      <c r="AQ59" s="202"/>
      <c r="AR59" s="105" t="e">
        <f t="shared" si="26"/>
        <v>#N/A</v>
      </c>
      <c r="AS59" s="412"/>
      <c r="AT59" s="175"/>
      <c r="AU59" s="175"/>
      <c r="AV59" s="202"/>
      <c r="AW59" s="105" t="e">
        <f t="shared" si="27"/>
        <v>#N/A</v>
      </c>
      <c r="AX59" s="412"/>
    </row>
    <row r="60" spans="2:50">
      <c r="B60" s="398"/>
      <c r="C60" s="105">
        <v>14</v>
      </c>
      <c r="D60" s="228"/>
      <c r="E60" s="175"/>
      <c r="F60" s="105"/>
      <c r="G60" s="202"/>
      <c r="H60" s="385"/>
      <c r="I60" s="105"/>
      <c r="J60" s="105"/>
      <c r="K60" s="105"/>
      <c r="L60" s="385"/>
      <c r="M60" s="203" t="e">
        <f>RANK(K60, K$47:$K$61)</f>
        <v>#N/A</v>
      </c>
      <c r="N60" s="387"/>
      <c r="O60" s="387"/>
      <c r="P60" s="175"/>
      <c r="Q60" s="175"/>
      <c r="R60" s="175"/>
      <c r="S60" s="105" t="e">
        <f t="shared" si="21"/>
        <v>#N/A</v>
      </c>
      <c r="T60" s="412"/>
      <c r="U60" s="175"/>
      <c r="V60" s="175"/>
      <c r="W60" s="202"/>
      <c r="X60" s="105" t="e">
        <f t="shared" si="22"/>
        <v>#N/A</v>
      </c>
      <c r="Y60" s="412"/>
      <c r="Z60" s="175"/>
      <c r="AA60" s="175"/>
      <c r="AB60" s="202"/>
      <c r="AC60" s="105" t="e">
        <f t="shared" si="23"/>
        <v>#N/A</v>
      </c>
      <c r="AD60" s="412"/>
      <c r="AE60" s="175"/>
      <c r="AF60" s="175"/>
      <c r="AG60" s="202"/>
      <c r="AH60" s="105" t="e">
        <f t="shared" si="24"/>
        <v>#N/A</v>
      </c>
      <c r="AI60" s="412"/>
      <c r="AJ60" s="175"/>
      <c r="AK60" s="175"/>
      <c r="AL60" s="202"/>
      <c r="AM60" s="105" t="e">
        <f t="shared" si="25"/>
        <v>#N/A</v>
      </c>
      <c r="AN60" s="412"/>
      <c r="AO60" s="175"/>
      <c r="AP60" s="175"/>
      <c r="AQ60" s="202"/>
      <c r="AR60" s="105" t="e">
        <f t="shared" si="26"/>
        <v>#N/A</v>
      </c>
      <c r="AS60" s="412"/>
      <c r="AT60" s="175"/>
      <c r="AU60" s="175"/>
      <c r="AV60" s="202"/>
      <c r="AW60" s="105" t="e">
        <f t="shared" si="27"/>
        <v>#N/A</v>
      </c>
      <c r="AX60" s="412"/>
    </row>
    <row r="61" spans="2:50">
      <c r="B61" s="398"/>
      <c r="C61" s="105">
        <v>15</v>
      </c>
      <c r="D61" s="228"/>
      <c r="E61" s="175"/>
      <c r="F61" s="105"/>
      <c r="G61" s="202"/>
      <c r="H61" s="386"/>
      <c r="I61" s="105"/>
      <c r="J61" s="105"/>
      <c r="K61" s="105"/>
      <c r="L61" s="386"/>
      <c r="M61" s="175" t="e">
        <f>RANK(K61, K$47:$K$61)</f>
        <v>#N/A</v>
      </c>
      <c r="N61" s="387"/>
      <c r="O61" s="387"/>
      <c r="P61" s="175"/>
      <c r="Q61" s="175"/>
      <c r="R61" s="175"/>
      <c r="S61" s="105" t="e">
        <f t="shared" si="21"/>
        <v>#N/A</v>
      </c>
      <c r="T61" s="412"/>
      <c r="U61" s="175"/>
      <c r="V61" s="175"/>
      <c r="W61" s="202"/>
      <c r="X61" s="105" t="e">
        <f t="shared" si="22"/>
        <v>#N/A</v>
      </c>
      <c r="Y61" s="412"/>
      <c r="Z61" s="175"/>
      <c r="AA61" s="175"/>
      <c r="AB61" s="202"/>
      <c r="AC61" s="105" t="e">
        <f t="shared" si="23"/>
        <v>#N/A</v>
      </c>
      <c r="AD61" s="412"/>
      <c r="AE61" s="175"/>
      <c r="AF61" s="175"/>
      <c r="AG61" s="202"/>
      <c r="AH61" s="105" t="e">
        <f t="shared" si="24"/>
        <v>#N/A</v>
      </c>
      <c r="AI61" s="412"/>
      <c r="AJ61" s="175"/>
      <c r="AK61" s="175"/>
      <c r="AL61" s="202"/>
      <c r="AM61" s="105" t="e">
        <f t="shared" si="25"/>
        <v>#N/A</v>
      </c>
      <c r="AN61" s="412"/>
      <c r="AO61" s="175"/>
      <c r="AP61" s="175"/>
      <c r="AQ61" s="202"/>
      <c r="AR61" s="105" t="e">
        <f t="shared" si="26"/>
        <v>#N/A</v>
      </c>
      <c r="AS61" s="412"/>
      <c r="AT61" s="175"/>
      <c r="AU61" s="175"/>
      <c r="AV61" s="202"/>
      <c r="AW61" s="105" t="e">
        <f t="shared" si="27"/>
        <v>#N/A</v>
      </c>
      <c r="AX61" s="412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28">Z62+1</f>
        <v>45891</v>
      </c>
      <c r="AF62" s="395"/>
      <c r="AG62" s="395"/>
      <c r="AH62" s="395"/>
      <c r="AI62" s="396"/>
      <c r="AJ62" s="394">
        <f t="shared" ref="AJ62" si="29">AE62+1</f>
        <v>45892</v>
      </c>
      <c r="AK62" s="395"/>
      <c r="AL62" s="395"/>
      <c r="AM62" s="395"/>
      <c r="AN62" s="396"/>
      <c r="AO62" s="394">
        <f t="shared" ref="AO62" si="30">AJ62+1</f>
        <v>45893</v>
      </c>
      <c r="AP62" s="395"/>
      <c r="AQ62" s="395"/>
      <c r="AR62" s="395"/>
      <c r="AS62" s="396"/>
      <c r="AT62" s="394">
        <f t="shared" ref="AT62" si="31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387" t="s">
        <v>299</v>
      </c>
      <c r="C67" s="105">
        <v>1</v>
      </c>
      <c r="D67" s="228" t="s">
        <v>300</v>
      </c>
      <c r="E67" s="175">
        <v>19</v>
      </c>
      <c r="F67" s="105">
        <v>1636</v>
      </c>
      <c r="G67" s="202">
        <v>86.10526315789474</v>
      </c>
      <c r="H67" s="384">
        <f>AVERAGE(G67:G81)</f>
        <v>85.921428220410988</v>
      </c>
      <c r="I67" s="175">
        <f>AVERAGE(P67,U67,Z67,AE67,AJ67,AO67,AT67)</f>
        <v>19</v>
      </c>
      <c r="J67" s="175">
        <f>AVERAGE(Q67,V67,AA67,AF67,AK67,AP67,AU67)</f>
        <v>1383.5275625994745</v>
      </c>
      <c r="K67" s="202">
        <f>AVERAGE(R67,W67,AB67,AG67,AL67,AQ67,AV67)</f>
        <v>72.817240136814448</v>
      </c>
      <c r="L67" s="384">
        <f>IFERROR(AVERAGE(K67:K81),"-")</f>
        <v>73.563268093109187</v>
      </c>
      <c r="M67" s="203">
        <f>RANK(K67, K$67:$K$81)</f>
        <v>5</v>
      </c>
      <c r="N67" s="387"/>
      <c r="O67" s="387"/>
      <c r="P67" s="175">
        <v>19</v>
      </c>
      <c r="Q67" s="175">
        <v>1388.2978723404251</v>
      </c>
      <c r="R67" s="175">
        <v>73.068309070548693</v>
      </c>
      <c r="S67" s="105">
        <f>RANK(R67, R$67:R$81)</f>
        <v>4</v>
      </c>
      <c r="T67" s="412">
        <f>AVERAGE(R67:R81)</f>
        <v>72.642768616822082</v>
      </c>
      <c r="U67" s="175">
        <v>19</v>
      </c>
      <c r="V67" s="175">
        <v>1373.0526315789471</v>
      </c>
      <c r="W67" s="175">
        <v>72.265927977839326</v>
      </c>
      <c r="X67" s="105">
        <f>RANK(W67, W$67:W$81)</f>
        <v>4</v>
      </c>
      <c r="Y67" s="412">
        <f>AVERAGE(W67:W81)</f>
        <v>73.028002364664076</v>
      </c>
      <c r="Z67" s="175">
        <v>19</v>
      </c>
      <c r="AA67" s="175">
        <v>1409.0109890109889</v>
      </c>
      <c r="AB67" s="175">
        <v>74.158473105841523</v>
      </c>
      <c r="AC67" s="105">
        <f>RANK(AB67, AB$67:AB$81)</f>
        <v>5</v>
      </c>
      <c r="AD67" s="412">
        <f>AVERAGE(AB67:AB81)</f>
        <v>74.140800929597489</v>
      </c>
      <c r="AE67" s="175">
        <v>19</v>
      </c>
      <c r="AF67" s="175">
        <v>1380.7792207792206</v>
      </c>
      <c r="AG67" s="175">
        <v>72.672590567327404</v>
      </c>
      <c r="AH67" s="105">
        <f>RANK(AG67, AG$67:AG$81)</f>
        <v>4</v>
      </c>
      <c r="AI67" s="412">
        <f>AVERAGE(AG67:AG81)</f>
        <v>71.989251350000231</v>
      </c>
      <c r="AJ67" s="175">
        <v>19</v>
      </c>
      <c r="AK67" s="175">
        <v>1362.6506024096389</v>
      </c>
      <c r="AL67" s="175">
        <v>71.718452758402051</v>
      </c>
      <c r="AM67" s="105">
        <f>RANK(AL67, AL$67:AL$81)</f>
        <v>5</v>
      </c>
      <c r="AN67" s="412">
        <f>AVERAGE(AL67:AL81)</f>
        <v>73.561956520538757</v>
      </c>
      <c r="AO67" s="175">
        <v>19</v>
      </c>
      <c r="AP67" s="175">
        <v>1362.1782178217823</v>
      </c>
      <c r="AQ67" s="175">
        <v>71.693590411672744</v>
      </c>
      <c r="AR67" s="105">
        <f>RANK(AQ67, AQ$67:AQ$81)</f>
        <v>5</v>
      </c>
      <c r="AS67" s="412">
        <f>AVERAGE(AQ67:AQ81)</f>
        <v>73.929770414499203</v>
      </c>
      <c r="AT67" s="175">
        <v>19</v>
      </c>
      <c r="AU67" s="175">
        <v>1408.7234042553187</v>
      </c>
      <c r="AV67" s="175">
        <v>74.143337066069407</v>
      </c>
      <c r="AW67" s="105">
        <f>RANK(AV67, AV$67:AV$81)</f>
        <v>5</v>
      </c>
      <c r="AX67" s="412">
        <f>AVERAGE(AV67:AV81)</f>
        <v>77.059097416395872</v>
      </c>
    </row>
    <row r="68" spans="2:50">
      <c r="B68" s="398"/>
      <c r="C68" s="105">
        <v>2</v>
      </c>
      <c r="D68" s="228" t="s">
        <v>306</v>
      </c>
      <c r="E68" s="175">
        <v>17</v>
      </c>
      <c r="F68" s="105">
        <v>1500</v>
      </c>
      <c r="G68" s="202">
        <v>88.235294117647058</v>
      </c>
      <c r="H68" s="385"/>
      <c r="I68" s="175">
        <f t="shared" ref="I68:K73" si="32">AVERAGE(P68,U68,Z68,AE68,AJ68,AO68,AT68)</f>
        <v>17</v>
      </c>
      <c r="J68" s="175">
        <f t="shared" si="32"/>
        <v>1329.742468001396</v>
      </c>
      <c r="K68" s="202">
        <f t="shared" si="32"/>
        <v>78.220145176552705</v>
      </c>
      <c r="L68" s="385"/>
      <c r="M68" s="203">
        <f>RANK(K68, K$67:$K$81)</f>
        <v>1</v>
      </c>
      <c r="N68" s="387"/>
      <c r="O68" s="387"/>
      <c r="P68" s="175">
        <v>17</v>
      </c>
      <c r="Q68" s="175">
        <v>1346.4000000000003</v>
      </c>
      <c r="R68" s="175">
        <v>79.200000000000017</v>
      </c>
      <c r="S68" s="105">
        <f t="shared" ref="S68:S81" si="33">RANK(R68, R$67:R$81)</f>
        <v>1</v>
      </c>
      <c r="T68" s="412"/>
      <c r="U68" s="175">
        <v>17</v>
      </c>
      <c r="V68" s="175">
        <v>1290.5660377358497</v>
      </c>
      <c r="W68" s="175">
        <v>75.915649278579394</v>
      </c>
      <c r="X68" s="105">
        <f t="shared" ref="X68:X81" si="34">RANK(W68, W$67:W$81)</f>
        <v>2</v>
      </c>
      <c r="Y68" s="412"/>
      <c r="Z68" s="175">
        <v>17</v>
      </c>
      <c r="AA68" s="175">
        <v>1363.7500000000005</v>
      </c>
      <c r="AB68" s="175">
        <v>80.220588235294144</v>
      </c>
      <c r="AC68" s="105">
        <f t="shared" ref="AC68:AC81" si="35">RANK(AB68, AB$67:AB$81)</f>
        <v>1</v>
      </c>
      <c r="AD68" s="412"/>
      <c r="AE68" s="175">
        <v>17</v>
      </c>
      <c r="AF68" s="175">
        <v>1312.3076923076917</v>
      </c>
      <c r="AG68" s="175">
        <v>77.194570135746574</v>
      </c>
      <c r="AH68" s="105">
        <f t="shared" ref="AH68:AH81" si="36">RANK(AG68, AG$67:AG$81)</f>
        <v>1</v>
      </c>
      <c r="AI68" s="412"/>
      <c r="AJ68" s="175">
        <v>17</v>
      </c>
      <c r="AK68" s="175">
        <v>1305.365853658536</v>
      </c>
      <c r="AL68" s="175">
        <v>76.786226685796237</v>
      </c>
      <c r="AM68" s="105">
        <f t="shared" ref="AM68:AM81" si="37">RANK(AL68, AL$67:AL$81)</f>
        <v>2</v>
      </c>
      <c r="AN68" s="412"/>
      <c r="AO68" s="175">
        <v>17</v>
      </c>
      <c r="AP68" s="175">
        <v>1322.3076923076931</v>
      </c>
      <c r="AQ68" s="175">
        <v>77.782805429864297</v>
      </c>
      <c r="AR68" s="105">
        <f t="shared" ref="AR68:AR81" si="38">RANK(AQ68, AQ$67:AQ$81)</f>
        <v>2</v>
      </c>
      <c r="AS68" s="412"/>
      <c r="AT68" s="175">
        <v>17</v>
      </c>
      <c r="AU68" s="175">
        <v>1367.5000000000005</v>
      </c>
      <c r="AV68" s="175">
        <v>80.44117647058826</v>
      </c>
      <c r="AW68" s="105">
        <f t="shared" ref="AW68:AW81" si="39">RANK(AV68, AV$67:AV$81)</f>
        <v>2</v>
      </c>
      <c r="AX68" s="412"/>
    </row>
    <row r="69" spans="2:50">
      <c r="B69" s="398"/>
      <c r="C69" s="105">
        <v>3</v>
      </c>
      <c r="D69" s="228" t="s">
        <v>303</v>
      </c>
      <c r="E69" s="175">
        <v>18</v>
      </c>
      <c r="F69" s="105">
        <v>1636</v>
      </c>
      <c r="G69" s="202">
        <v>90.888888888888886</v>
      </c>
      <c r="H69" s="385"/>
      <c r="I69" s="175">
        <f t="shared" si="32"/>
        <v>18</v>
      </c>
      <c r="J69" s="175">
        <f t="shared" si="32"/>
        <v>1374.5866313385502</v>
      </c>
      <c r="K69" s="202">
        <f t="shared" si="32"/>
        <v>76.365923963252769</v>
      </c>
      <c r="L69" s="385"/>
      <c r="M69" s="203">
        <f>RANK(K69, K$67:$K$81)</f>
        <v>3</v>
      </c>
      <c r="N69" s="387"/>
      <c r="O69" s="387"/>
      <c r="P69" s="175">
        <v>18</v>
      </c>
      <c r="Q69" s="175">
        <v>1374.3773584905662</v>
      </c>
      <c r="R69" s="175">
        <v>76.354297693920344</v>
      </c>
      <c r="S69" s="105">
        <f t="shared" si="33"/>
        <v>2</v>
      </c>
      <c r="T69" s="412"/>
      <c r="U69" s="175">
        <v>18</v>
      </c>
      <c r="V69" s="175">
        <v>1381.2080536912756</v>
      </c>
      <c r="W69" s="175">
        <v>76.733780760626416</v>
      </c>
      <c r="X69" s="105">
        <f t="shared" si="34"/>
        <v>1</v>
      </c>
      <c r="Y69" s="412"/>
      <c r="Z69" s="175">
        <v>18</v>
      </c>
      <c r="AA69" s="175">
        <v>1383.3191489361698</v>
      </c>
      <c r="AB69" s="175">
        <v>76.851063829787208</v>
      </c>
      <c r="AC69" s="105">
        <f t="shared" si="35"/>
        <v>2</v>
      </c>
      <c r="AD69" s="412"/>
      <c r="AE69" s="175">
        <v>18</v>
      </c>
      <c r="AF69" s="175">
        <v>1345.9266055045869</v>
      </c>
      <c r="AG69" s="175">
        <v>74.77370030581038</v>
      </c>
      <c r="AH69" s="105">
        <f t="shared" si="36"/>
        <v>2</v>
      </c>
      <c r="AI69" s="412"/>
      <c r="AJ69" s="175">
        <v>18</v>
      </c>
      <c r="AK69" s="175">
        <v>1392.4615384615381</v>
      </c>
      <c r="AL69" s="175">
        <v>77.358974358974336</v>
      </c>
      <c r="AM69" s="105">
        <f t="shared" si="37"/>
        <v>1</v>
      </c>
      <c r="AN69" s="412"/>
      <c r="AO69" s="175">
        <v>18</v>
      </c>
      <c r="AP69" s="175">
        <v>1378.285714285714</v>
      </c>
      <c r="AQ69" s="175">
        <v>76.571428571428555</v>
      </c>
      <c r="AR69" s="105">
        <f t="shared" si="38"/>
        <v>3</v>
      </c>
      <c r="AS69" s="412"/>
      <c r="AT69" s="175">
        <v>18</v>
      </c>
      <c r="AU69" s="175">
        <v>1366.5279999999998</v>
      </c>
      <c r="AV69" s="175">
        <v>75.918222222222212</v>
      </c>
      <c r="AW69" s="105">
        <f t="shared" si="39"/>
        <v>4</v>
      </c>
      <c r="AX69" s="412"/>
    </row>
    <row r="70" spans="2:50">
      <c r="B70" s="398"/>
      <c r="C70" s="105">
        <v>4</v>
      </c>
      <c r="D70" s="228" t="s">
        <v>304</v>
      </c>
      <c r="E70" s="175">
        <v>19</v>
      </c>
      <c r="F70" s="105">
        <v>1636</v>
      </c>
      <c r="G70" s="202">
        <v>86.10526315789474</v>
      </c>
      <c r="H70" s="385"/>
      <c r="I70" s="175">
        <f t="shared" si="32"/>
        <v>18.833333333333332</v>
      </c>
      <c r="J70" s="175">
        <f t="shared" si="32"/>
        <v>1265.0896464646466</v>
      </c>
      <c r="K70" s="202">
        <f t="shared" si="32"/>
        <v>67.197700691121739</v>
      </c>
      <c r="L70" s="385"/>
      <c r="M70" s="203">
        <f>RANK(K70, K$67:$K$81)</f>
        <v>7</v>
      </c>
      <c r="N70" s="387"/>
      <c r="O70" s="387"/>
      <c r="P70" s="175">
        <v>19</v>
      </c>
      <c r="Q70" s="175">
        <v>1283.7500000000005</v>
      </c>
      <c r="R70" s="175">
        <v>67.565789473684234</v>
      </c>
      <c r="S70" s="105">
        <f t="shared" si="33"/>
        <v>6</v>
      </c>
      <c r="T70" s="412"/>
      <c r="U70" s="175">
        <v>18</v>
      </c>
      <c r="V70" s="175">
        <v>1259.9999999999993</v>
      </c>
      <c r="W70" s="175">
        <v>69.999999999999957</v>
      </c>
      <c r="X70" s="105">
        <f t="shared" si="34"/>
        <v>7</v>
      </c>
      <c r="Y70" s="412"/>
      <c r="Z70" s="175">
        <v>19</v>
      </c>
      <c r="AA70" s="175">
        <v>1276.3636363636365</v>
      </c>
      <c r="AB70" s="175">
        <v>67.177033492822972</v>
      </c>
      <c r="AC70" s="105">
        <f t="shared" si="35"/>
        <v>7</v>
      </c>
      <c r="AD70" s="412"/>
      <c r="AE70" s="175">
        <v>19</v>
      </c>
      <c r="AF70" s="175">
        <v>1229.090909090909</v>
      </c>
      <c r="AG70" s="175">
        <v>64.688995215310996</v>
      </c>
      <c r="AH70" s="105">
        <f t="shared" si="36"/>
        <v>7</v>
      </c>
      <c r="AI70" s="412"/>
      <c r="AJ70" s="175">
        <v>19</v>
      </c>
      <c r="AK70" s="175">
        <v>1286.666666666667</v>
      </c>
      <c r="AL70" s="175">
        <v>67.719298245614056</v>
      </c>
      <c r="AM70" s="105">
        <f t="shared" si="37"/>
        <v>7</v>
      </c>
      <c r="AN70" s="412"/>
      <c r="AO70" s="175">
        <v>19</v>
      </c>
      <c r="AP70" s="175">
        <v>1254.6666666666667</v>
      </c>
      <c r="AQ70" s="175">
        <v>66.035087719298247</v>
      </c>
      <c r="AR70" s="105">
        <f t="shared" si="38"/>
        <v>7</v>
      </c>
      <c r="AS70" s="412"/>
      <c r="AT70" s="175"/>
      <c r="AU70" s="175"/>
      <c r="AV70" s="175"/>
      <c r="AW70" s="105" t="e">
        <f t="shared" si="39"/>
        <v>#N/A</v>
      </c>
      <c r="AX70" s="412"/>
    </row>
    <row r="71" spans="2:50">
      <c r="B71" s="398"/>
      <c r="C71" s="105">
        <v>5</v>
      </c>
      <c r="D71" s="228" t="s">
        <v>305</v>
      </c>
      <c r="E71" s="175">
        <v>19</v>
      </c>
      <c r="F71" s="105">
        <v>1636</v>
      </c>
      <c r="G71" s="202">
        <v>86.10526315789474</v>
      </c>
      <c r="H71" s="385"/>
      <c r="I71" s="175">
        <f t="shared" si="32"/>
        <v>17.428571428571427</v>
      </c>
      <c r="J71" s="175">
        <f t="shared" si="32"/>
        <v>1341.5446224299114</v>
      </c>
      <c r="K71" s="202">
        <f t="shared" si="32"/>
        <v>77.189581749589635</v>
      </c>
      <c r="L71" s="385"/>
      <c r="M71" s="203">
        <f>RANK(K71, K$67:$K$81)</f>
        <v>2</v>
      </c>
      <c r="N71" s="387"/>
      <c r="O71" s="387"/>
      <c r="P71" s="175">
        <v>18</v>
      </c>
      <c r="Q71" s="175">
        <v>1330.7999999999995</v>
      </c>
      <c r="R71" s="175">
        <v>73.933333333333309</v>
      </c>
      <c r="S71" s="105">
        <f t="shared" si="33"/>
        <v>3</v>
      </c>
      <c r="T71" s="412"/>
      <c r="U71" s="175">
        <v>18</v>
      </c>
      <c r="V71" s="175">
        <v>1356.7346938775513</v>
      </c>
      <c r="W71" s="175">
        <v>75.37414965986396</v>
      </c>
      <c r="X71" s="105">
        <f t="shared" si="34"/>
        <v>3</v>
      </c>
      <c r="Y71" s="412"/>
      <c r="Z71" s="175">
        <v>18</v>
      </c>
      <c r="AA71" s="175">
        <v>1345.979381443299</v>
      </c>
      <c r="AB71" s="175">
        <v>74.776632302405503</v>
      </c>
      <c r="AC71" s="105">
        <f t="shared" si="35"/>
        <v>3</v>
      </c>
      <c r="AD71" s="412"/>
      <c r="AE71" s="175">
        <v>18</v>
      </c>
      <c r="AF71" s="175">
        <v>1324.8000000000006</v>
      </c>
      <c r="AG71" s="175">
        <v>73.600000000000037</v>
      </c>
      <c r="AH71" s="105">
        <f t="shared" si="36"/>
        <v>3</v>
      </c>
      <c r="AI71" s="412"/>
      <c r="AJ71" s="175">
        <v>18</v>
      </c>
      <c r="AK71" s="175">
        <v>1351.8987341772161</v>
      </c>
      <c r="AL71" s="175">
        <v>75.105485232067565</v>
      </c>
      <c r="AM71" s="105">
        <f t="shared" si="37"/>
        <v>4</v>
      </c>
      <c r="AN71" s="412"/>
      <c r="AO71" s="175">
        <v>16</v>
      </c>
      <c r="AP71" s="175">
        <v>1319.4230769230776</v>
      </c>
      <c r="AQ71" s="175">
        <v>82.463942307692349</v>
      </c>
      <c r="AR71" s="105">
        <f t="shared" si="38"/>
        <v>1</v>
      </c>
      <c r="AS71" s="412"/>
      <c r="AT71" s="175">
        <v>16</v>
      </c>
      <c r="AU71" s="175">
        <v>1361.1764705882358</v>
      </c>
      <c r="AV71" s="175">
        <v>85.073529411764738</v>
      </c>
      <c r="AW71" s="105">
        <f t="shared" si="39"/>
        <v>1</v>
      </c>
      <c r="AX71" s="412"/>
    </row>
    <row r="72" spans="2:50">
      <c r="B72" s="398"/>
      <c r="C72" s="105">
        <v>6</v>
      </c>
      <c r="D72" s="228" t="s">
        <v>308</v>
      </c>
      <c r="E72" s="175">
        <v>21</v>
      </c>
      <c r="F72" s="105">
        <v>1636</v>
      </c>
      <c r="G72" s="202">
        <v>77.904761904761898</v>
      </c>
      <c r="H72" s="385"/>
      <c r="I72" s="175">
        <f t="shared" si="32"/>
        <v>18.285714285714285</v>
      </c>
      <c r="J72" s="175">
        <f t="shared" si="32"/>
        <v>1275.7752316034514</v>
      </c>
      <c r="K72" s="202">
        <f t="shared" si="32"/>
        <v>69.830801755747316</v>
      </c>
      <c r="L72" s="385"/>
      <c r="M72" s="203">
        <f>RANK(K72, K$67:$K$81)</f>
        <v>6</v>
      </c>
      <c r="N72" s="387"/>
      <c r="O72" s="387"/>
      <c r="P72" s="175">
        <v>20</v>
      </c>
      <c r="Q72" s="175">
        <v>1317.4559999999881</v>
      </c>
      <c r="R72" s="175">
        <v>65.872799999999401</v>
      </c>
      <c r="S72" s="105">
        <f t="shared" si="33"/>
        <v>7</v>
      </c>
      <c r="T72" s="412"/>
      <c r="U72" s="175">
        <v>18</v>
      </c>
      <c r="V72" s="175">
        <v>1270.7999999999975</v>
      </c>
      <c r="W72" s="175">
        <v>70.599999999999852</v>
      </c>
      <c r="X72" s="105">
        <f t="shared" si="34"/>
        <v>5</v>
      </c>
      <c r="Y72" s="412"/>
      <c r="Z72" s="175">
        <v>18</v>
      </c>
      <c r="AA72" s="175">
        <v>1283.6444444444417</v>
      </c>
      <c r="AB72" s="175">
        <v>71.313580246913432</v>
      </c>
      <c r="AC72" s="105">
        <f t="shared" si="35"/>
        <v>6</v>
      </c>
      <c r="AD72" s="412"/>
      <c r="AE72" s="175">
        <v>18</v>
      </c>
      <c r="AF72" s="175">
        <v>1256.9759999999965</v>
      </c>
      <c r="AG72" s="175">
        <v>69.831999999999809</v>
      </c>
      <c r="AH72" s="105">
        <f t="shared" si="36"/>
        <v>6</v>
      </c>
      <c r="AI72" s="412"/>
      <c r="AJ72" s="175">
        <v>18</v>
      </c>
      <c r="AK72" s="175">
        <v>1258.1739130434828</v>
      </c>
      <c r="AL72" s="175">
        <v>69.898550724637929</v>
      </c>
      <c r="AM72" s="105">
        <f t="shared" si="37"/>
        <v>6</v>
      </c>
      <c r="AN72" s="412"/>
      <c r="AO72" s="175">
        <v>18</v>
      </c>
      <c r="AP72" s="175">
        <v>1292.307692307689</v>
      </c>
      <c r="AQ72" s="175">
        <v>71.794871794871611</v>
      </c>
      <c r="AR72" s="105">
        <f t="shared" si="38"/>
        <v>4</v>
      </c>
      <c r="AS72" s="412"/>
      <c r="AT72" s="175">
        <v>18</v>
      </c>
      <c r="AU72" s="175">
        <v>1251.0685714285642</v>
      </c>
      <c r="AV72" s="175">
        <v>69.503809523809124</v>
      </c>
      <c r="AW72" s="105">
        <f t="shared" si="39"/>
        <v>6</v>
      </c>
      <c r="AX72" s="412"/>
    </row>
    <row r="73" spans="2:50">
      <c r="B73" s="398"/>
      <c r="C73" s="105">
        <v>7</v>
      </c>
      <c r="D73" s="228" t="s">
        <v>309</v>
      </c>
      <c r="E73" s="175">
        <v>19</v>
      </c>
      <c r="F73" s="105">
        <v>1636</v>
      </c>
      <c r="G73" s="202">
        <v>86.10526315789474</v>
      </c>
      <c r="H73" s="385"/>
      <c r="I73" s="175">
        <f t="shared" si="32"/>
        <v>17.571428571428573</v>
      </c>
      <c r="J73" s="175">
        <f t="shared" si="32"/>
        <v>1287.1996325397254</v>
      </c>
      <c r="K73" s="202">
        <f t="shared" si="32"/>
        <v>73.321483178685668</v>
      </c>
      <c r="L73" s="385"/>
      <c r="M73" s="203">
        <f>RANK(K73, K$67:$K$81)</f>
        <v>4</v>
      </c>
      <c r="N73" s="387"/>
      <c r="O73" s="387"/>
      <c r="P73" s="175">
        <v>18</v>
      </c>
      <c r="Q73" s="175">
        <v>1305.0873134328358</v>
      </c>
      <c r="R73" s="175">
        <v>72.504850746268659</v>
      </c>
      <c r="S73" s="105">
        <f t="shared" si="33"/>
        <v>5</v>
      </c>
      <c r="T73" s="412"/>
      <c r="U73" s="175">
        <v>18</v>
      </c>
      <c r="V73" s="175">
        <v>1265.5171597633134</v>
      </c>
      <c r="W73" s="175">
        <v>70.306508875739638</v>
      </c>
      <c r="X73" s="105">
        <f t="shared" si="34"/>
        <v>6</v>
      </c>
      <c r="Y73" s="412"/>
      <c r="Z73" s="175">
        <v>17</v>
      </c>
      <c r="AA73" s="175">
        <v>1266.3</v>
      </c>
      <c r="AB73" s="175">
        <v>74.488235294117644</v>
      </c>
      <c r="AC73" s="105">
        <f t="shared" si="35"/>
        <v>4</v>
      </c>
      <c r="AD73" s="412"/>
      <c r="AE73" s="175">
        <v>18</v>
      </c>
      <c r="AF73" s="175">
        <v>1280.9322580645157</v>
      </c>
      <c r="AG73" s="175">
        <v>71.162903225806431</v>
      </c>
      <c r="AH73" s="105">
        <f t="shared" si="36"/>
        <v>5</v>
      </c>
      <c r="AI73" s="412"/>
      <c r="AJ73" s="175">
        <v>17</v>
      </c>
      <c r="AK73" s="175">
        <v>1297.8940298507464</v>
      </c>
      <c r="AL73" s="175">
        <v>76.346707638279199</v>
      </c>
      <c r="AM73" s="105">
        <f t="shared" si="37"/>
        <v>3</v>
      </c>
      <c r="AN73" s="412"/>
      <c r="AO73" s="175">
        <v>18</v>
      </c>
      <c r="AP73" s="175">
        <v>1280.9999999999995</v>
      </c>
      <c r="AQ73" s="175">
        <v>71.166666666666643</v>
      </c>
      <c r="AR73" s="105">
        <f t="shared" si="38"/>
        <v>6</v>
      </c>
      <c r="AS73" s="412"/>
      <c r="AT73" s="175">
        <v>17</v>
      </c>
      <c r="AU73" s="175">
        <v>1313.6666666666656</v>
      </c>
      <c r="AV73" s="175">
        <v>77.274509803921504</v>
      </c>
      <c r="AW73" s="105">
        <f t="shared" si="39"/>
        <v>3</v>
      </c>
      <c r="AX73" s="412"/>
    </row>
    <row r="74" spans="2:50">
      <c r="B74" s="398"/>
      <c r="C74" s="105">
        <v>8</v>
      </c>
      <c r="D74" s="228"/>
      <c r="E74" s="175"/>
      <c r="F74" s="105"/>
      <c r="G74" s="202"/>
      <c r="H74" s="385"/>
      <c r="I74" s="175"/>
      <c r="J74" s="175"/>
      <c r="K74" s="202"/>
      <c r="L74" s="385"/>
      <c r="M74" s="203" t="e">
        <f>RANK(K74, K$67:$K$81)</f>
        <v>#N/A</v>
      </c>
      <c r="N74" s="387"/>
      <c r="O74" s="387"/>
      <c r="P74" s="175"/>
      <c r="Q74" s="175"/>
      <c r="R74" s="175"/>
      <c r="S74" s="105" t="e">
        <f t="shared" si="33"/>
        <v>#N/A</v>
      </c>
      <c r="T74" s="412"/>
      <c r="U74" s="175"/>
      <c r="V74" s="175"/>
      <c r="W74" s="175"/>
      <c r="X74" s="105" t="e">
        <f t="shared" si="34"/>
        <v>#N/A</v>
      </c>
      <c r="Y74" s="412"/>
      <c r="Z74" s="175"/>
      <c r="AA74" s="175"/>
      <c r="AB74" s="175"/>
      <c r="AC74" s="105" t="e">
        <f t="shared" si="35"/>
        <v>#N/A</v>
      </c>
      <c r="AD74" s="412"/>
      <c r="AE74" s="175"/>
      <c r="AF74" s="175"/>
      <c r="AG74" s="175"/>
      <c r="AH74" s="105" t="e">
        <f t="shared" si="36"/>
        <v>#N/A</v>
      </c>
      <c r="AI74" s="412"/>
      <c r="AJ74" s="175"/>
      <c r="AK74" s="175"/>
      <c r="AL74" s="175"/>
      <c r="AM74" s="105" t="e">
        <f t="shared" si="37"/>
        <v>#N/A</v>
      </c>
      <c r="AN74" s="412"/>
      <c r="AO74" s="175"/>
      <c r="AP74" s="175"/>
      <c r="AQ74" s="175"/>
      <c r="AR74" s="105" t="e">
        <f t="shared" si="38"/>
        <v>#N/A</v>
      </c>
      <c r="AS74" s="412"/>
      <c r="AT74" s="175"/>
      <c r="AU74" s="175"/>
      <c r="AV74" s="175"/>
      <c r="AW74" s="105" t="e">
        <f t="shared" si="39"/>
        <v>#N/A</v>
      </c>
      <c r="AX74" s="412"/>
    </row>
    <row r="75" spans="2:50">
      <c r="B75" s="398"/>
      <c r="C75" s="105">
        <v>9</v>
      </c>
      <c r="D75" s="228"/>
      <c r="E75" s="175"/>
      <c r="F75" s="105"/>
      <c r="G75" s="202"/>
      <c r="H75" s="385"/>
      <c r="I75" s="175"/>
      <c r="J75" s="175"/>
      <c r="K75" s="202"/>
      <c r="L75" s="385"/>
      <c r="M75" s="203" t="e">
        <f>RANK(K75, K$67:$K$81)</f>
        <v>#N/A</v>
      </c>
      <c r="N75" s="387"/>
      <c r="O75" s="387"/>
      <c r="P75" s="175"/>
      <c r="Q75" s="175"/>
      <c r="R75" s="175"/>
      <c r="S75" s="105" t="e">
        <f t="shared" si="33"/>
        <v>#N/A</v>
      </c>
      <c r="T75" s="412"/>
      <c r="U75" s="175"/>
      <c r="V75" s="175"/>
      <c r="W75" s="202"/>
      <c r="X75" s="105" t="e">
        <f t="shared" si="34"/>
        <v>#N/A</v>
      </c>
      <c r="Y75" s="412"/>
      <c r="Z75" s="175"/>
      <c r="AA75" s="175"/>
      <c r="AB75" s="202"/>
      <c r="AC75" s="105" t="e">
        <f t="shared" si="35"/>
        <v>#N/A</v>
      </c>
      <c r="AD75" s="412"/>
      <c r="AE75" s="175"/>
      <c r="AF75" s="175"/>
      <c r="AG75" s="202"/>
      <c r="AH75" s="105" t="e">
        <f t="shared" si="36"/>
        <v>#N/A</v>
      </c>
      <c r="AI75" s="412"/>
      <c r="AJ75" s="175"/>
      <c r="AK75" s="175"/>
      <c r="AL75" s="202"/>
      <c r="AM75" s="105" t="e">
        <f t="shared" si="37"/>
        <v>#N/A</v>
      </c>
      <c r="AN75" s="412"/>
      <c r="AO75" s="175"/>
      <c r="AP75" s="175"/>
      <c r="AQ75" s="202"/>
      <c r="AR75" s="105" t="e">
        <f t="shared" si="38"/>
        <v>#N/A</v>
      </c>
      <c r="AS75" s="412"/>
      <c r="AT75" s="175"/>
      <c r="AU75" s="175"/>
      <c r="AV75" s="202"/>
      <c r="AW75" s="105" t="e">
        <f t="shared" si="39"/>
        <v>#N/A</v>
      </c>
      <c r="AX75" s="412"/>
    </row>
    <row r="76" spans="2:50">
      <c r="B76" s="398"/>
      <c r="C76" s="105">
        <v>10</v>
      </c>
      <c r="D76" s="228"/>
      <c r="E76" s="175"/>
      <c r="F76" s="105"/>
      <c r="G76" s="202"/>
      <c r="H76" s="385"/>
      <c r="I76" s="175"/>
      <c r="J76" s="175"/>
      <c r="K76" s="202"/>
      <c r="L76" s="385"/>
      <c r="M76" s="203" t="e">
        <f>RANK(K76, K$67:$K$81)</f>
        <v>#N/A</v>
      </c>
      <c r="N76" s="387"/>
      <c r="O76" s="387"/>
      <c r="P76" s="175"/>
      <c r="Q76" s="175"/>
      <c r="R76" s="175"/>
      <c r="S76" s="105" t="e">
        <f t="shared" si="33"/>
        <v>#N/A</v>
      </c>
      <c r="T76" s="412"/>
      <c r="U76" s="175"/>
      <c r="V76" s="175"/>
      <c r="W76" s="202"/>
      <c r="X76" s="105" t="e">
        <f t="shared" si="34"/>
        <v>#N/A</v>
      </c>
      <c r="Y76" s="412"/>
      <c r="Z76" s="175"/>
      <c r="AA76" s="175"/>
      <c r="AB76" s="202"/>
      <c r="AC76" s="105" t="e">
        <f t="shared" si="35"/>
        <v>#N/A</v>
      </c>
      <c r="AD76" s="412"/>
      <c r="AE76" s="175"/>
      <c r="AF76" s="175"/>
      <c r="AG76" s="202"/>
      <c r="AH76" s="105" t="e">
        <f t="shared" si="36"/>
        <v>#N/A</v>
      </c>
      <c r="AI76" s="412"/>
      <c r="AJ76" s="175"/>
      <c r="AK76" s="175"/>
      <c r="AL76" s="202"/>
      <c r="AM76" s="105" t="e">
        <f t="shared" si="37"/>
        <v>#N/A</v>
      </c>
      <c r="AN76" s="412"/>
      <c r="AO76" s="175"/>
      <c r="AP76" s="175"/>
      <c r="AQ76" s="202"/>
      <c r="AR76" s="105" t="e">
        <f t="shared" si="38"/>
        <v>#N/A</v>
      </c>
      <c r="AS76" s="412"/>
      <c r="AT76" s="175"/>
      <c r="AU76" s="175"/>
      <c r="AV76" s="202"/>
      <c r="AW76" s="105" t="e">
        <f t="shared" si="39"/>
        <v>#N/A</v>
      </c>
      <c r="AX76" s="412"/>
    </row>
    <row r="77" spans="2:50">
      <c r="B77" s="398"/>
      <c r="C77" s="105">
        <v>11</v>
      </c>
      <c r="D77" s="228"/>
      <c r="E77" s="175"/>
      <c r="F77" s="105"/>
      <c r="G77" s="202"/>
      <c r="H77" s="385"/>
      <c r="I77" s="105"/>
      <c r="J77" s="105"/>
      <c r="K77" s="105"/>
      <c r="L77" s="385"/>
      <c r="M77" s="203" t="e">
        <f>RANK(K77, K$67:$K$81)</f>
        <v>#N/A</v>
      </c>
      <c r="N77" s="387"/>
      <c r="O77" s="387"/>
      <c r="P77" s="175"/>
      <c r="Q77" s="175"/>
      <c r="R77" s="175"/>
      <c r="S77" s="105" t="e">
        <f t="shared" si="33"/>
        <v>#N/A</v>
      </c>
      <c r="T77" s="412"/>
      <c r="U77" s="175"/>
      <c r="V77" s="175"/>
      <c r="W77" s="202"/>
      <c r="X77" s="105" t="e">
        <f t="shared" si="34"/>
        <v>#N/A</v>
      </c>
      <c r="Y77" s="412"/>
      <c r="Z77" s="175"/>
      <c r="AA77" s="175"/>
      <c r="AB77" s="202"/>
      <c r="AC77" s="105" t="e">
        <f t="shared" si="35"/>
        <v>#N/A</v>
      </c>
      <c r="AD77" s="412"/>
      <c r="AE77" s="175"/>
      <c r="AF77" s="175"/>
      <c r="AG77" s="202"/>
      <c r="AH77" s="105" t="e">
        <f t="shared" si="36"/>
        <v>#N/A</v>
      </c>
      <c r="AI77" s="412"/>
      <c r="AJ77" s="175"/>
      <c r="AK77" s="175"/>
      <c r="AL77" s="202"/>
      <c r="AM77" s="105" t="e">
        <f t="shared" si="37"/>
        <v>#N/A</v>
      </c>
      <c r="AN77" s="412"/>
      <c r="AO77" s="175"/>
      <c r="AP77" s="175"/>
      <c r="AQ77" s="202"/>
      <c r="AR77" s="105" t="e">
        <f t="shared" si="38"/>
        <v>#N/A</v>
      </c>
      <c r="AS77" s="412"/>
      <c r="AT77" s="175"/>
      <c r="AU77" s="175"/>
      <c r="AV77" s="202"/>
      <c r="AW77" s="105" t="e">
        <f t="shared" si="39"/>
        <v>#N/A</v>
      </c>
      <c r="AX77" s="412"/>
    </row>
    <row r="78" spans="2:50">
      <c r="B78" s="398"/>
      <c r="C78" s="105">
        <v>12</v>
      </c>
      <c r="D78" s="228"/>
      <c r="E78" s="175"/>
      <c r="F78" s="105"/>
      <c r="G78" s="202"/>
      <c r="H78" s="385"/>
      <c r="I78" s="105"/>
      <c r="J78" s="105"/>
      <c r="K78" s="105"/>
      <c r="L78" s="385"/>
      <c r="M78" s="203" t="e">
        <f>RANK(K78, K$67:$K$81)</f>
        <v>#N/A</v>
      </c>
      <c r="N78" s="387"/>
      <c r="O78" s="387"/>
      <c r="P78" s="175"/>
      <c r="Q78" s="175"/>
      <c r="R78" s="175"/>
      <c r="S78" s="105" t="e">
        <f t="shared" si="33"/>
        <v>#N/A</v>
      </c>
      <c r="T78" s="412"/>
      <c r="U78" s="175"/>
      <c r="V78" s="175"/>
      <c r="W78" s="202"/>
      <c r="X78" s="105" t="e">
        <f t="shared" si="34"/>
        <v>#N/A</v>
      </c>
      <c r="Y78" s="412"/>
      <c r="Z78" s="175"/>
      <c r="AA78" s="175"/>
      <c r="AB78" s="202"/>
      <c r="AC78" s="105" t="e">
        <f t="shared" si="35"/>
        <v>#N/A</v>
      </c>
      <c r="AD78" s="412"/>
      <c r="AE78" s="175"/>
      <c r="AF78" s="175"/>
      <c r="AG78" s="202"/>
      <c r="AH78" s="105" t="e">
        <f t="shared" si="36"/>
        <v>#N/A</v>
      </c>
      <c r="AI78" s="412"/>
      <c r="AJ78" s="175"/>
      <c r="AK78" s="175"/>
      <c r="AL78" s="202"/>
      <c r="AM78" s="105" t="e">
        <f t="shared" si="37"/>
        <v>#N/A</v>
      </c>
      <c r="AN78" s="412"/>
      <c r="AO78" s="175"/>
      <c r="AP78" s="175"/>
      <c r="AQ78" s="202"/>
      <c r="AR78" s="105" t="e">
        <f t="shared" si="38"/>
        <v>#N/A</v>
      </c>
      <c r="AS78" s="412"/>
      <c r="AT78" s="175"/>
      <c r="AU78" s="175"/>
      <c r="AV78" s="202"/>
      <c r="AW78" s="105" t="e">
        <f t="shared" si="39"/>
        <v>#N/A</v>
      </c>
      <c r="AX78" s="412"/>
    </row>
    <row r="79" spans="2:50">
      <c r="B79" s="398"/>
      <c r="C79" s="105">
        <v>13</v>
      </c>
      <c r="D79" s="228"/>
      <c r="E79" s="175"/>
      <c r="F79" s="105"/>
      <c r="G79" s="202"/>
      <c r="H79" s="385"/>
      <c r="I79" s="105"/>
      <c r="J79" s="105"/>
      <c r="K79" s="105"/>
      <c r="L79" s="385"/>
      <c r="M79" s="203" t="e">
        <f>RANK(K79, K$67:$K$81)</f>
        <v>#N/A</v>
      </c>
      <c r="N79" s="387"/>
      <c r="O79" s="387"/>
      <c r="P79" s="175"/>
      <c r="Q79" s="175"/>
      <c r="R79" s="175"/>
      <c r="S79" s="105" t="e">
        <f t="shared" si="33"/>
        <v>#N/A</v>
      </c>
      <c r="T79" s="412"/>
      <c r="U79" s="175"/>
      <c r="V79" s="175"/>
      <c r="W79" s="202"/>
      <c r="X79" s="105" t="e">
        <f t="shared" si="34"/>
        <v>#N/A</v>
      </c>
      <c r="Y79" s="412"/>
      <c r="Z79" s="175"/>
      <c r="AA79" s="175"/>
      <c r="AB79" s="202"/>
      <c r="AC79" s="105" t="e">
        <f t="shared" si="35"/>
        <v>#N/A</v>
      </c>
      <c r="AD79" s="412"/>
      <c r="AE79" s="175"/>
      <c r="AF79" s="175"/>
      <c r="AG79" s="202"/>
      <c r="AH79" s="105" t="e">
        <f t="shared" si="36"/>
        <v>#N/A</v>
      </c>
      <c r="AI79" s="412"/>
      <c r="AJ79" s="175"/>
      <c r="AK79" s="175"/>
      <c r="AL79" s="202"/>
      <c r="AM79" s="105" t="e">
        <f t="shared" si="37"/>
        <v>#N/A</v>
      </c>
      <c r="AN79" s="412"/>
      <c r="AO79" s="175"/>
      <c r="AP79" s="175"/>
      <c r="AQ79" s="202"/>
      <c r="AR79" s="105" t="e">
        <f t="shared" si="38"/>
        <v>#N/A</v>
      </c>
      <c r="AS79" s="412"/>
      <c r="AT79" s="175"/>
      <c r="AU79" s="175"/>
      <c r="AV79" s="202"/>
      <c r="AW79" s="105" t="e">
        <f t="shared" si="39"/>
        <v>#N/A</v>
      </c>
      <c r="AX79" s="412"/>
    </row>
    <row r="80" spans="2:50">
      <c r="B80" s="398"/>
      <c r="C80" s="105">
        <v>14</v>
      </c>
      <c r="D80" s="228"/>
      <c r="E80" s="175"/>
      <c r="F80" s="105"/>
      <c r="G80" s="202"/>
      <c r="H80" s="385"/>
      <c r="I80" s="105"/>
      <c r="J80" s="105"/>
      <c r="K80" s="105"/>
      <c r="L80" s="385"/>
      <c r="M80" s="203" t="e">
        <f>RANK(K80, K$67:$K$81)</f>
        <v>#N/A</v>
      </c>
      <c r="N80" s="387"/>
      <c r="O80" s="387"/>
      <c r="P80" s="175"/>
      <c r="Q80" s="175"/>
      <c r="R80" s="175"/>
      <c r="S80" s="105" t="e">
        <f t="shared" si="33"/>
        <v>#N/A</v>
      </c>
      <c r="T80" s="412"/>
      <c r="U80" s="175"/>
      <c r="V80" s="175"/>
      <c r="W80" s="202"/>
      <c r="X80" s="105" t="e">
        <f t="shared" si="34"/>
        <v>#N/A</v>
      </c>
      <c r="Y80" s="412"/>
      <c r="Z80" s="175"/>
      <c r="AA80" s="175"/>
      <c r="AB80" s="202"/>
      <c r="AC80" s="105" t="e">
        <f t="shared" si="35"/>
        <v>#N/A</v>
      </c>
      <c r="AD80" s="412"/>
      <c r="AE80" s="175"/>
      <c r="AF80" s="175"/>
      <c r="AG80" s="202"/>
      <c r="AH80" s="105" t="e">
        <f t="shared" si="36"/>
        <v>#N/A</v>
      </c>
      <c r="AI80" s="412"/>
      <c r="AJ80" s="175"/>
      <c r="AK80" s="175"/>
      <c r="AL80" s="202"/>
      <c r="AM80" s="105" t="e">
        <f t="shared" si="37"/>
        <v>#N/A</v>
      </c>
      <c r="AN80" s="412"/>
      <c r="AO80" s="175"/>
      <c r="AP80" s="175"/>
      <c r="AQ80" s="202"/>
      <c r="AR80" s="105" t="e">
        <f t="shared" si="38"/>
        <v>#N/A</v>
      </c>
      <c r="AS80" s="412"/>
      <c r="AT80" s="175"/>
      <c r="AU80" s="175"/>
      <c r="AV80" s="202"/>
      <c r="AW80" s="105" t="e">
        <f t="shared" si="39"/>
        <v>#N/A</v>
      </c>
      <c r="AX80" s="412"/>
    </row>
    <row r="81" spans="2:50">
      <c r="B81" s="398"/>
      <c r="C81" s="105">
        <v>15</v>
      </c>
      <c r="D81" s="228"/>
      <c r="E81" s="175"/>
      <c r="F81" s="105"/>
      <c r="G81" s="202"/>
      <c r="H81" s="386"/>
      <c r="I81" s="105"/>
      <c r="J81" s="105"/>
      <c r="K81" s="105"/>
      <c r="L81" s="386"/>
      <c r="M81" s="175" t="e">
        <f>RANK(K81, K$67:$K$81)</f>
        <v>#N/A</v>
      </c>
      <c r="N81" s="387"/>
      <c r="O81" s="387"/>
      <c r="P81" s="175"/>
      <c r="Q81" s="175"/>
      <c r="R81" s="175"/>
      <c r="S81" s="105" t="e">
        <f t="shared" si="33"/>
        <v>#N/A</v>
      </c>
      <c r="T81" s="412"/>
      <c r="U81" s="175"/>
      <c r="V81" s="175"/>
      <c r="W81" s="202"/>
      <c r="X81" s="105" t="e">
        <f t="shared" si="34"/>
        <v>#N/A</v>
      </c>
      <c r="Y81" s="412"/>
      <c r="Z81" s="175"/>
      <c r="AA81" s="175"/>
      <c r="AB81" s="202"/>
      <c r="AC81" s="105" t="e">
        <f t="shared" si="35"/>
        <v>#N/A</v>
      </c>
      <c r="AD81" s="412"/>
      <c r="AE81" s="175"/>
      <c r="AF81" s="175"/>
      <c r="AG81" s="202"/>
      <c r="AH81" s="105" t="e">
        <f t="shared" si="36"/>
        <v>#N/A</v>
      </c>
      <c r="AI81" s="412"/>
      <c r="AJ81" s="175"/>
      <c r="AK81" s="175"/>
      <c r="AL81" s="202"/>
      <c r="AM81" s="105" t="e">
        <f t="shared" si="37"/>
        <v>#N/A</v>
      </c>
      <c r="AN81" s="412"/>
      <c r="AO81" s="175"/>
      <c r="AP81" s="175"/>
      <c r="AQ81" s="202"/>
      <c r="AR81" s="105" t="e">
        <f t="shared" si="38"/>
        <v>#N/A</v>
      </c>
      <c r="AS81" s="412"/>
      <c r="AT81" s="175"/>
      <c r="AU81" s="175"/>
      <c r="AV81" s="202"/>
      <c r="AW81" s="105" t="e">
        <f t="shared" si="39"/>
        <v>#N/A</v>
      </c>
      <c r="AX81" s="412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40">Z82+1</f>
        <v>45898</v>
      </c>
      <c r="AF82" s="395"/>
      <c r="AG82" s="395"/>
      <c r="AH82" s="395"/>
      <c r="AI82" s="396"/>
      <c r="AJ82" s="394">
        <f t="shared" ref="AJ82" si="41">AE82+1</f>
        <v>45899</v>
      </c>
      <c r="AK82" s="395"/>
      <c r="AL82" s="395"/>
      <c r="AM82" s="395"/>
      <c r="AN82" s="396"/>
      <c r="AO82" s="394">
        <f t="shared" ref="AO82" si="42">AJ82+1</f>
        <v>45900</v>
      </c>
      <c r="AP82" s="395"/>
      <c r="AQ82" s="395"/>
      <c r="AR82" s="395"/>
      <c r="AS82" s="396"/>
      <c r="AT82" s="394">
        <f t="shared" ref="AT82" si="43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387" t="s">
        <v>299</v>
      </c>
      <c r="C87" s="105">
        <v>1</v>
      </c>
      <c r="D87" s="228" t="s">
        <v>300</v>
      </c>
      <c r="E87" s="175">
        <v>19</v>
      </c>
      <c r="F87" s="105">
        <v>1636</v>
      </c>
      <c r="G87" s="202">
        <v>86.10526315789474</v>
      </c>
      <c r="H87" s="384">
        <f>AVERAGE(G87:G101)</f>
        <v>95.049247769283156</v>
      </c>
      <c r="I87" s="175">
        <f>AVERAGE(P87,U87,Z87,AE87,AJ87,AO87,AT87)</f>
        <v>19</v>
      </c>
      <c r="J87" s="175">
        <f>AVERAGE(Q87,V87,AA87,AF87,AK87,AP87,AU87)</f>
        <v>1379.9826032112935</v>
      </c>
      <c r="K87" s="202">
        <f>AVERAGE(R87,W87,AB87,AG87,AL87,AQ87,AV87)</f>
        <v>72.630663326910181</v>
      </c>
      <c r="L87" s="384">
        <f>IFERROR(AVERAGE(K87:K101),"-")</f>
        <v>87.311945086998733</v>
      </c>
      <c r="M87" s="203">
        <f>RANK(K87, K$87:$K$101)</f>
        <v>7</v>
      </c>
      <c r="N87" s="387"/>
      <c r="O87" s="387"/>
      <c r="P87" s="175">
        <v>19</v>
      </c>
      <c r="Q87" s="175">
        <v>1349.6842105263154</v>
      </c>
      <c r="R87" s="175">
        <v>71.036011080332386</v>
      </c>
      <c r="S87" s="105">
        <f>RANK(R87, R$87:R$101)</f>
        <v>6</v>
      </c>
      <c r="T87" s="412">
        <f>AVERAGE(R87:R101)</f>
        <v>85.463663562237073</v>
      </c>
      <c r="U87" s="175">
        <v>19</v>
      </c>
      <c r="V87" s="175">
        <v>1394.6808510638293</v>
      </c>
      <c r="W87" s="175">
        <v>73.404255319148916</v>
      </c>
      <c r="X87" s="105">
        <f>RANK(W87, W$87:W$101)</f>
        <v>6</v>
      </c>
      <c r="Y87" s="412">
        <f>AVERAGE(W87:W101)</f>
        <v>87.236459533284616</v>
      </c>
      <c r="Z87" s="175">
        <v>19</v>
      </c>
      <c r="AA87" s="175">
        <v>1384.7727272727273</v>
      </c>
      <c r="AB87" s="175">
        <v>72.882775119617222</v>
      </c>
      <c r="AC87" s="105">
        <f>RANK(AB87, AB$87:AB$101)</f>
        <v>6</v>
      </c>
      <c r="AD87" s="412">
        <f>AVERAGE(AB87:AB101)</f>
        <v>89.745435003295029</v>
      </c>
      <c r="AE87" s="175">
        <v>19</v>
      </c>
      <c r="AF87" s="175">
        <v>1408.0519480519481</v>
      </c>
      <c r="AG87" s="175">
        <v>74.10799726589201</v>
      </c>
      <c r="AH87" s="105">
        <f>RANK(AG87, AG$87:AG$101)</f>
        <v>5</v>
      </c>
      <c r="AI87" s="412">
        <f>AVERAGE(AG87:AG101)</f>
        <v>89.260491469306416</v>
      </c>
      <c r="AJ87" s="175">
        <v>19</v>
      </c>
      <c r="AK87" s="175">
        <v>1368.0000000000005</v>
      </c>
      <c r="AL87" s="175">
        <v>72.000000000000028</v>
      </c>
      <c r="AM87" s="105">
        <f>RANK(AL87, AL$87:AL$101)</f>
        <v>6</v>
      </c>
      <c r="AN87" s="412">
        <f>AVERAGE(AL87:AL101)</f>
        <v>87.722333908861415</v>
      </c>
      <c r="AO87" s="175">
        <v>19</v>
      </c>
      <c r="AP87" s="175">
        <v>1374.705882352941</v>
      </c>
      <c r="AQ87" s="175">
        <v>72.35294117647058</v>
      </c>
      <c r="AR87" s="105">
        <f>RANK(AQ87, AQ$87:AQ$101)</f>
        <v>6</v>
      </c>
      <c r="AS87" s="412">
        <f>AVERAGE(AQ87:AQ101)</f>
        <v>91.005289612132103</v>
      </c>
      <c r="AT87" s="175"/>
      <c r="AU87" s="175"/>
      <c r="AV87" s="175"/>
      <c r="AW87" s="105" t="e">
        <f>RANK(AV87, AV$87:AV$101)</f>
        <v>#N/A</v>
      </c>
      <c r="AX87" s="412" t="e">
        <f>AVERAGE(AV87:AV101)</f>
        <v>#DIV/0!</v>
      </c>
    </row>
    <row r="88" spans="2:50">
      <c r="B88" s="398"/>
      <c r="C88" s="105">
        <v>2</v>
      </c>
      <c r="D88" s="228" t="s">
        <v>306</v>
      </c>
      <c r="E88" s="175">
        <v>17</v>
      </c>
      <c r="F88" s="105">
        <v>1500</v>
      </c>
      <c r="G88" s="202">
        <v>88.235294117647058</v>
      </c>
      <c r="H88" s="385"/>
      <c r="I88" s="175">
        <f t="shared" ref="I88:K93" si="44">AVERAGE(P88,U88,Z88,AE88,AJ88,AO88,AT88)</f>
        <v>17</v>
      </c>
      <c r="J88" s="175">
        <f t="shared" si="44"/>
        <v>1325.1480111008327</v>
      </c>
      <c r="K88" s="202">
        <f t="shared" si="44"/>
        <v>77.949883005931326</v>
      </c>
      <c r="L88" s="385"/>
      <c r="M88" s="203">
        <f>RANK(K88, K$87:$K$101)</f>
        <v>2</v>
      </c>
      <c r="N88" s="387"/>
      <c r="O88" s="387"/>
      <c r="P88" s="175">
        <v>17</v>
      </c>
      <c r="Q88" s="175">
        <v>1323.9130434782608</v>
      </c>
      <c r="R88" s="175">
        <v>77.8772378516624</v>
      </c>
      <c r="S88" s="105">
        <f t="shared" ref="S88:S101" si="45">RANK(R88, R$87:R$101)</f>
        <v>2</v>
      </c>
      <c r="T88" s="412"/>
      <c r="U88" s="175">
        <v>17</v>
      </c>
      <c r="V88" s="175">
        <v>1326.3829787234044</v>
      </c>
      <c r="W88" s="175">
        <v>78.022528160200267</v>
      </c>
      <c r="X88" s="105">
        <f t="shared" ref="X88:X101" si="46">RANK(W88, W$87:W$101)</f>
        <v>2</v>
      </c>
      <c r="Y88" s="412"/>
      <c r="Z88" s="175"/>
      <c r="AA88" s="175"/>
      <c r="AB88" s="175"/>
      <c r="AC88" s="105" t="e">
        <f t="shared" ref="AC88:AC101" si="47">RANK(AB88, AB$87:AB$101)</f>
        <v>#N/A</v>
      </c>
      <c r="AD88" s="412"/>
      <c r="AE88" s="175"/>
      <c r="AF88" s="175"/>
      <c r="AG88" s="175"/>
      <c r="AH88" s="105" t="e">
        <f t="shared" ref="AH88:AH101" si="48">RANK(AG88, AG$87:AG$101)</f>
        <v>#N/A</v>
      </c>
      <c r="AI88" s="412"/>
      <c r="AJ88" s="175"/>
      <c r="AK88" s="175"/>
      <c r="AL88" s="175"/>
      <c r="AM88" s="105" t="e">
        <f t="shared" ref="AM88:AM101" si="49">RANK(AL88, AL$87:AL$101)</f>
        <v>#N/A</v>
      </c>
      <c r="AN88" s="412"/>
      <c r="AO88" s="175"/>
      <c r="AP88" s="175"/>
      <c r="AQ88" s="175"/>
      <c r="AR88" s="105" t="e">
        <f t="shared" ref="AR88:AR101" si="50">RANK(AQ88, AQ$87:AQ$101)</f>
        <v>#N/A</v>
      </c>
      <c r="AS88" s="412"/>
      <c r="AT88" s="175"/>
      <c r="AU88" s="175"/>
      <c r="AV88" s="175"/>
      <c r="AW88" s="105" t="e">
        <f t="shared" ref="AW88:AW101" si="51">RANK(AV88, AV$87:AV$101)</f>
        <v>#N/A</v>
      </c>
      <c r="AX88" s="412"/>
    </row>
    <row r="89" spans="2:50">
      <c r="B89" s="398"/>
      <c r="C89" s="105">
        <v>3</v>
      </c>
      <c r="D89" s="228" t="s">
        <v>303</v>
      </c>
      <c r="E89" s="175">
        <v>18</v>
      </c>
      <c r="F89" s="105">
        <v>1636</v>
      </c>
      <c r="G89" s="202">
        <v>90.888888888888886</v>
      </c>
      <c r="H89" s="385"/>
      <c r="I89" s="175">
        <f t="shared" si="44"/>
        <v>18</v>
      </c>
      <c r="J89" s="175">
        <f t="shared" si="44"/>
        <v>1377.0045087499032</v>
      </c>
      <c r="K89" s="202">
        <f t="shared" si="44"/>
        <v>76.500250486105742</v>
      </c>
      <c r="L89" s="385"/>
      <c r="M89" s="203">
        <f>RANK(K89, K$87:$K$101)</f>
        <v>4</v>
      </c>
      <c r="N89" s="387"/>
      <c r="O89" s="387"/>
      <c r="P89" s="175">
        <v>18</v>
      </c>
      <c r="Q89" s="175">
        <v>1353.9749999999999</v>
      </c>
      <c r="R89" s="175">
        <v>75.220833333333331</v>
      </c>
      <c r="S89" s="105">
        <f t="shared" si="45"/>
        <v>3</v>
      </c>
      <c r="T89" s="412"/>
      <c r="U89" s="175">
        <v>18</v>
      </c>
      <c r="V89" s="175">
        <v>1383.1428571428569</v>
      </c>
      <c r="W89" s="175">
        <v>76.841269841269821</v>
      </c>
      <c r="X89" s="105">
        <f t="shared" si="46"/>
        <v>3</v>
      </c>
      <c r="Y89" s="412"/>
      <c r="Z89" s="175">
        <v>18</v>
      </c>
      <c r="AA89" s="175">
        <v>1366.0279720279721</v>
      </c>
      <c r="AB89" s="175">
        <v>75.890442890442898</v>
      </c>
      <c r="AC89" s="105">
        <f t="shared" si="47"/>
        <v>4</v>
      </c>
      <c r="AD89" s="412"/>
      <c r="AE89" s="175">
        <v>18</v>
      </c>
      <c r="AF89" s="175">
        <v>1381.4594594594594</v>
      </c>
      <c r="AG89" s="175">
        <v>76.747747747747738</v>
      </c>
      <c r="AH89" s="105">
        <f t="shared" si="48"/>
        <v>3</v>
      </c>
      <c r="AI89" s="412"/>
      <c r="AJ89" s="175">
        <v>18</v>
      </c>
      <c r="AK89" s="175">
        <v>1361.0270270270269</v>
      </c>
      <c r="AL89" s="175">
        <v>75.612612612612608</v>
      </c>
      <c r="AM89" s="105">
        <f t="shared" si="49"/>
        <v>3</v>
      </c>
      <c r="AN89" s="412"/>
      <c r="AO89" s="175">
        <v>18</v>
      </c>
      <c r="AP89" s="175">
        <v>1416.394736842105</v>
      </c>
      <c r="AQ89" s="175">
        <v>78.688596491228054</v>
      </c>
      <c r="AR89" s="105">
        <f t="shared" si="50"/>
        <v>3</v>
      </c>
      <c r="AS89" s="412"/>
      <c r="AT89" s="175"/>
      <c r="AU89" s="175"/>
      <c r="AV89" s="175"/>
      <c r="AW89" s="105" t="e">
        <f t="shared" si="51"/>
        <v>#N/A</v>
      </c>
      <c r="AX89" s="412"/>
    </row>
    <row r="90" spans="2:50">
      <c r="B90" s="398"/>
      <c r="C90" s="105">
        <v>4</v>
      </c>
      <c r="D90" s="228" t="s">
        <v>305</v>
      </c>
      <c r="E90" s="175">
        <v>19</v>
      </c>
      <c r="F90" s="105">
        <v>1636</v>
      </c>
      <c r="G90" s="202">
        <v>86.10526315789474</v>
      </c>
      <c r="H90" s="385"/>
      <c r="I90" s="175">
        <f t="shared" si="44"/>
        <v>17.333333333333332</v>
      </c>
      <c r="J90" s="175">
        <f t="shared" si="44"/>
        <v>1335.3497554950593</v>
      </c>
      <c r="K90" s="202">
        <f t="shared" si="44"/>
        <v>77.283271857005204</v>
      </c>
      <c r="L90" s="385"/>
      <c r="M90" s="203">
        <f>RANK(K90, K$87:$K$101)</f>
        <v>3</v>
      </c>
      <c r="N90" s="387"/>
      <c r="O90" s="387"/>
      <c r="P90" s="175">
        <v>18</v>
      </c>
      <c r="Q90" s="175">
        <v>1339.3749999999998</v>
      </c>
      <c r="R90" s="175">
        <v>74.409722222222214</v>
      </c>
      <c r="S90" s="105">
        <f t="shared" si="45"/>
        <v>4</v>
      </c>
      <c r="T90" s="412"/>
      <c r="U90" s="175">
        <v>18</v>
      </c>
      <c r="V90" s="175">
        <v>1351.3333333333326</v>
      </c>
      <c r="W90" s="175">
        <v>75.074074074074034</v>
      </c>
      <c r="X90" s="105">
        <f t="shared" si="46"/>
        <v>5</v>
      </c>
      <c r="Y90" s="412"/>
      <c r="Z90" s="175">
        <v>16</v>
      </c>
      <c r="AA90" s="175">
        <v>1342.7586206896551</v>
      </c>
      <c r="AB90" s="175">
        <v>83.922413793103445</v>
      </c>
      <c r="AC90" s="105">
        <f t="shared" si="47"/>
        <v>2</v>
      </c>
      <c r="AD90" s="412"/>
      <c r="AE90" s="175">
        <v>18</v>
      </c>
      <c r="AF90" s="175">
        <v>1332.6315789473681</v>
      </c>
      <c r="AG90" s="175">
        <v>74.035087719298232</v>
      </c>
      <c r="AH90" s="105">
        <f t="shared" si="48"/>
        <v>6</v>
      </c>
      <c r="AI90" s="412"/>
      <c r="AJ90" s="175">
        <v>18</v>
      </c>
      <c r="AK90" s="175">
        <v>1312.8000000000006</v>
      </c>
      <c r="AL90" s="175">
        <v>72.933333333333366</v>
      </c>
      <c r="AM90" s="105">
        <f t="shared" si="49"/>
        <v>5</v>
      </c>
      <c r="AN90" s="412"/>
      <c r="AO90" s="175">
        <v>16</v>
      </c>
      <c r="AP90" s="175">
        <v>1333.1999999999998</v>
      </c>
      <c r="AQ90" s="175">
        <v>83.324999999999989</v>
      </c>
      <c r="AR90" s="105">
        <f t="shared" si="50"/>
        <v>2</v>
      </c>
      <c r="AS90" s="412"/>
      <c r="AT90" s="175"/>
      <c r="AU90" s="175"/>
      <c r="AV90" s="175"/>
      <c r="AW90" s="105" t="e">
        <f t="shared" si="51"/>
        <v>#N/A</v>
      </c>
      <c r="AX90" s="412"/>
    </row>
    <row r="91" spans="2:50">
      <c r="B91" s="398"/>
      <c r="C91" s="105">
        <v>5</v>
      </c>
      <c r="D91" s="228" t="s">
        <v>308</v>
      </c>
      <c r="E91" s="175">
        <v>21</v>
      </c>
      <c r="F91" s="105">
        <v>1636</v>
      </c>
      <c r="G91" s="202">
        <v>77.904761904761898</v>
      </c>
      <c r="H91" s="385"/>
      <c r="I91" s="175">
        <f t="shared" si="44"/>
        <v>17.333333333333332</v>
      </c>
      <c r="J91" s="175">
        <f t="shared" si="44"/>
        <v>1281.4442524321555</v>
      </c>
      <c r="K91" s="202">
        <f t="shared" si="44"/>
        <v>73.974623003323174</v>
      </c>
      <c r="L91" s="385"/>
      <c r="M91" s="203">
        <f>RANK(K91, K$87:$K$101)</f>
        <v>6</v>
      </c>
      <c r="N91" s="387"/>
      <c r="O91" s="387"/>
      <c r="P91" s="175">
        <v>18</v>
      </c>
      <c r="Q91" s="175">
        <v>1260</v>
      </c>
      <c r="R91" s="175">
        <v>70</v>
      </c>
      <c r="S91" s="105">
        <f t="shared" si="45"/>
        <v>7</v>
      </c>
      <c r="T91" s="412"/>
      <c r="U91" s="175">
        <v>18</v>
      </c>
      <c r="V91" s="175">
        <v>1318.571428571428</v>
      </c>
      <c r="W91" s="175">
        <v>73.253968253968225</v>
      </c>
      <c r="X91" s="105">
        <f t="shared" si="46"/>
        <v>7</v>
      </c>
      <c r="Y91" s="412"/>
      <c r="Z91" s="175">
        <v>17</v>
      </c>
      <c r="AA91" s="175">
        <v>1272.0000000000002</v>
      </c>
      <c r="AB91" s="175">
        <v>74.823529411764724</v>
      </c>
      <c r="AC91" s="105">
        <f t="shared" si="47"/>
        <v>5</v>
      </c>
      <c r="AD91" s="412"/>
      <c r="AE91" s="175">
        <v>17</v>
      </c>
      <c r="AF91" s="175">
        <v>1290.4166666666661</v>
      </c>
      <c r="AG91" s="175">
        <v>75.90686274509801</v>
      </c>
      <c r="AH91" s="105">
        <f t="shared" si="48"/>
        <v>4</v>
      </c>
      <c r="AI91" s="412"/>
      <c r="AJ91" s="175">
        <v>17</v>
      </c>
      <c r="AK91" s="175">
        <v>1265.4193548387098</v>
      </c>
      <c r="AL91" s="175">
        <v>74.436432637571158</v>
      </c>
      <c r="AM91" s="105">
        <f t="shared" si="49"/>
        <v>4</v>
      </c>
      <c r="AN91" s="412"/>
      <c r="AO91" s="175">
        <v>17</v>
      </c>
      <c r="AP91" s="175">
        <v>1282.2580645161286</v>
      </c>
      <c r="AQ91" s="175">
        <v>75.426944971536969</v>
      </c>
      <c r="AR91" s="105">
        <f t="shared" si="50"/>
        <v>4</v>
      </c>
      <c r="AS91" s="412"/>
      <c r="AT91" s="175"/>
      <c r="AU91" s="175"/>
      <c r="AV91" s="175"/>
      <c r="AW91" s="105" t="e">
        <f t="shared" si="51"/>
        <v>#N/A</v>
      </c>
      <c r="AX91" s="412"/>
    </row>
    <row r="92" spans="2:50">
      <c r="B92" s="398"/>
      <c r="C92" s="105">
        <v>6</v>
      </c>
      <c r="D92" s="228" t="s">
        <v>309</v>
      </c>
      <c r="E92" s="175">
        <v>19</v>
      </c>
      <c r="F92" s="105">
        <v>1636</v>
      </c>
      <c r="G92" s="202">
        <v>86.10526315789474</v>
      </c>
      <c r="H92" s="385"/>
      <c r="I92" s="175">
        <f t="shared" si="44"/>
        <v>17.166666666666668</v>
      </c>
      <c r="J92" s="175">
        <f t="shared" si="44"/>
        <v>1296.9760604185867</v>
      </c>
      <c r="K92" s="202">
        <f t="shared" si="44"/>
        <v>75.581068136510851</v>
      </c>
      <c r="L92" s="385"/>
      <c r="M92" s="203">
        <f>RANK(K92, K$87:$K$101)</f>
        <v>5</v>
      </c>
      <c r="N92" s="387"/>
      <c r="O92" s="387"/>
      <c r="P92" s="175">
        <v>18</v>
      </c>
      <c r="Q92" s="175">
        <v>1306.5734265734263</v>
      </c>
      <c r="R92" s="175">
        <v>72.587412587412572</v>
      </c>
      <c r="S92" s="105">
        <f t="shared" si="45"/>
        <v>5</v>
      </c>
      <c r="T92" s="412"/>
      <c r="U92" s="175">
        <v>17</v>
      </c>
      <c r="V92" s="175">
        <v>1279.3469387755101</v>
      </c>
      <c r="W92" s="175">
        <v>75.255702280912359</v>
      </c>
      <c r="X92" s="105">
        <f t="shared" si="46"/>
        <v>4</v>
      </c>
      <c r="Y92" s="412"/>
      <c r="Z92" s="175">
        <v>17</v>
      </c>
      <c r="AA92" s="175">
        <v>1310.5945945945946</v>
      </c>
      <c r="AB92" s="175">
        <v>77.09379968203497</v>
      </c>
      <c r="AC92" s="105">
        <f t="shared" si="47"/>
        <v>3</v>
      </c>
      <c r="AD92" s="412"/>
      <c r="AE92" s="175">
        <v>17</v>
      </c>
      <c r="AF92" s="175">
        <v>1312.9846153846156</v>
      </c>
      <c r="AG92" s="175">
        <v>77.234389140271503</v>
      </c>
      <c r="AH92" s="105">
        <f t="shared" si="48"/>
        <v>2</v>
      </c>
      <c r="AI92" s="412"/>
      <c r="AJ92" s="175">
        <v>17</v>
      </c>
      <c r="AK92" s="175">
        <v>1301.8064516129034</v>
      </c>
      <c r="AL92" s="175">
        <v>76.576850094876676</v>
      </c>
      <c r="AM92" s="105">
        <f t="shared" si="49"/>
        <v>2</v>
      </c>
      <c r="AN92" s="412"/>
      <c r="AO92" s="175">
        <v>17</v>
      </c>
      <c r="AP92" s="175">
        <v>1270.55033557047</v>
      </c>
      <c r="AQ92" s="175">
        <v>74.738255033557053</v>
      </c>
      <c r="AR92" s="105">
        <f t="shared" si="50"/>
        <v>5</v>
      </c>
      <c r="AS92" s="412"/>
      <c r="AT92" s="175"/>
      <c r="AU92" s="175"/>
      <c r="AV92" s="175"/>
      <c r="AW92" s="105" t="e">
        <f t="shared" si="51"/>
        <v>#N/A</v>
      </c>
      <c r="AX92" s="412"/>
    </row>
    <row r="93" spans="2:50">
      <c r="B93" s="398"/>
      <c r="C93" s="105">
        <v>7</v>
      </c>
      <c r="D93" s="228" t="s">
        <v>310</v>
      </c>
      <c r="E93" s="175">
        <v>10</v>
      </c>
      <c r="F93" s="105">
        <v>1500</v>
      </c>
      <c r="G93" s="202">
        <v>150</v>
      </c>
      <c r="H93" s="385"/>
      <c r="I93" s="175">
        <f t="shared" si="44"/>
        <v>9</v>
      </c>
      <c r="J93" s="175">
        <f t="shared" si="44"/>
        <v>1415.3747021388417</v>
      </c>
      <c r="K93" s="202">
        <f t="shared" si="44"/>
        <v>157.26385579320461</v>
      </c>
      <c r="L93" s="385"/>
      <c r="M93" s="203">
        <f>RANK(K93, K$87:$K$101)</f>
        <v>1</v>
      </c>
      <c r="N93" s="387"/>
      <c r="O93" s="387"/>
      <c r="P93" s="175">
        <v>9</v>
      </c>
      <c r="Q93" s="175">
        <v>1414.0298507462687</v>
      </c>
      <c r="R93" s="175">
        <v>157.11442786069654</v>
      </c>
      <c r="S93" s="105">
        <f t="shared" si="45"/>
        <v>1</v>
      </c>
      <c r="T93" s="412"/>
      <c r="U93" s="175">
        <v>9</v>
      </c>
      <c r="V93" s="175">
        <v>1429.2307692307684</v>
      </c>
      <c r="W93" s="175">
        <v>158.80341880341871</v>
      </c>
      <c r="X93" s="105">
        <f t="shared" si="46"/>
        <v>1</v>
      </c>
      <c r="Y93" s="412"/>
      <c r="Z93" s="175">
        <v>9</v>
      </c>
      <c r="AA93" s="175">
        <v>1384.7368421052622</v>
      </c>
      <c r="AB93" s="175">
        <v>153.8596491228069</v>
      </c>
      <c r="AC93" s="105">
        <f t="shared" si="47"/>
        <v>1</v>
      </c>
      <c r="AD93" s="412"/>
      <c r="AE93" s="175">
        <v>9</v>
      </c>
      <c r="AF93" s="175">
        <v>1417.7777777777785</v>
      </c>
      <c r="AG93" s="175">
        <v>157.53086419753095</v>
      </c>
      <c r="AH93" s="105">
        <f t="shared" si="48"/>
        <v>1</v>
      </c>
      <c r="AI93" s="412"/>
      <c r="AJ93" s="175">
        <v>9</v>
      </c>
      <c r="AK93" s="175">
        <v>1392.972972972972</v>
      </c>
      <c r="AL93" s="175">
        <v>154.77477477477467</v>
      </c>
      <c r="AM93" s="105">
        <f t="shared" si="49"/>
        <v>1</v>
      </c>
      <c r="AN93" s="412"/>
      <c r="AO93" s="175">
        <v>9</v>
      </c>
      <c r="AP93" s="175">
        <v>1453.4999999999995</v>
      </c>
      <c r="AQ93" s="175">
        <v>161.49999999999994</v>
      </c>
      <c r="AR93" s="105">
        <f t="shared" si="50"/>
        <v>1</v>
      </c>
      <c r="AS93" s="412"/>
      <c r="AT93" s="175"/>
      <c r="AU93" s="175"/>
      <c r="AV93" s="175"/>
      <c r="AW93" s="105" t="e">
        <f t="shared" si="51"/>
        <v>#N/A</v>
      </c>
      <c r="AX93" s="412"/>
    </row>
    <row r="94" spans="2:50">
      <c r="B94" s="398"/>
      <c r="C94" s="105">
        <v>8</v>
      </c>
      <c r="D94" s="228"/>
      <c r="E94" s="175"/>
      <c r="F94" s="105"/>
      <c r="G94" s="202"/>
      <c r="H94" s="385"/>
      <c r="I94" s="175"/>
      <c r="J94" s="175"/>
      <c r="K94" s="202"/>
      <c r="L94" s="385"/>
      <c r="M94" s="203" t="e">
        <f>RANK(K94, K$87:$K$101)</f>
        <v>#N/A</v>
      </c>
      <c r="N94" s="387"/>
      <c r="O94" s="387"/>
      <c r="P94" s="175"/>
      <c r="Q94" s="175"/>
      <c r="R94" s="175"/>
      <c r="S94" s="105" t="e">
        <f t="shared" si="45"/>
        <v>#N/A</v>
      </c>
      <c r="T94" s="412"/>
      <c r="U94" s="175"/>
      <c r="V94" s="175"/>
      <c r="W94" s="175"/>
      <c r="X94" s="105" t="e">
        <f t="shared" si="46"/>
        <v>#N/A</v>
      </c>
      <c r="Y94" s="412"/>
      <c r="Z94" s="175"/>
      <c r="AA94" s="175"/>
      <c r="AB94" s="175"/>
      <c r="AC94" s="105" t="e">
        <f t="shared" si="47"/>
        <v>#N/A</v>
      </c>
      <c r="AD94" s="412"/>
      <c r="AE94" s="175"/>
      <c r="AF94" s="175"/>
      <c r="AG94" s="175"/>
      <c r="AH94" s="105" t="e">
        <f t="shared" si="48"/>
        <v>#N/A</v>
      </c>
      <c r="AI94" s="412"/>
      <c r="AJ94" s="175"/>
      <c r="AK94" s="175"/>
      <c r="AL94" s="175"/>
      <c r="AM94" s="105" t="e">
        <f t="shared" si="49"/>
        <v>#N/A</v>
      </c>
      <c r="AN94" s="412"/>
      <c r="AO94" s="175"/>
      <c r="AP94" s="175"/>
      <c r="AQ94" s="175"/>
      <c r="AR94" s="105" t="e">
        <f t="shared" si="50"/>
        <v>#N/A</v>
      </c>
      <c r="AS94" s="412"/>
      <c r="AT94" s="175"/>
      <c r="AU94" s="175"/>
      <c r="AV94" s="175"/>
      <c r="AW94" s="105" t="e">
        <f t="shared" si="51"/>
        <v>#N/A</v>
      </c>
      <c r="AX94" s="412"/>
    </row>
    <row r="95" spans="2:50">
      <c r="B95" s="398"/>
      <c r="C95" s="105">
        <v>9</v>
      </c>
      <c r="D95" s="228"/>
      <c r="E95" s="175"/>
      <c r="F95" s="105"/>
      <c r="G95" s="202"/>
      <c r="H95" s="385"/>
      <c r="I95" s="175"/>
      <c r="J95" s="175"/>
      <c r="K95" s="202"/>
      <c r="L95" s="385"/>
      <c r="M95" s="203" t="e">
        <f>RANK(K95, K$87:$K$101)</f>
        <v>#N/A</v>
      </c>
      <c r="N95" s="387"/>
      <c r="O95" s="387"/>
      <c r="P95" s="175"/>
      <c r="Q95" s="175"/>
      <c r="R95" s="175"/>
      <c r="S95" s="105" t="e">
        <f t="shared" si="45"/>
        <v>#N/A</v>
      </c>
      <c r="T95" s="412"/>
      <c r="U95" s="175"/>
      <c r="V95" s="175"/>
      <c r="W95" s="202"/>
      <c r="X95" s="105" t="e">
        <f t="shared" si="46"/>
        <v>#N/A</v>
      </c>
      <c r="Y95" s="412"/>
      <c r="Z95" s="175"/>
      <c r="AA95" s="175"/>
      <c r="AB95" s="202"/>
      <c r="AC95" s="105" t="e">
        <f t="shared" si="47"/>
        <v>#N/A</v>
      </c>
      <c r="AD95" s="412"/>
      <c r="AE95" s="175"/>
      <c r="AF95" s="175"/>
      <c r="AG95" s="202"/>
      <c r="AH95" s="105" t="e">
        <f t="shared" si="48"/>
        <v>#N/A</v>
      </c>
      <c r="AI95" s="412"/>
      <c r="AJ95" s="175"/>
      <c r="AK95" s="175"/>
      <c r="AL95" s="202"/>
      <c r="AM95" s="105" t="e">
        <f t="shared" si="49"/>
        <v>#N/A</v>
      </c>
      <c r="AN95" s="412"/>
      <c r="AO95" s="175"/>
      <c r="AP95" s="175"/>
      <c r="AQ95" s="202"/>
      <c r="AR95" s="105" t="e">
        <f t="shared" si="50"/>
        <v>#N/A</v>
      </c>
      <c r="AS95" s="412"/>
      <c r="AT95" s="175"/>
      <c r="AU95" s="175"/>
      <c r="AV95" s="202"/>
      <c r="AW95" s="105" t="e">
        <f t="shared" si="51"/>
        <v>#N/A</v>
      </c>
      <c r="AX95" s="412"/>
    </row>
    <row r="96" spans="2:50">
      <c r="B96" s="398"/>
      <c r="C96" s="105">
        <v>10</v>
      </c>
      <c r="D96" s="228"/>
      <c r="E96" s="175"/>
      <c r="F96" s="105"/>
      <c r="G96" s="202"/>
      <c r="H96" s="385"/>
      <c r="I96" s="175"/>
      <c r="J96" s="175"/>
      <c r="K96" s="202"/>
      <c r="L96" s="385"/>
      <c r="M96" s="203" t="e">
        <f>RANK(K96, K$87:$K$101)</f>
        <v>#N/A</v>
      </c>
      <c r="N96" s="387"/>
      <c r="O96" s="387"/>
      <c r="P96" s="175"/>
      <c r="Q96" s="175"/>
      <c r="R96" s="175"/>
      <c r="S96" s="105" t="e">
        <f t="shared" si="45"/>
        <v>#N/A</v>
      </c>
      <c r="T96" s="412"/>
      <c r="U96" s="175"/>
      <c r="V96" s="175"/>
      <c r="W96" s="202"/>
      <c r="X96" s="105" t="e">
        <f t="shared" si="46"/>
        <v>#N/A</v>
      </c>
      <c r="Y96" s="412"/>
      <c r="Z96" s="175"/>
      <c r="AA96" s="175"/>
      <c r="AB96" s="202"/>
      <c r="AC96" s="105" t="e">
        <f t="shared" si="47"/>
        <v>#N/A</v>
      </c>
      <c r="AD96" s="412"/>
      <c r="AE96" s="175"/>
      <c r="AF96" s="175"/>
      <c r="AG96" s="202"/>
      <c r="AH96" s="105" t="e">
        <f t="shared" si="48"/>
        <v>#N/A</v>
      </c>
      <c r="AI96" s="412"/>
      <c r="AJ96" s="175"/>
      <c r="AK96" s="175"/>
      <c r="AL96" s="202"/>
      <c r="AM96" s="105" t="e">
        <f t="shared" si="49"/>
        <v>#N/A</v>
      </c>
      <c r="AN96" s="412"/>
      <c r="AO96" s="175"/>
      <c r="AP96" s="175"/>
      <c r="AQ96" s="202"/>
      <c r="AR96" s="105" t="e">
        <f t="shared" si="50"/>
        <v>#N/A</v>
      </c>
      <c r="AS96" s="412"/>
      <c r="AT96" s="175"/>
      <c r="AU96" s="175"/>
      <c r="AV96" s="202"/>
      <c r="AW96" s="105" t="e">
        <f t="shared" si="51"/>
        <v>#N/A</v>
      </c>
      <c r="AX96" s="412"/>
    </row>
    <row r="97" spans="2:50">
      <c r="B97" s="398"/>
      <c r="C97" s="105">
        <v>11</v>
      </c>
      <c r="D97" s="228"/>
      <c r="E97" s="175"/>
      <c r="F97" s="105"/>
      <c r="G97" s="202"/>
      <c r="H97" s="385"/>
      <c r="I97" s="105"/>
      <c r="J97" s="105"/>
      <c r="K97" s="105"/>
      <c r="L97" s="385"/>
      <c r="M97" s="203" t="e">
        <f>RANK(K97, K$87:$K$101)</f>
        <v>#N/A</v>
      </c>
      <c r="N97" s="387"/>
      <c r="O97" s="387"/>
      <c r="P97" s="175"/>
      <c r="Q97" s="175"/>
      <c r="R97" s="175"/>
      <c r="S97" s="105" t="e">
        <f t="shared" si="45"/>
        <v>#N/A</v>
      </c>
      <c r="T97" s="412"/>
      <c r="U97" s="175"/>
      <c r="V97" s="175"/>
      <c r="W97" s="202"/>
      <c r="X97" s="105" t="e">
        <f t="shared" si="46"/>
        <v>#N/A</v>
      </c>
      <c r="Y97" s="412"/>
      <c r="Z97" s="175"/>
      <c r="AA97" s="175"/>
      <c r="AB97" s="202"/>
      <c r="AC97" s="105" t="e">
        <f t="shared" si="47"/>
        <v>#N/A</v>
      </c>
      <c r="AD97" s="412"/>
      <c r="AE97" s="175"/>
      <c r="AF97" s="175"/>
      <c r="AG97" s="202"/>
      <c r="AH97" s="105" t="e">
        <f t="shared" si="48"/>
        <v>#N/A</v>
      </c>
      <c r="AI97" s="412"/>
      <c r="AJ97" s="175"/>
      <c r="AK97" s="175"/>
      <c r="AL97" s="202"/>
      <c r="AM97" s="105" t="e">
        <f t="shared" si="49"/>
        <v>#N/A</v>
      </c>
      <c r="AN97" s="412"/>
      <c r="AO97" s="175"/>
      <c r="AP97" s="175"/>
      <c r="AQ97" s="202"/>
      <c r="AR97" s="105" t="e">
        <f t="shared" si="50"/>
        <v>#N/A</v>
      </c>
      <c r="AS97" s="412"/>
      <c r="AT97" s="175"/>
      <c r="AU97" s="175"/>
      <c r="AV97" s="202"/>
      <c r="AW97" s="105" t="e">
        <f t="shared" si="51"/>
        <v>#N/A</v>
      </c>
      <c r="AX97" s="412"/>
    </row>
    <row r="98" spans="2:50">
      <c r="B98" s="398"/>
      <c r="C98" s="105">
        <v>12</v>
      </c>
      <c r="D98" s="228"/>
      <c r="E98" s="175"/>
      <c r="F98" s="105"/>
      <c r="G98" s="202"/>
      <c r="H98" s="385"/>
      <c r="I98" s="105"/>
      <c r="J98" s="105"/>
      <c r="K98" s="105"/>
      <c r="L98" s="385"/>
      <c r="M98" s="203" t="e">
        <f>RANK(K98, K$87:$K$101)</f>
        <v>#N/A</v>
      </c>
      <c r="N98" s="387"/>
      <c r="O98" s="387"/>
      <c r="P98" s="175"/>
      <c r="Q98" s="175"/>
      <c r="R98" s="175"/>
      <c r="S98" s="105" t="e">
        <f t="shared" si="45"/>
        <v>#N/A</v>
      </c>
      <c r="T98" s="412"/>
      <c r="U98" s="175"/>
      <c r="V98" s="175"/>
      <c r="W98" s="202"/>
      <c r="X98" s="105" t="e">
        <f t="shared" si="46"/>
        <v>#N/A</v>
      </c>
      <c r="Y98" s="412"/>
      <c r="Z98" s="175"/>
      <c r="AA98" s="175"/>
      <c r="AB98" s="202"/>
      <c r="AC98" s="105" t="e">
        <f t="shared" si="47"/>
        <v>#N/A</v>
      </c>
      <c r="AD98" s="412"/>
      <c r="AE98" s="175"/>
      <c r="AF98" s="175"/>
      <c r="AG98" s="202"/>
      <c r="AH98" s="105" t="e">
        <f t="shared" si="48"/>
        <v>#N/A</v>
      </c>
      <c r="AI98" s="412"/>
      <c r="AJ98" s="175"/>
      <c r="AK98" s="175"/>
      <c r="AL98" s="202"/>
      <c r="AM98" s="105" t="e">
        <f t="shared" si="49"/>
        <v>#N/A</v>
      </c>
      <c r="AN98" s="412"/>
      <c r="AO98" s="175"/>
      <c r="AP98" s="175"/>
      <c r="AQ98" s="202"/>
      <c r="AR98" s="105" t="e">
        <f t="shared" si="50"/>
        <v>#N/A</v>
      </c>
      <c r="AS98" s="412"/>
      <c r="AT98" s="175"/>
      <c r="AU98" s="175"/>
      <c r="AV98" s="202"/>
      <c r="AW98" s="105" t="e">
        <f t="shared" si="51"/>
        <v>#N/A</v>
      </c>
      <c r="AX98" s="412"/>
    </row>
    <row r="99" spans="2:50">
      <c r="B99" s="398"/>
      <c r="C99" s="105">
        <v>13</v>
      </c>
      <c r="D99" s="228"/>
      <c r="E99" s="175"/>
      <c r="F99" s="105"/>
      <c r="G99" s="202"/>
      <c r="H99" s="385"/>
      <c r="I99" s="105"/>
      <c r="J99" s="105"/>
      <c r="K99" s="105"/>
      <c r="L99" s="385"/>
      <c r="M99" s="203" t="e">
        <f>RANK(K99, K$87:$K$101)</f>
        <v>#N/A</v>
      </c>
      <c r="N99" s="387"/>
      <c r="O99" s="387"/>
      <c r="P99" s="175"/>
      <c r="Q99" s="175"/>
      <c r="R99" s="175"/>
      <c r="S99" s="105" t="e">
        <f t="shared" si="45"/>
        <v>#N/A</v>
      </c>
      <c r="T99" s="412"/>
      <c r="U99" s="175"/>
      <c r="V99" s="175"/>
      <c r="W99" s="202"/>
      <c r="X99" s="105" t="e">
        <f t="shared" si="46"/>
        <v>#N/A</v>
      </c>
      <c r="Y99" s="412"/>
      <c r="Z99" s="175"/>
      <c r="AA99" s="175"/>
      <c r="AB99" s="202"/>
      <c r="AC99" s="105" t="e">
        <f t="shared" si="47"/>
        <v>#N/A</v>
      </c>
      <c r="AD99" s="412"/>
      <c r="AE99" s="175"/>
      <c r="AF99" s="175"/>
      <c r="AG99" s="202"/>
      <c r="AH99" s="105" t="e">
        <f t="shared" si="48"/>
        <v>#N/A</v>
      </c>
      <c r="AI99" s="412"/>
      <c r="AJ99" s="175"/>
      <c r="AK99" s="175"/>
      <c r="AL99" s="202"/>
      <c r="AM99" s="105" t="e">
        <f t="shared" si="49"/>
        <v>#N/A</v>
      </c>
      <c r="AN99" s="412"/>
      <c r="AO99" s="175"/>
      <c r="AP99" s="175"/>
      <c r="AQ99" s="202"/>
      <c r="AR99" s="105" t="e">
        <f t="shared" si="50"/>
        <v>#N/A</v>
      </c>
      <c r="AS99" s="412"/>
      <c r="AT99" s="175"/>
      <c r="AU99" s="175"/>
      <c r="AV99" s="202"/>
      <c r="AW99" s="105" t="e">
        <f t="shared" si="51"/>
        <v>#N/A</v>
      </c>
      <c r="AX99" s="412"/>
    </row>
    <row r="100" spans="2:50">
      <c r="B100" s="398"/>
      <c r="C100" s="105">
        <v>14</v>
      </c>
      <c r="D100" s="228"/>
      <c r="E100" s="175"/>
      <c r="F100" s="105"/>
      <c r="G100" s="202"/>
      <c r="H100" s="385"/>
      <c r="I100" s="105"/>
      <c r="J100" s="105"/>
      <c r="K100" s="105"/>
      <c r="L100" s="385"/>
      <c r="M100" s="203" t="e">
        <f>RANK(K100, K$87:$K$101)</f>
        <v>#N/A</v>
      </c>
      <c r="N100" s="387"/>
      <c r="O100" s="387"/>
      <c r="P100" s="175"/>
      <c r="Q100" s="175"/>
      <c r="R100" s="175"/>
      <c r="S100" s="105" t="e">
        <f t="shared" si="45"/>
        <v>#N/A</v>
      </c>
      <c r="T100" s="412"/>
      <c r="U100" s="175"/>
      <c r="V100" s="175"/>
      <c r="W100" s="202"/>
      <c r="X100" s="105" t="e">
        <f t="shared" si="46"/>
        <v>#N/A</v>
      </c>
      <c r="Y100" s="412"/>
      <c r="Z100" s="175"/>
      <c r="AA100" s="175"/>
      <c r="AB100" s="202"/>
      <c r="AC100" s="105" t="e">
        <f t="shared" si="47"/>
        <v>#N/A</v>
      </c>
      <c r="AD100" s="412"/>
      <c r="AE100" s="175"/>
      <c r="AF100" s="175"/>
      <c r="AG100" s="202"/>
      <c r="AH100" s="105" t="e">
        <f t="shared" si="48"/>
        <v>#N/A</v>
      </c>
      <c r="AI100" s="412"/>
      <c r="AJ100" s="175"/>
      <c r="AK100" s="175"/>
      <c r="AL100" s="202"/>
      <c r="AM100" s="105" t="e">
        <f t="shared" si="49"/>
        <v>#N/A</v>
      </c>
      <c r="AN100" s="412"/>
      <c r="AO100" s="175"/>
      <c r="AP100" s="175"/>
      <c r="AQ100" s="202"/>
      <c r="AR100" s="105" t="e">
        <f t="shared" si="50"/>
        <v>#N/A</v>
      </c>
      <c r="AS100" s="412"/>
      <c r="AT100" s="175"/>
      <c r="AU100" s="175"/>
      <c r="AV100" s="202"/>
      <c r="AW100" s="105" t="e">
        <f t="shared" si="51"/>
        <v>#N/A</v>
      </c>
      <c r="AX100" s="412"/>
    </row>
    <row r="101" spans="2:50">
      <c r="B101" s="398"/>
      <c r="C101" s="105">
        <v>15</v>
      </c>
      <c r="D101" s="228"/>
      <c r="E101" s="175"/>
      <c r="F101" s="105"/>
      <c r="G101" s="202"/>
      <c r="H101" s="386"/>
      <c r="I101" s="105"/>
      <c r="J101" s="105"/>
      <c r="K101" s="105"/>
      <c r="L101" s="386"/>
      <c r="M101" s="175" t="e">
        <f>RANK(K101, K$87:$K$101)</f>
        <v>#N/A</v>
      </c>
      <c r="N101" s="387"/>
      <c r="O101" s="387"/>
      <c r="P101" s="175"/>
      <c r="Q101" s="175"/>
      <c r="R101" s="175"/>
      <c r="S101" s="105" t="e">
        <f t="shared" si="45"/>
        <v>#N/A</v>
      </c>
      <c r="T101" s="412"/>
      <c r="U101" s="175"/>
      <c r="V101" s="175"/>
      <c r="W101" s="202"/>
      <c r="X101" s="105" t="e">
        <f t="shared" si="46"/>
        <v>#N/A</v>
      </c>
      <c r="Y101" s="412"/>
      <c r="Z101" s="175"/>
      <c r="AA101" s="175"/>
      <c r="AB101" s="202"/>
      <c r="AC101" s="105" t="e">
        <f t="shared" si="47"/>
        <v>#N/A</v>
      </c>
      <c r="AD101" s="412"/>
      <c r="AE101" s="175"/>
      <c r="AF101" s="175"/>
      <c r="AG101" s="202"/>
      <c r="AH101" s="105" t="e">
        <f t="shared" si="48"/>
        <v>#N/A</v>
      </c>
      <c r="AI101" s="412"/>
      <c r="AJ101" s="175"/>
      <c r="AK101" s="175"/>
      <c r="AL101" s="202"/>
      <c r="AM101" s="105" t="e">
        <f t="shared" si="49"/>
        <v>#N/A</v>
      </c>
      <c r="AN101" s="412"/>
      <c r="AO101" s="175"/>
      <c r="AP101" s="175"/>
      <c r="AQ101" s="202"/>
      <c r="AR101" s="105" t="e">
        <f t="shared" si="50"/>
        <v>#N/A</v>
      </c>
      <c r="AS101" s="412"/>
      <c r="AT101" s="175"/>
      <c r="AU101" s="175"/>
      <c r="AV101" s="202"/>
      <c r="AW101" s="105" t="e">
        <f t="shared" si="51"/>
        <v>#N/A</v>
      </c>
      <c r="AX101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01"/>
  <sheetViews>
    <sheetView topLeftCell="A42" zoomScale="50" zoomScaleNormal="50" workbookViewId="0">
      <pane xSplit="15" topLeftCell="S1" activePane="topRight" state="frozen"/>
      <selection pane="topRight" activeCell="AN109" sqref="AN109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102">
        <f>AVERAGE(L7,L27,L47,L67,L87)</f>
        <v>114.50557202660302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87" t="s">
        <v>311</v>
      </c>
      <c r="C7" s="105">
        <v>1</v>
      </c>
      <c r="D7" s="228" t="s">
        <v>312</v>
      </c>
      <c r="E7" s="175">
        <v>19</v>
      </c>
      <c r="F7" s="105">
        <v>2250</v>
      </c>
      <c r="G7" s="202">
        <v>118.42105263157895</v>
      </c>
      <c r="H7" s="384">
        <f>AVERAGE(G7:G21)</f>
        <v>121.57755499860764</v>
      </c>
      <c r="I7" s="175">
        <f>AVERAGE(P7,U7,Z7,AE7,AJ7,AO7,AT7)</f>
        <v>19</v>
      </c>
      <c r="J7" s="175">
        <f>AVERAGE(Q7,V7,AA7,AF7,AK7,AP7,AU7)</f>
        <v>1541.7916666666724</v>
      </c>
      <c r="K7" s="202">
        <f>AVERAGE(R7,W7,AB7,AG7,AL7,AQ7,AV7)</f>
        <v>81.146929824561695</v>
      </c>
      <c r="L7" s="384">
        <f>IFERROR(AVERAGE(K7:K21),"-")</f>
        <v>109.73573152608105</v>
      </c>
      <c r="M7" s="203">
        <f>RANK(K7, K$7:$K$21)</f>
        <v>9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v>19</v>
      </c>
      <c r="AF7" s="175">
        <v>1638.0000000000059</v>
      </c>
      <c r="AG7" s="202">
        <v>86.210526315789778</v>
      </c>
      <c r="AH7" s="105">
        <f>RANK(AG7, AG$7:AG$21)</f>
        <v>9</v>
      </c>
      <c r="AI7" s="412">
        <f>AVERAGE(AG7:AG21)</f>
        <v>111.06530545005954</v>
      </c>
      <c r="AJ7" s="105">
        <v>19</v>
      </c>
      <c r="AK7" s="175">
        <v>1540.0000000000055</v>
      </c>
      <c r="AL7" s="202">
        <v>81.052631578947654</v>
      </c>
      <c r="AM7" s="105">
        <f>RANK(AL7, AL$7:AL$21)</f>
        <v>9</v>
      </c>
      <c r="AN7" s="412">
        <f>AVERAGE(AL7:AL21)</f>
        <v>109.46175918738729</v>
      </c>
      <c r="AO7" s="105">
        <v>19</v>
      </c>
      <c r="AP7" s="175">
        <v>1586.6666666666724</v>
      </c>
      <c r="AQ7" s="202">
        <v>83.50877192982486</v>
      </c>
      <c r="AR7" s="105">
        <f>RANK(AQ7, AQ$7:AQ$21)</f>
        <v>9</v>
      </c>
      <c r="AS7" s="412">
        <f>AVERAGE(AQ7:AQ21)</f>
        <v>110.26479540621959</v>
      </c>
      <c r="AT7" s="105">
        <v>19</v>
      </c>
      <c r="AU7" s="175">
        <v>1402.500000000005</v>
      </c>
      <c r="AV7" s="202">
        <v>73.815789473684475</v>
      </c>
      <c r="AW7" s="105">
        <f>RANK(AV7, AV$7:AV$21)</f>
        <v>8</v>
      </c>
      <c r="AX7" s="412">
        <f>AVERAGE(AV7:AV21)</f>
        <v>106.53241252780796</v>
      </c>
    </row>
    <row r="8" spans="1:50" ht="15" customHeight="1">
      <c r="A8" s="79"/>
      <c r="B8" s="398"/>
      <c r="C8" s="105">
        <v>2</v>
      </c>
      <c r="D8" s="228" t="s">
        <v>313</v>
      </c>
      <c r="E8" s="175">
        <v>18</v>
      </c>
      <c r="F8" s="105">
        <v>2250</v>
      </c>
      <c r="G8" s="202">
        <v>125</v>
      </c>
      <c r="H8" s="385"/>
      <c r="I8" s="175">
        <f t="shared" ref="I8:K15" si="0">AVERAGE(P8,U8,Z8,AE8,AJ8,AO8,AT8)</f>
        <v>18</v>
      </c>
      <c r="J8" s="175">
        <f t="shared" si="0"/>
        <v>2179.8052978222199</v>
      </c>
      <c r="K8" s="202">
        <f t="shared" si="0"/>
        <v>121.10029432345665</v>
      </c>
      <c r="L8" s="385"/>
      <c r="M8" s="203">
        <f>RANK(K8, K$7:$K$21)</f>
        <v>3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v>18</v>
      </c>
      <c r="AF8" s="175">
        <v>2192.9032258064508</v>
      </c>
      <c r="AG8" s="202">
        <v>121.82795698924727</v>
      </c>
      <c r="AH8" s="105">
        <f t="shared" ref="AH8:AH21" si="4">RANK(AG8, AG$7:AG$21)</f>
        <v>2</v>
      </c>
      <c r="AI8" s="412"/>
      <c r="AJ8" s="105">
        <v>18</v>
      </c>
      <c r="AK8" s="175">
        <v>2161.9672131147536</v>
      </c>
      <c r="AL8" s="202">
        <v>120.10928961748631</v>
      </c>
      <c r="AM8" s="105">
        <f t="shared" ref="AM8:AM21" si="5">RANK(AL8, AL$7:AL$21)</f>
        <v>3</v>
      </c>
      <c r="AN8" s="412"/>
      <c r="AO8" s="105">
        <v>18</v>
      </c>
      <c r="AP8" s="175">
        <v>2184.5454545454545</v>
      </c>
      <c r="AQ8" s="202">
        <v>121.36363636363636</v>
      </c>
      <c r="AR8" s="105">
        <f t="shared" ref="AR8:AR21" si="6">RANK(AQ8, AQ$7:AQ$21)</f>
        <v>3</v>
      </c>
      <c r="AS8" s="412"/>
      <c r="AT8" s="105"/>
      <c r="AU8" s="175"/>
      <c r="AV8" s="202"/>
      <c r="AW8" s="105" t="e">
        <f t="shared" ref="AW8:AW21" si="7">RANK(AV8, AV$7:AV$21)</f>
        <v>#N/A</v>
      </c>
      <c r="AX8" s="412"/>
    </row>
    <row r="9" spans="1:50">
      <c r="A9" s="79"/>
      <c r="B9" s="398"/>
      <c r="C9" s="105">
        <v>3</v>
      </c>
      <c r="D9" s="228" t="s">
        <v>314</v>
      </c>
      <c r="E9" s="175">
        <v>21</v>
      </c>
      <c r="F9" s="105">
        <v>2400</v>
      </c>
      <c r="G9" s="202">
        <v>114.28571428571429</v>
      </c>
      <c r="H9" s="385"/>
      <c r="I9" s="175">
        <f t="shared" si="0"/>
        <v>21</v>
      </c>
      <c r="J9" s="175">
        <f t="shared" si="0"/>
        <v>2137.0556333302484</v>
      </c>
      <c r="K9" s="202">
        <f t="shared" si="0"/>
        <v>101.76455396810705</v>
      </c>
      <c r="L9" s="385"/>
      <c r="M9" s="203">
        <f>RANK(K9, K$7:$K$21)</f>
        <v>8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v>21</v>
      </c>
      <c r="AF9" s="175">
        <v>2164.6874999999995</v>
      </c>
      <c r="AG9" s="202">
        <v>103.08035714285712</v>
      </c>
      <c r="AH9" s="105">
        <f t="shared" si="4"/>
        <v>7</v>
      </c>
      <c r="AI9" s="412"/>
      <c r="AJ9" s="105">
        <v>21</v>
      </c>
      <c r="AK9" s="175">
        <v>2120.6249999999995</v>
      </c>
      <c r="AL9" s="202">
        <v>100.98214285714283</v>
      </c>
      <c r="AM9" s="105">
        <f t="shared" si="5"/>
        <v>8</v>
      </c>
      <c r="AN9" s="412"/>
      <c r="AO9" s="105">
        <v>21</v>
      </c>
      <c r="AP9" s="175">
        <v>2127.5675675675684</v>
      </c>
      <c r="AQ9" s="202">
        <v>101.31274131274135</v>
      </c>
      <c r="AR9" s="105">
        <f t="shared" si="6"/>
        <v>8</v>
      </c>
      <c r="AS9" s="412"/>
      <c r="AT9" s="105">
        <v>21</v>
      </c>
      <c r="AU9" s="175">
        <v>2135.3424657534251</v>
      </c>
      <c r="AV9" s="202">
        <v>101.68297455968691</v>
      </c>
      <c r="AW9" s="105">
        <f t="shared" si="7"/>
        <v>7</v>
      </c>
      <c r="AX9" s="412"/>
    </row>
    <row r="10" spans="1:50">
      <c r="A10" s="79"/>
      <c r="B10" s="398"/>
      <c r="C10" s="105">
        <v>4</v>
      </c>
      <c r="D10" s="228" t="s">
        <v>315</v>
      </c>
      <c r="E10" s="175">
        <v>18</v>
      </c>
      <c r="F10" s="105">
        <v>2571</v>
      </c>
      <c r="G10" s="202">
        <v>142.83333333333334</v>
      </c>
      <c r="H10" s="385"/>
      <c r="I10" s="175">
        <f t="shared" si="0"/>
        <v>20</v>
      </c>
      <c r="J10" s="175">
        <f t="shared" si="0"/>
        <v>2269.165628891657</v>
      </c>
      <c r="K10" s="202">
        <f t="shared" si="0"/>
        <v>113.45828144458285</v>
      </c>
      <c r="L10" s="385"/>
      <c r="M10" s="203">
        <f>RANK(K10, K$7:$K$21)</f>
        <v>5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v>20</v>
      </c>
      <c r="AF10" s="175">
        <v>2353.0909090909104</v>
      </c>
      <c r="AG10" s="202">
        <v>117.65454545454551</v>
      </c>
      <c r="AH10" s="105">
        <f t="shared" si="4"/>
        <v>4</v>
      </c>
      <c r="AI10" s="412"/>
      <c r="AJ10" s="105">
        <v>20</v>
      </c>
      <c r="AK10" s="175">
        <v>2277.8181818181833</v>
      </c>
      <c r="AL10" s="202">
        <v>113.89090909090916</v>
      </c>
      <c r="AM10" s="105">
        <f t="shared" si="5"/>
        <v>4</v>
      </c>
      <c r="AN10" s="412"/>
      <c r="AO10" s="105">
        <v>20</v>
      </c>
      <c r="AP10" s="175">
        <v>2340</v>
      </c>
      <c r="AQ10" s="202">
        <v>117</v>
      </c>
      <c r="AR10" s="105">
        <f t="shared" si="6"/>
        <v>4</v>
      </c>
      <c r="AS10" s="412"/>
      <c r="AT10" s="105">
        <v>20</v>
      </c>
      <c r="AU10" s="175">
        <v>2105.7534246575347</v>
      </c>
      <c r="AV10" s="202">
        <v>105.28767123287673</v>
      </c>
      <c r="AW10" s="105">
        <f t="shared" si="7"/>
        <v>6</v>
      </c>
      <c r="AX10" s="412"/>
    </row>
    <row r="11" spans="1:50">
      <c r="A11" s="79"/>
      <c r="B11" s="398"/>
      <c r="C11" s="105">
        <v>5</v>
      </c>
      <c r="D11" s="228" t="s">
        <v>316</v>
      </c>
      <c r="E11" s="175">
        <v>20</v>
      </c>
      <c r="F11" s="105">
        <v>2250</v>
      </c>
      <c r="G11" s="202">
        <v>112.5</v>
      </c>
      <c r="H11" s="385"/>
      <c r="I11" s="175">
        <f t="shared" si="0"/>
        <v>20</v>
      </c>
      <c r="J11" s="175">
        <f t="shared" si="0"/>
        <v>2280.8578231292522</v>
      </c>
      <c r="K11" s="202">
        <f t="shared" si="0"/>
        <v>114.04289115646259</v>
      </c>
      <c r="L11" s="385"/>
      <c r="M11" s="203">
        <f>RANK(K11, K$7:$K$21)</f>
        <v>4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v>20</v>
      </c>
      <c r="AF11" s="175">
        <v>2328</v>
      </c>
      <c r="AG11" s="202">
        <v>116.4</v>
      </c>
      <c r="AH11" s="105">
        <f t="shared" si="4"/>
        <v>5</v>
      </c>
      <c r="AI11" s="412"/>
      <c r="AJ11" s="105">
        <v>20</v>
      </c>
      <c r="AK11" s="175">
        <v>2265.333333333333</v>
      </c>
      <c r="AL11" s="202">
        <v>113.26666666666665</v>
      </c>
      <c r="AM11" s="105">
        <f t="shared" si="5"/>
        <v>5</v>
      </c>
      <c r="AN11" s="412"/>
      <c r="AO11" s="105">
        <v>20</v>
      </c>
      <c r="AP11" s="175">
        <v>2245.2000000000007</v>
      </c>
      <c r="AQ11" s="202">
        <v>112.26000000000003</v>
      </c>
      <c r="AR11" s="105">
        <f t="shared" si="6"/>
        <v>5</v>
      </c>
      <c r="AS11" s="412"/>
      <c r="AT11" s="105">
        <v>20</v>
      </c>
      <c r="AU11" s="175">
        <v>2284.8979591836742</v>
      </c>
      <c r="AV11" s="202">
        <v>114.2448979591837</v>
      </c>
      <c r="AW11" s="105">
        <f t="shared" si="7"/>
        <v>3</v>
      </c>
      <c r="AX11" s="412"/>
    </row>
    <row r="12" spans="1:50">
      <c r="A12" s="79"/>
      <c r="B12" s="398"/>
      <c r="C12" s="105">
        <v>6</v>
      </c>
      <c r="D12" s="228" t="s">
        <v>317</v>
      </c>
      <c r="E12" s="175">
        <v>19</v>
      </c>
      <c r="F12" s="105">
        <v>2571</v>
      </c>
      <c r="G12" s="202">
        <v>135.31578947368422</v>
      </c>
      <c r="H12" s="385"/>
      <c r="I12" s="175">
        <f t="shared" si="0"/>
        <v>20</v>
      </c>
      <c r="J12" s="175">
        <f t="shared" si="0"/>
        <v>2457.0252100840326</v>
      </c>
      <c r="K12" s="202">
        <f t="shared" si="0"/>
        <v>122.8512605042016</v>
      </c>
      <c r="L12" s="385"/>
      <c r="M12" s="203">
        <f>RANK(K12, K$7:$K$21)</f>
        <v>1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>
        <v>20</v>
      </c>
      <c r="AF12" s="175">
        <v>2414.5714285714262</v>
      </c>
      <c r="AG12" s="202">
        <v>120.72857142857131</v>
      </c>
      <c r="AH12" s="105">
        <f t="shared" si="4"/>
        <v>3</v>
      </c>
      <c r="AI12" s="412"/>
      <c r="AJ12" s="105">
        <v>20</v>
      </c>
      <c r="AK12" s="175">
        <v>2459.9999999999973</v>
      </c>
      <c r="AL12" s="202">
        <v>122.99999999999986</v>
      </c>
      <c r="AM12" s="105">
        <f t="shared" si="5"/>
        <v>1</v>
      </c>
      <c r="AN12" s="412"/>
      <c r="AO12" s="105">
        <v>20</v>
      </c>
      <c r="AP12" s="175">
        <v>2475.5294117647054</v>
      </c>
      <c r="AQ12" s="202">
        <v>123.77647058823527</v>
      </c>
      <c r="AR12" s="105">
        <f t="shared" si="6"/>
        <v>1</v>
      </c>
      <c r="AS12" s="412"/>
      <c r="AT12" s="105">
        <v>20</v>
      </c>
      <c r="AU12" s="175">
        <v>2478</v>
      </c>
      <c r="AV12" s="202">
        <v>123.9</v>
      </c>
      <c r="AW12" s="105">
        <f t="shared" si="7"/>
        <v>1</v>
      </c>
      <c r="AX12" s="412"/>
    </row>
    <row r="13" spans="1:50">
      <c r="A13" s="79"/>
      <c r="B13" s="398"/>
      <c r="C13" s="105">
        <v>7</v>
      </c>
      <c r="D13" s="228" t="s">
        <v>318</v>
      </c>
      <c r="E13" s="175">
        <v>19</v>
      </c>
      <c r="F13" s="105">
        <v>2571</v>
      </c>
      <c r="G13" s="202">
        <v>135.31578947368422</v>
      </c>
      <c r="H13" s="385"/>
      <c r="I13" s="175">
        <f t="shared" si="0"/>
        <v>20</v>
      </c>
      <c r="J13" s="175">
        <f t="shared" si="0"/>
        <v>2427.3783715198042</v>
      </c>
      <c r="K13" s="202">
        <f t="shared" si="0"/>
        <v>121.36891857599021</v>
      </c>
      <c r="L13" s="385"/>
      <c r="M13" s="203">
        <f>RANK(K13, K$7:$K$21)</f>
        <v>2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>
        <v>20</v>
      </c>
      <c r="AF13" s="175">
        <v>2483.4482758620684</v>
      </c>
      <c r="AG13" s="202">
        <v>124.17241379310342</v>
      </c>
      <c r="AH13" s="105">
        <f t="shared" si="4"/>
        <v>1</v>
      </c>
      <c r="AI13" s="412"/>
      <c r="AJ13" s="105">
        <v>20</v>
      </c>
      <c r="AK13" s="175">
        <v>2422.5688073394513</v>
      </c>
      <c r="AL13" s="202">
        <v>121.12844036697257</v>
      </c>
      <c r="AM13" s="105">
        <f t="shared" si="5"/>
        <v>2</v>
      </c>
      <c r="AN13" s="412"/>
      <c r="AO13" s="105">
        <v>20</v>
      </c>
      <c r="AP13" s="175">
        <v>2453.9999999999995</v>
      </c>
      <c r="AQ13" s="202">
        <v>122.69999999999997</v>
      </c>
      <c r="AR13" s="105">
        <f t="shared" si="6"/>
        <v>2</v>
      </c>
      <c r="AS13" s="412"/>
      <c r="AT13" s="105">
        <v>20</v>
      </c>
      <c r="AU13" s="175">
        <v>2349.4964028776976</v>
      </c>
      <c r="AV13" s="202">
        <v>117.47482014388488</v>
      </c>
      <c r="AW13" s="105">
        <f t="shared" si="7"/>
        <v>2</v>
      </c>
      <c r="AX13" s="412"/>
    </row>
    <row r="14" spans="1:50">
      <c r="A14" s="79"/>
      <c r="B14" s="398"/>
      <c r="C14" s="105">
        <v>8</v>
      </c>
      <c r="D14" s="228" t="s">
        <v>319</v>
      </c>
      <c r="E14" s="175">
        <v>19</v>
      </c>
      <c r="F14" s="105">
        <v>2000</v>
      </c>
      <c r="G14" s="202">
        <v>105.26315789473684</v>
      </c>
      <c r="H14" s="385"/>
      <c r="I14" s="175">
        <f t="shared" si="0"/>
        <v>20</v>
      </c>
      <c r="J14" s="175">
        <f t="shared" si="0"/>
        <v>2138.9229249011896</v>
      </c>
      <c r="K14" s="202">
        <f t="shared" si="0"/>
        <v>106.94614624505948</v>
      </c>
      <c r="L14" s="385"/>
      <c r="M14" s="203">
        <f>RANK(K14, K$7:$K$21)</f>
        <v>6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>
        <v>20</v>
      </c>
      <c r="AF14" s="175">
        <v>2055.6521739130508</v>
      </c>
      <c r="AG14" s="202">
        <v>102.78260869565254</v>
      </c>
      <c r="AH14" s="105">
        <f t="shared" si="4"/>
        <v>8</v>
      </c>
      <c r="AI14" s="412"/>
      <c r="AJ14" s="105">
        <v>20</v>
      </c>
      <c r="AK14" s="175">
        <v>2139.1304347826012</v>
      </c>
      <c r="AL14" s="202">
        <v>106.95652173913007</v>
      </c>
      <c r="AM14" s="105">
        <f t="shared" si="5"/>
        <v>6</v>
      </c>
      <c r="AN14" s="412"/>
      <c r="AO14" s="105">
        <v>20</v>
      </c>
      <c r="AP14" s="175">
        <v>2160.0000000000077</v>
      </c>
      <c r="AQ14" s="202">
        <v>108.00000000000038</v>
      </c>
      <c r="AR14" s="105">
        <f t="shared" si="6"/>
        <v>6</v>
      </c>
      <c r="AS14" s="412"/>
      <c r="AT14" s="105">
        <v>20</v>
      </c>
      <c r="AU14" s="175">
        <v>2200.9090909090987</v>
      </c>
      <c r="AV14" s="202">
        <v>110.04545454545493</v>
      </c>
      <c r="AW14" s="105">
        <f t="shared" si="7"/>
        <v>4</v>
      </c>
      <c r="AX14" s="412"/>
    </row>
    <row r="15" spans="1:50">
      <c r="A15" s="79"/>
      <c r="B15" s="398"/>
      <c r="C15" s="105">
        <v>9</v>
      </c>
      <c r="D15" s="228" t="s">
        <v>320</v>
      </c>
      <c r="E15" s="175">
        <v>19</v>
      </c>
      <c r="F15" s="105">
        <v>2000</v>
      </c>
      <c r="G15" s="202">
        <v>105.26315789473684</v>
      </c>
      <c r="H15" s="385"/>
      <c r="I15" s="175">
        <f t="shared" si="0"/>
        <v>20</v>
      </c>
      <c r="J15" s="175">
        <f t="shared" si="0"/>
        <v>2098.8461538461484</v>
      </c>
      <c r="K15" s="202">
        <f t="shared" si="0"/>
        <v>104.94230769230742</v>
      </c>
      <c r="L15" s="385"/>
      <c r="M15" s="203">
        <f>RANK(K15, K$7:$K$21)</f>
        <v>7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>
        <v>20</v>
      </c>
      <c r="AF15" s="175">
        <v>2134.6153846153793</v>
      </c>
      <c r="AG15" s="202">
        <v>106.73076923076897</v>
      </c>
      <c r="AH15" s="105">
        <f t="shared" si="4"/>
        <v>6</v>
      </c>
      <c r="AI15" s="412"/>
      <c r="AJ15" s="105">
        <v>20</v>
      </c>
      <c r="AK15" s="175">
        <v>2095.3846153846102</v>
      </c>
      <c r="AL15" s="202">
        <v>104.76923076923052</v>
      </c>
      <c r="AM15" s="105">
        <f t="shared" si="5"/>
        <v>7</v>
      </c>
      <c r="AN15" s="412"/>
      <c r="AO15" s="105">
        <v>20</v>
      </c>
      <c r="AP15" s="175">
        <v>2049.2307692307641</v>
      </c>
      <c r="AQ15" s="202">
        <v>102.4615384615382</v>
      </c>
      <c r="AR15" s="105">
        <f t="shared" si="6"/>
        <v>7</v>
      </c>
      <c r="AS15" s="412"/>
      <c r="AT15" s="105">
        <v>20</v>
      </c>
      <c r="AU15" s="175">
        <v>2116.1538461538403</v>
      </c>
      <c r="AV15" s="202">
        <v>105.80769230769201</v>
      </c>
      <c r="AW15" s="105">
        <f t="shared" si="7"/>
        <v>5</v>
      </c>
      <c r="AX15" s="412"/>
    </row>
    <row r="16" spans="1:50">
      <c r="A16" s="79"/>
      <c r="B16" s="398"/>
      <c r="C16" s="105">
        <v>10</v>
      </c>
      <c r="D16" s="228"/>
      <c r="E16" s="175"/>
      <c r="F16" s="105"/>
      <c r="G16" s="202"/>
      <c r="H16" s="385"/>
      <c r="I16" s="175"/>
      <c r="J16" s="175"/>
      <c r="K16" s="202"/>
      <c r="L16" s="385"/>
      <c r="M16" s="203" t="e">
        <f>RANK(K16, K$7:$K$21)</f>
        <v>#N/A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/>
      <c r="AF16" s="175"/>
      <c r="AG16" s="202"/>
      <c r="AH16" s="105" t="e">
        <f t="shared" si="4"/>
        <v>#N/A</v>
      </c>
      <c r="AI16" s="412"/>
      <c r="AJ16" s="105"/>
      <c r="AK16" s="175"/>
      <c r="AL16" s="202"/>
      <c r="AM16" s="105" t="e">
        <f t="shared" si="5"/>
        <v>#N/A</v>
      </c>
      <c r="AN16" s="412"/>
      <c r="AO16" s="105"/>
      <c r="AP16" s="175"/>
      <c r="AQ16" s="202"/>
      <c r="AR16" s="105" t="e">
        <f t="shared" si="6"/>
        <v>#N/A</v>
      </c>
      <c r="AS16" s="412"/>
      <c r="AT16" s="105"/>
      <c r="AU16" s="175"/>
      <c r="AV16" s="202"/>
      <c r="AW16" s="105" t="e">
        <f t="shared" si="7"/>
        <v>#N/A</v>
      </c>
      <c r="AX16" s="412"/>
    </row>
    <row r="17" spans="2:50">
      <c r="B17" s="398"/>
      <c r="C17" s="105">
        <v>11</v>
      </c>
      <c r="D17" s="228"/>
      <c r="E17" s="175"/>
      <c r="F17" s="105"/>
      <c r="G17" s="202"/>
      <c r="H17" s="385"/>
      <c r="I17" s="105"/>
      <c r="J17" s="105"/>
      <c r="K17" s="105"/>
      <c r="L17" s="385"/>
      <c r="M17" s="203" t="e">
        <f>RANK(K17, K$7:$K$21)</f>
        <v>#N/A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/>
      <c r="AF17" s="175"/>
      <c r="AG17" s="202"/>
      <c r="AH17" s="105" t="e">
        <f t="shared" si="4"/>
        <v>#N/A</v>
      </c>
      <c r="AI17" s="412"/>
      <c r="AJ17" s="105"/>
      <c r="AK17" s="105"/>
      <c r="AL17" s="105"/>
      <c r="AM17" s="105" t="e">
        <f t="shared" si="5"/>
        <v>#N/A</v>
      </c>
      <c r="AN17" s="412"/>
      <c r="AO17" s="105"/>
      <c r="AP17" s="105"/>
      <c r="AQ17" s="105"/>
      <c r="AR17" s="105" t="e">
        <f t="shared" si="6"/>
        <v>#N/A</v>
      </c>
      <c r="AS17" s="412"/>
      <c r="AT17" s="105"/>
      <c r="AU17" s="105"/>
      <c r="AV17" s="105"/>
      <c r="AW17" s="105" t="e">
        <f t="shared" si="7"/>
        <v>#N/A</v>
      </c>
      <c r="AX17" s="412"/>
    </row>
    <row r="18" spans="2:50">
      <c r="B18" s="398"/>
      <c r="C18" s="105">
        <v>12</v>
      </c>
      <c r="D18" s="228"/>
      <c r="E18" s="175"/>
      <c r="F18" s="105"/>
      <c r="G18" s="202"/>
      <c r="H18" s="385"/>
      <c r="I18" s="105"/>
      <c r="J18" s="105"/>
      <c r="K18" s="105"/>
      <c r="L18" s="385"/>
      <c r="M18" s="203" t="e">
        <f>RANK(K18, K$7:$K$21)</f>
        <v>#N/A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/>
      <c r="AF18" s="175"/>
      <c r="AG18" s="202"/>
      <c r="AH18" s="105" t="e">
        <f t="shared" si="4"/>
        <v>#N/A</v>
      </c>
      <c r="AI18" s="412"/>
      <c r="AJ18" s="105"/>
      <c r="AK18" s="105"/>
      <c r="AL18" s="105"/>
      <c r="AM18" s="105" t="e">
        <f t="shared" si="5"/>
        <v>#N/A</v>
      </c>
      <c r="AN18" s="412"/>
      <c r="AO18" s="105"/>
      <c r="AP18" s="105"/>
      <c r="AQ18" s="105"/>
      <c r="AR18" s="105" t="e">
        <f t="shared" si="6"/>
        <v>#N/A</v>
      </c>
      <c r="AS18" s="412"/>
      <c r="AT18" s="105"/>
      <c r="AU18" s="105"/>
      <c r="AV18" s="105"/>
      <c r="AW18" s="105" t="e">
        <f t="shared" si="7"/>
        <v>#N/A</v>
      </c>
      <c r="AX18" s="412"/>
    </row>
    <row r="19" spans="2:50">
      <c r="B19" s="398"/>
      <c r="C19" s="105">
        <v>13</v>
      </c>
      <c r="D19" s="228"/>
      <c r="E19" s="175"/>
      <c r="F19" s="105"/>
      <c r="G19" s="202"/>
      <c r="H19" s="385"/>
      <c r="I19" s="105"/>
      <c r="J19" s="105"/>
      <c r="K19" s="105"/>
      <c r="L19" s="385"/>
      <c r="M19" s="203" t="e">
        <f>RANK(K19, K$7:$K$21)</f>
        <v>#N/A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/>
      <c r="AF19" s="175"/>
      <c r="AG19" s="202"/>
      <c r="AH19" s="105" t="e">
        <f t="shared" si="4"/>
        <v>#N/A</v>
      </c>
      <c r="AI19" s="412"/>
      <c r="AJ19" s="105"/>
      <c r="AK19" s="105"/>
      <c r="AL19" s="105"/>
      <c r="AM19" s="105" t="e">
        <f t="shared" si="5"/>
        <v>#N/A</v>
      </c>
      <c r="AN19" s="412"/>
      <c r="AO19" s="105"/>
      <c r="AP19" s="105"/>
      <c r="AQ19" s="105"/>
      <c r="AR19" s="105" t="e">
        <f t="shared" si="6"/>
        <v>#N/A</v>
      </c>
      <c r="AS19" s="412"/>
      <c r="AT19" s="105"/>
      <c r="AU19" s="105"/>
      <c r="AV19" s="105"/>
      <c r="AW19" s="105" t="e">
        <f t="shared" si="7"/>
        <v>#N/A</v>
      </c>
      <c r="AX19" s="412"/>
    </row>
    <row r="20" spans="2:50">
      <c r="B20" s="398"/>
      <c r="C20" s="105">
        <v>14</v>
      </c>
      <c r="D20" s="228"/>
      <c r="E20" s="175"/>
      <c r="F20" s="105"/>
      <c r="G20" s="202"/>
      <c r="H20" s="385"/>
      <c r="I20" s="105"/>
      <c r="J20" s="105"/>
      <c r="K20" s="105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202"/>
      <c r="AH20" s="105" t="e">
        <f t="shared" si="4"/>
        <v>#N/A</v>
      </c>
      <c r="AI20" s="412"/>
      <c r="AJ20" s="105"/>
      <c r="AK20" s="105"/>
      <c r="AL20" s="105"/>
      <c r="AM20" s="105" t="e">
        <f t="shared" si="5"/>
        <v>#N/A</v>
      </c>
      <c r="AN20" s="412"/>
      <c r="AO20" s="105"/>
      <c r="AP20" s="105"/>
      <c r="AQ20" s="105"/>
      <c r="AR20" s="105" t="e">
        <f t="shared" si="6"/>
        <v>#N/A</v>
      </c>
      <c r="AS20" s="412"/>
      <c r="AT20" s="105"/>
      <c r="AU20" s="105"/>
      <c r="AV20" s="105"/>
      <c r="AW20" s="105" t="e">
        <f t="shared" si="7"/>
        <v>#N/A</v>
      </c>
      <c r="AX20" s="412"/>
    </row>
    <row r="21" spans="2:50">
      <c r="B21" s="398"/>
      <c r="C21" s="105">
        <v>15</v>
      </c>
      <c r="D21" s="228"/>
      <c r="E21" s="175"/>
      <c r="F21" s="105"/>
      <c r="G21" s="202"/>
      <c r="H21" s="386"/>
      <c r="I21" s="105"/>
      <c r="J21" s="105"/>
      <c r="K21" s="105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202"/>
      <c r="AH21" s="105" t="e">
        <f t="shared" si="4"/>
        <v>#N/A</v>
      </c>
      <c r="AI21" s="412"/>
      <c r="AJ21" s="105"/>
      <c r="AK21" s="105"/>
      <c r="AL21" s="105"/>
      <c r="AM21" s="105" t="e">
        <f t="shared" si="5"/>
        <v>#N/A</v>
      </c>
      <c r="AN21" s="412"/>
      <c r="AO21" s="105"/>
      <c r="AP21" s="105"/>
      <c r="AQ21" s="105"/>
      <c r="AR21" s="105" t="e">
        <f t="shared" si="6"/>
        <v>#N/A</v>
      </c>
      <c r="AS21" s="412"/>
      <c r="AT21" s="105"/>
      <c r="AU21" s="105"/>
      <c r="AV21" s="105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387" t="s">
        <v>311</v>
      </c>
      <c r="C27" s="105">
        <v>1</v>
      </c>
      <c r="D27" s="228" t="s">
        <v>314</v>
      </c>
      <c r="E27" s="175">
        <v>21</v>
      </c>
      <c r="F27" s="105">
        <v>2400</v>
      </c>
      <c r="G27" s="202">
        <v>114.28571428571429</v>
      </c>
      <c r="H27" s="384">
        <f>AVERAGE(G27:G41)</f>
        <v>121.53956319369851</v>
      </c>
      <c r="I27" s="175">
        <f>AVERAGE(P27,U27,Z27,AE27,AJ27,AO27,AT27)</f>
        <v>21</v>
      </c>
      <c r="J27" s="175">
        <f>AVERAGE(Q27,V27,AA27,AF27,AK27,AP27,AU27)</f>
        <v>2207.3941799712898</v>
      </c>
      <c r="K27" s="202">
        <f>AVERAGE(R27,W27,AB27,AG27,AL27,AQ27,AV27)</f>
        <v>105.11400857006142</v>
      </c>
      <c r="L27" s="384">
        <f>IFERROR(AVERAGE(K27:K41),"-")</f>
        <v>114.86096573132474</v>
      </c>
      <c r="M27" s="203">
        <f>RANK(K27, K$27:$K$41)</f>
        <v>7</v>
      </c>
      <c r="N27" s="387"/>
      <c r="O27" s="387"/>
      <c r="P27" s="105">
        <v>21</v>
      </c>
      <c r="Q27" s="202">
        <v>2190.41095890411</v>
      </c>
      <c r="R27" s="202">
        <v>104.30528375733857</v>
      </c>
      <c r="S27" s="105">
        <f>RANK(R27, R$27:R$41)</f>
        <v>7</v>
      </c>
      <c r="T27" s="384">
        <f>AVERAGE(R27:R41)</f>
        <v>114.08410073114221</v>
      </c>
      <c r="U27" s="105">
        <v>21</v>
      </c>
      <c r="V27" s="202">
        <v>2231.304347826087</v>
      </c>
      <c r="W27" s="202">
        <v>106.25258799171843</v>
      </c>
      <c r="X27" s="105">
        <f>RANK(W27, W$27:W$41)</f>
        <v>7</v>
      </c>
      <c r="Y27" s="384">
        <f>AVERAGE(W27:W41)</f>
        <v>119.03599535043286</v>
      </c>
      <c r="Z27" s="105">
        <v>21</v>
      </c>
      <c r="AA27" s="202">
        <v>2220.8450704225356</v>
      </c>
      <c r="AB27" s="202">
        <v>105.75452716297789</v>
      </c>
      <c r="AC27" s="105">
        <f>RANK(AB27, AB$27:AB$41)</f>
        <v>6</v>
      </c>
      <c r="AD27" s="384">
        <f>AVERAGE(AB27:AB41)</f>
        <v>114.4474945250392</v>
      </c>
      <c r="AE27" s="105">
        <v>21</v>
      </c>
      <c r="AF27" s="202">
        <v>2197.7419354838703</v>
      </c>
      <c r="AG27" s="202">
        <v>104.6543778801843</v>
      </c>
      <c r="AH27" s="105">
        <f>RANK(AG27, AG$27:AG$41)</f>
        <v>6</v>
      </c>
      <c r="AI27" s="384">
        <f>AVERAGE(AG27:AG41)</f>
        <v>114.45413112236245</v>
      </c>
      <c r="AJ27" s="105">
        <v>21</v>
      </c>
      <c r="AK27" s="202">
        <v>2206.2857142857147</v>
      </c>
      <c r="AL27" s="202">
        <v>105.06122448979593</v>
      </c>
      <c r="AM27" s="105">
        <f>RANK(AL27, AL$27:AL$41)</f>
        <v>6</v>
      </c>
      <c r="AN27" s="384">
        <f>AVERAGE(AL27:AL41)</f>
        <v>116.07209030540913</v>
      </c>
      <c r="AO27" s="105">
        <v>21</v>
      </c>
      <c r="AP27" s="202">
        <v>2207.6712328767126</v>
      </c>
      <c r="AQ27" s="202">
        <v>105.12720156555774</v>
      </c>
      <c r="AR27" s="105">
        <f>RANK(AQ27, AQ$27:AQ$41)</f>
        <v>6</v>
      </c>
      <c r="AS27" s="384">
        <f>AVERAGE(AQ27:AQ41)</f>
        <v>114.41756646534334</v>
      </c>
      <c r="AT27" s="105">
        <v>21</v>
      </c>
      <c r="AU27" s="202">
        <v>2197.5000000000005</v>
      </c>
      <c r="AV27" s="202">
        <v>104.64285714285717</v>
      </c>
      <c r="AW27" s="105">
        <f>RANK(AV27, AV$27:AV$41)</f>
        <v>4</v>
      </c>
      <c r="AX27" s="412">
        <f>AVERAGE(AV27:AV41)</f>
        <v>114.70776306226276</v>
      </c>
    </row>
    <row r="28" spans="2:50">
      <c r="B28" s="398"/>
      <c r="C28" s="105">
        <v>2</v>
      </c>
      <c r="D28" s="228" t="s">
        <v>315</v>
      </c>
      <c r="E28" s="175">
        <v>18</v>
      </c>
      <c r="F28" s="105">
        <v>2571</v>
      </c>
      <c r="G28" s="202">
        <v>142.83333333333334</v>
      </c>
      <c r="H28" s="385"/>
      <c r="I28" s="175">
        <f t="shared" ref="I28:K33" si="8">AVERAGE(P28,U28,Z28,AE28,AJ28,AO28,AT28)</f>
        <v>19.714285714285715</v>
      </c>
      <c r="J28" s="175">
        <f t="shared" si="8"/>
        <v>2364.0518568082975</v>
      </c>
      <c r="K28" s="202">
        <f t="shared" si="8"/>
        <v>120.05973569755773</v>
      </c>
      <c r="L28" s="385"/>
      <c r="M28" s="203">
        <f>RANK(K28, K$27:$K$41)</f>
        <v>3</v>
      </c>
      <c r="N28" s="387"/>
      <c r="O28" s="387"/>
      <c r="P28" s="105">
        <v>20</v>
      </c>
      <c r="Q28" s="202">
        <v>2407.4999999999995</v>
      </c>
      <c r="R28" s="202">
        <v>120.37499999999997</v>
      </c>
      <c r="S28" s="105">
        <f t="shared" ref="S28:S41" si="9">RANK(R28, R$27:R$41)</f>
        <v>3</v>
      </c>
      <c r="T28" s="385"/>
      <c r="U28" s="105">
        <v>18</v>
      </c>
      <c r="V28" s="202">
        <v>2340.0000000000018</v>
      </c>
      <c r="W28" s="202">
        <v>130.00000000000011</v>
      </c>
      <c r="X28" s="105">
        <f t="shared" ref="X28:X41" si="10">RANK(W28, W$27:W$41)</f>
        <v>1</v>
      </c>
      <c r="Y28" s="385"/>
      <c r="Z28" s="105">
        <v>20</v>
      </c>
      <c r="AA28" s="202">
        <v>2353.9285714285734</v>
      </c>
      <c r="AB28" s="202">
        <v>117.69642857142867</v>
      </c>
      <c r="AC28" s="105">
        <f t="shared" ref="AC28:AC41" si="11">RANK(AB28, AB$27:AB$41)</f>
        <v>3</v>
      </c>
      <c r="AD28" s="385"/>
      <c r="AE28" s="105">
        <v>20</v>
      </c>
      <c r="AF28" s="202">
        <v>2341.9999999999991</v>
      </c>
      <c r="AG28" s="202">
        <v>117.09999999999995</v>
      </c>
      <c r="AH28" s="105">
        <f t="shared" ref="AH28:AH41" si="12">RANK(AG28, AG$27:AG$41)</f>
        <v>3</v>
      </c>
      <c r="AI28" s="385"/>
      <c r="AJ28" s="105">
        <v>20</v>
      </c>
      <c r="AK28" s="202">
        <v>2403.9344262295072</v>
      </c>
      <c r="AL28" s="202">
        <v>120.19672131147536</v>
      </c>
      <c r="AM28" s="105">
        <f t="shared" ref="AM28:AM41" si="13">RANK(AL28, AL$27:AL$41)</f>
        <v>3</v>
      </c>
      <c r="AN28" s="385"/>
      <c r="AO28" s="105">
        <v>20</v>
      </c>
      <c r="AP28" s="202">
        <v>2325</v>
      </c>
      <c r="AQ28" s="202">
        <v>116.25</v>
      </c>
      <c r="AR28" s="105">
        <f t="shared" ref="AR28:AR41" si="14">RANK(AQ28, AQ$27:AQ$41)</f>
        <v>3</v>
      </c>
      <c r="AS28" s="385"/>
      <c r="AT28" s="105">
        <v>20</v>
      </c>
      <c r="AU28" s="202">
        <v>2375.9999999999995</v>
      </c>
      <c r="AV28" s="202">
        <v>118.79999999999998</v>
      </c>
      <c r="AW28" s="105">
        <f t="shared" ref="AW28:AW41" si="15">RANK(AV28, AV$27:AV$41)</f>
        <v>3</v>
      </c>
      <c r="AX28" s="412"/>
    </row>
    <row r="29" spans="2:50">
      <c r="B29" s="398"/>
      <c r="C29" s="105">
        <v>3</v>
      </c>
      <c r="D29" s="228" t="s">
        <v>319</v>
      </c>
      <c r="E29" s="175">
        <v>19</v>
      </c>
      <c r="F29" s="105">
        <v>2000</v>
      </c>
      <c r="G29" s="202">
        <v>105.26315789473684</v>
      </c>
      <c r="H29" s="385"/>
      <c r="I29" s="175">
        <f t="shared" si="8"/>
        <v>19.857142857142858</v>
      </c>
      <c r="J29" s="175">
        <f t="shared" si="8"/>
        <v>2131.4801242236031</v>
      </c>
      <c r="K29" s="202">
        <f t="shared" si="8"/>
        <v>107.38321673749593</v>
      </c>
      <c r="L29" s="385"/>
      <c r="M29" s="203">
        <f>RANK(K29, K$27:$K$41)</f>
        <v>6</v>
      </c>
      <c r="N29" s="387"/>
      <c r="O29" s="387"/>
      <c r="P29" s="105">
        <v>20</v>
      </c>
      <c r="Q29" s="202">
        <v>2118.260869565217</v>
      </c>
      <c r="R29" s="202">
        <v>105.91304347826085</v>
      </c>
      <c r="S29" s="105">
        <f t="shared" si="9"/>
        <v>6</v>
      </c>
      <c r="T29" s="385"/>
      <c r="U29" s="105">
        <v>19</v>
      </c>
      <c r="V29" s="202">
        <v>2152.5000000000005</v>
      </c>
      <c r="W29" s="202">
        <v>113.28947368421055</v>
      </c>
      <c r="X29" s="105">
        <f t="shared" si="10"/>
        <v>6</v>
      </c>
      <c r="Y29" s="385"/>
      <c r="Z29" s="105">
        <v>20</v>
      </c>
      <c r="AA29" s="202">
        <v>2080.0000000000009</v>
      </c>
      <c r="AB29" s="202">
        <v>104.00000000000004</v>
      </c>
      <c r="AC29" s="105">
        <f t="shared" si="11"/>
        <v>7</v>
      </c>
      <c r="AD29" s="385"/>
      <c r="AE29" s="105">
        <v>20</v>
      </c>
      <c r="AF29" s="202">
        <v>2185.0000000000009</v>
      </c>
      <c r="AG29" s="202">
        <v>109.25000000000004</v>
      </c>
      <c r="AH29" s="105">
        <f t="shared" si="12"/>
        <v>5</v>
      </c>
      <c r="AI29" s="385"/>
      <c r="AJ29" s="105">
        <v>20</v>
      </c>
      <c r="AK29" s="202">
        <v>2169.6000000000008</v>
      </c>
      <c r="AL29" s="202">
        <v>108.48000000000005</v>
      </c>
      <c r="AM29" s="105">
        <f t="shared" si="13"/>
        <v>5</v>
      </c>
      <c r="AN29" s="385"/>
      <c r="AO29" s="105">
        <v>20</v>
      </c>
      <c r="AP29" s="202">
        <v>2150.0000000000005</v>
      </c>
      <c r="AQ29" s="202">
        <v>107.50000000000003</v>
      </c>
      <c r="AR29" s="105">
        <f t="shared" si="14"/>
        <v>5</v>
      </c>
      <c r="AS29" s="385"/>
      <c r="AT29" s="105">
        <v>20</v>
      </c>
      <c r="AU29" s="202">
        <v>2065.0000000000009</v>
      </c>
      <c r="AV29" s="202">
        <v>103.25000000000004</v>
      </c>
      <c r="AW29" s="105">
        <f t="shared" si="15"/>
        <v>5</v>
      </c>
      <c r="AX29" s="412"/>
    </row>
    <row r="30" spans="2:50">
      <c r="B30" s="398"/>
      <c r="C30" s="105">
        <v>4</v>
      </c>
      <c r="D30" s="228" t="s">
        <v>320</v>
      </c>
      <c r="E30" s="175">
        <v>19</v>
      </c>
      <c r="F30" s="105">
        <v>2000</v>
      </c>
      <c r="G30" s="202">
        <v>105.26315789473684</v>
      </c>
      <c r="H30" s="385"/>
      <c r="I30" s="175">
        <f t="shared" si="8"/>
        <v>19.666666666666668</v>
      </c>
      <c r="J30" s="175">
        <f t="shared" si="8"/>
        <v>2151.9047619047633</v>
      </c>
      <c r="K30" s="202">
        <f t="shared" si="8"/>
        <v>109.48997493734343</v>
      </c>
      <c r="L30" s="385"/>
      <c r="M30" s="203">
        <f>RANK(K30, K$27:$K$41)</f>
        <v>5</v>
      </c>
      <c r="N30" s="387"/>
      <c r="O30" s="387"/>
      <c r="P30" s="105">
        <v>20</v>
      </c>
      <c r="Q30" s="202">
        <v>2155.0000000000009</v>
      </c>
      <c r="R30" s="202">
        <v>107.75000000000004</v>
      </c>
      <c r="S30" s="105">
        <f t="shared" si="9"/>
        <v>5</v>
      </c>
      <c r="T30" s="385"/>
      <c r="U30" s="105">
        <v>19</v>
      </c>
      <c r="V30" s="202">
        <v>2160.0000000000014</v>
      </c>
      <c r="W30" s="202">
        <v>113.68421052631587</v>
      </c>
      <c r="X30" s="105">
        <f t="shared" si="10"/>
        <v>5</v>
      </c>
      <c r="Y30" s="385"/>
      <c r="Z30" s="105">
        <v>20</v>
      </c>
      <c r="AA30" s="202">
        <v>2140.7142857142876</v>
      </c>
      <c r="AB30" s="202">
        <v>107.03571428571438</v>
      </c>
      <c r="AC30" s="105">
        <f t="shared" si="11"/>
        <v>5</v>
      </c>
      <c r="AD30" s="385"/>
      <c r="AE30" s="105"/>
      <c r="AF30" s="202"/>
      <c r="AG30" s="202"/>
      <c r="AH30" s="105" t="e">
        <f t="shared" si="12"/>
        <v>#N/A</v>
      </c>
      <c r="AI30" s="385"/>
      <c r="AJ30" s="105"/>
      <c r="AK30" s="202"/>
      <c r="AL30" s="202"/>
      <c r="AM30" s="105" t="e">
        <f t="shared" si="13"/>
        <v>#N/A</v>
      </c>
      <c r="AN30" s="385"/>
      <c r="AO30" s="105"/>
      <c r="AP30" s="202"/>
      <c r="AQ30" s="202"/>
      <c r="AR30" s="105" t="e">
        <f t="shared" si="14"/>
        <v>#N/A</v>
      </c>
      <c r="AS30" s="385"/>
      <c r="AT30" s="105"/>
      <c r="AU30" s="202"/>
      <c r="AV30" s="202"/>
      <c r="AW30" s="105" t="e">
        <f t="shared" si="15"/>
        <v>#N/A</v>
      </c>
      <c r="AX30" s="412"/>
    </row>
    <row r="31" spans="2:50">
      <c r="B31" s="398"/>
      <c r="C31" s="105">
        <v>5</v>
      </c>
      <c r="D31" s="228" t="s">
        <v>316</v>
      </c>
      <c r="E31" s="175">
        <v>20</v>
      </c>
      <c r="F31" s="105">
        <v>2250</v>
      </c>
      <c r="G31" s="202">
        <v>112.5</v>
      </c>
      <c r="H31" s="385"/>
      <c r="I31" s="175">
        <f t="shared" si="8"/>
        <v>20</v>
      </c>
      <c r="J31" s="175">
        <f t="shared" si="8"/>
        <v>2281.0548833846892</v>
      </c>
      <c r="K31" s="202">
        <f t="shared" si="8"/>
        <v>114.05274416923446</v>
      </c>
      <c r="L31" s="385"/>
      <c r="M31" s="203">
        <f>RANK(K31, K$27:$K$41)</f>
        <v>4</v>
      </c>
      <c r="N31" s="387"/>
      <c r="O31" s="387"/>
      <c r="P31" s="105">
        <v>20</v>
      </c>
      <c r="Q31" s="202">
        <v>2310.61224489796</v>
      </c>
      <c r="R31" s="202">
        <v>115.53061224489799</v>
      </c>
      <c r="S31" s="105">
        <f t="shared" si="9"/>
        <v>4</v>
      </c>
      <c r="T31" s="385"/>
      <c r="U31" s="105">
        <v>20</v>
      </c>
      <c r="V31" s="202">
        <v>2302.8000000000006</v>
      </c>
      <c r="W31" s="202">
        <v>115.14000000000003</v>
      </c>
      <c r="X31" s="105">
        <f t="shared" si="10"/>
        <v>4</v>
      </c>
      <c r="Y31" s="385"/>
      <c r="Z31" s="105">
        <v>20</v>
      </c>
      <c r="AA31" s="202">
        <v>2328.5106382978724</v>
      </c>
      <c r="AB31" s="202">
        <v>116.42553191489363</v>
      </c>
      <c r="AC31" s="105">
        <f t="shared" si="11"/>
        <v>4</v>
      </c>
      <c r="AD31" s="385"/>
      <c r="AE31" s="105">
        <v>20</v>
      </c>
      <c r="AF31" s="202">
        <v>2242.3529411764716</v>
      </c>
      <c r="AG31" s="202">
        <v>112.11764705882358</v>
      </c>
      <c r="AH31" s="105">
        <f t="shared" si="12"/>
        <v>4</v>
      </c>
      <c r="AI31" s="385"/>
      <c r="AJ31" s="105">
        <v>20</v>
      </c>
      <c r="AK31" s="202">
        <v>2248.2352941176478</v>
      </c>
      <c r="AL31" s="202">
        <v>112.41176470588239</v>
      </c>
      <c r="AM31" s="105">
        <f t="shared" si="13"/>
        <v>4</v>
      </c>
      <c r="AN31" s="385"/>
      <c r="AO31" s="105">
        <v>20</v>
      </c>
      <c r="AP31" s="202">
        <v>2253.8181818181802</v>
      </c>
      <c r="AQ31" s="202">
        <v>112.690909090909</v>
      </c>
      <c r="AR31" s="105">
        <f t="shared" si="14"/>
        <v>4</v>
      </c>
      <c r="AS31" s="385"/>
      <c r="AT31" s="105"/>
      <c r="AU31" s="202"/>
      <c r="AV31" s="202"/>
      <c r="AW31" s="105" t="e">
        <f t="shared" si="15"/>
        <v>#N/A</v>
      </c>
      <c r="AX31" s="412"/>
    </row>
    <row r="32" spans="2:50">
      <c r="B32" s="398"/>
      <c r="C32" s="105">
        <v>6</v>
      </c>
      <c r="D32" s="228" t="s">
        <v>317</v>
      </c>
      <c r="E32" s="175">
        <v>19</v>
      </c>
      <c r="F32" s="105">
        <v>2571</v>
      </c>
      <c r="G32" s="202">
        <v>135.31578947368422</v>
      </c>
      <c r="H32" s="385"/>
      <c r="I32" s="175">
        <f t="shared" si="8"/>
        <v>19.857142857142858</v>
      </c>
      <c r="J32" s="175">
        <f t="shared" si="8"/>
        <v>2465.7113205410997</v>
      </c>
      <c r="K32" s="202">
        <f t="shared" si="8"/>
        <v>124.19124795338982</v>
      </c>
      <c r="L32" s="385"/>
      <c r="M32" s="203">
        <f>RANK(K32, K$27:$K$41)</f>
        <v>1</v>
      </c>
      <c r="N32" s="387"/>
      <c r="O32" s="387"/>
      <c r="P32" s="105">
        <v>20</v>
      </c>
      <c r="Q32" s="202">
        <v>2452.3404255319156</v>
      </c>
      <c r="R32" s="202">
        <v>122.61702127659578</v>
      </c>
      <c r="S32" s="105">
        <f t="shared" si="9"/>
        <v>1</v>
      </c>
      <c r="T32" s="385"/>
      <c r="U32" s="105">
        <v>19</v>
      </c>
      <c r="V32" s="202">
        <v>2409.1139240506318</v>
      </c>
      <c r="W32" s="202">
        <v>126.79546968687536</v>
      </c>
      <c r="X32" s="105">
        <f t="shared" si="10"/>
        <v>3</v>
      </c>
      <c r="Y32" s="385"/>
      <c r="Z32" s="105">
        <v>20</v>
      </c>
      <c r="AA32" s="202">
        <v>2474.8051948051934</v>
      </c>
      <c r="AB32" s="202">
        <v>123.74025974025967</v>
      </c>
      <c r="AC32" s="105">
        <f t="shared" si="11"/>
        <v>2</v>
      </c>
      <c r="AD32" s="385"/>
      <c r="AE32" s="105">
        <v>20</v>
      </c>
      <c r="AF32" s="202">
        <v>2409.8734177215201</v>
      </c>
      <c r="AG32" s="202">
        <v>120.493670886076</v>
      </c>
      <c r="AH32" s="105">
        <f t="shared" si="12"/>
        <v>2</v>
      </c>
      <c r="AI32" s="385"/>
      <c r="AJ32" s="105">
        <v>20</v>
      </c>
      <c r="AK32" s="202">
        <v>2509.1566265060233</v>
      </c>
      <c r="AL32" s="202">
        <v>125.45783132530116</v>
      </c>
      <c r="AM32" s="105">
        <f t="shared" si="13"/>
        <v>1</v>
      </c>
      <c r="AN32" s="385"/>
      <c r="AO32" s="105">
        <v>20</v>
      </c>
      <c r="AP32" s="202">
        <v>2484</v>
      </c>
      <c r="AQ32" s="202">
        <v>124.2</v>
      </c>
      <c r="AR32" s="105">
        <f t="shared" si="14"/>
        <v>1</v>
      </c>
      <c r="AS32" s="385"/>
      <c r="AT32" s="105">
        <v>20</v>
      </c>
      <c r="AU32" s="202">
        <v>2520.689655172413</v>
      </c>
      <c r="AV32" s="202">
        <v>126.03448275862065</v>
      </c>
      <c r="AW32" s="105">
        <f t="shared" si="15"/>
        <v>1</v>
      </c>
      <c r="AX32" s="412"/>
    </row>
    <row r="33" spans="2:50">
      <c r="B33" s="398"/>
      <c r="C33" s="105">
        <v>7</v>
      </c>
      <c r="D33" s="228" t="s">
        <v>318</v>
      </c>
      <c r="E33" s="175">
        <v>19</v>
      </c>
      <c r="F33" s="105">
        <v>2571</v>
      </c>
      <c r="G33" s="202">
        <v>135.31578947368422</v>
      </c>
      <c r="H33" s="385"/>
      <c r="I33" s="175">
        <f t="shared" si="8"/>
        <v>19.857142857142858</v>
      </c>
      <c r="J33" s="175">
        <f t="shared" si="8"/>
        <v>2456.4180374318189</v>
      </c>
      <c r="K33" s="202">
        <f t="shared" si="8"/>
        <v>123.7358320541903</v>
      </c>
      <c r="L33" s="385"/>
      <c r="M33" s="203">
        <f>RANK(K33, K$27:$K$41)</f>
        <v>2</v>
      </c>
      <c r="N33" s="387"/>
      <c r="O33" s="387"/>
      <c r="P33" s="105">
        <v>20</v>
      </c>
      <c r="Q33" s="202">
        <v>2441.9548872180449</v>
      </c>
      <c r="R33" s="202">
        <v>122.09774436090224</v>
      </c>
      <c r="S33" s="105">
        <f t="shared" si="9"/>
        <v>2</v>
      </c>
      <c r="T33" s="385"/>
      <c r="U33" s="105">
        <v>19</v>
      </c>
      <c r="V33" s="202">
        <v>2433.7142857142871</v>
      </c>
      <c r="W33" s="202">
        <v>128.09022556390985</v>
      </c>
      <c r="X33" s="105">
        <f t="shared" si="10"/>
        <v>2</v>
      </c>
      <c r="Y33" s="385"/>
      <c r="Z33" s="105">
        <v>20</v>
      </c>
      <c r="AA33" s="202">
        <v>2529.6000000000008</v>
      </c>
      <c r="AB33" s="202">
        <v>126.48000000000005</v>
      </c>
      <c r="AC33" s="105">
        <f t="shared" si="11"/>
        <v>1</v>
      </c>
      <c r="AD33" s="385"/>
      <c r="AE33" s="105">
        <v>20</v>
      </c>
      <c r="AF33" s="202">
        <v>2462.1818181818162</v>
      </c>
      <c r="AG33" s="202">
        <v>123.10909090909081</v>
      </c>
      <c r="AH33" s="105">
        <f t="shared" si="12"/>
        <v>1</v>
      </c>
      <c r="AI33" s="385"/>
      <c r="AJ33" s="105">
        <v>20</v>
      </c>
      <c r="AK33" s="202">
        <v>2496.4999999999986</v>
      </c>
      <c r="AL33" s="202">
        <v>124.82499999999993</v>
      </c>
      <c r="AM33" s="105">
        <f t="shared" si="13"/>
        <v>2</v>
      </c>
      <c r="AN33" s="385"/>
      <c r="AO33" s="105">
        <v>20</v>
      </c>
      <c r="AP33" s="202">
        <v>2414.7457627118633</v>
      </c>
      <c r="AQ33" s="202">
        <v>120.73728813559316</v>
      </c>
      <c r="AR33" s="105">
        <f t="shared" si="14"/>
        <v>2</v>
      </c>
      <c r="AS33" s="385"/>
      <c r="AT33" s="105">
        <v>20</v>
      </c>
      <c r="AU33" s="202">
        <v>2416.2295081967204</v>
      </c>
      <c r="AV33" s="202">
        <v>120.81147540983602</v>
      </c>
      <c r="AW33" s="105">
        <f t="shared" si="15"/>
        <v>2</v>
      </c>
      <c r="AX33" s="412"/>
    </row>
    <row r="34" spans="2:50">
      <c r="B34" s="398"/>
      <c r="C34" s="105">
        <v>8</v>
      </c>
      <c r="D34" s="228"/>
      <c r="E34" s="175"/>
      <c r="F34" s="105"/>
      <c r="G34" s="202"/>
      <c r="H34" s="385"/>
      <c r="I34" s="175"/>
      <c r="J34" s="175"/>
      <c r="K34" s="202"/>
      <c r="L34" s="385"/>
      <c r="M34" s="203" t="e">
        <f>RANK(K34, K$27:$K$41)</f>
        <v>#N/A</v>
      </c>
      <c r="N34" s="387"/>
      <c r="O34" s="387"/>
      <c r="P34" s="105"/>
      <c r="Q34" s="202"/>
      <c r="R34" s="202"/>
      <c r="S34" s="105" t="e">
        <f t="shared" si="9"/>
        <v>#N/A</v>
      </c>
      <c r="T34" s="385"/>
      <c r="U34" s="105"/>
      <c r="V34" s="202"/>
      <c r="W34" s="202"/>
      <c r="X34" s="105" t="e">
        <f t="shared" si="10"/>
        <v>#N/A</v>
      </c>
      <c r="Y34" s="385"/>
      <c r="Z34" s="105"/>
      <c r="AA34" s="202"/>
      <c r="AB34" s="202"/>
      <c r="AC34" s="105" t="e">
        <f t="shared" si="11"/>
        <v>#N/A</v>
      </c>
      <c r="AD34" s="385"/>
      <c r="AE34" s="105"/>
      <c r="AF34" s="202"/>
      <c r="AG34" s="202"/>
      <c r="AH34" s="105" t="e">
        <f t="shared" si="12"/>
        <v>#N/A</v>
      </c>
      <c r="AI34" s="385"/>
      <c r="AJ34" s="105"/>
      <c r="AK34" s="202"/>
      <c r="AL34" s="202"/>
      <c r="AM34" s="105" t="e">
        <f t="shared" si="13"/>
        <v>#N/A</v>
      </c>
      <c r="AN34" s="385"/>
      <c r="AO34" s="105"/>
      <c r="AP34" s="202"/>
      <c r="AQ34" s="202"/>
      <c r="AR34" s="105" t="e">
        <f t="shared" si="14"/>
        <v>#N/A</v>
      </c>
      <c r="AS34" s="385"/>
      <c r="AT34" s="105"/>
      <c r="AU34" s="202"/>
      <c r="AV34" s="202"/>
      <c r="AW34" s="105" t="e">
        <f t="shared" si="15"/>
        <v>#N/A</v>
      </c>
      <c r="AX34" s="412"/>
    </row>
    <row r="35" spans="2:50">
      <c r="B35" s="398"/>
      <c r="C35" s="105">
        <v>9</v>
      </c>
      <c r="D35" s="228"/>
      <c r="E35" s="175"/>
      <c r="F35" s="105"/>
      <c r="G35" s="202"/>
      <c r="H35" s="385"/>
      <c r="I35" s="175"/>
      <c r="J35" s="175"/>
      <c r="K35" s="202"/>
      <c r="L35" s="385"/>
      <c r="M35" s="203" t="e">
        <f>RANK(K35, K$27:$K$41)</f>
        <v>#N/A</v>
      </c>
      <c r="N35" s="387"/>
      <c r="O35" s="387"/>
      <c r="P35" s="105"/>
      <c r="Q35" s="202"/>
      <c r="R35" s="202"/>
      <c r="S35" s="105" t="e">
        <f t="shared" si="9"/>
        <v>#N/A</v>
      </c>
      <c r="T35" s="385"/>
      <c r="U35" s="105"/>
      <c r="V35" s="202"/>
      <c r="W35" s="202"/>
      <c r="X35" s="105" t="e">
        <f t="shared" si="10"/>
        <v>#N/A</v>
      </c>
      <c r="Y35" s="385"/>
      <c r="Z35" s="105"/>
      <c r="AA35" s="202"/>
      <c r="AB35" s="202"/>
      <c r="AC35" s="105" t="e">
        <f t="shared" si="11"/>
        <v>#N/A</v>
      </c>
      <c r="AD35" s="385"/>
      <c r="AE35" s="105"/>
      <c r="AF35" s="202"/>
      <c r="AG35" s="202"/>
      <c r="AH35" s="105" t="e">
        <f t="shared" si="12"/>
        <v>#N/A</v>
      </c>
      <c r="AI35" s="385"/>
      <c r="AJ35" s="105"/>
      <c r="AK35" s="202"/>
      <c r="AL35" s="202"/>
      <c r="AM35" s="105" t="e">
        <f t="shared" si="13"/>
        <v>#N/A</v>
      </c>
      <c r="AN35" s="385"/>
      <c r="AO35" s="105"/>
      <c r="AP35" s="202"/>
      <c r="AQ35" s="202"/>
      <c r="AR35" s="105" t="e">
        <f t="shared" si="14"/>
        <v>#N/A</v>
      </c>
      <c r="AS35" s="385"/>
      <c r="AT35" s="105"/>
      <c r="AU35" s="202"/>
      <c r="AV35" s="202"/>
      <c r="AW35" s="105" t="e">
        <f t="shared" si="15"/>
        <v>#N/A</v>
      </c>
      <c r="AX35" s="412"/>
    </row>
    <row r="36" spans="2:50">
      <c r="B36" s="398"/>
      <c r="C36" s="105">
        <v>10</v>
      </c>
      <c r="D36" s="228"/>
      <c r="E36" s="175"/>
      <c r="F36" s="105"/>
      <c r="G36" s="202"/>
      <c r="H36" s="385"/>
      <c r="I36" s="175"/>
      <c r="J36" s="175"/>
      <c r="K36" s="202"/>
      <c r="L36" s="385"/>
      <c r="M36" s="203" t="e">
        <f>RANK(K36, K$27:$K$41)</f>
        <v>#N/A</v>
      </c>
      <c r="N36" s="387"/>
      <c r="O36" s="387"/>
      <c r="P36" s="105"/>
      <c r="Q36" s="105"/>
      <c r="R36" s="202"/>
      <c r="S36" s="105" t="e">
        <f t="shared" si="9"/>
        <v>#N/A</v>
      </c>
      <c r="T36" s="385"/>
      <c r="U36" s="105"/>
      <c r="V36" s="105"/>
      <c r="W36" s="202"/>
      <c r="X36" s="105" t="e">
        <f t="shared" si="10"/>
        <v>#N/A</v>
      </c>
      <c r="Y36" s="385"/>
      <c r="Z36" s="105"/>
      <c r="AA36" s="105"/>
      <c r="AB36" s="202"/>
      <c r="AC36" s="105" t="e">
        <f t="shared" si="11"/>
        <v>#N/A</v>
      </c>
      <c r="AD36" s="385"/>
      <c r="AE36" s="105"/>
      <c r="AF36" s="105"/>
      <c r="AG36" s="202"/>
      <c r="AH36" s="105" t="e">
        <f t="shared" si="12"/>
        <v>#N/A</v>
      </c>
      <c r="AI36" s="385"/>
      <c r="AJ36" s="105"/>
      <c r="AK36" s="105"/>
      <c r="AL36" s="202"/>
      <c r="AM36" s="105" t="e">
        <f t="shared" si="13"/>
        <v>#N/A</v>
      </c>
      <c r="AN36" s="385"/>
      <c r="AO36" s="105"/>
      <c r="AP36" s="105"/>
      <c r="AQ36" s="202"/>
      <c r="AR36" s="105" t="e">
        <f t="shared" si="14"/>
        <v>#N/A</v>
      </c>
      <c r="AS36" s="385"/>
      <c r="AT36" s="105"/>
      <c r="AU36" s="105"/>
      <c r="AV36" s="202"/>
      <c r="AW36" s="105" t="e">
        <f t="shared" si="15"/>
        <v>#N/A</v>
      </c>
      <c r="AX36" s="412"/>
    </row>
    <row r="37" spans="2:50">
      <c r="B37" s="398"/>
      <c r="C37" s="105">
        <v>11</v>
      </c>
      <c r="D37" s="228"/>
      <c r="E37" s="175"/>
      <c r="F37" s="105"/>
      <c r="G37" s="202"/>
      <c r="H37" s="385"/>
      <c r="I37" s="105"/>
      <c r="J37" s="105"/>
      <c r="K37" s="105"/>
      <c r="L37" s="385"/>
      <c r="M37" s="203" t="e">
        <f>RANK(K37, K$27:$K$41)</f>
        <v>#N/A</v>
      </c>
      <c r="N37" s="387"/>
      <c r="O37" s="387"/>
      <c r="P37" s="105"/>
      <c r="Q37" s="105"/>
      <c r="R37" s="105"/>
      <c r="S37" s="105" t="e">
        <f t="shared" si="9"/>
        <v>#N/A</v>
      </c>
      <c r="T37" s="385"/>
      <c r="U37" s="105"/>
      <c r="V37" s="105"/>
      <c r="W37" s="105"/>
      <c r="X37" s="105" t="e">
        <f t="shared" si="10"/>
        <v>#N/A</v>
      </c>
      <c r="Y37" s="385"/>
      <c r="Z37" s="105"/>
      <c r="AA37" s="105"/>
      <c r="AB37" s="105"/>
      <c r="AC37" s="105" t="e">
        <f t="shared" si="11"/>
        <v>#N/A</v>
      </c>
      <c r="AD37" s="385"/>
      <c r="AE37" s="105"/>
      <c r="AF37" s="105"/>
      <c r="AG37" s="105"/>
      <c r="AH37" s="105" t="e">
        <f t="shared" si="12"/>
        <v>#N/A</v>
      </c>
      <c r="AI37" s="385"/>
      <c r="AJ37" s="105"/>
      <c r="AK37" s="105"/>
      <c r="AL37" s="105"/>
      <c r="AM37" s="105" t="e">
        <f t="shared" si="13"/>
        <v>#N/A</v>
      </c>
      <c r="AN37" s="385"/>
      <c r="AO37" s="105"/>
      <c r="AP37" s="105"/>
      <c r="AQ37" s="105"/>
      <c r="AR37" s="105" t="e">
        <f t="shared" si="14"/>
        <v>#N/A</v>
      </c>
      <c r="AS37" s="385"/>
      <c r="AT37" s="105"/>
      <c r="AU37" s="105"/>
      <c r="AV37" s="105"/>
      <c r="AW37" s="105" t="e">
        <f t="shared" si="15"/>
        <v>#N/A</v>
      </c>
      <c r="AX37" s="412"/>
    </row>
    <row r="38" spans="2:50">
      <c r="B38" s="398"/>
      <c r="C38" s="105">
        <v>12</v>
      </c>
      <c r="D38" s="228"/>
      <c r="E38" s="175"/>
      <c r="F38" s="105"/>
      <c r="G38" s="202"/>
      <c r="H38" s="385"/>
      <c r="I38" s="105"/>
      <c r="J38" s="105"/>
      <c r="K38" s="105"/>
      <c r="L38" s="385"/>
      <c r="M38" s="203" t="e">
        <f>RANK(K38, K$27:$K$41)</f>
        <v>#N/A</v>
      </c>
      <c r="N38" s="387"/>
      <c r="O38" s="387"/>
      <c r="P38" s="105"/>
      <c r="Q38" s="105"/>
      <c r="R38" s="105"/>
      <c r="S38" s="105" t="e">
        <f t="shared" si="9"/>
        <v>#N/A</v>
      </c>
      <c r="T38" s="385"/>
      <c r="U38" s="105"/>
      <c r="V38" s="105"/>
      <c r="W38" s="105"/>
      <c r="X38" s="105" t="e">
        <f t="shared" si="10"/>
        <v>#N/A</v>
      </c>
      <c r="Y38" s="385"/>
      <c r="Z38" s="105"/>
      <c r="AA38" s="105"/>
      <c r="AB38" s="105"/>
      <c r="AC38" s="105" t="e">
        <f t="shared" si="11"/>
        <v>#N/A</v>
      </c>
      <c r="AD38" s="385"/>
      <c r="AE38" s="105"/>
      <c r="AF38" s="105"/>
      <c r="AG38" s="105"/>
      <c r="AH38" s="105" t="e">
        <f t="shared" si="12"/>
        <v>#N/A</v>
      </c>
      <c r="AI38" s="385"/>
      <c r="AJ38" s="105"/>
      <c r="AK38" s="105"/>
      <c r="AL38" s="105"/>
      <c r="AM38" s="105" t="e">
        <f t="shared" si="13"/>
        <v>#N/A</v>
      </c>
      <c r="AN38" s="385"/>
      <c r="AO38" s="105"/>
      <c r="AP38" s="105"/>
      <c r="AQ38" s="105"/>
      <c r="AR38" s="105" t="e">
        <f t="shared" si="14"/>
        <v>#N/A</v>
      </c>
      <c r="AS38" s="385"/>
      <c r="AT38" s="105"/>
      <c r="AU38" s="105"/>
      <c r="AV38" s="105"/>
      <c r="AW38" s="105" t="e">
        <f t="shared" si="15"/>
        <v>#N/A</v>
      </c>
      <c r="AX38" s="412"/>
    </row>
    <row r="39" spans="2:50">
      <c r="B39" s="398"/>
      <c r="C39" s="105">
        <v>13</v>
      </c>
      <c r="D39" s="228"/>
      <c r="E39" s="175"/>
      <c r="F39" s="105"/>
      <c r="G39" s="202"/>
      <c r="H39" s="385"/>
      <c r="I39" s="105"/>
      <c r="J39" s="105"/>
      <c r="K39" s="105"/>
      <c r="L39" s="385"/>
      <c r="M39" s="203" t="e">
        <f>RANK(K39, K$27:$K$41)</f>
        <v>#N/A</v>
      </c>
      <c r="N39" s="387"/>
      <c r="O39" s="387"/>
      <c r="P39" s="105"/>
      <c r="Q39" s="105"/>
      <c r="R39" s="105"/>
      <c r="S39" s="105" t="e">
        <f t="shared" si="9"/>
        <v>#N/A</v>
      </c>
      <c r="T39" s="385"/>
      <c r="U39" s="105"/>
      <c r="V39" s="105"/>
      <c r="W39" s="105"/>
      <c r="X39" s="105" t="e">
        <f t="shared" si="10"/>
        <v>#N/A</v>
      </c>
      <c r="Y39" s="385"/>
      <c r="Z39" s="105"/>
      <c r="AA39" s="105"/>
      <c r="AB39" s="105"/>
      <c r="AC39" s="105" t="e">
        <f t="shared" si="11"/>
        <v>#N/A</v>
      </c>
      <c r="AD39" s="385"/>
      <c r="AE39" s="105"/>
      <c r="AF39" s="105"/>
      <c r="AG39" s="105"/>
      <c r="AH39" s="105" t="e">
        <f t="shared" si="12"/>
        <v>#N/A</v>
      </c>
      <c r="AI39" s="385"/>
      <c r="AJ39" s="105"/>
      <c r="AK39" s="105"/>
      <c r="AL39" s="105"/>
      <c r="AM39" s="105" t="e">
        <f t="shared" si="13"/>
        <v>#N/A</v>
      </c>
      <c r="AN39" s="385"/>
      <c r="AO39" s="105"/>
      <c r="AP39" s="105"/>
      <c r="AQ39" s="105"/>
      <c r="AR39" s="105" t="e">
        <f t="shared" si="14"/>
        <v>#N/A</v>
      </c>
      <c r="AS39" s="385"/>
      <c r="AT39" s="105"/>
      <c r="AU39" s="105"/>
      <c r="AV39" s="105"/>
      <c r="AW39" s="105" t="e">
        <f t="shared" si="15"/>
        <v>#N/A</v>
      </c>
      <c r="AX39" s="412"/>
    </row>
    <row r="40" spans="2:50">
      <c r="B40" s="398"/>
      <c r="C40" s="105">
        <v>14</v>
      </c>
      <c r="D40" s="228"/>
      <c r="E40" s="175"/>
      <c r="F40" s="105"/>
      <c r="G40" s="202"/>
      <c r="H40" s="385"/>
      <c r="I40" s="105"/>
      <c r="J40" s="105"/>
      <c r="K40" s="105"/>
      <c r="L40" s="385"/>
      <c r="M40" s="203" t="e">
        <f>RANK(K40, K$27:$K$41)</f>
        <v>#N/A</v>
      </c>
      <c r="N40" s="387"/>
      <c r="O40" s="387"/>
      <c r="P40" s="105"/>
      <c r="Q40" s="105"/>
      <c r="R40" s="105"/>
      <c r="S40" s="105" t="e">
        <f t="shared" si="9"/>
        <v>#N/A</v>
      </c>
      <c r="T40" s="385"/>
      <c r="U40" s="105"/>
      <c r="V40" s="105"/>
      <c r="W40" s="105"/>
      <c r="X40" s="105" t="e">
        <f t="shared" si="10"/>
        <v>#N/A</v>
      </c>
      <c r="Y40" s="385"/>
      <c r="Z40" s="105"/>
      <c r="AA40" s="105"/>
      <c r="AB40" s="105"/>
      <c r="AC40" s="105" t="e">
        <f t="shared" si="11"/>
        <v>#N/A</v>
      </c>
      <c r="AD40" s="385"/>
      <c r="AE40" s="105"/>
      <c r="AF40" s="105"/>
      <c r="AG40" s="105"/>
      <c r="AH40" s="105" t="e">
        <f t="shared" si="12"/>
        <v>#N/A</v>
      </c>
      <c r="AI40" s="385"/>
      <c r="AJ40" s="105"/>
      <c r="AK40" s="105"/>
      <c r="AL40" s="105"/>
      <c r="AM40" s="105" t="e">
        <f t="shared" si="13"/>
        <v>#N/A</v>
      </c>
      <c r="AN40" s="385"/>
      <c r="AO40" s="105"/>
      <c r="AP40" s="105"/>
      <c r="AQ40" s="105"/>
      <c r="AR40" s="105" t="e">
        <f t="shared" si="14"/>
        <v>#N/A</v>
      </c>
      <c r="AS40" s="385"/>
      <c r="AT40" s="105"/>
      <c r="AU40" s="105"/>
      <c r="AV40" s="105"/>
      <c r="AW40" s="105" t="e">
        <f t="shared" si="15"/>
        <v>#N/A</v>
      </c>
      <c r="AX40" s="412"/>
    </row>
    <row r="41" spans="2:50">
      <c r="B41" s="398"/>
      <c r="C41" s="105">
        <v>15</v>
      </c>
      <c r="D41" s="228"/>
      <c r="E41" s="175"/>
      <c r="F41" s="105"/>
      <c r="G41" s="202"/>
      <c r="H41" s="386"/>
      <c r="I41" s="105"/>
      <c r="J41" s="105"/>
      <c r="K41" s="105"/>
      <c r="L41" s="386"/>
      <c r="M41" s="175" t="e">
        <f>RANK(K41, K$27:$K$41)</f>
        <v>#N/A</v>
      </c>
      <c r="N41" s="387"/>
      <c r="O41" s="387"/>
      <c r="P41" s="105"/>
      <c r="Q41" s="105"/>
      <c r="R41" s="105"/>
      <c r="S41" s="105" t="e">
        <f t="shared" si="9"/>
        <v>#N/A</v>
      </c>
      <c r="T41" s="386"/>
      <c r="U41" s="105"/>
      <c r="V41" s="105"/>
      <c r="W41" s="105"/>
      <c r="X41" s="105" t="e">
        <f t="shared" si="10"/>
        <v>#N/A</v>
      </c>
      <c r="Y41" s="386"/>
      <c r="Z41" s="105"/>
      <c r="AA41" s="105"/>
      <c r="AB41" s="105"/>
      <c r="AC41" s="105" t="e">
        <f t="shared" si="11"/>
        <v>#N/A</v>
      </c>
      <c r="AD41" s="386"/>
      <c r="AE41" s="105"/>
      <c r="AF41" s="105"/>
      <c r="AG41" s="105"/>
      <c r="AH41" s="105" t="e">
        <f t="shared" si="12"/>
        <v>#N/A</v>
      </c>
      <c r="AI41" s="386"/>
      <c r="AJ41" s="105"/>
      <c r="AK41" s="105"/>
      <c r="AL41" s="105"/>
      <c r="AM41" s="105" t="e">
        <f t="shared" si="13"/>
        <v>#N/A</v>
      </c>
      <c r="AN41" s="386"/>
      <c r="AO41" s="105"/>
      <c r="AP41" s="105"/>
      <c r="AQ41" s="105"/>
      <c r="AR41" s="105" t="e">
        <f t="shared" si="14"/>
        <v>#N/A</v>
      </c>
      <c r="AS41" s="386"/>
      <c r="AT41" s="105"/>
      <c r="AU41" s="105"/>
      <c r="AV41" s="105"/>
      <c r="AW41" s="105" t="e">
        <f t="shared" si="15"/>
        <v>#N/A</v>
      </c>
      <c r="AX41" s="412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6">Z42+1</f>
        <v>45884</v>
      </c>
      <c r="AF42" s="395"/>
      <c r="AG42" s="395"/>
      <c r="AH42" s="395"/>
      <c r="AI42" s="396"/>
      <c r="AJ42" s="394">
        <f t="shared" ref="AJ42" si="17">AE42+1</f>
        <v>45885</v>
      </c>
      <c r="AK42" s="395"/>
      <c r="AL42" s="395"/>
      <c r="AM42" s="395"/>
      <c r="AN42" s="396"/>
      <c r="AO42" s="394">
        <f t="shared" ref="AO42" si="18">AJ42+1</f>
        <v>45886</v>
      </c>
      <c r="AP42" s="395"/>
      <c r="AQ42" s="395"/>
      <c r="AR42" s="395"/>
      <c r="AS42" s="396"/>
      <c r="AT42" s="394">
        <f t="shared" ref="AT42" si="19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387" t="s">
        <v>311</v>
      </c>
      <c r="C47" s="105">
        <v>1</v>
      </c>
      <c r="D47" s="228" t="s">
        <v>314</v>
      </c>
      <c r="E47" s="175">
        <v>21</v>
      </c>
      <c r="F47" s="105">
        <v>2400</v>
      </c>
      <c r="G47" s="202">
        <v>114.28571428571429</v>
      </c>
      <c r="H47" s="384">
        <f>AVERAGE(G47:G61)</f>
        <v>124.25229741019216</v>
      </c>
      <c r="I47" s="175">
        <f>AVERAGE(P47,U47,Z47,AE47,AJ47,AO47,AT47)</f>
        <v>21</v>
      </c>
      <c r="J47" s="175">
        <f>AVERAGE(Q47,V47,AA47,AF47,AK47,AP47,AU47)</f>
        <v>2180.7359373915015</v>
      </c>
      <c r="K47" s="202">
        <f>AVERAGE(R47,W47,AB47,AG47,AL47,AQ47,AV47)</f>
        <v>103.84456844721434</v>
      </c>
      <c r="L47" s="384">
        <f>IFERROR(AVERAGE(K47:K61),"-")</f>
        <v>115.00352888243538</v>
      </c>
      <c r="M47" s="203">
        <f>RANK(K47, K$47:$K$61)</f>
        <v>6</v>
      </c>
      <c r="N47" s="387"/>
      <c r="O47" s="387"/>
      <c r="P47" s="105">
        <v>21</v>
      </c>
      <c r="Q47" s="202">
        <v>2200.7692307692319</v>
      </c>
      <c r="R47" s="202">
        <v>104.79853479853485</v>
      </c>
      <c r="S47" s="105">
        <f>RANK(R47, R$47:R$61)</f>
        <v>6</v>
      </c>
      <c r="T47" s="384">
        <f>AVERAGE(R47:R61)</f>
        <v>114.69899912964966</v>
      </c>
      <c r="U47" s="105">
        <v>21</v>
      </c>
      <c r="V47" s="202">
        <v>2165.2500000000014</v>
      </c>
      <c r="W47" s="202">
        <v>103.10714285714292</v>
      </c>
      <c r="X47" s="105">
        <f>RANK(W47, W$47:W$61)</f>
        <v>6</v>
      </c>
      <c r="Y47" s="384">
        <f>AVERAGE(W47:W61)</f>
        <v>115.46785912357029</v>
      </c>
      <c r="Z47" s="105">
        <v>21</v>
      </c>
      <c r="AA47" s="202">
        <v>2230.9090909090914</v>
      </c>
      <c r="AB47" s="202">
        <v>106.23376623376626</v>
      </c>
      <c r="AC47" s="105">
        <f>RANK(AB47, AB$47:AB$61)</f>
        <v>6</v>
      </c>
      <c r="AD47" s="384">
        <f>AVERAGE(AB47:AB61)</f>
        <v>114.77626326254648</v>
      </c>
      <c r="AE47" s="105">
        <v>21</v>
      </c>
      <c r="AF47" s="202">
        <v>2138.6842105263163</v>
      </c>
      <c r="AG47" s="202">
        <v>101.84210526315792</v>
      </c>
      <c r="AH47" s="105">
        <f>RANK(AG47, AG$47:AG$61)</f>
        <v>5</v>
      </c>
      <c r="AI47" s="384">
        <f>AVERAGE(AG47:AG61)</f>
        <v>115.04319274349564</v>
      </c>
      <c r="AJ47" s="105">
        <v>21</v>
      </c>
      <c r="AK47" s="202">
        <v>2140.8333333333339</v>
      </c>
      <c r="AL47" s="202">
        <v>101.94444444444447</v>
      </c>
      <c r="AM47" s="105">
        <f>RANK(AL47, AL$47:AL$61)</f>
        <v>5</v>
      </c>
      <c r="AN47" s="384">
        <f>AVERAGE(AL47:AL61)</f>
        <v>116.72120794355342</v>
      </c>
      <c r="AO47" s="105">
        <v>21</v>
      </c>
      <c r="AP47" s="202">
        <v>2196.4556962025326</v>
      </c>
      <c r="AQ47" s="202">
        <v>104.59312839059679</v>
      </c>
      <c r="AR47" s="105">
        <f>RANK(AQ47, AQ$47:AQ$61)</f>
        <v>5</v>
      </c>
      <c r="AS47" s="384">
        <f>AVERAGE(AQ47:AQ61)</f>
        <v>115.2536189935139</v>
      </c>
      <c r="AT47" s="105">
        <v>21</v>
      </c>
      <c r="AU47" s="202">
        <v>2192.2500000000014</v>
      </c>
      <c r="AV47" s="202">
        <v>104.39285714285721</v>
      </c>
      <c r="AW47" s="105">
        <f>RANK(AV47, AV$47:AV$61)</f>
        <v>5</v>
      </c>
      <c r="AX47" s="412">
        <f>AVERAGE(AV47:AV61)</f>
        <v>117.25487228205654</v>
      </c>
    </row>
    <row r="48" spans="2:50">
      <c r="B48" s="398"/>
      <c r="C48" s="105">
        <v>2</v>
      </c>
      <c r="D48" s="228" t="s">
        <v>315</v>
      </c>
      <c r="E48" s="175">
        <v>18</v>
      </c>
      <c r="F48" s="105">
        <v>2571</v>
      </c>
      <c r="G48" s="202">
        <v>142.83333333333334</v>
      </c>
      <c r="H48" s="385"/>
      <c r="I48" s="175">
        <f t="shared" ref="I48:K52" si="20">AVERAGE(P48,U48,Z48,AE48,AJ48,AO48,AT48)</f>
        <v>20</v>
      </c>
      <c r="J48" s="175">
        <f t="shared" si="20"/>
        <v>2350.2391431821407</v>
      </c>
      <c r="K48" s="202">
        <f t="shared" si="20"/>
        <v>117.51195715910703</v>
      </c>
      <c r="L48" s="385"/>
      <c r="M48" s="203">
        <f>RANK(K48, K$47:$K$61)</f>
        <v>3</v>
      </c>
      <c r="N48" s="387"/>
      <c r="O48" s="387"/>
      <c r="P48" s="105">
        <v>20</v>
      </c>
      <c r="Q48" s="202">
        <v>2314.0298507462689</v>
      </c>
      <c r="R48" s="202">
        <v>115.70149253731344</v>
      </c>
      <c r="S48" s="105">
        <f t="shared" ref="S48:S61" si="21">RANK(R48, R$47:R$61)</f>
        <v>3</v>
      </c>
      <c r="T48" s="385"/>
      <c r="U48" s="105">
        <v>20</v>
      </c>
      <c r="V48" s="202">
        <v>2361.5999999999981</v>
      </c>
      <c r="W48" s="202">
        <v>118.0799999999999</v>
      </c>
      <c r="X48" s="105">
        <f t="shared" ref="X48:X61" si="22">RANK(W48, W$47:W$61)</f>
        <v>3</v>
      </c>
      <c r="Y48" s="385"/>
      <c r="Z48" s="105">
        <v>20</v>
      </c>
      <c r="AA48" s="202">
        <v>2304.6575342465758</v>
      </c>
      <c r="AB48" s="202">
        <v>115.23287671232879</v>
      </c>
      <c r="AC48" s="105">
        <f t="shared" ref="AC48:AC61" si="23">RANK(AB48, AB$47:AB$61)</f>
        <v>3</v>
      </c>
      <c r="AD48" s="385"/>
      <c r="AE48" s="105">
        <v>20</v>
      </c>
      <c r="AF48" s="202">
        <v>2352.5373134328356</v>
      </c>
      <c r="AG48" s="202">
        <v>117.62686567164178</v>
      </c>
      <c r="AH48" s="105">
        <f t="shared" ref="AH48:AH61" si="24">RANK(AG48, AG$47:AG$61)</f>
        <v>3</v>
      </c>
      <c r="AI48" s="385"/>
      <c r="AJ48" s="105">
        <v>20</v>
      </c>
      <c r="AK48" s="202">
        <v>2337.272727272727</v>
      </c>
      <c r="AL48" s="202">
        <v>116.86363636363635</v>
      </c>
      <c r="AM48" s="105">
        <f t="shared" ref="AM48:AM61" si="25">RANK(AL48, AL$47:AL$61)</f>
        <v>3</v>
      </c>
      <c r="AN48" s="385"/>
      <c r="AO48" s="105">
        <v>20</v>
      </c>
      <c r="AP48" s="202">
        <v>2378.3333333333339</v>
      </c>
      <c r="AQ48" s="202">
        <v>118.9166666666667</v>
      </c>
      <c r="AR48" s="105">
        <f t="shared" ref="AR48:AR61" si="26">RANK(AQ48, AQ$47:AQ$61)</f>
        <v>3</v>
      </c>
      <c r="AS48" s="385"/>
      <c r="AT48" s="105">
        <v>20</v>
      </c>
      <c r="AU48" s="202">
        <v>2403.2432432432443</v>
      </c>
      <c r="AV48" s="202">
        <v>120.16216216216222</v>
      </c>
      <c r="AW48" s="105">
        <f t="shared" ref="AW48:AW61" si="27">RANK(AV48, AV$47:AV$61)</f>
        <v>3</v>
      </c>
      <c r="AX48" s="412"/>
    </row>
    <row r="49" spans="2:50">
      <c r="B49" s="398"/>
      <c r="C49" s="105">
        <v>3</v>
      </c>
      <c r="D49" s="228" t="s">
        <v>319</v>
      </c>
      <c r="E49" s="175">
        <v>19</v>
      </c>
      <c r="F49" s="105">
        <v>2000</v>
      </c>
      <c r="G49" s="202">
        <v>105.26315789473684</v>
      </c>
      <c r="H49" s="385"/>
      <c r="I49" s="175">
        <f t="shared" si="20"/>
        <v>20</v>
      </c>
      <c r="J49" s="175">
        <f t="shared" si="20"/>
        <v>2195.6251207729456</v>
      </c>
      <c r="K49" s="202">
        <f t="shared" si="20"/>
        <v>109.7812560386473</v>
      </c>
      <c r="L49" s="385"/>
      <c r="M49" s="203">
        <f>RANK(K49, K$47:$K$61)</f>
        <v>5</v>
      </c>
      <c r="N49" s="387"/>
      <c r="O49" s="387"/>
      <c r="P49" s="105">
        <v>20</v>
      </c>
      <c r="Q49" s="202">
        <v>2222.6086956521817</v>
      </c>
      <c r="R49" s="202">
        <v>111.13043478260909</v>
      </c>
      <c r="S49" s="105">
        <f t="shared" si="21"/>
        <v>5</v>
      </c>
      <c r="T49" s="385"/>
      <c r="U49" s="105">
        <v>20</v>
      </c>
      <c r="V49" s="202">
        <v>2206.6666666666615</v>
      </c>
      <c r="W49" s="202">
        <v>110.33333333333307</v>
      </c>
      <c r="X49" s="105">
        <f t="shared" si="22"/>
        <v>5</v>
      </c>
      <c r="Y49" s="385"/>
      <c r="Z49" s="105">
        <v>20</v>
      </c>
      <c r="AA49" s="202">
        <v>2157.5999999999935</v>
      </c>
      <c r="AB49" s="202">
        <v>107.87999999999968</v>
      </c>
      <c r="AC49" s="105">
        <f t="shared" si="23"/>
        <v>5</v>
      </c>
      <c r="AD49" s="385"/>
      <c r="AE49" s="105"/>
      <c r="AF49" s="202"/>
      <c r="AG49" s="202"/>
      <c r="AH49" s="105" t="e">
        <f t="shared" si="24"/>
        <v>#N/A</v>
      </c>
      <c r="AI49" s="385"/>
      <c r="AJ49" s="105"/>
      <c r="AK49" s="202"/>
      <c r="AL49" s="202"/>
      <c r="AM49" s="105" t="e">
        <f t="shared" si="25"/>
        <v>#N/A</v>
      </c>
      <c r="AN49" s="385"/>
      <c r="AO49" s="105"/>
      <c r="AP49" s="202"/>
      <c r="AQ49" s="202"/>
      <c r="AR49" s="105" t="e">
        <f t="shared" si="26"/>
        <v>#N/A</v>
      </c>
      <c r="AS49" s="385"/>
      <c r="AT49" s="105"/>
      <c r="AU49" s="202"/>
      <c r="AV49" s="202"/>
      <c r="AW49" s="105" t="e">
        <f t="shared" si="27"/>
        <v>#N/A</v>
      </c>
      <c r="AX49" s="412"/>
    </row>
    <row r="50" spans="2:50">
      <c r="B50" s="398"/>
      <c r="C50" s="105">
        <v>4</v>
      </c>
      <c r="D50" s="228" t="s">
        <v>316</v>
      </c>
      <c r="E50" s="175">
        <v>20</v>
      </c>
      <c r="F50" s="105">
        <v>2250</v>
      </c>
      <c r="G50" s="202">
        <v>112.5</v>
      </c>
      <c r="H50" s="385"/>
      <c r="I50" s="175">
        <f t="shared" si="20"/>
        <v>20</v>
      </c>
      <c r="J50" s="175">
        <f t="shared" si="20"/>
        <v>2261.5131624822361</v>
      </c>
      <c r="K50" s="202">
        <f t="shared" si="20"/>
        <v>113.07565812411181</v>
      </c>
      <c r="L50" s="385"/>
      <c r="M50" s="203">
        <f>RANK(K50, K$47:$K$61)</f>
        <v>4</v>
      </c>
      <c r="N50" s="387"/>
      <c r="O50" s="387"/>
      <c r="P50" s="105">
        <v>20</v>
      </c>
      <c r="Q50" s="202">
        <v>2257.7777777777787</v>
      </c>
      <c r="R50" s="202">
        <v>112.88888888888894</v>
      </c>
      <c r="S50" s="105">
        <f t="shared" si="21"/>
        <v>4</v>
      </c>
      <c r="T50" s="385"/>
      <c r="U50" s="105">
        <v>20</v>
      </c>
      <c r="V50" s="202">
        <v>2296.7213114754122</v>
      </c>
      <c r="W50" s="202">
        <v>114.83606557377061</v>
      </c>
      <c r="X50" s="105">
        <f t="shared" si="22"/>
        <v>4</v>
      </c>
      <c r="Y50" s="385"/>
      <c r="Z50" s="105">
        <v>20</v>
      </c>
      <c r="AA50" s="202">
        <v>2266.7796610169512</v>
      </c>
      <c r="AB50" s="202">
        <v>113.33898305084756</v>
      </c>
      <c r="AC50" s="105">
        <f t="shared" si="23"/>
        <v>4</v>
      </c>
      <c r="AD50" s="385"/>
      <c r="AE50" s="105">
        <v>20</v>
      </c>
      <c r="AF50" s="202">
        <v>2195.1724137931051</v>
      </c>
      <c r="AG50" s="202">
        <v>109.75862068965526</v>
      </c>
      <c r="AH50" s="105">
        <f t="shared" si="24"/>
        <v>4</v>
      </c>
      <c r="AI50" s="385"/>
      <c r="AJ50" s="105">
        <v>20</v>
      </c>
      <c r="AK50" s="202">
        <v>2304.2307692307704</v>
      </c>
      <c r="AL50" s="202">
        <v>115.21153846153852</v>
      </c>
      <c r="AM50" s="105">
        <f t="shared" si="25"/>
        <v>4</v>
      </c>
      <c r="AN50" s="385"/>
      <c r="AO50" s="105">
        <v>20</v>
      </c>
      <c r="AP50" s="202">
        <v>2194.9102040816333</v>
      </c>
      <c r="AQ50" s="202">
        <v>109.74551020408167</v>
      </c>
      <c r="AR50" s="105">
        <f t="shared" si="26"/>
        <v>4</v>
      </c>
      <c r="AS50" s="385"/>
      <c r="AT50" s="105">
        <v>20</v>
      </c>
      <c r="AU50" s="202">
        <v>2315.0000000000023</v>
      </c>
      <c r="AV50" s="202">
        <v>115.75000000000011</v>
      </c>
      <c r="AW50" s="105">
        <f t="shared" si="27"/>
        <v>4</v>
      </c>
      <c r="AX50" s="412"/>
    </row>
    <row r="51" spans="2:50">
      <c r="B51" s="398"/>
      <c r="C51" s="105">
        <v>5</v>
      </c>
      <c r="D51" s="228" t="s">
        <v>317</v>
      </c>
      <c r="E51" s="175">
        <v>19</v>
      </c>
      <c r="F51" s="105">
        <v>2571</v>
      </c>
      <c r="G51" s="202">
        <v>135.31578947368422</v>
      </c>
      <c r="H51" s="385"/>
      <c r="I51" s="175">
        <f t="shared" si="20"/>
        <v>20</v>
      </c>
      <c r="J51" s="175">
        <f t="shared" si="20"/>
        <v>2446.9814667344376</v>
      </c>
      <c r="K51" s="202">
        <f t="shared" si="20"/>
        <v>122.34907333672189</v>
      </c>
      <c r="L51" s="385"/>
      <c r="M51" s="203">
        <f>RANK(K51, K$47:$K$61)</f>
        <v>2</v>
      </c>
      <c r="N51" s="387"/>
      <c r="O51" s="387"/>
      <c r="P51" s="105">
        <v>20</v>
      </c>
      <c r="Q51" s="202">
        <v>2403.913043478261</v>
      </c>
      <c r="R51" s="202">
        <v>120.19565217391305</v>
      </c>
      <c r="S51" s="105">
        <f t="shared" si="21"/>
        <v>2</v>
      </c>
      <c r="T51" s="385"/>
      <c r="U51" s="105">
        <v>20</v>
      </c>
      <c r="V51" s="202">
        <v>2467.5949367088592</v>
      </c>
      <c r="W51" s="202">
        <v>123.37974683544296</v>
      </c>
      <c r="X51" s="105">
        <f t="shared" si="22"/>
        <v>1</v>
      </c>
      <c r="Y51" s="385"/>
      <c r="Z51" s="105">
        <v>20</v>
      </c>
      <c r="AA51" s="202">
        <v>2454.8936170212769</v>
      </c>
      <c r="AB51" s="202">
        <v>122.74468085106385</v>
      </c>
      <c r="AC51" s="105">
        <f t="shared" si="23"/>
        <v>2</v>
      </c>
      <c r="AD51" s="385"/>
      <c r="AE51" s="105">
        <v>20</v>
      </c>
      <c r="AF51" s="202">
        <v>2474.6511627906975</v>
      </c>
      <c r="AG51" s="202">
        <v>123.73255813953487</v>
      </c>
      <c r="AH51" s="105">
        <f t="shared" si="24"/>
        <v>1</v>
      </c>
      <c r="AI51" s="385"/>
      <c r="AJ51" s="105">
        <v>20</v>
      </c>
      <c r="AK51" s="202">
        <v>2472.2891566265052</v>
      </c>
      <c r="AL51" s="202">
        <v>123.61445783132527</v>
      </c>
      <c r="AM51" s="105">
        <f t="shared" si="25"/>
        <v>2</v>
      </c>
      <c r="AN51" s="385"/>
      <c r="AO51" s="105">
        <v>20</v>
      </c>
      <c r="AP51" s="202">
        <v>2409.2783505154644</v>
      </c>
      <c r="AQ51" s="202">
        <v>120.46391752577321</v>
      </c>
      <c r="AR51" s="105">
        <f t="shared" si="26"/>
        <v>2</v>
      </c>
      <c r="AS51" s="385"/>
      <c r="AT51" s="105">
        <v>20</v>
      </c>
      <c r="AU51" s="202">
        <v>2446.2500000000005</v>
      </c>
      <c r="AV51" s="202">
        <v>122.31250000000003</v>
      </c>
      <c r="AW51" s="105">
        <f t="shared" si="27"/>
        <v>2</v>
      </c>
      <c r="AX51" s="412"/>
    </row>
    <row r="52" spans="2:50">
      <c r="B52" s="398"/>
      <c r="C52" s="105">
        <v>6</v>
      </c>
      <c r="D52" s="228" t="s">
        <v>318</v>
      </c>
      <c r="E52" s="175">
        <v>19</v>
      </c>
      <c r="F52" s="105">
        <v>2571</v>
      </c>
      <c r="G52" s="202">
        <v>135.31578947368422</v>
      </c>
      <c r="H52" s="385"/>
      <c r="I52" s="175">
        <f t="shared" si="20"/>
        <v>20</v>
      </c>
      <c r="J52" s="175">
        <f t="shared" si="20"/>
        <v>2469.1732037761967</v>
      </c>
      <c r="K52" s="202">
        <f t="shared" si="20"/>
        <v>123.45866018880982</v>
      </c>
      <c r="L52" s="385"/>
      <c r="M52" s="203">
        <f>RANK(K52, K$47:$K$61)</f>
        <v>1</v>
      </c>
      <c r="N52" s="387"/>
      <c r="O52" s="387"/>
      <c r="P52" s="105">
        <v>20</v>
      </c>
      <c r="Q52" s="202">
        <v>2469.5798319327719</v>
      </c>
      <c r="R52" s="202">
        <v>123.47899159663859</v>
      </c>
      <c r="S52" s="105">
        <f t="shared" si="21"/>
        <v>1</v>
      </c>
      <c r="T52" s="385"/>
      <c r="U52" s="105">
        <v>20</v>
      </c>
      <c r="V52" s="202">
        <v>2461.4173228346449</v>
      </c>
      <c r="W52" s="202">
        <v>123.07086614173224</v>
      </c>
      <c r="X52" s="105">
        <f t="shared" si="22"/>
        <v>2</v>
      </c>
      <c r="Y52" s="385"/>
      <c r="Z52" s="105">
        <v>20</v>
      </c>
      <c r="AA52" s="202">
        <v>2464.5454545454545</v>
      </c>
      <c r="AB52" s="202">
        <v>123.22727272727272</v>
      </c>
      <c r="AC52" s="105">
        <f t="shared" si="23"/>
        <v>1</v>
      </c>
      <c r="AD52" s="385"/>
      <c r="AE52" s="105">
        <v>20</v>
      </c>
      <c r="AF52" s="202">
        <v>2445.1162790697672</v>
      </c>
      <c r="AG52" s="202">
        <v>122.25581395348836</v>
      </c>
      <c r="AH52" s="105">
        <f t="shared" si="24"/>
        <v>2</v>
      </c>
      <c r="AI52" s="385"/>
      <c r="AJ52" s="105">
        <v>20</v>
      </c>
      <c r="AK52" s="202">
        <v>2519.43925233645</v>
      </c>
      <c r="AL52" s="202">
        <v>125.97196261682249</v>
      </c>
      <c r="AM52" s="105">
        <f t="shared" si="25"/>
        <v>1</v>
      </c>
      <c r="AN52" s="385"/>
      <c r="AO52" s="105">
        <v>20</v>
      </c>
      <c r="AP52" s="202">
        <v>2450.9774436090224</v>
      </c>
      <c r="AQ52" s="202">
        <v>122.54887218045113</v>
      </c>
      <c r="AR52" s="105">
        <f t="shared" si="26"/>
        <v>1</v>
      </c>
      <c r="AS52" s="385"/>
      <c r="AT52" s="105">
        <v>20</v>
      </c>
      <c r="AU52" s="202">
        <v>2473.1368421052634</v>
      </c>
      <c r="AV52" s="202">
        <v>123.65684210526317</v>
      </c>
      <c r="AW52" s="105">
        <f t="shared" si="27"/>
        <v>1</v>
      </c>
      <c r="AX52" s="412"/>
    </row>
    <row r="53" spans="2:50">
      <c r="B53" s="398"/>
      <c r="C53" s="105">
        <v>7</v>
      </c>
      <c r="D53" s="228"/>
      <c r="E53" s="175"/>
      <c r="F53" s="105"/>
      <c r="G53" s="202"/>
      <c r="H53" s="385"/>
      <c r="I53" s="175"/>
      <c r="J53" s="175"/>
      <c r="K53" s="202"/>
      <c r="L53" s="385"/>
      <c r="M53" s="203" t="e">
        <f>RANK(K53, K$47:$K$61)</f>
        <v>#N/A</v>
      </c>
      <c r="N53" s="387"/>
      <c r="O53" s="387"/>
      <c r="P53" s="105"/>
      <c r="Q53" s="202"/>
      <c r="R53" s="202"/>
      <c r="S53" s="105" t="e">
        <f t="shared" si="21"/>
        <v>#N/A</v>
      </c>
      <c r="T53" s="385"/>
      <c r="U53" s="105"/>
      <c r="V53" s="202"/>
      <c r="W53" s="202"/>
      <c r="X53" s="105" t="e">
        <f t="shared" si="22"/>
        <v>#N/A</v>
      </c>
      <c r="Y53" s="385"/>
      <c r="Z53" s="105"/>
      <c r="AA53" s="202"/>
      <c r="AB53" s="202"/>
      <c r="AC53" s="105" t="e">
        <f t="shared" si="23"/>
        <v>#N/A</v>
      </c>
      <c r="AD53" s="385"/>
      <c r="AE53" s="105"/>
      <c r="AF53" s="202"/>
      <c r="AG53" s="202"/>
      <c r="AH53" s="105" t="e">
        <f t="shared" si="24"/>
        <v>#N/A</v>
      </c>
      <c r="AI53" s="385"/>
      <c r="AJ53" s="105"/>
      <c r="AK53" s="202"/>
      <c r="AL53" s="202"/>
      <c r="AM53" s="105" t="e">
        <f t="shared" si="25"/>
        <v>#N/A</v>
      </c>
      <c r="AN53" s="385"/>
      <c r="AO53" s="105"/>
      <c r="AP53" s="202"/>
      <c r="AQ53" s="202"/>
      <c r="AR53" s="105" t="e">
        <f t="shared" si="26"/>
        <v>#N/A</v>
      </c>
      <c r="AS53" s="385"/>
      <c r="AT53" s="105"/>
      <c r="AU53" s="202"/>
      <c r="AV53" s="202"/>
      <c r="AW53" s="105" t="e">
        <f t="shared" si="27"/>
        <v>#N/A</v>
      </c>
      <c r="AX53" s="412"/>
    </row>
    <row r="54" spans="2:50">
      <c r="B54" s="398"/>
      <c r="C54" s="105">
        <v>8</v>
      </c>
      <c r="D54" s="228"/>
      <c r="E54" s="175"/>
      <c r="F54" s="105"/>
      <c r="G54" s="202"/>
      <c r="H54" s="385"/>
      <c r="I54" s="175"/>
      <c r="J54" s="175"/>
      <c r="K54" s="202"/>
      <c r="L54" s="385"/>
      <c r="M54" s="203" t="e">
        <f>RANK(K54, K$47:$K$61)</f>
        <v>#N/A</v>
      </c>
      <c r="N54" s="387"/>
      <c r="O54" s="387"/>
      <c r="P54" s="105"/>
      <c r="Q54" s="202"/>
      <c r="R54" s="202"/>
      <c r="S54" s="105" t="e">
        <f t="shared" si="21"/>
        <v>#N/A</v>
      </c>
      <c r="T54" s="385"/>
      <c r="U54" s="105"/>
      <c r="V54" s="202"/>
      <c r="W54" s="202"/>
      <c r="X54" s="105" t="e">
        <f t="shared" si="22"/>
        <v>#N/A</v>
      </c>
      <c r="Y54" s="385"/>
      <c r="Z54" s="105"/>
      <c r="AA54" s="202"/>
      <c r="AB54" s="202"/>
      <c r="AC54" s="105" t="e">
        <f t="shared" si="23"/>
        <v>#N/A</v>
      </c>
      <c r="AD54" s="385"/>
      <c r="AE54" s="105"/>
      <c r="AF54" s="202"/>
      <c r="AG54" s="202"/>
      <c r="AH54" s="105" t="e">
        <f t="shared" si="24"/>
        <v>#N/A</v>
      </c>
      <c r="AI54" s="385"/>
      <c r="AJ54" s="105"/>
      <c r="AK54" s="202"/>
      <c r="AL54" s="202"/>
      <c r="AM54" s="105" t="e">
        <f t="shared" si="25"/>
        <v>#N/A</v>
      </c>
      <c r="AN54" s="385"/>
      <c r="AO54" s="105"/>
      <c r="AP54" s="202"/>
      <c r="AQ54" s="202"/>
      <c r="AR54" s="105" t="e">
        <f t="shared" si="26"/>
        <v>#N/A</v>
      </c>
      <c r="AS54" s="385"/>
      <c r="AT54" s="105"/>
      <c r="AU54" s="202"/>
      <c r="AV54" s="202"/>
      <c r="AW54" s="105" t="e">
        <f t="shared" si="27"/>
        <v>#N/A</v>
      </c>
      <c r="AX54" s="412"/>
    </row>
    <row r="55" spans="2:50">
      <c r="B55" s="398"/>
      <c r="C55" s="105">
        <v>9</v>
      </c>
      <c r="D55" s="228"/>
      <c r="E55" s="175"/>
      <c r="F55" s="105"/>
      <c r="G55" s="202"/>
      <c r="H55" s="385"/>
      <c r="I55" s="175"/>
      <c r="J55" s="175"/>
      <c r="K55" s="202"/>
      <c r="L55" s="385"/>
      <c r="M55" s="203" t="e">
        <f>RANK(K55, K$47:$K$61)</f>
        <v>#N/A</v>
      </c>
      <c r="N55" s="387"/>
      <c r="O55" s="387"/>
      <c r="P55" s="105"/>
      <c r="Q55" s="202"/>
      <c r="R55" s="202"/>
      <c r="S55" s="105" t="e">
        <f t="shared" si="21"/>
        <v>#N/A</v>
      </c>
      <c r="T55" s="385"/>
      <c r="U55" s="105"/>
      <c r="V55" s="202"/>
      <c r="W55" s="202"/>
      <c r="X55" s="105" t="e">
        <f t="shared" si="22"/>
        <v>#N/A</v>
      </c>
      <c r="Y55" s="385"/>
      <c r="Z55" s="105"/>
      <c r="AA55" s="202"/>
      <c r="AB55" s="202"/>
      <c r="AC55" s="105" t="e">
        <f t="shared" si="23"/>
        <v>#N/A</v>
      </c>
      <c r="AD55" s="385"/>
      <c r="AE55" s="105"/>
      <c r="AF55" s="202"/>
      <c r="AG55" s="202"/>
      <c r="AH55" s="105" t="e">
        <f t="shared" si="24"/>
        <v>#N/A</v>
      </c>
      <c r="AI55" s="385"/>
      <c r="AJ55" s="105"/>
      <c r="AK55" s="202"/>
      <c r="AL55" s="202"/>
      <c r="AM55" s="105" t="e">
        <f t="shared" si="25"/>
        <v>#N/A</v>
      </c>
      <c r="AN55" s="385"/>
      <c r="AO55" s="105"/>
      <c r="AP55" s="202"/>
      <c r="AQ55" s="202"/>
      <c r="AR55" s="105" t="e">
        <f t="shared" si="26"/>
        <v>#N/A</v>
      </c>
      <c r="AS55" s="385"/>
      <c r="AT55" s="105"/>
      <c r="AU55" s="202"/>
      <c r="AV55" s="202"/>
      <c r="AW55" s="105" t="e">
        <f t="shared" si="27"/>
        <v>#N/A</v>
      </c>
      <c r="AX55" s="412"/>
    </row>
    <row r="56" spans="2:50">
      <c r="B56" s="398"/>
      <c r="C56" s="105">
        <v>10</v>
      </c>
      <c r="D56" s="228"/>
      <c r="E56" s="175"/>
      <c r="F56" s="105"/>
      <c r="G56" s="202"/>
      <c r="H56" s="385"/>
      <c r="I56" s="175"/>
      <c r="J56" s="175"/>
      <c r="K56" s="202"/>
      <c r="L56" s="385"/>
      <c r="M56" s="203" t="e">
        <f>RANK(K56, K$47:$K$61)</f>
        <v>#N/A</v>
      </c>
      <c r="N56" s="387"/>
      <c r="O56" s="387"/>
      <c r="P56" s="105"/>
      <c r="Q56" s="105"/>
      <c r="R56" s="202"/>
      <c r="S56" s="105" t="e">
        <f t="shared" si="21"/>
        <v>#N/A</v>
      </c>
      <c r="T56" s="385"/>
      <c r="U56" s="105"/>
      <c r="V56" s="105"/>
      <c r="W56" s="202"/>
      <c r="X56" s="105" t="e">
        <f t="shared" si="22"/>
        <v>#N/A</v>
      </c>
      <c r="Y56" s="385"/>
      <c r="Z56" s="105"/>
      <c r="AA56" s="105"/>
      <c r="AB56" s="202"/>
      <c r="AC56" s="105" t="e">
        <f t="shared" si="23"/>
        <v>#N/A</v>
      </c>
      <c r="AD56" s="385"/>
      <c r="AE56" s="105"/>
      <c r="AF56" s="105"/>
      <c r="AG56" s="202"/>
      <c r="AH56" s="105" t="e">
        <f t="shared" si="24"/>
        <v>#N/A</v>
      </c>
      <c r="AI56" s="385"/>
      <c r="AJ56" s="105"/>
      <c r="AK56" s="105"/>
      <c r="AL56" s="202"/>
      <c r="AM56" s="105" t="e">
        <f t="shared" si="25"/>
        <v>#N/A</v>
      </c>
      <c r="AN56" s="385"/>
      <c r="AO56" s="105"/>
      <c r="AP56" s="105"/>
      <c r="AQ56" s="202"/>
      <c r="AR56" s="105" t="e">
        <f t="shared" si="26"/>
        <v>#N/A</v>
      </c>
      <c r="AS56" s="385"/>
      <c r="AT56" s="105"/>
      <c r="AU56" s="105"/>
      <c r="AV56" s="202"/>
      <c r="AW56" s="105" t="e">
        <f t="shared" si="27"/>
        <v>#N/A</v>
      </c>
      <c r="AX56" s="412"/>
    </row>
    <row r="57" spans="2:50">
      <c r="B57" s="398"/>
      <c r="C57" s="105">
        <v>11</v>
      </c>
      <c r="D57" s="228"/>
      <c r="E57" s="175"/>
      <c r="F57" s="105"/>
      <c r="G57" s="202"/>
      <c r="H57" s="385"/>
      <c r="I57" s="105"/>
      <c r="J57" s="105"/>
      <c r="K57" s="105"/>
      <c r="L57" s="385"/>
      <c r="M57" s="203" t="e">
        <f>RANK(K57, K$47:$K$61)</f>
        <v>#N/A</v>
      </c>
      <c r="N57" s="387"/>
      <c r="O57" s="387"/>
      <c r="P57" s="105"/>
      <c r="Q57" s="105"/>
      <c r="R57" s="105"/>
      <c r="S57" s="105" t="e">
        <f t="shared" si="21"/>
        <v>#N/A</v>
      </c>
      <c r="T57" s="385"/>
      <c r="U57" s="105"/>
      <c r="V57" s="105"/>
      <c r="W57" s="105"/>
      <c r="X57" s="105" t="e">
        <f t="shared" si="22"/>
        <v>#N/A</v>
      </c>
      <c r="Y57" s="385"/>
      <c r="Z57" s="105"/>
      <c r="AA57" s="105"/>
      <c r="AB57" s="105"/>
      <c r="AC57" s="105" t="e">
        <f t="shared" si="23"/>
        <v>#N/A</v>
      </c>
      <c r="AD57" s="385"/>
      <c r="AE57" s="105"/>
      <c r="AF57" s="105"/>
      <c r="AG57" s="105"/>
      <c r="AH57" s="105" t="e">
        <f t="shared" si="24"/>
        <v>#N/A</v>
      </c>
      <c r="AI57" s="385"/>
      <c r="AJ57" s="105"/>
      <c r="AK57" s="105"/>
      <c r="AL57" s="105"/>
      <c r="AM57" s="105" t="e">
        <f t="shared" si="25"/>
        <v>#N/A</v>
      </c>
      <c r="AN57" s="385"/>
      <c r="AO57" s="105"/>
      <c r="AP57" s="105"/>
      <c r="AQ57" s="105"/>
      <c r="AR57" s="105" t="e">
        <f t="shared" si="26"/>
        <v>#N/A</v>
      </c>
      <c r="AS57" s="385"/>
      <c r="AT57" s="105"/>
      <c r="AU57" s="105"/>
      <c r="AV57" s="105"/>
      <c r="AW57" s="105" t="e">
        <f t="shared" si="27"/>
        <v>#N/A</v>
      </c>
      <c r="AX57" s="412"/>
    </row>
    <row r="58" spans="2:50">
      <c r="B58" s="398"/>
      <c r="C58" s="105">
        <v>12</v>
      </c>
      <c r="D58" s="228"/>
      <c r="E58" s="175"/>
      <c r="F58" s="105"/>
      <c r="G58" s="202"/>
      <c r="H58" s="385"/>
      <c r="I58" s="105"/>
      <c r="J58" s="105"/>
      <c r="K58" s="105"/>
      <c r="L58" s="385"/>
      <c r="M58" s="203" t="e">
        <f>RANK(K58, K$47:$K$61)</f>
        <v>#N/A</v>
      </c>
      <c r="N58" s="387"/>
      <c r="O58" s="387"/>
      <c r="P58" s="105"/>
      <c r="Q58" s="105"/>
      <c r="R58" s="105"/>
      <c r="S58" s="105" t="e">
        <f t="shared" si="21"/>
        <v>#N/A</v>
      </c>
      <c r="T58" s="385"/>
      <c r="U58" s="105"/>
      <c r="V58" s="105"/>
      <c r="W58" s="105"/>
      <c r="X58" s="105" t="e">
        <f t="shared" si="22"/>
        <v>#N/A</v>
      </c>
      <c r="Y58" s="385"/>
      <c r="Z58" s="105"/>
      <c r="AA58" s="105"/>
      <c r="AB58" s="105"/>
      <c r="AC58" s="105" t="e">
        <f t="shared" si="23"/>
        <v>#N/A</v>
      </c>
      <c r="AD58" s="385"/>
      <c r="AE58" s="105"/>
      <c r="AF58" s="105"/>
      <c r="AG58" s="105"/>
      <c r="AH58" s="105" t="e">
        <f t="shared" si="24"/>
        <v>#N/A</v>
      </c>
      <c r="AI58" s="385"/>
      <c r="AJ58" s="105"/>
      <c r="AK58" s="105"/>
      <c r="AL58" s="105"/>
      <c r="AM58" s="105" t="e">
        <f t="shared" si="25"/>
        <v>#N/A</v>
      </c>
      <c r="AN58" s="385"/>
      <c r="AO58" s="105"/>
      <c r="AP58" s="105"/>
      <c r="AQ58" s="105"/>
      <c r="AR58" s="105" t="e">
        <f t="shared" si="26"/>
        <v>#N/A</v>
      </c>
      <c r="AS58" s="385"/>
      <c r="AT58" s="105"/>
      <c r="AU58" s="105"/>
      <c r="AV58" s="105"/>
      <c r="AW58" s="105" t="e">
        <f t="shared" si="27"/>
        <v>#N/A</v>
      </c>
      <c r="AX58" s="412"/>
    </row>
    <row r="59" spans="2:50">
      <c r="B59" s="398"/>
      <c r="C59" s="105">
        <v>13</v>
      </c>
      <c r="D59" s="228"/>
      <c r="E59" s="175"/>
      <c r="F59" s="105"/>
      <c r="G59" s="202"/>
      <c r="H59" s="385"/>
      <c r="I59" s="105"/>
      <c r="J59" s="105"/>
      <c r="K59" s="105"/>
      <c r="L59" s="385"/>
      <c r="M59" s="203" t="e">
        <f>RANK(K59, K$47:$K$61)</f>
        <v>#N/A</v>
      </c>
      <c r="N59" s="387"/>
      <c r="O59" s="387"/>
      <c r="P59" s="105"/>
      <c r="Q59" s="105"/>
      <c r="R59" s="105"/>
      <c r="S59" s="105" t="e">
        <f t="shared" si="21"/>
        <v>#N/A</v>
      </c>
      <c r="T59" s="385"/>
      <c r="U59" s="105"/>
      <c r="V59" s="105"/>
      <c r="W59" s="105"/>
      <c r="X59" s="105" t="e">
        <f t="shared" si="22"/>
        <v>#N/A</v>
      </c>
      <c r="Y59" s="385"/>
      <c r="Z59" s="105"/>
      <c r="AA59" s="105"/>
      <c r="AB59" s="105"/>
      <c r="AC59" s="105" t="e">
        <f t="shared" si="23"/>
        <v>#N/A</v>
      </c>
      <c r="AD59" s="385"/>
      <c r="AE59" s="105"/>
      <c r="AF59" s="105"/>
      <c r="AG59" s="105"/>
      <c r="AH59" s="105" t="e">
        <f t="shared" si="24"/>
        <v>#N/A</v>
      </c>
      <c r="AI59" s="385"/>
      <c r="AJ59" s="105"/>
      <c r="AK59" s="105"/>
      <c r="AL59" s="105"/>
      <c r="AM59" s="105" t="e">
        <f t="shared" si="25"/>
        <v>#N/A</v>
      </c>
      <c r="AN59" s="385"/>
      <c r="AO59" s="105"/>
      <c r="AP59" s="105"/>
      <c r="AQ59" s="105"/>
      <c r="AR59" s="105" t="e">
        <f t="shared" si="26"/>
        <v>#N/A</v>
      </c>
      <c r="AS59" s="385"/>
      <c r="AT59" s="105"/>
      <c r="AU59" s="105"/>
      <c r="AV59" s="105"/>
      <c r="AW59" s="105" t="e">
        <f t="shared" si="27"/>
        <v>#N/A</v>
      </c>
      <c r="AX59" s="412"/>
    </row>
    <row r="60" spans="2:50">
      <c r="B60" s="398"/>
      <c r="C60" s="105">
        <v>14</v>
      </c>
      <c r="D60" s="228"/>
      <c r="E60" s="175"/>
      <c r="F60" s="105"/>
      <c r="G60" s="202"/>
      <c r="H60" s="385"/>
      <c r="I60" s="105"/>
      <c r="J60" s="105"/>
      <c r="K60" s="105"/>
      <c r="L60" s="385"/>
      <c r="M60" s="203" t="e">
        <f>RANK(K60, K$47:$K$61)</f>
        <v>#N/A</v>
      </c>
      <c r="N60" s="387"/>
      <c r="O60" s="387"/>
      <c r="P60" s="105"/>
      <c r="Q60" s="105"/>
      <c r="R60" s="105"/>
      <c r="S60" s="105" t="e">
        <f t="shared" si="21"/>
        <v>#N/A</v>
      </c>
      <c r="T60" s="385"/>
      <c r="U60" s="105"/>
      <c r="V60" s="105"/>
      <c r="W60" s="105"/>
      <c r="X60" s="105" t="e">
        <f t="shared" si="22"/>
        <v>#N/A</v>
      </c>
      <c r="Y60" s="385"/>
      <c r="Z60" s="105"/>
      <c r="AA60" s="105"/>
      <c r="AB60" s="105"/>
      <c r="AC60" s="105" t="e">
        <f t="shared" si="23"/>
        <v>#N/A</v>
      </c>
      <c r="AD60" s="385"/>
      <c r="AE60" s="105"/>
      <c r="AF60" s="105"/>
      <c r="AG60" s="105"/>
      <c r="AH60" s="105" t="e">
        <f t="shared" si="24"/>
        <v>#N/A</v>
      </c>
      <c r="AI60" s="385"/>
      <c r="AJ60" s="105"/>
      <c r="AK60" s="105"/>
      <c r="AL60" s="105"/>
      <c r="AM60" s="105" t="e">
        <f t="shared" si="25"/>
        <v>#N/A</v>
      </c>
      <c r="AN60" s="385"/>
      <c r="AO60" s="105"/>
      <c r="AP60" s="105"/>
      <c r="AQ60" s="105"/>
      <c r="AR60" s="105" t="e">
        <f t="shared" si="26"/>
        <v>#N/A</v>
      </c>
      <c r="AS60" s="385"/>
      <c r="AT60" s="105"/>
      <c r="AU60" s="105"/>
      <c r="AV60" s="105"/>
      <c r="AW60" s="105" t="e">
        <f t="shared" si="27"/>
        <v>#N/A</v>
      </c>
      <c r="AX60" s="412"/>
    </row>
    <row r="61" spans="2:50">
      <c r="B61" s="398"/>
      <c r="C61" s="105">
        <v>15</v>
      </c>
      <c r="D61" s="228"/>
      <c r="E61" s="175"/>
      <c r="F61" s="105"/>
      <c r="G61" s="202"/>
      <c r="H61" s="386"/>
      <c r="I61" s="105"/>
      <c r="J61" s="105"/>
      <c r="K61" s="105"/>
      <c r="L61" s="386"/>
      <c r="M61" s="175" t="e">
        <f>RANK(K61, K$47:$K$61)</f>
        <v>#N/A</v>
      </c>
      <c r="N61" s="387"/>
      <c r="O61" s="387"/>
      <c r="P61" s="105"/>
      <c r="Q61" s="105"/>
      <c r="R61" s="105"/>
      <c r="S61" s="105" t="e">
        <f t="shared" si="21"/>
        <v>#N/A</v>
      </c>
      <c r="T61" s="386"/>
      <c r="U61" s="105"/>
      <c r="V61" s="105"/>
      <c r="W61" s="105"/>
      <c r="X61" s="105" t="e">
        <f t="shared" si="22"/>
        <v>#N/A</v>
      </c>
      <c r="Y61" s="386"/>
      <c r="Z61" s="105"/>
      <c r="AA61" s="105"/>
      <c r="AB61" s="105"/>
      <c r="AC61" s="105" t="e">
        <f t="shared" si="23"/>
        <v>#N/A</v>
      </c>
      <c r="AD61" s="386"/>
      <c r="AE61" s="105"/>
      <c r="AF61" s="105"/>
      <c r="AG61" s="105"/>
      <c r="AH61" s="105" t="e">
        <f t="shared" si="24"/>
        <v>#N/A</v>
      </c>
      <c r="AI61" s="386"/>
      <c r="AJ61" s="105"/>
      <c r="AK61" s="105"/>
      <c r="AL61" s="105"/>
      <c r="AM61" s="105" t="e">
        <f t="shared" si="25"/>
        <v>#N/A</v>
      </c>
      <c r="AN61" s="386"/>
      <c r="AO61" s="105"/>
      <c r="AP61" s="105"/>
      <c r="AQ61" s="105"/>
      <c r="AR61" s="105" t="e">
        <f t="shared" si="26"/>
        <v>#N/A</v>
      </c>
      <c r="AS61" s="386"/>
      <c r="AT61" s="105"/>
      <c r="AU61" s="105"/>
      <c r="AV61" s="105"/>
      <c r="AW61" s="105" t="e">
        <f t="shared" si="27"/>
        <v>#N/A</v>
      </c>
      <c r="AX61" s="412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28">Z62+1</f>
        <v>45891</v>
      </c>
      <c r="AF62" s="395"/>
      <c r="AG62" s="395"/>
      <c r="AH62" s="395"/>
      <c r="AI62" s="396"/>
      <c r="AJ62" s="394">
        <f t="shared" ref="AJ62" si="29">AE62+1</f>
        <v>45892</v>
      </c>
      <c r="AK62" s="395"/>
      <c r="AL62" s="395"/>
      <c r="AM62" s="395"/>
      <c r="AN62" s="396"/>
      <c r="AO62" s="394">
        <f t="shared" ref="AO62" si="30">AJ62+1</f>
        <v>45893</v>
      </c>
      <c r="AP62" s="395"/>
      <c r="AQ62" s="395"/>
      <c r="AR62" s="395"/>
      <c r="AS62" s="396"/>
      <c r="AT62" s="394">
        <f t="shared" ref="AT62" si="31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387" t="s">
        <v>311</v>
      </c>
      <c r="C67" s="105">
        <v>1</v>
      </c>
      <c r="D67" s="228" t="s">
        <v>314</v>
      </c>
      <c r="E67" s="175">
        <v>21</v>
      </c>
      <c r="F67" s="105">
        <v>2400</v>
      </c>
      <c r="G67" s="202">
        <v>114.28571428571429</v>
      </c>
      <c r="H67" s="384">
        <f>AVERAGE(G67:G81)</f>
        <v>128.05012531328322</v>
      </c>
      <c r="I67" s="175">
        <f>AVERAGE(P67,U67,Z67,AE67,AJ67,AO67,AT67)</f>
        <v>21</v>
      </c>
      <c r="J67" s="175">
        <f>AVERAGE(Q67,V67,AA67,AF67,AK67,AP67,AU67)</f>
        <v>2166.9736735893848</v>
      </c>
      <c r="K67" s="202">
        <f>AVERAGE(R67,W67,AB67,AG67,AL67,AQ67,AV67)</f>
        <v>103.18922255187549</v>
      </c>
      <c r="L67" s="384">
        <f>IFERROR(AVERAGE(K67:K81),"-")</f>
        <v>115.96039292273618</v>
      </c>
      <c r="M67" s="203">
        <f>RANK(K67, K$67:$K$81)</f>
        <v>5</v>
      </c>
      <c r="N67" s="387"/>
      <c r="O67" s="387"/>
      <c r="P67" s="105">
        <f>'[3]（５-8）品群別人時生產性(季節調理麵) '!P67</f>
        <v>21</v>
      </c>
      <c r="Q67" s="202">
        <f>'[3]（５-8）品群別人時生產性(季節調理麵) '!Q67</f>
        <v>2166.2337662337673</v>
      </c>
      <c r="R67" s="202">
        <f>'[3]（５-8）品群別人時生產性(季節調理麵) '!R67</f>
        <v>103.15398886827464</v>
      </c>
      <c r="S67" s="105">
        <f>RANK(R67, R$67:R$81)</f>
        <v>5</v>
      </c>
      <c r="T67" s="384">
        <f>AVERAGE(R67:R81)</f>
        <v>116.54107322227969</v>
      </c>
      <c r="U67" s="105">
        <f>'[3]（５-8）品群別人時生產性(季節調理麵) '!U67</f>
        <v>21</v>
      </c>
      <c r="V67" s="202">
        <f>'[3]（５-8）品群別人時生產性(季節調理麵) '!V67</f>
        <v>2117.4683544303807</v>
      </c>
      <c r="W67" s="202">
        <f>'[3]（５-8）品群別人時生產性(季節調理麵) '!W67</f>
        <v>100.8318264014467</v>
      </c>
      <c r="X67" s="105">
        <f>RANK(W67, W$67:W$81)</f>
        <v>5</v>
      </c>
      <c r="Y67" s="384">
        <f>AVERAGE(W67:W81)</f>
        <v>114.50032619066178</v>
      </c>
      <c r="Z67" s="105">
        <f>'[3]（５-8）品群別人時生產性(季節調理麵) '!Z67</f>
        <v>21</v>
      </c>
      <c r="AA67" s="202">
        <f>'[3]（５-8）品群別人時生產性(季節調理麵) '!AA67</f>
        <v>2165.3164556962033</v>
      </c>
      <c r="AB67" s="202">
        <f>'[3]（５-8）品群別人時生產性(季節調理麵) '!AB67</f>
        <v>103.11030741410492</v>
      </c>
      <c r="AC67" s="105">
        <f>RANK(AB67, AB$67:AB$81)</f>
        <v>5</v>
      </c>
      <c r="AD67" s="384">
        <f>AVERAGE(AB67:AB81)</f>
        <v>116.80328928204881</v>
      </c>
      <c r="AE67" s="105">
        <f>'[3]（５-8）品群別人時生產性(季節調理麵) '!AE67</f>
        <v>21</v>
      </c>
      <c r="AF67" s="202">
        <f>'[3]（５-8）品群別人時生產性(季節調理麵) '!AF67</f>
        <v>2230.140845070423</v>
      </c>
      <c r="AG67" s="202">
        <f>'[3]（５-8）品群別人時生產性(季節調理麵) '!AG67</f>
        <v>106.19718309859157</v>
      </c>
      <c r="AH67" s="105">
        <f>RANK(AG67, AG$67:AG$81)</f>
        <v>5</v>
      </c>
      <c r="AI67" s="384">
        <f>AVERAGE(AG67:AG81)</f>
        <v>116.68791631626939</v>
      </c>
      <c r="AJ67" s="105">
        <f>'[3]（５-8）品群別人時生產性(季節調理麵) '!AJ67</f>
        <v>21</v>
      </c>
      <c r="AK67" s="202">
        <f>'[3]（５-8）品群別人時生產性(季節調理麵) '!AK67</f>
        <v>2204.7761194029849</v>
      </c>
      <c r="AL67" s="202">
        <f>'[3]（５-8）品群別人時生產性(季節調理麵) '!AL67</f>
        <v>104.98933901918976</v>
      </c>
      <c r="AM67" s="105">
        <f>RANK(AL67, AL$67:AL$81)</f>
        <v>5</v>
      </c>
      <c r="AN67" s="384">
        <f>AVERAGE(AL67:AL81)</f>
        <v>116.87027901500028</v>
      </c>
      <c r="AO67" s="105">
        <f>'[3]（５-8）品群別人時生產性(季節調理麵) '!AO67</f>
        <v>21</v>
      </c>
      <c r="AP67" s="202">
        <f>'[3]（５-8）品群別人時生產性(季節調理麵) '!AP67</f>
        <v>2121.1764705882347</v>
      </c>
      <c r="AQ67" s="202">
        <f>'[3]（５-8）品群別人時生產性(季節調理麵) '!AQ67</f>
        <v>101.00840336134451</v>
      </c>
      <c r="AR67" s="105">
        <f>RANK(AQ67, AQ$67:AQ$81)</f>
        <v>5</v>
      </c>
      <c r="AS67" s="384">
        <f>AVERAGE(AQ67:AQ81)</f>
        <v>114.78790688147565</v>
      </c>
      <c r="AT67" s="105">
        <f>'[3]（５-8）品群別人時生產性(季節調理麵) '!AT67</f>
        <v>21</v>
      </c>
      <c r="AU67" s="202">
        <f>'[3]（５-8）品群別人時生產性(季節調理麵) '!AU67</f>
        <v>2163.703703703703</v>
      </c>
      <c r="AV67" s="202">
        <f>'[3]（５-8）品群別人時生產性(季節調理麵) '!AV67</f>
        <v>103.03350970017634</v>
      </c>
      <c r="AW67" s="105">
        <f>RANK(AV67, AV$67:AV$81)</f>
        <v>5</v>
      </c>
      <c r="AX67" s="412">
        <f>AVERAGE(AV67:AV81)</f>
        <v>115.53195955141766</v>
      </c>
    </row>
    <row r="68" spans="2:50">
      <c r="B68" s="398"/>
      <c r="C68" s="105">
        <v>2</v>
      </c>
      <c r="D68" s="228" t="s">
        <v>315</v>
      </c>
      <c r="E68" s="175">
        <v>18</v>
      </c>
      <c r="F68" s="105">
        <v>2571</v>
      </c>
      <c r="G68" s="202">
        <v>142.83333333333334</v>
      </c>
      <c r="H68" s="385"/>
      <c r="I68" s="175">
        <f t="shared" ref="I68:K71" si="32">AVERAGE(P68,U68,Z68,AE68,AJ68,AO68,AT68)</f>
        <v>20</v>
      </c>
      <c r="J68" s="175">
        <f t="shared" si="32"/>
        <v>2389.9610557093943</v>
      </c>
      <c r="K68" s="202">
        <f t="shared" si="32"/>
        <v>119.49805278546971</v>
      </c>
      <c r="L68" s="385"/>
      <c r="M68" s="203">
        <f>RANK(K68, K$67:$K$81)</f>
        <v>3</v>
      </c>
      <c r="N68" s="387"/>
      <c r="O68" s="387"/>
      <c r="P68" s="105">
        <f>'[3]（５-8）品群別人時生產性(季節調理麵) '!P68</f>
        <v>20</v>
      </c>
      <c r="Q68" s="202">
        <f>'[3]（５-8）品群別人時生產性(季節調理麵) '!Q68</f>
        <v>2365.1351351351359</v>
      </c>
      <c r="R68" s="202">
        <f>'[3]（５-8）品群別人時生產性(季節調理麵) '!R68</f>
        <v>118.2567567567568</v>
      </c>
      <c r="S68" s="105">
        <f t="shared" ref="S68:S81" si="33">RANK(R68, R$67:R$81)</f>
        <v>3</v>
      </c>
      <c r="T68" s="385"/>
      <c r="U68" s="105">
        <f>'[3]（５-8）品群別人時生產性(季節調理麵) '!U68</f>
        <v>20</v>
      </c>
      <c r="V68" s="202">
        <f>'[3]（５-8）品群別人時生產性(季節調理麵) '!V68</f>
        <v>2403.9473684210534</v>
      </c>
      <c r="W68" s="202">
        <f>'[3]（５-8）品群別人時生產性(季節調理麵) '!W68</f>
        <v>120.19736842105267</v>
      </c>
      <c r="X68" s="105">
        <f t="shared" ref="X68:X81" si="34">RANK(W68, W$67:W$81)</f>
        <v>3</v>
      </c>
      <c r="Y68" s="385"/>
      <c r="Z68" s="105">
        <f>'[3]（５-8）品群別人時生產性(季節調理麵) '!Z68</f>
        <v>20</v>
      </c>
      <c r="AA68" s="202">
        <f>'[3]（５-8）品群別人時生產性(季節調理麵) '!AA68</f>
        <v>2415.238095238095</v>
      </c>
      <c r="AB68" s="202">
        <f>'[3]（５-8）品群別人時生產性(季節調理麵) '!AB68</f>
        <v>120.76190476190474</v>
      </c>
      <c r="AC68" s="105">
        <f t="shared" ref="AC68:AC81" si="35">RANK(AB68, AB$67:AB$81)</f>
        <v>3</v>
      </c>
      <c r="AD68" s="385"/>
      <c r="AE68" s="105">
        <f>'[3]（５-8）品群別人時生產性(季節調理麵) '!AE68</f>
        <v>20</v>
      </c>
      <c r="AF68" s="202">
        <f>'[3]（５-8）品群別人時生產性(季節調理麵) '!AF68</f>
        <v>2443.5483870967732</v>
      </c>
      <c r="AG68" s="202">
        <f>'[3]（５-8）品群別人時生產性(季節調理麵) '!AG68</f>
        <v>122.17741935483866</v>
      </c>
      <c r="AH68" s="105">
        <f t="shared" ref="AH68:AH81" si="36">RANK(AG68, AG$67:AG$81)</f>
        <v>3</v>
      </c>
      <c r="AI68" s="385"/>
      <c r="AJ68" s="105">
        <f>'[3]（５-8）品群別人時生產性(季節調理麵) '!AJ68</f>
        <v>20</v>
      </c>
      <c r="AK68" s="202">
        <f>'[3]（５-8）品群別人時生產性(季節調理麵) '!AK68</f>
        <v>2406.7741935483864</v>
      </c>
      <c r="AL68" s="202">
        <f>'[3]（５-8）品群別人時生產性(季節調理麵) '!AL68</f>
        <v>120.33870967741932</v>
      </c>
      <c r="AM68" s="105">
        <f t="shared" ref="AM68:AM81" si="37">RANK(AL68, AL$67:AL$81)</f>
        <v>3</v>
      </c>
      <c r="AN68" s="385"/>
      <c r="AO68" s="105">
        <f>'[3]（５-8）品群別人時生產性(季節調理麵) '!AO68</f>
        <v>20</v>
      </c>
      <c r="AP68" s="202">
        <f>'[3]（５-8）品群別人時生產性(季節調理麵) '!AP68</f>
        <v>2364.4736842105272</v>
      </c>
      <c r="AQ68" s="202">
        <f>'[3]（５-8）品群別人時生產性(季節調理麵) '!AQ68</f>
        <v>118.22368421052636</v>
      </c>
      <c r="AR68" s="105">
        <f t="shared" ref="AR68:AR81" si="38">RANK(AQ68, AQ$67:AQ$81)</f>
        <v>3</v>
      </c>
      <c r="AS68" s="385"/>
      <c r="AT68" s="105">
        <f>'[3]（５-8）品群別人時生產性(季節調理麵) '!AT68</f>
        <v>20</v>
      </c>
      <c r="AU68" s="202">
        <f>'[3]（５-8）品群別人時生產性(季節調理麵) '!AU68</f>
        <v>2330.6105263157879</v>
      </c>
      <c r="AV68" s="202">
        <f>'[3]（５-8）品群別人時生產性(季節調理麵) '!AV68</f>
        <v>116.53052631578939</v>
      </c>
      <c r="AW68" s="105">
        <f t="shared" ref="AW68:AW81" si="39">RANK(AV68, AV$67:AV$81)</f>
        <v>3</v>
      </c>
      <c r="AX68" s="412"/>
    </row>
    <row r="69" spans="2:50">
      <c r="B69" s="398"/>
      <c r="C69" s="105">
        <v>3</v>
      </c>
      <c r="D69" s="228" t="s">
        <v>316</v>
      </c>
      <c r="E69" s="175">
        <v>20</v>
      </c>
      <c r="F69" s="105">
        <v>2250</v>
      </c>
      <c r="G69" s="202">
        <v>112.5</v>
      </c>
      <c r="H69" s="385"/>
      <c r="I69" s="175">
        <f t="shared" si="32"/>
        <v>20</v>
      </c>
      <c r="J69" s="175">
        <f t="shared" si="32"/>
        <v>2212.3878821566118</v>
      </c>
      <c r="K69" s="202">
        <f t="shared" si="32"/>
        <v>110.61939410783059</v>
      </c>
      <c r="L69" s="385"/>
      <c r="M69" s="203">
        <f>RANK(K69, K$67:$K$81)</f>
        <v>4</v>
      </c>
      <c r="N69" s="387"/>
      <c r="O69" s="387"/>
      <c r="P69" s="105">
        <f>'[3]（５-8）品群別人時生產性(季節調理麵) '!P69</f>
        <v>20</v>
      </c>
      <c r="Q69" s="202">
        <f>'[3]（５-8）品群別人時生產性(季節調理麵) '!Q69</f>
        <v>2307.4576271186461</v>
      </c>
      <c r="R69" s="202">
        <f>'[3]（５-8）品群別人時生產性(季節調理麵) '!R69</f>
        <v>115.37288135593231</v>
      </c>
      <c r="S69" s="105">
        <f t="shared" si="33"/>
        <v>4</v>
      </c>
      <c r="T69" s="385"/>
      <c r="U69" s="105">
        <f>'[3]（５-8）品群別人時生產性(季節調理麵) '!U69</f>
        <v>20</v>
      </c>
      <c r="V69" s="202">
        <f>'[3]（５-8）品群別人時生產性(季節調理麵) '!V69</f>
        <v>2159.0625000000027</v>
      </c>
      <c r="W69" s="202">
        <f>'[3]（５-8）品群別人時生產性(季節調理麵) '!W69</f>
        <v>107.95312500000014</v>
      </c>
      <c r="X69" s="105">
        <f t="shared" si="34"/>
        <v>4</v>
      </c>
      <c r="Y69" s="385"/>
      <c r="Z69" s="105">
        <f>'[3]（５-8）品群別人時生產性(季節調理麵) '!Z69</f>
        <v>20</v>
      </c>
      <c r="AA69" s="202">
        <f>'[3]（５-8）品群別人時生產性(季節調理麵) '!AA69</f>
        <v>2213.3333333333344</v>
      </c>
      <c r="AB69" s="202">
        <f>'[3]（５-8）品群別人時生產性(季節調理麵) '!AB69</f>
        <v>110.66666666666671</v>
      </c>
      <c r="AC69" s="105">
        <f t="shared" si="35"/>
        <v>4</v>
      </c>
      <c r="AD69" s="385"/>
      <c r="AE69" s="105">
        <f>'[3]（５-8）品群別人時生產性(季節調理麵) '!AE69</f>
        <v>20</v>
      </c>
      <c r="AF69" s="202">
        <f>'[3]（５-8）品群別人時生產性(季節調理麵) '!AF69</f>
        <v>2167.368421052639</v>
      </c>
      <c r="AG69" s="202">
        <f>'[3]（５-8）品群別人時生產性(季節調理麵) '!AG69</f>
        <v>108.36842105263194</v>
      </c>
      <c r="AH69" s="105">
        <f t="shared" si="36"/>
        <v>4</v>
      </c>
      <c r="AI69" s="385"/>
      <c r="AJ69" s="105">
        <f>'[3]（５-8）品群別人時生產性(季節調理麵) '!AJ69</f>
        <v>20</v>
      </c>
      <c r="AK69" s="202">
        <f>'[3]（５-8）品群別人時生產性(季節調理麵) '!AK69</f>
        <v>2222.1818181818198</v>
      </c>
      <c r="AL69" s="202">
        <f>'[3]（５-8）品群別人時生產性(季節調理麵) '!AL69</f>
        <v>111.10909090909099</v>
      </c>
      <c r="AM69" s="105">
        <f t="shared" si="37"/>
        <v>4</v>
      </c>
      <c r="AN69" s="385"/>
      <c r="AO69" s="105">
        <f>'[3]（５-8）品群別人時生產性(季節調理麵) '!AO69</f>
        <v>20</v>
      </c>
      <c r="AP69" s="202">
        <f>'[3]（５-8）品群別人時生產性(季節調理麵) '!AP69</f>
        <v>2141.3114754098378</v>
      </c>
      <c r="AQ69" s="202">
        <f>'[3]（５-8）品群別人時生產性(季節調理麵) '!AQ69</f>
        <v>107.06557377049189</v>
      </c>
      <c r="AR69" s="105">
        <f t="shared" si="38"/>
        <v>4</v>
      </c>
      <c r="AS69" s="385"/>
      <c r="AT69" s="105">
        <f>'[3]（５-8）品群別人時生產性(季節調理麵) '!AT69</f>
        <v>20</v>
      </c>
      <c r="AU69" s="202">
        <f>'[3]（５-8）品群別人時生產性(季節調理麵) '!AU69</f>
        <v>2276.0000000000023</v>
      </c>
      <c r="AV69" s="202">
        <f>'[3]（５-8）品群別人時生產性(季節調理麵) '!AV69</f>
        <v>113.80000000000011</v>
      </c>
      <c r="AW69" s="105">
        <f t="shared" si="39"/>
        <v>4</v>
      </c>
      <c r="AX69" s="412"/>
    </row>
    <row r="70" spans="2:50">
      <c r="B70" s="398"/>
      <c r="C70" s="105">
        <v>4</v>
      </c>
      <c r="D70" s="228" t="s">
        <v>317</v>
      </c>
      <c r="E70" s="175">
        <v>19</v>
      </c>
      <c r="F70" s="105">
        <v>2571</v>
      </c>
      <c r="G70" s="202">
        <v>135.31578947368422</v>
      </c>
      <c r="H70" s="385"/>
      <c r="I70" s="175">
        <f t="shared" si="32"/>
        <v>20</v>
      </c>
      <c r="J70" s="175">
        <f t="shared" si="32"/>
        <v>2467.2504386728392</v>
      </c>
      <c r="K70" s="202">
        <f t="shared" si="32"/>
        <v>123.36252193364196</v>
      </c>
      <c r="L70" s="385"/>
      <c r="M70" s="203">
        <f>RANK(K70, K$67:$K$81)</f>
        <v>1</v>
      </c>
      <c r="N70" s="387"/>
      <c r="O70" s="387"/>
      <c r="P70" s="105">
        <f>'[3]（５-8）品群別人時生產性(季節調理麵) '!P70</f>
        <v>20</v>
      </c>
      <c r="Q70" s="202">
        <f>'[3]（５-8）品群別人時生產性(季節調理麵) '!Q70</f>
        <v>2455.4347826086955</v>
      </c>
      <c r="R70" s="202">
        <f>'[3]（５-8）品群別人時生產性(季節調理麵) '!R70</f>
        <v>122.77173913043478</v>
      </c>
      <c r="S70" s="105">
        <f t="shared" si="33"/>
        <v>2</v>
      </c>
      <c r="T70" s="385"/>
      <c r="U70" s="105">
        <f>'[3]（５-8）品群別人時生產性(季節調理麵) '!U70</f>
        <v>20</v>
      </c>
      <c r="V70" s="202">
        <f>'[3]（５-8）品群別人時生產性(季節調理麵) '!V70</f>
        <v>2419.2452830188695</v>
      </c>
      <c r="W70" s="202">
        <f>'[3]（５-8）品群別人時生產性(季節調理麵) '!W70</f>
        <v>120.96226415094347</v>
      </c>
      <c r="X70" s="105">
        <f t="shared" si="34"/>
        <v>2</v>
      </c>
      <c r="Y70" s="385"/>
      <c r="Z70" s="105">
        <f>'[3]（５-8）品群別人時生產性(季節調理麵) '!Z70</f>
        <v>20</v>
      </c>
      <c r="AA70" s="202">
        <f>'[3]（５-8）品群別人時生產性(季節調理麵) '!AA70</f>
        <v>2473.2000000000007</v>
      </c>
      <c r="AB70" s="202">
        <f>'[3]（５-8）品群別人時生產性(季節調理麵) '!AB70</f>
        <v>123.66000000000004</v>
      </c>
      <c r="AC70" s="105">
        <f t="shared" si="35"/>
        <v>2</v>
      </c>
      <c r="AD70" s="385"/>
      <c r="AE70" s="105">
        <f>'[3]（５-8）品群別人時生產性(季節調理麵) '!AE70</f>
        <v>20</v>
      </c>
      <c r="AF70" s="202">
        <f>'[3]（５-8）品群別人時生產性(季節調理麵) '!AF70</f>
        <v>2460.8219178082172</v>
      </c>
      <c r="AG70" s="202">
        <f>'[3]（５-8）品群別人時生產性(季節調理麵) '!AG70</f>
        <v>123.04109589041086</v>
      </c>
      <c r="AH70" s="105">
        <f t="shared" si="36"/>
        <v>2</v>
      </c>
      <c r="AI70" s="385"/>
      <c r="AJ70" s="105">
        <f>'[3]（５-8）品群別人時生產性(季節調理麵) '!AJ70</f>
        <v>20</v>
      </c>
      <c r="AK70" s="202">
        <f>'[3]（５-8）品群別人時生產性(季節調理麵) '!AK70</f>
        <v>2474.6153846153834</v>
      </c>
      <c r="AL70" s="202">
        <f>'[3]（５-8）品群別人時生產性(季節調理麵) '!AL70</f>
        <v>123.73076923076917</v>
      </c>
      <c r="AM70" s="105">
        <f t="shared" si="37"/>
        <v>2</v>
      </c>
      <c r="AN70" s="385"/>
      <c r="AO70" s="105">
        <f>'[3]（５-8）品群別人時生產性(季節調理麵) '!AO70</f>
        <v>20</v>
      </c>
      <c r="AP70" s="202">
        <f>'[3]（５-8）品群別人時生產性(季節調理麵) '!AP70</f>
        <v>2520.6315789473688</v>
      </c>
      <c r="AQ70" s="202">
        <f>'[3]（５-8）品群別人時生產性(季節調理麵) '!AQ70</f>
        <v>126.03157894736844</v>
      </c>
      <c r="AR70" s="105">
        <f t="shared" si="38"/>
        <v>1</v>
      </c>
      <c r="AS70" s="385"/>
      <c r="AT70" s="105">
        <f>'[3]（５-8）品群別人時生產性(季節調理麵) '!AT70</f>
        <v>20</v>
      </c>
      <c r="AU70" s="202">
        <f>'[3]（５-8）品群別人時生產性(季節調理麵) '!AU70</f>
        <v>2466.8041237113407</v>
      </c>
      <c r="AV70" s="202">
        <f>'[3]（５-8）品群別人時生產性(季節調理麵) '!AV70</f>
        <v>123.34020618556704</v>
      </c>
      <c r="AW70" s="105">
        <f t="shared" si="39"/>
        <v>1</v>
      </c>
      <c r="AX70" s="412"/>
    </row>
    <row r="71" spans="2:50">
      <c r="B71" s="398"/>
      <c r="C71" s="105">
        <v>5</v>
      </c>
      <c r="D71" s="228" t="s">
        <v>318</v>
      </c>
      <c r="E71" s="175">
        <v>19</v>
      </c>
      <c r="F71" s="105">
        <v>2571</v>
      </c>
      <c r="G71" s="202">
        <v>135.31578947368422</v>
      </c>
      <c r="H71" s="385"/>
      <c r="I71" s="175">
        <f t="shared" si="32"/>
        <v>20</v>
      </c>
      <c r="J71" s="175">
        <f t="shared" si="32"/>
        <v>2462.6554646972627</v>
      </c>
      <c r="K71" s="202">
        <f t="shared" si="32"/>
        <v>123.13277323486315</v>
      </c>
      <c r="L71" s="385"/>
      <c r="M71" s="203">
        <f>RANK(K71, K$67:$K$81)</f>
        <v>2</v>
      </c>
      <c r="N71" s="387"/>
      <c r="O71" s="387"/>
      <c r="P71" s="105">
        <f>'[3]（５-8）品群別人時生產性(季節調理麵) '!P71</f>
        <v>20</v>
      </c>
      <c r="Q71" s="202">
        <f>'[3]（５-8）品群別人時生產性(季節調理麵) '!Q71</f>
        <v>2462.9999999999991</v>
      </c>
      <c r="R71" s="202">
        <f>'[3]（５-8）品群別人時生產性(季節調理麵) '!R71</f>
        <v>123.14999999999995</v>
      </c>
      <c r="S71" s="105">
        <f t="shared" si="33"/>
        <v>1</v>
      </c>
      <c r="T71" s="385"/>
      <c r="U71" s="105">
        <f>'[3]（５-8）品群別人時生產性(季節調理麵) '!U71</f>
        <v>20</v>
      </c>
      <c r="V71" s="202">
        <f>'[3]（５-8）品群別人時生產性(季節調理麵) '!V71</f>
        <v>2451.1409395973164</v>
      </c>
      <c r="W71" s="202">
        <f>'[3]（５-8）品群別人時生產性(季節調理麵) '!W71</f>
        <v>122.55704697986582</v>
      </c>
      <c r="X71" s="105">
        <f t="shared" si="34"/>
        <v>1</v>
      </c>
      <c r="Y71" s="385"/>
      <c r="Z71" s="105">
        <f>'[3]（５-8）品群別人時生產性(季節調理麵) '!Z71</f>
        <v>20</v>
      </c>
      <c r="AA71" s="202">
        <f>'[3]（５-8）品群別人時生產性(季節調理麵) '!AA71</f>
        <v>2516.3513513513526</v>
      </c>
      <c r="AB71" s="202">
        <f>'[3]（５-8）品群別人時生產性(季節調理麵) '!AB71</f>
        <v>125.81756756756764</v>
      </c>
      <c r="AC71" s="105">
        <f t="shared" si="35"/>
        <v>1</v>
      </c>
      <c r="AD71" s="385"/>
      <c r="AE71" s="105">
        <f>'[3]（５-8）品群別人時生產性(季節調理麵) '!AE71</f>
        <v>20</v>
      </c>
      <c r="AF71" s="202">
        <f>'[3]（５-8）品群別人時生產性(季節調理麵) '!AF71</f>
        <v>2473.1092436974777</v>
      </c>
      <c r="AG71" s="202">
        <f>'[3]（５-8）品群別人時生產性(季節調理麵) '!AG71</f>
        <v>123.65546218487388</v>
      </c>
      <c r="AH71" s="105">
        <f t="shared" si="36"/>
        <v>1</v>
      </c>
      <c r="AI71" s="385"/>
      <c r="AJ71" s="105">
        <f>'[3]（５-8）品群別人時生產性(季節調理麵) '!AJ71</f>
        <v>20</v>
      </c>
      <c r="AK71" s="202">
        <f>'[3]（５-8）品群別人時生產性(季節調理麵) '!AK71</f>
        <v>2483.6697247706438</v>
      </c>
      <c r="AL71" s="202">
        <f>'[3]（５-8）品群別人時生產性(季節調理麵) '!AL71</f>
        <v>124.1834862385322</v>
      </c>
      <c r="AM71" s="105">
        <f t="shared" si="37"/>
        <v>1</v>
      </c>
      <c r="AN71" s="385"/>
      <c r="AO71" s="105">
        <f>'[3]（５-8）品群別人時生產性(季節調理麵) '!AO71</f>
        <v>20</v>
      </c>
      <c r="AP71" s="202">
        <f>'[3]（５-8）品群別人時生產性(季節調理麵) '!AP71</f>
        <v>2432.2058823529414</v>
      </c>
      <c r="AQ71" s="202">
        <f>'[3]（５-8）品群別人時生產性(季節調理麵) '!AQ71</f>
        <v>121.61029411764707</v>
      </c>
      <c r="AR71" s="105">
        <f t="shared" si="38"/>
        <v>2</v>
      </c>
      <c r="AS71" s="385"/>
      <c r="AT71" s="105">
        <f>'[3]（５-8）品群別人時生產性(季節調理麵) '!AT71</f>
        <v>20</v>
      </c>
      <c r="AU71" s="202">
        <f>'[3]（５-8）品群別人時生產性(季節調理麵) '!AU71</f>
        <v>2419.1111111111081</v>
      </c>
      <c r="AV71" s="202">
        <f>'[3]（５-8）品群別人時生產性(季節調理麵) '!AV71</f>
        <v>120.95555555555541</v>
      </c>
      <c r="AW71" s="105">
        <f t="shared" si="39"/>
        <v>2</v>
      </c>
      <c r="AX71" s="412"/>
    </row>
    <row r="72" spans="2:50">
      <c r="B72" s="398"/>
      <c r="C72" s="105">
        <v>6</v>
      </c>
      <c r="D72" s="228"/>
      <c r="E72" s="175"/>
      <c r="F72" s="105"/>
      <c r="G72" s="202"/>
      <c r="H72" s="385"/>
      <c r="I72" s="175"/>
      <c r="J72" s="175"/>
      <c r="K72" s="202"/>
      <c r="L72" s="385"/>
      <c r="M72" s="203" t="e">
        <f>RANK(K72, K$67:$K$81)</f>
        <v>#N/A</v>
      </c>
      <c r="N72" s="387"/>
      <c r="O72" s="387"/>
      <c r="P72" s="105"/>
      <c r="Q72" s="202"/>
      <c r="R72" s="202"/>
      <c r="S72" s="105" t="e">
        <f t="shared" si="33"/>
        <v>#N/A</v>
      </c>
      <c r="T72" s="385"/>
      <c r="U72" s="105"/>
      <c r="V72" s="202"/>
      <c r="W72" s="202"/>
      <c r="X72" s="105" t="e">
        <f t="shared" si="34"/>
        <v>#N/A</v>
      </c>
      <c r="Y72" s="385"/>
      <c r="Z72" s="105"/>
      <c r="AA72" s="202"/>
      <c r="AB72" s="202"/>
      <c r="AC72" s="105" t="e">
        <f t="shared" si="35"/>
        <v>#N/A</v>
      </c>
      <c r="AD72" s="385"/>
      <c r="AE72" s="105"/>
      <c r="AF72" s="202"/>
      <c r="AG72" s="202"/>
      <c r="AH72" s="105" t="e">
        <f t="shared" si="36"/>
        <v>#N/A</v>
      </c>
      <c r="AI72" s="385"/>
      <c r="AJ72" s="105"/>
      <c r="AK72" s="202"/>
      <c r="AL72" s="202"/>
      <c r="AM72" s="105" t="e">
        <f t="shared" si="37"/>
        <v>#N/A</v>
      </c>
      <c r="AN72" s="385"/>
      <c r="AO72" s="105"/>
      <c r="AP72" s="202"/>
      <c r="AQ72" s="202"/>
      <c r="AR72" s="105" t="e">
        <f t="shared" si="38"/>
        <v>#N/A</v>
      </c>
      <c r="AS72" s="385"/>
      <c r="AT72" s="105"/>
      <c r="AU72" s="202"/>
      <c r="AV72" s="202"/>
      <c r="AW72" s="105" t="e">
        <f t="shared" si="39"/>
        <v>#N/A</v>
      </c>
      <c r="AX72" s="412"/>
    </row>
    <row r="73" spans="2:50">
      <c r="B73" s="398"/>
      <c r="C73" s="105">
        <v>7</v>
      </c>
      <c r="D73" s="228"/>
      <c r="E73" s="175"/>
      <c r="F73" s="105"/>
      <c r="G73" s="202"/>
      <c r="H73" s="385"/>
      <c r="I73" s="175"/>
      <c r="J73" s="175"/>
      <c r="K73" s="202"/>
      <c r="L73" s="385"/>
      <c r="M73" s="203" t="e">
        <f>RANK(K73, K$67:$K$81)</f>
        <v>#N/A</v>
      </c>
      <c r="N73" s="387"/>
      <c r="O73" s="387"/>
      <c r="P73" s="105"/>
      <c r="Q73" s="202"/>
      <c r="R73" s="202"/>
      <c r="S73" s="105" t="e">
        <f t="shared" si="33"/>
        <v>#N/A</v>
      </c>
      <c r="T73" s="385"/>
      <c r="U73" s="105"/>
      <c r="V73" s="202"/>
      <c r="W73" s="202"/>
      <c r="X73" s="105" t="e">
        <f t="shared" si="34"/>
        <v>#N/A</v>
      </c>
      <c r="Y73" s="385"/>
      <c r="Z73" s="105"/>
      <c r="AA73" s="202"/>
      <c r="AB73" s="202"/>
      <c r="AC73" s="105" t="e">
        <f t="shared" si="35"/>
        <v>#N/A</v>
      </c>
      <c r="AD73" s="385"/>
      <c r="AE73" s="105"/>
      <c r="AF73" s="202"/>
      <c r="AG73" s="202"/>
      <c r="AH73" s="105" t="e">
        <f t="shared" si="36"/>
        <v>#N/A</v>
      </c>
      <c r="AI73" s="385"/>
      <c r="AJ73" s="105"/>
      <c r="AK73" s="202"/>
      <c r="AL73" s="202"/>
      <c r="AM73" s="105" t="e">
        <f t="shared" si="37"/>
        <v>#N/A</v>
      </c>
      <c r="AN73" s="385"/>
      <c r="AO73" s="105"/>
      <c r="AP73" s="202"/>
      <c r="AQ73" s="202"/>
      <c r="AR73" s="105" t="e">
        <f t="shared" si="38"/>
        <v>#N/A</v>
      </c>
      <c r="AS73" s="385"/>
      <c r="AT73" s="105"/>
      <c r="AU73" s="202"/>
      <c r="AV73" s="202"/>
      <c r="AW73" s="105" t="e">
        <f t="shared" si="39"/>
        <v>#N/A</v>
      </c>
      <c r="AX73" s="412"/>
    </row>
    <row r="74" spans="2:50">
      <c r="B74" s="398"/>
      <c r="C74" s="105">
        <v>8</v>
      </c>
      <c r="D74" s="228"/>
      <c r="E74" s="175"/>
      <c r="F74" s="105"/>
      <c r="G74" s="202"/>
      <c r="H74" s="385"/>
      <c r="I74" s="175"/>
      <c r="J74" s="175"/>
      <c r="K74" s="202"/>
      <c r="L74" s="385"/>
      <c r="M74" s="203" t="e">
        <f>RANK(K74, K$67:$K$81)</f>
        <v>#N/A</v>
      </c>
      <c r="N74" s="387"/>
      <c r="O74" s="387"/>
      <c r="P74" s="105"/>
      <c r="Q74" s="202"/>
      <c r="R74" s="202"/>
      <c r="S74" s="105" t="e">
        <f t="shared" si="33"/>
        <v>#N/A</v>
      </c>
      <c r="T74" s="385"/>
      <c r="U74" s="105"/>
      <c r="V74" s="202"/>
      <c r="W74" s="202"/>
      <c r="X74" s="105" t="e">
        <f t="shared" si="34"/>
        <v>#N/A</v>
      </c>
      <c r="Y74" s="385"/>
      <c r="Z74" s="105"/>
      <c r="AA74" s="202"/>
      <c r="AB74" s="202"/>
      <c r="AC74" s="105" t="e">
        <f t="shared" si="35"/>
        <v>#N/A</v>
      </c>
      <c r="AD74" s="385"/>
      <c r="AE74" s="105"/>
      <c r="AF74" s="202"/>
      <c r="AG74" s="202"/>
      <c r="AH74" s="105" t="e">
        <f t="shared" si="36"/>
        <v>#N/A</v>
      </c>
      <c r="AI74" s="385"/>
      <c r="AJ74" s="105"/>
      <c r="AK74" s="202"/>
      <c r="AL74" s="202"/>
      <c r="AM74" s="105" t="e">
        <f t="shared" si="37"/>
        <v>#N/A</v>
      </c>
      <c r="AN74" s="385"/>
      <c r="AO74" s="105"/>
      <c r="AP74" s="202"/>
      <c r="AQ74" s="202"/>
      <c r="AR74" s="105" t="e">
        <f t="shared" si="38"/>
        <v>#N/A</v>
      </c>
      <c r="AS74" s="385"/>
      <c r="AT74" s="105"/>
      <c r="AU74" s="202"/>
      <c r="AV74" s="202"/>
      <c r="AW74" s="105" t="e">
        <f t="shared" si="39"/>
        <v>#N/A</v>
      </c>
      <c r="AX74" s="412"/>
    </row>
    <row r="75" spans="2:50">
      <c r="B75" s="398"/>
      <c r="C75" s="105">
        <v>9</v>
      </c>
      <c r="D75" s="228"/>
      <c r="E75" s="175"/>
      <c r="F75" s="105"/>
      <c r="G75" s="202"/>
      <c r="H75" s="385"/>
      <c r="I75" s="175"/>
      <c r="J75" s="175"/>
      <c r="K75" s="202"/>
      <c r="L75" s="385"/>
      <c r="M75" s="203" t="e">
        <f>RANK(K75, K$67:$K$81)</f>
        <v>#N/A</v>
      </c>
      <c r="N75" s="387"/>
      <c r="O75" s="387"/>
      <c r="P75" s="105"/>
      <c r="Q75" s="202"/>
      <c r="R75" s="202"/>
      <c r="S75" s="105" t="e">
        <f t="shared" si="33"/>
        <v>#N/A</v>
      </c>
      <c r="T75" s="385"/>
      <c r="U75" s="105"/>
      <c r="V75" s="202"/>
      <c r="W75" s="202"/>
      <c r="X75" s="105" t="e">
        <f t="shared" si="34"/>
        <v>#N/A</v>
      </c>
      <c r="Y75" s="385"/>
      <c r="Z75" s="105"/>
      <c r="AA75" s="202"/>
      <c r="AB75" s="202"/>
      <c r="AC75" s="105" t="e">
        <f t="shared" si="35"/>
        <v>#N/A</v>
      </c>
      <c r="AD75" s="385"/>
      <c r="AE75" s="105"/>
      <c r="AF75" s="202"/>
      <c r="AG75" s="202"/>
      <c r="AH75" s="105" t="e">
        <f t="shared" si="36"/>
        <v>#N/A</v>
      </c>
      <c r="AI75" s="385"/>
      <c r="AJ75" s="105"/>
      <c r="AK75" s="202"/>
      <c r="AL75" s="202"/>
      <c r="AM75" s="105" t="e">
        <f t="shared" si="37"/>
        <v>#N/A</v>
      </c>
      <c r="AN75" s="385"/>
      <c r="AO75" s="105"/>
      <c r="AP75" s="202"/>
      <c r="AQ75" s="202"/>
      <c r="AR75" s="105" t="e">
        <f t="shared" si="38"/>
        <v>#N/A</v>
      </c>
      <c r="AS75" s="385"/>
      <c r="AT75" s="105"/>
      <c r="AU75" s="202"/>
      <c r="AV75" s="202"/>
      <c r="AW75" s="105" t="e">
        <f t="shared" si="39"/>
        <v>#N/A</v>
      </c>
      <c r="AX75" s="412"/>
    </row>
    <row r="76" spans="2:50">
      <c r="B76" s="398"/>
      <c r="C76" s="105">
        <v>10</v>
      </c>
      <c r="D76" s="228"/>
      <c r="E76" s="175"/>
      <c r="F76" s="105"/>
      <c r="G76" s="202"/>
      <c r="H76" s="385"/>
      <c r="I76" s="175"/>
      <c r="J76" s="175"/>
      <c r="K76" s="202"/>
      <c r="L76" s="385"/>
      <c r="M76" s="203" t="e">
        <f>RANK(K76, K$67:$K$81)</f>
        <v>#N/A</v>
      </c>
      <c r="N76" s="387"/>
      <c r="O76" s="387"/>
      <c r="P76" s="105"/>
      <c r="Q76" s="105"/>
      <c r="R76" s="202"/>
      <c r="S76" s="105" t="e">
        <f t="shared" si="33"/>
        <v>#N/A</v>
      </c>
      <c r="T76" s="385"/>
      <c r="U76" s="105"/>
      <c r="V76" s="105"/>
      <c r="W76" s="202"/>
      <c r="X76" s="105" t="e">
        <f t="shared" si="34"/>
        <v>#N/A</v>
      </c>
      <c r="Y76" s="385"/>
      <c r="Z76" s="105"/>
      <c r="AA76" s="105"/>
      <c r="AB76" s="202"/>
      <c r="AC76" s="105" t="e">
        <f t="shared" si="35"/>
        <v>#N/A</v>
      </c>
      <c r="AD76" s="385"/>
      <c r="AE76" s="105"/>
      <c r="AF76" s="105"/>
      <c r="AG76" s="202"/>
      <c r="AH76" s="105" t="e">
        <f t="shared" si="36"/>
        <v>#N/A</v>
      </c>
      <c r="AI76" s="385"/>
      <c r="AJ76" s="105"/>
      <c r="AK76" s="105"/>
      <c r="AL76" s="202"/>
      <c r="AM76" s="105" t="e">
        <f t="shared" si="37"/>
        <v>#N/A</v>
      </c>
      <c r="AN76" s="385"/>
      <c r="AO76" s="105"/>
      <c r="AP76" s="105"/>
      <c r="AQ76" s="202"/>
      <c r="AR76" s="105" t="e">
        <f t="shared" si="38"/>
        <v>#N/A</v>
      </c>
      <c r="AS76" s="385"/>
      <c r="AT76" s="105"/>
      <c r="AU76" s="105"/>
      <c r="AV76" s="202"/>
      <c r="AW76" s="105" t="e">
        <f t="shared" si="39"/>
        <v>#N/A</v>
      </c>
      <c r="AX76" s="412"/>
    </row>
    <row r="77" spans="2:50">
      <c r="B77" s="398"/>
      <c r="C77" s="105">
        <v>11</v>
      </c>
      <c r="D77" s="228"/>
      <c r="E77" s="175"/>
      <c r="F77" s="105"/>
      <c r="G77" s="202"/>
      <c r="H77" s="385"/>
      <c r="I77" s="105"/>
      <c r="J77" s="105"/>
      <c r="K77" s="105"/>
      <c r="L77" s="385"/>
      <c r="M77" s="203" t="e">
        <f>RANK(K77, K$67:$K$81)</f>
        <v>#N/A</v>
      </c>
      <c r="N77" s="387"/>
      <c r="O77" s="387"/>
      <c r="P77" s="105"/>
      <c r="Q77" s="105"/>
      <c r="R77" s="105"/>
      <c r="S77" s="105" t="e">
        <f t="shared" si="33"/>
        <v>#N/A</v>
      </c>
      <c r="T77" s="385"/>
      <c r="U77" s="105"/>
      <c r="V77" s="105"/>
      <c r="W77" s="105"/>
      <c r="X77" s="105" t="e">
        <f t="shared" si="34"/>
        <v>#N/A</v>
      </c>
      <c r="Y77" s="385"/>
      <c r="Z77" s="105"/>
      <c r="AA77" s="105"/>
      <c r="AB77" s="105"/>
      <c r="AC77" s="105" t="e">
        <f t="shared" si="35"/>
        <v>#N/A</v>
      </c>
      <c r="AD77" s="385"/>
      <c r="AE77" s="105"/>
      <c r="AF77" s="105"/>
      <c r="AG77" s="105"/>
      <c r="AH77" s="105" t="e">
        <f t="shared" si="36"/>
        <v>#N/A</v>
      </c>
      <c r="AI77" s="385"/>
      <c r="AJ77" s="105"/>
      <c r="AK77" s="105"/>
      <c r="AL77" s="105"/>
      <c r="AM77" s="105" t="e">
        <f t="shared" si="37"/>
        <v>#N/A</v>
      </c>
      <c r="AN77" s="385"/>
      <c r="AO77" s="105"/>
      <c r="AP77" s="105"/>
      <c r="AQ77" s="105"/>
      <c r="AR77" s="105" t="e">
        <f t="shared" si="38"/>
        <v>#N/A</v>
      </c>
      <c r="AS77" s="385"/>
      <c r="AT77" s="105"/>
      <c r="AU77" s="105"/>
      <c r="AV77" s="105"/>
      <c r="AW77" s="105" t="e">
        <f t="shared" si="39"/>
        <v>#N/A</v>
      </c>
      <c r="AX77" s="412"/>
    </row>
    <row r="78" spans="2:50">
      <c r="B78" s="398"/>
      <c r="C78" s="105">
        <v>12</v>
      </c>
      <c r="D78" s="228"/>
      <c r="E78" s="175"/>
      <c r="F78" s="105"/>
      <c r="G78" s="202"/>
      <c r="H78" s="385"/>
      <c r="I78" s="105"/>
      <c r="J78" s="105"/>
      <c r="K78" s="105"/>
      <c r="L78" s="385"/>
      <c r="M78" s="203" t="e">
        <f>RANK(K78, K$67:$K$81)</f>
        <v>#N/A</v>
      </c>
      <c r="N78" s="387"/>
      <c r="O78" s="387"/>
      <c r="P78" s="105"/>
      <c r="Q78" s="105"/>
      <c r="R78" s="105"/>
      <c r="S78" s="105" t="e">
        <f t="shared" si="33"/>
        <v>#N/A</v>
      </c>
      <c r="T78" s="385"/>
      <c r="U78" s="105"/>
      <c r="V78" s="105"/>
      <c r="W78" s="105"/>
      <c r="X78" s="105" t="e">
        <f t="shared" si="34"/>
        <v>#N/A</v>
      </c>
      <c r="Y78" s="385"/>
      <c r="Z78" s="105"/>
      <c r="AA78" s="105"/>
      <c r="AB78" s="105"/>
      <c r="AC78" s="105" t="e">
        <f t="shared" si="35"/>
        <v>#N/A</v>
      </c>
      <c r="AD78" s="385"/>
      <c r="AE78" s="105"/>
      <c r="AF78" s="105"/>
      <c r="AG78" s="105"/>
      <c r="AH78" s="105" t="e">
        <f t="shared" si="36"/>
        <v>#N/A</v>
      </c>
      <c r="AI78" s="385"/>
      <c r="AJ78" s="105"/>
      <c r="AK78" s="105"/>
      <c r="AL78" s="105"/>
      <c r="AM78" s="105" t="e">
        <f t="shared" si="37"/>
        <v>#N/A</v>
      </c>
      <c r="AN78" s="385"/>
      <c r="AO78" s="105"/>
      <c r="AP78" s="105"/>
      <c r="AQ78" s="105"/>
      <c r="AR78" s="105" t="e">
        <f t="shared" si="38"/>
        <v>#N/A</v>
      </c>
      <c r="AS78" s="385"/>
      <c r="AT78" s="105"/>
      <c r="AU78" s="105"/>
      <c r="AV78" s="105"/>
      <c r="AW78" s="105" t="e">
        <f t="shared" si="39"/>
        <v>#N/A</v>
      </c>
      <c r="AX78" s="412"/>
    </row>
    <row r="79" spans="2:50">
      <c r="B79" s="398"/>
      <c r="C79" s="105">
        <v>13</v>
      </c>
      <c r="D79" s="228"/>
      <c r="E79" s="175"/>
      <c r="F79" s="105"/>
      <c r="G79" s="202"/>
      <c r="H79" s="385"/>
      <c r="I79" s="105"/>
      <c r="J79" s="105"/>
      <c r="K79" s="105"/>
      <c r="L79" s="385"/>
      <c r="M79" s="203" t="e">
        <f>RANK(K79, K$67:$K$81)</f>
        <v>#N/A</v>
      </c>
      <c r="N79" s="387"/>
      <c r="O79" s="387"/>
      <c r="P79" s="105"/>
      <c r="Q79" s="105"/>
      <c r="R79" s="105"/>
      <c r="S79" s="105" t="e">
        <f t="shared" si="33"/>
        <v>#N/A</v>
      </c>
      <c r="T79" s="385"/>
      <c r="U79" s="105"/>
      <c r="V79" s="105"/>
      <c r="W79" s="105"/>
      <c r="X79" s="105" t="e">
        <f t="shared" si="34"/>
        <v>#N/A</v>
      </c>
      <c r="Y79" s="385"/>
      <c r="Z79" s="105"/>
      <c r="AA79" s="105"/>
      <c r="AB79" s="105"/>
      <c r="AC79" s="105" t="e">
        <f t="shared" si="35"/>
        <v>#N/A</v>
      </c>
      <c r="AD79" s="385"/>
      <c r="AE79" s="105"/>
      <c r="AF79" s="105"/>
      <c r="AG79" s="105"/>
      <c r="AH79" s="105" t="e">
        <f t="shared" si="36"/>
        <v>#N/A</v>
      </c>
      <c r="AI79" s="385"/>
      <c r="AJ79" s="105"/>
      <c r="AK79" s="105"/>
      <c r="AL79" s="105"/>
      <c r="AM79" s="105" t="e">
        <f t="shared" si="37"/>
        <v>#N/A</v>
      </c>
      <c r="AN79" s="385"/>
      <c r="AO79" s="105"/>
      <c r="AP79" s="105"/>
      <c r="AQ79" s="105"/>
      <c r="AR79" s="105" t="e">
        <f t="shared" si="38"/>
        <v>#N/A</v>
      </c>
      <c r="AS79" s="385"/>
      <c r="AT79" s="105"/>
      <c r="AU79" s="105"/>
      <c r="AV79" s="105"/>
      <c r="AW79" s="105" t="e">
        <f t="shared" si="39"/>
        <v>#N/A</v>
      </c>
      <c r="AX79" s="412"/>
    </row>
    <row r="80" spans="2:50">
      <c r="B80" s="398"/>
      <c r="C80" s="105">
        <v>14</v>
      </c>
      <c r="D80" s="228"/>
      <c r="E80" s="175"/>
      <c r="F80" s="105"/>
      <c r="G80" s="202"/>
      <c r="H80" s="385"/>
      <c r="I80" s="105"/>
      <c r="J80" s="105"/>
      <c r="K80" s="105"/>
      <c r="L80" s="385"/>
      <c r="M80" s="203" t="e">
        <f>RANK(K80, K$67:$K$81)</f>
        <v>#N/A</v>
      </c>
      <c r="N80" s="387"/>
      <c r="O80" s="387"/>
      <c r="P80" s="105"/>
      <c r="Q80" s="105"/>
      <c r="R80" s="105"/>
      <c r="S80" s="105" t="e">
        <f t="shared" si="33"/>
        <v>#N/A</v>
      </c>
      <c r="T80" s="385"/>
      <c r="U80" s="105"/>
      <c r="V80" s="105"/>
      <c r="W80" s="105"/>
      <c r="X80" s="105" t="e">
        <f t="shared" si="34"/>
        <v>#N/A</v>
      </c>
      <c r="Y80" s="385"/>
      <c r="Z80" s="105"/>
      <c r="AA80" s="105"/>
      <c r="AB80" s="105"/>
      <c r="AC80" s="105" t="e">
        <f t="shared" si="35"/>
        <v>#N/A</v>
      </c>
      <c r="AD80" s="385"/>
      <c r="AE80" s="105"/>
      <c r="AF80" s="105"/>
      <c r="AG80" s="105"/>
      <c r="AH80" s="105" t="e">
        <f t="shared" si="36"/>
        <v>#N/A</v>
      </c>
      <c r="AI80" s="385"/>
      <c r="AJ80" s="105"/>
      <c r="AK80" s="105"/>
      <c r="AL80" s="105"/>
      <c r="AM80" s="105" t="e">
        <f t="shared" si="37"/>
        <v>#N/A</v>
      </c>
      <c r="AN80" s="385"/>
      <c r="AO80" s="105"/>
      <c r="AP80" s="105"/>
      <c r="AQ80" s="105"/>
      <c r="AR80" s="105" t="e">
        <f t="shared" si="38"/>
        <v>#N/A</v>
      </c>
      <c r="AS80" s="385"/>
      <c r="AT80" s="105"/>
      <c r="AU80" s="105"/>
      <c r="AV80" s="105"/>
      <c r="AW80" s="105" t="e">
        <f t="shared" si="39"/>
        <v>#N/A</v>
      </c>
      <c r="AX80" s="412"/>
    </row>
    <row r="81" spans="2:50">
      <c r="B81" s="398"/>
      <c r="C81" s="105">
        <v>15</v>
      </c>
      <c r="D81" s="228"/>
      <c r="E81" s="175"/>
      <c r="F81" s="105"/>
      <c r="G81" s="202"/>
      <c r="H81" s="386"/>
      <c r="I81" s="105"/>
      <c r="J81" s="105"/>
      <c r="K81" s="105"/>
      <c r="L81" s="386"/>
      <c r="M81" s="175" t="e">
        <f>RANK(K81, K$67:$K$81)</f>
        <v>#N/A</v>
      </c>
      <c r="N81" s="387"/>
      <c r="O81" s="387"/>
      <c r="P81" s="105"/>
      <c r="Q81" s="105"/>
      <c r="R81" s="105"/>
      <c r="S81" s="105" t="e">
        <f t="shared" si="33"/>
        <v>#N/A</v>
      </c>
      <c r="T81" s="386"/>
      <c r="U81" s="105"/>
      <c r="V81" s="105"/>
      <c r="W81" s="105"/>
      <c r="X81" s="105" t="e">
        <f t="shared" si="34"/>
        <v>#N/A</v>
      </c>
      <c r="Y81" s="386"/>
      <c r="Z81" s="105"/>
      <c r="AA81" s="105"/>
      <c r="AB81" s="105"/>
      <c r="AC81" s="105" t="e">
        <f t="shared" si="35"/>
        <v>#N/A</v>
      </c>
      <c r="AD81" s="386"/>
      <c r="AE81" s="105"/>
      <c r="AF81" s="105"/>
      <c r="AG81" s="105"/>
      <c r="AH81" s="105" t="e">
        <f t="shared" si="36"/>
        <v>#N/A</v>
      </c>
      <c r="AI81" s="386"/>
      <c r="AJ81" s="105"/>
      <c r="AK81" s="105"/>
      <c r="AL81" s="105"/>
      <c r="AM81" s="105" t="e">
        <f t="shared" si="37"/>
        <v>#N/A</v>
      </c>
      <c r="AN81" s="386"/>
      <c r="AO81" s="105"/>
      <c r="AP81" s="105"/>
      <c r="AQ81" s="105"/>
      <c r="AR81" s="105" t="e">
        <f t="shared" si="38"/>
        <v>#N/A</v>
      </c>
      <c r="AS81" s="386"/>
      <c r="AT81" s="105"/>
      <c r="AU81" s="105"/>
      <c r="AV81" s="105"/>
      <c r="AW81" s="105" t="e">
        <f t="shared" si="39"/>
        <v>#N/A</v>
      </c>
      <c r="AX81" s="412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40">Z82+1</f>
        <v>45898</v>
      </c>
      <c r="AF82" s="395"/>
      <c r="AG82" s="395"/>
      <c r="AH82" s="395"/>
      <c r="AI82" s="396"/>
      <c r="AJ82" s="394">
        <f t="shared" ref="AJ82" si="41">AE82+1</f>
        <v>45899</v>
      </c>
      <c r="AK82" s="395"/>
      <c r="AL82" s="395"/>
      <c r="AM82" s="395"/>
      <c r="AN82" s="396"/>
      <c r="AO82" s="394">
        <f t="shared" ref="AO82" si="42">AJ82+1</f>
        <v>45900</v>
      </c>
      <c r="AP82" s="395"/>
      <c r="AQ82" s="395"/>
      <c r="AR82" s="395"/>
      <c r="AS82" s="396"/>
      <c r="AT82" s="394">
        <f t="shared" ref="AT82" si="43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387" t="s">
        <v>311</v>
      </c>
      <c r="C87" s="105">
        <v>1</v>
      </c>
      <c r="D87" s="228" t="s">
        <v>314</v>
      </c>
      <c r="E87" s="175">
        <v>21</v>
      </c>
      <c r="F87" s="105">
        <v>2400</v>
      </c>
      <c r="G87" s="202">
        <v>114.28571428571429</v>
      </c>
      <c r="H87" s="384">
        <f>AVERAGE(G87:G101)</f>
        <v>128.05012531328322</v>
      </c>
      <c r="I87" s="175">
        <f>AVERAGE(P87,U87,Z87,AE87,AJ87,AO87,AT87)</f>
        <v>21</v>
      </c>
      <c r="J87" s="175">
        <f>AVERAGE(Q87,V87,AA87,AF87,AK87,AP87,AU87)</f>
        <v>2182.5364054566089</v>
      </c>
      <c r="K87" s="202">
        <f>AVERAGE(R87,W87,AB87,AG87,AL87,AQ87,AV87)</f>
        <v>103.93030502174327</v>
      </c>
      <c r="L87" s="384">
        <f>IFERROR(AVERAGE(K87:K101),"-")</f>
        <v>116.96724107043774</v>
      </c>
      <c r="M87" s="203">
        <f>RANK(K87, K$87:$K$101)</f>
        <v>5</v>
      </c>
      <c r="N87" s="387"/>
      <c r="O87" s="387"/>
      <c r="P87" s="105">
        <v>21</v>
      </c>
      <c r="Q87" s="202">
        <v>2213.1645569620268</v>
      </c>
      <c r="R87" s="202">
        <v>105.38878842676318</v>
      </c>
      <c r="S87" s="105">
        <f>RANK(R87, R$87:R$101)</f>
        <v>5</v>
      </c>
      <c r="T87" s="384">
        <f>AVERAGE(R87:R101)</f>
        <v>117.39670851947876</v>
      </c>
      <c r="U87" s="105">
        <v>21</v>
      </c>
      <c r="V87" s="202">
        <v>2151.9512195121943</v>
      </c>
      <c r="W87" s="202">
        <v>102.47386759581877</v>
      </c>
      <c r="X87" s="105">
        <f>RANK(W87, W$87:W$101)</f>
        <v>5</v>
      </c>
      <c r="Y87" s="384">
        <f>AVERAGE(W87:W101)</f>
        <v>116.29588132283727</v>
      </c>
      <c r="Z87" s="105">
        <v>21</v>
      </c>
      <c r="AA87" s="202">
        <v>2199.2307692307704</v>
      </c>
      <c r="AB87" s="202">
        <v>104.72527472527479</v>
      </c>
      <c r="AC87" s="105">
        <f>RANK(AB87, AB$87:AB$101)</f>
        <v>5</v>
      </c>
      <c r="AD87" s="384">
        <f>AVERAGE(AB87:AB101)</f>
        <v>116.29529348700078</v>
      </c>
      <c r="AE87" s="105">
        <v>21</v>
      </c>
      <c r="AF87" s="202">
        <v>2196.3157894736851</v>
      </c>
      <c r="AG87" s="202">
        <v>104.58646616541357</v>
      </c>
      <c r="AH87" s="105">
        <f>RANK(AG87, AG$87:AG$101)</f>
        <v>5</v>
      </c>
      <c r="AI87" s="384">
        <f>AVERAGE(AG87:AG101)</f>
        <v>117.3333651587587</v>
      </c>
      <c r="AJ87" s="105">
        <v>21</v>
      </c>
      <c r="AK87" s="202">
        <v>2184.8000000000011</v>
      </c>
      <c r="AL87" s="202">
        <v>104.03809523809529</v>
      </c>
      <c r="AM87" s="105">
        <f>RANK(AL87, AL$87:AL$101)</f>
        <v>5</v>
      </c>
      <c r="AN87" s="384">
        <f>AVERAGE(AL87:AL101)</f>
        <v>117.89282913165266</v>
      </c>
      <c r="AO87" s="105">
        <v>21</v>
      </c>
      <c r="AP87" s="202">
        <v>2149.7560975609749</v>
      </c>
      <c r="AQ87" s="202">
        <v>102.36933797909404</v>
      </c>
      <c r="AR87" s="105">
        <f>RANK(AQ87, AQ$87:AQ$101)</f>
        <v>5</v>
      </c>
      <c r="AS87" s="384">
        <f>AVERAGE(AQ87:AQ101)</f>
        <v>116.58936880289835</v>
      </c>
      <c r="AT87" s="105"/>
      <c r="AU87" s="202"/>
      <c r="AV87" s="202"/>
      <c r="AW87" s="105" t="e">
        <f>RANK(AV87, AV$87:AV$101)</f>
        <v>#N/A</v>
      </c>
      <c r="AX87" s="412" t="e">
        <f>AVERAGE(AV87:AV101)</f>
        <v>#DIV/0!</v>
      </c>
    </row>
    <row r="88" spans="2:50">
      <c r="B88" s="398"/>
      <c r="C88" s="105">
        <v>2</v>
      </c>
      <c r="D88" s="228" t="s">
        <v>315</v>
      </c>
      <c r="E88" s="175">
        <v>18</v>
      </c>
      <c r="F88" s="105">
        <v>2571</v>
      </c>
      <c r="G88" s="202">
        <v>142.83333333333334</v>
      </c>
      <c r="H88" s="385"/>
      <c r="I88" s="175">
        <f t="shared" ref="I88:K91" si="44">AVERAGE(P88,U88,Z88,AE88,AJ88,AO88,AT88)</f>
        <v>20</v>
      </c>
      <c r="J88" s="175">
        <f t="shared" si="44"/>
        <v>2386.6183430841561</v>
      </c>
      <c r="K88" s="202">
        <f t="shared" si="44"/>
        <v>119.3309171542078</v>
      </c>
      <c r="L88" s="385"/>
      <c r="M88" s="203">
        <f>RANK(K88, K$87:$K$101)</f>
        <v>3</v>
      </c>
      <c r="N88" s="387"/>
      <c r="O88" s="387"/>
      <c r="P88" s="105">
        <v>20</v>
      </c>
      <c r="Q88" s="202">
        <v>2368.8000000000011</v>
      </c>
      <c r="R88" s="202">
        <v>118.44000000000005</v>
      </c>
      <c r="S88" s="105">
        <f t="shared" ref="S88:S101" si="45">RANK(R88, R$87:R$101)</f>
        <v>3</v>
      </c>
      <c r="T88" s="385"/>
      <c r="U88" s="105">
        <v>20</v>
      </c>
      <c r="V88" s="202">
        <v>2402.4324324324334</v>
      </c>
      <c r="W88" s="202">
        <v>120.12162162162167</v>
      </c>
      <c r="X88" s="105">
        <f t="shared" ref="X88:X101" si="46">RANK(W88, W$87:W$101)</f>
        <v>3</v>
      </c>
      <c r="Y88" s="385"/>
      <c r="Z88" s="105">
        <v>20</v>
      </c>
      <c r="AA88" s="202">
        <v>2361.428571428572</v>
      </c>
      <c r="AB88" s="202">
        <v>118.0714285714286</v>
      </c>
      <c r="AC88" s="105">
        <f t="shared" ref="AC88:AC101" si="47">RANK(AB88, AB$87:AB$101)</f>
        <v>3</v>
      </c>
      <c r="AD88" s="385"/>
      <c r="AE88" s="105">
        <v>20</v>
      </c>
      <c r="AF88" s="202">
        <v>2398.2089552238804</v>
      </c>
      <c r="AG88" s="202">
        <v>119.91044776119402</v>
      </c>
      <c r="AH88" s="105">
        <f t="shared" ref="AH88:AH101" si="48">RANK(AG88, AG$87:AG$101)</f>
        <v>3</v>
      </c>
      <c r="AI88" s="385"/>
      <c r="AJ88" s="105">
        <v>20</v>
      </c>
      <c r="AK88" s="202">
        <v>2355.8823529411766</v>
      </c>
      <c r="AL88" s="202">
        <v>117.79411764705883</v>
      </c>
      <c r="AM88" s="105">
        <f t="shared" ref="AM88:AM101" si="49">RANK(AL88, AL$87:AL$101)</f>
        <v>3</v>
      </c>
      <c r="AN88" s="385"/>
      <c r="AO88" s="105">
        <v>20</v>
      </c>
      <c r="AP88" s="202">
        <v>2432.9577464788736</v>
      </c>
      <c r="AQ88" s="202">
        <v>121.64788732394368</v>
      </c>
      <c r="AR88" s="105">
        <f t="shared" ref="AR88:AR101" si="50">RANK(AQ88, AQ$87:AQ$101)</f>
        <v>2</v>
      </c>
      <c r="AS88" s="385"/>
      <c r="AT88" s="105"/>
      <c r="AU88" s="202"/>
      <c r="AV88" s="202"/>
      <c r="AW88" s="105" t="e">
        <f t="shared" ref="AW88:AW101" si="51">RANK(AV88, AV$87:AV$101)</f>
        <v>#N/A</v>
      </c>
      <c r="AX88" s="412"/>
    </row>
    <row r="89" spans="2:50">
      <c r="B89" s="398"/>
      <c r="C89" s="105">
        <v>3</v>
      </c>
      <c r="D89" s="228" t="s">
        <v>316</v>
      </c>
      <c r="E89" s="175">
        <v>20</v>
      </c>
      <c r="F89" s="105">
        <v>2250</v>
      </c>
      <c r="G89" s="202">
        <v>112.5</v>
      </c>
      <c r="H89" s="385"/>
      <c r="I89" s="175">
        <f t="shared" si="44"/>
        <v>20</v>
      </c>
      <c r="J89" s="175">
        <f t="shared" si="44"/>
        <v>2282.1896551724135</v>
      </c>
      <c r="K89" s="202">
        <f t="shared" si="44"/>
        <v>114.10948275862069</v>
      </c>
      <c r="L89" s="385"/>
      <c r="M89" s="203">
        <f>RANK(K89, K$87:$K$101)</f>
        <v>4</v>
      </c>
      <c r="N89" s="387"/>
      <c r="O89" s="387"/>
      <c r="P89" s="105">
        <v>20</v>
      </c>
      <c r="Q89" s="202">
        <v>2277.8571428571445</v>
      </c>
      <c r="R89" s="202">
        <v>113.89285714285722</v>
      </c>
      <c r="S89" s="105">
        <f t="shared" si="45"/>
        <v>4</v>
      </c>
      <c r="T89" s="385"/>
      <c r="U89" s="105">
        <v>20</v>
      </c>
      <c r="V89" s="202">
        <v>2279.9999999999991</v>
      </c>
      <c r="W89" s="202">
        <v>113.99999999999996</v>
      </c>
      <c r="X89" s="105">
        <f t="shared" si="46"/>
        <v>4</v>
      </c>
      <c r="Y89" s="385"/>
      <c r="Z89" s="105">
        <v>20</v>
      </c>
      <c r="AA89" s="202">
        <v>2203.9999999999986</v>
      </c>
      <c r="AB89" s="202">
        <v>110.19999999999993</v>
      </c>
      <c r="AC89" s="105">
        <f t="shared" si="47"/>
        <v>4</v>
      </c>
      <c r="AD89" s="385"/>
      <c r="AE89" s="105">
        <v>20</v>
      </c>
      <c r="AF89" s="202">
        <v>2297.1428571428587</v>
      </c>
      <c r="AG89" s="202">
        <v>114.85714285714293</v>
      </c>
      <c r="AH89" s="105">
        <f t="shared" si="48"/>
        <v>4</v>
      </c>
      <c r="AI89" s="385"/>
      <c r="AJ89" s="105">
        <v>20</v>
      </c>
      <c r="AK89" s="202">
        <v>2320.0000000000009</v>
      </c>
      <c r="AL89" s="202">
        <v>116.00000000000004</v>
      </c>
      <c r="AM89" s="105">
        <f t="shared" si="49"/>
        <v>4</v>
      </c>
      <c r="AN89" s="385"/>
      <c r="AO89" s="105">
        <v>20</v>
      </c>
      <c r="AP89" s="202">
        <v>2314.137931034481</v>
      </c>
      <c r="AQ89" s="202">
        <v>115.70689655172404</v>
      </c>
      <c r="AR89" s="105">
        <f t="shared" si="50"/>
        <v>4</v>
      </c>
      <c r="AS89" s="385"/>
      <c r="AT89" s="105"/>
      <c r="AU89" s="202"/>
      <c r="AV89" s="202"/>
      <c r="AW89" s="105" t="e">
        <f t="shared" si="51"/>
        <v>#N/A</v>
      </c>
      <c r="AX89" s="412"/>
    </row>
    <row r="90" spans="2:50">
      <c r="B90" s="398"/>
      <c r="C90" s="105">
        <v>4</v>
      </c>
      <c r="D90" s="228" t="s">
        <v>317</v>
      </c>
      <c r="E90" s="175">
        <v>19</v>
      </c>
      <c r="F90" s="105">
        <v>2571</v>
      </c>
      <c r="G90" s="202">
        <v>135.31578947368422</v>
      </c>
      <c r="H90" s="385"/>
      <c r="I90" s="175">
        <f t="shared" si="44"/>
        <v>20</v>
      </c>
      <c r="J90" s="175">
        <f t="shared" si="44"/>
        <v>2476.6447905097129</v>
      </c>
      <c r="K90" s="202">
        <f t="shared" si="44"/>
        <v>123.83223952548563</v>
      </c>
      <c r="L90" s="385"/>
      <c r="M90" s="203">
        <f>RANK(K90, K$87:$K$101)</f>
        <v>1</v>
      </c>
      <c r="N90" s="387"/>
      <c r="O90" s="387"/>
      <c r="P90" s="105">
        <v>20</v>
      </c>
      <c r="Q90" s="202">
        <v>2496.3829787234044</v>
      </c>
      <c r="R90" s="202">
        <v>124.81914893617022</v>
      </c>
      <c r="S90" s="105">
        <f t="shared" si="45"/>
        <v>1</v>
      </c>
      <c r="T90" s="385"/>
      <c r="U90" s="105">
        <v>20</v>
      </c>
      <c r="V90" s="202">
        <v>2479.1489361702133</v>
      </c>
      <c r="W90" s="202">
        <v>123.95744680851067</v>
      </c>
      <c r="X90" s="105">
        <f t="shared" si="46"/>
        <v>1</v>
      </c>
      <c r="Y90" s="385"/>
      <c r="Z90" s="105">
        <v>20</v>
      </c>
      <c r="AA90" s="202">
        <v>2448.1318681318662</v>
      </c>
      <c r="AB90" s="202">
        <v>122.40659340659332</v>
      </c>
      <c r="AC90" s="105">
        <f t="shared" si="47"/>
        <v>2</v>
      </c>
      <c r="AD90" s="385"/>
      <c r="AE90" s="105">
        <v>20</v>
      </c>
      <c r="AF90" s="202">
        <v>2503.9024390243894</v>
      </c>
      <c r="AG90" s="202">
        <v>125.19512195121948</v>
      </c>
      <c r="AH90" s="105">
        <f t="shared" si="48"/>
        <v>1</v>
      </c>
      <c r="AI90" s="385"/>
      <c r="AJ90" s="105">
        <v>20</v>
      </c>
      <c r="AK90" s="202">
        <v>2506.5882352941171</v>
      </c>
      <c r="AL90" s="202">
        <v>125.32941176470585</v>
      </c>
      <c r="AM90" s="105">
        <f t="shared" si="49"/>
        <v>2</v>
      </c>
      <c r="AN90" s="385"/>
      <c r="AO90" s="105">
        <v>20</v>
      </c>
      <c r="AP90" s="202">
        <v>2425.7142857142858</v>
      </c>
      <c r="AQ90" s="202">
        <v>121.28571428571429</v>
      </c>
      <c r="AR90" s="105">
        <f t="shared" si="50"/>
        <v>3</v>
      </c>
      <c r="AS90" s="385"/>
      <c r="AT90" s="105"/>
      <c r="AU90" s="202"/>
      <c r="AV90" s="202"/>
      <c r="AW90" s="105" t="e">
        <f t="shared" si="51"/>
        <v>#N/A</v>
      </c>
      <c r="AX90" s="412"/>
    </row>
    <row r="91" spans="2:50">
      <c r="B91" s="398"/>
      <c r="C91" s="105">
        <v>5</v>
      </c>
      <c r="D91" s="228" t="s">
        <v>318</v>
      </c>
      <c r="E91" s="175">
        <v>19</v>
      </c>
      <c r="F91" s="105">
        <v>2571</v>
      </c>
      <c r="G91" s="202">
        <v>135.31578947368422</v>
      </c>
      <c r="H91" s="385"/>
      <c r="I91" s="175">
        <f t="shared" si="44"/>
        <v>20</v>
      </c>
      <c r="J91" s="175">
        <f t="shared" si="44"/>
        <v>2472.665217842627</v>
      </c>
      <c r="K91" s="202">
        <f t="shared" si="44"/>
        <v>123.63326089213137</v>
      </c>
      <c r="L91" s="385"/>
      <c r="M91" s="203">
        <f>RANK(K91, K$87:$K$101)</f>
        <v>2</v>
      </c>
      <c r="N91" s="387"/>
      <c r="O91" s="387"/>
      <c r="P91" s="105">
        <v>20</v>
      </c>
      <c r="Q91" s="202">
        <v>2488.8549618320612</v>
      </c>
      <c r="R91" s="202">
        <v>124.44274809160306</v>
      </c>
      <c r="S91" s="105">
        <f t="shared" si="45"/>
        <v>2</v>
      </c>
      <c r="T91" s="385"/>
      <c r="U91" s="105">
        <v>20</v>
      </c>
      <c r="V91" s="202">
        <v>2418.5294117647063</v>
      </c>
      <c r="W91" s="202">
        <v>120.92647058823532</v>
      </c>
      <c r="X91" s="105">
        <f t="shared" si="46"/>
        <v>2</v>
      </c>
      <c r="Y91" s="385"/>
      <c r="Z91" s="105">
        <v>20</v>
      </c>
      <c r="AA91" s="202">
        <v>2521.4634146341455</v>
      </c>
      <c r="AB91" s="202">
        <v>126.07317073170728</v>
      </c>
      <c r="AC91" s="105">
        <f t="shared" si="47"/>
        <v>1</v>
      </c>
      <c r="AD91" s="385"/>
      <c r="AE91" s="105">
        <v>20</v>
      </c>
      <c r="AF91" s="202">
        <v>2442.3529411764694</v>
      </c>
      <c r="AG91" s="202">
        <v>122.11764705882347</v>
      </c>
      <c r="AH91" s="105">
        <f t="shared" si="48"/>
        <v>2</v>
      </c>
      <c r="AI91" s="385"/>
      <c r="AJ91" s="105">
        <v>20</v>
      </c>
      <c r="AK91" s="202">
        <v>2526.050420168066</v>
      </c>
      <c r="AL91" s="202">
        <v>126.3025210084033</v>
      </c>
      <c r="AM91" s="105">
        <f t="shared" si="49"/>
        <v>1</v>
      </c>
      <c r="AN91" s="385"/>
      <c r="AO91" s="105">
        <v>20</v>
      </c>
      <c r="AP91" s="202">
        <v>2438.7401574803143</v>
      </c>
      <c r="AQ91" s="202">
        <v>121.93700787401572</v>
      </c>
      <c r="AR91" s="105">
        <f t="shared" si="50"/>
        <v>1</v>
      </c>
      <c r="AS91" s="385"/>
      <c r="AT91" s="105"/>
      <c r="AU91" s="202"/>
      <c r="AV91" s="202"/>
      <c r="AW91" s="105" t="e">
        <f t="shared" si="51"/>
        <v>#N/A</v>
      </c>
      <c r="AX91" s="412"/>
    </row>
    <row r="92" spans="2:50">
      <c r="B92" s="398"/>
      <c r="C92" s="105">
        <v>6</v>
      </c>
      <c r="D92" s="228"/>
      <c r="E92" s="175"/>
      <c r="F92" s="105"/>
      <c r="G92" s="202"/>
      <c r="H92" s="385"/>
      <c r="I92" s="175"/>
      <c r="J92" s="175"/>
      <c r="K92" s="202"/>
      <c r="L92" s="385"/>
      <c r="M92" s="203" t="e">
        <f>RANK(K92, K$87:$K$101)</f>
        <v>#N/A</v>
      </c>
      <c r="N92" s="387"/>
      <c r="O92" s="387"/>
      <c r="P92" s="105"/>
      <c r="Q92" s="202"/>
      <c r="R92" s="202"/>
      <c r="S92" s="105" t="e">
        <f t="shared" si="45"/>
        <v>#N/A</v>
      </c>
      <c r="T92" s="385"/>
      <c r="U92" s="105"/>
      <c r="V92" s="202"/>
      <c r="W92" s="202"/>
      <c r="X92" s="105" t="e">
        <f t="shared" si="46"/>
        <v>#N/A</v>
      </c>
      <c r="Y92" s="385"/>
      <c r="Z92" s="105"/>
      <c r="AA92" s="202"/>
      <c r="AB92" s="202"/>
      <c r="AC92" s="105" t="e">
        <f t="shared" si="47"/>
        <v>#N/A</v>
      </c>
      <c r="AD92" s="385"/>
      <c r="AE92" s="105"/>
      <c r="AF92" s="202"/>
      <c r="AG92" s="202"/>
      <c r="AH92" s="105" t="e">
        <f t="shared" si="48"/>
        <v>#N/A</v>
      </c>
      <c r="AI92" s="385"/>
      <c r="AJ92" s="105"/>
      <c r="AK92" s="202"/>
      <c r="AL92" s="202"/>
      <c r="AM92" s="105" t="e">
        <f t="shared" si="49"/>
        <v>#N/A</v>
      </c>
      <c r="AN92" s="385"/>
      <c r="AO92" s="105"/>
      <c r="AP92" s="202"/>
      <c r="AQ92" s="202"/>
      <c r="AR92" s="105" t="e">
        <f t="shared" si="50"/>
        <v>#N/A</v>
      </c>
      <c r="AS92" s="385"/>
      <c r="AT92" s="105"/>
      <c r="AU92" s="202"/>
      <c r="AV92" s="202"/>
      <c r="AW92" s="105" t="e">
        <f t="shared" si="51"/>
        <v>#N/A</v>
      </c>
      <c r="AX92" s="412"/>
    </row>
    <row r="93" spans="2:50">
      <c r="B93" s="398"/>
      <c r="C93" s="105">
        <v>7</v>
      </c>
      <c r="D93" s="228"/>
      <c r="E93" s="175"/>
      <c r="F93" s="105"/>
      <c r="G93" s="202"/>
      <c r="H93" s="385"/>
      <c r="I93" s="175"/>
      <c r="J93" s="175"/>
      <c r="K93" s="202"/>
      <c r="L93" s="385"/>
      <c r="M93" s="203" t="e">
        <f>RANK(K93, K$87:$K$101)</f>
        <v>#N/A</v>
      </c>
      <c r="N93" s="387"/>
      <c r="O93" s="387"/>
      <c r="P93" s="105"/>
      <c r="Q93" s="202"/>
      <c r="R93" s="202"/>
      <c r="S93" s="105" t="e">
        <f t="shared" si="45"/>
        <v>#N/A</v>
      </c>
      <c r="T93" s="385"/>
      <c r="U93" s="105"/>
      <c r="V93" s="202"/>
      <c r="W93" s="202"/>
      <c r="X93" s="105" t="e">
        <f t="shared" si="46"/>
        <v>#N/A</v>
      </c>
      <c r="Y93" s="385"/>
      <c r="Z93" s="105"/>
      <c r="AA93" s="202"/>
      <c r="AB93" s="202"/>
      <c r="AC93" s="105" t="e">
        <f t="shared" si="47"/>
        <v>#N/A</v>
      </c>
      <c r="AD93" s="385"/>
      <c r="AE93" s="105"/>
      <c r="AF93" s="202"/>
      <c r="AG93" s="202"/>
      <c r="AH93" s="105" t="e">
        <f t="shared" si="48"/>
        <v>#N/A</v>
      </c>
      <c r="AI93" s="385"/>
      <c r="AJ93" s="105"/>
      <c r="AK93" s="202"/>
      <c r="AL93" s="202"/>
      <c r="AM93" s="105" t="e">
        <f t="shared" si="49"/>
        <v>#N/A</v>
      </c>
      <c r="AN93" s="385"/>
      <c r="AO93" s="105"/>
      <c r="AP93" s="202"/>
      <c r="AQ93" s="202"/>
      <c r="AR93" s="105" t="e">
        <f t="shared" si="50"/>
        <v>#N/A</v>
      </c>
      <c r="AS93" s="385"/>
      <c r="AT93" s="105"/>
      <c r="AU93" s="202"/>
      <c r="AV93" s="202"/>
      <c r="AW93" s="105" t="e">
        <f t="shared" si="51"/>
        <v>#N/A</v>
      </c>
      <c r="AX93" s="412"/>
    </row>
    <row r="94" spans="2:50">
      <c r="B94" s="398"/>
      <c r="C94" s="105">
        <v>8</v>
      </c>
      <c r="D94" s="228"/>
      <c r="E94" s="175"/>
      <c r="F94" s="105"/>
      <c r="G94" s="202"/>
      <c r="H94" s="385"/>
      <c r="I94" s="175"/>
      <c r="J94" s="175"/>
      <c r="K94" s="202"/>
      <c r="L94" s="385"/>
      <c r="M94" s="203" t="e">
        <f>RANK(K94, K$87:$K$101)</f>
        <v>#N/A</v>
      </c>
      <c r="N94" s="387"/>
      <c r="O94" s="387"/>
      <c r="P94" s="105"/>
      <c r="Q94" s="202"/>
      <c r="R94" s="202"/>
      <c r="S94" s="105" t="e">
        <f t="shared" si="45"/>
        <v>#N/A</v>
      </c>
      <c r="T94" s="385"/>
      <c r="U94" s="105"/>
      <c r="V94" s="202"/>
      <c r="W94" s="202"/>
      <c r="X94" s="105" t="e">
        <f t="shared" si="46"/>
        <v>#N/A</v>
      </c>
      <c r="Y94" s="385"/>
      <c r="Z94" s="105"/>
      <c r="AA94" s="202"/>
      <c r="AB94" s="202"/>
      <c r="AC94" s="105" t="e">
        <f t="shared" si="47"/>
        <v>#N/A</v>
      </c>
      <c r="AD94" s="385"/>
      <c r="AE94" s="105"/>
      <c r="AF94" s="202"/>
      <c r="AG94" s="202"/>
      <c r="AH94" s="105" t="e">
        <f t="shared" si="48"/>
        <v>#N/A</v>
      </c>
      <c r="AI94" s="385"/>
      <c r="AJ94" s="105"/>
      <c r="AK94" s="202"/>
      <c r="AL94" s="202"/>
      <c r="AM94" s="105" t="e">
        <f t="shared" si="49"/>
        <v>#N/A</v>
      </c>
      <c r="AN94" s="385"/>
      <c r="AO94" s="105"/>
      <c r="AP94" s="202"/>
      <c r="AQ94" s="202"/>
      <c r="AR94" s="105" t="e">
        <f t="shared" si="50"/>
        <v>#N/A</v>
      </c>
      <c r="AS94" s="385"/>
      <c r="AT94" s="105"/>
      <c r="AU94" s="202"/>
      <c r="AV94" s="202"/>
      <c r="AW94" s="105" t="e">
        <f t="shared" si="51"/>
        <v>#N/A</v>
      </c>
      <c r="AX94" s="412"/>
    </row>
    <row r="95" spans="2:50">
      <c r="B95" s="398"/>
      <c r="C95" s="105">
        <v>9</v>
      </c>
      <c r="D95" s="228"/>
      <c r="E95" s="175"/>
      <c r="F95" s="105"/>
      <c r="G95" s="202"/>
      <c r="H95" s="385"/>
      <c r="I95" s="175"/>
      <c r="J95" s="175"/>
      <c r="K95" s="202"/>
      <c r="L95" s="385"/>
      <c r="M95" s="203" t="e">
        <f>RANK(K95, K$87:$K$101)</f>
        <v>#N/A</v>
      </c>
      <c r="N95" s="387"/>
      <c r="O95" s="387"/>
      <c r="P95" s="105"/>
      <c r="Q95" s="202"/>
      <c r="R95" s="202"/>
      <c r="S95" s="105" t="e">
        <f t="shared" si="45"/>
        <v>#N/A</v>
      </c>
      <c r="T95" s="385"/>
      <c r="U95" s="105"/>
      <c r="V95" s="202"/>
      <c r="W95" s="202"/>
      <c r="X95" s="105" t="e">
        <f t="shared" si="46"/>
        <v>#N/A</v>
      </c>
      <c r="Y95" s="385"/>
      <c r="Z95" s="105"/>
      <c r="AA95" s="202"/>
      <c r="AB95" s="202"/>
      <c r="AC95" s="105" t="e">
        <f t="shared" si="47"/>
        <v>#N/A</v>
      </c>
      <c r="AD95" s="385"/>
      <c r="AE95" s="105"/>
      <c r="AF95" s="202"/>
      <c r="AG95" s="202"/>
      <c r="AH95" s="105" t="e">
        <f t="shared" si="48"/>
        <v>#N/A</v>
      </c>
      <c r="AI95" s="385"/>
      <c r="AJ95" s="105"/>
      <c r="AK95" s="202"/>
      <c r="AL95" s="202"/>
      <c r="AM95" s="105" t="e">
        <f t="shared" si="49"/>
        <v>#N/A</v>
      </c>
      <c r="AN95" s="385"/>
      <c r="AO95" s="105"/>
      <c r="AP95" s="202"/>
      <c r="AQ95" s="202"/>
      <c r="AR95" s="105" t="e">
        <f t="shared" si="50"/>
        <v>#N/A</v>
      </c>
      <c r="AS95" s="385"/>
      <c r="AT95" s="105"/>
      <c r="AU95" s="202"/>
      <c r="AV95" s="202"/>
      <c r="AW95" s="105" t="e">
        <f t="shared" si="51"/>
        <v>#N/A</v>
      </c>
      <c r="AX95" s="412"/>
    </row>
    <row r="96" spans="2:50">
      <c r="B96" s="398"/>
      <c r="C96" s="105">
        <v>10</v>
      </c>
      <c r="D96" s="228"/>
      <c r="E96" s="175"/>
      <c r="F96" s="105"/>
      <c r="G96" s="202"/>
      <c r="H96" s="385"/>
      <c r="I96" s="175"/>
      <c r="J96" s="175"/>
      <c r="K96" s="202"/>
      <c r="L96" s="385"/>
      <c r="M96" s="203" t="e">
        <f>RANK(K96, K$87:$K$101)</f>
        <v>#N/A</v>
      </c>
      <c r="N96" s="387"/>
      <c r="O96" s="387"/>
      <c r="P96" s="105"/>
      <c r="Q96" s="105"/>
      <c r="R96" s="202"/>
      <c r="S96" s="105" t="e">
        <f t="shared" si="45"/>
        <v>#N/A</v>
      </c>
      <c r="T96" s="385"/>
      <c r="U96" s="105"/>
      <c r="V96" s="105"/>
      <c r="W96" s="202"/>
      <c r="X96" s="105" t="e">
        <f t="shared" si="46"/>
        <v>#N/A</v>
      </c>
      <c r="Y96" s="385"/>
      <c r="Z96" s="105"/>
      <c r="AA96" s="105"/>
      <c r="AB96" s="202"/>
      <c r="AC96" s="105" t="e">
        <f t="shared" si="47"/>
        <v>#N/A</v>
      </c>
      <c r="AD96" s="385"/>
      <c r="AE96" s="105"/>
      <c r="AF96" s="105"/>
      <c r="AG96" s="202"/>
      <c r="AH96" s="105" t="e">
        <f t="shared" si="48"/>
        <v>#N/A</v>
      </c>
      <c r="AI96" s="385"/>
      <c r="AJ96" s="105"/>
      <c r="AK96" s="105"/>
      <c r="AL96" s="202"/>
      <c r="AM96" s="105" t="e">
        <f t="shared" si="49"/>
        <v>#N/A</v>
      </c>
      <c r="AN96" s="385"/>
      <c r="AO96" s="105"/>
      <c r="AP96" s="105"/>
      <c r="AQ96" s="202"/>
      <c r="AR96" s="105" t="e">
        <f t="shared" si="50"/>
        <v>#N/A</v>
      </c>
      <c r="AS96" s="385"/>
      <c r="AT96" s="105"/>
      <c r="AU96" s="105"/>
      <c r="AV96" s="202"/>
      <c r="AW96" s="105" t="e">
        <f t="shared" si="51"/>
        <v>#N/A</v>
      </c>
      <c r="AX96" s="412"/>
    </row>
    <row r="97" spans="2:50">
      <c r="B97" s="398"/>
      <c r="C97" s="105">
        <v>11</v>
      </c>
      <c r="D97" s="228"/>
      <c r="E97" s="175"/>
      <c r="F97" s="105"/>
      <c r="G97" s="202"/>
      <c r="H97" s="385"/>
      <c r="I97" s="105"/>
      <c r="J97" s="105"/>
      <c r="K97" s="105"/>
      <c r="L97" s="385"/>
      <c r="M97" s="203" t="e">
        <f>RANK(K97, K$87:$K$101)</f>
        <v>#N/A</v>
      </c>
      <c r="N97" s="387"/>
      <c r="O97" s="387"/>
      <c r="P97" s="105"/>
      <c r="Q97" s="105"/>
      <c r="R97" s="105"/>
      <c r="S97" s="105" t="e">
        <f t="shared" si="45"/>
        <v>#N/A</v>
      </c>
      <c r="T97" s="385"/>
      <c r="U97" s="105"/>
      <c r="V97" s="105"/>
      <c r="W97" s="105"/>
      <c r="X97" s="105" t="e">
        <f t="shared" si="46"/>
        <v>#N/A</v>
      </c>
      <c r="Y97" s="385"/>
      <c r="Z97" s="105"/>
      <c r="AA97" s="105"/>
      <c r="AB97" s="105"/>
      <c r="AC97" s="105" t="e">
        <f t="shared" si="47"/>
        <v>#N/A</v>
      </c>
      <c r="AD97" s="385"/>
      <c r="AE97" s="105"/>
      <c r="AF97" s="105"/>
      <c r="AG97" s="105"/>
      <c r="AH97" s="105" t="e">
        <f t="shared" si="48"/>
        <v>#N/A</v>
      </c>
      <c r="AI97" s="385"/>
      <c r="AJ97" s="105"/>
      <c r="AK97" s="105"/>
      <c r="AL97" s="105"/>
      <c r="AM97" s="105" t="e">
        <f t="shared" si="49"/>
        <v>#N/A</v>
      </c>
      <c r="AN97" s="385"/>
      <c r="AO97" s="105"/>
      <c r="AP97" s="105"/>
      <c r="AQ97" s="105"/>
      <c r="AR97" s="105" t="e">
        <f t="shared" si="50"/>
        <v>#N/A</v>
      </c>
      <c r="AS97" s="385"/>
      <c r="AT97" s="105"/>
      <c r="AU97" s="105"/>
      <c r="AV97" s="105"/>
      <c r="AW97" s="105" t="e">
        <f t="shared" si="51"/>
        <v>#N/A</v>
      </c>
      <c r="AX97" s="412"/>
    </row>
    <row r="98" spans="2:50">
      <c r="B98" s="398"/>
      <c r="C98" s="105">
        <v>12</v>
      </c>
      <c r="D98" s="228"/>
      <c r="E98" s="175"/>
      <c r="F98" s="105"/>
      <c r="G98" s="202"/>
      <c r="H98" s="385"/>
      <c r="I98" s="105"/>
      <c r="J98" s="105"/>
      <c r="K98" s="105"/>
      <c r="L98" s="385"/>
      <c r="M98" s="203" t="e">
        <f>RANK(K98, K$87:$K$101)</f>
        <v>#N/A</v>
      </c>
      <c r="N98" s="387"/>
      <c r="O98" s="387"/>
      <c r="P98" s="105"/>
      <c r="Q98" s="105"/>
      <c r="R98" s="105"/>
      <c r="S98" s="105" t="e">
        <f t="shared" si="45"/>
        <v>#N/A</v>
      </c>
      <c r="T98" s="385"/>
      <c r="U98" s="105"/>
      <c r="V98" s="105"/>
      <c r="W98" s="105"/>
      <c r="X98" s="105" t="e">
        <f t="shared" si="46"/>
        <v>#N/A</v>
      </c>
      <c r="Y98" s="385"/>
      <c r="Z98" s="105"/>
      <c r="AA98" s="105"/>
      <c r="AB98" s="105"/>
      <c r="AC98" s="105" t="e">
        <f t="shared" si="47"/>
        <v>#N/A</v>
      </c>
      <c r="AD98" s="385"/>
      <c r="AE98" s="105"/>
      <c r="AF98" s="105"/>
      <c r="AG98" s="105"/>
      <c r="AH98" s="105" t="e">
        <f t="shared" si="48"/>
        <v>#N/A</v>
      </c>
      <c r="AI98" s="385"/>
      <c r="AJ98" s="105"/>
      <c r="AK98" s="105"/>
      <c r="AL98" s="105"/>
      <c r="AM98" s="105" t="e">
        <f t="shared" si="49"/>
        <v>#N/A</v>
      </c>
      <c r="AN98" s="385"/>
      <c r="AO98" s="105"/>
      <c r="AP98" s="105"/>
      <c r="AQ98" s="105"/>
      <c r="AR98" s="105" t="e">
        <f t="shared" si="50"/>
        <v>#N/A</v>
      </c>
      <c r="AS98" s="385"/>
      <c r="AT98" s="105"/>
      <c r="AU98" s="105"/>
      <c r="AV98" s="105"/>
      <c r="AW98" s="105" t="e">
        <f t="shared" si="51"/>
        <v>#N/A</v>
      </c>
      <c r="AX98" s="412"/>
    </row>
    <row r="99" spans="2:50">
      <c r="B99" s="398"/>
      <c r="C99" s="105">
        <v>13</v>
      </c>
      <c r="D99" s="228"/>
      <c r="E99" s="175"/>
      <c r="F99" s="105"/>
      <c r="G99" s="202"/>
      <c r="H99" s="385"/>
      <c r="I99" s="105"/>
      <c r="J99" s="105"/>
      <c r="K99" s="105"/>
      <c r="L99" s="385"/>
      <c r="M99" s="203" t="e">
        <f>RANK(K99, K$87:$K$101)</f>
        <v>#N/A</v>
      </c>
      <c r="N99" s="387"/>
      <c r="O99" s="387"/>
      <c r="P99" s="105"/>
      <c r="Q99" s="105"/>
      <c r="R99" s="105"/>
      <c r="S99" s="105" t="e">
        <f t="shared" si="45"/>
        <v>#N/A</v>
      </c>
      <c r="T99" s="385"/>
      <c r="U99" s="105"/>
      <c r="V99" s="105"/>
      <c r="W99" s="105"/>
      <c r="X99" s="105" t="e">
        <f t="shared" si="46"/>
        <v>#N/A</v>
      </c>
      <c r="Y99" s="385"/>
      <c r="Z99" s="105"/>
      <c r="AA99" s="105"/>
      <c r="AB99" s="105"/>
      <c r="AC99" s="105" t="e">
        <f t="shared" si="47"/>
        <v>#N/A</v>
      </c>
      <c r="AD99" s="385"/>
      <c r="AE99" s="105"/>
      <c r="AF99" s="105"/>
      <c r="AG99" s="105"/>
      <c r="AH99" s="105" t="e">
        <f t="shared" si="48"/>
        <v>#N/A</v>
      </c>
      <c r="AI99" s="385"/>
      <c r="AJ99" s="105"/>
      <c r="AK99" s="105"/>
      <c r="AL99" s="105"/>
      <c r="AM99" s="105" t="e">
        <f t="shared" si="49"/>
        <v>#N/A</v>
      </c>
      <c r="AN99" s="385"/>
      <c r="AO99" s="105"/>
      <c r="AP99" s="105"/>
      <c r="AQ99" s="105"/>
      <c r="AR99" s="105" t="e">
        <f t="shared" si="50"/>
        <v>#N/A</v>
      </c>
      <c r="AS99" s="385"/>
      <c r="AT99" s="105"/>
      <c r="AU99" s="105"/>
      <c r="AV99" s="105"/>
      <c r="AW99" s="105" t="e">
        <f t="shared" si="51"/>
        <v>#N/A</v>
      </c>
      <c r="AX99" s="412"/>
    </row>
    <row r="100" spans="2:50">
      <c r="B100" s="398"/>
      <c r="C100" s="105">
        <v>14</v>
      </c>
      <c r="D100" s="228"/>
      <c r="E100" s="175"/>
      <c r="F100" s="105"/>
      <c r="G100" s="202"/>
      <c r="H100" s="385"/>
      <c r="I100" s="105"/>
      <c r="J100" s="105"/>
      <c r="K100" s="105"/>
      <c r="L100" s="385"/>
      <c r="M100" s="203" t="e">
        <f>RANK(K100, K$87:$K$101)</f>
        <v>#N/A</v>
      </c>
      <c r="N100" s="387"/>
      <c r="O100" s="387"/>
      <c r="P100" s="105"/>
      <c r="Q100" s="105"/>
      <c r="R100" s="105"/>
      <c r="S100" s="105" t="e">
        <f t="shared" si="45"/>
        <v>#N/A</v>
      </c>
      <c r="T100" s="385"/>
      <c r="U100" s="105"/>
      <c r="V100" s="105"/>
      <c r="W100" s="105"/>
      <c r="X100" s="105" t="e">
        <f t="shared" si="46"/>
        <v>#N/A</v>
      </c>
      <c r="Y100" s="385"/>
      <c r="Z100" s="105"/>
      <c r="AA100" s="105"/>
      <c r="AB100" s="105"/>
      <c r="AC100" s="105" t="e">
        <f t="shared" si="47"/>
        <v>#N/A</v>
      </c>
      <c r="AD100" s="385"/>
      <c r="AE100" s="105"/>
      <c r="AF100" s="105"/>
      <c r="AG100" s="105"/>
      <c r="AH100" s="105" t="e">
        <f t="shared" si="48"/>
        <v>#N/A</v>
      </c>
      <c r="AI100" s="385"/>
      <c r="AJ100" s="105"/>
      <c r="AK100" s="105"/>
      <c r="AL100" s="105"/>
      <c r="AM100" s="105" t="e">
        <f t="shared" si="49"/>
        <v>#N/A</v>
      </c>
      <c r="AN100" s="385"/>
      <c r="AO100" s="105"/>
      <c r="AP100" s="105"/>
      <c r="AQ100" s="105"/>
      <c r="AR100" s="105" t="e">
        <f t="shared" si="50"/>
        <v>#N/A</v>
      </c>
      <c r="AS100" s="385"/>
      <c r="AT100" s="105"/>
      <c r="AU100" s="105"/>
      <c r="AV100" s="105"/>
      <c r="AW100" s="105" t="e">
        <f t="shared" si="51"/>
        <v>#N/A</v>
      </c>
      <c r="AX100" s="412"/>
    </row>
    <row r="101" spans="2:50">
      <c r="B101" s="398"/>
      <c r="C101" s="105">
        <v>15</v>
      </c>
      <c r="D101" s="228"/>
      <c r="E101" s="175"/>
      <c r="F101" s="105"/>
      <c r="G101" s="202"/>
      <c r="H101" s="386"/>
      <c r="I101" s="105"/>
      <c r="J101" s="105"/>
      <c r="K101" s="105"/>
      <c r="L101" s="386"/>
      <c r="M101" s="175" t="e">
        <f>RANK(K101, K$87:$K$101)</f>
        <v>#N/A</v>
      </c>
      <c r="N101" s="387"/>
      <c r="O101" s="387"/>
      <c r="P101" s="105"/>
      <c r="Q101" s="105"/>
      <c r="R101" s="105"/>
      <c r="S101" s="105" t="e">
        <f t="shared" si="45"/>
        <v>#N/A</v>
      </c>
      <c r="T101" s="386"/>
      <c r="U101" s="105"/>
      <c r="V101" s="105"/>
      <c r="W101" s="105"/>
      <c r="X101" s="105" t="e">
        <f t="shared" si="46"/>
        <v>#N/A</v>
      </c>
      <c r="Y101" s="386"/>
      <c r="Z101" s="105"/>
      <c r="AA101" s="105"/>
      <c r="AB101" s="105"/>
      <c r="AC101" s="105" t="e">
        <f t="shared" si="47"/>
        <v>#N/A</v>
      </c>
      <c r="AD101" s="386"/>
      <c r="AE101" s="105"/>
      <c r="AF101" s="105"/>
      <c r="AG101" s="105"/>
      <c r="AH101" s="105" t="e">
        <f t="shared" si="48"/>
        <v>#N/A</v>
      </c>
      <c r="AI101" s="386"/>
      <c r="AJ101" s="105"/>
      <c r="AK101" s="105"/>
      <c r="AL101" s="105"/>
      <c r="AM101" s="105" t="e">
        <f t="shared" si="49"/>
        <v>#N/A</v>
      </c>
      <c r="AN101" s="386"/>
      <c r="AO101" s="105"/>
      <c r="AP101" s="105"/>
      <c r="AQ101" s="105"/>
      <c r="AR101" s="105" t="e">
        <f t="shared" si="50"/>
        <v>#N/A</v>
      </c>
      <c r="AS101" s="386"/>
      <c r="AT101" s="105"/>
      <c r="AU101" s="105"/>
      <c r="AV101" s="105"/>
      <c r="AW101" s="105" t="e">
        <f t="shared" si="51"/>
        <v>#N/A</v>
      </c>
      <c r="AX101" s="412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101"/>
  <sheetViews>
    <sheetView topLeftCell="A40" zoomScale="50" zoomScaleNormal="50" workbookViewId="0">
      <pane xSplit="15" topLeftCell="S1" activePane="topRight" state="frozen"/>
      <selection pane="topRight" activeCell="AG107" sqref="AG107"/>
      <selection activeCell="AT20" sqref="AT20:AV20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218" t="s">
        <v>233</v>
      </c>
      <c r="C1" s="102">
        <f>AVERAGE(L7,L27,L47,L67,L87)</f>
        <v>99.648342041865732</v>
      </c>
    </row>
    <row r="2" spans="1:50" ht="15.75">
      <c r="A2" s="79"/>
      <c r="B2" s="405" t="s">
        <v>195</v>
      </c>
      <c r="C2" s="406"/>
      <c r="D2" s="406"/>
      <c r="E2" s="406"/>
      <c r="F2" s="406"/>
      <c r="G2" s="406"/>
      <c r="H2" s="406"/>
      <c r="I2" s="174"/>
      <c r="J2" s="174"/>
      <c r="K2" s="174"/>
      <c r="L2" s="174"/>
      <c r="M2" s="171"/>
      <c r="N2" s="399" t="s">
        <v>196</v>
      </c>
      <c r="O2" s="399" t="s">
        <v>145</v>
      </c>
      <c r="P2" s="397"/>
      <c r="Q2" s="398"/>
      <c r="R2" s="398"/>
      <c r="S2" s="398"/>
      <c r="T2" s="398"/>
      <c r="U2" s="397"/>
      <c r="V2" s="398"/>
      <c r="W2" s="398"/>
      <c r="X2" s="398"/>
      <c r="Y2" s="398"/>
      <c r="Z2" s="397"/>
      <c r="AA2" s="398"/>
      <c r="AB2" s="398"/>
      <c r="AC2" s="398"/>
      <c r="AD2" s="398"/>
      <c r="AE2" s="397">
        <v>45870</v>
      </c>
      <c r="AF2" s="398"/>
      <c r="AG2" s="398"/>
      <c r="AH2" s="398"/>
      <c r="AI2" s="398"/>
      <c r="AJ2" s="397">
        <v>45871</v>
      </c>
      <c r="AK2" s="398"/>
      <c r="AL2" s="398"/>
      <c r="AM2" s="398"/>
      <c r="AN2" s="398"/>
      <c r="AO2" s="397">
        <v>45872</v>
      </c>
      <c r="AP2" s="398"/>
      <c r="AQ2" s="398"/>
      <c r="AR2" s="398"/>
      <c r="AS2" s="398"/>
      <c r="AT2" s="397">
        <v>45873</v>
      </c>
      <c r="AU2" s="398"/>
      <c r="AV2" s="398"/>
      <c r="AW2" s="398"/>
      <c r="AX2" s="398"/>
    </row>
    <row r="3" spans="1:50" ht="15.75">
      <c r="A3" s="79"/>
      <c r="B3" s="407"/>
      <c r="C3" s="407"/>
      <c r="D3" s="407"/>
      <c r="E3" s="407"/>
      <c r="F3" s="407"/>
      <c r="G3" s="407"/>
      <c r="H3" s="407"/>
      <c r="I3" s="172"/>
      <c r="J3" s="172"/>
      <c r="K3" s="172"/>
      <c r="L3" s="172"/>
      <c r="M3" s="173"/>
      <c r="N3" s="401"/>
      <c r="O3" s="401"/>
      <c r="P3" s="397" t="s">
        <v>159</v>
      </c>
      <c r="Q3" s="398"/>
      <c r="R3" s="398"/>
      <c r="S3" s="398"/>
      <c r="T3" s="398"/>
      <c r="U3" s="397" t="s">
        <v>160</v>
      </c>
      <c r="V3" s="398"/>
      <c r="W3" s="398"/>
      <c r="X3" s="398"/>
      <c r="Y3" s="398"/>
      <c r="Z3" s="397" t="s">
        <v>161</v>
      </c>
      <c r="AA3" s="398"/>
      <c r="AB3" s="398"/>
      <c r="AC3" s="398"/>
      <c r="AD3" s="398"/>
      <c r="AE3" s="397" t="s">
        <v>156</v>
      </c>
      <c r="AF3" s="398"/>
      <c r="AG3" s="398"/>
      <c r="AH3" s="398"/>
      <c r="AI3" s="398"/>
      <c r="AJ3" s="397" t="s">
        <v>157</v>
      </c>
      <c r="AK3" s="398"/>
      <c r="AL3" s="398"/>
      <c r="AM3" s="398"/>
      <c r="AN3" s="398"/>
      <c r="AO3" s="397" t="s">
        <v>152</v>
      </c>
      <c r="AP3" s="398"/>
      <c r="AQ3" s="398"/>
      <c r="AR3" s="398"/>
      <c r="AS3" s="398"/>
      <c r="AT3" s="397" t="s">
        <v>158</v>
      </c>
      <c r="AU3" s="398"/>
      <c r="AV3" s="398"/>
      <c r="AW3" s="398"/>
      <c r="AX3" s="398"/>
    </row>
    <row r="4" spans="1:50">
      <c r="A4" s="79"/>
      <c r="B4" s="387" t="s">
        <v>197</v>
      </c>
      <c r="C4" s="387" t="s">
        <v>198</v>
      </c>
      <c r="D4" s="387"/>
      <c r="E4" s="387" t="s">
        <v>199</v>
      </c>
      <c r="F4" s="387"/>
      <c r="G4" s="387"/>
      <c r="H4" s="388" t="s">
        <v>200</v>
      </c>
      <c r="I4" s="387" t="s">
        <v>201</v>
      </c>
      <c r="J4" s="387"/>
      <c r="K4" s="387"/>
      <c r="L4" s="388" t="s">
        <v>200</v>
      </c>
      <c r="M4" s="399" t="s">
        <v>202</v>
      </c>
      <c r="N4" s="387"/>
      <c r="O4" s="387" t="s">
        <v>203</v>
      </c>
      <c r="P4" s="391" t="s">
        <v>204</v>
      </c>
      <c r="Q4" s="392"/>
      <c r="R4" s="392"/>
      <c r="S4" s="393"/>
      <c r="T4" s="387" t="s">
        <v>200</v>
      </c>
      <c r="U4" s="391" t="s">
        <v>204</v>
      </c>
      <c r="V4" s="392"/>
      <c r="W4" s="392"/>
      <c r="X4" s="393"/>
      <c r="Y4" s="387" t="s">
        <v>200</v>
      </c>
      <c r="Z4" s="391" t="s">
        <v>204</v>
      </c>
      <c r="AA4" s="392"/>
      <c r="AB4" s="392"/>
      <c r="AC4" s="393"/>
      <c r="AD4" s="387" t="s">
        <v>200</v>
      </c>
      <c r="AE4" s="391" t="s">
        <v>204</v>
      </c>
      <c r="AF4" s="392"/>
      <c r="AG4" s="392"/>
      <c r="AH4" s="393"/>
      <c r="AI4" s="387" t="s">
        <v>200</v>
      </c>
      <c r="AJ4" s="391" t="s">
        <v>204</v>
      </c>
      <c r="AK4" s="392"/>
      <c r="AL4" s="392"/>
      <c r="AM4" s="393"/>
      <c r="AN4" s="387" t="s">
        <v>200</v>
      </c>
      <c r="AO4" s="391" t="s">
        <v>204</v>
      </c>
      <c r="AP4" s="392"/>
      <c r="AQ4" s="392"/>
      <c r="AR4" s="393"/>
      <c r="AS4" s="387" t="s">
        <v>200</v>
      </c>
      <c r="AT4" s="391" t="s">
        <v>204</v>
      </c>
      <c r="AU4" s="392"/>
      <c r="AV4" s="392"/>
      <c r="AW4" s="393"/>
      <c r="AX4" s="387" t="s">
        <v>200</v>
      </c>
    </row>
    <row r="5" spans="1:50">
      <c r="A5" s="79"/>
      <c r="B5" s="387"/>
      <c r="C5" s="387"/>
      <c r="D5" s="387"/>
      <c r="E5" s="387" t="s">
        <v>205</v>
      </c>
      <c r="F5" s="387"/>
      <c r="G5" s="387"/>
      <c r="H5" s="389"/>
      <c r="I5" s="387" t="s">
        <v>205</v>
      </c>
      <c r="J5" s="387"/>
      <c r="K5" s="387"/>
      <c r="L5" s="389"/>
      <c r="M5" s="400"/>
      <c r="N5" s="387"/>
      <c r="O5" s="387"/>
      <c r="P5" s="391" t="s">
        <v>206</v>
      </c>
      <c r="Q5" s="392"/>
      <c r="R5" s="392"/>
      <c r="S5" s="393"/>
      <c r="T5" s="387"/>
      <c r="U5" s="391" t="s">
        <v>206</v>
      </c>
      <c r="V5" s="392"/>
      <c r="W5" s="392"/>
      <c r="X5" s="393"/>
      <c r="Y5" s="387"/>
      <c r="Z5" s="391" t="s">
        <v>206</v>
      </c>
      <c r="AA5" s="392"/>
      <c r="AB5" s="392"/>
      <c r="AC5" s="393"/>
      <c r="AD5" s="387"/>
      <c r="AE5" s="391" t="s">
        <v>206</v>
      </c>
      <c r="AF5" s="392"/>
      <c r="AG5" s="392"/>
      <c r="AH5" s="393"/>
      <c r="AI5" s="387"/>
      <c r="AJ5" s="391" t="s">
        <v>206</v>
      </c>
      <c r="AK5" s="392"/>
      <c r="AL5" s="392"/>
      <c r="AM5" s="393"/>
      <c r="AN5" s="387"/>
      <c r="AO5" s="391" t="s">
        <v>206</v>
      </c>
      <c r="AP5" s="392"/>
      <c r="AQ5" s="392"/>
      <c r="AR5" s="393"/>
      <c r="AS5" s="387"/>
      <c r="AT5" s="391" t="s">
        <v>206</v>
      </c>
      <c r="AU5" s="392"/>
      <c r="AV5" s="392"/>
      <c r="AW5" s="393"/>
      <c r="AX5" s="387"/>
    </row>
    <row r="6" spans="1:50">
      <c r="A6" s="77"/>
      <c r="B6" s="387"/>
      <c r="C6" s="387"/>
      <c r="D6" s="387"/>
      <c r="E6" s="104" t="s">
        <v>207</v>
      </c>
      <c r="F6" s="104" t="s">
        <v>208</v>
      </c>
      <c r="G6" s="104" t="s">
        <v>209</v>
      </c>
      <c r="H6" s="390"/>
      <c r="I6" s="104" t="s">
        <v>207</v>
      </c>
      <c r="J6" s="104" t="s">
        <v>208</v>
      </c>
      <c r="K6" s="104" t="s">
        <v>209</v>
      </c>
      <c r="L6" s="390"/>
      <c r="M6" s="401"/>
      <c r="N6" s="387"/>
      <c r="O6" s="387"/>
      <c r="P6" s="104" t="s">
        <v>207</v>
      </c>
      <c r="Q6" s="104" t="s">
        <v>208</v>
      </c>
      <c r="R6" s="104" t="s">
        <v>209</v>
      </c>
      <c r="S6" s="104" t="s">
        <v>202</v>
      </c>
      <c r="T6" s="387"/>
      <c r="U6" s="104" t="s">
        <v>207</v>
      </c>
      <c r="V6" s="104" t="s">
        <v>208</v>
      </c>
      <c r="W6" s="104" t="s">
        <v>209</v>
      </c>
      <c r="X6" s="104" t="s">
        <v>202</v>
      </c>
      <c r="Y6" s="387"/>
      <c r="Z6" s="104" t="s">
        <v>207</v>
      </c>
      <c r="AA6" s="104" t="s">
        <v>208</v>
      </c>
      <c r="AB6" s="104" t="s">
        <v>209</v>
      </c>
      <c r="AC6" s="104" t="s">
        <v>202</v>
      </c>
      <c r="AD6" s="387"/>
      <c r="AE6" s="104" t="s">
        <v>207</v>
      </c>
      <c r="AF6" s="104" t="s">
        <v>208</v>
      </c>
      <c r="AG6" s="104" t="s">
        <v>209</v>
      </c>
      <c r="AH6" s="104" t="s">
        <v>202</v>
      </c>
      <c r="AI6" s="387"/>
      <c r="AJ6" s="104" t="s">
        <v>207</v>
      </c>
      <c r="AK6" s="104" t="s">
        <v>208</v>
      </c>
      <c r="AL6" s="104" t="s">
        <v>209</v>
      </c>
      <c r="AM6" s="104" t="s">
        <v>202</v>
      </c>
      <c r="AN6" s="387"/>
      <c r="AO6" s="104" t="s">
        <v>207</v>
      </c>
      <c r="AP6" s="104" t="s">
        <v>208</v>
      </c>
      <c r="AQ6" s="104" t="s">
        <v>209</v>
      </c>
      <c r="AR6" s="104" t="s">
        <v>202</v>
      </c>
      <c r="AS6" s="387"/>
      <c r="AT6" s="104" t="s">
        <v>207</v>
      </c>
      <c r="AU6" s="104" t="s">
        <v>208</v>
      </c>
      <c r="AV6" s="104" t="s">
        <v>209</v>
      </c>
      <c r="AW6" s="104" t="s">
        <v>202</v>
      </c>
      <c r="AX6" s="387"/>
    </row>
    <row r="7" spans="1:50">
      <c r="A7" s="79"/>
      <c r="B7" s="387" t="s">
        <v>184</v>
      </c>
      <c r="C7" s="105">
        <v>1</v>
      </c>
      <c r="D7" s="228" t="s">
        <v>321</v>
      </c>
      <c r="E7" s="175">
        <v>5</v>
      </c>
      <c r="F7" s="105">
        <v>1500</v>
      </c>
      <c r="G7" s="202">
        <v>300</v>
      </c>
      <c r="H7" s="384">
        <f>AVERAGE(G7:G21)</f>
        <v>125.66666666666666</v>
      </c>
      <c r="I7" s="175">
        <f>AVERAGE(P7,U7,Z7,AE7,AJ7,AO7,AT7)</f>
        <v>6</v>
      </c>
      <c r="J7" s="175">
        <f>AVERAGE(Q7,V7,AA7,AF7,AK7,AP7,AU7)</f>
        <v>1187.931563552788</v>
      </c>
      <c r="K7" s="202">
        <f>AVERAGE(R7,W7,AB7,AG7,AL7,AQ7,AV7)</f>
        <v>197.98859392546464</v>
      </c>
      <c r="L7" s="384">
        <f>IFERROR(AVERAGE(K7:K21),"-")</f>
        <v>96.646172028216512</v>
      </c>
      <c r="M7" s="203">
        <f>RANK(K7, K$7:$K$21)</f>
        <v>1</v>
      </c>
      <c r="N7" s="387"/>
      <c r="O7" s="387"/>
      <c r="P7" s="175"/>
      <c r="Q7" s="175"/>
      <c r="R7" s="202"/>
      <c r="S7" s="105" t="e">
        <f>RANK(R7, R$7:R$21)</f>
        <v>#N/A</v>
      </c>
      <c r="T7" s="412" t="e">
        <f>AVERAGE(R7:R21)</f>
        <v>#DIV/0!</v>
      </c>
      <c r="U7" s="175"/>
      <c r="V7" s="175"/>
      <c r="W7" s="202"/>
      <c r="X7" s="105" t="e">
        <f>RANK(W7, W$7:W$21)</f>
        <v>#N/A</v>
      </c>
      <c r="Y7" s="412" t="e">
        <f>AVERAGE(W7:W21)</f>
        <v>#DIV/0!</v>
      </c>
      <c r="Z7" s="105"/>
      <c r="AA7" s="175"/>
      <c r="AB7" s="202"/>
      <c r="AC7" s="105" t="e">
        <f>RANK(AB7, AB$7:AB$21)</f>
        <v>#N/A</v>
      </c>
      <c r="AD7" s="412" t="e">
        <f>AVERAGE(AB7:AB21)</f>
        <v>#DIV/0!</v>
      </c>
      <c r="AE7" s="175">
        <v>6</v>
      </c>
      <c r="AF7" s="175">
        <v>1178.2352941176471</v>
      </c>
      <c r="AG7" s="202">
        <v>196.37254901960785</v>
      </c>
      <c r="AH7" s="105">
        <f>RANK(AG7, AG$7:AG$21)</f>
        <v>1</v>
      </c>
      <c r="AI7" s="412">
        <f>AVERAGE(AG7:AG21)</f>
        <v>96.767860361248665</v>
      </c>
      <c r="AJ7" s="105">
        <v>6</v>
      </c>
      <c r="AK7" s="175">
        <v>1209.6226415094341</v>
      </c>
      <c r="AL7" s="202">
        <v>201.60377358490567</v>
      </c>
      <c r="AM7" s="105">
        <f>RANK(AL7, AL$7:AL$21)</f>
        <v>1</v>
      </c>
      <c r="AN7" s="412">
        <f>AVERAGE(AL7:AL21)</f>
        <v>97.441206401976515</v>
      </c>
      <c r="AO7" s="105">
        <v>6</v>
      </c>
      <c r="AP7" s="175">
        <v>1170.24</v>
      </c>
      <c r="AQ7" s="202">
        <v>195.04</v>
      </c>
      <c r="AR7" s="105">
        <f>RANK(AQ7, AQ$7:AQ$21)</f>
        <v>1</v>
      </c>
      <c r="AS7" s="412">
        <f>AVERAGE(AQ7:AQ21)</f>
        <v>95.699181488401464</v>
      </c>
      <c r="AT7" s="105">
        <v>6</v>
      </c>
      <c r="AU7" s="175">
        <v>1193.6283185840709</v>
      </c>
      <c r="AV7" s="202">
        <v>198.93805309734515</v>
      </c>
      <c r="AW7" s="105">
        <f>RANK(AV7, AV$7:AV$21)</f>
        <v>1</v>
      </c>
      <c r="AX7" s="412">
        <f>AVERAGE(AV7:AV21)</f>
        <v>96.67643986123943</v>
      </c>
    </row>
    <row r="8" spans="1:50" ht="15" customHeight="1">
      <c r="A8" s="79"/>
      <c r="B8" s="398"/>
      <c r="C8" s="105">
        <v>2</v>
      </c>
      <c r="D8" s="228" t="s">
        <v>322</v>
      </c>
      <c r="E8" s="175">
        <v>15</v>
      </c>
      <c r="F8" s="105">
        <v>1500</v>
      </c>
      <c r="G8" s="202">
        <v>100</v>
      </c>
      <c r="H8" s="385"/>
      <c r="I8" s="175">
        <f t="shared" ref="I8:K11" si="0">AVERAGE(P8,U8,Z8,AE8,AJ8,AO8,AT8)</f>
        <v>15</v>
      </c>
      <c r="J8" s="175">
        <f t="shared" si="0"/>
        <v>1284.9510470872412</v>
      </c>
      <c r="K8" s="202">
        <f t="shared" si="0"/>
        <v>85.663403139149409</v>
      </c>
      <c r="L8" s="385"/>
      <c r="M8" s="203">
        <f>RANK(K8, K$7:$K$21)</f>
        <v>2</v>
      </c>
      <c r="N8" s="387"/>
      <c r="O8" s="387"/>
      <c r="P8" s="175"/>
      <c r="Q8" s="175"/>
      <c r="R8" s="202"/>
      <c r="S8" s="105" t="e">
        <f t="shared" ref="S8:S21" si="1">RANK(R8, R$7:R$21)</f>
        <v>#N/A</v>
      </c>
      <c r="T8" s="412"/>
      <c r="U8" s="175"/>
      <c r="V8" s="175"/>
      <c r="W8" s="202"/>
      <c r="X8" s="105" t="e">
        <f t="shared" ref="X8:X21" si="2">RANK(W8, W$7:W$21)</f>
        <v>#N/A</v>
      </c>
      <c r="Y8" s="412"/>
      <c r="Z8" s="105"/>
      <c r="AA8" s="175"/>
      <c r="AB8" s="202"/>
      <c r="AC8" s="105" t="e">
        <f t="shared" ref="AC8:AC21" si="3">RANK(AB8, AB$7:AB$21)</f>
        <v>#N/A</v>
      </c>
      <c r="AD8" s="412"/>
      <c r="AE8" s="175">
        <v>15</v>
      </c>
      <c r="AF8" s="175">
        <v>1314.6268656716418</v>
      </c>
      <c r="AG8" s="202">
        <v>87.641791044776113</v>
      </c>
      <c r="AH8" s="105">
        <f t="shared" ref="AH8:AH21" si="4">RANK(AG8, AG$7:AG$21)</f>
        <v>2</v>
      </c>
      <c r="AI8" s="412"/>
      <c r="AJ8" s="105">
        <v>15</v>
      </c>
      <c r="AK8" s="175">
        <v>1273.846153846154</v>
      </c>
      <c r="AL8" s="202">
        <v>84.923076923076934</v>
      </c>
      <c r="AM8" s="105">
        <f t="shared" ref="AM8:AM21" si="5">RANK(AL8, AL$7:AL$21)</f>
        <v>2</v>
      </c>
      <c r="AN8" s="412"/>
      <c r="AO8" s="105">
        <v>15</v>
      </c>
      <c r="AP8" s="175">
        <v>1258.214285714286</v>
      </c>
      <c r="AQ8" s="202">
        <v>83.880952380952394</v>
      </c>
      <c r="AR8" s="105">
        <f t="shared" ref="AR8:AR21" si="6">RANK(AQ8, AQ$7:AQ$21)</f>
        <v>2</v>
      </c>
      <c r="AS8" s="412"/>
      <c r="AT8" s="105">
        <v>15</v>
      </c>
      <c r="AU8" s="175">
        <v>1293.1168831168832</v>
      </c>
      <c r="AV8" s="202">
        <v>86.20779220779221</v>
      </c>
      <c r="AW8" s="105">
        <f t="shared" ref="AW8:AW21" si="7">RANK(AV8, AV$7:AV$21)</f>
        <v>2</v>
      </c>
      <c r="AX8" s="412"/>
    </row>
    <row r="9" spans="1:50">
      <c r="A9" s="79"/>
      <c r="B9" s="398"/>
      <c r="C9" s="105">
        <v>3</v>
      </c>
      <c r="D9" s="228" t="s">
        <v>323</v>
      </c>
      <c r="E9" s="175">
        <v>18</v>
      </c>
      <c r="F9" s="105">
        <v>1500</v>
      </c>
      <c r="G9" s="202">
        <v>83.333333333333329</v>
      </c>
      <c r="H9" s="385"/>
      <c r="I9" s="175">
        <f t="shared" si="0"/>
        <v>18</v>
      </c>
      <c r="J9" s="175">
        <f t="shared" si="0"/>
        <v>1206.5955984962832</v>
      </c>
      <c r="K9" s="202">
        <f t="shared" si="0"/>
        <v>67.033088805349067</v>
      </c>
      <c r="L9" s="385"/>
      <c r="M9" s="203">
        <f>RANK(K9, K$7:$K$21)</f>
        <v>4</v>
      </c>
      <c r="N9" s="387"/>
      <c r="O9" s="387"/>
      <c r="P9" s="175"/>
      <c r="Q9" s="175"/>
      <c r="R9" s="202"/>
      <c r="S9" s="105" t="e">
        <f t="shared" si="1"/>
        <v>#N/A</v>
      </c>
      <c r="T9" s="412"/>
      <c r="U9" s="175"/>
      <c r="V9" s="175"/>
      <c r="W9" s="202"/>
      <c r="X9" s="105" t="e">
        <f t="shared" si="2"/>
        <v>#N/A</v>
      </c>
      <c r="Y9" s="412"/>
      <c r="Z9" s="105"/>
      <c r="AA9" s="175"/>
      <c r="AB9" s="202"/>
      <c r="AC9" s="105" t="e">
        <f t="shared" si="3"/>
        <v>#N/A</v>
      </c>
      <c r="AD9" s="412"/>
      <c r="AE9" s="175">
        <v>18</v>
      </c>
      <c r="AF9" s="175">
        <v>1210.7692307692309</v>
      </c>
      <c r="AG9" s="202">
        <v>67.264957264957275</v>
      </c>
      <c r="AH9" s="105">
        <f t="shared" si="4"/>
        <v>4</v>
      </c>
      <c r="AI9" s="412"/>
      <c r="AJ9" s="105">
        <v>18</v>
      </c>
      <c r="AK9" s="175">
        <v>1224.6153846153848</v>
      </c>
      <c r="AL9" s="202">
        <v>68.034188034188048</v>
      </c>
      <c r="AM9" s="105">
        <f t="shared" si="5"/>
        <v>4</v>
      </c>
      <c r="AN9" s="412"/>
      <c r="AO9" s="105">
        <v>18</v>
      </c>
      <c r="AP9" s="175">
        <v>1193.8356164383558</v>
      </c>
      <c r="AQ9" s="202">
        <v>66.324200913241995</v>
      </c>
      <c r="AR9" s="105">
        <f t="shared" si="6"/>
        <v>4</v>
      </c>
      <c r="AS9" s="412"/>
      <c r="AT9" s="105">
        <v>18</v>
      </c>
      <c r="AU9" s="175">
        <v>1197.1621621621612</v>
      </c>
      <c r="AV9" s="202">
        <v>66.509009009008949</v>
      </c>
      <c r="AW9" s="105">
        <f t="shared" si="7"/>
        <v>4</v>
      </c>
      <c r="AX9" s="412"/>
    </row>
    <row r="10" spans="1:50">
      <c r="A10" s="79"/>
      <c r="B10" s="398"/>
      <c r="C10" s="105">
        <v>4</v>
      </c>
      <c r="D10" s="228" t="s">
        <v>324</v>
      </c>
      <c r="E10" s="175">
        <v>20</v>
      </c>
      <c r="F10" s="105">
        <v>1300</v>
      </c>
      <c r="G10" s="202">
        <v>65</v>
      </c>
      <c r="H10" s="385"/>
      <c r="I10" s="175">
        <f t="shared" si="0"/>
        <v>19.5</v>
      </c>
      <c r="J10" s="175">
        <f t="shared" si="0"/>
        <v>1097.4296704382505</v>
      </c>
      <c r="K10" s="202">
        <f t="shared" si="0"/>
        <v>56.309691513896965</v>
      </c>
      <c r="L10" s="385"/>
      <c r="M10" s="203">
        <f>RANK(K10, K$7:$K$21)</f>
        <v>5</v>
      </c>
      <c r="N10" s="387"/>
      <c r="O10" s="387"/>
      <c r="P10" s="175"/>
      <c r="Q10" s="175"/>
      <c r="R10" s="202"/>
      <c r="S10" s="105" t="e">
        <f t="shared" si="1"/>
        <v>#N/A</v>
      </c>
      <c r="T10" s="412"/>
      <c r="U10" s="175"/>
      <c r="V10" s="175"/>
      <c r="W10" s="202"/>
      <c r="X10" s="105" t="e">
        <f t="shared" si="2"/>
        <v>#N/A</v>
      </c>
      <c r="Y10" s="412"/>
      <c r="Z10" s="105"/>
      <c r="AA10" s="175"/>
      <c r="AB10" s="202"/>
      <c r="AC10" s="105" t="e">
        <f t="shared" si="3"/>
        <v>#N/A</v>
      </c>
      <c r="AD10" s="412"/>
      <c r="AE10" s="175">
        <v>19</v>
      </c>
      <c r="AF10" s="175">
        <v>1088.8421052631579</v>
      </c>
      <c r="AG10" s="202">
        <v>57.307479224376735</v>
      </c>
      <c r="AH10" s="105">
        <f t="shared" si="4"/>
        <v>5</v>
      </c>
      <c r="AI10" s="412"/>
      <c r="AJ10" s="105">
        <v>19</v>
      </c>
      <c r="AK10" s="175">
        <v>1097.2340425531916</v>
      </c>
      <c r="AL10" s="202">
        <v>57.749160134378506</v>
      </c>
      <c r="AM10" s="105">
        <f t="shared" si="5"/>
        <v>5</v>
      </c>
      <c r="AN10" s="412"/>
      <c r="AO10" s="105">
        <v>20</v>
      </c>
      <c r="AP10" s="175">
        <v>1104.2307692307697</v>
      </c>
      <c r="AQ10" s="202">
        <v>55.211538461538488</v>
      </c>
      <c r="AR10" s="105">
        <f t="shared" si="6"/>
        <v>5</v>
      </c>
      <c r="AS10" s="412"/>
      <c r="AT10" s="105">
        <v>20</v>
      </c>
      <c r="AU10" s="175">
        <v>1099.4117647058829</v>
      </c>
      <c r="AV10" s="202">
        <v>54.970588235294144</v>
      </c>
      <c r="AW10" s="105">
        <f t="shared" si="7"/>
        <v>5</v>
      </c>
      <c r="AX10" s="412"/>
    </row>
    <row r="11" spans="1:50">
      <c r="A11" s="79"/>
      <c r="B11" s="398"/>
      <c r="C11" s="105">
        <v>5</v>
      </c>
      <c r="D11" s="228" t="s">
        <v>325</v>
      </c>
      <c r="E11" s="175">
        <v>18</v>
      </c>
      <c r="F11" s="105">
        <v>1440</v>
      </c>
      <c r="G11" s="202">
        <v>80</v>
      </c>
      <c r="H11" s="385"/>
      <c r="I11" s="175">
        <f t="shared" si="0"/>
        <v>18</v>
      </c>
      <c r="J11" s="175">
        <f t="shared" si="0"/>
        <v>1372.2494896300045</v>
      </c>
      <c r="K11" s="202">
        <f t="shared" si="0"/>
        <v>76.236082757222476</v>
      </c>
      <c r="L11" s="385"/>
      <c r="M11" s="203">
        <f>RANK(K11, K$7:$K$21)</f>
        <v>3</v>
      </c>
      <c r="N11" s="387"/>
      <c r="O11" s="387"/>
      <c r="P11" s="175"/>
      <c r="Q11" s="175"/>
      <c r="R11" s="202"/>
      <c r="S11" s="105" t="e">
        <f t="shared" si="1"/>
        <v>#N/A</v>
      </c>
      <c r="T11" s="412"/>
      <c r="U11" s="175"/>
      <c r="V11" s="175"/>
      <c r="W11" s="202"/>
      <c r="X11" s="105" t="e">
        <f t="shared" si="2"/>
        <v>#N/A</v>
      </c>
      <c r="Y11" s="412"/>
      <c r="Z11" s="105"/>
      <c r="AA11" s="175"/>
      <c r="AB11" s="202"/>
      <c r="AC11" s="105" t="e">
        <f t="shared" si="3"/>
        <v>#N/A</v>
      </c>
      <c r="AD11" s="412"/>
      <c r="AE11" s="175">
        <v>18</v>
      </c>
      <c r="AF11" s="175">
        <v>1354.5454545454559</v>
      </c>
      <c r="AG11" s="202">
        <v>75.252525252525331</v>
      </c>
      <c r="AH11" s="105">
        <f t="shared" si="4"/>
        <v>3</v>
      </c>
      <c r="AI11" s="412"/>
      <c r="AJ11" s="105">
        <v>18</v>
      </c>
      <c r="AK11" s="175">
        <v>1348.1250000000016</v>
      </c>
      <c r="AL11" s="202">
        <v>74.895833333333428</v>
      </c>
      <c r="AM11" s="105">
        <f t="shared" si="5"/>
        <v>3</v>
      </c>
      <c r="AN11" s="412"/>
      <c r="AO11" s="105">
        <v>18</v>
      </c>
      <c r="AP11" s="175">
        <v>1404.7058823529394</v>
      </c>
      <c r="AQ11" s="202">
        <v>78.039215686274417</v>
      </c>
      <c r="AR11" s="105">
        <f t="shared" si="6"/>
        <v>3</v>
      </c>
      <c r="AS11" s="412"/>
      <c r="AT11" s="105">
        <v>18</v>
      </c>
      <c r="AU11" s="175">
        <v>1381.6216216216205</v>
      </c>
      <c r="AV11" s="202">
        <v>76.756756756756701</v>
      </c>
      <c r="AW11" s="105">
        <f t="shared" si="7"/>
        <v>3</v>
      </c>
      <c r="AX11" s="412"/>
    </row>
    <row r="12" spans="1:50">
      <c r="A12" s="79"/>
      <c r="B12" s="398"/>
      <c r="C12" s="105">
        <v>6</v>
      </c>
      <c r="D12" s="228"/>
      <c r="E12" s="175"/>
      <c r="F12" s="105"/>
      <c r="G12" s="202"/>
      <c r="H12" s="385"/>
      <c r="I12" s="175"/>
      <c r="J12" s="175"/>
      <c r="K12" s="202"/>
      <c r="L12" s="385"/>
      <c r="M12" s="203" t="e">
        <f>RANK(K12, K$7:$K$21)</f>
        <v>#N/A</v>
      </c>
      <c r="N12" s="387"/>
      <c r="O12" s="387"/>
      <c r="P12" s="175"/>
      <c r="Q12" s="175"/>
      <c r="R12" s="202"/>
      <c r="S12" s="105" t="e">
        <f t="shared" si="1"/>
        <v>#N/A</v>
      </c>
      <c r="T12" s="412"/>
      <c r="U12" s="175"/>
      <c r="V12" s="175"/>
      <c r="W12" s="202"/>
      <c r="X12" s="105" t="e">
        <f t="shared" si="2"/>
        <v>#N/A</v>
      </c>
      <c r="Y12" s="412"/>
      <c r="Z12" s="105"/>
      <c r="AA12" s="175"/>
      <c r="AB12" s="202"/>
      <c r="AC12" s="105" t="e">
        <f t="shared" si="3"/>
        <v>#N/A</v>
      </c>
      <c r="AD12" s="412"/>
      <c r="AE12" s="175"/>
      <c r="AF12" s="175"/>
      <c r="AG12" s="202"/>
      <c r="AH12" s="105" t="e">
        <f t="shared" si="4"/>
        <v>#N/A</v>
      </c>
      <c r="AI12" s="412"/>
      <c r="AJ12" s="105"/>
      <c r="AK12" s="175"/>
      <c r="AL12" s="202"/>
      <c r="AM12" s="105" t="e">
        <f t="shared" si="5"/>
        <v>#N/A</v>
      </c>
      <c r="AN12" s="412"/>
      <c r="AO12" s="105"/>
      <c r="AP12" s="175"/>
      <c r="AQ12" s="202"/>
      <c r="AR12" s="105" t="e">
        <f t="shared" si="6"/>
        <v>#N/A</v>
      </c>
      <c r="AS12" s="412"/>
      <c r="AT12" s="105"/>
      <c r="AU12" s="175"/>
      <c r="AV12" s="202"/>
      <c r="AW12" s="105" t="e">
        <f t="shared" si="7"/>
        <v>#N/A</v>
      </c>
      <c r="AX12" s="412"/>
    </row>
    <row r="13" spans="1:50">
      <c r="A13" s="79"/>
      <c r="B13" s="398"/>
      <c r="C13" s="105">
        <v>7</v>
      </c>
      <c r="D13" s="228"/>
      <c r="E13" s="175"/>
      <c r="F13" s="105"/>
      <c r="G13" s="202"/>
      <c r="H13" s="385"/>
      <c r="I13" s="175"/>
      <c r="J13" s="175"/>
      <c r="K13" s="202"/>
      <c r="L13" s="385"/>
      <c r="M13" s="203" t="e">
        <f>RANK(K13, K$7:$K$21)</f>
        <v>#N/A</v>
      </c>
      <c r="N13" s="387"/>
      <c r="O13" s="387"/>
      <c r="P13" s="175"/>
      <c r="Q13" s="175"/>
      <c r="R13" s="202"/>
      <c r="S13" s="105" t="e">
        <f t="shared" si="1"/>
        <v>#N/A</v>
      </c>
      <c r="T13" s="412"/>
      <c r="U13" s="175"/>
      <c r="V13" s="175"/>
      <c r="W13" s="202"/>
      <c r="X13" s="105" t="e">
        <f t="shared" si="2"/>
        <v>#N/A</v>
      </c>
      <c r="Y13" s="412"/>
      <c r="Z13" s="105"/>
      <c r="AA13" s="175"/>
      <c r="AB13" s="202"/>
      <c r="AC13" s="105" t="e">
        <f t="shared" si="3"/>
        <v>#N/A</v>
      </c>
      <c r="AD13" s="412"/>
      <c r="AE13" s="175"/>
      <c r="AF13" s="175"/>
      <c r="AG13" s="202"/>
      <c r="AH13" s="105" t="e">
        <f t="shared" si="4"/>
        <v>#N/A</v>
      </c>
      <c r="AI13" s="412"/>
      <c r="AJ13" s="105"/>
      <c r="AK13" s="175"/>
      <c r="AL13" s="202"/>
      <c r="AM13" s="105" t="e">
        <f t="shared" si="5"/>
        <v>#N/A</v>
      </c>
      <c r="AN13" s="412"/>
      <c r="AO13" s="105"/>
      <c r="AP13" s="175"/>
      <c r="AQ13" s="202"/>
      <c r="AR13" s="105" t="e">
        <f t="shared" si="6"/>
        <v>#N/A</v>
      </c>
      <c r="AS13" s="412"/>
      <c r="AT13" s="105"/>
      <c r="AU13" s="175"/>
      <c r="AV13" s="202"/>
      <c r="AW13" s="105" t="e">
        <f t="shared" si="7"/>
        <v>#N/A</v>
      </c>
      <c r="AX13" s="412"/>
    </row>
    <row r="14" spans="1:50">
      <c r="A14" s="79"/>
      <c r="B14" s="398"/>
      <c r="C14" s="105">
        <v>8</v>
      </c>
      <c r="D14" s="228"/>
      <c r="E14" s="175"/>
      <c r="F14" s="105"/>
      <c r="G14" s="202"/>
      <c r="H14" s="385"/>
      <c r="I14" s="175"/>
      <c r="J14" s="175"/>
      <c r="K14" s="202"/>
      <c r="L14" s="385"/>
      <c r="M14" s="203" t="e">
        <f>RANK(K14, K$7:$K$21)</f>
        <v>#N/A</v>
      </c>
      <c r="N14" s="387"/>
      <c r="O14" s="387"/>
      <c r="P14" s="175"/>
      <c r="Q14" s="175"/>
      <c r="R14" s="202"/>
      <c r="S14" s="105" t="e">
        <f t="shared" si="1"/>
        <v>#N/A</v>
      </c>
      <c r="T14" s="412"/>
      <c r="U14" s="175"/>
      <c r="V14" s="175"/>
      <c r="W14" s="202"/>
      <c r="X14" s="105" t="e">
        <f t="shared" si="2"/>
        <v>#N/A</v>
      </c>
      <c r="Y14" s="412"/>
      <c r="Z14" s="105"/>
      <c r="AA14" s="175"/>
      <c r="AB14" s="202"/>
      <c r="AC14" s="105" t="e">
        <f t="shared" si="3"/>
        <v>#N/A</v>
      </c>
      <c r="AD14" s="412"/>
      <c r="AE14" s="175"/>
      <c r="AF14" s="175"/>
      <c r="AG14" s="202"/>
      <c r="AH14" s="105" t="e">
        <f t="shared" si="4"/>
        <v>#N/A</v>
      </c>
      <c r="AI14" s="412"/>
      <c r="AJ14" s="105"/>
      <c r="AK14" s="175"/>
      <c r="AL14" s="202"/>
      <c r="AM14" s="105" t="e">
        <f t="shared" si="5"/>
        <v>#N/A</v>
      </c>
      <c r="AN14" s="412"/>
      <c r="AO14" s="105"/>
      <c r="AP14" s="175"/>
      <c r="AQ14" s="202"/>
      <c r="AR14" s="105" t="e">
        <f t="shared" si="6"/>
        <v>#N/A</v>
      </c>
      <c r="AS14" s="412"/>
      <c r="AT14" s="105"/>
      <c r="AU14" s="175"/>
      <c r="AV14" s="202"/>
      <c r="AW14" s="105" t="e">
        <f t="shared" si="7"/>
        <v>#N/A</v>
      </c>
      <c r="AX14" s="412"/>
    </row>
    <row r="15" spans="1:50">
      <c r="A15" s="79"/>
      <c r="B15" s="398"/>
      <c r="C15" s="105">
        <v>9</v>
      </c>
      <c r="D15" s="228"/>
      <c r="E15" s="175"/>
      <c r="F15" s="105"/>
      <c r="G15" s="202"/>
      <c r="H15" s="385"/>
      <c r="I15" s="175"/>
      <c r="J15" s="175"/>
      <c r="K15" s="202"/>
      <c r="L15" s="385"/>
      <c r="M15" s="203" t="e">
        <f>RANK(K15, K$7:$K$21)</f>
        <v>#N/A</v>
      </c>
      <c r="N15" s="387"/>
      <c r="O15" s="387"/>
      <c r="P15" s="175"/>
      <c r="Q15" s="175"/>
      <c r="R15" s="202"/>
      <c r="S15" s="105" t="e">
        <f t="shared" si="1"/>
        <v>#N/A</v>
      </c>
      <c r="T15" s="412"/>
      <c r="U15" s="175"/>
      <c r="V15" s="175"/>
      <c r="W15" s="202"/>
      <c r="X15" s="105" t="e">
        <f t="shared" si="2"/>
        <v>#N/A</v>
      </c>
      <c r="Y15" s="412"/>
      <c r="Z15" s="105"/>
      <c r="AA15" s="175"/>
      <c r="AB15" s="202"/>
      <c r="AC15" s="105" t="e">
        <f t="shared" si="3"/>
        <v>#N/A</v>
      </c>
      <c r="AD15" s="412"/>
      <c r="AE15" s="175"/>
      <c r="AF15" s="175"/>
      <c r="AG15" s="202"/>
      <c r="AH15" s="105" t="e">
        <f t="shared" si="4"/>
        <v>#N/A</v>
      </c>
      <c r="AI15" s="412"/>
      <c r="AJ15" s="105"/>
      <c r="AK15" s="175"/>
      <c r="AL15" s="202"/>
      <c r="AM15" s="105" t="e">
        <f t="shared" si="5"/>
        <v>#N/A</v>
      </c>
      <c r="AN15" s="412"/>
      <c r="AO15" s="105"/>
      <c r="AP15" s="175"/>
      <c r="AQ15" s="202"/>
      <c r="AR15" s="105" t="e">
        <f t="shared" si="6"/>
        <v>#N/A</v>
      </c>
      <c r="AS15" s="412"/>
      <c r="AT15" s="105"/>
      <c r="AU15" s="175"/>
      <c r="AV15" s="202"/>
      <c r="AW15" s="105" t="e">
        <f t="shared" si="7"/>
        <v>#N/A</v>
      </c>
      <c r="AX15" s="412"/>
    </row>
    <row r="16" spans="1:50">
      <c r="A16" s="79"/>
      <c r="B16" s="398"/>
      <c r="C16" s="105">
        <v>10</v>
      </c>
      <c r="D16" s="228"/>
      <c r="E16" s="175"/>
      <c r="F16" s="105"/>
      <c r="G16" s="202"/>
      <c r="H16" s="385"/>
      <c r="I16" s="175"/>
      <c r="J16" s="175"/>
      <c r="K16" s="202"/>
      <c r="L16" s="385"/>
      <c r="M16" s="203" t="e">
        <f>RANK(K16, K$7:$K$21)</f>
        <v>#N/A</v>
      </c>
      <c r="N16" s="387"/>
      <c r="O16" s="387"/>
      <c r="P16" s="175"/>
      <c r="Q16" s="175"/>
      <c r="R16" s="202"/>
      <c r="S16" s="105" t="e">
        <f t="shared" si="1"/>
        <v>#N/A</v>
      </c>
      <c r="T16" s="412"/>
      <c r="U16" s="175"/>
      <c r="V16" s="175"/>
      <c r="W16" s="202"/>
      <c r="X16" s="105" t="e">
        <f t="shared" si="2"/>
        <v>#N/A</v>
      </c>
      <c r="Y16" s="412"/>
      <c r="Z16" s="105"/>
      <c r="AA16" s="175"/>
      <c r="AB16" s="202"/>
      <c r="AC16" s="105" t="e">
        <f t="shared" si="3"/>
        <v>#N/A</v>
      </c>
      <c r="AD16" s="412"/>
      <c r="AE16" s="175"/>
      <c r="AF16" s="175"/>
      <c r="AG16" s="202"/>
      <c r="AH16" s="105" t="e">
        <f t="shared" si="4"/>
        <v>#N/A</v>
      </c>
      <c r="AI16" s="412"/>
      <c r="AJ16" s="105"/>
      <c r="AK16" s="175"/>
      <c r="AL16" s="202"/>
      <c r="AM16" s="105" t="e">
        <f t="shared" si="5"/>
        <v>#N/A</v>
      </c>
      <c r="AN16" s="412"/>
      <c r="AO16" s="105"/>
      <c r="AP16" s="175"/>
      <c r="AQ16" s="202"/>
      <c r="AR16" s="105" t="e">
        <f t="shared" si="6"/>
        <v>#N/A</v>
      </c>
      <c r="AS16" s="412"/>
      <c r="AT16" s="105"/>
      <c r="AU16" s="175"/>
      <c r="AV16" s="202"/>
      <c r="AW16" s="105" t="e">
        <f t="shared" si="7"/>
        <v>#N/A</v>
      </c>
      <c r="AX16" s="412"/>
    </row>
    <row r="17" spans="2:50">
      <c r="B17" s="398"/>
      <c r="C17" s="105">
        <v>11</v>
      </c>
      <c r="D17" s="228"/>
      <c r="E17" s="175"/>
      <c r="F17" s="105"/>
      <c r="G17" s="202"/>
      <c r="H17" s="385"/>
      <c r="I17" s="175"/>
      <c r="J17" s="175"/>
      <c r="K17" s="202"/>
      <c r="L17" s="385"/>
      <c r="M17" s="203" t="e">
        <f>RANK(K17, K$7:$K$21)</f>
        <v>#N/A</v>
      </c>
      <c r="N17" s="387"/>
      <c r="O17" s="387"/>
      <c r="P17" s="105"/>
      <c r="Q17" s="105"/>
      <c r="R17" s="105"/>
      <c r="S17" s="105" t="e">
        <f t="shared" si="1"/>
        <v>#N/A</v>
      </c>
      <c r="T17" s="412"/>
      <c r="U17" s="105"/>
      <c r="V17" s="105"/>
      <c r="W17" s="105"/>
      <c r="X17" s="105" t="e">
        <f t="shared" si="2"/>
        <v>#N/A</v>
      </c>
      <c r="Y17" s="412"/>
      <c r="Z17" s="105"/>
      <c r="AA17" s="105"/>
      <c r="AB17" s="105"/>
      <c r="AC17" s="105" t="e">
        <f t="shared" si="3"/>
        <v>#N/A</v>
      </c>
      <c r="AD17" s="412"/>
      <c r="AE17" s="175"/>
      <c r="AF17" s="175"/>
      <c r="AG17" s="202"/>
      <c r="AH17" s="105" t="e">
        <f t="shared" si="4"/>
        <v>#N/A</v>
      </c>
      <c r="AI17" s="412"/>
      <c r="AJ17" s="105"/>
      <c r="AK17" s="105"/>
      <c r="AL17" s="105"/>
      <c r="AM17" s="105" t="e">
        <f t="shared" si="5"/>
        <v>#N/A</v>
      </c>
      <c r="AN17" s="412"/>
      <c r="AO17" s="105"/>
      <c r="AP17" s="105"/>
      <c r="AQ17" s="105"/>
      <c r="AR17" s="105" t="e">
        <f t="shared" si="6"/>
        <v>#N/A</v>
      </c>
      <c r="AS17" s="412"/>
      <c r="AT17" s="105"/>
      <c r="AU17" s="105"/>
      <c r="AV17" s="105"/>
      <c r="AW17" s="105" t="e">
        <f t="shared" si="7"/>
        <v>#N/A</v>
      </c>
      <c r="AX17" s="412"/>
    </row>
    <row r="18" spans="2:50">
      <c r="B18" s="398"/>
      <c r="C18" s="105">
        <v>12</v>
      </c>
      <c r="D18" s="228"/>
      <c r="E18" s="175"/>
      <c r="F18" s="105"/>
      <c r="G18" s="202"/>
      <c r="H18" s="385"/>
      <c r="I18" s="175"/>
      <c r="J18" s="175"/>
      <c r="K18" s="202"/>
      <c r="L18" s="385"/>
      <c r="M18" s="203" t="e">
        <f>RANK(K18, K$7:$K$21)</f>
        <v>#N/A</v>
      </c>
      <c r="N18" s="387"/>
      <c r="O18" s="387"/>
      <c r="P18" s="105"/>
      <c r="Q18" s="105"/>
      <c r="R18" s="105"/>
      <c r="S18" s="105" t="e">
        <f t="shared" si="1"/>
        <v>#N/A</v>
      </c>
      <c r="T18" s="412"/>
      <c r="U18" s="105"/>
      <c r="V18" s="105"/>
      <c r="W18" s="105"/>
      <c r="X18" s="105" t="e">
        <f t="shared" si="2"/>
        <v>#N/A</v>
      </c>
      <c r="Y18" s="412"/>
      <c r="Z18" s="105"/>
      <c r="AA18" s="105"/>
      <c r="AB18" s="105"/>
      <c r="AC18" s="105" t="e">
        <f t="shared" si="3"/>
        <v>#N/A</v>
      </c>
      <c r="AD18" s="412"/>
      <c r="AE18" s="175"/>
      <c r="AF18" s="175"/>
      <c r="AG18" s="202"/>
      <c r="AH18" s="105" t="e">
        <f t="shared" si="4"/>
        <v>#N/A</v>
      </c>
      <c r="AI18" s="412"/>
      <c r="AJ18" s="105"/>
      <c r="AK18" s="105"/>
      <c r="AL18" s="105"/>
      <c r="AM18" s="105" t="e">
        <f t="shared" si="5"/>
        <v>#N/A</v>
      </c>
      <c r="AN18" s="412"/>
      <c r="AO18" s="105"/>
      <c r="AP18" s="105"/>
      <c r="AQ18" s="105"/>
      <c r="AR18" s="105" t="e">
        <f t="shared" si="6"/>
        <v>#N/A</v>
      </c>
      <c r="AS18" s="412"/>
      <c r="AT18" s="105"/>
      <c r="AU18" s="105"/>
      <c r="AV18" s="105"/>
      <c r="AW18" s="105" t="e">
        <f t="shared" si="7"/>
        <v>#N/A</v>
      </c>
      <c r="AX18" s="412"/>
    </row>
    <row r="19" spans="2:50">
      <c r="B19" s="398"/>
      <c r="C19" s="105">
        <v>13</v>
      </c>
      <c r="D19" s="228"/>
      <c r="E19" s="175"/>
      <c r="F19" s="105"/>
      <c r="G19" s="202"/>
      <c r="H19" s="385"/>
      <c r="I19" s="175"/>
      <c r="J19" s="175"/>
      <c r="K19" s="202"/>
      <c r="L19" s="385"/>
      <c r="M19" s="203" t="e">
        <f>RANK(K19, K$7:$K$21)</f>
        <v>#N/A</v>
      </c>
      <c r="N19" s="387"/>
      <c r="O19" s="387"/>
      <c r="P19" s="105"/>
      <c r="Q19" s="105"/>
      <c r="R19" s="105"/>
      <c r="S19" s="105" t="e">
        <f t="shared" si="1"/>
        <v>#N/A</v>
      </c>
      <c r="T19" s="412"/>
      <c r="U19" s="105"/>
      <c r="V19" s="105"/>
      <c r="W19" s="105"/>
      <c r="X19" s="105" t="e">
        <f t="shared" si="2"/>
        <v>#N/A</v>
      </c>
      <c r="Y19" s="412"/>
      <c r="Z19" s="105"/>
      <c r="AA19" s="105"/>
      <c r="AB19" s="105"/>
      <c r="AC19" s="105" t="e">
        <f t="shared" si="3"/>
        <v>#N/A</v>
      </c>
      <c r="AD19" s="412"/>
      <c r="AE19" s="175"/>
      <c r="AF19" s="175"/>
      <c r="AG19" s="202"/>
      <c r="AH19" s="105" t="e">
        <f t="shared" si="4"/>
        <v>#N/A</v>
      </c>
      <c r="AI19" s="412"/>
      <c r="AJ19" s="105"/>
      <c r="AK19" s="105"/>
      <c r="AL19" s="105"/>
      <c r="AM19" s="105" t="e">
        <f t="shared" si="5"/>
        <v>#N/A</v>
      </c>
      <c r="AN19" s="412"/>
      <c r="AO19" s="105"/>
      <c r="AP19" s="105"/>
      <c r="AQ19" s="105"/>
      <c r="AR19" s="105" t="e">
        <f t="shared" si="6"/>
        <v>#N/A</v>
      </c>
      <c r="AS19" s="412"/>
      <c r="AT19" s="105"/>
      <c r="AU19" s="105"/>
      <c r="AV19" s="105"/>
      <c r="AW19" s="105" t="e">
        <f t="shared" si="7"/>
        <v>#N/A</v>
      </c>
      <c r="AX19" s="412"/>
    </row>
    <row r="20" spans="2:50">
      <c r="B20" s="398"/>
      <c r="C20" s="105">
        <v>14</v>
      </c>
      <c r="D20" s="228"/>
      <c r="E20" s="175"/>
      <c r="F20" s="105"/>
      <c r="G20" s="202"/>
      <c r="H20" s="385"/>
      <c r="I20" s="175"/>
      <c r="J20" s="175"/>
      <c r="K20" s="202"/>
      <c r="L20" s="385"/>
      <c r="M20" s="203" t="e">
        <f>RANK(K20, K$7:$K$21)</f>
        <v>#N/A</v>
      </c>
      <c r="N20" s="387"/>
      <c r="O20" s="387"/>
      <c r="P20" s="105"/>
      <c r="Q20" s="105"/>
      <c r="R20" s="105"/>
      <c r="S20" s="105" t="e">
        <f t="shared" si="1"/>
        <v>#N/A</v>
      </c>
      <c r="T20" s="412"/>
      <c r="U20" s="105"/>
      <c r="V20" s="105"/>
      <c r="W20" s="105"/>
      <c r="X20" s="105" t="e">
        <f t="shared" si="2"/>
        <v>#N/A</v>
      </c>
      <c r="Y20" s="412"/>
      <c r="Z20" s="105"/>
      <c r="AA20" s="105"/>
      <c r="AB20" s="105"/>
      <c r="AC20" s="105" t="e">
        <f t="shared" si="3"/>
        <v>#N/A</v>
      </c>
      <c r="AD20" s="412"/>
      <c r="AE20" s="175"/>
      <c r="AF20" s="175"/>
      <c r="AG20" s="202"/>
      <c r="AH20" s="105" t="e">
        <f t="shared" si="4"/>
        <v>#N/A</v>
      </c>
      <c r="AI20" s="412"/>
      <c r="AJ20" s="105"/>
      <c r="AK20" s="105"/>
      <c r="AL20" s="105"/>
      <c r="AM20" s="105" t="e">
        <f t="shared" si="5"/>
        <v>#N/A</v>
      </c>
      <c r="AN20" s="412"/>
      <c r="AO20" s="105"/>
      <c r="AP20" s="105"/>
      <c r="AQ20" s="105"/>
      <c r="AR20" s="105" t="e">
        <f t="shared" si="6"/>
        <v>#N/A</v>
      </c>
      <c r="AS20" s="412"/>
      <c r="AT20" s="105"/>
      <c r="AU20" s="105"/>
      <c r="AV20" s="105"/>
      <c r="AW20" s="105" t="e">
        <f t="shared" si="7"/>
        <v>#N/A</v>
      </c>
      <c r="AX20" s="412"/>
    </row>
    <row r="21" spans="2:50">
      <c r="B21" s="398"/>
      <c r="C21" s="105">
        <v>15</v>
      </c>
      <c r="D21" s="228"/>
      <c r="E21" s="175"/>
      <c r="F21" s="105"/>
      <c r="G21" s="202"/>
      <c r="H21" s="386"/>
      <c r="I21" s="175"/>
      <c r="J21" s="175"/>
      <c r="K21" s="202"/>
      <c r="L21" s="386"/>
      <c r="M21" s="175" t="e">
        <f>RANK(K21, K$7:$K$21)</f>
        <v>#N/A</v>
      </c>
      <c r="N21" s="387"/>
      <c r="O21" s="387"/>
      <c r="P21" s="105"/>
      <c r="Q21" s="105"/>
      <c r="R21" s="105"/>
      <c r="S21" s="105" t="e">
        <f t="shared" si="1"/>
        <v>#N/A</v>
      </c>
      <c r="T21" s="412"/>
      <c r="U21" s="105"/>
      <c r="V21" s="105"/>
      <c r="W21" s="105"/>
      <c r="X21" s="105" t="e">
        <f t="shared" si="2"/>
        <v>#N/A</v>
      </c>
      <c r="Y21" s="412"/>
      <c r="Z21" s="105"/>
      <c r="AA21" s="105"/>
      <c r="AB21" s="105"/>
      <c r="AC21" s="105" t="e">
        <f t="shared" si="3"/>
        <v>#N/A</v>
      </c>
      <c r="AD21" s="412"/>
      <c r="AE21" s="175"/>
      <c r="AF21" s="175"/>
      <c r="AG21" s="202"/>
      <c r="AH21" s="105" t="e">
        <f t="shared" si="4"/>
        <v>#N/A</v>
      </c>
      <c r="AI21" s="412"/>
      <c r="AJ21" s="105"/>
      <c r="AK21" s="105"/>
      <c r="AL21" s="105"/>
      <c r="AM21" s="105" t="e">
        <f t="shared" si="5"/>
        <v>#N/A</v>
      </c>
      <c r="AN21" s="412"/>
      <c r="AO21" s="105"/>
      <c r="AP21" s="105"/>
      <c r="AQ21" s="105"/>
      <c r="AR21" s="105" t="e">
        <f t="shared" si="6"/>
        <v>#N/A</v>
      </c>
      <c r="AS21" s="412"/>
      <c r="AT21" s="105"/>
      <c r="AU21" s="105"/>
      <c r="AV21" s="105"/>
      <c r="AW21" s="105" t="e">
        <f t="shared" si="7"/>
        <v>#N/A</v>
      </c>
      <c r="AX21" s="412"/>
    </row>
    <row r="22" spans="2:50" ht="15.75">
      <c r="B22" s="408" t="s">
        <v>195</v>
      </c>
      <c r="C22" s="409"/>
      <c r="D22" s="409"/>
      <c r="E22" s="409"/>
      <c r="F22" s="409"/>
      <c r="G22" s="409"/>
      <c r="H22" s="409"/>
      <c r="I22" s="174"/>
      <c r="J22" s="174"/>
      <c r="K22" s="174"/>
      <c r="L22" s="174"/>
      <c r="M22" s="171"/>
      <c r="N22" s="399" t="s">
        <v>196</v>
      </c>
      <c r="O22" s="399" t="s">
        <v>145</v>
      </c>
      <c r="P22" s="410">
        <v>45874</v>
      </c>
      <c r="Q22" s="411"/>
      <c r="R22" s="411"/>
      <c r="S22" s="411"/>
      <c r="T22" s="411"/>
      <c r="U22" s="397">
        <f>P22+1</f>
        <v>45875</v>
      </c>
      <c r="V22" s="398"/>
      <c r="W22" s="398"/>
      <c r="X22" s="398"/>
      <c r="Y22" s="398"/>
      <c r="Z22" s="397">
        <f>U22+1</f>
        <v>45876</v>
      </c>
      <c r="AA22" s="398"/>
      <c r="AB22" s="398"/>
      <c r="AC22" s="398"/>
      <c r="AD22" s="398"/>
      <c r="AE22" s="397">
        <f>Z22+1</f>
        <v>45877</v>
      </c>
      <c r="AF22" s="398"/>
      <c r="AG22" s="398"/>
      <c r="AH22" s="398"/>
      <c r="AI22" s="398"/>
      <c r="AJ22" s="397">
        <f>AE22+1</f>
        <v>45878</v>
      </c>
      <c r="AK22" s="398"/>
      <c r="AL22" s="398"/>
      <c r="AM22" s="398"/>
      <c r="AN22" s="398"/>
      <c r="AO22" s="397">
        <f>AJ22+1</f>
        <v>45879</v>
      </c>
      <c r="AP22" s="398"/>
      <c r="AQ22" s="398"/>
      <c r="AR22" s="398"/>
      <c r="AS22" s="398"/>
      <c r="AT22" s="397">
        <f>AO22+1</f>
        <v>45880</v>
      </c>
      <c r="AU22" s="398"/>
      <c r="AV22" s="398"/>
      <c r="AW22" s="398"/>
      <c r="AX22" s="398"/>
    </row>
    <row r="23" spans="2:50" ht="15.75">
      <c r="B23" s="407"/>
      <c r="C23" s="407"/>
      <c r="D23" s="407"/>
      <c r="E23" s="407"/>
      <c r="F23" s="407"/>
      <c r="G23" s="407"/>
      <c r="H23" s="407"/>
      <c r="I23" s="172"/>
      <c r="J23" s="172"/>
      <c r="K23" s="172"/>
      <c r="L23" s="172"/>
      <c r="M23" s="173"/>
      <c r="N23" s="401"/>
      <c r="O23" s="401"/>
      <c r="P23" s="397" t="s">
        <v>159</v>
      </c>
      <c r="Q23" s="398"/>
      <c r="R23" s="398"/>
      <c r="S23" s="398"/>
      <c r="T23" s="398"/>
      <c r="U23" s="397" t="s">
        <v>160</v>
      </c>
      <c r="V23" s="398"/>
      <c r="W23" s="398"/>
      <c r="X23" s="398"/>
      <c r="Y23" s="398"/>
      <c r="Z23" s="397" t="s">
        <v>161</v>
      </c>
      <c r="AA23" s="398"/>
      <c r="AB23" s="398"/>
      <c r="AC23" s="398"/>
      <c r="AD23" s="398"/>
      <c r="AE23" s="397" t="s">
        <v>156</v>
      </c>
      <c r="AF23" s="398"/>
      <c r="AG23" s="398"/>
      <c r="AH23" s="398"/>
      <c r="AI23" s="398"/>
      <c r="AJ23" s="397" t="s">
        <v>157</v>
      </c>
      <c r="AK23" s="398"/>
      <c r="AL23" s="398"/>
      <c r="AM23" s="398"/>
      <c r="AN23" s="398"/>
      <c r="AO23" s="397" t="s">
        <v>152</v>
      </c>
      <c r="AP23" s="398"/>
      <c r="AQ23" s="398"/>
      <c r="AR23" s="398"/>
      <c r="AS23" s="398"/>
      <c r="AT23" s="397" t="s">
        <v>158</v>
      </c>
      <c r="AU23" s="398"/>
      <c r="AV23" s="398"/>
      <c r="AW23" s="398"/>
      <c r="AX23" s="398"/>
    </row>
    <row r="24" spans="2:50">
      <c r="B24" s="387" t="s">
        <v>197</v>
      </c>
      <c r="C24" s="387" t="s">
        <v>198</v>
      </c>
      <c r="D24" s="387"/>
      <c r="E24" s="387" t="s">
        <v>199</v>
      </c>
      <c r="F24" s="387"/>
      <c r="G24" s="387"/>
      <c r="H24" s="388" t="s">
        <v>200</v>
      </c>
      <c r="I24" s="387" t="s">
        <v>201</v>
      </c>
      <c r="J24" s="387"/>
      <c r="K24" s="387"/>
      <c r="L24" s="388" t="s">
        <v>200</v>
      </c>
      <c r="M24" s="399" t="s">
        <v>202</v>
      </c>
      <c r="N24" s="387"/>
      <c r="O24" s="387" t="s">
        <v>203</v>
      </c>
      <c r="P24" s="391" t="s">
        <v>204</v>
      </c>
      <c r="Q24" s="392"/>
      <c r="R24" s="392"/>
      <c r="S24" s="393"/>
      <c r="T24" s="387" t="s">
        <v>200</v>
      </c>
      <c r="U24" s="391" t="s">
        <v>204</v>
      </c>
      <c r="V24" s="392"/>
      <c r="W24" s="392"/>
      <c r="X24" s="393"/>
      <c r="Y24" s="387" t="s">
        <v>200</v>
      </c>
      <c r="Z24" s="391" t="s">
        <v>204</v>
      </c>
      <c r="AA24" s="392"/>
      <c r="AB24" s="392"/>
      <c r="AC24" s="393"/>
      <c r="AD24" s="387" t="s">
        <v>200</v>
      </c>
      <c r="AE24" s="391" t="s">
        <v>204</v>
      </c>
      <c r="AF24" s="392"/>
      <c r="AG24" s="392"/>
      <c r="AH24" s="393"/>
      <c r="AI24" s="387" t="s">
        <v>200</v>
      </c>
      <c r="AJ24" s="391" t="s">
        <v>204</v>
      </c>
      <c r="AK24" s="392"/>
      <c r="AL24" s="392"/>
      <c r="AM24" s="393"/>
      <c r="AN24" s="387" t="s">
        <v>200</v>
      </c>
      <c r="AO24" s="391" t="s">
        <v>204</v>
      </c>
      <c r="AP24" s="392"/>
      <c r="AQ24" s="392"/>
      <c r="AR24" s="393"/>
      <c r="AS24" s="387" t="s">
        <v>200</v>
      </c>
      <c r="AT24" s="391" t="s">
        <v>204</v>
      </c>
      <c r="AU24" s="392"/>
      <c r="AV24" s="392"/>
      <c r="AW24" s="393"/>
      <c r="AX24" s="387" t="s">
        <v>200</v>
      </c>
    </row>
    <row r="25" spans="2:50">
      <c r="B25" s="387"/>
      <c r="C25" s="387"/>
      <c r="D25" s="387"/>
      <c r="E25" s="387" t="s">
        <v>205</v>
      </c>
      <c r="F25" s="387"/>
      <c r="G25" s="387"/>
      <c r="H25" s="389"/>
      <c r="I25" s="387" t="s">
        <v>205</v>
      </c>
      <c r="J25" s="387"/>
      <c r="K25" s="387"/>
      <c r="L25" s="389"/>
      <c r="M25" s="400"/>
      <c r="N25" s="387"/>
      <c r="O25" s="387"/>
      <c r="P25" s="391" t="s">
        <v>206</v>
      </c>
      <c r="Q25" s="392"/>
      <c r="R25" s="392"/>
      <c r="S25" s="393"/>
      <c r="T25" s="387"/>
      <c r="U25" s="391" t="s">
        <v>206</v>
      </c>
      <c r="V25" s="392"/>
      <c r="W25" s="392"/>
      <c r="X25" s="393"/>
      <c r="Y25" s="387"/>
      <c r="Z25" s="391" t="s">
        <v>206</v>
      </c>
      <c r="AA25" s="392"/>
      <c r="AB25" s="392"/>
      <c r="AC25" s="393"/>
      <c r="AD25" s="387"/>
      <c r="AE25" s="391" t="s">
        <v>206</v>
      </c>
      <c r="AF25" s="392"/>
      <c r="AG25" s="392"/>
      <c r="AH25" s="393"/>
      <c r="AI25" s="387"/>
      <c r="AJ25" s="391" t="s">
        <v>206</v>
      </c>
      <c r="AK25" s="392"/>
      <c r="AL25" s="392"/>
      <c r="AM25" s="393"/>
      <c r="AN25" s="387"/>
      <c r="AO25" s="391" t="s">
        <v>206</v>
      </c>
      <c r="AP25" s="392"/>
      <c r="AQ25" s="392"/>
      <c r="AR25" s="393"/>
      <c r="AS25" s="387"/>
      <c r="AT25" s="391" t="s">
        <v>206</v>
      </c>
      <c r="AU25" s="392"/>
      <c r="AV25" s="392"/>
      <c r="AW25" s="393"/>
      <c r="AX25" s="387"/>
    </row>
    <row r="26" spans="2:50">
      <c r="B26" s="387"/>
      <c r="C26" s="387"/>
      <c r="D26" s="387"/>
      <c r="E26" s="104" t="s">
        <v>207</v>
      </c>
      <c r="F26" s="104" t="s">
        <v>208</v>
      </c>
      <c r="G26" s="104" t="s">
        <v>209</v>
      </c>
      <c r="H26" s="390"/>
      <c r="I26" s="104" t="s">
        <v>207</v>
      </c>
      <c r="J26" s="104" t="s">
        <v>208</v>
      </c>
      <c r="K26" s="104" t="s">
        <v>209</v>
      </c>
      <c r="L26" s="390"/>
      <c r="M26" s="401"/>
      <c r="N26" s="387"/>
      <c r="O26" s="387"/>
      <c r="P26" s="104" t="s">
        <v>207</v>
      </c>
      <c r="Q26" s="104" t="s">
        <v>208</v>
      </c>
      <c r="R26" s="104" t="s">
        <v>209</v>
      </c>
      <c r="S26" s="104" t="s">
        <v>202</v>
      </c>
      <c r="T26" s="387"/>
      <c r="U26" s="104" t="s">
        <v>207</v>
      </c>
      <c r="V26" s="104" t="s">
        <v>208</v>
      </c>
      <c r="W26" s="104" t="s">
        <v>209</v>
      </c>
      <c r="X26" s="104" t="s">
        <v>202</v>
      </c>
      <c r="Y26" s="387"/>
      <c r="Z26" s="104" t="s">
        <v>207</v>
      </c>
      <c r="AA26" s="104" t="s">
        <v>208</v>
      </c>
      <c r="AB26" s="104" t="s">
        <v>209</v>
      </c>
      <c r="AC26" s="104" t="s">
        <v>202</v>
      </c>
      <c r="AD26" s="387"/>
      <c r="AE26" s="104" t="s">
        <v>207</v>
      </c>
      <c r="AF26" s="104" t="s">
        <v>208</v>
      </c>
      <c r="AG26" s="104" t="s">
        <v>209</v>
      </c>
      <c r="AH26" s="104" t="s">
        <v>202</v>
      </c>
      <c r="AI26" s="387"/>
      <c r="AJ26" s="104" t="s">
        <v>207</v>
      </c>
      <c r="AK26" s="104" t="s">
        <v>208</v>
      </c>
      <c r="AL26" s="104" t="s">
        <v>209</v>
      </c>
      <c r="AM26" s="104" t="s">
        <v>202</v>
      </c>
      <c r="AN26" s="387"/>
      <c r="AO26" s="104" t="s">
        <v>207</v>
      </c>
      <c r="AP26" s="104" t="s">
        <v>208</v>
      </c>
      <c r="AQ26" s="104" t="s">
        <v>209</v>
      </c>
      <c r="AR26" s="104" t="s">
        <v>202</v>
      </c>
      <c r="AS26" s="387"/>
      <c r="AT26" s="104" t="s">
        <v>207</v>
      </c>
      <c r="AU26" s="104" t="s">
        <v>208</v>
      </c>
      <c r="AV26" s="104" t="s">
        <v>209</v>
      </c>
      <c r="AW26" s="104" t="s">
        <v>202</v>
      </c>
      <c r="AX26" s="387"/>
    </row>
    <row r="27" spans="2:50">
      <c r="B27" s="387" t="s">
        <v>184</v>
      </c>
      <c r="C27" s="105">
        <v>1</v>
      </c>
      <c r="D27" s="228" t="s">
        <v>321</v>
      </c>
      <c r="E27" s="175">
        <v>5</v>
      </c>
      <c r="F27" s="105">
        <v>1500</v>
      </c>
      <c r="G27" s="202">
        <v>300</v>
      </c>
      <c r="H27" s="384">
        <f>AVERAGE(G27:G41)</f>
        <v>125.66666666666666</v>
      </c>
      <c r="I27" s="175">
        <f>AVERAGE(P27,U27,Z27,AE27,AJ27,AO27,AT27)</f>
        <v>6</v>
      </c>
      <c r="J27" s="175">
        <f>AVERAGE(Q27,V27,AA27,AF27,AK27,AP27,AU27)</f>
        <v>1282.7427827918502</v>
      </c>
      <c r="K27" s="202">
        <f>AVERAGE(R27,W27,AB27,AG27,AL27,AQ27,AV27)</f>
        <v>213.7904637986417</v>
      </c>
      <c r="L27" s="384">
        <f>IFERROR(AVERAGE(K27:K41),"-")</f>
        <v>98.354385859081049</v>
      </c>
      <c r="M27" s="203">
        <f>RANK(K27, K$27:$K$41)</f>
        <v>1</v>
      </c>
      <c r="N27" s="387"/>
      <c r="O27" s="387"/>
      <c r="P27" s="105">
        <v>6</v>
      </c>
      <c r="Q27" s="175">
        <v>1258.8571428571431</v>
      </c>
      <c r="R27" s="202">
        <v>209.80952380952385</v>
      </c>
      <c r="S27" s="105">
        <f>RANK(R27, R$27:R$41)</f>
        <v>1</v>
      </c>
      <c r="T27" s="402">
        <f>AVERAGE(R27:R41)</f>
        <v>97.138202130325823</v>
      </c>
      <c r="U27" s="105">
        <v>6</v>
      </c>
      <c r="V27" s="175">
        <v>1295.4285714285716</v>
      </c>
      <c r="W27" s="202">
        <v>215.90476190476193</v>
      </c>
      <c r="X27" s="105">
        <f>RANK(W27, W$27:W$41)</f>
        <v>1</v>
      </c>
      <c r="Y27" s="402">
        <f>AVERAGE(W27:W41)</f>
        <v>98.824283198962107</v>
      </c>
      <c r="Z27" s="105">
        <v>6</v>
      </c>
      <c r="AA27" s="175">
        <v>1311.3402061855668</v>
      </c>
      <c r="AB27" s="202">
        <v>218.5567010309278</v>
      </c>
      <c r="AC27" s="105">
        <f>RANK(AB27, AB$27:AB$41)</f>
        <v>1</v>
      </c>
      <c r="AD27" s="402">
        <f>AVERAGE(AB27:AB41)</f>
        <v>98.709658192383841</v>
      </c>
      <c r="AE27" s="105">
        <v>6</v>
      </c>
      <c r="AF27" s="175">
        <v>1264.4680851063827</v>
      </c>
      <c r="AG27" s="202">
        <v>210.74468085106378</v>
      </c>
      <c r="AH27" s="105">
        <f>RANK(AG27, AG$27:AG$41)</f>
        <v>1</v>
      </c>
      <c r="AI27" s="402">
        <f>AVERAGE(AG27:AG41)</f>
        <v>98.67981404774271</v>
      </c>
      <c r="AJ27" s="105">
        <v>6</v>
      </c>
      <c r="AK27" s="175">
        <v>1302.8571428571429</v>
      </c>
      <c r="AL27" s="202">
        <v>217.14285714285714</v>
      </c>
      <c r="AM27" s="105">
        <f>RANK(AL27, AL$27:AL$41)</f>
        <v>1</v>
      </c>
      <c r="AN27" s="402">
        <f>AVERAGE(AL27:AL41)</f>
        <v>99.245188327450791</v>
      </c>
      <c r="AO27" s="105">
        <v>6</v>
      </c>
      <c r="AP27" s="175">
        <v>1291.9626168224299</v>
      </c>
      <c r="AQ27" s="202">
        <v>215.32710280373831</v>
      </c>
      <c r="AR27" s="105">
        <f>RANK(AQ27, AQ$27:AQ$41)</f>
        <v>1</v>
      </c>
      <c r="AS27" s="402">
        <f>AVERAGE(AQ27:AQ41)</f>
        <v>98.028299510640082</v>
      </c>
      <c r="AT27" s="105">
        <v>6</v>
      </c>
      <c r="AU27" s="175">
        <v>1254.2857142857144</v>
      </c>
      <c r="AV27" s="202">
        <v>209.04761904761907</v>
      </c>
      <c r="AW27" s="105">
        <f>RANK(AV27, AV$27:AV$41)</f>
        <v>1</v>
      </c>
      <c r="AX27" s="402">
        <f>AVERAGE(AV27:AV41)</f>
        <v>97.855255606062045</v>
      </c>
    </row>
    <row r="28" spans="2:50">
      <c r="B28" s="398"/>
      <c r="C28" s="105">
        <v>2</v>
      </c>
      <c r="D28" s="228" t="s">
        <v>322</v>
      </c>
      <c r="E28" s="175">
        <v>15</v>
      </c>
      <c r="F28" s="105">
        <v>1500</v>
      </c>
      <c r="G28" s="202">
        <v>100</v>
      </c>
      <c r="H28" s="385"/>
      <c r="I28" s="175">
        <f t="shared" ref="I28:K31" si="8">AVERAGE(P28,U28,Z28,AE28,AJ28,AO28,AT28)</f>
        <v>15</v>
      </c>
      <c r="J28" s="175">
        <f t="shared" si="8"/>
        <v>1205.821117484478</v>
      </c>
      <c r="K28" s="202">
        <f t="shared" si="8"/>
        <v>80.388074498965196</v>
      </c>
      <c r="L28" s="385"/>
      <c r="M28" s="203">
        <f>RANK(K28, K$27:$K$41)</f>
        <v>2</v>
      </c>
      <c r="N28" s="387"/>
      <c r="O28" s="387"/>
      <c r="P28" s="105">
        <v>15</v>
      </c>
      <c r="Q28" s="175">
        <v>1208.5200000000004</v>
      </c>
      <c r="R28" s="202">
        <v>80.568000000000026</v>
      </c>
      <c r="S28" s="105">
        <f t="shared" ref="S28:S41" si="9">RANK(R28, R$27:R$41)</f>
        <v>2</v>
      </c>
      <c r="T28" s="403"/>
      <c r="U28" s="105">
        <v>15</v>
      </c>
      <c r="V28" s="175">
        <v>1223.6697247706431</v>
      </c>
      <c r="W28" s="202">
        <v>81.577981651376206</v>
      </c>
      <c r="X28" s="105">
        <f t="shared" ref="X28:X41" si="10">RANK(W28, W$27:W$41)</f>
        <v>2</v>
      </c>
      <c r="Y28" s="403"/>
      <c r="Z28" s="105">
        <v>15</v>
      </c>
      <c r="AA28" s="175">
        <v>1167.8571428571433</v>
      </c>
      <c r="AB28" s="202">
        <v>77.85714285714289</v>
      </c>
      <c r="AC28" s="105">
        <f t="shared" ref="AC28:AC41" si="11">RANK(AB28, AB$27:AB$41)</f>
        <v>2</v>
      </c>
      <c r="AD28" s="403"/>
      <c r="AE28" s="105">
        <v>15</v>
      </c>
      <c r="AF28" s="175">
        <v>1212.7397260273972</v>
      </c>
      <c r="AG28" s="202">
        <v>80.849315068493141</v>
      </c>
      <c r="AH28" s="105">
        <f t="shared" ref="AH28:AH41" si="12">RANK(AG28, AG$27:AG$41)</f>
        <v>2</v>
      </c>
      <c r="AI28" s="403"/>
      <c r="AJ28" s="105">
        <v>15</v>
      </c>
      <c r="AK28" s="175">
        <v>1217.7931034482754</v>
      </c>
      <c r="AL28" s="202">
        <v>81.186206896551695</v>
      </c>
      <c r="AM28" s="105">
        <f t="shared" ref="AM28:AM41" si="13">RANK(AL28, AL$27:AL$41)</f>
        <v>2</v>
      </c>
      <c r="AN28" s="403"/>
      <c r="AO28" s="105">
        <v>15</v>
      </c>
      <c r="AP28" s="175">
        <v>1186.7065868263473</v>
      </c>
      <c r="AQ28" s="202">
        <v>79.11377245508983</v>
      </c>
      <c r="AR28" s="105">
        <f t="shared" ref="AR28:AR41" si="14">RANK(AQ28, AQ$27:AQ$41)</f>
        <v>2</v>
      </c>
      <c r="AS28" s="403"/>
      <c r="AT28" s="105">
        <v>15</v>
      </c>
      <c r="AU28" s="175">
        <v>1223.4615384615386</v>
      </c>
      <c r="AV28" s="202">
        <v>81.564102564102569</v>
      </c>
      <c r="AW28" s="105">
        <f t="shared" ref="AW28:AW41" si="15">RANK(AV28, AV$27:AV$41)</f>
        <v>2</v>
      </c>
      <c r="AX28" s="403"/>
    </row>
    <row r="29" spans="2:50">
      <c r="B29" s="398"/>
      <c r="C29" s="105">
        <v>3</v>
      </c>
      <c r="D29" s="228" t="s">
        <v>323</v>
      </c>
      <c r="E29" s="175">
        <v>18</v>
      </c>
      <c r="F29" s="105">
        <v>1500</v>
      </c>
      <c r="G29" s="202">
        <v>83.333333333333329</v>
      </c>
      <c r="H29" s="385"/>
      <c r="I29" s="175">
        <f t="shared" si="8"/>
        <v>17.857142857142858</v>
      </c>
      <c r="J29" s="175">
        <f t="shared" si="8"/>
        <v>1198.4154473172036</v>
      </c>
      <c r="K29" s="202">
        <f t="shared" si="8"/>
        <v>67.137023251408849</v>
      </c>
      <c r="L29" s="385"/>
      <c r="M29" s="203">
        <f>RANK(K29, K$27:$K$41)</f>
        <v>4</v>
      </c>
      <c r="N29" s="387"/>
      <c r="O29" s="387"/>
      <c r="P29" s="105">
        <v>18</v>
      </c>
      <c r="Q29" s="175">
        <v>1185.5999999999999</v>
      </c>
      <c r="R29" s="202">
        <v>65.86666666666666</v>
      </c>
      <c r="S29" s="105">
        <f t="shared" si="9"/>
        <v>4</v>
      </c>
      <c r="T29" s="403"/>
      <c r="U29" s="105">
        <v>18</v>
      </c>
      <c r="V29" s="175">
        <v>1207.5999999999997</v>
      </c>
      <c r="W29" s="202">
        <v>67.088888888888874</v>
      </c>
      <c r="X29" s="105">
        <f t="shared" si="10"/>
        <v>4</v>
      </c>
      <c r="Y29" s="403"/>
      <c r="Z29" s="105">
        <v>18</v>
      </c>
      <c r="AA29" s="175">
        <v>1212.083333333333</v>
      </c>
      <c r="AB29" s="202">
        <v>67.337962962962948</v>
      </c>
      <c r="AC29" s="105">
        <f t="shared" si="11"/>
        <v>4</v>
      </c>
      <c r="AD29" s="403"/>
      <c r="AE29" s="105">
        <v>17</v>
      </c>
      <c r="AF29" s="175">
        <v>1196.0655737704922</v>
      </c>
      <c r="AG29" s="202">
        <v>70.356798457087777</v>
      </c>
      <c r="AH29" s="105">
        <f t="shared" si="12"/>
        <v>4</v>
      </c>
      <c r="AI29" s="403"/>
      <c r="AJ29" s="105">
        <v>18</v>
      </c>
      <c r="AK29" s="175">
        <v>1194.0983606557379</v>
      </c>
      <c r="AL29" s="202">
        <v>66.338797814207666</v>
      </c>
      <c r="AM29" s="105">
        <f t="shared" si="13"/>
        <v>4</v>
      </c>
      <c r="AN29" s="403"/>
      <c r="AO29" s="105">
        <v>18</v>
      </c>
      <c r="AP29" s="175">
        <v>1181.2987012987014</v>
      </c>
      <c r="AQ29" s="202">
        <v>65.627705627705637</v>
      </c>
      <c r="AR29" s="105">
        <f t="shared" si="14"/>
        <v>4</v>
      </c>
      <c r="AS29" s="403"/>
      <c r="AT29" s="105">
        <v>18</v>
      </c>
      <c r="AU29" s="175">
        <v>1212.1621621621625</v>
      </c>
      <c r="AV29" s="202">
        <v>67.342342342342363</v>
      </c>
      <c r="AW29" s="105">
        <f t="shared" si="15"/>
        <v>4</v>
      </c>
      <c r="AX29" s="403"/>
    </row>
    <row r="30" spans="2:50">
      <c r="B30" s="398"/>
      <c r="C30" s="105">
        <v>4</v>
      </c>
      <c r="D30" s="228" t="s">
        <v>324</v>
      </c>
      <c r="E30" s="175">
        <v>20</v>
      </c>
      <c r="F30" s="105">
        <v>1300</v>
      </c>
      <c r="G30" s="202">
        <v>65</v>
      </c>
      <c r="H30" s="385"/>
      <c r="I30" s="175">
        <f t="shared" si="8"/>
        <v>20</v>
      </c>
      <c r="J30" s="175">
        <f t="shared" si="8"/>
        <v>1084.9681515239324</v>
      </c>
      <c r="K30" s="202">
        <f t="shared" si="8"/>
        <v>54.24840757619662</v>
      </c>
      <c r="L30" s="385"/>
      <c r="M30" s="203">
        <f>RANK(K30, K$27:$K$41)</f>
        <v>5</v>
      </c>
      <c r="N30" s="387"/>
      <c r="O30" s="387"/>
      <c r="P30" s="105">
        <v>20</v>
      </c>
      <c r="Q30" s="175">
        <v>1064.3750000000005</v>
      </c>
      <c r="R30" s="202">
        <v>53.218750000000021</v>
      </c>
      <c r="S30" s="105">
        <f t="shared" si="9"/>
        <v>5</v>
      </c>
      <c r="T30" s="403"/>
      <c r="U30" s="105">
        <v>20</v>
      </c>
      <c r="V30" s="175">
        <v>1069.0909090909095</v>
      </c>
      <c r="W30" s="202">
        <v>53.454545454545475</v>
      </c>
      <c r="X30" s="105">
        <f t="shared" si="10"/>
        <v>5</v>
      </c>
      <c r="Y30" s="403"/>
      <c r="Z30" s="105">
        <v>20</v>
      </c>
      <c r="AA30" s="175">
        <v>1109.655172413793</v>
      </c>
      <c r="AB30" s="202">
        <v>55.482758620689651</v>
      </c>
      <c r="AC30" s="105">
        <f t="shared" si="11"/>
        <v>5</v>
      </c>
      <c r="AD30" s="403"/>
      <c r="AE30" s="105">
        <v>20</v>
      </c>
      <c r="AF30" s="175">
        <v>1084.1379310344826</v>
      </c>
      <c r="AG30" s="202">
        <v>54.206896551724128</v>
      </c>
      <c r="AH30" s="105">
        <f t="shared" si="12"/>
        <v>5</v>
      </c>
      <c r="AI30" s="403"/>
      <c r="AJ30" s="105">
        <v>20</v>
      </c>
      <c r="AK30" s="175">
        <v>1095.5294117647056</v>
      </c>
      <c r="AL30" s="202">
        <v>54.776470588235284</v>
      </c>
      <c r="AM30" s="105">
        <f t="shared" si="13"/>
        <v>5</v>
      </c>
      <c r="AN30" s="403"/>
      <c r="AO30" s="105">
        <v>20</v>
      </c>
      <c r="AP30" s="175">
        <v>1068.1250000000005</v>
      </c>
      <c r="AQ30" s="202">
        <v>53.406250000000021</v>
      </c>
      <c r="AR30" s="105">
        <f t="shared" si="14"/>
        <v>5</v>
      </c>
      <c r="AS30" s="403"/>
      <c r="AT30" s="105">
        <v>20</v>
      </c>
      <c r="AU30" s="175">
        <v>1103.8636363636365</v>
      </c>
      <c r="AV30" s="202">
        <v>55.193181818181827</v>
      </c>
      <c r="AW30" s="105">
        <f t="shared" si="15"/>
        <v>5</v>
      </c>
      <c r="AX30" s="403"/>
    </row>
    <row r="31" spans="2:50">
      <c r="B31" s="398"/>
      <c r="C31" s="105">
        <v>5</v>
      </c>
      <c r="D31" s="228" t="s">
        <v>325</v>
      </c>
      <c r="E31" s="175">
        <v>18</v>
      </c>
      <c r="F31" s="105">
        <v>1440</v>
      </c>
      <c r="G31" s="202">
        <v>80</v>
      </c>
      <c r="H31" s="385"/>
      <c r="I31" s="175">
        <f t="shared" si="8"/>
        <v>18</v>
      </c>
      <c r="J31" s="175">
        <f t="shared" si="8"/>
        <v>1371.7432830634723</v>
      </c>
      <c r="K31" s="202">
        <f t="shared" si="8"/>
        <v>76.207960170192905</v>
      </c>
      <c r="L31" s="385"/>
      <c r="M31" s="203">
        <f>RANK(K31, K$27:$K$41)</f>
        <v>3</v>
      </c>
      <c r="N31" s="387"/>
      <c r="O31" s="387"/>
      <c r="P31" s="105">
        <v>18</v>
      </c>
      <c r="Q31" s="175">
        <v>1372.1052631578937</v>
      </c>
      <c r="R31" s="202">
        <v>76.228070175438532</v>
      </c>
      <c r="S31" s="105">
        <f t="shared" si="9"/>
        <v>3</v>
      </c>
      <c r="T31" s="403"/>
      <c r="U31" s="105">
        <v>18</v>
      </c>
      <c r="V31" s="175">
        <v>1369.7142857142842</v>
      </c>
      <c r="W31" s="202">
        <v>76.095238095238017</v>
      </c>
      <c r="X31" s="105">
        <f t="shared" si="10"/>
        <v>3</v>
      </c>
      <c r="Y31" s="403"/>
      <c r="Z31" s="105">
        <v>18</v>
      </c>
      <c r="AA31" s="175">
        <v>1337.6470588235277</v>
      </c>
      <c r="AB31" s="202">
        <v>74.313725490195978</v>
      </c>
      <c r="AC31" s="105">
        <f t="shared" si="11"/>
        <v>3</v>
      </c>
      <c r="AD31" s="403"/>
      <c r="AE31" s="105">
        <v>18</v>
      </c>
      <c r="AF31" s="175">
        <v>1390.3448275862042</v>
      </c>
      <c r="AG31" s="202">
        <v>77.241379310344684</v>
      </c>
      <c r="AH31" s="105">
        <f t="shared" si="12"/>
        <v>3</v>
      </c>
      <c r="AI31" s="403"/>
      <c r="AJ31" s="105">
        <v>18</v>
      </c>
      <c r="AK31" s="175">
        <v>1382.0689655172387</v>
      </c>
      <c r="AL31" s="202">
        <v>76.781609195402154</v>
      </c>
      <c r="AM31" s="105">
        <f t="shared" si="13"/>
        <v>3</v>
      </c>
      <c r="AN31" s="403"/>
      <c r="AO31" s="105">
        <v>18</v>
      </c>
      <c r="AP31" s="175">
        <v>1379.999999999998</v>
      </c>
      <c r="AQ31" s="202">
        <v>76.666666666666558</v>
      </c>
      <c r="AR31" s="105">
        <f t="shared" si="14"/>
        <v>3</v>
      </c>
      <c r="AS31" s="403"/>
      <c r="AT31" s="105">
        <v>18</v>
      </c>
      <c r="AU31" s="175">
        <v>1370.322580645159</v>
      </c>
      <c r="AV31" s="202">
        <v>76.129032258064385</v>
      </c>
      <c r="AW31" s="105">
        <f t="shared" si="15"/>
        <v>3</v>
      </c>
      <c r="AX31" s="403"/>
    </row>
    <row r="32" spans="2:50">
      <c r="B32" s="398"/>
      <c r="C32" s="105">
        <v>6</v>
      </c>
      <c r="D32" s="228"/>
      <c r="E32" s="175"/>
      <c r="F32" s="105"/>
      <c r="G32" s="202"/>
      <c r="H32" s="385"/>
      <c r="I32" s="175"/>
      <c r="J32" s="175"/>
      <c r="K32" s="202"/>
      <c r="L32" s="385"/>
      <c r="M32" s="203" t="e">
        <f>RANK(K32, K$27:$K$41)</f>
        <v>#N/A</v>
      </c>
      <c r="N32" s="387"/>
      <c r="O32" s="387"/>
      <c r="P32" s="105"/>
      <c r="Q32" s="105"/>
      <c r="R32" s="105"/>
      <c r="S32" s="105" t="e">
        <f t="shared" si="9"/>
        <v>#N/A</v>
      </c>
      <c r="T32" s="403"/>
      <c r="U32" s="105"/>
      <c r="V32" s="105"/>
      <c r="W32" s="105"/>
      <c r="X32" s="105" t="e">
        <f t="shared" si="10"/>
        <v>#N/A</v>
      </c>
      <c r="Y32" s="403"/>
      <c r="Z32" s="105"/>
      <c r="AA32" s="105"/>
      <c r="AB32" s="105"/>
      <c r="AC32" s="105" t="e">
        <f t="shared" si="11"/>
        <v>#N/A</v>
      </c>
      <c r="AD32" s="403"/>
      <c r="AE32" s="105"/>
      <c r="AF32" s="105"/>
      <c r="AG32" s="105"/>
      <c r="AH32" s="105" t="e">
        <f t="shared" si="12"/>
        <v>#N/A</v>
      </c>
      <c r="AI32" s="403"/>
      <c r="AJ32" s="105"/>
      <c r="AK32" s="105"/>
      <c r="AL32" s="105"/>
      <c r="AM32" s="105" t="e">
        <f t="shared" si="13"/>
        <v>#N/A</v>
      </c>
      <c r="AN32" s="403"/>
      <c r="AO32" s="105"/>
      <c r="AP32" s="105"/>
      <c r="AQ32" s="105"/>
      <c r="AR32" s="105" t="e">
        <f t="shared" si="14"/>
        <v>#N/A</v>
      </c>
      <c r="AS32" s="403"/>
      <c r="AT32" s="105"/>
      <c r="AU32" s="105"/>
      <c r="AV32" s="105"/>
      <c r="AW32" s="105" t="e">
        <f t="shared" si="15"/>
        <v>#N/A</v>
      </c>
      <c r="AX32" s="403"/>
    </row>
    <row r="33" spans="2:50">
      <c r="B33" s="398"/>
      <c r="C33" s="105">
        <v>7</v>
      </c>
      <c r="D33" s="228"/>
      <c r="E33" s="175"/>
      <c r="F33" s="105"/>
      <c r="G33" s="202"/>
      <c r="H33" s="385"/>
      <c r="I33" s="175"/>
      <c r="J33" s="175"/>
      <c r="K33" s="202"/>
      <c r="L33" s="385"/>
      <c r="M33" s="203" t="e">
        <f>RANK(K33, K$27:$K$41)</f>
        <v>#N/A</v>
      </c>
      <c r="N33" s="387"/>
      <c r="O33" s="387"/>
      <c r="P33" s="105"/>
      <c r="Q33" s="105"/>
      <c r="R33" s="105"/>
      <c r="S33" s="105" t="e">
        <f t="shared" si="9"/>
        <v>#N/A</v>
      </c>
      <c r="T33" s="403"/>
      <c r="U33" s="105"/>
      <c r="V33" s="105"/>
      <c r="W33" s="105"/>
      <c r="X33" s="105" t="e">
        <f t="shared" si="10"/>
        <v>#N/A</v>
      </c>
      <c r="Y33" s="403"/>
      <c r="Z33" s="105"/>
      <c r="AA33" s="105"/>
      <c r="AB33" s="105"/>
      <c r="AC33" s="105" t="e">
        <f t="shared" si="11"/>
        <v>#N/A</v>
      </c>
      <c r="AD33" s="403"/>
      <c r="AE33" s="105"/>
      <c r="AF33" s="105"/>
      <c r="AG33" s="105"/>
      <c r="AH33" s="105" t="e">
        <f t="shared" si="12"/>
        <v>#N/A</v>
      </c>
      <c r="AI33" s="403"/>
      <c r="AJ33" s="105"/>
      <c r="AK33" s="105"/>
      <c r="AL33" s="105"/>
      <c r="AM33" s="105" t="e">
        <f t="shared" si="13"/>
        <v>#N/A</v>
      </c>
      <c r="AN33" s="403"/>
      <c r="AO33" s="105"/>
      <c r="AP33" s="105"/>
      <c r="AQ33" s="105"/>
      <c r="AR33" s="105" t="e">
        <f t="shared" si="14"/>
        <v>#N/A</v>
      </c>
      <c r="AS33" s="403"/>
      <c r="AT33" s="105"/>
      <c r="AU33" s="105"/>
      <c r="AV33" s="105"/>
      <c r="AW33" s="105" t="e">
        <f t="shared" si="15"/>
        <v>#N/A</v>
      </c>
      <c r="AX33" s="403"/>
    </row>
    <row r="34" spans="2:50">
      <c r="B34" s="398"/>
      <c r="C34" s="105">
        <v>8</v>
      </c>
      <c r="D34" s="228"/>
      <c r="E34" s="175"/>
      <c r="F34" s="105"/>
      <c r="G34" s="202"/>
      <c r="H34" s="385"/>
      <c r="I34" s="175"/>
      <c r="J34" s="175"/>
      <c r="K34" s="202"/>
      <c r="L34" s="385"/>
      <c r="M34" s="203" t="e">
        <f>RANK(K34, K$27:$K$41)</f>
        <v>#N/A</v>
      </c>
      <c r="N34" s="387"/>
      <c r="O34" s="387"/>
      <c r="P34" s="105"/>
      <c r="Q34" s="105"/>
      <c r="R34" s="105"/>
      <c r="S34" s="105" t="e">
        <f t="shared" si="9"/>
        <v>#N/A</v>
      </c>
      <c r="T34" s="403"/>
      <c r="U34" s="105"/>
      <c r="V34" s="105"/>
      <c r="W34" s="105"/>
      <c r="X34" s="105" t="e">
        <f t="shared" si="10"/>
        <v>#N/A</v>
      </c>
      <c r="Y34" s="403"/>
      <c r="Z34" s="105"/>
      <c r="AA34" s="105"/>
      <c r="AB34" s="105"/>
      <c r="AC34" s="105" t="e">
        <f t="shared" si="11"/>
        <v>#N/A</v>
      </c>
      <c r="AD34" s="403"/>
      <c r="AE34" s="105"/>
      <c r="AF34" s="105"/>
      <c r="AG34" s="105"/>
      <c r="AH34" s="105" t="e">
        <f t="shared" si="12"/>
        <v>#N/A</v>
      </c>
      <c r="AI34" s="403"/>
      <c r="AJ34" s="105"/>
      <c r="AK34" s="105"/>
      <c r="AL34" s="105"/>
      <c r="AM34" s="105" t="e">
        <f t="shared" si="13"/>
        <v>#N/A</v>
      </c>
      <c r="AN34" s="403"/>
      <c r="AO34" s="105"/>
      <c r="AP34" s="105"/>
      <c r="AQ34" s="105"/>
      <c r="AR34" s="105" t="e">
        <f t="shared" si="14"/>
        <v>#N/A</v>
      </c>
      <c r="AS34" s="403"/>
      <c r="AT34" s="105"/>
      <c r="AU34" s="105"/>
      <c r="AV34" s="105"/>
      <c r="AW34" s="105" t="e">
        <f t="shared" si="15"/>
        <v>#N/A</v>
      </c>
      <c r="AX34" s="403"/>
    </row>
    <row r="35" spans="2:50">
      <c r="B35" s="398"/>
      <c r="C35" s="105">
        <v>9</v>
      </c>
      <c r="D35" s="228"/>
      <c r="E35" s="175"/>
      <c r="F35" s="105"/>
      <c r="G35" s="202"/>
      <c r="H35" s="385"/>
      <c r="I35" s="175"/>
      <c r="J35" s="175"/>
      <c r="K35" s="202"/>
      <c r="L35" s="385"/>
      <c r="M35" s="203" t="e">
        <f>RANK(K35, K$27:$K$41)</f>
        <v>#N/A</v>
      </c>
      <c r="N35" s="387"/>
      <c r="O35" s="387"/>
      <c r="P35" s="105"/>
      <c r="Q35" s="105"/>
      <c r="R35" s="105"/>
      <c r="S35" s="105" t="e">
        <f t="shared" si="9"/>
        <v>#N/A</v>
      </c>
      <c r="T35" s="403"/>
      <c r="U35" s="105"/>
      <c r="V35" s="105"/>
      <c r="W35" s="105"/>
      <c r="X35" s="105" t="e">
        <f t="shared" si="10"/>
        <v>#N/A</v>
      </c>
      <c r="Y35" s="403"/>
      <c r="Z35" s="105"/>
      <c r="AA35" s="105"/>
      <c r="AB35" s="105"/>
      <c r="AC35" s="105" t="e">
        <f t="shared" si="11"/>
        <v>#N/A</v>
      </c>
      <c r="AD35" s="403"/>
      <c r="AE35" s="105"/>
      <c r="AF35" s="105"/>
      <c r="AG35" s="105"/>
      <c r="AH35" s="105" t="e">
        <f t="shared" si="12"/>
        <v>#N/A</v>
      </c>
      <c r="AI35" s="403"/>
      <c r="AJ35" s="105"/>
      <c r="AK35" s="105"/>
      <c r="AL35" s="105"/>
      <c r="AM35" s="105" t="e">
        <f t="shared" si="13"/>
        <v>#N/A</v>
      </c>
      <c r="AN35" s="403"/>
      <c r="AO35" s="105"/>
      <c r="AP35" s="105"/>
      <c r="AQ35" s="105"/>
      <c r="AR35" s="105" t="e">
        <f t="shared" si="14"/>
        <v>#N/A</v>
      </c>
      <c r="AS35" s="403"/>
      <c r="AT35" s="105"/>
      <c r="AU35" s="105"/>
      <c r="AV35" s="105"/>
      <c r="AW35" s="105" t="e">
        <f t="shared" si="15"/>
        <v>#N/A</v>
      </c>
      <c r="AX35" s="403"/>
    </row>
    <row r="36" spans="2:50">
      <c r="B36" s="398"/>
      <c r="C36" s="105">
        <v>10</v>
      </c>
      <c r="D36" s="228"/>
      <c r="E36" s="175"/>
      <c r="F36" s="105"/>
      <c r="G36" s="202"/>
      <c r="H36" s="385"/>
      <c r="I36" s="175"/>
      <c r="J36" s="175"/>
      <c r="K36" s="202"/>
      <c r="L36" s="385"/>
      <c r="M36" s="203" t="e">
        <f>RANK(K36, K$27:$K$41)</f>
        <v>#N/A</v>
      </c>
      <c r="N36" s="387"/>
      <c r="O36" s="387"/>
      <c r="P36" s="105"/>
      <c r="Q36" s="105"/>
      <c r="R36" s="105"/>
      <c r="S36" s="105" t="e">
        <f t="shared" si="9"/>
        <v>#N/A</v>
      </c>
      <c r="T36" s="403"/>
      <c r="U36" s="105"/>
      <c r="V36" s="105"/>
      <c r="W36" s="105"/>
      <c r="X36" s="105" t="e">
        <f t="shared" si="10"/>
        <v>#N/A</v>
      </c>
      <c r="Y36" s="403"/>
      <c r="Z36" s="105"/>
      <c r="AA36" s="105"/>
      <c r="AB36" s="105"/>
      <c r="AC36" s="105" t="e">
        <f t="shared" si="11"/>
        <v>#N/A</v>
      </c>
      <c r="AD36" s="403"/>
      <c r="AE36" s="105"/>
      <c r="AF36" s="105"/>
      <c r="AG36" s="105"/>
      <c r="AH36" s="105" t="e">
        <f t="shared" si="12"/>
        <v>#N/A</v>
      </c>
      <c r="AI36" s="403"/>
      <c r="AJ36" s="105"/>
      <c r="AK36" s="105"/>
      <c r="AL36" s="105"/>
      <c r="AM36" s="105" t="e">
        <f t="shared" si="13"/>
        <v>#N/A</v>
      </c>
      <c r="AN36" s="403"/>
      <c r="AO36" s="105"/>
      <c r="AP36" s="105"/>
      <c r="AQ36" s="105"/>
      <c r="AR36" s="105" t="e">
        <f t="shared" si="14"/>
        <v>#N/A</v>
      </c>
      <c r="AS36" s="403"/>
      <c r="AT36" s="105"/>
      <c r="AU36" s="105"/>
      <c r="AV36" s="105"/>
      <c r="AW36" s="105" t="e">
        <f t="shared" si="15"/>
        <v>#N/A</v>
      </c>
      <c r="AX36" s="403"/>
    </row>
    <row r="37" spans="2:50">
      <c r="B37" s="398"/>
      <c r="C37" s="105">
        <v>11</v>
      </c>
      <c r="D37" s="228"/>
      <c r="E37" s="175"/>
      <c r="F37" s="105"/>
      <c r="G37" s="202"/>
      <c r="H37" s="385"/>
      <c r="I37" s="175"/>
      <c r="J37" s="175"/>
      <c r="K37" s="202"/>
      <c r="L37" s="385"/>
      <c r="M37" s="203" t="e">
        <f>RANK(K37, K$27:$K$41)</f>
        <v>#N/A</v>
      </c>
      <c r="N37" s="387"/>
      <c r="O37" s="387"/>
      <c r="P37" s="105"/>
      <c r="Q37" s="105"/>
      <c r="R37" s="105"/>
      <c r="S37" s="105" t="e">
        <f t="shared" si="9"/>
        <v>#N/A</v>
      </c>
      <c r="T37" s="403"/>
      <c r="U37" s="105"/>
      <c r="V37" s="105"/>
      <c r="W37" s="105"/>
      <c r="X37" s="105" t="e">
        <f t="shared" si="10"/>
        <v>#N/A</v>
      </c>
      <c r="Y37" s="403"/>
      <c r="Z37" s="105"/>
      <c r="AA37" s="105"/>
      <c r="AB37" s="105"/>
      <c r="AC37" s="105" t="e">
        <f t="shared" si="11"/>
        <v>#N/A</v>
      </c>
      <c r="AD37" s="403"/>
      <c r="AE37" s="105"/>
      <c r="AF37" s="105"/>
      <c r="AG37" s="105"/>
      <c r="AH37" s="105" t="e">
        <f t="shared" si="12"/>
        <v>#N/A</v>
      </c>
      <c r="AI37" s="403"/>
      <c r="AJ37" s="105"/>
      <c r="AK37" s="105"/>
      <c r="AL37" s="105"/>
      <c r="AM37" s="105" t="e">
        <f t="shared" si="13"/>
        <v>#N/A</v>
      </c>
      <c r="AN37" s="403"/>
      <c r="AO37" s="105"/>
      <c r="AP37" s="105"/>
      <c r="AQ37" s="105"/>
      <c r="AR37" s="105" t="e">
        <f t="shared" si="14"/>
        <v>#N/A</v>
      </c>
      <c r="AS37" s="403"/>
      <c r="AT37" s="105"/>
      <c r="AU37" s="105"/>
      <c r="AV37" s="105"/>
      <c r="AW37" s="105" t="e">
        <f t="shared" si="15"/>
        <v>#N/A</v>
      </c>
      <c r="AX37" s="403"/>
    </row>
    <row r="38" spans="2:50">
      <c r="B38" s="398"/>
      <c r="C38" s="105">
        <v>12</v>
      </c>
      <c r="D38" s="228"/>
      <c r="E38" s="175"/>
      <c r="F38" s="105"/>
      <c r="G38" s="202"/>
      <c r="H38" s="385"/>
      <c r="I38" s="175"/>
      <c r="J38" s="175"/>
      <c r="K38" s="202"/>
      <c r="L38" s="385"/>
      <c r="M38" s="203" t="e">
        <f>RANK(K38, K$27:$K$41)</f>
        <v>#N/A</v>
      </c>
      <c r="N38" s="387"/>
      <c r="O38" s="387"/>
      <c r="P38" s="105"/>
      <c r="Q38" s="105"/>
      <c r="R38" s="105"/>
      <c r="S38" s="105" t="e">
        <f t="shared" si="9"/>
        <v>#N/A</v>
      </c>
      <c r="T38" s="403"/>
      <c r="U38" s="105"/>
      <c r="V38" s="105"/>
      <c r="W38" s="105"/>
      <c r="X38" s="105" t="e">
        <f t="shared" si="10"/>
        <v>#N/A</v>
      </c>
      <c r="Y38" s="403"/>
      <c r="Z38" s="105"/>
      <c r="AA38" s="105"/>
      <c r="AB38" s="105"/>
      <c r="AC38" s="105" t="e">
        <f t="shared" si="11"/>
        <v>#N/A</v>
      </c>
      <c r="AD38" s="403"/>
      <c r="AE38" s="105"/>
      <c r="AF38" s="105"/>
      <c r="AG38" s="105"/>
      <c r="AH38" s="105" t="e">
        <f t="shared" si="12"/>
        <v>#N/A</v>
      </c>
      <c r="AI38" s="403"/>
      <c r="AJ38" s="105"/>
      <c r="AK38" s="105"/>
      <c r="AL38" s="105"/>
      <c r="AM38" s="105" t="e">
        <f t="shared" si="13"/>
        <v>#N/A</v>
      </c>
      <c r="AN38" s="403"/>
      <c r="AO38" s="105"/>
      <c r="AP38" s="105"/>
      <c r="AQ38" s="105"/>
      <c r="AR38" s="105" t="e">
        <f t="shared" si="14"/>
        <v>#N/A</v>
      </c>
      <c r="AS38" s="403"/>
      <c r="AT38" s="105"/>
      <c r="AU38" s="105"/>
      <c r="AV38" s="105"/>
      <c r="AW38" s="105" t="e">
        <f t="shared" si="15"/>
        <v>#N/A</v>
      </c>
      <c r="AX38" s="403"/>
    </row>
    <row r="39" spans="2:50">
      <c r="B39" s="398"/>
      <c r="C39" s="105">
        <v>13</v>
      </c>
      <c r="D39" s="228"/>
      <c r="E39" s="175"/>
      <c r="F39" s="105"/>
      <c r="G39" s="202"/>
      <c r="H39" s="385"/>
      <c r="I39" s="175"/>
      <c r="J39" s="175"/>
      <c r="K39" s="202"/>
      <c r="L39" s="385"/>
      <c r="M39" s="203" t="e">
        <f>RANK(K39, K$27:$K$41)</f>
        <v>#N/A</v>
      </c>
      <c r="N39" s="387"/>
      <c r="O39" s="387"/>
      <c r="P39" s="105"/>
      <c r="Q39" s="105"/>
      <c r="R39" s="105"/>
      <c r="S39" s="105" t="e">
        <f t="shared" si="9"/>
        <v>#N/A</v>
      </c>
      <c r="T39" s="403"/>
      <c r="U39" s="105"/>
      <c r="V39" s="105"/>
      <c r="W39" s="105"/>
      <c r="X39" s="105" t="e">
        <f t="shared" si="10"/>
        <v>#N/A</v>
      </c>
      <c r="Y39" s="403"/>
      <c r="Z39" s="105"/>
      <c r="AA39" s="105"/>
      <c r="AB39" s="105"/>
      <c r="AC39" s="105" t="e">
        <f t="shared" si="11"/>
        <v>#N/A</v>
      </c>
      <c r="AD39" s="403"/>
      <c r="AE39" s="105"/>
      <c r="AF39" s="105"/>
      <c r="AG39" s="105"/>
      <c r="AH39" s="105" t="e">
        <f t="shared" si="12"/>
        <v>#N/A</v>
      </c>
      <c r="AI39" s="403"/>
      <c r="AJ39" s="105"/>
      <c r="AK39" s="105"/>
      <c r="AL39" s="105"/>
      <c r="AM39" s="105" t="e">
        <f t="shared" si="13"/>
        <v>#N/A</v>
      </c>
      <c r="AN39" s="403"/>
      <c r="AO39" s="105"/>
      <c r="AP39" s="105"/>
      <c r="AQ39" s="105"/>
      <c r="AR39" s="105" t="e">
        <f t="shared" si="14"/>
        <v>#N/A</v>
      </c>
      <c r="AS39" s="403"/>
      <c r="AT39" s="105"/>
      <c r="AU39" s="105"/>
      <c r="AV39" s="105"/>
      <c r="AW39" s="105" t="e">
        <f t="shared" si="15"/>
        <v>#N/A</v>
      </c>
      <c r="AX39" s="403"/>
    </row>
    <row r="40" spans="2:50">
      <c r="B40" s="398"/>
      <c r="C40" s="105">
        <v>14</v>
      </c>
      <c r="D40" s="228"/>
      <c r="E40" s="175"/>
      <c r="F40" s="105"/>
      <c r="G40" s="202"/>
      <c r="H40" s="385"/>
      <c r="I40" s="175"/>
      <c r="J40" s="175"/>
      <c r="K40" s="202"/>
      <c r="L40" s="385"/>
      <c r="M40" s="203" t="e">
        <f>RANK(K40, K$27:$K$41)</f>
        <v>#N/A</v>
      </c>
      <c r="N40" s="387"/>
      <c r="O40" s="387"/>
      <c r="P40" s="105"/>
      <c r="Q40" s="105"/>
      <c r="R40" s="105"/>
      <c r="S40" s="105" t="e">
        <f t="shared" si="9"/>
        <v>#N/A</v>
      </c>
      <c r="T40" s="403"/>
      <c r="U40" s="105"/>
      <c r="V40" s="105"/>
      <c r="W40" s="105"/>
      <c r="X40" s="105" t="e">
        <f t="shared" si="10"/>
        <v>#N/A</v>
      </c>
      <c r="Y40" s="403"/>
      <c r="Z40" s="105"/>
      <c r="AA40" s="105"/>
      <c r="AB40" s="105"/>
      <c r="AC40" s="105" t="e">
        <f t="shared" si="11"/>
        <v>#N/A</v>
      </c>
      <c r="AD40" s="403"/>
      <c r="AE40" s="105"/>
      <c r="AF40" s="105"/>
      <c r="AG40" s="105"/>
      <c r="AH40" s="105" t="e">
        <f t="shared" si="12"/>
        <v>#N/A</v>
      </c>
      <c r="AI40" s="403"/>
      <c r="AJ40" s="105"/>
      <c r="AK40" s="105"/>
      <c r="AL40" s="105"/>
      <c r="AM40" s="105" t="e">
        <f t="shared" si="13"/>
        <v>#N/A</v>
      </c>
      <c r="AN40" s="403"/>
      <c r="AO40" s="105"/>
      <c r="AP40" s="105"/>
      <c r="AQ40" s="105"/>
      <c r="AR40" s="105" t="e">
        <f t="shared" si="14"/>
        <v>#N/A</v>
      </c>
      <c r="AS40" s="403"/>
      <c r="AT40" s="105"/>
      <c r="AU40" s="105"/>
      <c r="AV40" s="105"/>
      <c r="AW40" s="105" t="e">
        <f t="shared" si="15"/>
        <v>#N/A</v>
      </c>
      <c r="AX40" s="403"/>
    </row>
    <row r="41" spans="2:50">
      <c r="B41" s="398"/>
      <c r="C41" s="105">
        <v>15</v>
      </c>
      <c r="D41" s="228"/>
      <c r="E41" s="175"/>
      <c r="F41" s="105"/>
      <c r="G41" s="202"/>
      <c r="H41" s="386"/>
      <c r="I41" s="175"/>
      <c r="J41" s="175"/>
      <c r="K41" s="202"/>
      <c r="L41" s="386"/>
      <c r="M41" s="175" t="e">
        <f>RANK(K41, K$27:$K$41)</f>
        <v>#N/A</v>
      </c>
      <c r="N41" s="387"/>
      <c r="O41" s="387"/>
      <c r="P41" s="105"/>
      <c r="Q41" s="105"/>
      <c r="R41" s="105"/>
      <c r="S41" s="105" t="e">
        <f t="shared" si="9"/>
        <v>#N/A</v>
      </c>
      <c r="T41" s="404"/>
      <c r="U41" s="105"/>
      <c r="V41" s="105"/>
      <c r="W41" s="105"/>
      <c r="X41" s="105" t="e">
        <f t="shared" si="10"/>
        <v>#N/A</v>
      </c>
      <c r="Y41" s="404"/>
      <c r="Z41" s="105"/>
      <c r="AA41" s="105"/>
      <c r="AB41" s="105"/>
      <c r="AC41" s="105" t="e">
        <f t="shared" si="11"/>
        <v>#N/A</v>
      </c>
      <c r="AD41" s="404"/>
      <c r="AE41" s="105"/>
      <c r="AF41" s="105"/>
      <c r="AG41" s="105"/>
      <c r="AH41" s="105" t="e">
        <f t="shared" si="12"/>
        <v>#N/A</v>
      </c>
      <c r="AI41" s="404"/>
      <c r="AJ41" s="105"/>
      <c r="AK41" s="105"/>
      <c r="AL41" s="105"/>
      <c r="AM41" s="105" t="e">
        <f t="shared" si="13"/>
        <v>#N/A</v>
      </c>
      <c r="AN41" s="404"/>
      <c r="AO41" s="105"/>
      <c r="AP41" s="105"/>
      <c r="AQ41" s="105"/>
      <c r="AR41" s="105" t="e">
        <f t="shared" si="14"/>
        <v>#N/A</v>
      </c>
      <c r="AS41" s="404"/>
      <c r="AT41" s="105"/>
      <c r="AU41" s="105"/>
      <c r="AV41" s="105"/>
      <c r="AW41" s="105" t="e">
        <f t="shared" si="15"/>
        <v>#N/A</v>
      </c>
      <c r="AX41" s="404"/>
    </row>
    <row r="42" spans="2:50" ht="15.75">
      <c r="B42" s="408" t="s">
        <v>195</v>
      </c>
      <c r="C42" s="409"/>
      <c r="D42" s="409"/>
      <c r="E42" s="409"/>
      <c r="F42" s="409"/>
      <c r="G42" s="409"/>
      <c r="H42" s="409"/>
      <c r="I42" s="205"/>
      <c r="J42" s="174"/>
      <c r="K42" s="205"/>
      <c r="L42" s="205"/>
      <c r="M42" s="171"/>
      <c r="N42" s="399" t="s">
        <v>196</v>
      </c>
      <c r="O42" s="399" t="s">
        <v>145</v>
      </c>
      <c r="P42" s="397">
        <f>P22+7</f>
        <v>45881</v>
      </c>
      <c r="Q42" s="398"/>
      <c r="R42" s="398"/>
      <c r="S42" s="398"/>
      <c r="T42" s="398"/>
      <c r="U42" s="394">
        <f>P42+1</f>
        <v>45882</v>
      </c>
      <c r="V42" s="395"/>
      <c r="W42" s="395"/>
      <c r="X42" s="395"/>
      <c r="Y42" s="396"/>
      <c r="Z42" s="394">
        <f>U42+1</f>
        <v>45883</v>
      </c>
      <c r="AA42" s="395"/>
      <c r="AB42" s="395"/>
      <c r="AC42" s="395"/>
      <c r="AD42" s="396"/>
      <c r="AE42" s="394">
        <f t="shared" ref="AE42" si="16">Z42+1</f>
        <v>45884</v>
      </c>
      <c r="AF42" s="395"/>
      <c r="AG42" s="395"/>
      <c r="AH42" s="395"/>
      <c r="AI42" s="396"/>
      <c r="AJ42" s="394">
        <f t="shared" ref="AJ42" si="17">AE42+1</f>
        <v>45885</v>
      </c>
      <c r="AK42" s="395"/>
      <c r="AL42" s="395"/>
      <c r="AM42" s="395"/>
      <c r="AN42" s="396"/>
      <c r="AO42" s="394">
        <f t="shared" ref="AO42" si="18">AJ42+1</f>
        <v>45886</v>
      </c>
      <c r="AP42" s="395"/>
      <c r="AQ42" s="395"/>
      <c r="AR42" s="395"/>
      <c r="AS42" s="396"/>
      <c r="AT42" s="394">
        <f t="shared" ref="AT42" si="19">AO42+1</f>
        <v>45887</v>
      </c>
      <c r="AU42" s="395"/>
      <c r="AV42" s="395"/>
      <c r="AW42" s="395"/>
      <c r="AX42" s="396"/>
    </row>
    <row r="43" spans="2:50" ht="15.75">
      <c r="B43" s="407"/>
      <c r="C43" s="407"/>
      <c r="D43" s="407"/>
      <c r="E43" s="407"/>
      <c r="F43" s="407"/>
      <c r="G43" s="407"/>
      <c r="H43" s="407"/>
      <c r="I43" s="172"/>
      <c r="J43" s="172"/>
      <c r="K43" s="172"/>
      <c r="L43" s="172"/>
      <c r="M43" s="173"/>
      <c r="N43" s="401"/>
      <c r="O43" s="401"/>
      <c r="P43" s="397" t="s">
        <v>159</v>
      </c>
      <c r="Q43" s="398"/>
      <c r="R43" s="398"/>
      <c r="S43" s="398"/>
      <c r="T43" s="398"/>
      <c r="U43" s="397" t="s">
        <v>160</v>
      </c>
      <c r="V43" s="398"/>
      <c r="W43" s="398"/>
      <c r="X43" s="398"/>
      <c r="Y43" s="398"/>
      <c r="Z43" s="397" t="s">
        <v>161</v>
      </c>
      <c r="AA43" s="398"/>
      <c r="AB43" s="398"/>
      <c r="AC43" s="398"/>
      <c r="AD43" s="398"/>
      <c r="AE43" s="397" t="s">
        <v>156</v>
      </c>
      <c r="AF43" s="398"/>
      <c r="AG43" s="398"/>
      <c r="AH43" s="398"/>
      <c r="AI43" s="398"/>
      <c r="AJ43" s="397" t="s">
        <v>157</v>
      </c>
      <c r="AK43" s="398"/>
      <c r="AL43" s="398"/>
      <c r="AM43" s="398"/>
      <c r="AN43" s="398"/>
      <c r="AO43" s="397" t="s">
        <v>152</v>
      </c>
      <c r="AP43" s="398"/>
      <c r="AQ43" s="398"/>
      <c r="AR43" s="398"/>
      <c r="AS43" s="398"/>
      <c r="AT43" s="397" t="s">
        <v>158</v>
      </c>
      <c r="AU43" s="398"/>
      <c r="AV43" s="398"/>
      <c r="AW43" s="398"/>
      <c r="AX43" s="398"/>
    </row>
    <row r="44" spans="2:50">
      <c r="B44" s="387" t="s">
        <v>197</v>
      </c>
      <c r="C44" s="387" t="s">
        <v>198</v>
      </c>
      <c r="D44" s="387"/>
      <c r="E44" s="387" t="s">
        <v>199</v>
      </c>
      <c r="F44" s="387"/>
      <c r="G44" s="387"/>
      <c r="H44" s="388" t="s">
        <v>200</v>
      </c>
      <c r="I44" s="387" t="s">
        <v>201</v>
      </c>
      <c r="J44" s="387"/>
      <c r="K44" s="387"/>
      <c r="L44" s="388" t="s">
        <v>200</v>
      </c>
      <c r="M44" s="399" t="s">
        <v>202</v>
      </c>
      <c r="N44" s="387"/>
      <c r="O44" s="387" t="s">
        <v>203</v>
      </c>
      <c r="P44" s="391" t="s">
        <v>204</v>
      </c>
      <c r="Q44" s="392"/>
      <c r="R44" s="392"/>
      <c r="S44" s="393"/>
      <c r="T44" s="387" t="s">
        <v>200</v>
      </c>
      <c r="U44" s="391" t="s">
        <v>204</v>
      </c>
      <c r="V44" s="392"/>
      <c r="W44" s="392"/>
      <c r="X44" s="393"/>
      <c r="Y44" s="387" t="s">
        <v>200</v>
      </c>
      <c r="Z44" s="391" t="s">
        <v>204</v>
      </c>
      <c r="AA44" s="392"/>
      <c r="AB44" s="392"/>
      <c r="AC44" s="393"/>
      <c r="AD44" s="387" t="s">
        <v>200</v>
      </c>
      <c r="AE44" s="391" t="s">
        <v>204</v>
      </c>
      <c r="AF44" s="392"/>
      <c r="AG44" s="392"/>
      <c r="AH44" s="393"/>
      <c r="AI44" s="387" t="s">
        <v>200</v>
      </c>
      <c r="AJ44" s="391" t="s">
        <v>204</v>
      </c>
      <c r="AK44" s="392"/>
      <c r="AL44" s="392"/>
      <c r="AM44" s="393"/>
      <c r="AN44" s="387" t="s">
        <v>200</v>
      </c>
      <c r="AO44" s="391" t="s">
        <v>204</v>
      </c>
      <c r="AP44" s="392"/>
      <c r="AQ44" s="392"/>
      <c r="AR44" s="393"/>
      <c r="AS44" s="387" t="s">
        <v>200</v>
      </c>
      <c r="AT44" s="391" t="s">
        <v>204</v>
      </c>
      <c r="AU44" s="392"/>
      <c r="AV44" s="392"/>
      <c r="AW44" s="393"/>
      <c r="AX44" s="387" t="s">
        <v>200</v>
      </c>
    </row>
    <row r="45" spans="2:50">
      <c r="B45" s="387"/>
      <c r="C45" s="387"/>
      <c r="D45" s="387"/>
      <c r="E45" s="387" t="s">
        <v>205</v>
      </c>
      <c r="F45" s="387"/>
      <c r="G45" s="387"/>
      <c r="H45" s="389"/>
      <c r="I45" s="387" t="s">
        <v>205</v>
      </c>
      <c r="J45" s="387"/>
      <c r="K45" s="387"/>
      <c r="L45" s="389"/>
      <c r="M45" s="400"/>
      <c r="N45" s="387"/>
      <c r="O45" s="387"/>
      <c r="P45" s="391" t="s">
        <v>206</v>
      </c>
      <c r="Q45" s="392"/>
      <c r="R45" s="392"/>
      <c r="S45" s="393"/>
      <c r="T45" s="387"/>
      <c r="U45" s="391" t="s">
        <v>206</v>
      </c>
      <c r="V45" s="392"/>
      <c r="W45" s="392"/>
      <c r="X45" s="393"/>
      <c r="Y45" s="387"/>
      <c r="Z45" s="391" t="s">
        <v>206</v>
      </c>
      <c r="AA45" s="392"/>
      <c r="AB45" s="392"/>
      <c r="AC45" s="393"/>
      <c r="AD45" s="387"/>
      <c r="AE45" s="391" t="s">
        <v>206</v>
      </c>
      <c r="AF45" s="392"/>
      <c r="AG45" s="392"/>
      <c r="AH45" s="393"/>
      <c r="AI45" s="387"/>
      <c r="AJ45" s="391" t="s">
        <v>206</v>
      </c>
      <c r="AK45" s="392"/>
      <c r="AL45" s="392"/>
      <c r="AM45" s="393"/>
      <c r="AN45" s="387"/>
      <c r="AO45" s="391" t="s">
        <v>206</v>
      </c>
      <c r="AP45" s="392"/>
      <c r="AQ45" s="392"/>
      <c r="AR45" s="393"/>
      <c r="AS45" s="387"/>
      <c r="AT45" s="391" t="s">
        <v>206</v>
      </c>
      <c r="AU45" s="392"/>
      <c r="AV45" s="392"/>
      <c r="AW45" s="393"/>
      <c r="AX45" s="387"/>
    </row>
    <row r="46" spans="2:50">
      <c r="B46" s="387"/>
      <c r="C46" s="387"/>
      <c r="D46" s="387"/>
      <c r="E46" s="104" t="s">
        <v>207</v>
      </c>
      <c r="F46" s="104" t="s">
        <v>208</v>
      </c>
      <c r="G46" s="104" t="s">
        <v>209</v>
      </c>
      <c r="H46" s="390"/>
      <c r="I46" s="104" t="s">
        <v>207</v>
      </c>
      <c r="J46" s="104" t="s">
        <v>208</v>
      </c>
      <c r="K46" s="104" t="s">
        <v>209</v>
      </c>
      <c r="L46" s="390"/>
      <c r="M46" s="401"/>
      <c r="N46" s="387"/>
      <c r="O46" s="387"/>
      <c r="P46" s="104" t="s">
        <v>207</v>
      </c>
      <c r="Q46" s="104" t="s">
        <v>208</v>
      </c>
      <c r="R46" s="104" t="s">
        <v>209</v>
      </c>
      <c r="S46" s="104" t="s">
        <v>202</v>
      </c>
      <c r="T46" s="387"/>
      <c r="U46" s="104" t="s">
        <v>207</v>
      </c>
      <c r="V46" s="104" t="s">
        <v>208</v>
      </c>
      <c r="W46" s="104" t="s">
        <v>209</v>
      </c>
      <c r="X46" s="104" t="s">
        <v>202</v>
      </c>
      <c r="Y46" s="387"/>
      <c r="Z46" s="104" t="s">
        <v>207</v>
      </c>
      <c r="AA46" s="104" t="s">
        <v>208</v>
      </c>
      <c r="AB46" s="104" t="s">
        <v>209</v>
      </c>
      <c r="AC46" s="104" t="s">
        <v>202</v>
      </c>
      <c r="AD46" s="387"/>
      <c r="AE46" s="104" t="s">
        <v>207</v>
      </c>
      <c r="AF46" s="104" t="s">
        <v>208</v>
      </c>
      <c r="AG46" s="104" t="s">
        <v>209</v>
      </c>
      <c r="AH46" s="104" t="s">
        <v>202</v>
      </c>
      <c r="AI46" s="387"/>
      <c r="AJ46" s="104" t="s">
        <v>207</v>
      </c>
      <c r="AK46" s="104" t="s">
        <v>208</v>
      </c>
      <c r="AL46" s="104" t="s">
        <v>209</v>
      </c>
      <c r="AM46" s="104" t="s">
        <v>202</v>
      </c>
      <c r="AN46" s="387"/>
      <c r="AO46" s="104" t="s">
        <v>207</v>
      </c>
      <c r="AP46" s="104" t="s">
        <v>208</v>
      </c>
      <c r="AQ46" s="104" t="s">
        <v>209</v>
      </c>
      <c r="AR46" s="104" t="s">
        <v>202</v>
      </c>
      <c r="AS46" s="387"/>
      <c r="AT46" s="104" t="s">
        <v>207</v>
      </c>
      <c r="AU46" s="104" t="s">
        <v>208</v>
      </c>
      <c r="AV46" s="104" t="s">
        <v>209</v>
      </c>
      <c r="AW46" s="104" t="s">
        <v>202</v>
      </c>
      <c r="AX46" s="387"/>
    </row>
    <row r="47" spans="2:50">
      <c r="B47" s="387" t="s">
        <v>184</v>
      </c>
      <c r="C47" s="105">
        <v>1</v>
      </c>
      <c r="D47" s="228" t="s">
        <v>321</v>
      </c>
      <c r="E47" s="175">
        <v>5</v>
      </c>
      <c r="F47" s="105">
        <v>1500</v>
      </c>
      <c r="G47" s="202">
        <v>300</v>
      </c>
      <c r="H47" s="384">
        <f>AVERAGE(G47:G61)</f>
        <v>125.66666666666666</v>
      </c>
      <c r="I47" s="175">
        <f>AVERAGE(P47,U47,Z47,AE47,AJ47,AO47,AT47)</f>
        <v>6</v>
      </c>
      <c r="J47" s="175">
        <f>AVERAGE(Q47,V47,AA47,AF47,AK47,AP47,AU47)</f>
        <v>1221.9738359284638</v>
      </c>
      <c r="K47" s="202">
        <f>AVERAGE(R47,W47,AB47,AG47,AL47,AQ47,AV47)</f>
        <v>203.66230598807729</v>
      </c>
      <c r="L47" s="384">
        <f>IFERROR(AVERAGE(K47:K61),"-")</f>
        <v>96.027020312309233</v>
      </c>
      <c r="M47" s="203">
        <f>RANK(K47, K$47:$K$61)</f>
        <v>1</v>
      </c>
      <c r="N47" s="387"/>
      <c r="O47" s="387"/>
      <c r="P47" s="105">
        <v>6</v>
      </c>
      <c r="Q47" s="175">
        <v>1177.2972972972973</v>
      </c>
      <c r="R47" s="202">
        <v>196.21621621621622</v>
      </c>
      <c r="S47" s="105">
        <f>RANK(R47, R$47:R$61)</f>
        <v>1</v>
      </c>
      <c r="T47" s="402">
        <f>AVERAGE(R47:R61)</f>
        <v>94.634377864217441</v>
      </c>
      <c r="U47" s="105">
        <v>6</v>
      </c>
      <c r="V47" s="175">
        <v>1201.090909090909</v>
      </c>
      <c r="W47" s="202">
        <v>200.18181818181816</v>
      </c>
      <c r="X47" s="105">
        <f>RANK(W47, W$47:W$61)</f>
        <v>1</v>
      </c>
      <c r="Y47" s="402">
        <f>AVERAGE(W47:W61)</f>
        <v>95.291908425338633</v>
      </c>
      <c r="Z47" s="105">
        <v>6</v>
      </c>
      <c r="AA47" s="175">
        <v>1198.3783783783783</v>
      </c>
      <c r="AB47" s="202">
        <v>199.72972972972971</v>
      </c>
      <c r="AC47" s="105">
        <f>RANK(AB47, AB$47:AB$61)</f>
        <v>1</v>
      </c>
      <c r="AD47" s="402">
        <f>AVERAGE(AB47:AB61)</f>
        <v>95.592899474111377</v>
      </c>
      <c r="AE47" s="105">
        <v>6</v>
      </c>
      <c r="AF47" s="175">
        <v>1311.1578947368423</v>
      </c>
      <c r="AG47" s="202">
        <v>218.52631578947373</v>
      </c>
      <c r="AH47" s="105">
        <f>RANK(AG47, AG$47:AG$61)</f>
        <v>1</v>
      </c>
      <c r="AI47" s="402">
        <f>AVERAGE(AG47:AG61)</f>
        <v>99.201222183365388</v>
      </c>
      <c r="AJ47" s="105">
        <v>6</v>
      </c>
      <c r="AK47" s="175">
        <v>1243.0303030303028</v>
      </c>
      <c r="AL47" s="202">
        <v>207.17171717171712</v>
      </c>
      <c r="AM47" s="105">
        <f>RANK(AL47, AL$47:AL$61)</f>
        <v>1</v>
      </c>
      <c r="AN47" s="402">
        <f>AVERAGE(AL47:AL61)</f>
        <v>97.13044025579778</v>
      </c>
      <c r="AO47" s="105">
        <v>6</v>
      </c>
      <c r="AP47" s="175">
        <v>1210.862068965517</v>
      </c>
      <c r="AQ47" s="202">
        <v>201.81034482758616</v>
      </c>
      <c r="AR47" s="105">
        <f>RANK(AQ47, AQ$47:AQ$61)</f>
        <v>1</v>
      </c>
      <c r="AS47" s="402">
        <f>AVERAGE(AQ47:AQ61)</f>
        <v>95.594516817295201</v>
      </c>
      <c r="AT47" s="105">
        <v>6</v>
      </c>
      <c r="AU47" s="175">
        <v>1211.9999999999998</v>
      </c>
      <c r="AV47" s="202">
        <v>201.99999999999997</v>
      </c>
      <c r="AW47" s="105">
        <f>RANK(AV47, AV$47:AV$61)</f>
        <v>1</v>
      </c>
      <c r="AX47" s="402">
        <f>AVERAGE(AV47:AV61)</f>
        <v>94.743777166038782</v>
      </c>
    </row>
    <row r="48" spans="2:50">
      <c r="B48" s="398"/>
      <c r="C48" s="105">
        <v>2</v>
      </c>
      <c r="D48" s="228" t="s">
        <v>322</v>
      </c>
      <c r="E48" s="175">
        <v>15</v>
      </c>
      <c r="F48" s="105">
        <v>1500</v>
      </c>
      <c r="G48" s="202">
        <v>100</v>
      </c>
      <c r="H48" s="385"/>
      <c r="I48" s="175">
        <f t="shared" ref="I48:K51" si="20">AVERAGE(P48,U48,Z48,AE48,AJ48,AO48,AT48)</f>
        <v>15.142857142857142</v>
      </c>
      <c r="J48" s="175">
        <f t="shared" si="20"/>
        <v>1185.567669372942</v>
      </c>
      <c r="K48" s="202">
        <f t="shared" si="20"/>
        <v>78.330948073138657</v>
      </c>
      <c r="L48" s="385"/>
      <c r="M48" s="203">
        <f>RANK(K48, K$47:$K$61)</f>
        <v>2</v>
      </c>
      <c r="N48" s="387"/>
      <c r="O48" s="387"/>
      <c r="P48" s="105">
        <v>15</v>
      </c>
      <c r="Q48" s="175">
        <v>1157.2561983471076</v>
      </c>
      <c r="R48" s="202">
        <v>77.150413223140504</v>
      </c>
      <c r="S48" s="105">
        <f t="shared" ref="S48:S61" si="21">RANK(R48, R$47:R$61)</f>
        <v>2</v>
      </c>
      <c r="T48" s="403"/>
      <c r="U48" s="105">
        <v>15</v>
      </c>
      <c r="V48" s="175">
        <v>1182.5581395348834</v>
      </c>
      <c r="W48" s="202">
        <v>78.837209302325562</v>
      </c>
      <c r="X48" s="105">
        <f t="shared" ref="X48:X61" si="22">RANK(W48, W$47:W$61)</f>
        <v>2</v>
      </c>
      <c r="Y48" s="403"/>
      <c r="Z48" s="105">
        <v>15</v>
      </c>
      <c r="AA48" s="175">
        <v>1201.472392638037</v>
      </c>
      <c r="AB48" s="202">
        <v>80.098159509202475</v>
      </c>
      <c r="AC48" s="105">
        <f t="shared" ref="AC48:AC61" si="23">RANK(AB48, AB$47:AB$61)</f>
        <v>2</v>
      </c>
      <c r="AD48" s="403"/>
      <c r="AE48" s="105">
        <v>15</v>
      </c>
      <c r="AF48" s="175">
        <v>1178.625</v>
      </c>
      <c r="AG48" s="202">
        <v>78.575000000000003</v>
      </c>
      <c r="AH48" s="105">
        <f t="shared" ref="AH48:AH61" si="24">RANK(AG48, AG$47:AG$61)</f>
        <v>2</v>
      </c>
      <c r="AI48" s="403"/>
      <c r="AJ48" s="105">
        <v>15</v>
      </c>
      <c r="AK48" s="175">
        <v>1189.019607843137</v>
      </c>
      <c r="AL48" s="202">
        <v>79.267973856209139</v>
      </c>
      <c r="AM48" s="105">
        <f t="shared" ref="AM48:AM61" si="25">RANK(AL48, AL$47:AL$61)</f>
        <v>2</v>
      </c>
      <c r="AN48" s="403"/>
      <c r="AO48" s="105">
        <v>15</v>
      </c>
      <c r="AP48" s="175">
        <v>1202.4561403508776</v>
      </c>
      <c r="AQ48" s="202">
        <v>80.163742690058513</v>
      </c>
      <c r="AR48" s="105">
        <f t="shared" ref="AR48:AR61" si="26">RANK(AQ48, AQ$47:AQ$61)</f>
        <v>2</v>
      </c>
      <c r="AS48" s="403"/>
      <c r="AT48" s="105">
        <v>16</v>
      </c>
      <c r="AU48" s="175">
        <v>1187.5862068965514</v>
      </c>
      <c r="AV48" s="202">
        <v>74.224137931034463</v>
      </c>
      <c r="AW48" s="105">
        <f t="shared" ref="AW48:AW61" si="27">RANK(AV48, AV$47:AV$61)</f>
        <v>3</v>
      </c>
      <c r="AX48" s="403"/>
    </row>
    <row r="49" spans="2:50">
      <c r="B49" s="398"/>
      <c r="C49" s="105">
        <v>3</v>
      </c>
      <c r="D49" s="228" t="s">
        <v>323</v>
      </c>
      <c r="E49" s="175">
        <v>18</v>
      </c>
      <c r="F49" s="105">
        <v>1500</v>
      </c>
      <c r="G49" s="202">
        <v>83.333333333333329</v>
      </c>
      <c r="H49" s="385"/>
      <c r="I49" s="175">
        <f t="shared" si="20"/>
        <v>18</v>
      </c>
      <c r="J49" s="175">
        <f t="shared" si="20"/>
        <v>1198.1885144201647</v>
      </c>
      <c r="K49" s="202">
        <f t="shared" si="20"/>
        <v>66.566028578898042</v>
      </c>
      <c r="L49" s="385"/>
      <c r="M49" s="203">
        <f>RANK(K49, K$47:$K$61)</f>
        <v>4</v>
      </c>
      <c r="N49" s="387"/>
      <c r="O49" s="387"/>
      <c r="P49" s="105">
        <v>18</v>
      </c>
      <c r="Q49" s="175">
        <v>1213.678991596639</v>
      </c>
      <c r="R49" s="202">
        <v>67.426610644257721</v>
      </c>
      <c r="S49" s="105">
        <f t="shared" si="21"/>
        <v>4</v>
      </c>
      <c r="T49" s="403"/>
      <c r="U49" s="105">
        <v>18</v>
      </c>
      <c r="V49" s="175">
        <v>1162.8750000000002</v>
      </c>
      <c r="W49" s="202">
        <v>64.604166666666686</v>
      </c>
      <c r="X49" s="105">
        <f t="shared" si="22"/>
        <v>4</v>
      </c>
      <c r="Y49" s="403"/>
      <c r="Z49" s="105">
        <v>18</v>
      </c>
      <c r="AA49" s="175">
        <v>1188.30612244898</v>
      </c>
      <c r="AB49" s="202">
        <v>66.017006802721113</v>
      </c>
      <c r="AC49" s="105">
        <f t="shared" si="23"/>
        <v>4</v>
      </c>
      <c r="AD49" s="403"/>
      <c r="AE49" s="105">
        <v>18</v>
      </c>
      <c r="AF49" s="175">
        <v>1219.5348837209301</v>
      </c>
      <c r="AG49" s="202">
        <v>67.751937984496124</v>
      </c>
      <c r="AH49" s="105">
        <f t="shared" si="24"/>
        <v>4</v>
      </c>
      <c r="AI49" s="403"/>
      <c r="AJ49" s="105">
        <v>18</v>
      </c>
      <c r="AK49" s="175">
        <v>1217.6190476190482</v>
      </c>
      <c r="AL49" s="202">
        <v>67.645502645502674</v>
      </c>
      <c r="AM49" s="105">
        <f t="shared" si="25"/>
        <v>4</v>
      </c>
      <c r="AN49" s="403"/>
      <c r="AO49" s="105">
        <v>18</v>
      </c>
      <c r="AP49" s="175">
        <v>1195.0555555555552</v>
      </c>
      <c r="AQ49" s="202">
        <v>66.39197530864196</v>
      </c>
      <c r="AR49" s="105">
        <f t="shared" si="26"/>
        <v>4</v>
      </c>
      <c r="AS49" s="403"/>
      <c r="AT49" s="105">
        <v>18</v>
      </c>
      <c r="AU49" s="175">
        <v>1190.25</v>
      </c>
      <c r="AV49" s="202">
        <v>66.125</v>
      </c>
      <c r="AW49" s="105">
        <f t="shared" si="27"/>
        <v>4</v>
      </c>
      <c r="AX49" s="403"/>
    </row>
    <row r="50" spans="2:50">
      <c r="B50" s="398"/>
      <c r="C50" s="105">
        <v>4</v>
      </c>
      <c r="D50" s="228" t="s">
        <v>324</v>
      </c>
      <c r="E50" s="175">
        <v>20</v>
      </c>
      <c r="F50" s="105">
        <v>1300</v>
      </c>
      <c r="G50" s="202">
        <v>65</v>
      </c>
      <c r="H50" s="385"/>
      <c r="I50" s="175">
        <f t="shared" si="20"/>
        <v>20</v>
      </c>
      <c r="J50" s="175">
        <f t="shared" si="20"/>
        <v>1097.9868232373919</v>
      </c>
      <c r="K50" s="202">
        <f t="shared" si="20"/>
        <v>54.899341161869586</v>
      </c>
      <c r="L50" s="385"/>
      <c r="M50" s="203">
        <f>RANK(K50, K$47:$K$61)</f>
        <v>5</v>
      </c>
      <c r="N50" s="387"/>
      <c r="O50" s="387"/>
      <c r="P50" s="105">
        <v>20</v>
      </c>
      <c r="Q50" s="175">
        <v>1121.6470588235293</v>
      </c>
      <c r="R50" s="202">
        <v>56.082352941176467</v>
      </c>
      <c r="S50" s="105">
        <f t="shared" si="21"/>
        <v>5</v>
      </c>
      <c r="T50" s="403"/>
      <c r="U50" s="105">
        <v>20</v>
      </c>
      <c r="V50" s="175">
        <v>1103.0232558139533</v>
      </c>
      <c r="W50" s="202">
        <v>55.151162790697661</v>
      </c>
      <c r="X50" s="105">
        <f t="shared" si="22"/>
        <v>5</v>
      </c>
      <c r="Y50" s="403"/>
      <c r="Z50" s="105">
        <v>20</v>
      </c>
      <c r="AA50" s="175">
        <v>1099.5348837209301</v>
      </c>
      <c r="AB50" s="202">
        <v>54.976744186046503</v>
      </c>
      <c r="AC50" s="105">
        <f t="shared" si="23"/>
        <v>5</v>
      </c>
      <c r="AD50" s="403"/>
      <c r="AE50" s="105">
        <v>20</v>
      </c>
      <c r="AF50" s="175">
        <v>1103.0571428571429</v>
      </c>
      <c r="AG50" s="202">
        <v>55.152857142857144</v>
      </c>
      <c r="AH50" s="105">
        <f t="shared" si="24"/>
        <v>5</v>
      </c>
      <c r="AI50" s="403"/>
      <c r="AJ50" s="105">
        <v>20</v>
      </c>
      <c r="AK50" s="175">
        <v>1119.512195121951</v>
      </c>
      <c r="AL50" s="202">
        <v>55.975609756097548</v>
      </c>
      <c r="AM50" s="105">
        <f t="shared" si="25"/>
        <v>5</v>
      </c>
      <c r="AN50" s="403"/>
      <c r="AO50" s="105">
        <v>20</v>
      </c>
      <c r="AP50" s="175">
        <v>1070.5617977528088</v>
      </c>
      <c r="AQ50" s="202">
        <v>53.528089887640441</v>
      </c>
      <c r="AR50" s="105">
        <f t="shared" si="26"/>
        <v>5</v>
      </c>
      <c r="AS50" s="403"/>
      <c r="AT50" s="105">
        <v>20</v>
      </c>
      <c r="AU50" s="175">
        <v>1068.5714285714282</v>
      </c>
      <c r="AV50" s="202">
        <v>53.428571428571409</v>
      </c>
      <c r="AW50" s="105">
        <f t="shared" si="27"/>
        <v>5</v>
      </c>
      <c r="AX50" s="403"/>
    </row>
    <row r="51" spans="2:50">
      <c r="B51" s="398"/>
      <c r="C51" s="105">
        <v>5</v>
      </c>
      <c r="D51" s="228" t="s">
        <v>325</v>
      </c>
      <c r="E51" s="175">
        <v>18</v>
      </c>
      <c r="F51" s="105">
        <v>1440</v>
      </c>
      <c r="G51" s="202">
        <v>80</v>
      </c>
      <c r="H51" s="385"/>
      <c r="I51" s="175">
        <f t="shared" si="20"/>
        <v>18</v>
      </c>
      <c r="J51" s="175">
        <f t="shared" si="20"/>
        <v>1380.176599672126</v>
      </c>
      <c r="K51" s="202">
        <f t="shared" si="20"/>
        <v>76.676477759562559</v>
      </c>
      <c r="L51" s="385"/>
      <c r="M51" s="203">
        <f>RANK(K51, K$47:$K$61)</f>
        <v>3</v>
      </c>
      <c r="N51" s="387"/>
      <c r="O51" s="387"/>
      <c r="P51" s="105">
        <v>18</v>
      </c>
      <c r="Q51" s="175">
        <v>1373.3333333333323</v>
      </c>
      <c r="R51" s="202">
        <v>76.296296296296248</v>
      </c>
      <c r="S51" s="105">
        <f t="shared" si="21"/>
        <v>3</v>
      </c>
      <c r="T51" s="403"/>
      <c r="U51" s="105">
        <v>18</v>
      </c>
      <c r="V51" s="175">
        <v>1398.3333333333321</v>
      </c>
      <c r="W51" s="202">
        <v>77.685185185185119</v>
      </c>
      <c r="X51" s="105">
        <f t="shared" si="22"/>
        <v>3</v>
      </c>
      <c r="Y51" s="403"/>
      <c r="Z51" s="105">
        <v>18</v>
      </c>
      <c r="AA51" s="175">
        <v>1388.5714285714273</v>
      </c>
      <c r="AB51" s="202">
        <v>77.142857142857068</v>
      </c>
      <c r="AC51" s="105">
        <f t="shared" si="23"/>
        <v>3</v>
      </c>
      <c r="AD51" s="403"/>
      <c r="AE51" s="105">
        <v>18</v>
      </c>
      <c r="AF51" s="175">
        <v>1367.9999999999986</v>
      </c>
      <c r="AG51" s="202">
        <v>75.999999999999929</v>
      </c>
      <c r="AH51" s="105">
        <f t="shared" si="24"/>
        <v>3</v>
      </c>
      <c r="AI51" s="403"/>
      <c r="AJ51" s="105">
        <v>18</v>
      </c>
      <c r="AK51" s="175">
        <v>1360.6451612903238</v>
      </c>
      <c r="AL51" s="202">
        <v>75.591397849462439</v>
      </c>
      <c r="AM51" s="105">
        <f t="shared" si="25"/>
        <v>3</v>
      </c>
      <c r="AN51" s="403"/>
      <c r="AO51" s="105">
        <v>18</v>
      </c>
      <c r="AP51" s="175">
        <v>1369.4117647058806</v>
      </c>
      <c r="AQ51" s="202">
        <v>76.07843137254892</v>
      </c>
      <c r="AR51" s="105">
        <f t="shared" si="26"/>
        <v>3</v>
      </c>
      <c r="AS51" s="403"/>
      <c r="AT51" s="105">
        <v>18</v>
      </c>
      <c r="AU51" s="175">
        <v>1402.9411764705865</v>
      </c>
      <c r="AV51" s="202">
        <v>77.941176470588132</v>
      </c>
      <c r="AW51" s="105">
        <f t="shared" si="27"/>
        <v>2</v>
      </c>
      <c r="AX51" s="403"/>
    </row>
    <row r="52" spans="2:50">
      <c r="B52" s="398"/>
      <c r="C52" s="105">
        <v>6</v>
      </c>
      <c r="D52" s="228"/>
      <c r="E52" s="175"/>
      <c r="F52" s="105"/>
      <c r="G52" s="202"/>
      <c r="H52" s="385"/>
      <c r="I52" s="175"/>
      <c r="J52" s="175"/>
      <c r="K52" s="202"/>
      <c r="L52" s="385"/>
      <c r="M52" s="203" t="e">
        <f>RANK(K52, K$47:$K$61)</f>
        <v>#N/A</v>
      </c>
      <c r="N52" s="387"/>
      <c r="O52" s="387"/>
      <c r="P52" s="105"/>
      <c r="Q52" s="105"/>
      <c r="R52" s="105"/>
      <c r="S52" s="105" t="e">
        <f t="shared" si="21"/>
        <v>#N/A</v>
      </c>
      <c r="T52" s="403"/>
      <c r="U52" s="105"/>
      <c r="V52" s="105"/>
      <c r="W52" s="105"/>
      <c r="X52" s="105" t="e">
        <f t="shared" si="22"/>
        <v>#N/A</v>
      </c>
      <c r="Y52" s="403"/>
      <c r="Z52" s="105"/>
      <c r="AA52" s="105"/>
      <c r="AB52" s="105"/>
      <c r="AC52" s="105" t="e">
        <f t="shared" si="23"/>
        <v>#N/A</v>
      </c>
      <c r="AD52" s="403"/>
      <c r="AE52" s="105"/>
      <c r="AF52" s="105"/>
      <c r="AG52" s="105"/>
      <c r="AH52" s="105" t="e">
        <f t="shared" si="24"/>
        <v>#N/A</v>
      </c>
      <c r="AI52" s="403"/>
      <c r="AJ52" s="105"/>
      <c r="AK52" s="105"/>
      <c r="AL52" s="105"/>
      <c r="AM52" s="105" t="e">
        <f t="shared" si="25"/>
        <v>#N/A</v>
      </c>
      <c r="AN52" s="403"/>
      <c r="AO52" s="105"/>
      <c r="AP52" s="105"/>
      <c r="AQ52" s="105"/>
      <c r="AR52" s="105" t="e">
        <f t="shared" si="26"/>
        <v>#N/A</v>
      </c>
      <c r="AS52" s="403"/>
      <c r="AT52" s="105"/>
      <c r="AU52" s="105"/>
      <c r="AV52" s="105"/>
      <c r="AW52" s="105" t="e">
        <f t="shared" si="27"/>
        <v>#N/A</v>
      </c>
      <c r="AX52" s="403"/>
    </row>
    <row r="53" spans="2:50">
      <c r="B53" s="398"/>
      <c r="C53" s="105">
        <v>7</v>
      </c>
      <c r="D53" s="228"/>
      <c r="E53" s="175"/>
      <c r="F53" s="105"/>
      <c r="G53" s="202"/>
      <c r="H53" s="385"/>
      <c r="I53" s="175"/>
      <c r="J53" s="175"/>
      <c r="K53" s="202"/>
      <c r="L53" s="385"/>
      <c r="M53" s="203" t="e">
        <f>RANK(K53, K$47:$K$61)</f>
        <v>#N/A</v>
      </c>
      <c r="N53" s="387"/>
      <c r="O53" s="387"/>
      <c r="P53" s="105"/>
      <c r="Q53" s="105"/>
      <c r="R53" s="105"/>
      <c r="S53" s="105" t="e">
        <f t="shared" si="21"/>
        <v>#N/A</v>
      </c>
      <c r="T53" s="403"/>
      <c r="U53" s="105"/>
      <c r="V53" s="105"/>
      <c r="W53" s="105"/>
      <c r="X53" s="105" t="e">
        <f t="shared" si="22"/>
        <v>#N/A</v>
      </c>
      <c r="Y53" s="403"/>
      <c r="Z53" s="105"/>
      <c r="AA53" s="105"/>
      <c r="AB53" s="105"/>
      <c r="AC53" s="105" t="e">
        <f t="shared" si="23"/>
        <v>#N/A</v>
      </c>
      <c r="AD53" s="403"/>
      <c r="AE53" s="105"/>
      <c r="AF53" s="105"/>
      <c r="AG53" s="105"/>
      <c r="AH53" s="105" t="e">
        <f t="shared" si="24"/>
        <v>#N/A</v>
      </c>
      <c r="AI53" s="403"/>
      <c r="AJ53" s="105"/>
      <c r="AK53" s="105"/>
      <c r="AL53" s="105"/>
      <c r="AM53" s="105" t="e">
        <f t="shared" si="25"/>
        <v>#N/A</v>
      </c>
      <c r="AN53" s="403"/>
      <c r="AO53" s="105"/>
      <c r="AP53" s="105"/>
      <c r="AQ53" s="105"/>
      <c r="AR53" s="105" t="e">
        <f t="shared" si="26"/>
        <v>#N/A</v>
      </c>
      <c r="AS53" s="403"/>
      <c r="AT53" s="105"/>
      <c r="AU53" s="105"/>
      <c r="AV53" s="105"/>
      <c r="AW53" s="105" t="e">
        <f t="shared" si="27"/>
        <v>#N/A</v>
      </c>
      <c r="AX53" s="403"/>
    </row>
    <row r="54" spans="2:50">
      <c r="B54" s="398"/>
      <c r="C54" s="105">
        <v>8</v>
      </c>
      <c r="D54" s="228"/>
      <c r="E54" s="175"/>
      <c r="F54" s="105"/>
      <c r="G54" s="202"/>
      <c r="H54" s="385"/>
      <c r="I54" s="175"/>
      <c r="J54" s="175"/>
      <c r="K54" s="202"/>
      <c r="L54" s="385"/>
      <c r="M54" s="203" t="e">
        <f>RANK(K54, K$47:$K$61)</f>
        <v>#N/A</v>
      </c>
      <c r="N54" s="387"/>
      <c r="O54" s="387"/>
      <c r="P54" s="105"/>
      <c r="Q54" s="105"/>
      <c r="R54" s="105"/>
      <c r="S54" s="105" t="e">
        <f t="shared" si="21"/>
        <v>#N/A</v>
      </c>
      <c r="T54" s="403"/>
      <c r="U54" s="105"/>
      <c r="V54" s="105"/>
      <c r="W54" s="105"/>
      <c r="X54" s="105" t="e">
        <f t="shared" si="22"/>
        <v>#N/A</v>
      </c>
      <c r="Y54" s="403"/>
      <c r="Z54" s="105"/>
      <c r="AA54" s="105"/>
      <c r="AB54" s="105"/>
      <c r="AC54" s="105" t="e">
        <f t="shared" si="23"/>
        <v>#N/A</v>
      </c>
      <c r="AD54" s="403"/>
      <c r="AE54" s="105"/>
      <c r="AF54" s="105"/>
      <c r="AG54" s="105"/>
      <c r="AH54" s="105" t="e">
        <f t="shared" si="24"/>
        <v>#N/A</v>
      </c>
      <c r="AI54" s="403"/>
      <c r="AJ54" s="105"/>
      <c r="AK54" s="105"/>
      <c r="AL54" s="105"/>
      <c r="AM54" s="105" t="e">
        <f t="shared" si="25"/>
        <v>#N/A</v>
      </c>
      <c r="AN54" s="403"/>
      <c r="AO54" s="105"/>
      <c r="AP54" s="105"/>
      <c r="AQ54" s="105"/>
      <c r="AR54" s="105" t="e">
        <f t="shared" si="26"/>
        <v>#N/A</v>
      </c>
      <c r="AS54" s="403"/>
      <c r="AT54" s="105"/>
      <c r="AU54" s="105"/>
      <c r="AV54" s="105"/>
      <c r="AW54" s="105" t="e">
        <f t="shared" si="27"/>
        <v>#N/A</v>
      </c>
      <c r="AX54" s="403"/>
    </row>
    <row r="55" spans="2:50">
      <c r="B55" s="398"/>
      <c r="C55" s="105">
        <v>9</v>
      </c>
      <c r="D55" s="228"/>
      <c r="E55" s="175"/>
      <c r="F55" s="105"/>
      <c r="G55" s="202"/>
      <c r="H55" s="385"/>
      <c r="I55" s="175"/>
      <c r="J55" s="175"/>
      <c r="K55" s="202"/>
      <c r="L55" s="385"/>
      <c r="M55" s="203" t="e">
        <f>RANK(K55, K$47:$K$61)</f>
        <v>#N/A</v>
      </c>
      <c r="N55" s="387"/>
      <c r="O55" s="387"/>
      <c r="P55" s="105"/>
      <c r="Q55" s="105"/>
      <c r="R55" s="105"/>
      <c r="S55" s="105" t="e">
        <f t="shared" si="21"/>
        <v>#N/A</v>
      </c>
      <c r="T55" s="403"/>
      <c r="U55" s="105"/>
      <c r="V55" s="105"/>
      <c r="W55" s="105"/>
      <c r="X55" s="105" t="e">
        <f t="shared" si="22"/>
        <v>#N/A</v>
      </c>
      <c r="Y55" s="403"/>
      <c r="Z55" s="105"/>
      <c r="AA55" s="105"/>
      <c r="AB55" s="105"/>
      <c r="AC55" s="105" t="e">
        <f t="shared" si="23"/>
        <v>#N/A</v>
      </c>
      <c r="AD55" s="403"/>
      <c r="AE55" s="105"/>
      <c r="AF55" s="105"/>
      <c r="AG55" s="105"/>
      <c r="AH55" s="105" t="e">
        <f t="shared" si="24"/>
        <v>#N/A</v>
      </c>
      <c r="AI55" s="403"/>
      <c r="AJ55" s="105"/>
      <c r="AK55" s="105"/>
      <c r="AL55" s="105"/>
      <c r="AM55" s="105" t="e">
        <f t="shared" si="25"/>
        <v>#N/A</v>
      </c>
      <c r="AN55" s="403"/>
      <c r="AO55" s="105"/>
      <c r="AP55" s="105"/>
      <c r="AQ55" s="105"/>
      <c r="AR55" s="105" t="e">
        <f t="shared" si="26"/>
        <v>#N/A</v>
      </c>
      <c r="AS55" s="403"/>
      <c r="AT55" s="105"/>
      <c r="AU55" s="105"/>
      <c r="AV55" s="105"/>
      <c r="AW55" s="105" t="e">
        <f t="shared" si="27"/>
        <v>#N/A</v>
      </c>
      <c r="AX55" s="403"/>
    </row>
    <row r="56" spans="2:50">
      <c r="B56" s="398"/>
      <c r="C56" s="105">
        <v>10</v>
      </c>
      <c r="D56" s="228"/>
      <c r="E56" s="175"/>
      <c r="F56" s="105"/>
      <c r="G56" s="202"/>
      <c r="H56" s="385"/>
      <c r="I56" s="175"/>
      <c r="J56" s="175"/>
      <c r="K56" s="202"/>
      <c r="L56" s="385"/>
      <c r="M56" s="203" t="e">
        <f>RANK(K56, K$47:$K$61)</f>
        <v>#N/A</v>
      </c>
      <c r="N56" s="387"/>
      <c r="O56" s="387"/>
      <c r="P56" s="105"/>
      <c r="Q56" s="105"/>
      <c r="R56" s="105"/>
      <c r="S56" s="105" t="e">
        <f t="shared" si="21"/>
        <v>#N/A</v>
      </c>
      <c r="T56" s="403"/>
      <c r="U56" s="105"/>
      <c r="V56" s="105"/>
      <c r="W56" s="105"/>
      <c r="X56" s="105" t="e">
        <f t="shared" si="22"/>
        <v>#N/A</v>
      </c>
      <c r="Y56" s="403"/>
      <c r="Z56" s="105"/>
      <c r="AA56" s="105"/>
      <c r="AB56" s="105"/>
      <c r="AC56" s="105" t="e">
        <f t="shared" si="23"/>
        <v>#N/A</v>
      </c>
      <c r="AD56" s="403"/>
      <c r="AE56" s="105"/>
      <c r="AF56" s="105"/>
      <c r="AG56" s="105"/>
      <c r="AH56" s="105" t="e">
        <f t="shared" si="24"/>
        <v>#N/A</v>
      </c>
      <c r="AI56" s="403"/>
      <c r="AJ56" s="105"/>
      <c r="AK56" s="105"/>
      <c r="AL56" s="105"/>
      <c r="AM56" s="105" t="e">
        <f t="shared" si="25"/>
        <v>#N/A</v>
      </c>
      <c r="AN56" s="403"/>
      <c r="AO56" s="105"/>
      <c r="AP56" s="105"/>
      <c r="AQ56" s="105"/>
      <c r="AR56" s="105" t="e">
        <f t="shared" si="26"/>
        <v>#N/A</v>
      </c>
      <c r="AS56" s="403"/>
      <c r="AT56" s="105"/>
      <c r="AU56" s="105"/>
      <c r="AV56" s="105"/>
      <c r="AW56" s="105" t="e">
        <f t="shared" si="27"/>
        <v>#N/A</v>
      </c>
      <c r="AX56" s="403"/>
    </row>
    <row r="57" spans="2:50">
      <c r="B57" s="398"/>
      <c r="C57" s="105">
        <v>11</v>
      </c>
      <c r="D57" s="228"/>
      <c r="E57" s="175"/>
      <c r="F57" s="105"/>
      <c r="G57" s="202"/>
      <c r="H57" s="385"/>
      <c r="I57" s="175"/>
      <c r="J57" s="175"/>
      <c r="K57" s="202"/>
      <c r="L57" s="385"/>
      <c r="M57" s="203" t="e">
        <f>RANK(K57, K$47:$K$61)</f>
        <v>#N/A</v>
      </c>
      <c r="N57" s="387"/>
      <c r="O57" s="387"/>
      <c r="P57" s="105"/>
      <c r="Q57" s="105"/>
      <c r="R57" s="105"/>
      <c r="S57" s="105" t="e">
        <f t="shared" si="21"/>
        <v>#N/A</v>
      </c>
      <c r="T57" s="403"/>
      <c r="U57" s="105"/>
      <c r="V57" s="105"/>
      <c r="W57" s="105"/>
      <c r="X57" s="105" t="e">
        <f t="shared" si="22"/>
        <v>#N/A</v>
      </c>
      <c r="Y57" s="403"/>
      <c r="Z57" s="105"/>
      <c r="AA57" s="105"/>
      <c r="AB57" s="105"/>
      <c r="AC57" s="105" t="e">
        <f t="shared" si="23"/>
        <v>#N/A</v>
      </c>
      <c r="AD57" s="403"/>
      <c r="AE57" s="105"/>
      <c r="AF57" s="105"/>
      <c r="AG57" s="105"/>
      <c r="AH57" s="105" t="e">
        <f t="shared" si="24"/>
        <v>#N/A</v>
      </c>
      <c r="AI57" s="403"/>
      <c r="AJ57" s="105"/>
      <c r="AK57" s="105"/>
      <c r="AL57" s="105"/>
      <c r="AM57" s="105" t="e">
        <f t="shared" si="25"/>
        <v>#N/A</v>
      </c>
      <c r="AN57" s="403"/>
      <c r="AO57" s="105"/>
      <c r="AP57" s="105"/>
      <c r="AQ57" s="105"/>
      <c r="AR57" s="105" t="e">
        <f t="shared" si="26"/>
        <v>#N/A</v>
      </c>
      <c r="AS57" s="403"/>
      <c r="AT57" s="105"/>
      <c r="AU57" s="105"/>
      <c r="AV57" s="105"/>
      <c r="AW57" s="105" t="e">
        <f t="shared" si="27"/>
        <v>#N/A</v>
      </c>
      <c r="AX57" s="403"/>
    </row>
    <row r="58" spans="2:50">
      <c r="B58" s="398"/>
      <c r="C58" s="105">
        <v>12</v>
      </c>
      <c r="D58" s="228"/>
      <c r="E58" s="175"/>
      <c r="F58" s="105"/>
      <c r="G58" s="202"/>
      <c r="H58" s="385"/>
      <c r="I58" s="175"/>
      <c r="J58" s="175"/>
      <c r="K58" s="202"/>
      <c r="L58" s="385"/>
      <c r="M58" s="203" t="e">
        <f>RANK(K58, K$47:$K$61)</f>
        <v>#N/A</v>
      </c>
      <c r="N58" s="387"/>
      <c r="O58" s="387"/>
      <c r="P58" s="105"/>
      <c r="Q58" s="105"/>
      <c r="R58" s="105"/>
      <c r="S58" s="105" t="e">
        <f t="shared" si="21"/>
        <v>#N/A</v>
      </c>
      <c r="T58" s="403"/>
      <c r="U58" s="105"/>
      <c r="V58" s="105"/>
      <c r="W58" s="105"/>
      <c r="X58" s="105" t="e">
        <f t="shared" si="22"/>
        <v>#N/A</v>
      </c>
      <c r="Y58" s="403"/>
      <c r="Z58" s="105"/>
      <c r="AA58" s="105"/>
      <c r="AB58" s="105"/>
      <c r="AC58" s="105" t="e">
        <f t="shared" si="23"/>
        <v>#N/A</v>
      </c>
      <c r="AD58" s="403"/>
      <c r="AE58" s="105"/>
      <c r="AF58" s="105"/>
      <c r="AG58" s="105"/>
      <c r="AH58" s="105" t="e">
        <f t="shared" si="24"/>
        <v>#N/A</v>
      </c>
      <c r="AI58" s="403"/>
      <c r="AJ58" s="105"/>
      <c r="AK58" s="105"/>
      <c r="AL58" s="105"/>
      <c r="AM58" s="105" t="e">
        <f t="shared" si="25"/>
        <v>#N/A</v>
      </c>
      <c r="AN58" s="403"/>
      <c r="AO58" s="105"/>
      <c r="AP58" s="105"/>
      <c r="AQ58" s="105"/>
      <c r="AR58" s="105" t="e">
        <f t="shared" si="26"/>
        <v>#N/A</v>
      </c>
      <c r="AS58" s="403"/>
      <c r="AT58" s="105"/>
      <c r="AU58" s="105"/>
      <c r="AV58" s="105"/>
      <c r="AW58" s="105" t="e">
        <f t="shared" si="27"/>
        <v>#N/A</v>
      </c>
      <c r="AX58" s="403"/>
    </row>
    <row r="59" spans="2:50">
      <c r="B59" s="398"/>
      <c r="C59" s="105">
        <v>13</v>
      </c>
      <c r="D59" s="228"/>
      <c r="E59" s="175"/>
      <c r="F59" s="105"/>
      <c r="G59" s="202"/>
      <c r="H59" s="385"/>
      <c r="I59" s="175"/>
      <c r="J59" s="175"/>
      <c r="K59" s="202"/>
      <c r="L59" s="385"/>
      <c r="M59" s="203" t="e">
        <f>RANK(K59, K$47:$K$61)</f>
        <v>#N/A</v>
      </c>
      <c r="N59" s="387"/>
      <c r="O59" s="387"/>
      <c r="P59" s="105"/>
      <c r="Q59" s="105"/>
      <c r="R59" s="105"/>
      <c r="S59" s="105" t="e">
        <f t="shared" si="21"/>
        <v>#N/A</v>
      </c>
      <c r="T59" s="403"/>
      <c r="U59" s="105"/>
      <c r="V59" s="105"/>
      <c r="W59" s="105"/>
      <c r="X59" s="105" t="e">
        <f t="shared" si="22"/>
        <v>#N/A</v>
      </c>
      <c r="Y59" s="403"/>
      <c r="Z59" s="105"/>
      <c r="AA59" s="105"/>
      <c r="AB59" s="105"/>
      <c r="AC59" s="105" t="e">
        <f t="shared" si="23"/>
        <v>#N/A</v>
      </c>
      <c r="AD59" s="403"/>
      <c r="AE59" s="105"/>
      <c r="AF59" s="105"/>
      <c r="AG59" s="105"/>
      <c r="AH59" s="105" t="e">
        <f t="shared" si="24"/>
        <v>#N/A</v>
      </c>
      <c r="AI59" s="403"/>
      <c r="AJ59" s="105"/>
      <c r="AK59" s="105"/>
      <c r="AL59" s="105"/>
      <c r="AM59" s="105" t="e">
        <f t="shared" si="25"/>
        <v>#N/A</v>
      </c>
      <c r="AN59" s="403"/>
      <c r="AO59" s="105"/>
      <c r="AP59" s="105"/>
      <c r="AQ59" s="105"/>
      <c r="AR59" s="105" t="e">
        <f t="shared" si="26"/>
        <v>#N/A</v>
      </c>
      <c r="AS59" s="403"/>
      <c r="AT59" s="105"/>
      <c r="AU59" s="105"/>
      <c r="AV59" s="105"/>
      <c r="AW59" s="105" t="e">
        <f t="shared" si="27"/>
        <v>#N/A</v>
      </c>
      <c r="AX59" s="403"/>
    </row>
    <row r="60" spans="2:50">
      <c r="B60" s="398"/>
      <c r="C60" s="105">
        <v>14</v>
      </c>
      <c r="D60" s="228"/>
      <c r="E60" s="175"/>
      <c r="F60" s="105"/>
      <c r="G60" s="202"/>
      <c r="H60" s="385"/>
      <c r="I60" s="175"/>
      <c r="J60" s="175"/>
      <c r="K60" s="202"/>
      <c r="L60" s="385"/>
      <c r="M60" s="203" t="e">
        <f>RANK(K60, K$47:$K$61)</f>
        <v>#N/A</v>
      </c>
      <c r="N60" s="387"/>
      <c r="O60" s="387"/>
      <c r="P60" s="105"/>
      <c r="Q60" s="105"/>
      <c r="R60" s="105"/>
      <c r="S60" s="105" t="e">
        <f t="shared" si="21"/>
        <v>#N/A</v>
      </c>
      <c r="T60" s="403"/>
      <c r="U60" s="105"/>
      <c r="V60" s="105"/>
      <c r="W60" s="105"/>
      <c r="X60" s="105" t="e">
        <f t="shared" si="22"/>
        <v>#N/A</v>
      </c>
      <c r="Y60" s="403"/>
      <c r="Z60" s="105"/>
      <c r="AA60" s="105"/>
      <c r="AB60" s="105"/>
      <c r="AC60" s="105" t="e">
        <f t="shared" si="23"/>
        <v>#N/A</v>
      </c>
      <c r="AD60" s="403"/>
      <c r="AE60" s="105"/>
      <c r="AF60" s="105"/>
      <c r="AG60" s="105"/>
      <c r="AH60" s="105" t="e">
        <f t="shared" si="24"/>
        <v>#N/A</v>
      </c>
      <c r="AI60" s="403"/>
      <c r="AJ60" s="105"/>
      <c r="AK60" s="105"/>
      <c r="AL60" s="105"/>
      <c r="AM60" s="105" t="e">
        <f t="shared" si="25"/>
        <v>#N/A</v>
      </c>
      <c r="AN60" s="403"/>
      <c r="AO60" s="105"/>
      <c r="AP60" s="105"/>
      <c r="AQ60" s="105"/>
      <c r="AR60" s="105" t="e">
        <f t="shared" si="26"/>
        <v>#N/A</v>
      </c>
      <c r="AS60" s="403"/>
      <c r="AT60" s="105"/>
      <c r="AU60" s="105"/>
      <c r="AV60" s="105"/>
      <c r="AW60" s="105" t="e">
        <f t="shared" si="27"/>
        <v>#N/A</v>
      </c>
      <c r="AX60" s="403"/>
    </row>
    <row r="61" spans="2:50">
      <c r="B61" s="398"/>
      <c r="C61" s="105">
        <v>15</v>
      </c>
      <c r="D61" s="228"/>
      <c r="E61" s="175"/>
      <c r="F61" s="105"/>
      <c r="G61" s="202"/>
      <c r="H61" s="386"/>
      <c r="I61" s="175"/>
      <c r="J61" s="175"/>
      <c r="K61" s="202"/>
      <c r="L61" s="386"/>
      <c r="M61" s="175" t="e">
        <f>RANK(K61, K$47:$K$61)</f>
        <v>#N/A</v>
      </c>
      <c r="N61" s="387"/>
      <c r="O61" s="387"/>
      <c r="P61" s="105"/>
      <c r="Q61" s="105"/>
      <c r="R61" s="105"/>
      <c r="S61" s="105" t="e">
        <f t="shared" si="21"/>
        <v>#N/A</v>
      </c>
      <c r="T61" s="404"/>
      <c r="U61" s="105"/>
      <c r="V61" s="105"/>
      <c r="W61" s="105"/>
      <c r="X61" s="105" t="e">
        <f t="shared" si="22"/>
        <v>#N/A</v>
      </c>
      <c r="Y61" s="404"/>
      <c r="Z61" s="105"/>
      <c r="AA61" s="105"/>
      <c r="AB61" s="105"/>
      <c r="AC61" s="105" t="e">
        <f t="shared" si="23"/>
        <v>#N/A</v>
      </c>
      <c r="AD61" s="404"/>
      <c r="AE61" s="105"/>
      <c r="AF61" s="105"/>
      <c r="AG61" s="105"/>
      <c r="AH61" s="105" t="e">
        <f t="shared" si="24"/>
        <v>#N/A</v>
      </c>
      <c r="AI61" s="404"/>
      <c r="AJ61" s="105"/>
      <c r="AK61" s="105"/>
      <c r="AL61" s="105"/>
      <c r="AM61" s="105" t="e">
        <f t="shared" si="25"/>
        <v>#N/A</v>
      </c>
      <c r="AN61" s="404"/>
      <c r="AO61" s="105"/>
      <c r="AP61" s="105"/>
      <c r="AQ61" s="105"/>
      <c r="AR61" s="105" t="e">
        <f t="shared" si="26"/>
        <v>#N/A</v>
      </c>
      <c r="AS61" s="404"/>
      <c r="AT61" s="105"/>
      <c r="AU61" s="105"/>
      <c r="AV61" s="105"/>
      <c r="AW61" s="105" t="e">
        <f t="shared" si="27"/>
        <v>#N/A</v>
      </c>
      <c r="AX61" s="404"/>
    </row>
    <row r="62" spans="2:50" ht="15.75">
      <c r="B62" s="405" t="s">
        <v>195</v>
      </c>
      <c r="C62" s="406"/>
      <c r="D62" s="406"/>
      <c r="E62" s="406"/>
      <c r="F62" s="406"/>
      <c r="G62" s="406"/>
      <c r="H62" s="406"/>
      <c r="I62" s="205"/>
      <c r="J62" s="205"/>
      <c r="K62" s="205"/>
      <c r="L62" s="205"/>
      <c r="M62" s="204"/>
      <c r="N62" s="399" t="s">
        <v>196</v>
      </c>
      <c r="O62" s="399" t="s">
        <v>145</v>
      </c>
      <c r="P62" s="397">
        <f>P42+7</f>
        <v>45888</v>
      </c>
      <c r="Q62" s="398"/>
      <c r="R62" s="398"/>
      <c r="S62" s="398"/>
      <c r="T62" s="398"/>
      <c r="U62" s="394">
        <f>P62+1</f>
        <v>45889</v>
      </c>
      <c r="V62" s="395"/>
      <c r="W62" s="395"/>
      <c r="X62" s="395"/>
      <c r="Y62" s="396"/>
      <c r="Z62" s="394">
        <f>U62+1</f>
        <v>45890</v>
      </c>
      <c r="AA62" s="395"/>
      <c r="AB62" s="395"/>
      <c r="AC62" s="395"/>
      <c r="AD62" s="396"/>
      <c r="AE62" s="394">
        <f t="shared" ref="AE62" si="28">Z62+1</f>
        <v>45891</v>
      </c>
      <c r="AF62" s="395"/>
      <c r="AG62" s="395"/>
      <c r="AH62" s="395"/>
      <c r="AI62" s="396"/>
      <c r="AJ62" s="394">
        <f t="shared" ref="AJ62" si="29">AE62+1</f>
        <v>45892</v>
      </c>
      <c r="AK62" s="395"/>
      <c r="AL62" s="395"/>
      <c r="AM62" s="395"/>
      <c r="AN62" s="396"/>
      <c r="AO62" s="394">
        <f t="shared" ref="AO62" si="30">AJ62+1</f>
        <v>45893</v>
      </c>
      <c r="AP62" s="395"/>
      <c r="AQ62" s="395"/>
      <c r="AR62" s="395"/>
      <c r="AS62" s="396"/>
      <c r="AT62" s="394">
        <f t="shared" ref="AT62" si="31">AO62+1</f>
        <v>45894</v>
      </c>
      <c r="AU62" s="395"/>
      <c r="AV62" s="395"/>
      <c r="AW62" s="395"/>
      <c r="AX62" s="396"/>
    </row>
    <row r="63" spans="2:50" ht="15.75">
      <c r="B63" s="407"/>
      <c r="C63" s="407"/>
      <c r="D63" s="407"/>
      <c r="E63" s="407"/>
      <c r="F63" s="407"/>
      <c r="G63" s="407"/>
      <c r="H63" s="407"/>
      <c r="I63" s="172"/>
      <c r="J63" s="172"/>
      <c r="K63" s="172"/>
      <c r="L63" s="172"/>
      <c r="M63" s="173"/>
      <c r="N63" s="401"/>
      <c r="O63" s="401"/>
      <c r="P63" s="397" t="s">
        <v>159</v>
      </c>
      <c r="Q63" s="398"/>
      <c r="R63" s="398"/>
      <c r="S63" s="398"/>
      <c r="T63" s="398"/>
      <c r="U63" s="397" t="s">
        <v>160</v>
      </c>
      <c r="V63" s="398"/>
      <c r="W63" s="398"/>
      <c r="X63" s="398"/>
      <c r="Y63" s="398"/>
      <c r="Z63" s="397" t="s">
        <v>161</v>
      </c>
      <c r="AA63" s="398"/>
      <c r="AB63" s="398"/>
      <c r="AC63" s="398"/>
      <c r="AD63" s="398"/>
      <c r="AE63" s="397" t="s">
        <v>156</v>
      </c>
      <c r="AF63" s="398"/>
      <c r="AG63" s="398"/>
      <c r="AH63" s="398"/>
      <c r="AI63" s="398"/>
      <c r="AJ63" s="397" t="s">
        <v>157</v>
      </c>
      <c r="AK63" s="398"/>
      <c r="AL63" s="398"/>
      <c r="AM63" s="398"/>
      <c r="AN63" s="398"/>
      <c r="AO63" s="397" t="s">
        <v>152</v>
      </c>
      <c r="AP63" s="398"/>
      <c r="AQ63" s="398"/>
      <c r="AR63" s="398"/>
      <c r="AS63" s="398"/>
      <c r="AT63" s="397" t="s">
        <v>158</v>
      </c>
      <c r="AU63" s="398"/>
      <c r="AV63" s="398"/>
      <c r="AW63" s="398"/>
      <c r="AX63" s="398"/>
    </row>
    <row r="64" spans="2:50">
      <c r="B64" s="387" t="s">
        <v>197</v>
      </c>
      <c r="C64" s="387" t="s">
        <v>198</v>
      </c>
      <c r="D64" s="387"/>
      <c r="E64" s="387" t="s">
        <v>199</v>
      </c>
      <c r="F64" s="387"/>
      <c r="G64" s="387"/>
      <c r="H64" s="388" t="s">
        <v>200</v>
      </c>
      <c r="I64" s="387" t="s">
        <v>201</v>
      </c>
      <c r="J64" s="387"/>
      <c r="K64" s="387"/>
      <c r="L64" s="388" t="s">
        <v>200</v>
      </c>
      <c r="M64" s="399" t="s">
        <v>202</v>
      </c>
      <c r="N64" s="387"/>
      <c r="O64" s="387" t="s">
        <v>203</v>
      </c>
      <c r="P64" s="391" t="s">
        <v>204</v>
      </c>
      <c r="Q64" s="392"/>
      <c r="R64" s="392"/>
      <c r="S64" s="393"/>
      <c r="T64" s="387" t="s">
        <v>200</v>
      </c>
      <c r="U64" s="391" t="s">
        <v>204</v>
      </c>
      <c r="V64" s="392"/>
      <c r="W64" s="392"/>
      <c r="X64" s="393"/>
      <c r="Y64" s="387" t="s">
        <v>200</v>
      </c>
      <c r="Z64" s="391" t="s">
        <v>204</v>
      </c>
      <c r="AA64" s="392"/>
      <c r="AB64" s="392"/>
      <c r="AC64" s="393"/>
      <c r="AD64" s="387" t="s">
        <v>200</v>
      </c>
      <c r="AE64" s="391" t="s">
        <v>204</v>
      </c>
      <c r="AF64" s="392"/>
      <c r="AG64" s="392"/>
      <c r="AH64" s="393"/>
      <c r="AI64" s="387" t="s">
        <v>200</v>
      </c>
      <c r="AJ64" s="391" t="s">
        <v>204</v>
      </c>
      <c r="AK64" s="392"/>
      <c r="AL64" s="392"/>
      <c r="AM64" s="393"/>
      <c r="AN64" s="387" t="s">
        <v>200</v>
      </c>
      <c r="AO64" s="391" t="s">
        <v>204</v>
      </c>
      <c r="AP64" s="392"/>
      <c r="AQ64" s="392"/>
      <c r="AR64" s="393"/>
      <c r="AS64" s="387" t="s">
        <v>200</v>
      </c>
      <c r="AT64" s="391" t="s">
        <v>204</v>
      </c>
      <c r="AU64" s="392"/>
      <c r="AV64" s="392"/>
      <c r="AW64" s="393"/>
      <c r="AX64" s="387" t="s">
        <v>200</v>
      </c>
    </row>
    <row r="65" spans="2:50">
      <c r="B65" s="387"/>
      <c r="C65" s="387"/>
      <c r="D65" s="387"/>
      <c r="E65" s="387" t="s">
        <v>205</v>
      </c>
      <c r="F65" s="387"/>
      <c r="G65" s="387"/>
      <c r="H65" s="389"/>
      <c r="I65" s="387" t="s">
        <v>205</v>
      </c>
      <c r="J65" s="387"/>
      <c r="K65" s="387"/>
      <c r="L65" s="389"/>
      <c r="M65" s="400"/>
      <c r="N65" s="387"/>
      <c r="O65" s="387"/>
      <c r="P65" s="391" t="s">
        <v>206</v>
      </c>
      <c r="Q65" s="392"/>
      <c r="R65" s="392"/>
      <c r="S65" s="393"/>
      <c r="T65" s="387"/>
      <c r="U65" s="391" t="s">
        <v>206</v>
      </c>
      <c r="V65" s="392"/>
      <c r="W65" s="392"/>
      <c r="X65" s="393"/>
      <c r="Y65" s="387"/>
      <c r="Z65" s="391" t="s">
        <v>206</v>
      </c>
      <c r="AA65" s="392"/>
      <c r="AB65" s="392"/>
      <c r="AC65" s="393"/>
      <c r="AD65" s="387"/>
      <c r="AE65" s="391" t="s">
        <v>206</v>
      </c>
      <c r="AF65" s="392"/>
      <c r="AG65" s="392"/>
      <c r="AH65" s="393"/>
      <c r="AI65" s="387"/>
      <c r="AJ65" s="391" t="s">
        <v>206</v>
      </c>
      <c r="AK65" s="392"/>
      <c r="AL65" s="392"/>
      <c r="AM65" s="393"/>
      <c r="AN65" s="387"/>
      <c r="AO65" s="391" t="s">
        <v>206</v>
      </c>
      <c r="AP65" s="392"/>
      <c r="AQ65" s="392"/>
      <c r="AR65" s="393"/>
      <c r="AS65" s="387"/>
      <c r="AT65" s="391" t="s">
        <v>206</v>
      </c>
      <c r="AU65" s="392"/>
      <c r="AV65" s="392"/>
      <c r="AW65" s="393"/>
      <c r="AX65" s="387"/>
    </row>
    <row r="66" spans="2:50">
      <c r="B66" s="387"/>
      <c r="C66" s="387"/>
      <c r="D66" s="387"/>
      <c r="E66" s="104" t="s">
        <v>207</v>
      </c>
      <c r="F66" s="104" t="s">
        <v>208</v>
      </c>
      <c r="G66" s="104" t="s">
        <v>209</v>
      </c>
      <c r="H66" s="390"/>
      <c r="I66" s="104" t="s">
        <v>207</v>
      </c>
      <c r="J66" s="104" t="s">
        <v>208</v>
      </c>
      <c r="K66" s="104" t="s">
        <v>209</v>
      </c>
      <c r="L66" s="390"/>
      <c r="M66" s="401"/>
      <c r="N66" s="387"/>
      <c r="O66" s="387"/>
      <c r="P66" s="104" t="s">
        <v>207</v>
      </c>
      <c r="Q66" s="104" t="s">
        <v>208</v>
      </c>
      <c r="R66" s="104" t="s">
        <v>209</v>
      </c>
      <c r="S66" s="104" t="s">
        <v>202</v>
      </c>
      <c r="T66" s="387"/>
      <c r="U66" s="104" t="s">
        <v>207</v>
      </c>
      <c r="V66" s="104" t="s">
        <v>208</v>
      </c>
      <c r="W66" s="104" t="s">
        <v>209</v>
      </c>
      <c r="X66" s="104" t="s">
        <v>202</v>
      </c>
      <c r="Y66" s="387"/>
      <c r="Z66" s="104" t="s">
        <v>207</v>
      </c>
      <c r="AA66" s="104" t="s">
        <v>208</v>
      </c>
      <c r="AB66" s="104" t="s">
        <v>209</v>
      </c>
      <c r="AC66" s="104" t="s">
        <v>202</v>
      </c>
      <c r="AD66" s="387"/>
      <c r="AE66" s="104" t="s">
        <v>207</v>
      </c>
      <c r="AF66" s="104" t="s">
        <v>208</v>
      </c>
      <c r="AG66" s="104" t="s">
        <v>209</v>
      </c>
      <c r="AH66" s="104" t="s">
        <v>202</v>
      </c>
      <c r="AI66" s="387"/>
      <c r="AJ66" s="104" t="s">
        <v>207</v>
      </c>
      <c r="AK66" s="104" t="s">
        <v>208</v>
      </c>
      <c r="AL66" s="104" t="s">
        <v>209</v>
      </c>
      <c r="AM66" s="104" t="s">
        <v>202</v>
      </c>
      <c r="AN66" s="387"/>
      <c r="AO66" s="104" t="s">
        <v>207</v>
      </c>
      <c r="AP66" s="104" t="s">
        <v>208</v>
      </c>
      <c r="AQ66" s="104" t="s">
        <v>209</v>
      </c>
      <c r="AR66" s="104" t="s">
        <v>202</v>
      </c>
      <c r="AS66" s="387"/>
      <c r="AT66" s="104" t="s">
        <v>207</v>
      </c>
      <c r="AU66" s="104" t="s">
        <v>208</v>
      </c>
      <c r="AV66" s="104" t="s">
        <v>209</v>
      </c>
      <c r="AW66" s="104" t="s">
        <v>202</v>
      </c>
      <c r="AX66" s="387"/>
    </row>
    <row r="67" spans="2:50">
      <c r="B67" s="387" t="s">
        <v>184</v>
      </c>
      <c r="C67" s="105">
        <v>1</v>
      </c>
      <c r="D67" s="228" t="s">
        <v>321</v>
      </c>
      <c r="E67" s="175">
        <v>8</v>
      </c>
      <c r="F67" s="105">
        <v>1500</v>
      </c>
      <c r="G67" s="202">
        <v>187.5</v>
      </c>
      <c r="H67" s="384">
        <f>AVERAGE(G67:G81)</f>
        <v>117.22222222222221</v>
      </c>
      <c r="I67" s="175">
        <f>AVERAGE(P67,U67,Z67,AE67,AJ67,AO67,AT67)</f>
        <v>7.8571428571428568</v>
      </c>
      <c r="J67" s="175">
        <f>AVERAGE(Q67,V67,AA67,AF67,AK67,AP67,AU67)</f>
        <v>1220.9411146243513</v>
      </c>
      <c r="K67" s="202">
        <f>AVERAGE(R67,W67,AB67,AG67,AL67,AQ67,AV67)</f>
        <v>155.68601621150756</v>
      </c>
      <c r="L67" s="384">
        <f>IFERROR(AVERAGE(K67:K81),"-")</f>
        <v>103.00020615470659</v>
      </c>
      <c r="M67" s="203">
        <f>RANK(K67, K$67:$K$81)</f>
        <v>2</v>
      </c>
      <c r="N67" s="387"/>
      <c r="O67" s="387"/>
      <c r="P67" s="105">
        <f>'[3]（５-9）品群別人時生產性(微波小吃)'!P67</f>
        <v>7</v>
      </c>
      <c r="Q67" s="175">
        <f>'[3]（５-9）品群別人時生產性(微波小吃)'!Q67</f>
        <v>1202.8037383177571</v>
      </c>
      <c r="R67" s="202">
        <f>'[3]（５-9）品群別人時生產性(微波小吃)'!R67</f>
        <v>171.82910547396529</v>
      </c>
      <c r="S67" s="105">
        <f>RANK(R67, R$67:R$81)</f>
        <v>2</v>
      </c>
      <c r="T67" s="402">
        <f>AVERAGE(R67:R81)</f>
        <v>106.3919890347135</v>
      </c>
      <c r="U67" s="105">
        <f>'[3]（５-9）品群別人時生產性(微波小吃)'!U67</f>
        <v>8</v>
      </c>
      <c r="V67" s="175">
        <f>'[3]（５-9）品群別人時生產性(微波小吃)'!V67</f>
        <v>1215.7281553398057</v>
      </c>
      <c r="W67" s="202">
        <f>'[3]（５-9）品群別人時生產性(微波小吃)'!W67</f>
        <v>151.96601941747571</v>
      </c>
      <c r="X67" s="105">
        <f>RANK(W67, W$67:W$81)</f>
        <v>2</v>
      </c>
      <c r="Y67" s="402">
        <f>AVERAGE(W67:W81)</f>
        <v>101.88895049373461</v>
      </c>
      <c r="Z67" s="105">
        <f>'[3]（５-9）品群別人時生產性(微波小吃)'!Z67</f>
        <v>8</v>
      </c>
      <c r="AA67" s="175">
        <f>'[3]（５-9）品群別人時生產性(微波小吃)'!AA67</f>
        <v>1181.7647058823525</v>
      </c>
      <c r="AB67" s="202">
        <f>'[3]（５-9）品群別人時生產性(微波小吃)'!AB67</f>
        <v>147.72058823529406</v>
      </c>
      <c r="AC67" s="105">
        <f>RANK(AB67, AB$67:AB$81)</f>
        <v>2</v>
      </c>
      <c r="AD67" s="402">
        <f>AVERAGE(AB67:AB81)</f>
        <v>101.23005402149693</v>
      </c>
      <c r="AE67" s="105">
        <f>'[3]（５-9）品群別人時生產性(微波小吃)'!AE67</f>
        <v>8</v>
      </c>
      <c r="AF67" s="175">
        <f>'[3]（５-9）品群別人時生產性(微波小吃)'!AF67</f>
        <v>1228.9156626506019</v>
      </c>
      <c r="AG67" s="202">
        <f>'[3]（５-9）品群別人時生產性(微波小吃)'!AG67</f>
        <v>153.61445783132524</v>
      </c>
      <c r="AH67" s="105">
        <f>RANK(AG67, AG$67:AG$81)</f>
        <v>2</v>
      </c>
      <c r="AI67" s="402">
        <f>AVERAGE(AG67:AG81)</f>
        <v>102.01833996096008</v>
      </c>
      <c r="AJ67" s="105">
        <f>'[3]（５-9）品群別人時生產性(微波小吃)'!AJ67</f>
        <v>8</v>
      </c>
      <c r="AK67" s="175">
        <f>'[3]（５-9）品群別人時生產性(微波小吃)'!AK67</f>
        <v>1228.9411764705881</v>
      </c>
      <c r="AL67" s="202">
        <f>'[3]（５-9）品群別人時生產性(微波小吃)'!AL67</f>
        <v>153.61764705882351</v>
      </c>
      <c r="AM67" s="105">
        <f>RANK(AL67, AL$67:AL$81)</f>
        <v>2</v>
      </c>
      <c r="AN67" s="402">
        <f>AVERAGE(AL67:AL81)</f>
        <v>103.40834739320684</v>
      </c>
      <c r="AO67" s="105">
        <f>'[3]（５-9）品群別人時生產性(微波小吃)'!AO67</f>
        <v>8</v>
      </c>
      <c r="AP67" s="175">
        <f>'[3]（５-9）品群別人時生產性(微波小吃)'!AP67</f>
        <v>1202.2641509433963</v>
      </c>
      <c r="AQ67" s="202">
        <f>'[3]（５-9）品群別人時生產性(微波小吃)'!AQ67</f>
        <v>150.28301886792454</v>
      </c>
      <c r="AR67" s="105">
        <f>RANK(AQ67, AQ$67:AQ$81)</f>
        <v>2</v>
      </c>
      <c r="AS67" s="402">
        <f>AVERAGE(AQ67:AQ81)</f>
        <v>102.07601925784657</v>
      </c>
      <c r="AT67" s="105">
        <f>'[3]（５-9）品群別人時生產性(微波小吃)'!AT67</f>
        <v>8</v>
      </c>
      <c r="AU67" s="175">
        <f>'[3]（５-9）品群別人時生產性(微波小吃)'!AU67</f>
        <v>1286.1702127659571</v>
      </c>
      <c r="AV67" s="202">
        <f>'[3]（５-9）品群別人時生產性(微波小吃)'!AV67</f>
        <v>160.77127659574464</v>
      </c>
      <c r="AW67" s="105">
        <f>RANK(AV67, AV$67:AV$81)</f>
        <v>2</v>
      </c>
      <c r="AX67" s="402">
        <f>AVERAGE(AV67:AV81)</f>
        <v>103.9877429209876</v>
      </c>
    </row>
    <row r="68" spans="2:50">
      <c r="B68" s="398"/>
      <c r="C68" s="105">
        <v>2</v>
      </c>
      <c r="D68" s="228" t="s">
        <v>322</v>
      </c>
      <c r="E68" s="175">
        <v>15</v>
      </c>
      <c r="F68" s="105">
        <v>1500</v>
      </c>
      <c r="G68" s="202">
        <v>100</v>
      </c>
      <c r="H68" s="385"/>
      <c r="I68" s="175">
        <f t="shared" ref="I68:K72" si="32">AVERAGE(P68,U68,Z68,AE68,AJ68,AO68,AT68)</f>
        <v>15</v>
      </c>
      <c r="J68" s="175">
        <f t="shared" si="32"/>
        <v>1192.201573236375</v>
      </c>
      <c r="K68" s="202">
        <f t="shared" si="32"/>
        <v>79.480104882425024</v>
      </c>
      <c r="L68" s="385"/>
      <c r="M68" s="203">
        <f>RANK(K68, K$67:$K$81)</f>
        <v>3</v>
      </c>
      <c r="N68" s="387"/>
      <c r="O68" s="387"/>
      <c r="P68" s="105">
        <f>'[3]（５-9）品群別人時生產性(微波小吃)'!P68</f>
        <v>15</v>
      </c>
      <c r="Q68" s="175">
        <f>'[3]（５-9）品群別人時生產性(微波小吃)'!Q68</f>
        <v>1197.5478260869556</v>
      </c>
      <c r="R68" s="202">
        <f>'[3]（５-9）品群別人時生產性(微波小吃)'!R68</f>
        <v>79.836521739130376</v>
      </c>
      <c r="S68" s="105">
        <f t="shared" ref="S68:S81" si="33">RANK(R68, R$67:R$81)</f>
        <v>3</v>
      </c>
      <c r="T68" s="403"/>
      <c r="U68" s="105">
        <f>'[3]（５-9）品群別人時生產性(微波小吃)'!U68</f>
        <v>15</v>
      </c>
      <c r="V68" s="175">
        <f>'[3]（５-9）品群別人時生產性(微波小吃)'!V68</f>
        <v>1202.7931034482758</v>
      </c>
      <c r="W68" s="202">
        <f>'[3]（５-9）品群別人時生產性(微波小吃)'!W68</f>
        <v>80.186206896551724</v>
      </c>
      <c r="X68" s="105">
        <f t="shared" ref="X68:X81" si="34">RANK(W68, W$67:W$81)</f>
        <v>3</v>
      </c>
      <c r="Y68" s="403"/>
      <c r="Z68" s="105">
        <f>'[3]（５-9）品群別人時生產性(微波小吃)'!Z68</f>
        <v>15</v>
      </c>
      <c r="AA68" s="175">
        <f>'[3]（５-9）品群別人時生產性(微波小吃)'!AA68</f>
        <v>1174.1578947368419</v>
      </c>
      <c r="AB68" s="202">
        <f>'[3]（５-9）品群別人時生產性(微波小吃)'!AB68</f>
        <v>78.277192982456128</v>
      </c>
      <c r="AC68" s="105">
        <f t="shared" ref="AC68:AC81" si="35">RANK(AB68, AB$67:AB$81)</f>
        <v>3</v>
      </c>
      <c r="AD68" s="403"/>
      <c r="AE68" s="105">
        <f>'[3]（５-9）品群別人時生產性(微波小吃)'!AE68</f>
        <v>15</v>
      </c>
      <c r="AF68" s="175">
        <f>'[3]（５-9）品群別人時生產性(微波小吃)'!AF68</f>
        <v>1172.0347826086959</v>
      </c>
      <c r="AG68" s="202">
        <f>'[3]（５-9）品群別人時生產性(微波小吃)'!AG68</f>
        <v>78.135652173913059</v>
      </c>
      <c r="AH68" s="105">
        <f t="shared" ref="AH68:AH81" si="36">RANK(AG68, AG$67:AG$81)</f>
        <v>3</v>
      </c>
      <c r="AI68" s="403"/>
      <c r="AJ68" s="105">
        <f>'[3]（５-9）品群別人時生產性(微波小吃)'!AJ68</f>
        <v>15</v>
      </c>
      <c r="AK68" s="175">
        <f>'[3]（５-9）品群別人時生產性(微波小吃)'!AK68</f>
        <v>1181.7931034482763</v>
      </c>
      <c r="AL68" s="202">
        <f>'[3]（５-9）品群別人時生產性(微波小吃)'!AL68</f>
        <v>78.786206896551747</v>
      </c>
      <c r="AM68" s="105">
        <f t="shared" ref="AM68:AM81" si="37">RANK(AL68, AL$67:AL$81)</f>
        <v>3</v>
      </c>
      <c r="AN68" s="403"/>
      <c r="AO68" s="105">
        <f>'[3]（５-9）品群別人時生產性(微波小吃)'!AO68</f>
        <v>15</v>
      </c>
      <c r="AP68" s="175">
        <f>'[3]（５-9）品群別人時生產性(微波小吃)'!AP68</f>
        <v>1221.2093023255813</v>
      </c>
      <c r="AQ68" s="202">
        <f>'[3]（５-9）品群別人時生產性(微波小吃)'!AQ68</f>
        <v>81.413953488372087</v>
      </c>
      <c r="AR68" s="105">
        <f t="shared" ref="AR68:AR81" si="38">RANK(AQ68, AQ$67:AQ$81)</f>
        <v>3</v>
      </c>
      <c r="AS68" s="403"/>
      <c r="AT68" s="105">
        <f>'[3]（５-9）品群別人時生產性(微波小吃)'!AT68</f>
        <v>15</v>
      </c>
      <c r="AU68" s="175">
        <f>'[3]（５-9）品群別人時生產性(微波小吃)'!AU68</f>
        <v>1195.875</v>
      </c>
      <c r="AV68" s="202">
        <f>'[3]（５-9）品群別人時生產性(微波小吃)'!AV68</f>
        <v>79.724999999999994</v>
      </c>
      <c r="AW68" s="105">
        <f t="shared" ref="AW68:AW81" si="39">RANK(AV68, AV$67:AV$81)</f>
        <v>3</v>
      </c>
      <c r="AX68" s="403"/>
    </row>
    <row r="69" spans="2:50">
      <c r="B69" s="398"/>
      <c r="C69" s="105">
        <v>3</v>
      </c>
      <c r="D69" s="228" t="s">
        <v>323</v>
      </c>
      <c r="E69" s="175">
        <v>18</v>
      </c>
      <c r="F69" s="105">
        <v>1500</v>
      </c>
      <c r="G69" s="202">
        <v>83.333333333333329</v>
      </c>
      <c r="H69" s="385"/>
      <c r="I69" s="175">
        <f t="shared" si="32"/>
        <v>18</v>
      </c>
      <c r="J69" s="175">
        <f t="shared" si="32"/>
        <v>1190.6768460506771</v>
      </c>
      <c r="K69" s="202">
        <f t="shared" si="32"/>
        <v>66.148713669482063</v>
      </c>
      <c r="L69" s="385"/>
      <c r="M69" s="203">
        <f>RANK(K69, K$67:$K$81)</f>
        <v>5</v>
      </c>
      <c r="N69" s="387"/>
      <c r="O69" s="387"/>
      <c r="P69" s="105">
        <f>'[3]（５-9）品群別人時生產性(微波小吃)'!P69</f>
        <v>18</v>
      </c>
      <c r="Q69" s="175">
        <f>'[3]（５-9）品群別人時生產性(微波小吃)'!Q69</f>
        <v>1219.9626168224297</v>
      </c>
      <c r="R69" s="202">
        <f>'[3]（５-9）品群別人時生產性(微波小吃)'!R69</f>
        <v>67.775700934579433</v>
      </c>
      <c r="S69" s="105">
        <f t="shared" si="33"/>
        <v>5</v>
      </c>
      <c r="T69" s="403"/>
      <c r="U69" s="105">
        <f>'[3]（５-9）品群別人時生產性(微波小吃)'!U69</f>
        <v>18</v>
      </c>
      <c r="V69" s="175">
        <f>'[3]（５-9）品群別人時生產性(微波小吃)'!V69</f>
        <v>1164.2105263157896</v>
      </c>
      <c r="W69" s="202">
        <f>'[3]（５-9）品群別人時生產性(微波小吃)'!W69</f>
        <v>64.67836257309942</v>
      </c>
      <c r="X69" s="105">
        <f t="shared" si="34"/>
        <v>5</v>
      </c>
      <c r="Y69" s="403"/>
      <c r="Z69" s="105">
        <f>'[3]（５-9）品群別人時生產性(微波小吃)'!Z69</f>
        <v>18</v>
      </c>
      <c r="AA69" s="175">
        <f>'[3]（５-9）品群別人時生產性(微波小吃)'!AA69</f>
        <v>1172.8524590163938</v>
      </c>
      <c r="AB69" s="202">
        <f>'[3]（５-9）品群別人時生產性(微波小吃)'!AB69</f>
        <v>65.158469945355208</v>
      </c>
      <c r="AC69" s="105">
        <f t="shared" si="35"/>
        <v>5</v>
      </c>
      <c r="AD69" s="403"/>
      <c r="AE69" s="105">
        <f>'[3]（５-9）品群別人時生產性(微波小吃)'!AE69</f>
        <v>18</v>
      </c>
      <c r="AF69" s="175">
        <f>'[3]（５-9）品群別人時生產性(微波小吃)'!AF69</f>
        <v>1215.6097560975616</v>
      </c>
      <c r="AG69" s="202">
        <f>'[3]（５-9）品群別人時生產性(微波小吃)'!AG69</f>
        <v>67.533875338753418</v>
      </c>
      <c r="AH69" s="105">
        <f t="shared" si="36"/>
        <v>5</v>
      </c>
      <c r="AI69" s="403"/>
      <c r="AJ69" s="105">
        <f>'[3]（５-9）品群別人時生產性(微波小吃)'!AJ69</f>
        <v>18</v>
      </c>
      <c r="AK69" s="175">
        <f>'[3]（５-9）品群別人時生產性(微波小吃)'!AK69</f>
        <v>1203.3333333333337</v>
      </c>
      <c r="AL69" s="202">
        <f>'[3]（５-9）品群別人時生產性(微波小吃)'!AL69</f>
        <v>66.851851851851876</v>
      </c>
      <c r="AM69" s="105">
        <f t="shared" si="37"/>
        <v>5</v>
      </c>
      <c r="AN69" s="403"/>
      <c r="AO69" s="105">
        <f>'[3]（５-9）品群別人時生產性(微波小吃)'!AO69</f>
        <v>18</v>
      </c>
      <c r="AP69" s="175">
        <f>'[3]（５-9）品群別人時生產性(微波小吃)'!AP69</f>
        <v>1194.6153846153845</v>
      </c>
      <c r="AQ69" s="202">
        <f>'[3]（５-9）品群別人時生產性(微波小吃)'!AQ69</f>
        <v>66.367521367521363</v>
      </c>
      <c r="AR69" s="105">
        <f t="shared" si="38"/>
        <v>5</v>
      </c>
      <c r="AS69" s="403"/>
      <c r="AT69" s="105">
        <f>'[3]（５-9）品群別人時生產性(微波小吃)'!AT69</f>
        <v>18</v>
      </c>
      <c r="AU69" s="175">
        <f>'[3]（５-9）品群別人時生產性(微波小吃)'!AU69</f>
        <v>1164.1538461538462</v>
      </c>
      <c r="AV69" s="202">
        <f>'[3]（５-9）品群別人時生產性(微波小吃)'!AV69</f>
        <v>64.675213675213683</v>
      </c>
      <c r="AW69" s="105">
        <f t="shared" si="39"/>
        <v>5</v>
      </c>
      <c r="AX69" s="403"/>
    </row>
    <row r="70" spans="2:50">
      <c r="B70" s="398"/>
      <c r="C70" s="105">
        <v>4</v>
      </c>
      <c r="D70" s="228" t="s">
        <v>324</v>
      </c>
      <c r="E70" s="175">
        <v>20</v>
      </c>
      <c r="F70" s="105">
        <v>1300</v>
      </c>
      <c r="G70" s="202">
        <v>65</v>
      </c>
      <c r="H70" s="385"/>
      <c r="I70" s="175">
        <f t="shared" si="32"/>
        <v>20</v>
      </c>
      <c r="J70" s="175">
        <f t="shared" si="32"/>
        <v>1100.03946228878</v>
      </c>
      <c r="K70" s="202">
        <f t="shared" si="32"/>
        <v>55.001973114438997</v>
      </c>
      <c r="L70" s="385"/>
      <c r="M70" s="203">
        <f>RANK(K70, K$67:$K$81)</f>
        <v>6</v>
      </c>
      <c r="N70" s="387"/>
      <c r="O70" s="387"/>
      <c r="P70" s="105">
        <f>'[3]（５-9）品群別人時生產性(微波小吃)'!P70</f>
        <v>20</v>
      </c>
      <c r="Q70" s="175">
        <f>'[3]（５-9）品群別人時生產性(微波小吃)'!Q70</f>
        <v>1126.6666666666663</v>
      </c>
      <c r="R70" s="202">
        <f>'[3]（５-9）品群別人時生產性(微波小吃)'!R70</f>
        <v>56.333333333333314</v>
      </c>
      <c r="S70" s="105">
        <f t="shared" si="33"/>
        <v>6</v>
      </c>
      <c r="T70" s="403"/>
      <c r="U70" s="105">
        <f>'[3]（５-9）品群別人時生產性(微波小吃)'!U70</f>
        <v>20</v>
      </c>
      <c r="V70" s="175">
        <f>'[3]（５-9）品群別人時生產性(微波小吃)'!V70</f>
        <v>1083.5714285714282</v>
      </c>
      <c r="W70" s="202">
        <f>'[3]（５-9）品群別人時生產性(微波小吃)'!W70</f>
        <v>54.178571428571409</v>
      </c>
      <c r="X70" s="105">
        <f t="shared" si="34"/>
        <v>6</v>
      </c>
      <c r="Y70" s="403"/>
      <c r="Z70" s="105">
        <f>'[3]（５-9）品群別人時生產性(微波小吃)'!Z70</f>
        <v>20</v>
      </c>
      <c r="AA70" s="175">
        <f>'[3]（５-9）品群別人時生產性(微波小吃)'!AA70</f>
        <v>1072.2077922077926</v>
      </c>
      <c r="AB70" s="202">
        <f>'[3]（５-9）品群別人時生產性(微波小吃)'!AB70</f>
        <v>53.610389610389632</v>
      </c>
      <c r="AC70" s="105">
        <f t="shared" si="35"/>
        <v>6</v>
      </c>
      <c r="AD70" s="403"/>
      <c r="AE70" s="105">
        <f>'[3]（５-9）品群別人時生產性(微波小吃)'!AE70</f>
        <v>20</v>
      </c>
      <c r="AF70" s="175">
        <f>'[3]（５-9）品群別人時生產性(微波小吃)'!AF70</f>
        <v>1068.8000000000004</v>
      </c>
      <c r="AG70" s="202">
        <f>'[3]（５-9）品群別人時生產性(微波小吃)'!AG70</f>
        <v>53.440000000000019</v>
      </c>
      <c r="AH70" s="105">
        <f t="shared" si="36"/>
        <v>6</v>
      </c>
      <c r="AI70" s="403"/>
      <c r="AJ70" s="105">
        <f>'[3]（５-9）品群別人時生產性(微波小吃)'!AJ70</f>
        <v>20</v>
      </c>
      <c r="AK70" s="175">
        <f>'[3]（５-9）品群別人時生產性(微波小吃)'!AK70</f>
        <v>1112.9577464788736</v>
      </c>
      <c r="AL70" s="202">
        <f>'[3]（５-9）品群別人時生產性(微波小吃)'!AL70</f>
        <v>55.647887323943678</v>
      </c>
      <c r="AM70" s="105">
        <f t="shared" si="37"/>
        <v>6</v>
      </c>
      <c r="AN70" s="403"/>
      <c r="AO70" s="105">
        <f>'[3]（５-9）品群別人時生產性(微波小吃)'!AO70</f>
        <v>20</v>
      </c>
      <c r="AP70" s="175">
        <f>'[3]（５-9）品群別人時生產性(微波小吃)'!AP70</f>
        <v>1093.7349397590358</v>
      </c>
      <c r="AQ70" s="202">
        <f>'[3]（５-9）品群別人時生產性(微波小吃)'!AQ70</f>
        <v>54.686746987951793</v>
      </c>
      <c r="AR70" s="105">
        <f t="shared" si="38"/>
        <v>6</v>
      </c>
      <c r="AS70" s="403"/>
      <c r="AT70" s="105">
        <f>'[3]（５-9）品群別人時生產性(微波小吃)'!AT70</f>
        <v>20</v>
      </c>
      <c r="AU70" s="175">
        <f>'[3]（５-9）品群別人時生產性(微波小吃)'!AU70</f>
        <v>1142.3376623376628</v>
      </c>
      <c r="AV70" s="202">
        <f>'[3]（５-9）品群別人時生產性(微波小吃)'!AV70</f>
        <v>57.116883116883137</v>
      </c>
      <c r="AW70" s="105">
        <f t="shared" si="39"/>
        <v>6</v>
      </c>
      <c r="AX70" s="403"/>
    </row>
    <row r="71" spans="2:50">
      <c r="B71" s="398"/>
      <c r="C71" s="105">
        <v>5</v>
      </c>
      <c r="D71" s="228" t="s">
        <v>325</v>
      </c>
      <c r="E71" s="175">
        <v>18</v>
      </c>
      <c r="F71" s="105">
        <v>1440</v>
      </c>
      <c r="G71" s="202">
        <v>80</v>
      </c>
      <c r="H71" s="385"/>
      <c r="I71" s="175">
        <f t="shared" si="32"/>
        <v>18</v>
      </c>
      <c r="J71" s="175">
        <f t="shared" si="32"/>
        <v>1364.4056572100046</v>
      </c>
      <c r="K71" s="202">
        <f t="shared" si="32"/>
        <v>75.800314289444685</v>
      </c>
      <c r="L71" s="385"/>
      <c r="M71" s="203">
        <f>RANK(K71, K$67:$K$81)</f>
        <v>4</v>
      </c>
      <c r="N71" s="387"/>
      <c r="O71" s="387"/>
      <c r="P71" s="105">
        <f>'[3]（５-9）品群別人時生產性(微波小吃)'!P71</f>
        <v>18</v>
      </c>
      <c r="Q71" s="175">
        <f>'[3]（５-9）品群別人時生產性(微波小吃)'!Q71</f>
        <v>1358.9999999999995</v>
      </c>
      <c r="R71" s="202">
        <f>'[3]（５-9）品群別人時生產性(微波小吃)'!R71</f>
        <v>75.499999999999972</v>
      </c>
      <c r="S71" s="105">
        <f t="shared" si="33"/>
        <v>4</v>
      </c>
      <c r="T71" s="403"/>
      <c r="U71" s="105">
        <f>'[3]（５-9）品群別人時生產性(微波小吃)'!U71</f>
        <v>18</v>
      </c>
      <c r="V71" s="175">
        <f>'[3]（５-9）品群別人時生產性(微波小吃)'!V71</f>
        <v>1336.9565217391305</v>
      </c>
      <c r="W71" s="202">
        <f>'[3]（５-9）品群別人時生產性(微波小吃)'!W71</f>
        <v>74.275362318840578</v>
      </c>
      <c r="X71" s="105">
        <f t="shared" si="34"/>
        <v>4</v>
      </c>
      <c r="Y71" s="403"/>
      <c r="Z71" s="105">
        <f>'[3]（５-9）品群別人時生產性(微波小吃)'!Z71</f>
        <v>18</v>
      </c>
      <c r="AA71" s="175">
        <f>'[3]（５-9）品群別人時生產性(微波小吃)'!AA71</f>
        <v>1373.5135135135124</v>
      </c>
      <c r="AB71" s="202">
        <f>'[3]（５-9）品群別人時生產性(微波小吃)'!AB71</f>
        <v>76.30630630630624</v>
      </c>
      <c r="AC71" s="105">
        <f t="shared" si="35"/>
        <v>4</v>
      </c>
      <c r="AD71" s="403"/>
      <c r="AE71" s="105">
        <f>'[3]（５-9）品群別人時生產性(微波小吃)'!AE71</f>
        <v>18</v>
      </c>
      <c r="AF71" s="175">
        <f>'[3]（５-9）品群別人時生產性(微波小吃)'!AF71</f>
        <v>1338.8571428571415</v>
      </c>
      <c r="AG71" s="202">
        <f>'[3]（５-9）品群別人時生產性(微波小吃)'!AG71</f>
        <v>74.380952380952309</v>
      </c>
      <c r="AH71" s="105">
        <f t="shared" si="36"/>
        <v>4</v>
      </c>
      <c r="AI71" s="403"/>
      <c r="AJ71" s="105">
        <f>'[3]（５-9）品群別人時生產性(微波小吃)'!AJ71</f>
        <v>18</v>
      </c>
      <c r="AK71" s="175">
        <f>'[3]（５-9）品群別人時生產性(微波小吃)'!AK71</f>
        <v>1414.4999999999995</v>
      </c>
      <c r="AL71" s="202">
        <f>'[3]（５-9）品群別人時生產性(微波小吃)'!AL71</f>
        <v>78.583333333333314</v>
      </c>
      <c r="AM71" s="105">
        <f t="shared" si="37"/>
        <v>4</v>
      </c>
      <c r="AN71" s="403"/>
      <c r="AO71" s="105">
        <f>'[3]（５-9）品群別人時生產性(微波小吃)'!AO71</f>
        <v>18</v>
      </c>
      <c r="AP71" s="175">
        <f>'[3]（５-9）品群別人時生產性(微波小吃)'!AP71</f>
        <v>1370.8695652173915</v>
      </c>
      <c r="AQ71" s="202">
        <f>'[3]（５-9）品群別人時生產性(微波小吃)'!AQ71</f>
        <v>76.159420289855078</v>
      </c>
      <c r="AR71" s="105">
        <f t="shared" si="38"/>
        <v>4</v>
      </c>
      <c r="AS71" s="403"/>
      <c r="AT71" s="105">
        <f>'[3]（５-9）品群別人時生產性(微波小吃)'!AT71</f>
        <v>18</v>
      </c>
      <c r="AU71" s="175">
        <f>'[3]（５-9）品群別人時生產性(微波小吃)'!AU71</f>
        <v>1357.1428571428567</v>
      </c>
      <c r="AV71" s="202">
        <f>'[3]（５-9）品群別人時生產性(微波小吃)'!AV71</f>
        <v>75.396825396825363</v>
      </c>
      <c r="AW71" s="105">
        <f t="shared" si="39"/>
        <v>4</v>
      </c>
      <c r="AX71" s="403"/>
    </row>
    <row r="72" spans="2:50">
      <c r="B72" s="398"/>
      <c r="C72" s="105">
        <v>6</v>
      </c>
      <c r="D72" s="228" t="s">
        <v>326</v>
      </c>
      <c r="E72" s="175">
        <v>8</v>
      </c>
      <c r="F72" s="105">
        <v>1500</v>
      </c>
      <c r="G72" s="202">
        <v>187.5</v>
      </c>
      <c r="H72" s="385"/>
      <c r="I72" s="175">
        <f t="shared" si="32"/>
        <v>8</v>
      </c>
      <c r="J72" s="175">
        <f t="shared" si="32"/>
        <v>1487.0729180875298</v>
      </c>
      <c r="K72" s="202">
        <f t="shared" si="32"/>
        <v>185.88411476094123</v>
      </c>
      <c r="L72" s="385"/>
      <c r="M72" s="203">
        <f>RANK(K72, K$67:$K$81)</f>
        <v>1</v>
      </c>
      <c r="N72" s="387"/>
      <c r="O72" s="387"/>
      <c r="P72" s="105">
        <f>'[3]（５-9）品群別人時生產性(微波小吃)'!P72</f>
        <v>8</v>
      </c>
      <c r="Q72" s="105">
        <f>'[3]（５-9）品群別人時生產性(微波小吃)'!Q72</f>
        <v>1496.618181818181</v>
      </c>
      <c r="R72" s="105">
        <f>'[3]（５-9）品群別人時生產性(微波小吃)'!R72</f>
        <v>187.07727272727263</v>
      </c>
      <c r="S72" s="105">
        <f t="shared" si="33"/>
        <v>1</v>
      </c>
      <c r="T72" s="403"/>
      <c r="U72" s="105">
        <f>'[3]（５-9）品群別人時生產性(微波小吃)'!U72</f>
        <v>8</v>
      </c>
      <c r="V72" s="175">
        <f>'[3]（５-9）品群別人時生產性(微波小吃)'!V72</f>
        <v>1488.3934426229512</v>
      </c>
      <c r="W72" s="202">
        <f>'[3]（５-9）品群別人時生產性(微波小吃)'!W72</f>
        <v>186.0491803278689</v>
      </c>
      <c r="X72" s="105">
        <f t="shared" si="34"/>
        <v>1</v>
      </c>
      <c r="Y72" s="403"/>
      <c r="Z72" s="105">
        <f>'[3]（５-9）品群別人時生產性(微波小吃)'!Z72</f>
        <v>8</v>
      </c>
      <c r="AA72" s="175">
        <f>'[3]（５-9）品群別人時生產性(微波小吃)'!AA72</f>
        <v>1490.4590163934431</v>
      </c>
      <c r="AB72" s="202">
        <f>'[3]（５-9）品群別人時生產性(微波小吃)'!AB72</f>
        <v>186.30737704918039</v>
      </c>
      <c r="AC72" s="105">
        <f t="shared" si="35"/>
        <v>1</v>
      </c>
      <c r="AD72" s="403"/>
      <c r="AE72" s="105">
        <f>'[3]（５-9）品群別人時生產性(微波小吃)'!AE72</f>
        <v>8</v>
      </c>
      <c r="AF72" s="175">
        <f>'[3]（５-9）品群別人時生產性(微波小吃)'!AF72</f>
        <v>1480.0408163265313</v>
      </c>
      <c r="AG72" s="202">
        <f>'[3]（５-9）品群別人時生產性(微波小吃)'!AG72</f>
        <v>185.00510204081641</v>
      </c>
      <c r="AH72" s="105">
        <f t="shared" si="36"/>
        <v>1</v>
      </c>
      <c r="AI72" s="403"/>
      <c r="AJ72" s="105">
        <f>'[3]（５-9）品群別人時生產性(微波小吃)'!AJ72</f>
        <v>8</v>
      </c>
      <c r="AK72" s="175">
        <f>'[3]（５-9）品群別人時生產性(微波小吃)'!AK72</f>
        <v>1495.7052631578949</v>
      </c>
      <c r="AL72" s="202">
        <f>'[3]（５-9）品群別人時生產性(微波小吃)'!AL72</f>
        <v>186.96315789473687</v>
      </c>
      <c r="AM72" s="105">
        <f t="shared" si="37"/>
        <v>1</v>
      </c>
      <c r="AN72" s="403"/>
      <c r="AO72" s="105">
        <f>'[3]（５-9）品群別人時生產性(微波小吃)'!AO72</f>
        <v>8</v>
      </c>
      <c r="AP72" s="175">
        <f>'[3]（５-9）品群別人時生產性(微波小吃)'!AP72</f>
        <v>1468.3636363636365</v>
      </c>
      <c r="AQ72" s="202">
        <f>'[3]（５-9）品群別人時生產性(微波小吃)'!AQ72</f>
        <v>183.54545454545456</v>
      </c>
      <c r="AR72" s="105">
        <f t="shared" si="38"/>
        <v>1</v>
      </c>
      <c r="AS72" s="403"/>
      <c r="AT72" s="105">
        <f>'[3]（５-9）品群別人時生產性(微波小吃)'!AT72</f>
        <v>8</v>
      </c>
      <c r="AU72" s="175">
        <f>'[3]（５-9）品群別人時生產性(微波小吃)'!AU72</f>
        <v>1489.9300699300702</v>
      </c>
      <c r="AV72" s="202">
        <f>'[3]（５-9）品群別人時生產性(微波小吃)'!AV72</f>
        <v>186.24125874125878</v>
      </c>
      <c r="AW72" s="105">
        <f t="shared" si="39"/>
        <v>1</v>
      </c>
      <c r="AX72" s="403"/>
    </row>
    <row r="73" spans="2:50">
      <c r="B73" s="398"/>
      <c r="C73" s="105">
        <v>7</v>
      </c>
      <c r="D73" s="228"/>
      <c r="E73" s="175"/>
      <c r="F73" s="105"/>
      <c r="G73" s="202"/>
      <c r="H73" s="385"/>
      <c r="I73" s="175"/>
      <c r="J73" s="175"/>
      <c r="K73" s="202"/>
      <c r="L73" s="385"/>
      <c r="M73" s="203" t="e">
        <f>RANK(K73, K$67:$K$81)</f>
        <v>#N/A</v>
      </c>
      <c r="N73" s="387"/>
      <c r="O73" s="387"/>
      <c r="P73" s="105"/>
      <c r="Q73" s="105"/>
      <c r="R73" s="105"/>
      <c r="S73" s="105" t="e">
        <f t="shared" si="33"/>
        <v>#N/A</v>
      </c>
      <c r="T73" s="403"/>
      <c r="U73" s="105"/>
      <c r="V73" s="105"/>
      <c r="W73" s="105"/>
      <c r="X73" s="105" t="e">
        <f t="shared" si="34"/>
        <v>#N/A</v>
      </c>
      <c r="Y73" s="403"/>
      <c r="Z73" s="105"/>
      <c r="AA73" s="105"/>
      <c r="AB73" s="105"/>
      <c r="AC73" s="105" t="e">
        <f t="shared" si="35"/>
        <v>#N/A</v>
      </c>
      <c r="AD73" s="403"/>
      <c r="AE73" s="105"/>
      <c r="AF73" s="105"/>
      <c r="AG73" s="105"/>
      <c r="AH73" s="105" t="e">
        <f t="shared" si="36"/>
        <v>#N/A</v>
      </c>
      <c r="AI73" s="403"/>
      <c r="AJ73" s="105"/>
      <c r="AK73" s="105"/>
      <c r="AL73" s="105"/>
      <c r="AM73" s="105" t="e">
        <f t="shared" si="37"/>
        <v>#N/A</v>
      </c>
      <c r="AN73" s="403"/>
      <c r="AO73" s="105"/>
      <c r="AP73" s="105"/>
      <c r="AQ73" s="105"/>
      <c r="AR73" s="105" t="e">
        <f t="shared" si="38"/>
        <v>#N/A</v>
      </c>
      <c r="AS73" s="403"/>
      <c r="AT73" s="105"/>
      <c r="AU73" s="105"/>
      <c r="AV73" s="105"/>
      <c r="AW73" s="105" t="e">
        <f t="shared" si="39"/>
        <v>#N/A</v>
      </c>
      <c r="AX73" s="403"/>
    </row>
    <row r="74" spans="2:50">
      <c r="B74" s="398"/>
      <c r="C74" s="105">
        <v>8</v>
      </c>
      <c r="D74" s="228"/>
      <c r="E74" s="175"/>
      <c r="F74" s="105"/>
      <c r="G74" s="202"/>
      <c r="H74" s="385"/>
      <c r="I74" s="175"/>
      <c r="J74" s="175"/>
      <c r="K74" s="202"/>
      <c r="L74" s="385"/>
      <c r="M74" s="203" t="e">
        <f>RANK(K74, K$67:$K$81)</f>
        <v>#N/A</v>
      </c>
      <c r="N74" s="387"/>
      <c r="O74" s="387"/>
      <c r="P74" s="105"/>
      <c r="Q74" s="105"/>
      <c r="R74" s="105"/>
      <c r="S74" s="105" t="e">
        <f t="shared" si="33"/>
        <v>#N/A</v>
      </c>
      <c r="T74" s="403"/>
      <c r="U74" s="105"/>
      <c r="V74" s="105"/>
      <c r="W74" s="105"/>
      <c r="X74" s="105" t="e">
        <f t="shared" si="34"/>
        <v>#N/A</v>
      </c>
      <c r="Y74" s="403"/>
      <c r="Z74" s="105"/>
      <c r="AA74" s="105"/>
      <c r="AB74" s="105"/>
      <c r="AC74" s="105" t="e">
        <f t="shared" si="35"/>
        <v>#N/A</v>
      </c>
      <c r="AD74" s="403"/>
      <c r="AE74" s="105"/>
      <c r="AF74" s="105"/>
      <c r="AG74" s="105"/>
      <c r="AH74" s="105" t="e">
        <f t="shared" si="36"/>
        <v>#N/A</v>
      </c>
      <c r="AI74" s="403"/>
      <c r="AJ74" s="105"/>
      <c r="AK74" s="105"/>
      <c r="AL74" s="105"/>
      <c r="AM74" s="105" t="e">
        <f t="shared" si="37"/>
        <v>#N/A</v>
      </c>
      <c r="AN74" s="403"/>
      <c r="AO74" s="105"/>
      <c r="AP74" s="105"/>
      <c r="AQ74" s="105"/>
      <c r="AR74" s="105" t="e">
        <f t="shared" si="38"/>
        <v>#N/A</v>
      </c>
      <c r="AS74" s="403"/>
      <c r="AT74" s="105"/>
      <c r="AU74" s="105"/>
      <c r="AV74" s="105"/>
      <c r="AW74" s="105" t="e">
        <f t="shared" si="39"/>
        <v>#N/A</v>
      </c>
      <c r="AX74" s="403"/>
    </row>
    <row r="75" spans="2:50">
      <c r="B75" s="398"/>
      <c r="C75" s="105">
        <v>9</v>
      </c>
      <c r="D75" s="228"/>
      <c r="E75" s="175"/>
      <c r="F75" s="105"/>
      <c r="G75" s="202"/>
      <c r="H75" s="385"/>
      <c r="I75" s="175"/>
      <c r="J75" s="175"/>
      <c r="K75" s="202"/>
      <c r="L75" s="385"/>
      <c r="M75" s="203" t="e">
        <f>RANK(K75, K$67:$K$81)</f>
        <v>#N/A</v>
      </c>
      <c r="N75" s="387"/>
      <c r="O75" s="387"/>
      <c r="P75" s="105"/>
      <c r="Q75" s="105"/>
      <c r="R75" s="105"/>
      <c r="S75" s="105" t="e">
        <f t="shared" si="33"/>
        <v>#N/A</v>
      </c>
      <c r="T75" s="403"/>
      <c r="U75" s="105"/>
      <c r="V75" s="105"/>
      <c r="W75" s="105"/>
      <c r="X75" s="105" t="e">
        <f t="shared" si="34"/>
        <v>#N/A</v>
      </c>
      <c r="Y75" s="403"/>
      <c r="Z75" s="105"/>
      <c r="AA75" s="105"/>
      <c r="AB75" s="105"/>
      <c r="AC75" s="105" t="e">
        <f t="shared" si="35"/>
        <v>#N/A</v>
      </c>
      <c r="AD75" s="403"/>
      <c r="AE75" s="105"/>
      <c r="AF75" s="105"/>
      <c r="AG75" s="105"/>
      <c r="AH75" s="105" t="e">
        <f t="shared" si="36"/>
        <v>#N/A</v>
      </c>
      <c r="AI75" s="403"/>
      <c r="AJ75" s="105"/>
      <c r="AK75" s="105"/>
      <c r="AL75" s="105"/>
      <c r="AM75" s="105" t="e">
        <f t="shared" si="37"/>
        <v>#N/A</v>
      </c>
      <c r="AN75" s="403"/>
      <c r="AO75" s="105"/>
      <c r="AP75" s="105"/>
      <c r="AQ75" s="105"/>
      <c r="AR75" s="105" t="e">
        <f t="shared" si="38"/>
        <v>#N/A</v>
      </c>
      <c r="AS75" s="403"/>
      <c r="AT75" s="105"/>
      <c r="AU75" s="105"/>
      <c r="AV75" s="105"/>
      <c r="AW75" s="105" t="e">
        <f t="shared" si="39"/>
        <v>#N/A</v>
      </c>
      <c r="AX75" s="403"/>
    </row>
    <row r="76" spans="2:50">
      <c r="B76" s="398"/>
      <c r="C76" s="105">
        <v>10</v>
      </c>
      <c r="D76" s="228"/>
      <c r="E76" s="175"/>
      <c r="F76" s="105"/>
      <c r="G76" s="202"/>
      <c r="H76" s="385"/>
      <c r="I76" s="175"/>
      <c r="J76" s="175"/>
      <c r="K76" s="202"/>
      <c r="L76" s="385"/>
      <c r="M76" s="203" t="e">
        <f>RANK(K76, K$67:$K$81)</f>
        <v>#N/A</v>
      </c>
      <c r="N76" s="387"/>
      <c r="O76" s="387"/>
      <c r="P76" s="105"/>
      <c r="Q76" s="105"/>
      <c r="R76" s="105"/>
      <c r="S76" s="105" t="e">
        <f t="shared" si="33"/>
        <v>#N/A</v>
      </c>
      <c r="T76" s="403"/>
      <c r="U76" s="105"/>
      <c r="V76" s="105"/>
      <c r="W76" s="105"/>
      <c r="X76" s="105" t="e">
        <f t="shared" si="34"/>
        <v>#N/A</v>
      </c>
      <c r="Y76" s="403"/>
      <c r="Z76" s="105"/>
      <c r="AA76" s="105"/>
      <c r="AB76" s="105"/>
      <c r="AC76" s="105" t="e">
        <f t="shared" si="35"/>
        <v>#N/A</v>
      </c>
      <c r="AD76" s="403"/>
      <c r="AE76" s="105"/>
      <c r="AF76" s="105"/>
      <c r="AG76" s="105"/>
      <c r="AH76" s="105" t="e">
        <f t="shared" si="36"/>
        <v>#N/A</v>
      </c>
      <c r="AI76" s="403"/>
      <c r="AJ76" s="105"/>
      <c r="AK76" s="105"/>
      <c r="AL76" s="105"/>
      <c r="AM76" s="105" t="e">
        <f t="shared" si="37"/>
        <v>#N/A</v>
      </c>
      <c r="AN76" s="403"/>
      <c r="AO76" s="105"/>
      <c r="AP76" s="105"/>
      <c r="AQ76" s="105"/>
      <c r="AR76" s="105" t="e">
        <f t="shared" si="38"/>
        <v>#N/A</v>
      </c>
      <c r="AS76" s="403"/>
      <c r="AT76" s="105"/>
      <c r="AU76" s="105"/>
      <c r="AV76" s="105"/>
      <c r="AW76" s="105" t="e">
        <f t="shared" si="39"/>
        <v>#N/A</v>
      </c>
      <c r="AX76" s="403"/>
    </row>
    <row r="77" spans="2:50">
      <c r="B77" s="398"/>
      <c r="C77" s="105">
        <v>11</v>
      </c>
      <c r="D77" s="228"/>
      <c r="E77" s="175"/>
      <c r="F77" s="105"/>
      <c r="G77" s="202"/>
      <c r="H77" s="385"/>
      <c r="I77" s="175"/>
      <c r="J77" s="175"/>
      <c r="K77" s="202"/>
      <c r="L77" s="385"/>
      <c r="M77" s="203" t="e">
        <f>RANK(K77, K$67:$K$81)</f>
        <v>#N/A</v>
      </c>
      <c r="N77" s="387"/>
      <c r="O77" s="387"/>
      <c r="P77" s="105"/>
      <c r="Q77" s="105"/>
      <c r="R77" s="105"/>
      <c r="S77" s="105" t="e">
        <f t="shared" si="33"/>
        <v>#N/A</v>
      </c>
      <c r="T77" s="403"/>
      <c r="U77" s="105"/>
      <c r="V77" s="105"/>
      <c r="W77" s="105"/>
      <c r="X77" s="105" t="e">
        <f t="shared" si="34"/>
        <v>#N/A</v>
      </c>
      <c r="Y77" s="403"/>
      <c r="Z77" s="105"/>
      <c r="AA77" s="105"/>
      <c r="AB77" s="105"/>
      <c r="AC77" s="105" t="e">
        <f t="shared" si="35"/>
        <v>#N/A</v>
      </c>
      <c r="AD77" s="403"/>
      <c r="AE77" s="105"/>
      <c r="AF77" s="105"/>
      <c r="AG77" s="105"/>
      <c r="AH77" s="105" t="e">
        <f t="shared" si="36"/>
        <v>#N/A</v>
      </c>
      <c r="AI77" s="403"/>
      <c r="AJ77" s="105"/>
      <c r="AK77" s="105"/>
      <c r="AL77" s="105"/>
      <c r="AM77" s="105" t="e">
        <f t="shared" si="37"/>
        <v>#N/A</v>
      </c>
      <c r="AN77" s="403"/>
      <c r="AO77" s="105"/>
      <c r="AP77" s="105"/>
      <c r="AQ77" s="105"/>
      <c r="AR77" s="105" t="e">
        <f t="shared" si="38"/>
        <v>#N/A</v>
      </c>
      <c r="AS77" s="403"/>
      <c r="AT77" s="105"/>
      <c r="AU77" s="105"/>
      <c r="AV77" s="105"/>
      <c r="AW77" s="105" t="e">
        <f t="shared" si="39"/>
        <v>#N/A</v>
      </c>
      <c r="AX77" s="403"/>
    </row>
    <row r="78" spans="2:50">
      <c r="B78" s="398"/>
      <c r="C78" s="105">
        <v>12</v>
      </c>
      <c r="D78" s="228"/>
      <c r="E78" s="175"/>
      <c r="F78" s="105"/>
      <c r="G78" s="202"/>
      <c r="H78" s="385"/>
      <c r="I78" s="175"/>
      <c r="J78" s="175"/>
      <c r="K78" s="202"/>
      <c r="L78" s="385"/>
      <c r="M78" s="203" t="e">
        <f>RANK(K78, K$67:$K$81)</f>
        <v>#N/A</v>
      </c>
      <c r="N78" s="387"/>
      <c r="O78" s="387"/>
      <c r="P78" s="105"/>
      <c r="Q78" s="105"/>
      <c r="R78" s="105"/>
      <c r="S78" s="105" t="e">
        <f t="shared" si="33"/>
        <v>#N/A</v>
      </c>
      <c r="T78" s="403"/>
      <c r="U78" s="105"/>
      <c r="V78" s="105"/>
      <c r="W78" s="105"/>
      <c r="X78" s="105" t="e">
        <f t="shared" si="34"/>
        <v>#N/A</v>
      </c>
      <c r="Y78" s="403"/>
      <c r="Z78" s="105"/>
      <c r="AA78" s="105"/>
      <c r="AB78" s="105"/>
      <c r="AC78" s="105" t="e">
        <f t="shared" si="35"/>
        <v>#N/A</v>
      </c>
      <c r="AD78" s="403"/>
      <c r="AE78" s="105"/>
      <c r="AF78" s="105"/>
      <c r="AG78" s="105"/>
      <c r="AH78" s="105" t="e">
        <f t="shared" si="36"/>
        <v>#N/A</v>
      </c>
      <c r="AI78" s="403"/>
      <c r="AJ78" s="105"/>
      <c r="AK78" s="105"/>
      <c r="AL78" s="105"/>
      <c r="AM78" s="105" t="e">
        <f t="shared" si="37"/>
        <v>#N/A</v>
      </c>
      <c r="AN78" s="403"/>
      <c r="AO78" s="105"/>
      <c r="AP78" s="105"/>
      <c r="AQ78" s="105"/>
      <c r="AR78" s="105" t="e">
        <f t="shared" si="38"/>
        <v>#N/A</v>
      </c>
      <c r="AS78" s="403"/>
      <c r="AT78" s="105"/>
      <c r="AU78" s="105"/>
      <c r="AV78" s="105"/>
      <c r="AW78" s="105" t="e">
        <f t="shared" si="39"/>
        <v>#N/A</v>
      </c>
      <c r="AX78" s="403"/>
    </row>
    <row r="79" spans="2:50">
      <c r="B79" s="398"/>
      <c r="C79" s="105">
        <v>13</v>
      </c>
      <c r="D79" s="228"/>
      <c r="E79" s="175"/>
      <c r="F79" s="105"/>
      <c r="G79" s="202"/>
      <c r="H79" s="385"/>
      <c r="I79" s="175"/>
      <c r="J79" s="175"/>
      <c r="K79" s="202"/>
      <c r="L79" s="385"/>
      <c r="M79" s="203" t="e">
        <f>RANK(K79, K$67:$K$81)</f>
        <v>#N/A</v>
      </c>
      <c r="N79" s="387"/>
      <c r="O79" s="387"/>
      <c r="P79" s="105"/>
      <c r="Q79" s="105"/>
      <c r="R79" s="105"/>
      <c r="S79" s="105" t="e">
        <f t="shared" si="33"/>
        <v>#N/A</v>
      </c>
      <c r="T79" s="403"/>
      <c r="U79" s="105"/>
      <c r="V79" s="105"/>
      <c r="W79" s="105"/>
      <c r="X79" s="105" t="e">
        <f t="shared" si="34"/>
        <v>#N/A</v>
      </c>
      <c r="Y79" s="403"/>
      <c r="Z79" s="105"/>
      <c r="AA79" s="105"/>
      <c r="AB79" s="105"/>
      <c r="AC79" s="105" t="e">
        <f t="shared" si="35"/>
        <v>#N/A</v>
      </c>
      <c r="AD79" s="403"/>
      <c r="AE79" s="105"/>
      <c r="AF79" s="105"/>
      <c r="AG79" s="105"/>
      <c r="AH79" s="105" t="e">
        <f t="shared" si="36"/>
        <v>#N/A</v>
      </c>
      <c r="AI79" s="403"/>
      <c r="AJ79" s="105"/>
      <c r="AK79" s="105"/>
      <c r="AL79" s="105"/>
      <c r="AM79" s="105" t="e">
        <f t="shared" si="37"/>
        <v>#N/A</v>
      </c>
      <c r="AN79" s="403"/>
      <c r="AO79" s="105"/>
      <c r="AP79" s="105"/>
      <c r="AQ79" s="105"/>
      <c r="AR79" s="105" t="e">
        <f t="shared" si="38"/>
        <v>#N/A</v>
      </c>
      <c r="AS79" s="403"/>
      <c r="AT79" s="105"/>
      <c r="AU79" s="105"/>
      <c r="AV79" s="105"/>
      <c r="AW79" s="105" t="e">
        <f t="shared" si="39"/>
        <v>#N/A</v>
      </c>
      <c r="AX79" s="403"/>
    </row>
    <row r="80" spans="2:50">
      <c r="B80" s="398"/>
      <c r="C80" s="105">
        <v>14</v>
      </c>
      <c r="D80" s="228"/>
      <c r="E80" s="175"/>
      <c r="F80" s="105"/>
      <c r="G80" s="202"/>
      <c r="H80" s="385"/>
      <c r="I80" s="175"/>
      <c r="J80" s="175"/>
      <c r="K80" s="202"/>
      <c r="L80" s="385"/>
      <c r="M80" s="203" t="e">
        <f>RANK(K80, K$67:$K$81)</f>
        <v>#N/A</v>
      </c>
      <c r="N80" s="387"/>
      <c r="O80" s="387"/>
      <c r="P80" s="105"/>
      <c r="Q80" s="105"/>
      <c r="R80" s="105"/>
      <c r="S80" s="105" t="e">
        <f t="shared" si="33"/>
        <v>#N/A</v>
      </c>
      <c r="T80" s="403"/>
      <c r="U80" s="105"/>
      <c r="V80" s="105"/>
      <c r="W80" s="105"/>
      <c r="X80" s="105" t="e">
        <f t="shared" si="34"/>
        <v>#N/A</v>
      </c>
      <c r="Y80" s="403"/>
      <c r="Z80" s="105"/>
      <c r="AA80" s="105"/>
      <c r="AB80" s="105"/>
      <c r="AC80" s="105" t="e">
        <f t="shared" si="35"/>
        <v>#N/A</v>
      </c>
      <c r="AD80" s="403"/>
      <c r="AE80" s="105"/>
      <c r="AF80" s="105"/>
      <c r="AG80" s="105"/>
      <c r="AH80" s="105" t="e">
        <f t="shared" si="36"/>
        <v>#N/A</v>
      </c>
      <c r="AI80" s="403"/>
      <c r="AJ80" s="105"/>
      <c r="AK80" s="105"/>
      <c r="AL80" s="105"/>
      <c r="AM80" s="105" t="e">
        <f t="shared" si="37"/>
        <v>#N/A</v>
      </c>
      <c r="AN80" s="403"/>
      <c r="AO80" s="105"/>
      <c r="AP80" s="105"/>
      <c r="AQ80" s="105"/>
      <c r="AR80" s="105" t="e">
        <f t="shared" si="38"/>
        <v>#N/A</v>
      </c>
      <c r="AS80" s="403"/>
      <c r="AT80" s="105"/>
      <c r="AU80" s="105"/>
      <c r="AV80" s="105"/>
      <c r="AW80" s="105" t="e">
        <f t="shared" si="39"/>
        <v>#N/A</v>
      </c>
      <c r="AX80" s="403"/>
    </row>
    <row r="81" spans="2:50">
      <c r="B81" s="398"/>
      <c r="C81" s="105">
        <v>15</v>
      </c>
      <c r="D81" s="228"/>
      <c r="E81" s="175"/>
      <c r="F81" s="105"/>
      <c r="G81" s="202"/>
      <c r="H81" s="386"/>
      <c r="I81" s="175"/>
      <c r="J81" s="175"/>
      <c r="K81" s="202"/>
      <c r="L81" s="386"/>
      <c r="M81" s="175" t="e">
        <f>RANK(K81, K$67:$K$81)</f>
        <v>#N/A</v>
      </c>
      <c r="N81" s="387"/>
      <c r="O81" s="387"/>
      <c r="P81" s="105"/>
      <c r="Q81" s="105"/>
      <c r="R81" s="105"/>
      <c r="S81" s="105" t="e">
        <f t="shared" si="33"/>
        <v>#N/A</v>
      </c>
      <c r="T81" s="404"/>
      <c r="U81" s="105"/>
      <c r="V81" s="105"/>
      <c r="W81" s="105"/>
      <c r="X81" s="105" t="e">
        <f t="shared" si="34"/>
        <v>#N/A</v>
      </c>
      <c r="Y81" s="404"/>
      <c r="Z81" s="105"/>
      <c r="AA81" s="105"/>
      <c r="AB81" s="105"/>
      <c r="AC81" s="105" t="e">
        <f t="shared" si="35"/>
        <v>#N/A</v>
      </c>
      <c r="AD81" s="404"/>
      <c r="AE81" s="105"/>
      <c r="AF81" s="105"/>
      <c r="AG81" s="105"/>
      <c r="AH81" s="105" t="e">
        <f t="shared" si="36"/>
        <v>#N/A</v>
      </c>
      <c r="AI81" s="404"/>
      <c r="AJ81" s="105"/>
      <c r="AK81" s="105"/>
      <c r="AL81" s="105"/>
      <c r="AM81" s="105" t="e">
        <f t="shared" si="37"/>
        <v>#N/A</v>
      </c>
      <c r="AN81" s="404"/>
      <c r="AO81" s="105"/>
      <c r="AP81" s="105"/>
      <c r="AQ81" s="105"/>
      <c r="AR81" s="105" t="e">
        <f t="shared" si="38"/>
        <v>#N/A</v>
      </c>
      <c r="AS81" s="404"/>
      <c r="AT81" s="105"/>
      <c r="AU81" s="105"/>
      <c r="AV81" s="105"/>
      <c r="AW81" s="105" t="e">
        <f t="shared" si="39"/>
        <v>#N/A</v>
      </c>
      <c r="AX81" s="404"/>
    </row>
    <row r="82" spans="2:50" ht="15.75">
      <c r="B82" s="405" t="s">
        <v>195</v>
      </c>
      <c r="C82" s="406"/>
      <c r="D82" s="406"/>
      <c r="E82" s="406"/>
      <c r="F82" s="406"/>
      <c r="G82" s="406"/>
      <c r="H82" s="406"/>
      <c r="I82" s="205"/>
      <c r="J82" s="205"/>
      <c r="K82" s="205"/>
      <c r="L82" s="205"/>
      <c r="M82" s="204"/>
      <c r="N82" s="399" t="s">
        <v>196</v>
      </c>
      <c r="O82" s="399" t="s">
        <v>145</v>
      </c>
      <c r="P82" s="397">
        <f>P62+7</f>
        <v>45895</v>
      </c>
      <c r="Q82" s="398"/>
      <c r="R82" s="398"/>
      <c r="S82" s="398"/>
      <c r="T82" s="398"/>
      <c r="U82" s="394">
        <f>P82+1</f>
        <v>45896</v>
      </c>
      <c r="V82" s="395"/>
      <c r="W82" s="395"/>
      <c r="X82" s="395"/>
      <c r="Y82" s="396"/>
      <c r="Z82" s="394">
        <f>U82+1</f>
        <v>45897</v>
      </c>
      <c r="AA82" s="395"/>
      <c r="AB82" s="395"/>
      <c r="AC82" s="395"/>
      <c r="AD82" s="396"/>
      <c r="AE82" s="394">
        <f t="shared" ref="AE82" si="40">Z82+1</f>
        <v>45898</v>
      </c>
      <c r="AF82" s="395"/>
      <c r="AG82" s="395"/>
      <c r="AH82" s="395"/>
      <c r="AI82" s="396"/>
      <c r="AJ82" s="394">
        <f t="shared" ref="AJ82" si="41">AE82+1</f>
        <v>45899</v>
      </c>
      <c r="AK82" s="395"/>
      <c r="AL82" s="395"/>
      <c r="AM82" s="395"/>
      <c r="AN82" s="396"/>
      <c r="AO82" s="394">
        <f t="shared" ref="AO82" si="42">AJ82+1</f>
        <v>45900</v>
      </c>
      <c r="AP82" s="395"/>
      <c r="AQ82" s="395"/>
      <c r="AR82" s="395"/>
      <c r="AS82" s="396"/>
      <c r="AT82" s="394">
        <f t="shared" ref="AT82" si="43">AO82+1</f>
        <v>45901</v>
      </c>
      <c r="AU82" s="395"/>
      <c r="AV82" s="395"/>
      <c r="AW82" s="395"/>
      <c r="AX82" s="396"/>
    </row>
    <row r="83" spans="2:50" ht="15.75">
      <c r="B83" s="407"/>
      <c r="C83" s="407"/>
      <c r="D83" s="407"/>
      <c r="E83" s="407"/>
      <c r="F83" s="407"/>
      <c r="G83" s="407"/>
      <c r="H83" s="407"/>
      <c r="I83" s="172"/>
      <c r="J83" s="172"/>
      <c r="K83" s="172"/>
      <c r="L83" s="172"/>
      <c r="M83" s="173"/>
      <c r="N83" s="401"/>
      <c r="O83" s="401"/>
      <c r="P83" s="397" t="s">
        <v>159</v>
      </c>
      <c r="Q83" s="398"/>
      <c r="R83" s="398"/>
      <c r="S83" s="398"/>
      <c r="T83" s="398"/>
      <c r="U83" s="397" t="s">
        <v>160</v>
      </c>
      <c r="V83" s="398"/>
      <c r="W83" s="398"/>
      <c r="X83" s="398"/>
      <c r="Y83" s="398"/>
      <c r="Z83" s="397" t="s">
        <v>161</v>
      </c>
      <c r="AA83" s="398"/>
      <c r="AB83" s="398"/>
      <c r="AC83" s="398"/>
      <c r="AD83" s="398"/>
      <c r="AE83" s="397" t="s">
        <v>156</v>
      </c>
      <c r="AF83" s="398"/>
      <c r="AG83" s="398"/>
      <c r="AH83" s="398"/>
      <c r="AI83" s="398"/>
      <c r="AJ83" s="397" t="s">
        <v>157</v>
      </c>
      <c r="AK83" s="398"/>
      <c r="AL83" s="398"/>
      <c r="AM83" s="398"/>
      <c r="AN83" s="398"/>
      <c r="AO83" s="397" t="s">
        <v>152</v>
      </c>
      <c r="AP83" s="398"/>
      <c r="AQ83" s="398"/>
      <c r="AR83" s="398"/>
      <c r="AS83" s="398"/>
      <c r="AT83" s="397" t="s">
        <v>158</v>
      </c>
      <c r="AU83" s="398"/>
      <c r="AV83" s="398"/>
      <c r="AW83" s="398"/>
      <c r="AX83" s="398"/>
    </row>
    <row r="84" spans="2:50">
      <c r="B84" s="387" t="s">
        <v>197</v>
      </c>
      <c r="C84" s="387" t="s">
        <v>198</v>
      </c>
      <c r="D84" s="387"/>
      <c r="E84" s="387" t="s">
        <v>199</v>
      </c>
      <c r="F84" s="387"/>
      <c r="G84" s="387"/>
      <c r="H84" s="388" t="s">
        <v>200</v>
      </c>
      <c r="I84" s="387" t="s">
        <v>201</v>
      </c>
      <c r="J84" s="387"/>
      <c r="K84" s="387"/>
      <c r="L84" s="388" t="s">
        <v>200</v>
      </c>
      <c r="M84" s="399" t="s">
        <v>202</v>
      </c>
      <c r="N84" s="387"/>
      <c r="O84" s="387" t="s">
        <v>203</v>
      </c>
      <c r="P84" s="391" t="s">
        <v>204</v>
      </c>
      <c r="Q84" s="392"/>
      <c r="R84" s="392"/>
      <c r="S84" s="393"/>
      <c r="T84" s="387" t="s">
        <v>200</v>
      </c>
      <c r="U84" s="391" t="s">
        <v>204</v>
      </c>
      <c r="V84" s="392"/>
      <c r="W84" s="392"/>
      <c r="X84" s="393"/>
      <c r="Y84" s="387" t="s">
        <v>200</v>
      </c>
      <c r="Z84" s="391" t="s">
        <v>204</v>
      </c>
      <c r="AA84" s="392"/>
      <c r="AB84" s="392"/>
      <c r="AC84" s="393"/>
      <c r="AD84" s="387" t="s">
        <v>200</v>
      </c>
      <c r="AE84" s="391" t="s">
        <v>204</v>
      </c>
      <c r="AF84" s="392"/>
      <c r="AG84" s="392"/>
      <c r="AH84" s="393"/>
      <c r="AI84" s="387" t="s">
        <v>200</v>
      </c>
      <c r="AJ84" s="391" t="s">
        <v>204</v>
      </c>
      <c r="AK84" s="392"/>
      <c r="AL84" s="392"/>
      <c r="AM84" s="393"/>
      <c r="AN84" s="387" t="s">
        <v>200</v>
      </c>
      <c r="AO84" s="391" t="s">
        <v>204</v>
      </c>
      <c r="AP84" s="392"/>
      <c r="AQ84" s="392"/>
      <c r="AR84" s="393"/>
      <c r="AS84" s="387" t="s">
        <v>200</v>
      </c>
      <c r="AT84" s="391" t="s">
        <v>204</v>
      </c>
      <c r="AU84" s="392"/>
      <c r="AV84" s="392"/>
      <c r="AW84" s="393"/>
      <c r="AX84" s="387" t="s">
        <v>200</v>
      </c>
    </row>
    <row r="85" spans="2:50">
      <c r="B85" s="387"/>
      <c r="C85" s="387"/>
      <c r="D85" s="387"/>
      <c r="E85" s="387" t="s">
        <v>205</v>
      </c>
      <c r="F85" s="387"/>
      <c r="G85" s="387"/>
      <c r="H85" s="389"/>
      <c r="I85" s="387" t="s">
        <v>205</v>
      </c>
      <c r="J85" s="387"/>
      <c r="K85" s="387"/>
      <c r="L85" s="389"/>
      <c r="M85" s="400"/>
      <c r="N85" s="387"/>
      <c r="O85" s="387"/>
      <c r="P85" s="391" t="s">
        <v>206</v>
      </c>
      <c r="Q85" s="392"/>
      <c r="R85" s="392"/>
      <c r="S85" s="393"/>
      <c r="T85" s="387"/>
      <c r="U85" s="391" t="s">
        <v>206</v>
      </c>
      <c r="V85" s="392"/>
      <c r="W85" s="392"/>
      <c r="X85" s="393"/>
      <c r="Y85" s="387"/>
      <c r="Z85" s="391" t="s">
        <v>206</v>
      </c>
      <c r="AA85" s="392"/>
      <c r="AB85" s="392"/>
      <c r="AC85" s="393"/>
      <c r="AD85" s="387"/>
      <c r="AE85" s="391" t="s">
        <v>206</v>
      </c>
      <c r="AF85" s="392"/>
      <c r="AG85" s="392"/>
      <c r="AH85" s="393"/>
      <c r="AI85" s="387"/>
      <c r="AJ85" s="391" t="s">
        <v>206</v>
      </c>
      <c r="AK85" s="392"/>
      <c r="AL85" s="392"/>
      <c r="AM85" s="393"/>
      <c r="AN85" s="387"/>
      <c r="AO85" s="391" t="s">
        <v>206</v>
      </c>
      <c r="AP85" s="392"/>
      <c r="AQ85" s="392"/>
      <c r="AR85" s="393"/>
      <c r="AS85" s="387"/>
      <c r="AT85" s="391" t="s">
        <v>206</v>
      </c>
      <c r="AU85" s="392"/>
      <c r="AV85" s="392"/>
      <c r="AW85" s="393"/>
      <c r="AX85" s="387"/>
    </row>
    <row r="86" spans="2:50">
      <c r="B86" s="387"/>
      <c r="C86" s="387"/>
      <c r="D86" s="387"/>
      <c r="E86" s="104" t="s">
        <v>207</v>
      </c>
      <c r="F86" s="104" t="s">
        <v>208</v>
      </c>
      <c r="G86" s="104" t="s">
        <v>209</v>
      </c>
      <c r="H86" s="390"/>
      <c r="I86" s="104" t="s">
        <v>207</v>
      </c>
      <c r="J86" s="104" t="s">
        <v>208</v>
      </c>
      <c r="K86" s="104" t="s">
        <v>209</v>
      </c>
      <c r="L86" s="390"/>
      <c r="M86" s="401"/>
      <c r="N86" s="387"/>
      <c r="O86" s="387"/>
      <c r="P86" s="104" t="s">
        <v>207</v>
      </c>
      <c r="Q86" s="104" t="s">
        <v>208</v>
      </c>
      <c r="R86" s="104" t="s">
        <v>209</v>
      </c>
      <c r="S86" s="104" t="s">
        <v>202</v>
      </c>
      <c r="T86" s="387"/>
      <c r="U86" s="104" t="s">
        <v>207</v>
      </c>
      <c r="V86" s="104" t="s">
        <v>208</v>
      </c>
      <c r="W86" s="104" t="s">
        <v>209</v>
      </c>
      <c r="X86" s="104" t="s">
        <v>202</v>
      </c>
      <c r="Y86" s="387"/>
      <c r="Z86" s="104" t="s">
        <v>207</v>
      </c>
      <c r="AA86" s="104" t="s">
        <v>208</v>
      </c>
      <c r="AB86" s="104" t="s">
        <v>209</v>
      </c>
      <c r="AC86" s="104" t="s">
        <v>202</v>
      </c>
      <c r="AD86" s="387"/>
      <c r="AE86" s="104" t="s">
        <v>207</v>
      </c>
      <c r="AF86" s="104" t="s">
        <v>208</v>
      </c>
      <c r="AG86" s="104" t="s">
        <v>209</v>
      </c>
      <c r="AH86" s="104" t="s">
        <v>202</v>
      </c>
      <c r="AI86" s="387"/>
      <c r="AJ86" s="104" t="s">
        <v>207</v>
      </c>
      <c r="AK86" s="104" t="s">
        <v>208</v>
      </c>
      <c r="AL86" s="104" t="s">
        <v>209</v>
      </c>
      <c r="AM86" s="104" t="s">
        <v>202</v>
      </c>
      <c r="AN86" s="387"/>
      <c r="AO86" s="104" t="s">
        <v>207</v>
      </c>
      <c r="AP86" s="104" t="s">
        <v>208</v>
      </c>
      <c r="AQ86" s="104" t="s">
        <v>209</v>
      </c>
      <c r="AR86" s="104" t="s">
        <v>202</v>
      </c>
      <c r="AS86" s="387"/>
      <c r="AT86" s="104" t="s">
        <v>207</v>
      </c>
      <c r="AU86" s="104" t="s">
        <v>208</v>
      </c>
      <c r="AV86" s="104" t="s">
        <v>209</v>
      </c>
      <c r="AW86" s="104" t="s">
        <v>202</v>
      </c>
      <c r="AX86" s="387"/>
    </row>
    <row r="87" spans="2:50">
      <c r="B87" s="387" t="s">
        <v>184</v>
      </c>
      <c r="C87" s="105">
        <v>1</v>
      </c>
      <c r="D87" s="228" t="s">
        <v>321</v>
      </c>
      <c r="E87" s="175">
        <v>8</v>
      </c>
      <c r="F87" s="105">
        <v>1500</v>
      </c>
      <c r="G87" s="202">
        <v>187.5</v>
      </c>
      <c r="H87" s="384">
        <f>AVERAGE(G87:G101)</f>
        <v>117.22222222222221</v>
      </c>
      <c r="I87" s="175">
        <f>AVERAGE(P87,U87,Z87,AE87,AJ87,AO87,AT87)</f>
        <v>8</v>
      </c>
      <c r="J87" s="175">
        <f>AVERAGE(Q87,V87,AA87,AF87,AK87,AP87,AU87)</f>
        <v>1210.2206959706962</v>
      </c>
      <c r="K87" s="202">
        <f>AVERAGE(R87,W87,AB87,AG87,AL87,AQ87,AV87)</f>
        <v>151.27758699633702</v>
      </c>
      <c r="L87" s="384">
        <f>IFERROR(AVERAGE(K87:K101),"-")</f>
        <v>104.21392585501526</v>
      </c>
      <c r="M87" s="203">
        <f>RANK(K87, K$87:$K$101)</f>
        <v>2</v>
      </c>
      <c r="N87" s="387"/>
      <c r="O87" s="387"/>
      <c r="P87" s="105">
        <v>8</v>
      </c>
      <c r="Q87" s="175">
        <v>1218.7499999999998</v>
      </c>
      <c r="R87" s="202">
        <v>152.34374999999997</v>
      </c>
      <c r="S87" s="105">
        <f>RANK(R87, R$87:R$101)</f>
        <v>2</v>
      </c>
      <c r="T87" s="402">
        <f>AVERAGE(R87:R101)</f>
        <v>103.63656966326941</v>
      </c>
      <c r="U87" s="105">
        <v>8</v>
      </c>
      <c r="V87" s="175">
        <v>1185</v>
      </c>
      <c r="W87" s="202">
        <v>148.125</v>
      </c>
      <c r="X87" s="105">
        <f>RANK(W87, W$87:W$101)</f>
        <v>2</v>
      </c>
      <c r="Y87" s="402">
        <f>AVERAGE(W87:W101)</f>
        <v>103.72009533620262</v>
      </c>
      <c r="Z87" s="105">
        <v>8</v>
      </c>
      <c r="AA87" s="175">
        <v>1203.7499999999998</v>
      </c>
      <c r="AB87" s="202">
        <v>150.46874999999997</v>
      </c>
      <c r="AC87" s="105">
        <f>RANK(AB87, AB$87:AB$101)</f>
        <v>2</v>
      </c>
      <c r="AD87" s="402">
        <f>AVERAGE(AB87:AB101)</f>
        <v>105.14043248427963</v>
      </c>
      <c r="AE87" s="105">
        <v>8</v>
      </c>
      <c r="AF87" s="175">
        <v>1223.2941176470592</v>
      </c>
      <c r="AG87" s="202">
        <v>152.9117647058824</v>
      </c>
      <c r="AH87" s="105">
        <f>RANK(AG87, AG$87:AG$101)</f>
        <v>2</v>
      </c>
      <c r="AI87" s="402">
        <f>AVERAGE(AG87:AG101)</f>
        <v>104.54166560186617</v>
      </c>
      <c r="AJ87" s="105">
        <v>8</v>
      </c>
      <c r="AK87" s="175">
        <v>1215.8241758241757</v>
      </c>
      <c r="AL87" s="202">
        <v>151.97802197802196</v>
      </c>
      <c r="AM87" s="105">
        <f>RANK(AL87, AL$87:AL$101)</f>
        <v>2</v>
      </c>
      <c r="AN87" s="402">
        <f>AVERAGE(AL87:AL101)</f>
        <v>103.32722340495259</v>
      </c>
      <c r="AO87" s="105">
        <v>8</v>
      </c>
      <c r="AP87" s="175">
        <v>1214.7058823529412</v>
      </c>
      <c r="AQ87" s="202">
        <v>151.83823529411765</v>
      </c>
      <c r="AR87" s="105">
        <f>RANK(AQ87, AQ$87:AQ$101)</f>
        <v>2</v>
      </c>
      <c r="AS87" s="402">
        <f>AVERAGE(AQ87:AQ101)</f>
        <v>104.91756863952122</v>
      </c>
      <c r="AT87" s="105"/>
      <c r="AU87" s="175"/>
      <c r="AV87" s="202"/>
      <c r="AW87" s="105" t="e">
        <f>RANK(AV87, AV$87:AV$101)</f>
        <v>#N/A</v>
      </c>
      <c r="AX87" s="402" t="e">
        <f>AVERAGE(AV87:AV101)</f>
        <v>#DIV/0!</v>
      </c>
    </row>
    <row r="88" spans="2:50">
      <c r="B88" s="398"/>
      <c r="C88" s="105">
        <v>2</v>
      </c>
      <c r="D88" s="228" t="s">
        <v>322</v>
      </c>
      <c r="E88" s="175">
        <v>15</v>
      </c>
      <c r="F88" s="105">
        <v>1500</v>
      </c>
      <c r="G88" s="202">
        <v>100</v>
      </c>
      <c r="H88" s="385"/>
      <c r="I88" s="175">
        <f t="shared" ref="I88:K92" si="44">AVERAGE(P88,U88,Z88,AE88,AJ88,AO88,AT88)</f>
        <v>14.833333333333334</v>
      </c>
      <c r="J88" s="175">
        <f t="shared" si="44"/>
        <v>1216.1355250248444</v>
      </c>
      <c r="K88" s="202">
        <f t="shared" si="44"/>
        <v>82.023102851018265</v>
      </c>
      <c r="L88" s="385"/>
      <c r="M88" s="203">
        <f>RANK(K88, K$87:$K$101)</f>
        <v>3</v>
      </c>
      <c r="N88" s="387"/>
      <c r="O88" s="387"/>
      <c r="P88" s="105">
        <v>15</v>
      </c>
      <c r="Q88" s="175">
        <v>1203.1372549019607</v>
      </c>
      <c r="R88" s="202">
        <v>80.209150326797371</v>
      </c>
      <c r="S88" s="105">
        <f t="shared" ref="S88:S101" si="45">RANK(R88, R$87:R$101)</f>
        <v>3</v>
      </c>
      <c r="T88" s="403"/>
      <c r="U88" s="105">
        <v>14</v>
      </c>
      <c r="V88" s="175">
        <v>1193.7254901960782</v>
      </c>
      <c r="W88" s="202">
        <v>85.266106442577012</v>
      </c>
      <c r="X88" s="105">
        <f t="shared" ref="X88:X101" si="46">RANK(W88, W$87:W$101)</f>
        <v>3</v>
      </c>
      <c r="Y88" s="403"/>
      <c r="Z88" s="105">
        <v>15</v>
      </c>
      <c r="AA88" s="175">
        <v>1243.1999999999998</v>
      </c>
      <c r="AB88" s="202">
        <v>82.879999999999981</v>
      </c>
      <c r="AC88" s="105">
        <f t="shared" ref="AC88:AC101" si="47">RANK(AB88, AB$87:AB$101)</f>
        <v>3</v>
      </c>
      <c r="AD88" s="403"/>
      <c r="AE88" s="105">
        <v>15</v>
      </c>
      <c r="AF88" s="175">
        <v>1237.8260869565213</v>
      </c>
      <c r="AG88" s="202">
        <v>82.521739130434753</v>
      </c>
      <c r="AH88" s="105">
        <f t="shared" ref="AH88:AH101" si="48">RANK(AG88, AG$87:AG$101)</f>
        <v>3</v>
      </c>
      <c r="AI88" s="403"/>
      <c r="AJ88" s="105">
        <v>15</v>
      </c>
      <c r="AK88" s="175">
        <v>1215.7664233576643</v>
      </c>
      <c r="AL88" s="202">
        <v>81.051094890510953</v>
      </c>
      <c r="AM88" s="105">
        <f t="shared" ref="AM88:AM101" si="49">RANK(AL88, AL$87:AL$101)</f>
        <v>3</v>
      </c>
      <c r="AN88" s="403"/>
      <c r="AO88" s="105">
        <v>15</v>
      </c>
      <c r="AP88" s="175">
        <v>1203.1578947368421</v>
      </c>
      <c r="AQ88" s="202">
        <v>80.210526315789465</v>
      </c>
      <c r="AR88" s="105">
        <f t="shared" ref="AR88:AR101" si="50">RANK(AQ88, AQ$87:AQ$101)</f>
        <v>3</v>
      </c>
      <c r="AS88" s="403"/>
      <c r="AT88" s="105"/>
      <c r="AU88" s="175"/>
      <c r="AV88" s="202"/>
      <c r="AW88" s="105" t="e">
        <f t="shared" ref="AW88:AW101" si="51">RANK(AV88, AV$87:AV$101)</f>
        <v>#N/A</v>
      </c>
      <c r="AX88" s="403"/>
    </row>
    <row r="89" spans="2:50">
      <c r="B89" s="398"/>
      <c r="C89" s="105">
        <v>3</v>
      </c>
      <c r="D89" s="228" t="s">
        <v>323</v>
      </c>
      <c r="E89" s="175">
        <v>18</v>
      </c>
      <c r="F89" s="105">
        <v>1500</v>
      </c>
      <c r="G89" s="202">
        <v>83.333333333333329</v>
      </c>
      <c r="H89" s="385"/>
      <c r="I89" s="175">
        <f t="shared" si="44"/>
        <v>18</v>
      </c>
      <c r="J89" s="175">
        <f t="shared" si="44"/>
        <v>1274.2714704052996</v>
      </c>
      <c r="K89" s="202">
        <f t="shared" si="44"/>
        <v>70.79285946696109</v>
      </c>
      <c r="L89" s="385"/>
      <c r="M89" s="203">
        <f>RANK(K89, K$87:$K$101)</f>
        <v>5</v>
      </c>
      <c r="N89" s="387"/>
      <c r="O89" s="387"/>
      <c r="P89" s="105">
        <v>18</v>
      </c>
      <c r="Q89" s="175">
        <v>1220.3846153846155</v>
      </c>
      <c r="R89" s="202">
        <v>67.799145299145309</v>
      </c>
      <c r="S89" s="105">
        <f t="shared" si="45"/>
        <v>5</v>
      </c>
      <c r="T89" s="403"/>
      <c r="U89" s="105">
        <v>18</v>
      </c>
      <c r="V89" s="175">
        <v>1273.7288135593224</v>
      </c>
      <c r="W89" s="202">
        <v>70.762711864406796</v>
      </c>
      <c r="X89" s="105">
        <f t="shared" si="46"/>
        <v>5</v>
      </c>
      <c r="Y89" s="403"/>
      <c r="Z89" s="105">
        <v>18</v>
      </c>
      <c r="AA89" s="175">
        <v>1347.9389312977098</v>
      </c>
      <c r="AB89" s="202">
        <v>74.885496183206101</v>
      </c>
      <c r="AC89" s="105">
        <f t="shared" si="47"/>
        <v>5</v>
      </c>
      <c r="AD89" s="403"/>
      <c r="AE89" s="105">
        <v>18</v>
      </c>
      <c r="AF89" s="175">
        <v>1283.7931034482751</v>
      </c>
      <c r="AG89" s="202">
        <v>71.321839080459725</v>
      </c>
      <c r="AH89" s="105">
        <f t="shared" si="48"/>
        <v>5</v>
      </c>
      <c r="AI89" s="403"/>
      <c r="AJ89" s="105">
        <v>18</v>
      </c>
      <c r="AK89" s="175">
        <v>1231.239669421487</v>
      </c>
      <c r="AL89" s="202">
        <v>68.402203856749281</v>
      </c>
      <c r="AM89" s="105">
        <f t="shared" si="49"/>
        <v>5</v>
      </c>
      <c r="AN89" s="403"/>
      <c r="AO89" s="105">
        <v>18</v>
      </c>
      <c r="AP89" s="175">
        <v>1288.543689320388</v>
      </c>
      <c r="AQ89" s="202">
        <v>71.585760517799329</v>
      </c>
      <c r="AR89" s="105">
        <f t="shared" si="50"/>
        <v>5</v>
      </c>
      <c r="AS89" s="403"/>
      <c r="AT89" s="105"/>
      <c r="AU89" s="175"/>
      <c r="AV89" s="202"/>
      <c r="AW89" s="105" t="e">
        <f t="shared" si="51"/>
        <v>#N/A</v>
      </c>
      <c r="AX89" s="403"/>
    </row>
    <row r="90" spans="2:50">
      <c r="B90" s="398"/>
      <c r="C90" s="105">
        <v>4</v>
      </c>
      <c r="D90" s="228" t="s">
        <v>324</v>
      </c>
      <c r="E90" s="175">
        <v>20</v>
      </c>
      <c r="F90" s="105">
        <v>1300</v>
      </c>
      <c r="G90" s="202">
        <v>65</v>
      </c>
      <c r="H90" s="385"/>
      <c r="I90" s="175">
        <f t="shared" si="44"/>
        <v>20</v>
      </c>
      <c r="J90" s="175">
        <f t="shared" si="44"/>
        <v>1092.708356517566</v>
      </c>
      <c r="K90" s="202">
        <f t="shared" si="44"/>
        <v>54.635417825878307</v>
      </c>
      <c r="L90" s="385"/>
      <c r="M90" s="203">
        <f>RANK(K90, K$87:$K$101)</f>
        <v>6</v>
      </c>
      <c r="N90" s="387"/>
      <c r="O90" s="387"/>
      <c r="P90" s="105">
        <v>20</v>
      </c>
      <c r="Q90" s="175">
        <v>1096.4383561643838</v>
      </c>
      <c r="R90" s="202">
        <v>54.82191780821919</v>
      </c>
      <c r="S90" s="105">
        <f t="shared" si="45"/>
        <v>6</v>
      </c>
      <c r="T90" s="403"/>
      <c r="U90" s="105">
        <v>20</v>
      </c>
      <c r="V90" s="175">
        <v>1114.8648648648652</v>
      </c>
      <c r="W90" s="202">
        <v>55.743243243243263</v>
      </c>
      <c r="X90" s="105">
        <f t="shared" si="46"/>
        <v>6</v>
      </c>
      <c r="Y90" s="403"/>
      <c r="Z90" s="105">
        <v>20</v>
      </c>
      <c r="AA90" s="175">
        <v>1081.6438356164385</v>
      </c>
      <c r="AB90" s="202">
        <v>54.08219178082193</v>
      </c>
      <c r="AC90" s="105">
        <f t="shared" si="47"/>
        <v>6</v>
      </c>
      <c r="AD90" s="403"/>
      <c r="AE90" s="105">
        <v>20</v>
      </c>
      <c r="AF90" s="175">
        <v>1095.4545454545455</v>
      </c>
      <c r="AG90" s="202">
        <v>54.772727272727273</v>
      </c>
      <c r="AH90" s="105">
        <f t="shared" si="48"/>
        <v>6</v>
      </c>
      <c r="AI90" s="403"/>
      <c r="AJ90" s="105">
        <v>20</v>
      </c>
      <c r="AK90" s="175">
        <v>1088.5714285714287</v>
      </c>
      <c r="AL90" s="202">
        <v>54.428571428571431</v>
      </c>
      <c r="AM90" s="105">
        <f t="shared" si="49"/>
        <v>6</v>
      </c>
      <c r="AN90" s="403"/>
      <c r="AO90" s="105">
        <v>20</v>
      </c>
      <c r="AP90" s="175">
        <v>1079.2771084337346</v>
      </c>
      <c r="AQ90" s="202">
        <v>53.963855421686731</v>
      </c>
      <c r="AR90" s="105">
        <f t="shared" si="50"/>
        <v>6</v>
      </c>
      <c r="AS90" s="403"/>
      <c r="AT90" s="105"/>
      <c r="AU90" s="175"/>
      <c r="AV90" s="202"/>
      <c r="AW90" s="105" t="e">
        <f t="shared" si="51"/>
        <v>#N/A</v>
      </c>
      <c r="AX90" s="403"/>
    </row>
    <row r="91" spans="2:50">
      <c r="B91" s="398"/>
      <c r="C91" s="105">
        <v>5</v>
      </c>
      <c r="D91" s="228" t="s">
        <v>325</v>
      </c>
      <c r="E91" s="175">
        <v>18</v>
      </c>
      <c r="F91" s="105">
        <v>1440</v>
      </c>
      <c r="G91" s="202">
        <v>80</v>
      </c>
      <c r="H91" s="385"/>
      <c r="I91" s="175">
        <f t="shared" si="44"/>
        <v>18</v>
      </c>
      <c r="J91" s="175">
        <f t="shared" si="44"/>
        <v>1388.8390145726471</v>
      </c>
      <c r="K91" s="202">
        <f t="shared" si="44"/>
        <v>77.157723031813717</v>
      </c>
      <c r="L91" s="385"/>
      <c r="M91" s="203">
        <f>RANK(K91, K$87:$K$101)</f>
        <v>4</v>
      </c>
      <c r="N91" s="387"/>
      <c r="O91" s="387"/>
      <c r="P91" s="105">
        <v>18</v>
      </c>
      <c r="Q91" s="175">
        <v>1386.8181818181818</v>
      </c>
      <c r="R91" s="202">
        <v>77.045454545454547</v>
      </c>
      <c r="S91" s="105">
        <f t="shared" si="45"/>
        <v>4</v>
      </c>
      <c r="T91" s="403"/>
      <c r="U91" s="105">
        <v>18</v>
      </c>
      <c r="V91" s="175">
        <v>1346.6666666666665</v>
      </c>
      <c r="W91" s="202">
        <v>74.81481481481481</v>
      </c>
      <c r="X91" s="105">
        <f t="shared" si="46"/>
        <v>4</v>
      </c>
      <c r="Y91" s="403"/>
      <c r="Z91" s="105">
        <v>18</v>
      </c>
      <c r="AA91" s="175">
        <v>1401.4285714285711</v>
      </c>
      <c r="AB91" s="202">
        <v>77.857142857142833</v>
      </c>
      <c r="AC91" s="105">
        <f t="shared" si="47"/>
        <v>4</v>
      </c>
      <c r="AD91" s="403"/>
      <c r="AE91" s="105">
        <v>18</v>
      </c>
      <c r="AF91" s="175">
        <v>1386.315789473683</v>
      </c>
      <c r="AG91" s="202">
        <v>77.017543859649052</v>
      </c>
      <c r="AH91" s="105">
        <f t="shared" si="48"/>
        <v>4</v>
      </c>
      <c r="AI91" s="403"/>
      <c r="AJ91" s="105">
        <v>18</v>
      </c>
      <c r="AK91" s="175">
        <v>1403.9999999999995</v>
      </c>
      <c r="AL91" s="202">
        <v>77.999999999999972</v>
      </c>
      <c r="AM91" s="105">
        <f t="shared" si="49"/>
        <v>4</v>
      </c>
      <c r="AN91" s="403"/>
      <c r="AO91" s="105">
        <v>18</v>
      </c>
      <c r="AP91" s="175">
        <v>1407.80487804878</v>
      </c>
      <c r="AQ91" s="202">
        <v>78.211382113821116</v>
      </c>
      <c r="AR91" s="105">
        <f t="shared" si="50"/>
        <v>4</v>
      </c>
      <c r="AS91" s="403"/>
      <c r="AT91" s="105"/>
      <c r="AU91" s="175"/>
      <c r="AV91" s="202"/>
      <c r="AW91" s="105" t="e">
        <f t="shared" si="51"/>
        <v>#N/A</v>
      </c>
      <c r="AX91" s="403"/>
    </row>
    <row r="92" spans="2:50">
      <c r="B92" s="398"/>
      <c r="C92" s="105">
        <v>6</v>
      </c>
      <c r="D92" s="228" t="s">
        <v>326</v>
      </c>
      <c r="E92" s="175">
        <v>8</v>
      </c>
      <c r="F92" s="105">
        <v>1500</v>
      </c>
      <c r="G92" s="202">
        <v>187.5</v>
      </c>
      <c r="H92" s="385"/>
      <c r="I92" s="175">
        <f t="shared" si="44"/>
        <v>8</v>
      </c>
      <c r="J92" s="175">
        <f t="shared" si="44"/>
        <v>1515.1749196646663</v>
      </c>
      <c r="K92" s="202">
        <f t="shared" si="44"/>
        <v>189.39686495808328</v>
      </c>
      <c r="L92" s="385"/>
      <c r="M92" s="203">
        <f>RANK(K92, K$87:$K$101)</f>
        <v>1</v>
      </c>
      <c r="N92" s="387"/>
      <c r="O92" s="387"/>
      <c r="P92" s="105">
        <v>8</v>
      </c>
      <c r="Q92" s="105">
        <v>1516.8000000000002</v>
      </c>
      <c r="R92" s="105">
        <v>189.60000000000002</v>
      </c>
      <c r="S92" s="105">
        <f t="shared" si="45"/>
        <v>1</v>
      </c>
      <c r="T92" s="403"/>
      <c r="U92" s="105">
        <v>8</v>
      </c>
      <c r="V92" s="175">
        <v>1500.8695652173906</v>
      </c>
      <c r="W92" s="202">
        <v>187.60869565217382</v>
      </c>
      <c r="X92" s="105">
        <f t="shared" si="46"/>
        <v>1</v>
      </c>
      <c r="Y92" s="403"/>
      <c r="Z92" s="105">
        <v>8</v>
      </c>
      <c r="AA92" s="175">
        <v>1525.3521126760561</v>
      </c>
      <c r="AB92" s="202">
        <v>190.66901408450701</v>
      </c>
      <c r="AC92" s="105">
        <f t="shared" si="47"/>
        <v>1</v>
      </c>
      <c r="AD92" s="403"/>
      <c r="AE92" s="105">
        <v>8</v>
      </c>
      <c r="AF92" s="175">
        <v>1509.6350364963509</v>
      </c>
      <c r="AG92" s="202">
        <v>188.70437956204387</v>
      </c>
      <c r="AH92" s="105">
        <f t="shared" si="48"/>
        <v>1</v>
      </c>
      <c r="AI92" s="403"/>
      <c r="AJ92" s="105">
        <v>8</v>
      </c>
      <c r="AK92" s="175">
        <v>1488.8275862068958</v>
      </c>
      <c r="AL92" s="202">
        <v>186.10344827586198</v>
      </c>
      <c r="AM92" s="105">
        <f t="shared" si="49"/>
        <v>1</v>
      </c>
      <c r="AN92" s="403"/>
      <c r="AO92" s="105">
        <v>8</v>
      </c>
      <c r="AP92" s="175">
        <v>1549.5652173913043</v>
      </c>
      <c r="AQ92" s="202">
        <v>193.69565217391303</v>
      </c>
      <c r="AR92" s="105">
        <f t="shared" si="50"/>
        <v>1</v>
      </c>
      <c r="AS92" s="403"/>
      <c r="AT92" s="105"/>
      <c r="AU92" s="175"/>
      <c r="AV92" s="202"/>
      <c r="AW92" s="105" t="e">
        <f t="shared" si="51"/>
        <v>#N/A</v>
      </c>
      <c r="AX92" s="403"/>
    </row>
    <row r="93" spans="2:50">
      <c r="B93" s="398"/>
      <c r="C93" s="105">
        <v>7</v>
      </c>
      <c r="D93" s="228"/>
      <c r="E93" s="175"/>
      <c r="F93" s="105"/>
      <c r="G93" s="202"/>
      <c r="H93" s="385"/>
      <c r="I93" s="175"/>
      <c r="J93" s="175"/>
      <c r="K93" s="202"/>
      <c r="L93" s="385"/>
      <c r="M93" s="203" t="e">
        <f>RANK(K93, K$87:$K$101)</f>
        <v>#N/A</v>
      </c>
      <c r="N93" s="387"/>
      <c r="O93" s="387"/>
      <c r="P93" s="105"/>
      <c r="Q93" s="105"/>
      <c r="R93" s="105"/>
      <c r="S93" s="105" t="e">
        <f t="shared" si="45"/>
        <v>#N/A</v>
      </c>
      <c r="T93" s="403"/>
      <c r="U93" s="105"/>
      <c r="V93" s="105"/>
      <c r="W93" s="105"/>
      <c r="X93" s="105" t="e">
        <f t="shared" si="46"/>
        <v>#N/A</v>
      </c>
      <c r="Y93" s="403"/>
      <c r="Z93" s="105"/>
      <c r="AA93" s="105"/>
      <c r="AB93" s="105"/>
      <c r="AC93" s="105" t="e">
        <f t="shared" si="47"/>
        <v>#N/A</v>
      </c>
      <c r="AD93" s="403"/>
      <c r="AE93" s="105"/>
      <c r="AF93" s="105"/>
      <c r="AG93" s="105"/>
      <c r="AH93" s="105" t="e">
        <f t="shared" si="48"/>
        <v>#N/A</v>
      </c>
      <c r="AI93" s="403"/>
      <c r="AJ93" s="105"/>
      <c r="AK93" s="105"/>
      <c r="AL93" s="105"/>
      <c r="AM93" s="105" t="e">
        <f t="shared" si="49"/>
        <v>#N/A</v>
      </c>
      <c r="AN93" s="403"/>
      <c r="AO93" s="105"/>
      <c r="AP93" s="105"/>
      <c r="AQ93" s="105"/>
      <c r="AR93" s="105" t="e">
        <f t="shared" si="50"/>
        <v>#N/A</v>
      </c>
      <c r="AS93" s="403"/>
      <c r="AT93" s="105"/>
      <c r="AU93" s="105"/>
      <c r="AV93" s="105"/>
      <c r="AW93" s="105" t="e">
        <f t="shared" si="51"/>
        <v>#N/A</v>
      </c>
      <c r="AX93" s="403"/>
    </row>
    <row r="94" spans="2:50">
      <c r="B94" s="398"/>
      <c r="C94" s="105">
        <v>8</v>
      </c>
      <c r="D94" s="228"/>
      <c r="E94" s="175"/>
      <c r="F94" s="105"/>
      <c r="G94" s="202"/>
      <c r="H94" s="385"/>
      <c r="I94" s="175"/>
      <c r="J94" s="175"/>
      <c r="K94" s="202"/>
      <c r="L94" s="385"/>
      <c r="M94" s="203" t="e">
        <f>RANK(K94, K$87:$K$101)</f>
        <v>#N/A</v>
      </c>
      <c r="N94" s="387"/>
      <c r="O94" s="387"/>
      <c r="P94" s="105"/>
      <c r="Q94" s="105"/>
      <c r="R94" s="105"/>
      <c r="S94" s="105" t="e">
        <f t="shared" si="45"/>
        <v>#N/A</v>
      </c>
      <c r="T94" s="403"/>
      <c r="U94" s="105"/>
      <c r="V94" s="105"/>
      <c r="W94" s="105"/>
      <c r="X94" s="105" t="e">
        <f t="shared" si="46"/>
        <v>#N/A</v>
      </c>
      <c r="Y94" s="403"/>
      <c r="Z94" s="105"/>
      <c r="AA94" s="105"/>
      <c r="AB94" s="105"/>
      <c r="AC94" s="105" t="e">
        <f t="shared" si="47"/>
        <v>#N/A</v>
      </c>
      <c r="AD94" s="403"/>
      <c r="AE94" s="105"/>
      <c r="AF94" s="105"/>
      <c r="AG94" s="105"/>
      <c r="AH94" s="105" t="e">
        <f t="shared" si="48"/>
        <v>#N/A</v>
      </c>
      <c r="AI94" s="403"/>
      <c r="AJ94" s="105"/>
      <c r="AK94" s="105"/>
      <c r="AL94" s="105"/>
      <c r="AM94" s="105" t="e">
        <f t="shared" si="49"/>
        <v>#N/A</v>
      </c>
      <c r="AN94" s="403"/>
      <c r="AO94" s="105"/>
      <c r="AP94" s="105"/>
      <c r="AQ94" s="105"/>
      <c r="AR94" s="105" t="e">
        <f t="shared" si="50"/>
        <v>#N/A</v>
      </c>
      <c r="AS94" s="403"/>
      <c r="AT94" s="105"/>
      <c r="AU94" s="105"/>
      <c r="AV94" s="105"/>
      <c r="AW94" s="105" t="e">
        <f t="shared" si="51"/>
        <v>#N/A</v>
      </c>
      <c r="AX94" s="403"/>
    </row>
    <row r="95" spans="2:50">
      <c r="B95" s="398"/>
      <c r="C95" s="105">
        <v>9</v>
      </c>
      <c r="D95" s="228"/>
      <c r="E95" s="175"/>
      <c r="F95" s="105"/>
      <c r="G95" s="202"/>
      <c r="H95" s="385"/>
      <c r="I95" s="175"/>
      <c r="J95" s="175"/>
      <c r="K95" s="202"/>
      <c r="L95" s="385"/>
      <c r="M95" s="203" t="e">
        <f>RANK(K95, K$87:$K$101)</f>
        <v>#N/A</v>
      </c>
      <c r="N95" s="387"/>
      <c r="O95" s="387"/>
      <c r="P95" s="105"/>
      <c r="Q95" s="105"/>
      <c r="R95" s="105"/>
      <c r="S95" s="105" t="e">
        <f t="shared" si="45"/>
        <v>#N/A</v>
      </c>
      <c r="T95" s="403"/>
      <c r="U95" s="105"/>
      <c r="V95" s="105"/>
      <c r="W95" s="105"/>
      <c r="X95" s="105" t="e">
        <f t="shared" si="46"/>
        <v>#N/A</v>
      </c>
      <c r="Y95" s="403"/>
      <c r="Z95" s="105"/>
      <c r="AA95" s="105"/>
      <c r="AB95" s="105"/>
      <c r="AC95" s="105" t="e">
        <f t="shared" si="47"/>
        <v>#N/A</v>
      </c>
      <c r="AD95" s="403"/>
      <c r="AE95" s="105"/>
      <c r="AF95" s="105"/>
      <c r="AG95" s="105"/>
      <c r="AH95" s="105" t="e">
        <f t="shared" si="48"/>
        <v>#N/A</v>
      </c>
      <c r="AI95" s="403"/>
      <c r="AJ95" s="105"/>
      <c r="AK95" s="105"/>
      <c r="AL95" s="105"/>
      <c r="AM95" s="105" t="e">
        <f t="shared" si="49"/>
        <v>#N/A</v>
      </c>
      <c r="AN95" s="403"/>
      <c r="AO95" s="105"/>
      <c r="AP95" s="105"/>
      <c r="AQ95" s="105"/>
      <c r="AR95" s="105" t="e">
        <f t="shared" si="50"/>
        <v>#N/A</v>
      </c>
      <c r="AS95" s="403"/>
      <c r="AT95" s="105"/>
      <c r="AU95" s="105"/>
      <c r="AV95" s="105"/>
      <c r="AW95" s="105" t="e">
        <f t="shared" si="51"/>
        <v>#N/A</v>
      </c>
      <c r="AX95" s="403"/>
    </row>
    <row r="96" spans="2:50">
      <c r="B96" s="398"/>
      <c r="C96" s="105">
        <v>10</v>
      </c>
      <c r="D96" s="228"/>
      <c r="E96" s="175"/>
      <c r="F96" s="105"/>
      <c r="G96" s="202"/>
      <c r="H96" s="385"/>
      <c r="I96" s="175"/>
      <c r="J96" s="175"/>
      <c r="K96" s="202"/>
      <c r="L96" s="385"/>
      <c r="M96" s="203" t="e">
        <f>RANK(K96, K$87:$K$101)</f>
        <v>#N/A</v>
      </c>
      <c r="N96" s="387"/>
      <c r="O96" s="387"/>
      <c r="P96" s="105"/>
      <c r="Q96" s="105"/>
      <c r="R96" s="105"/>
      <c r="S96" s="105" t="e">
        <f t="shared" si="45"/>
        <v>#N/A</v>
      </c>
      <c r="T96" s="403"/>
      <c r="U96" s="105"/>
      <c r="V96" s="105"/>
      <c r="W96" s="105"/>
      <c r="X96" s="105" t="e">
        <f t="shared" si="46"/>
        <v>#N/A</v>
      </c>
      <c r="Y96" s="403"/>
      <c r="Z96" s="105"/>
      <c r="AA96" s="105"/>
      <c r="AB96" s="105"/>
      <c r="AC96" s="105" t="e">
        <f t="shared" si="47"/>
        <v>#N/A</v>
      </c>
      <c r="AD96" s="403"/>
      <c r="AE96" s="105"/>
      <c r="AF96" s="105"/>
      <c r="AG96" s="105"/>
      <c r="AH96" s="105" t="e">
        <f t="shared" si="48"/>
        <v>#N/A</v>
      </c>
      <c r="AI96" s="403"/>
      <c r="AJ96" s="105"/>
      <c r="AK96" s="105"/>
      <c r="AL96" s="105"/>
      <c r="AM96" s="105" t="e">
        <f t="shared" si="49"/>
        <v>#N/A</v>
      </c>
      <c r="AN96" s="403"/>
      <c r="AO96" s="105"/>
      <c r="AP96" s="105"/>
      <c r="AQ96" s="105"/>
      <c r="AR96" s="105" t="e">
        <f t="shared" si="50"/>
        <v>#N/A</v>
      </c>
      <c r="AS96" s="403"/>
      <c r="AT96" s="105"/>
      <c r="AU96" s="105"/>
      <c r="AV96" s="105"/>
      <c r="AW96" s="105" t="e">
        <f t="shared" si="51"/>
        <v>#N/A</v>
      </c>
      <c r="AX96" s="403"/>
    </row>
    <row r="97" spans="2:50">
      <c r="B97" s="398"/>
      <c r="C97" s="105">
        <v>11</v>
      </c>
      <c r="D97" s="228"/>
      <c r="E97" s="175"/>
      <c r="F97" s="105"/>
      <c r="G97" s="202"/>
      <c r="H97" s="385"/>
      <c r="I97" s="175"/>
      <c r="J97" s="175"/>
      <c r="K97" s="202"/>
      <c r="L97" s="385"/>
      <c r="M97" s="203" t="e">
        <f>RANK(K97, K$87:$K$101)</f>
        <v>#N/A</v>
      </c>
      <c r="N97" s="387"/>
      <c r="O97" s="387"/>
      <c r="P97" s="105"/>
      <c r="Q97" s="105"/>
      <c r="R97" s="105"/>
      <c r="S97" s="105" t="e">
        <f t="shared" si="45"/>
        <v>#N/A</v>
      </c>
      <c r="T97" s="403"/>
      <c r="U97" s="105"/>
      <c r="V97" s="105"/>
      <c r="W97" s="105"/>
      <c r="X97" s="105" t="e">
        <f t="shared" si="46"/>
        <v>#N/A</v>
      </c>
      <c r="Y97" s="403"/>
      <c r="Z97" s="105"/>
      <c r="AA97" s="105"/>
      <c r="AB97" s="105"/>
      <c r="AC97" s="105" t="e">
        <f t="shared" si="47"/>
        <v>#N/A</v>
      </c>
      <c r="AD97" s="403"/>
      <c r="AE97" s="105"/>
      <c r="AF97" s="105"/>
      <c r="AG97" s="105"/>
      <c r="AH97" s="105" t="e">
        <f t="shared" si="48"/>
        <v>#N/A</v>
      </c>
      <c r="AI97" s="403"/>
      <c r="AJ97" s="105"/>
      <c r="AK97" s="105"/>
      <c r="AL97" s="105"/>
      <c r="AM97" s="105" t="e">
        <f t="shared" si="49"/>
        <v>#N/A</v>
      </c>
      <c r="AN97" s="403"/>
      <c r="AO97" s="105"/>
      <c r="AP97" s="105"/>
      <c r="AQ97" s="105"/>
      <c r="AR97" s="105" t="e">
        <f t="shared" si="50"/>
        <v>#N/A</v>
      </c>
      <c r="AS97" s="403"/>
      <c r="AT97" s="105"/>
      <c r="AU97" s="105"/>
      <c r="AV97" s="105"/>
      <c r="AW97" s="105" t="e">
        <f t="shared" si="51"/>
        <v>#N/A</v>
      </c>
      <c r="AX97" s="403"/>
    </row>
    <row r="98" spans="2:50">
      <c r="B98" s="398"/>
      <c r="C98" s="105">
        <v>12</v>
      </c>
      <c r="D98" s="228"/>
      <c r="E98" s="175"/>
      <c r="F98" s="105"/>
      <c r="G98" s="202"/>
      <c r="H98" s="385"/>
      <c r="I98" s="175"/>
      <c r="J98" s="175"/>
      <c r="K98" s="202"/>
      <c r="L98" s="385"/>
      <c r="M98" s="203" t="e">
        <f>RANK(K98, K$87:$K$101)</f>
        <v>#N/A</v>
      </c>
      <c r="N98" s="387"/>
      <c r="O98" s="387"/>
      <c r="P98" s="105"/>
      <c r="Q98" s="105"/>
      <c r="R98" s="105"/>
      <c r="S98" s="105" t="e">
        <f t="shared" si="45"/>
        <v>#N/A</v>
      </c>
      <c r="T98" s="403"/>
      <c r="U98" s="105"/>
      <c r="V98" s="105"/>
      <c r="W98" s="105"/>
      <c r="X98" s="105" t="e">
        <f t="shared" si="46"/>
        <v>#N/A</v>
      </c>
      <c r="Y98" s="403"/>
      <c r="Z98" s="105"/>
      <c r="AA98" s="105"/>
      <c r="AB98" s="105"/>
      <c r="AC98" s="105" t="e">
        <f t="shared" si="47"/>
        <v>#N/A</v>
      </c>
      <c r="AD98" s="403"/>
      <c r="AE98" s="105"/>
      <c r="AF98" s="105"/>
      <c r="AG98" s="105"/>
      <c r="AH98" s="105" t="e">
        <f t="shared" si="48"/>
        <v>#N/A</v>
      </c>
      <c r="AI98" s="403"/>
      <c r="AJ98" s="105"/>
      <c r="AK98" s="105"/>
      <c r="AL98" s="105"/>
      <c r="AM98" s="105" t="e">
        <f t="shared" si="49"/>
        <v>#N/A</v>
      </c>
      <c r="AN98" s="403"/>
      <c r="AO98" s="105"/>
      <c r="AP98" s="105"/>
      <c r="AQ98" s="105"/>
      <c r="AR98" s="105" t="e">
        <f t="shared" si="50"/>
        <v>#N/A</v>
      </c>
      <c r="AS98" s="403"/>
      <c r="AT98" s="105"/>
      <c r="AU98" s="105"/>
      <c r="AV98" s="105"/>
      <c r="AW98" s="105" t="e">
        <f t="shared" si="51"/>
        <v>#N/A</v>
      </c>
      <c r="AX98" s="403"/>
    </row>
    <row r="99" spans="2:50">
      <c r="B99" s="398"/>
      <c r="C99" s="105">
        <v>13</v>
      </c>
      <c r="D99" s="228"/>
      <c r="E99" s="175"/>
      <c r="F99" s="105"/>
      <c r="G99" s="202"/>
      <c r="H99" s="385"/>
      <c r="I99" s="175"/>
      <c r="J99" s="175"/>
      <c r="K99" s="202"/>
      <c r="L99" s="385"/>
      <c r="M99" s="203" t="e">
        <f>RANK(K99, K$87:$K$101)</f>
        <v>#N/A</v>
      </c>
      <c r="N99" s="387"/>
      <c r="O99" s="387"/>
      <c r="P99" s="105"/>
      <c r="Q99" s="105"/>
      <c r="R99" s="105"/>
      <c r="S99" s="105" t="e">
        <f t="shared" si="45"/>
        <v>#N/A</v>
      </c>
      <c r="T99" s="403"/>
      <c r="U99" s="105"/>
      <c r="V99" s="105"/>
      <c r="W99" s="105"/>
      <c r="X99" s="105" t="e">
        <f t="shared" si="46"/>
        <v>#N/A</v>
      </c>
      <c r="Y99" s="403"/>
      <c r="Z99" s="105"/>
      <c r="AA99" s="105"/>
      <c r="AB99" s="105"/>
      <c r="AC99" s="105" t="e">
        <f t="shared" si="47"/>
        <v>#N/A</v>
      </c>
      <c r="AD99" s="403"/>
      <c r="AE99" s="105"/>
      <c r="AF99" s="105"/>
      <c r="AG99" s="105"/>
      <c r="AH99" s="105" t="e">
        <f t="shared" si="48"/>
        <v>#N/A</v>
      </c>
      <c r="AI99" s="403"/>
      <c r="AJ99" s="105"/>
      <c r="AK99" s="105"/>
      <c r="AL99" s="105"/>
      <c r="AM99" s="105" t="e">
        <f t="shared" si="49"/>
        <v>#N/A</v>
      </c>
      <c r="AN99" s="403"/>
      <c r="AO99" s="105"/>
      <c r="AP99" s="105"/>
      <c r="AQ99" s="105"/>
      <c r="AR99" s="105" t="e">
        <f t="shared" si="50"/>
        <v>#N/A</v>
      </c>
      <c r="AS99" s="403"/>
      <c r="AT99" s="105"/>
      <c r="AU99" s="105"/>
      <c r="AV99" s="105"/>
      <c r="AW99" s="105" t="e">
        <f t="shared" si="51"/>
        <v>#N/A</v>
      </c>
      <c r="AX99" s="403"/>
    </row>
    <row r="100" spans="2:50">
      <c r="B100" s="398"/>
      <c r="C100" s="105">
        <v>14</v>
      </c>
      <c r="D100" s="228"/>
      <c r="E100" s="175"/>
      <c r="F100" s="105"/>
      <c r="G100" s="202"/>
      <c r="H100" s="385"/>
      <c r="I100" s="175"/>
      <c r="J100" s="175"/>
      <c r="K100" s="202"/>
      <c r="L100" s="385"/>
      <c r="M100" s="203" t="e">
        <f>RANK(K100, K$87:$K$101)</f>
        <v>#N/A</v>
      </c>
      <c r="N100" s="387"/>
      <c r="O100" s="387"/>
      <c r="P100" s="105"/>
      <c r="Q100" s="105"/>
      <c r="R100" s="105"/>
      <c r="S100" s="105" t="e">
        <f t="shared" si="45"/>
        <v>#N/A</v>
      </c>
      <c r="T100" s="403"/>
      <c r="U100" s="105"/>
      <c r="V100" s="105"/>
      <c r="W100" s="105"/>
      <c r="X100" s="105" t="e">
        <f t="shared" si="46"/>
        <v>#N/A</v>
      </c>
      <c r="Y100" s="403"/>
      <c r="Z100" s="105"/>
      <c r="AA100" s="105"/>
      <c r="AB100" s="105"/>
      <c r="AC100" s="105" t="e">
        <f t="shared" si="47"/>
        <v>#N/A</v>
      </c>
      <c r="AD100" s="403"/>
      <c r="AE100" s="105"/>
      <c r="AF100" s="105"/>
      <c r="AG100" s="105"/>
      <c r="AH100" s="105" t="e">
        <f t="shared" si="48"/>
        <v>#N/A</v>
      </c>
      <c r="AI100" s="403"/>
      <c r="AJ100" s="105"/>
      <c r="AK100" s="105"/>
      <c r="AL100" s="105"/>
      <c r="AM100" s="105" t="e">
        <f t="shared" si="49"/>
        <v>#N/A</v>
      </c>
      <c r="AN100" s="403"/>
      <c r="AO100" s="105"/>
      <c r="AP100" s="105"/>
      <c r="AQ100" s="105"/>
      <c r="AR100" s="105" t="e">
        <f t="shared" si="50"/>
        <v>#N/A</v>
      </c>
      <c r="AS100" s="403"/>
      <c r="AT100" s="105"/>
      <c r="AU100" s="105"/>
      <c r="AV100" s="105"/>
      <c r="AW100" s="105" t="e">
        <f t="shared" si="51"/>
        <v>#N/A</v>
      </c>
      <c r="AX100" s="403"/>
    </row>
    <row r="101" spans="2:50">
      <c r="B101" s="398"/>
      <c r="C101" s="105">
        <v>15</v>
      </c>
      <c r="D101" s="228"/>
      <c r="E101" s="175"/>
      <c r="F101" s="105"/>
      <c r="G101" s="202"/>
      <c r="H101" s="386"/>
      <c r="I101" s="175"/>
      <c r="J101" s="175"/>
      <c r="K101" s="202"/>
      <c r="L101" s="386"/>
      <c r="M101" s="175" t="e">
        <f>RANK(K101, K$87:$K$101)</f>
        <v>#N/A</v>
      </c>
      <c r="N101" s="387"/>
      <c r="O101" s="387"/>
      <c r="P101" s="105"/>
      <c r="Q101" s="105"/>
      <c r="R101" s="105"/>
      <c r="S101" s="105" t="e">
        <f t="shared" si="45"/>
        <v>#N/A</v>
      </c>
      <c r="T101" s="404"/>
      <c r="U101" s="105"/>
      <c r="V101" s="105"/>
      <c r="W101" s="105"/>
      <c r="X101" s="105" t="e">
        <f t="shared" si="46"/>
        <v>#N/A</v>
      </c>
      <c r="Y101" s="404"/>
      <c r="Z101" s="105"/>
      <c r="AA101" s="105"/>
      <c r="AB101" s="105"/>
      <c r="AC101" s="105" t="e">
        <f t="shared" si="47"/>
        <v>#N/A</v>
      </c>
      <c r="AD101" s="404"/>
      <c r="AE101" s="105"/>
      <c r="AF101" s="105"/>
      <c r="AG101" s="105"/>
      <c r="AH101" s="105" t="e">
        <f t="shared" si="48"/>
        <v>#N/A</v>
      </c>
      <c r="AI101" s="404"/>
      <c r="AJ101" s="105"/>
      <c r="AK101" s="105"/>
      <c r="AL101" s="105"/>
      <c r="AM101" s="105" t="e">
        <f t="shared" si="49"/>
        <v>#N/A</v>
      </c>
      <c r="AN101" s="404"/>
      <c r="AO101" s="105"/>
      <c r="AP101" s="105"/>
      <c r="AQ101" s="105"/>
      <c r="AR101" s="105" t="e">
        <f t="shared" si="50"/>
        <v>#N/A</v>
      </c>
      <c r="AS101" s="404"/>
      <c r="AT101" s="105"/>
      <c r="AU101" s="105"/>
      <c r="AV101" s="105"/>
      <c r="AW101" s="105" t="e">
        <f t="shared" si="51"/>
        <v>#N/A</v>
      </c>
      <c r="AX101" s="404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sqref="A1:L2"/>
    </sheetView>
  </sheetViews>
  <sheetFormatPr defaultColWidth="12.5703125" defaultRowHeight="15.75" customHeight="1"/>
  <cols>
    <col min="1" max="1" width="6.42578125" style="117" customWidth="1"/>
    <col min="2" max="10" width="11.5703125" style="117" customWidth="1"/>
    <col min="11" max="12" width="12.85546875" style="117" customWidth="1"/>
    <col min="13" max="13" width="12.5703125" style="118"/>
    <col min="14" max="16384" width="12.5703125" style="117"/>
  </cols>
  <sheetData>
    <row r="1" spans="1:13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117"/>
    </row>
    <row r="2" spans="1:13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3" ht="15.75" customHeight="1">
      <c r="A3" s="434" t="s">
        <v>328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117"/>
    </row>
    <row r="4" spans="1:13" s="118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1:13" s="124" customFormat="1" ht="16.350000000000001" customHeight="1">
      <c r="A5" s="419" t="s">
        <v>197</v>
      </c>
      <c r="B5" s="156">
        <v>1</v>
      </c>
      <c r="C5" s="156">
        <v>2</v>
      </c>
      <c r="D5" s="148">
        <v>3</v>
      </c>
      <c r="E5" s="148">
        <v>4</v>
      </c>
      <c r="F5" s="148">
        <v>5</v>
      </c>
      <c r="G5" s="148">
        <v>6</v>
      </c>
      <c r="H5" s="148">
        <v>7</v>
      </c>
      <c r="I5" s="148">
        <v>8</v>
      </c>
      <c r="J5" s="148">
        <v>9</v>
      </c>
      <c r="K5" s="146"/>
      <c r="L5" s="146"/>
      <c r="M5" s="146"/>
    </row>
    <row r="6" spans="1:13" ht="16.350000000000001" customHeight="1">
      <c r="A6" s="419"/>
      <c r="B6" s="157" t="s">
        <v>329</v>
      </c>
      <c r="C6" s="157" t="s">
        <v>330</v>
      </c>
      <c r="D6" s="149" t="s">
        <v>331</v>
      </c>
      <c r="E6" s="149" t="s">
        <v>332</v>
      </c>
      <c r="F6" s="135" t="s">
        <v>333</v>
      </c>
      <c r="G6" s="150" t="s">
        <v>334</v>
      </c>
      <c r="H6" s="151" t="s">
        <v>335</v>
      </c>
      <c r="I6" s="150" t="s">
        <v>336</v>
      </c>
      <c r="J6" s="150" t="s">
        <v>337</v>
      </c>
      <c r="K6" s="147"/>
      <c r="L6" s="147"/>
    </row>
    <row r="7" spans="1:13" s="124" customFormat="1" ht="15.75" customHeight="1">
      <c r="A7" s="420" t="s">
        <v>131</v>
      </c>
      <c r="B7" s="420"/>
      <c r="C7" s="153" t="s">
        <v>52</v>
      </c>
      <c r="D7" s="420" t="s">
        <v>53</v>
      </c>
      <c r="E7" s="432"/>
      <c r="F7" s="432"/>
      <c r="G7" s="153" t="s">
        <v>54</v>
      </c>
      <c r="H7" s="153" t="s">
        <v>338</v>
      </c>
      <c r="I7" s="153" t="s">
        <v>339</v>
      </c>
      <c r="J7" s="220" t="s">
        <v>340</v>
      </c>
      <c r="K7" s="420" t="s">
        <v>58</v>
      </c>
      <c r="L7" s="432"/>
      <c r="M7" s="146"/>
    </row>
    <row r="8" spans="1:13" ht="15.75" customHeight="1">
      <c r="A8" s="419">
        <v>1</v>
      </c>
      <c r="B8" s="420" t="s">
        <v>210</v>
      </c>
      <c r="C8" s="125">
        <v>1</v>
      </c>
      <c r="D8" s="416" t="s">
        <v>215</v>
      </c>
      <c r="E8" s="417"/>
      <c r="F8" s="418"/>
      <c r="G8" s="148">
        <v>3</v>
      </c>
      <c r="H8" s="240">
        <v>2853.8095238095211</v>
      </c>
      <c r="I8" s="240">
        <v>951.26984126984019</v>
      </c>
      <c r="J8" s="241" t="s">
        <v>341</v>
      </c>
      <c r="K8" s="433"/>
      <c r="L8" s="422"/>
    </row>
    <row r="9" spans="1:13" ht="15.75" customHeight="1">
      <c r="A9" s="419"/>
      <c r="B9" s="420"/>
      <c r="C9" s="125">
        <v>2</v>
      </c>
      <c r="D9" s="416" t="s">
        <v>212</v>
      </c>
      <c r="E9" s="417"/>
      <c r="F9" s="418"/>
      <c r="G9" s="148">
        <v>3</v>
      </c>
      <c r="H9" s="240">
        <v>2691</v>
      </c>
      <c r="I9" s="240">
        <v>897.00000000000011</v>
      </c>
      <c r="J9" s="241" t="s">
        <v>341</v>
      </c>
      <c r="K9" s="421"/>
      <c r="L9" s="422"/>
    </row>
    <row r="10" spans="1:13" ht="15.75" customHeight="1">
      <c r="A10" s="419"/>
      <c r="B10" s="420"/>
      <c r="C10" s="125">
        <v>3</v>
      </c>
      <c r="D10" s="416" t="s">
        <v>232</v>
      </c>
      <c r="E10" s="417"/>
      <c r="F10" s="418"/>
      <c r="G10" s="148">
        <v>3</v>
      </c>
      <c r="H10" s="240">
        <v>2684.1348957222726</v>
      </c>
      <c r="I10" s="240">
        <v>894.71163190742425</v>
      </c>
      <c r="J10" s="241" t="s">
        <v>341</v>
      </c>
      <c r="K10" s="424"/>
      <c r="L10" s="425"/>
    </row>
    <row r="11" spans="1:13" ht="15.75" customHeight="1">
      <c r="A11" s="419"/>
      <c r="B11" s="420"/>
      <c r="C11" s="125">
        <v>4</v>
      </c>
      <c r="D11" s="416" t="s">
        <v>223</v>
      </c>
      <c r="E11" s="417"/>
      <c r="F11" s="418"/>
      <c r="G11" s="148">
        <v>3</v>
      </c>
      <c r="H11" s="240">
        <v>2591.7765151515177</v>
      </c>
      <c r="I11" s="240">
        <v>863.9255050505061</v>
      </c>
      <c r="J11" s="246" t="s">
        <v>342</v>
      </c>
      <c r="K11" s="421" t="s">
        <v>343</v>
      </c>
      <c r="L11" s="422"/>
    </row>
    <row r="12" spans="1:13" ht="15.75" customHeight="1">
      <c r="A12" s="419"/>
      <c r="B12" s="420"/>
      <c r="C12" s="125">
        <v>5</v>
      </c>
      <c r="D12" s="416" t="s">
        <v>219</v>
      </c>
      <c r="E12" s="417"/>
      <c r="F12" s="418"/>
      <c r="G12" s="148">
        <v>3</v>
      </c>
      <c r="H12" s="240">
        <v>2489.0663780663781</v>
      </c>
      <c r="I12" s="240">
        <v>829.68879268879266</v>
      </c>
      <c r="J12" s="241" t="s">
        <v>341</v>
      </c>
      <c r="K12" s="423"/>
      <c r="L12" s="422"/>
    </row>
    <row r="13" spans="1:13" ht="15.75" customHeight="1">
      <c r="A13" s="419"/>
      <c r="B13" s="420"/>
      <c r="C13" s="155" t="s">
        <v>344</v>
      </c>
      <c r="D13" s="416" t="s">
        <v>211</v>
      </c>
      <c r="E13" s="417"/>
      <c r="F13" s="418"/>
      <c r="G13" s="148">
        <v>4</v>
      </c>
      <c r="H13" s="240">
        <v>2001.2715190383726</v>
      </c>
      <c r="I13" s="240">
        <v>500.31787975959315</v>
      </c>
      <c r="J13" s="241" t="s">
        <v>341</v>
      </c>
      <c r="K13" s="433"/>
      <c r="L13" s="422"/>
    </row>
    <row r="14" spans="1:13" ht="15.75" customHeight="1">
      <c r="A14" s="419"/>
      <c r="B14" s="420"/>
      <c r="C14" s="155" t="s">
        <v>345</v>
      </c>
      <c r="D14" s="416" t="s">
        <v>228</v>
      </c>
      <c r="E14" s="417"/>
      <c r="F14" s="418"/>
      <c r="G14" s="148">
        <v>4</v>
      </c>
      <c r="H14" s="240">
        <v>2070.8872352285357</v>
      </c>
      <c r="I14" s="240">
        <v>517.72180880713393</v>
      </c>
      <c r="J14" s="241" t="s">
        <v>341</v>
      </c>
      <c r="L14" s="295"/>
    </row>
    <row r="15" spans="1:13" ht="15.75" customHeight="1">
      <c r="A15" s="419"/>
      <c r="B15" s="420"/>
      <c r="C15" s="155" t="s">
        <v>346</v>
      </c>
      <c r="D15" s="416" t="s">
        <v>218</v>
      </c>
      <c r="E15" s="417"/>
      <c r="F15" s="418"/>
      <c r="G15" s="148">
        <v>4</v>
      </c>
      <c r="H15" s="240">
        <v>2430.8263305322093</v>
      </c>
      <c r="I15" s="240">
        <v>607.70658263305234</v>
      </c>
      <c r="J15" s="241" t="s">
        <v>341</v>
      </c>
      <c r="K15" s="426" t="s">
        <v>347</v>
      </c>
      <c r="L15" s="427"/>
    </row>
    <row r="16" spans="1:13" ht="15.75" customHeight="1">
      <c r="A16" s="419"/>
      <c r="B16" s="420"/>
      <c r="C16" s="155" t="s">
        <v>348</v>
      </c>
      <c r="D16" s="416" t="s">
        <v>231</v>
      </c>
      <c r="E16" s="417"/>
      <c r="F16" s="418"/>
      <c r="G16" s="148">
        <v>4</v>
      </c>
      <c r="H16" s="240">
        <v>2476.5827888044873</v>
      </c>
      <c r="I16" s="240">
        <v>619.14569720112183</v>
      </c>
      <c r="J16" s="241" t="s">
        <v>341</v>
      </c>
      <c r="K16" s="428"/>
      <c r="L16" s="429"/>
      <c r="M16" s="117"/>
    </row>
    <row r="17" spans="1:13" ht="15.75" customHeight="1">
      <c r="A17" s="419"/>
      <c r="B17" s="420"/>
      <c r="C17" s="155" t="s">
        <v>349</v>
      </c>
      <c r="D17" s="416" t="s">
        <v>222</v>
      </c>
      <c r="E17" s="417"/>
      <c r="F17" s="418"/>
      <c r="G17" s="148">
        <v>4</v>
      </c>
      <c r="H17" s="240">
        <v>2477.279310344828</v>
      </c>
      <c r="I17" s="240">
        <v>619.319827586207</v>
      </c>
      <c r="J17" s="241" t="s">
        <v>341</v>
      </c>
      <c r="K17" s="430"/>
      <c r="L17" s="431"/>
      <c r="M17" s="117"/>
    </row>
    <row r="18" spans="1:13" s="122" customFormat="1" ht="15.75" customHeight="1">
      <c r="A18" s="414" t="s">
        <v>131</v>
      </c>
      <c r="B18" s="414"/>
      <c r="C18" s="289" t="s">
        <v>52</v>
      </c>
      <c r="D18" s="414" t="s">
        <v>53</v>
      </c>
      <c r="E18" s="415"/>
      <c r="F18" s="415"/>
      <c r="G18" s="289" t="s">
        <v>54</v>
      </c>
      <c r="H18" s="289" t="s">
        <v>338</v>
      </c>
      <c r="I18" s="289" t="s">
        <v>339</v>
      </c>
      <c r="J18" s="220" t="s">
        <v>340</v>
      </c>
      <c r="K18" s="414" t="s">
        <v>58</v>
      </c>
      <c r="L18" s="415"/>
      <c r="M18" s="147"/>
    </row>
    <row r="19" spans="1:13" ht="15.75" customHeight="1">
      <c r="A19" s="419">
        <v>2</v>
      </c>
      <c r="B19" s="420" t="s">
        <v>330</v>
      </c>
      <c r="C19" s="125">
        <v>1</v>
      </c>
      <c r="D19" s="416" t="s">
        <v>241</v>
      </c>
      <c r="E19" s="417"/>
      <c r="F19" s="418"/>
      <c r="G19" s="148">
        <v>5</v>
      </c>
      <c r="H19" s="240">
        <v>1518.4610389610389</v>
      </c>
      <c r="I19" s="240">
        <v>303.69220779220774</v>
      </c>
      <c r="J19" s="246" t="s">
        <v>342</v>
      </c>
      <c r="K19" s="426" t="s">
        <v>350</v>
      </c>
      <c r="L19" s="427"/>
      <c r="M19" s="117"/>
    </row>
    <row r="20" spans="1:13" ht="15.75" customHeight="1">
      <c r="A20" s="419"/>
      <c r="B20" s="420"/>
      <c r="C20" s="125">
        <v>2</v>
      </c>
      <c r="D20" s="416" t="s">
        <v>240</v>
      </c>
      <c r="E20" s="417"/>
      <c r="F20" s="418"/>
      <c r="G20" s="148">
        <v>5</v>
      </c>
      <c r="H20" s="240">
        <v>1475.0839490968808</v>
      </c>
      <c r="I20" s="240">
        <v>295.01678981937613</v>
      </c>
      <c r="J20" s="243" t="s">
        <v>351</v>
      </c>
      <c r="K20" s="428"/>
      <c r="L20" s="429"/>
      <c r="M20" s="117"/>
    </row>
    <row r="21" spans="1:13" ht="15.75" customHeight="1">
      <c r="A21" s="419"/>
      <c r="B21" s="420"/>
      <c r="C21" s="125">
        <v>3</v>
      </c>
      <c r="D21" s="416" t="s">
        <v>239</v>
      </c>
      <c r="E21" s="417"/>
      <c r="F21" s="418"/>
      <c r="G21" s="148">
        <v>5</v>
      </c>
      <c r="H21" s="240">
        <v>1467.6782296650711</v>
      </c>
      <c r="I21" s="240">
        <v>293.53564593301422</v>
      </c>
      <c r="J21" s="243" t="s">
        <v>351</v>
      </c>
      <c r="K21" s="430"/>
      <c r="L21" s="431"/>
      <c r="M21" s="117"/>
    </row>
    <row r="22" spans="1:13" ht="15.75" customHeight="1">
      <c r="A22" s="419"/>
      <c r="B22" s="420"/>
      <c r="C22" s="125">
        <v>4</v>
      </c>
      <c r="D22" s="416" t="s">
        <v>238</v>
      </c>
      <c r="E22" s="417"/>
      <c r="F22" s="418"/>
      <c r="G22" s="148">
        <v>12</v>
      </c>
      <c r="H22" s="240">
        <v>1804.3333333333328</v>
      </c>
      <c r="I22" s="240">
        <v>150.36111111111106</v>
      </c>
      <c r="J22" s="241" t="s">
        <v>341</v>
      </c>
      <c r="K22" s="421"/>
      <c r="L22" s="422"/>
      <c r="M22" s="117"/>
    </row>
    <row r="23" spans="1:13" ht="15.75" customHeight="1">
      <c r="A23" s="419"/>
      <c r="B23" s="420"/>
      <c r="C23" s="125">
        <v>5</v>
      </c>
      <c r="D23" s="416" t="s">
        <v>242</v>
      </c>
      <c r="E23" s="417"/>
      <c r="F23" s="418"/>
      <c r="G23" s="240">
        <v>10</v>
      </c>
      <c r="H23" s="240">
        <v>1495.9460539460545</v>
      </c>
      <c r="I23" s="240">
        <v>149.59460539460545</v>
      </c>
      <c r="J23" s="246" t="s">
        <v>342</v>
      </c>
      <c r="K23" s="423" t="s">
        <v>352</v>
      </c>
      <c r="L23" s="422"/>
      <c r="M23" s="117"/>
    </row>
    <row r="24" spans="1:13" ht="15.75" customHeight="1">
      <c r="A24" s="419"/>
      <c r="B24" s="420"/>
      <c r="C24" s="155" t="s">
        <v>344</v>
      </c>
      <c r="D24" s="416" t="s">
        <v>235</v>
      </c>
      <c r="E24" s="417"/>
      <c r="F24" s="418"/>
      <c r="G24" s="240">
        <v>13</v>
      </c>
      <c r="H24" s="240">
        <v>1180.9333333333345</v>
      </c>
      <c r="I24" s="240">
        <v>90.841025641025723</v>
      </c>
      <c r="J24" s="241" t="s">
        <v>341</v>
      </c>
      <c r="K24" s="421"/>
      <c r="L24" s="422"/>
      <c r="M24" s="117"/>
    </row>
    <row r="25" spans="1:13" ht="15.75" customHeight="1">
      <c r="A25" s="419"/>
      <c r="B25" s="420"/>
      <c r="C25" s="155" t="s">
        <v>345</v>
      </c>
      <c r="D25" s="416" t="s">
        <v>237</v>
      </c>
      <c r="E25" s="417"/>
      <c r="F25" s="418"/>
      <c r="G25" s="240">
        <v>12</v>
      </c>
      <c r="H25" s="240">
        <v>1768.9999999999989</v>
      </c>
      <c r="I25" s="240">
        <v>147.41666666666654</v>
      </c>
      <c r="J25" s="241" t="s">
        <v>341</v>
      </c>
      <c r="K25" s="421"/>
      <c r="L25" s="422"/>
      <c r="M25" s="117"/>
    </row>
    <row r="26" spans="1:13" ht="15.75" customHeight="1">
      <c r="A26" s="419"/>
      <c r="B26" s="420"/>
      <c r="C26" s="155" t="s">
        <v>346</v>
      </c>
      <c r="D26" s="416" t="s">
        <v>236</v>
      </c>
      <c r="E26" s="417"/>
      <c r="F26" s="418"/>
      <c r="G26" s="240">
        <v>10</v>
      </c>
      <c r="H26" s="240">
        <v>1487.6984126984119</v>
      </c>
      <c r="I26" s="240">
        <v>148.76984126984121</v>
      </c>
      <c r="J26" s="243" t="s">
        <v>351</v>
      </c>
      <c r="K26" s="423" t="s">
        <v>353</v>
      </c>
      <c r="L26" s="422"/>
      <c r="M26" s="117"/>
    </row>
    <row r="27" spans="1:13" ht="15.75" customHeight="1">
      <c r="A27" s="419"/>
      <c r="B27" s="420"/>
      <c r="C27" s="155" t="s">
        <v>348</v>
      </c>
      <c r="D27" s="416"/>
      <c r="E27" s="417"/>
      <c r="F27" s="418"/>
      <c r="G27" s="148"/>
      <c r="H27" s="240"/>
      <c r="I27" s="240"/>
      <c r="J27" s="126"/>
      <c r="K27" s="421"/>
      <c r="L27" s="422"/>
      <c r="M27" s="117"/>
    </row>
    <row r="28" spans="1:13" ht="15.75" customHeight="1">
      <c r="A28" s="419"/>
      <c r="B28" s="420"/>
      <c r="C28" s="155" t="s">
        <v>349</v>
      </c>
      <c r="D28" s="416"/>
      <c r="E28" s="417"/>
      <c r="F28" s="418"/>
      <c r="G28" s="148"/>
      <c r="H28" s="240"/>
      <c r="I28" s="240"/>
      <c r="J28" s="126"/>
      <c r="K28" s="421"/>
      <c r="L28" s="422"/>
      <c r="M28" s="117"/>
    </row>
  </sheetData>
  <mergeCells count="48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A3:L4"/>
    <mergeCell ref="K25:L25"/>
    <mergeCell ref="D15:F15"/>
    <mergeCell ref="D24:F24"/>
    <mergeCell ref="K24:L24"/>
    <mergeCell ref="D16:F16"/>
    <mergeCell ref="D17:F17"/>
    <mergeCell ref="K22:L22"/>
    <mergeCell ref="D23:F23"/>
    <mergeCell ref="K23:L23"/>
    <mergeCell ref="K15:L17"/>
    <mergeCell ref="K19:L21"/>
    <mergeCell ref="K9:L9"/>
    <mergeCell ref="D10:F10"/>
    <mergeCell ref="K10:L10"/>
    <mergeCell ref="D11:F11"/>
    <mergeCell ref="K11:L11"/>
    <mergeCell ref="A18:B18"/>
    <mergeCell ref="D18:F18"/>
    <mergeCell ref="K18:L18"/>
    <mergeCell ref="D21:F21"/>
    <mergeCell ref="A19:A28"/>
    <mergeCell ref="B19:B28"/>
    <mergeCell ref="D19:F19"/>
    <mergeCell ref="D20:F20"/>
    <mergeCell ref="D22:F22"/>
    <mergeCell ref="D28:F28"/>
    <mergeCell ref="K28:L28"/>
    <mergeCell ref="D27:F27"/>
    <mergeCell ref="K27:L27"/>
    <mergeCell ref="D26:F26"/>
    <mergeCell ref="K26:L26"/>
    <mergeCell ref="D25:F25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sqref="A1:L2"/>
    </sheetView>
  </sheetViews>
  <sheetFormatPr defaultColWidth="12.5703125" defaultRowHeight="15.75" customHeight="1"/>
  <cols>
    <col min="1" max="1" width="6.42578125" style="117" customWidth="1"/>
    <col min="2" max="10" width="11.5703125" style="117" customWidth="1"/>
    <col min="11" max="12" width="12.85546875" style="117" customWidth="1"/>
    <col min="13" max="13" width="12.5703125" style="118"/>
    <col min="14" max="16384" width="12.5703125" style="117"/>
  </cols>
  <sheetData>
    <row r="1" spans="1:13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117"/>
    </row>
    <row r="2" spans="1:13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3" ht="15.75" customHeight="1">
      <c r="A3" s="434" t="s">
        <v>328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117"/>
    </row>
    <row r="4" spans="1:13" s="118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1:13" s="124" customFormat="1" ht="16.350000000000001" customHeight="1">
      <c r="A5" s="419" t="s">
        <v>197</v>
      </c>
      <c r="B5" s="148">
        <v>1</v>
      </c>
      <c r="C5" s="148">
        <v>2</v>
      </c>
      <c r="D5" s="156">
        <v>3</v>
      </c>
      <c r="E5" s="156">
        <v>4</v>
      </c>
      <c r="F5" s="148">
        <v>5</v>
      </c>
      <c r="G5" s="148">
        <v>6</v>
      </c>
      <c r="H5" s="148">
        <v>7</v>
      </c>
      <c r="I5" s="148">
        <v>8</v>
      </c>
      <c r="J5" s="148">
        <v>9</v>
      </c>
      <c r="K5" s="146"/>
      <c r="L5" s="146"/>
      <c r="M5" s="146"/>
    </row>
    <row r="6" spans="1:13" ht="16.350000000000001" customHeight="1">
      <c r="A6" s="419"/>
      <c r="B6" s="149" t="s">
        <v>329</v>
      </c>
      <c r="C6" s="149" t="s">
        <v>330</v>
      </c>
      <c r="D6" s="157" t="s">
        <v>331</v>
      </c>
      <c r="E6" s="157" t="s">
        <v>332</v>
      </c>
      <c r="F6" s="135" t="s">
        <v>333</v>
      </c>
      <c r="G6" s="150" t="s">
        <v>334</v>
      </c>
      <c r="H6" s="151" t="s">
        <v>335</v>
      </c>
      <c r="I6" s="150" t="s">
        <v>336</v>
      </c>
      <c r="J6" s="150" t="s">
        <v>337</v>
      </c>
      <c r="K6" s="147"/>
      <c r="L6" s="147"/>
    </row>
    <row r="7" spans="1:13" s="124" customFormat="1" ht="15.75" customHeight="1">
      <c r="A7" s="420" t="s">
        <v>131</v>
      </c>
      <c r="B7" s="420"/>
      <c r="C7" s="153" t="s">
        <v>52</v>
      </c>
      <c r="D7" s="420" t="s">
        <v>53</v>
      </c>
      <c r="E7" s="432"/>
      <c r="F7" s="432"/>
      <c r="G7" s="153" t="s">
        <v>54</v>
      </c>
      <c r="H7" s="153" t="s">
        <v>338</v>
      </c>
      <c r="I7" s="153" t="s">
        <v>339</v>
      </c>
      <c r="J7" s="220" t="s">
        <v>340</v>
      </c>
      <c r="K7" s="420" t="s">
        <v>58</v>
      </c>
      <c r="L7" s="432"/>
      <c r="M7" s="146"/>
    </row>
    <row r="8" spans="1:13" ht="15.75" customHeight="1">
      <c r="A8" s="419">
        <v>3</v>
      </c>
      <c r="B8" s="420" t="s">
        <v>354</v>
      </c>
      <c r="C8" s="125">
        <v>1</v>
      </c>
      <c r="D8" s="416" t="s">
        <v>355</v>
      </c>
      <c r="E8" s="417"/>
      <c r="F8" s="418"/>
      <c r="G8" s="240">
        <v>4.166666666666667</v>
      </c>
      <c r="H8" s="240">
        <v>1858.3725490196057</v>
      </c>
      <c r="I8" s="240">
        <v>449.45424836601251</v>
      </c>
      <c r="J8" s="242" t="s">
        <v>356</v>
      </c>
      <c r="K8" s="437" t="s">
        <v>357</v>
      </c>
      <c r="L8" s="438"/>
    </row>
    <row r="9" spans="1:13" ht="15.75" customHeight="1">
      <c r="A9" s="419"/>
      <c r="B9" s="420"/>
      <c r="C9" s="125">
        <v>2</v>
      </c>
      <c r="D9" s="416" t="s">
        <v>358</v>
      </c>
      <c r="E9" s="417"/>
      <c r="F9" s="418"/>
      <c r="G9" s="240">
        <v>4.166666666666667</v>
      </c>
      <c r="H9" s="240">
        <v>1852.7573529411738</v>
      </c>
      <c r="I9" s="240">
        <v>447.84558823529346</v>
      </c>
      <c r="J9" s="243" t="s">
        <v>351</v>
      </c>
      <c r="K9" s="439"/>
      <c r="L9" s="440"/>
    </row>
    <row r="10" spans="1:13" ht="15.75" customHeight="1">
      <c r="A10" s="419"/>
      <c r="B10" s="420"/>
      <c r="C10" s="125">
        <v>3</v>
      </c>
      <c r="D10" s="416" t="s">
        <v>359</v>
      </c>
      <c r="E10" s="417"/>
      <c r="F10" s="418"/>
      <c r="G10" s="240">
        <v>5</v>
      </c>
      <c r="H10" s="240">
        <v>2221.8266012155218</v>
      </c>
      <c r="I10" s="240">
        <v>444.36532024310441</v>
      </c>
      <c r="J10" s="243" t="s">
        <v>351</v>
      </c>
      <c r="K10" s="441"/>
      <c r="L10" s="442"/>
    </row>
    <row r="11" spans="1:13" ht="15.75" customHeight="1">
      <c r="A11" s="419"/>
      <c r="B11" s="420"/>
      <c r="C11" s="125">
        <v>4</v>
      </c>
      <c r="D11" s="416" t="s">
        <v>360</v>
      </c>
      <c r="E11" s="417"/>
      <c r="F11" s="418"/>
      <c r="G11" s="240">
        <v>9</v>
      </c>
      <c r="H11" s="240">
        <v>1986.0481143472928</v>
      </c>
      <c r="I11" s="240">
        <v>220.67201270525479</v>
      </c>
      <c r="J11" s="244" t="s">
        <v>361</v>
      </c>
      <c r="K11" s="421"/>
      <c r="L11" s="422"/>
    </row>
    <row r="12" spans="1:13" ht="15.75" customHeight="1">
      <c r="A12" s="419"/>
      <c r="B12" s="420"/>
      <c r="C12" s="125">
        <v>5</v>
      </c>
      <c r="D12" s="416" t="s">
        <v>362</v>
      </c>
      <c r="E12" s="417"/>
      <c r="F12" s="418"/>
      <c r="G12" s="240">
        <v>9</v>
      </c>
      <c r="H12" s="240">
        <v>1661.3436922554565</v>
      </c>
      <c r="I12" s="240">
        <v>184.59374358393961</v>
      </c>
      <c r="J12" s="244" t="s">
        <v>361</v>
      </c>
      <c r="K12" s="421"/>
      <c r="L12" s="422"/>
    </row>
    <row r="13" spans="1:13" ht="15.75" customHeight="1">
      <c r="A13" s="419"/>
      <c r="B13" s="420"/>
      <c r="C13" s="155" t="s">
        <v>344</v>
      </c>
      <c r="D13" s="416" t="s">
        <v>363</v>
      </c>
      <c r="E13" s="417"/>
      <c r="F13" s="418"/>
      <c r="G13" s="240">
        <v>13</v>
      </c>
      <c r="H13" s="240">
        <v>1245.0353659412488</v>
      </c>
      <c r="I13" s="240">
        <v>95.771951226249897</v>
      </c>
      <c r="J13" s="244" t="s">
        <v>361</v>
      </c>
      <c r="K13" s="433"/>
      <c r="L13" s="422"/>
    </row>
    <row r="14" spans="1:13" ht="15.75" customHeight="1">
      <c r="A14" s="419"/>
      <c r="B14" s="420"/>
      <c r="C14" s="155" t="s">
        <v>345</v>
      </c>
      <c r="D14" s="416" t="s">
        <v>364</v>
      </c>
      <c r="E14" s="417"/>
      <c r="F14" s="418"/>
      <c r="G14" s="148">
        <v>12</v>
      </c>
      <c r="H14" s="240">
        <v>1678.0541060492731</v>
      </c>
      <c r="I14" s="240">
        <v>139.83784217077277</v>
      </c>
      <c r="J14" s="244" t="s">
        <v>361</v>
      </c>
      <c r="K14" s="421"/>
      <c r="L14" s="422"/>
    </row>
    <row r="15" spans="1:13" ht="15.75" customHeight="1">
      <c r="A15" s="419"/>
      <c r="B15" s="420"/>
      <c r="C15" s="155" t="s">
        <v>346</v>
      </c>
      <c r="D15" s="416" t="s">
        <v>365</v>
      </c>
      <c r="E15" s="417"/>
      <c r="F15" s="418"/>
      <c r="G15" s="240">
        <v>12</v>
      </c>
      <c r="H15" s="240">
        <v>1972.0578529822567</v>
      </c>
      <c r="I15" s="240">
        <v>164.33815441518806</v>
      </c>
      <c r="J15" s="244" t="s">
        <v>361</v>
      </c>
      <c r="K15" s="421"/>
      <c r="L15" s="422"/>
    </row>
    <row r="16" spans="1:13" ht="15.75" customHeight="1">
      <c r="A16" s="419"/>
      <c r="B16" s="420"/>
      <c r="C16" s="155" t="s">
        <v>348</v>
      </c>
      <c r="D16" s="416" t="s">
        <v>366</v>
      </c>
      <c r="E16" s="417"/>
      <c r="F16" s="418"/>
      <c r="G16" s="240">
        <v>12</v>
      </c>
      <c r="H16" s="240">
        <v>1975.6612630723414</v>
      </c>
      <c r="I16" s="240">
        <v>164.63843858936181</v>
      </c>
      <c r="J16" s="244" t="s">
        <v>361</v>
      </c>
      <c r="K16" s="421"/>
      <c r="L16" s="422"/>
      <c r="M16" s="117"/>
    </row>
    <row r="17" spans="1:13" ht="15.75" customHeight="1">
      <c r="A17" s="419"/>
      <c r="B17" s="420"/>
      <c r="C17" s="155" t="s">
        <v>349</v>
      </c>
      <c r="D17" s="416" t="s">
        <v>367</v>
      </c>
      <c r="E17" s="417"/>
      <c r="F17" s="418"/>
      <c r="G17" s="240">
        <v>11</v>
      </c>
      <c r="H17" s="240">
        <v>1975.6942114606916</v>
      </c>
      <c r="I17" s="240">
        <v>179.60856467824468</v>
      </c>
      <c r="J17" s="244" t="s">
        <v>361</v>
      </c>
      <c r="K17" s="421"/>
      <c r="L17" s="422"/>
      <c r="M17" s="117"/>
    </row>
    <row r="18" spans="1:13" s="122" customFormat="1" ht="15.75" customHeight="1">
      <c r="A18" s="414" t="s">
        <v>131</v>
      </c>
      <c r="B18" s="414"/>
      <c r="C18" s="289" t="s">
        <v>52</v>
      </c>
      <c r="D18" s="414" t="s">
        <v>53</v>
      </c>
      <c r="E18" s="415"/>
      <c r="F18" s="415"/>
      <c r="G18" s="289" t="s">
        <v>54</v>
      </c>
      <c r="H18" s="289" t="s">
        <v>338</v>
      </c>
      <c r="I18" s="289" t="s">
        <v>339</v>
      </c>
      <c r="J18" s="220" t="s">
        <v>340</v>
      </c>
      <c r="K18" s="414" t="s">
        <v>58</v>
      </c>
      <c r="L18" s="415"/>
      <c r="M18" s="147"/>
    </row>
    <row r="19" spans="1:13" ht="15.75" customHeight="1">
      <c r="A19" s="419">
        <v>4</v>
      </c>
      <c r="B19" s="420" t="s">
        <v>332</v>
      </c>
      <c r="C19" s="125">
        <v>1</v>
      </c>
      <c r="D19" s="433" t="s">
        <v>368</v>
      </c>
      <c r="E19" s="422"/>
      <c r="F19" s="422"/>
      <c r="G19" s="245">
        <v>13</v>
      </c>
      <c r="H19" s="245">
        <v>1348.6666666666642</v>
      </c>
      <c r="I19" s="245">
        <v>103.74358974358954</v>
      </c>
      <c r="J19" s="244" t="s">
        <v>361</v>
      </c>
      <c r="K19" s="423"/>
      <c r="L19" s="422"/>
      <c r="M19" s="117"/>
    </row>
    <row r="20" spans="1:13" ht="15.75" customHeight="1">
      <c r="A20" s="419"/>
      <c r="B20" s="420"/>
      <c r="C20" s="125">
        <v>2</v>
      </c>
      <c r="D20" s="421"/>
      <c r="E20" s="422"/>
      <c r="F20" s="422"/>
      <c r="G20" s="126"/>
      <c r="H20" s="126"/>
      <c r="I20" s="126"/>
      <c r="J20" s="126"/>
      <c r="K20" s="421"/>
      <c r="L20" s="422"/>
      <c r="M20" s="117"/>
    </row>
    <row r="21" spans="1:13" ht="15.75" customHeight="1">
      <c r="A21" s="419"/>
      <c r="B21" s="420"/>
      <c r="C21" s="125">
        <v>3</v>
      </c>
      <c r="D21" s="421"/>
      <c r="E21" s="422"/>
      <c r="F21" s="422"/>
      <c r="G21" s="126"/>
      <c r="H21" s="126"/>
      <c r="I21" s="126"/>
      <c r="J21" s="126"/>
      <c r="K21" s="421"/>
      <c r="L21" s="422"/>
      <c r="M21" s="117"/>
    </row>
    <row r="22" spans="1:13" ht="15.75" customHeight="1">
      <c r="A22" s="419"/>
      <c r="B22" s="420"/>
      <c r="C22" s="125">
        <v>4</v>
      </c>
      <c r="D22" s="421"/>
      <c r="E22" s="422"/>
      <c r="F22" s="422"/>
      <c r="G22" s="126"/>
      <c r="H22" s="126"/>
      <c r="I22" s="126"/>
      <c r="J22" s="126"/>
      <c r="K22" s="421"/>
      <c r="L22" s="422"/>
      <c r="M22" s="117"/>
    </row>
    <row r="23" spans="1:13" ht="15.75" customHeight="1">
      <c r="A23" s="419"/>
      <c r="B23" s="420"/>
      <c r="C23" s="125">
        <v>5</v>
      </c>
      <c r="D23" s="421"/>
      <c r="E23" s="422"/>
      <c r="F23" s="422"/>
      <c r="G23" s="126"/>
      <c r="H23" s="126"/>
      <c r="I23" s="126"/>
      <c r="J23" s="126"/>
      <c r="K23" s="421"/>
      <c r="L23" s="422"/>
      <c r="M23" s="117"/>
    </row>
    <row r="24" spans="1:13" ht="15.75" customHeight="1">
      <c r="A24" s="419"/>
      <c r="B24" s="420"/>
      <c r="C24" s="155" t="s">
        <v>344</v>
      </c>
      <c r="D24" s="433"/>
      <c r="E24" s="422"/>
      <c r="F24" s="422"/>
      <c r="G24" s="245"/>
      <c r="H24" s="245"/>
      <c r="I24" s="245"/>
      <c r="J24" s="244"/>
      <c r="K24" s="436"/>
      <c r="L24" s="422"/>
      <c r="M24" s="117"/>
    </row>
    <row r="25" spans="1:13" ht="15.75" customHeight="1">
      <c r="A25" s="419"/>
      <c r="B25" s="420"/>
      <c r="C25" s="155" t="s">
        <v>345</v>
      </c>
      <c r="D25" s="421"/>
      <c r="E25" s="422"/>
      <c r="F25" s="422"/>
      <c r="G25" s="126"/>
      <c r="H25" s="126"/>
      <c r="I25" s="126"/>
      <c r="J25" s="126"/>
      <c r="K25" s="421"/>
      <c r="L25" s="422"/>
      <c r="M25" s="117"/>
    </row>
    <row r="26" spans="1:13" ht="15.75" customHeight="1">
      <c r="A26" s="419"/>
      <c r="B26" s="420"/>
      <c r="C26" s="155" t="s">
        <v>346</v>
      </c>
      <c r="D26" s="421"/>
      <c r="E26" s="422"/>
      <c r="F26" s="422"/>
      <c r="G26" s="126"/>
      <c r="H26" s="126"/>
      <c r="I26" s="126"/>
      <c r="J26" s="126"/>
      <c r="K26" s="421"/>
      <c r="L26" s="422"/>
      <c r="M26" s="117"/>
    </row>
    <row r="27" spans="1:13" ht="15.75" customHeight="1">
      <c r="A27" s="419"/>
      <c r="B27" s="420"/>
      <c r="C27" s="155" t="s">
        <v>348</v>
      </c>
      <c r="D27" s="421"/>
      <c r="E27" s="422"/>
      <c r="F27" s="422"/>
      <c r="G27" s="126"/>
      <c r="H27" s="126"/>
      <c r="I27" s="126"/>
      <c r="J27" s="126"/>
      <c r="K27" s="421"/>
      <c r="L27" s="422"/>
      <c r="M27" s="117"/>
    </row>
    <row r="28" spans="1:13" ht="15.75" customHeight="1">
      <c r="A28" s="419"/>
      <c r="B28" s="420"/>
      <c r="C28" s="155" t="s">
        <v>349</v>
      </c>
      <c r="D28" s="421"/>
      <c r="E28" s="422"/>
      <c r="F28" s="422"/>
      <c r="G28" s="126"/>
      <c r="H28" s="126"/>
      <c r="I28" s="126"/>
      <c r="J28" s="126"/>
      <c r="K28" s="421"/>
      <c r="L28" s="422"/>
      <c r="M28" s="117"/>
    </row>
  </sheetData>
  <mergeCells count="51">
    <mergeCell ref="D24:F24"/>
    <mergeCell ref="D25:F25"/>
    <mergeCell ref="K25:L25"/>
    <mergeCell ref="D26:F26"/>
    <mergeCell ref="K26:L26"/>
    <mergeCell ref="A19:A28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A1:L2"/>
    <mergeCell ref="K24:L24"/>
    <mergeCell ref="K8:L10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8:B18"/>
    <mergeCell ref="D18:F18"/>
    <mergeCell ref="K18:L18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K11:L11"/>
    <mergeCell ref="D13:F13"/>
    <mergeCell ref="K13:L13"/>
    <mergeCell ref="D14:F14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view="pageBreakPreview" zoomScaleNormal="60" zoomScaleSheetLayoutView="100" workbookViewId="0">
      <selection activeCell="N4" sqref="N4"/>
    </sheetView>
  </sheetViews>
  <sheetFormatPr defaultColWidth="12.5703125" defaultRowHeight="15.75" customHeight="1"/>
  <cols>
    <col min="1" max="1" width="6.42578125" style="117" customWidth="1"/>
    <col min="2" max="10" width="11.5703125" style="117" customWidth="1"/>
    <col min="11" max="12" width="12.85546875" style="117" customWidth="1"/>
    <col min="13" max="13" width="12.5703125" style="118"/>
    <col min="14" max="16384" width="12.5703125" style="117"/>
  </cols>
  <sheetData>
    <row r="1" spans="1:18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117"/>
    </row>
    <row r="2" spans="1:18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8" ht="15.75" customHeight="1">
      <c r="A3" s="434" t="s">
        <v>328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117"/>
    </row>
    <row r="4" spans="1:18" s="118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1:18" s="124" customFormat="1" ht="16.350000000000001" customHeight="1">
      <c r="A5" s="419" t="s">
        <v>197</v>
      </c>
      <c r="B5" s="148">
        <v>1</v>
      </c>
      <c r="C5" s="148">
        <v>2</v>
      </c>
      <c r="D5" s="148">
        <v>3</v>
      </c>
      <c r="E5" s="148">
        <v>4</v>
      </c>
      <c r="F5" s="156">
        <v>5</v>
      </c>
      <c r="G5" s="156">
        <v>6</v>
      </c>
      <c r="H5" s="148">
        <v>7</v>
      </c>
      <c r="I5" s="148">
        <v>8</v>
      </c>
      <c r="J5" s="148">
        <v>9</v>
      </c>
      <c r="K5" s="146"/>
      <c r="L5" s="146"/>
      <c r="M5" s="146"/>
    </row>
    <row r="6" spans="1:18" ht="16.350000000000001" customHeight="1">
      <c r="A6" s="419"/>
      <c r="B6" s="149" t="s">
        <v>329</v>
      </c>
      <c r="C6" s="149" t="s">
        <v>330</v>
      </c>
      <c r="D6" s="149" t="s">
        <v>331</v>
      </c>
      <c r="E6" s="149" t="s">
        <v>332</v>
      </c>
      <c r="F6" s="158" t="s">
        <v>333</v>
      </c>
      <c r="G6" s="159" t="s">
        <v>334</v>
      </c>
      <c r="H6" s="151" t="s">
        <v>335</v>
      </c>
      <c r="I6" s="150" t="s">
        <v>336</v>
      </c>
      <c r="J6" s="150" t="s">
        <v>337</v>
      </c>
      <c r="K6" s="147"/>
      <c r="L6" s="147"/>
    </row>
    <row r="7" spans="1:18" s="124" customFormat="1" ht="15.75" customHeight="1">
      <c r="A7" s="420" t="s">
        <v>131</v>
      </c>
      <c r="B7" s="420"/>
      <c r="C7" s="153" t="s">
        <v>52</v>
      </c>
      <c r="D7" s="420" t="s">
        <v>53</v>
      </c>
      <c r="E7" s="432"/>
      <c r="F7" s="432"/>
      <c r="G7" s="153" t="s">
        <v>54</v>
      </c>
      <c r="H7" s="153" t="s">
        <v>338</v>
      </c>
      <c r="I7" s="153" t="s">
        <v>339</v>
      </c>
      <c r="J7" s="220" t="s">
        <v>340</v>
      </c>
      <c r="K7" s="420" t="s">
        <v>58</v>
      </c>
      <c r="L7" s="432"/>
      <c r="M7" s="146"/>
    </row>
    <row r="8" spans="1:18" ht="15.75" customHeight="1">
      <c r="A8" s="419">
        <v>5</v>
      </c>
      <c r="B8" s="420" t="s">
        <v>333</v>
      </c>
      <c r="C8" s="125">
        <v>1</v>
      </c>
      <c r="D8" s="443" t="s">
        <v>259</v>
      </c>
      <c r="E8" s="444"/>
      <c r="F8" s="445"/>
      <c r="G8" s="245">
        <v>5</v>
      </c>
      <c r="H8" s="245">
        <v>1530.7450113072689</v>
      </c>
      <c r="I8" s="245">
        <v>306.14900226145375</v>
      </c>
      <c r="J8" s="244" t="s">
        <v>361</v>
      </c>
      <c r="K8" s="433"/>
      <c r="L8" s="422"/>
      <c r="P8" s="260"/>
      <c r="Q8" s="260"/>
      <c r="R8" s="260"/>
    </row>
    <row r="9" spans="1:18" ht="15.75" customHeight="1">
      <c r="A9" s="419"/>
      <c r="B9" s="420"/>
      <c r="C9" s="125">
        <v>2</v>
      </c>
      <c r="D9" s="443" t="s">
        <v>283</v>
      </c>
      <c r="E9" s="444"/>
      <c r="F9" s="445"/>
      <c r="G9" s="245">
        <v>8</v>
      </c>
      <c r="H9" s="245">
        <v>1488.0687538756411</v>
      </c>
      <c r="I9" s="245">
        <v>186.00859423445513</v>
      </c>
      <c r="J9" s="244" t="s">
        <v>361</v>
      </c>
      <c r="K9" s="421"/>
      <c r="L9" s="422"/>
      <c r="P9" s="260"/>
      <c r="Q9" s="260"/>
      <c r="R9" s="260"/>
    </row>
    <row r="10" spans="1:18" ht="15.75" customHeight="1">
      <c r="A10" s="419"/>
      <c r="B10" s="420"/>
      <c r="C10" s="125">
        <v>3</v>
      </c>
      <c r="D10" s="443" t="s">
        <v>279</v>
      </c>
      <c r="E10" s="444"/>
      <c r="F10" s="445"/>
      <c r="G10" s="245">
        <v>15</v>
      </c>
      <c r="H10" s="245">
        <v>1298.9391024169245</v>
      </c>
      <c r="I10" s="245">
        <v>86.595940161128283</v>
      </c>
      <c r="J10" s="244" t="s">
        <v>361</v>
      </c>
      <c r="K10" s="421"/>
      <c r="L10" s="422"/>
      <c r="P10" s="260"/>
      <c r="Q10" s="260"/>
      <c r="R10" s="260"/>
    </row>
    <row r="11" spans="1:18" ht="15.75" customHeight="1">
      <c r="A11" s="419"/>
      <c r="B11" s="420"/>
      <c r="C11" s="125">
        <v>4</v>
      </c>
      <c r="D11" s="443" t="s">
        <v>274</v>
      </c>
      <c r="E11" s="444"/>
      <c r="F11" s="445"/>
      <c r="G11" s="245">
        <v>16</v>
      </c>
      <c r="H11" s="245">
        <v>1325.5374668711427</v>
      </c>
      <c r="I11" s="245">
        <v>82.846091679446417</v>
      </c>
      <c r="J11" s="244" t="s">
        <v>361</v>
      </c>
      <c r="K11" s="421"/>
      <c r="L11" s="422"/>
      <c r="P11" s="260"/>
      <c r="Q11" s="260"/>
      <c r="R11" s="260"/>
    </row>
    <row r="12" spans="1:18" ht="15.75" customHeight="1">
      <c r="A12" s="419"/>
      <c r="B12" s="420"/>
      <c r="C12" s="125">
        <v>5</v>
      </c>
      <c r="D12" s="443" t="s">
        <v>280</v>
      </c>
      <c r="E12" s="444"/>
      <c r="F12" s="445"/>
      <c r="G12" s="245">
        <v>17</v>
      </c>
      <c r="H12" s="245">
        <v>1366.5765790187045</v>
      </c>
      <c r="I12" s="245">
        <v>80.386857589335548</v>
      </c>
      <c r="J12" s="244" t="s">
        <v>361</v>
      </c>
      <c r="K12" s="421"/>
      <c r="L12" s="422"/>
      <c r="P12" s="260"/>
      <c r="Q12" s="260"/>
      <c r="R12" s="260"/>
    </row>
    <row r="13" spans="1:18" ht="15.75" customHeight="1">
      <c r="A13" s="419"/>
      <c r="B13" s="420"/>
      <c r="C13" s="155" t="s">
        <v>344</v>
      </c>
      <c r="D13" s="443" t="s">
        <v>261</v>
      </c>
      <c r="E13" s="444"/>
      <c r="F13" s="445"/>
      <c r="G13" s="245">
        <v>20</v>
      </c>
      <c r="H13" s="245">
        <v>1099.1755987107979</v>
      </c>
      <c r="I13" s="245">
        <v>54.958779935539894</v>
      </c>
      <c r="J13" s="243" t="s">
        <v>351</v>
      </c>
      <c r="K13" s="446" t="s">
        <v>369</v>
      </c>
      <c r="L13" s="447"/>
      <c r="P13" s="260"/>
      <c r="Q13" s="260"/>
      <c r="R13" s="260"/>
    </row>
    <row r="14" spans="1:18" ht="15.75" customHeight="1">
      <c r="A14" s="419"/>
      <c r="B14" s="420"/>
      <c r="C14" s="155" t="s">
        <v>345</v>
      </c>
      <c r="D14" s="443" t="s">
        <v>285</v>
      </c>
      <c r="E14" s="444"/>
      <c r="F14" s="445"/>
      <c r="G14" s="245">
        <v>20</v>
      </c>
      <c r="H14" s="245">
        <v>1106.3556802061571</v>
      </c>
      <c r="I14" s="245">
        <v>55.317784010307861</v>
      </c>
      <c r="J14" s="244" t="s">
        <v>361</v>
      </c>
      <c r="K14" s="421"/>
      <c r="L14" s="422"/>
      <c r="P14" s="260"/>
      <c r="Q14" s="260"/>
      <c r="R14" s="260"/>
    </row>
    <row r="15" spans="1:18" ht="15.75" customHeight="1">
      <c r="A15" s="419"/>
      <c r="B15" s="420"/>
      <c r="C15" s="155" t="s">
        <v>346</v>
      </c>
      <c r="D15" s="443" t="s">
        <v>266</v>
      </c>
      <c r="E15" s="444"/>
      <c r="F15" s="445"/>
      <c r="G15" s="245">
        <v>17.5</v>
      </c>
      <c r="H15" s="245">
        <v>1080.3267973856248</v>
      </c>
      <c r="I15" s="245">
        <v>61.777521466103003</v>
      </c>
      <c r="J15" s="244" t="s">
        <v>361</v>
      </c>
      <c r="K15" s="421"/>
      <c r="L15" s="422"/>
      <c r="P15" s="260"/>
      <c r="Q15" s="260"/>
      <c r="R15" s="260"/>
    </row>
    <row r="16" spans="1:18" ht="15.75" customHeight="1">
      <c r="A16" s="419"/>
      <c r="B16" s="420"/>
      <c r="C16" s="155" t="s">
        <v>348</v>
      </c>
      <c r="D16" s="443" t="s">
        <v>263</v>
      </c>
      <c r="E16" s="444"/>
      <c r="F16" s="445"/>
      <c r="G16" s="245">
        <v>19</v>
      </c>
      <c r="H16" s="245">
        <v>1276.3636363636408</v>
      </c>
      <c r="I16" s="245">
        <v>67.177033492823199</v>
      </c>
      <c r="J16" s="243" t="s">
        <v>351</v>
      </c>
      <c r="K16" s="423" t="s">
        <v>370</v>
      </c>
      <c r="L16" s="422"/>
      <c r="M16" s="117"/>
      <c r="P16" s="260"/>
      <c r="Q16" s="260"/>
      <c r="R16" s="260"/>
    </row>
    <row r="17" spans="1:18" ht="15.75" customHeight="1">
      <c r="A17" s="419"/>
      <c r="B17" s="420"/>
      <c r="C17" s="155" t="s">
        <v>349</v>
      </c>
      <c r="D17" s="443" t="s">
        <v>269</v>
      </c>
      <c r="E17" s="444"/>
      <c r="F17" s="445"/>
      <c r="G17" s="245">
        <v>19</v>
      </c>
      <c r="H17" s="245">
        <v>1300.0866728127282</v>
      </c>
      <c r="I17" s="245">
        <v>68.425614358564658</v>
      </c>
      <c r="J17" s="243" t="s">
        <v>351</v>
      </c>
      <c r="K17" s="423" t="s">
        <v>371</v>
      </c>
      <c r="L17" s="422"/>
      <c r="M17" s="117"/>
      <c r="P17" s="260"/>
      <c r="Q17" s="260"/>
      <c r="R17" s="260"/>
    </row>
    <row r="18" spans="1:18" s="122" customFormat="1" ht="15.75" customHeight="1">
      <c r="A18" s="414" t="s">
        <v>131</v>
      </c>
      <c r="B18" s="414"/>
      <c r="C18" s="289" t="s">
        <v>52</v>
      </c>
      <c r="D18" s="414" t="s">
        <v>53</v>
      </c>
      <c r="E18" s="415"/>
      <c r="F18" s="415"/>
      <c r="G18" s="289" t="s">
        <v>54</v>
      </c>
      <c r="H18" s="289" t="s">
        <v>338</v>
      </c>
      <c r="I18" s="289" t="s">
        <v>339</v>
      </c>
      <c r="J18" s="220" t="s">
        <v>340</v>
      </c>
      <c r="K18" s="414" t="s">
        <v>58</v>
      </c>
      <c r="L18" s="415"/>
      <c r="M18" s="147"/>
    </row>
    <row r="19" spans="1:18" ht="15.75" customHeight="1">
      <c r="A19" s="419">
        <v>6</v>
      </c>
      <c r="B19" s="420" t="s">
        <v>334</v>
      </c>
      <c r="C19" s="125">
        <v>1</v>
      </c>
      <c r="D19" s="301" t="s">
        <v>291</v>
      </c>
      <c r="E19" s="302"/>
      <c r="F19" s="303"/>
      <c r="G19" s="245">
        <v>16.666666666666668</v>
      </c>
      <c r="H19" s="245">
        <v>1294.3855524556827</v>
      </c>
      <c r="I19" s="245">
        <v>78.179672568048503</v>
      </c>
      <c r="J19" s="244" t="s">
        <v>361</v>
      </c>
      <c r="K19" s="436"/>
      <c r="L19" s="422"/>
      <c r="M19" s="117"/>
      <c r="P19" s="260"/>
      <c r="Q19" s="260"/>
      <c r="R19" s="260"/>
    </row>
    <row r="20" spans="1:18" ht="15.75" customHeight="1">
      <c r="A20" s="419"/>
      <c r="B20" s="420"/>
      <c r="C20" s="125">
        <v>2</v>
      </c>
      <c r="D20" s="301" t="s">
        <v>292</v>
      </c>
      <c r="E20" s="302"/>
      <c r="F20" s="303"/>
      <c r="G20" s="245">
        <v>18</v>
      </c>
      <c r="H20" s="245">
        <v>1226.4939961367697</v>
      </c>
      <c r="I20" s="245">
        <v>68.13855534093166</v>
      </c>
      <c r="J20" s="244" t="s">
        <v>361</v>
      </c>
      <c r="K20" s="423"/>
      <c r="L20" s="422"/>
      <c r="M20" s="117"/>
      <c r="P20" s="260"/>
      <c r="Q20" s="260"/>
      <c r="R20" s="260"/>
    </row>
    <row r="21" spans="1:18" ht="15.75" customHeight="1">
      <c r="A21" s="419"/>
      <c r="B21" s="420"/>
      <c r="C21" s="125">
        <v>3</v>
      </c>
      <c r="D21" s="301" t="s">
        <v>287</v>
      </c>
      <c r="E21" s="302"/>
      <c r="F21" s="303"/>
      <c r="G21" s="245">
        <v>19</v>
      </c>
      <c r="H21" s="245">
        <v>1285.7856518978199</v>
      </c>
      <c r="I21" s="245">
        <v>67.672929047253689</v>
      </c>
      <c r="J21" s="244" t="s">
        <v>361</v>
      </c>
      <c r="K21" s="423"/>
      <c r="L21" s="422"/>
      <c r="M21" s="117"/>
      <c r="P21" s="260"/>
      <c r="Q21" s="260"/>
      <c r="R21" s="260"/>
    </row>
    <row r="22" spans="1:18" ht="15.75" customHeight="1">
      <c r="A22" s="419"/>
      <c r="B22" s="420"/>
      <c r="C22" s="125">
        <v>4</v>
      </c>
      <c r="D22" s="301" t="s">
        <v>296</v>
      </c>
      <c r="E22" s="302"/>
      <c r="F22" s="303"/>
      <c r="G22" s="245">
        <v>18</v>
      </c>
      <c r="H22" s="245">
        <v>1204.6705441843715</v>
      </c>
      <c r="I22" s="245">
        <v>66.926141343576191</v>
      </c>
      <c r="J22" s="244" t="s">
        <v>361</v>
      </c>
      <c r="K22" s="423"/>
      <c r="L22" s="422"/>
      <c r="M22" s="117"/>
      <c r="P22" s="260"/>
      <c r="Q22" s="260"/>
      <c r="R22" s="260"/>
    </row>
    <row r="23" spans="1:18" ht="15.75" customHeight="1">
      <c r="A23" s="419"/>
      <c r="B23" s="420"/>
      <c r="C23" s="125">
        <v>5</v>
      </c>
      <c r="D23" s="301"/>
      <c r="E23" s="302"/>
      <c r="F23" s="303"/>
      <c r="G23" s="245"/>
      <c r="H23" s="245"/>
      <c r="I23" s="245"/>
      <c r="J23" s="244"/>
      <c r="K23" s="423"/>
      <c r="L23" s="422"/>
      <c r="M23" s="117"/>
      <c r="P23" s="260"/>
      <c r="Q23" s="260"/>
      <c r="R23" s="260"/>
    </row>
    <row r="24" spans="1:18" ht="15.75" customHeight="1">
      <c r="A24" s="419"/>
      <c r="B24" s="420"/>
      <c r="C24" s="155" t="s">
        <v>344</v>
      </c>
      <c r="D24" s="301" t="s">
        <v>290</v>
      </c>
      <c r="E24" s="302"/>
      <c r="F24" s="303"/>
      <c r="G24" s="245">
        <v>19.833333333333332</v>
      </c>
      <c r="H24" s="245">
        <v>1083.2371226171706</v>
      </c>
      <c r="I24" s="245">
        <v>54.628574397112409</v>
      </c>
      <c r="J24" s="244"/>
      <c r="K24" s="423"/>
      <c r="L24" s="422"/>
      <c r="M24" s="117"/>
      <c r="P24" s="260"/>
      <c r="Q24" s="260"/>
      <c r="R24" s="260"/>
    </row>
    <row r="25" spans="1:18" ht="15.75" customHeight="1">
      <c r="A25" s="419"/>
      <c r="B25" s="420"/>
      <c r="C25" s="155" t="s">
        <v>345</v>
      </c>
      <c r="D25" s="301" t="s">
        <v>293</v>
      </c>
      <c r="E25" s="302"/>
      <c r="F25" s="303"/>
      <c r="G25" s="245">
        <v>19</v>
      </c>
      <c r="H25" s="245">
        <v>1094.9333333333343</v>
      </c>
      <c r="I25" s="245">
        <v>57.628070175438651</v>
      </c>
      <c r="J25" s="244" t="s">
        <v>361</v>
      </c>
      <c r="K25" s="423"/>
      <c r="L25" s="422"/>
      <c r="M25" s="117"/>
      <c r="P25" s="260"/>
      <c r="Q25" s="260"/>
      <c r="R25" s="260"/>
    </row>
    <row r="26" spans="1:18" ht="15.75" customHeight="1">
      <c r="A26" s="419"/>
      <c r="B26" s="420"/>
      <c r="C26" s="155" t="s">
        <v>346</v>
      </c>
      <c r="D26" s="301" t="s">
        <v>297</v>
      </c>
      <c r="E26" s="302"/>
      <c r="F26" s="303"/>
      <c r="G26" s="245">
        <v>20</v>
      </c>
      <c r="H26" s="245">
        <v>1195.3278058007556</v>
      </c>
      <c r="I26" s="245">
        <v>59.766390290037798</v>
      </c>
      <c r="J26" s="244" t="s">
        <v>361</v>
      </c>
      <c r="K26" s="423"/>
      <c r="L26" s="422"/>
      <c r="M26" s="117"/>
      <c r="P26" s="260"/>
      <c r="Q26" s="260"/>
      <c r="R26" s="260"/>
    </row>
    <row r="27" spans="1:18" ht="15.75" customHeight="1">
      <c r="A27" s="419"/>
      <c r="B27" s="420"/>
      <c r="C27" s="155" t="s">
        <v>348</v>
      </c>
      <c r="D27" s="301" t="s">
        <v>298</v>
      </c>
      <c r="E27" s="302"/>
      <c r="F27" s="303"/>
      <c r="G27" s="245">
        <v>18.666666666666668</v>
      </c>
      <c r="H27" s="245">
        <v>1182.9410432871589</v>
      </c>
      <c r="I27" s="245">
        <v>63.513697752948396</v>
      </c>
      <c r="J27" s="244" t="s">
        <v>361</v>
      </c>
      <c r="K27" s="304"/>
      <c r="L27" s="305"/>
      <c r="M27" s="117"/>
      <c r="P27" s="260"/>
      <c r="Q27" s="260"/>
      <c r="R27" s="260"/>
    </row>
    <row r="28" spans="1:18" ht="15.75" customHeight="1">
      <c r="A28" s="419"/>
      <c r="B28" s="420"/>
      <c r="C28" s="155" t="s">
        <v>349</v>
      </c>
      <c r="D28" s="301"/>
      <c r="E28" s="302"/>
      <c r="F28" s="303"/>
      <c r="G28" s="245"/>
      <c r="H28" s="245"/>
      <c r="I28" s="245"/>
      <c r="J28" s="244"/>
      <c r="K28" s="421"/>
      <c r="L28" s="422"/>
      <c r="M28" s="117"/>
      <c r="P28" s="260"/>
      <c r="Q28" s="260"/>
      <c r="R28" s="260"/>
    </row>
  </sheetData>
  <mergeCells count="42">
    <mergeCell ref="K26:L26"/>
    <mergeCell ref="K28:L28"/>
    <mergeCell ref="A1:L2"/>
    <mergeCell ref="A18:B18"/>
    <mergeCell ref="D18:F18"/>
    <mergeCell ref="K18:L1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K20:L20"/>
    <mergeCell ref="K21:L21"/>
    <mergeCell ref="K13:L13"/>
    <mergeCell ref="K14:L14"/>
    <mergeCell ref="K15:L15"/>
    <mergeCell ref="K16:L16"/>
    <mergeCell ref="K11:L11"/>
    <mergeCell ref="D14:F14"/>
    <mergeCell ref="D13:F13"/>
    <mergeCell ref="D12:F12"/>
    <mergeCell ref="K12:L12"/>
    <mergeCell ref="K24:L24"/>
    <mergeCell ref="K25:L2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O11" sqref="O11"/>
    </sheetView>
  </sheetViews>
  <sheetFormatPr defaultColWidth="12.5703125" defaultRowHeight="15.75" customHeight="1"/>
  <cols>
    <col min="1" max="1" width="6.42578125" style="117" customWidth="1"/>
    <col min="2" max="10" width="11.5703125" style="117" customWidth="1"/>
    <col min="11" max="12" width="12.85546875" style="117" customWidth="1"/>
    <col min="13" max="13" width="12.5703125" style="118"/>
    <col min="14" max="16384" width="12.5703125" style="117"/>
  </cols>
  <sheetData>
    <row r="1" spans="1:13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117"/>
    </row>
    <row r="2" spans="1:13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3" ht="15.75" customHeight="1">
      <c r="A3" s="434" t="s">
        <v>328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117"/>
    </row>
    <row r="4" spans="1:13" s="118" customFormat="1" ht="15.75" customHeight="1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</row>
    <row r="5" spans="1:13" s="124" customFormat="1" ht="16.350000000000001" customHeight="1">
      <c r="A5" s="448" t="s">
        <v>197</v>
      </c>
      <c r="B5" s="148">
        <v>1</v>
      </c>
      <c r="C5" s="148">
        <v>2</v>
      </c>
      <c r="D5" s="148">
        <v>3</v>
      </c>
      <c r="E5" s="148">
        <v>4</v>
      </c>
      <c r="F5" s="148">
        <v>5</v>
      </c>
      <c r="G5" s="148">
        <v>6</v>
      </c>
      <c r="H5" s="156">
        <v>7</v>
      </c>
      <c r="I5" s="156">
        <v>8</v>
      </c>
      <c r="J5" s="148">
        <v>9</v>
      </c>
      <c r="K5" s="146"/>
      <c r="L5" s="146"/>
      <c r="M5" s="146"/>
    </row>
    <row r="6" spans="1:13" ht="16.350000000000001" customHeight="1">
      <c r="A6" s="450"/>
      <c r="B6" s="149" t="s">
        <v>329</v>
      </c>
      <c r="C6" s="149" t="s">
        <v>330</v>
      </c>
      <c r="D6" s="149" t="s">
        <v>331</v>
      </c>
      <c r="E6" s="149" t="s">
        <v>332</v>
      </c>
      <c r="F6" s="135" t="s">
        <v>333</v>
      </c>
      <c r="G6" s="150" t="s">
        <v>334</v>
      </c>
      <c r="H6" s="157" t="s">
        <v>335</v>
      </c>
      <c r="I6" s="159" t="s">
        <v>336</v>
      </c>
      <c r="J6" s="150" t="s">
        <v>337</v>
      </c>
      <c r="K6" s="147"/>
      <c r="L6" s="147"/>
    </row>
    <row r="7" spans="1:13" s="124" customFormat="1" ht="15.75" customHeight="1">
      <c r="A7" s="459" t="s">
        <v>131</v>
      </c>
      <c r="B7" s="460"/>
      <c r="C7" s="153" t="s">
        <v>52</v>
      </c>
      <c r="D7" s="459" t="s">
        <v>53</v>
      </c>
      <c r="E7" s="461"/>
      <c r="F7" s="460"/>
      <c r="G7" s="153" t="s">
        <v>54</v>
      </c>
      <c r="H7" s="153" t="s">
        <v>338</v>
      </c>
      <c r="I7" s="153" t="s">
        <v>339</v>
      </c>
      <c r="J7" s="220" t="s">
        <v>340</v>
      </c>
      <c r="K7" s="459" t="s">
        <v>58</v>
      </c>
      <c r="L7" s="460"/>
      <c r="M7" s="146"/>
    </row>
    <row r="8" spans="1:13" ht="15.75" customHeight="1">
      <c r="A8" s="448">
        <v>7</v>
      </c>
      <c r="B8" s="451" t="s">
        <v>372</v>
      </c>
      <c r="C8" s="125">
        <v>1</v>
      </c>
      <c r="D8" s="416" t="s">
        <v>310</v>
      </c>
      <c r="E8" s="417"/>
      <c r="F8" s="418"/>
      <c r="G8" s="240">
        <v>9</v>
      </c>
      <c r="H8" s="240">
        <v>1415.3747021388417</v>
      </c>
      <c r="I8" s="240">
        <v>157.26385579320461</v>
      </c>
      <c r="J8" s="242" t="s">
        <v>356</v>
      </c>
      <c r="K8" s="424" t="s">
        <v>373</v>
      </c>
      <c r="L8" s="425"/>
    </row>
    <row r="9" spans="1:13" ht="15.75" customHeight="1">
      <c r="A9" s="449"/>
      <c r="B9" s="452"/>
      <c r="C9" s="125">
        <v>2</v>
      </c>
      <c r="D9" s="416" t="s">
        <v>306</v>
      </c>
      <c r="E9" s="417"/>
      <c r="F9" s="418"/>
      <c r="G9" s="240">
        <v>17</v>
      </c>
      <c r="H9" s="240">
        <v>1325.1480111008327</v>
      </c>
      <c r="I9" s="240">
        <v>77.949883005931326</v>
      </c>
      <c r="J9" s="244" t="s">
        <v>361</v>
      </c>
      <c r="K9" s="454" t="s">
        <v>374</v>
      </c>
      <c r="L9" s="455"/>
    </row>
    <row r="10" spans="1:13" ht="15.75" customHeight="1">
      <c r="A10" s="449"/>
      <c r="B10" s="452"/>
      <c r="C10" s="125">
        <v>3</v>
      </c>
      <c r="D10" s="416" t="s">
        <v>305</v>
      </c>
      <c r="E10" s="417"/>
      <c r="F10" s="418"/>
      <c r="G10" s="240">
        <v>17.333333333333332</v>
      </c>
      <c r="H10" s="240">
        <v>1335.3497554950593</v>
      </c>
      <c r="I10" s="240">
        <v>77.283271857005204</v>
      </c>
      <c r="J10" s="244" t="s">
        <v>361</v>
      </c>
      <c r="K10" s="454"/>
      <c r="L10" s="455"/>
    </row>
    <row r="11" spans="1:13" ht="15.75" customHeight="1">
      <c r="A11" s="449"/>
      <c r="B11" s="452"/>
      <c r="C11" s="125">
        <v>4</v>
      </c>
      <c r="D11" s="416" t="s">
        <v>303</v>
      </c>
      <c r="E11" s="417"/>
      <c r="F11" s="418"/>
      <c r="G11" s="240">
        <v>18</v>
      </c>
      <c r="H11" s="240">
        <v>1377.0045087499032</v>
      </c>
      <c r="I11" s="240">
        <v>76.500250486105742</v>
      </c>
      <c r="J11" s="244" t="s">
        <v>361</v>
      </c>
      <c r="K11" s="454"/>
      <c r="L11" s="455"/>
    </row>
    <row r="12" spans="1:13" ht="15.75" customHeight="1">
      <c r="A12" s="449"/>
      <c r="B12" s="452"/>
      <c r="C12" s="125">
        <v>5</v>
      </c>
      <c r="D12" s="416"/>
      <c r="E12" s="417"/>
      <c r="F12" s="418"/>
      <c r="G12" s="126"/>
      <c r="H12" s="126"/>
      <c r="I12" s="126"/>
      <c r="J12" s="243"/>
      <c r="K12" s="458"/>
      <c r="L12" s="455"/>
    </row>
    <row r="13" spans="1:13" ht="15.75" customHeight="1">
      <c r="A13" s="449"/>
      <c r="B13" s="452"/>
      <c r="C13" s="155" t="s">
        <v>344</v>
      </c>
      <c r="D13" s="416" t="s">
        <v>300</v>
      </c>
      <c r="E13" s="417"/>
      <c r="F13" s="418"/>
      <c r="G13" s="240">
        <v>19</v>
      </c>
      <c r="H13" s="240">
        <v>1379.9826032112935</v>
      </c>
      <c r="I13" s="240">
        <v>72.630663326910181</v>
      </c>
      <c r="J13" s="243" t="s">
        <v>351</v>
      </c>
      <c r="K13" s="424" t="s">
        <v>375</v>
      </c>
      <c r="L13" s="425"/>
    </row>
    <row r="14" spans="1:13" ht="15.75" customHeight="1">
      <c r="A14" s="449"/>
      <c r="B14" s="452"/>
      <c r="C14" s="155" t="s">
        <v>345</v>
      </c>
      <c r="D14" s="416" t="s">
        <v>308</v>
      </c>
      <c r="E14" s="417"/>
      <c r="F14" s="418"/>
      <c r="G14" s="240">
        <v>17.333333333333332</v>
      </c>
      <c r="H14" s="240">
        <v>1281.4442524321555</v>
      </c>
      <c r="I14" s="240">
        <v>73.974623003323174</v>
      </c>
      <c r="J14" s="244" t="s">
        <v>361</v>
      </c>
      <c r="K14" s="456" t="s">
        <v>376</v>
      </c>
      <c r="L14" s="457"/>
    </row>
    <row r="15" spans="1:13" ht="15.75" customHeight="1">
      <c r="A15" s="449"/>
      <c r="B15" s="452"/>
      <c r="C15" s="155" t="s">
        <v>346</v>
      </c>
      <c r="D15" s="416" t="s">
        <v>309</v>
      </c>
      <c r="E15" s="417"/>
      <c r="F15" s="418"/>
      <c r="G15" s="240">
        <v>17.166666666666668</v>
      </c>
      <c r="H15" s="240">
        <v>1296.9760604185867</v>
      </c>
      <c r="I15" s="240">
        <v>75.581068136510851</v>
      </c>
      <c r="J15" s="243" t="s">
        <v>351</v>
      </c>
      <c r="K15" s="424" t="s">
        <v>375</v>
      </c>
      <c r="L15" s="425"/>
    </row>
    <row r="16" spans="1:13" ht="15.75" customHeight="1">
      <c r="A16" s="449"/>
      <c r="B16" s="452"/>
      <c r="C16" s="155" t="s">
        <v>348</v>
      </c>
      <c r="D16" s="416"/>
      <c r="E16" s="417"/>
      <c r="F16" s="418"/>
      <c r="G16" s="148"/>
      <c r="H16" s="240"/>
      <c r="I16" s="240"/>
      <c r="J16" s="244"/>
      <c r="K16" s="458"/>
      <c r="L16" s="455"/>
      <c r="M16" s="117"/>
    </row>
    <row r="17" spans="1:13" ht="15.75" customHeight="1">
      <c r="A17" s="450"/>
      <c r="B17" s="453"/>
      <c r="C17" s="155" t="s">
        <v>349</v>
      </c>
      <c r="D17" s="416"/>
      <c r="E17" s="417"/>
      <c r="F17" s="418"/>
      <c r="G17" s="126"/>
      <c r="H17" s="126"/>
      <c r="I17" s="126"/>
      <c r="J17" s="126"/>
      <c r="K17" s="458"/>
      <c r="L17" s="455"/>
      <c r="M17" s="117"/>
    </row>
    <row r="18" spans="1:13" s="122" customFormat="1" ht="15.75" customHeight="1">
      <c r="A18" s="463" t="s">
        <v>131</v>
      </c>
      <c r="B18" s="464"/>
      <c r="C18" s="289" t="s">
        <v>52</v>
      </c>
      <c r="D18" s="463" t="s">
        <v>53</v>
      </c>
      <c r="E18" s="465"/>
      <c r="F18" s="464"/>
      <c r="G18" s="289" t="s">
        <v>54</v>
      </c>
      <c r="H18" s="289" t="s">
        <v>338</v>
      </c>
      <c r="I18" s="289" t="s">
        <v>339</v>
      </c>
      <c r="J18" s="220" t="s">
        <v>340</v>
      </c>
      <c r="K18" s="463" t="s">
        <v>58</v>
      </c>
      <c r="L18" s="464"/>
      <c r="M18" s="147"/>
    </row>
    <row r="19" spans="1:13" ht="15.75" customHeight="1">
      <c r="A19" s="448">
        <v>8</v>
      </c>
      <c r="B19" s="451" t="s">
        <v>377</v>
      </c>
      <c r="C19" s="125">
        <v>1</v>
      </c>
      <c r="D19" s="416" t="s">
        <v>317</v>
      </c>
      <c r="E19" s="417"/>
      <c r="F19" s="418"/>
      <c r="G19" s="240">
        <v>20</v>
      </c>
      <c r="H19" s="240">
        <v>2476.6447905097129</v>
      </c>
      <c r="I19" s="240">
        <v>123.83223952548563</v>
      </c>
      <c r="J19" s="244" t="s">
        <v>361</v>
      </c>
      <c r="K19" s="462"/>
      <c r="L19" s="425"/>
      <c r="M19" s="117"/>
    </row>
    <row r="20" spans="1:13" ht="15.75" customHeight="1">
      <c r="A20" s="449"/>
      <c r="B20" s="452"/>
      <c r="C20" s="125">
        <v>2</v>
      </c>
      <c r="D20" s="416" t="s">
        <v>318</v>
      </c>
      <c r="E20" s="417"/>
      <c r="F20" s="418"/>
      <c r="G20" s="240">
        <v>20</v>
      </c>
      <c r="H20" s="240">
        <v>2472.665217842627</v>
      </c>
      <c r="I20" s="240">
        <v>123.63326089213137</v>
      </c>
      <c r="J20" s="244" t="s">
        <v>361</v>
      </c>
      <c r="K20" s="458"/>
      <c r="L20" s="455"/>
      <c r="M20" s="117"/>
    </row>
    <row r="21" spans="1:13" ht="15.75" customHeight="1">
      <c r="A21" s="449"/>
      <c r="B21" s="452"/>
      <c r="C21" s="125">
        <v>3</v>
      </c>
      <c r="D21" s="416" t="s">
        <v>315</v>
      </c>
      <c r="E21" s="417"/>
      <c r="F21" s="418"/>
      <c r="G21" s="240">
        <v>20</v>
      </c>
      <c r="H21" s="240">
        <v>2386.6183430841561</v>
      </c>
      <c r="I21" s="240">
        <v>119.3309171542078</v>
      </c>
      <c r="J21" s="244" t="s">
        <v>361</v>
      </c>
      <c r="K21" s="458"/>
      <c r="L21" s="455"/>
      <c r="M21" s="117"/>
    </row>
    <row r="22" spans="1:13" ht="15.75" customHeight="1">
      <c r="A22" s="449"/>
      <c r="B22" s="452"/>
      <c r="C22" s="125">
        <v>4</v>
      </c>
      <c r="D22" s="416"/>
      <c r="E22" s="417"/>
      <c r="F22" s="418"/>
      <c r="G22" s="240"/>
      <c r="H22" s="240"/>
      <c r="I22" s="240"/>
      <c r="J22" s="242"/>
      <c r="K22" s="458"/>
      <c r="L22" s="455"/>
      <c r="M22" s="117"/>
    </row>
    <row r="23" spans="1:13" ht="15.75" customHeight="1">
      <c r="A23" s="449"/>
      <c r="B23" s="452"/>
      <c r="C23" s="125">
        <v>5</v>
      </c>
      <c r="D23" s="416"/>
      <c r="E23" s="417"/>
      <c r="F23" s="418"/>
      <c r="G23" s="240"/>
      <c r="H23" s="240"/>
      <c r="I23" s="240"/>
      <c r="J23" s="126"/>
      <c r="K23" s="458"/>
      <c r="L23" s="455"/>
      <c r="M23" s="117"/>
    </row>
    <row r="24" spans="1:13" ht="15.75" customHeight="1">
      <c r="A24" s="449"/>
      <c r="B24" s="452"/>
      <c r="C24" s="155" t="s">
        <v>344</v>
      </c>
      <c r="D24" s="416" t="s">
        <v>314</v>
      </c>
      <c r="E24" s="417"/>
      <c r="F24" s="418" t="s">
        <v>314</v>
      </c>
      <c r="G24" s="240">
        <v>21</v>
      </c>
      <c r="H24" s="240">
        <v>2182.5364054566089</v>
      </c>
      <c r="I24" s="240">
        <v>103.93030502174327</v>
      </c>
      <c r="J24" s="244" t="s">
        <v>361</v>
      </c>
      <c r="K24" s="462"/>
      <c r="L24" s="425"/>
      <c r="M24" s="117"/>
    </row>
    <row r="25" spans="1:13" ht="15.75" customHeight="1">
      <c r="A25" s="449"/>
      <c r="B25" s="452"/>
      <c r="C25" s="155" t="s">
        <v>345</v>
      </c>
      <c r="D25" s="416" t="s">
        <v>316</v>
      </c>
      <c r="E25" s="417"/>
      <c r="F25" s="418" t="s">
        <v>320</v>
      </c>
      <c r="G25" s="240">
        <v>20</v>
      </c>
      <c r="H25" s="240">
        <v>2282.1896551724135</v>
      </c>
      <c r="I25" s="240">
        <v>114.10948275862069</v>
      </c>
      <c r="J25" s="244" t="s">
        <v>361</v>
      </c>
      <c r="K25" s="458"/>
      <c r="L25" s="455"/>
      <c r="M25" s="117"/>
    </row>
    <row r="26" spans="1:13" ht="15.75" customHeight="1">
      <c r="A26" s="449"/>
      <c r="B26" s="452"/>
      <c r="C26" s="155" t="s">
        <v>346</v>
      </c>
      <c r="D26" s="416"/>
      <c r="E26" s="417"/>
      <c r="F26" s="418"/>
      <c r="G26" s="240"/>
      <c r="H26" s="240"/>
      <c r="I26" s="240"/>
      <c r="J26" s="244"/>
      <c r="K26" s="458"/>
      <c r="L26" s="455"/>
      <c r="M26" s="117"/>
    </row>
    <row r="27" spans="1:13" ht="15.75" customHeight="1">
      <c r="A27" s="449"/>
      <c r="B27" s="452"/>
      <c r="C27" s="155" t="s">
        <v>348</v>
      </c>
      <c r="D27" s="416"/>
      <c r="E27" s="417"/>
      <c r="F27" s="418"/>
      <c r="G27" s="126"/>
      <c r="H27" s="126"/>
      <c r="I27" s="126"/>
      <c r="J27" s="126"/>
      <c r="K27" s="458"/>
      <c r="L27" s="455"/>
      <c r="M27" s="117"/>
    </row>
    <row r="28" spans="1:13" ht="15.75" customHeight="1">
      <c r="A28" s="450"/>
      <c r="B28" s="453"/>
      <c r="C28" s="155" t="s">
        <v>349</v>
      </c>
      <c r="D28" s="416"/>
      <c r="E28" s="417"/>
      <c r="F28" s="418"/>
      <c r="G28" s="126"/>
      <c r="H28" s="126"/>
      <c r="I28" s="126"/>
      <c r="J28" s="126"/>
      <c r="K28" s="458"/>
      <c r="L28" s="455"/>
      <c r="M28" s="117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10:F10"/>
    <mergeCell ref="K8:L8"/>
    <mergeCell ref="D8:F8"/>
    <mergeCell ref="K9:L9"/>
    <mergeCell ref="D9:F9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9" sqref="D9:F9"/>
    </sheetView>
  </sheetViews>
  <sheetFormatPr defaultColWidth="12.5703125" defaultRowHeight="15.75" customHeight="1"/>
  <cols>
    <col min="1" max="1" width="6.42578125" style="117" customWidth="1"/>
    <col min="2" max="10" width="11.5703125" style="117" customWidth="1"/>
    <col min="11" max="12" width="12.85546875" style="117" customWidth="1"/>
    <col min="13" max="13" width="12.5703125" style="118"/>
    <col min="14" max="16384" width="12.5703125" style="117"/>
  </cols>
  <sheetData>
    <row r="1" spans="1:13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117"/>
    </row>
    <row r="2" spans="1:13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3" ht="15.75" customHeight="1">
      <c r="A3" s="434" t="s">
        <v>328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117"/>
    </row>
    <row r="4" spans="1:13" s="118" customFormat="1" ht="15.75" customHeight="1">
      <c r="A4" s="434"/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4"/>
    </row>
    <row r="5" spans="1:13" s="124" customFormat="1" ht="16.350000000000001" customHeight="1">
      <c r="A5" s="448" t="s">
        <v>197</v>
      </c>
      <c r="B5" s="148">
        <v>1</v>
      </c>
      <c r="C5" s="148">
        <v>2</v>
      </c>
      <c r="D5" s="148">
        <v>3</v>
      </c>
      <c r="E5" s="148">
        <v>4</v>
      </c>
      <c r="F5" s="148">
        <v>5</v>
      </c>
      <c r="G5" s="148">
        <v>6</v>
      </c>
      <c r="H5" s="148">
        <v>7</v>
      </c>
      <c r="I5" s="148">
        <v>8</v>
      </c>
      <c r="J5" s="156">
        <v>9</v>
      </c>
      <c r="K5" s="146"/>
      <c r="L5" s="146"/>
      <c r="M5" s="146"/>
    </row>
    <row r="6" spans="1:13" ht="16.350000000000001" customHeight="1">
      <c r="A6" s="450"/>
      <c r="B6" s="149" t="s">
        <v>329</v>
      </c>
      <c r="C6" s="149" t="s">
        <v>330</v>
      </c>
      <c r="D6" s="149" t="s">
        <v>331</v>
      </c>
      <c r="E6" s="149" t="s">
        <v>332</v>
      </c>
      <c r="F6" s="135" t="s">
        <v>333</v>
      </c>
      <c r="G6" s="150" t="s">
        <v>334</v>
      </c>
      <c r="H6" s="151" t="s">
        <v>335</v>
      </c>
      <c r="I6" s="150" t="s">
        <v>336</v>
      </c>
      <c r="J6" s="159" t="s">
        <v>337</v>
      </c>
      <c r="K6" s="147"/>
      <c r="L6" s="147"/>
    </row>
    <row r="7" spans="1:13" s="124" customFormat="1" ht="15.75" customHeight="1">
      <c r="A7" s="459" t="s">
        <v>131</v>
      </c>
      <c r="B7" s="460"/>
      <c r="C7" s="153" t="s">
        <v>52</v>
      </c>
      <c r="D7" s="459" t="s">
        <v>53</v>
      </c>
      <c r="E7" s="461"/>
      <c r="F7" s="460"/>
      <c r="G7" s="153" t="s">
        <v>54</v>
      </c>
      <c r="H7" s="153" t="s">
        <v>338</v>
      </c>
      <c r="I7" s="153" t="s">
        <v>339</v>
      </c>
      <c r="J7" s="220" t="s">
        <v>340</v>
      </c>
      <c r="K7" s="459" t="s">
        <v>58</v>
      </c>
      <c r="L7" s="460"/>
      <c r="M7" s="146"/>
    </row>
    <row r="8" spans="1:13" ht="15.75" customHeight="1">
      <c r="A8" s="448">
        <f>J5</f>
        <v>9</v>
      </c>
      <c r="B8" s="451" t="str">
        <f>J6</f>
        <v>微波小吃</v>
      </c>
      <c r="C8" s="125">
        <v>1</v>
      </c>
      <c r="D8" s="443" t="s">
        <v>326</v>
      </c>
      <c r="E8" s="444"/>
      <c r="F8" s="445"/>
      <c r="G8" s="240">
        <v>8</v>
      </c>
      <c r="H8" s="240">
        <v>1515.1749196646663</v>
      </c>
      <c r="I8" s="240">
        <v>189.39686495808328</v>
      </c>
      <c r="J8" s="241" t="s">
        <v>341</v>
      </c>
      <c r="K8" s="424"/>
      <c r="L8" s="425"/>
    </row>
    <row r="9" spans="1:13" ht="15.75" customHeight="1">
      <c r="A9" s="449"/>
      <c r="B9" s="452"/>
      <c r="C9" s="125">
        <v>2</v>
      </c>
      <c r="D9" s="443" t="s">
        <v>321</v>
      </c>
      <c r="E9" s="444"/>
      <c r="F9" s="445"/>
      <c r="G9" s="240">
        <v>8</v>
      </c>
      <c r="H9" s="240">
        <v>1210.2206959706962</v>
      </c>
      <c r="I9" s="240">
        <v>151.27758699633702</v>
      </c>
      <c r="J9" s="241" t="s">
        <v>341</v>
      </c>
      <c r="K9" s="458"/>
      <c r="L9" s="455"/>
    </row>
    <row r="10" spans="1:13" ht="15.75" customHeight="1">
      <c r="A10" s="449"/>
      <c r="B10" s="452"/>
      <c r="C10" s="125">
        <v>3</v>
      </c>
      <c r="D10" s="443" t="s">
        <v>322</v>
      </c>
      <c r="E10" s="444"/>
      <c r="F10" s="445"/>
      <c r="G10" s="240">
        <v>14.833333333333334</v>
      </c>
      <c r="H10" s="240">
        <v>1216.1355250248444</v>
      </c>
      <c r="I10" s="240">
        <v>82.023102851018265</v>
      </c>
      <c r="J10" s="241" t="s">
        <v>341</v>
      </c>
      <c r="K10" s="458"/>
      <c r="L10" s="455"/>
    </row>
    <row r="11" spans="1:13" ht="15.75" customHeight="1">
      <c r="A11" s="449"/>
      <c r="B11" s="452"/>
      <c r="C11" s="125">
        <v>4</v>
      </c>
      <c r="D11" s="443"/>
      <c r="E11" s="444"/>
      <c r="F11" s="445"/>
      <c r="G11" s="126"/>
      <c r="H11" s="126"/>
      <c r="I11" s="126"/>
      <c r="J11" s="126"/>
      <c r="K11" s="458"/>
      <c r="L11" s="455"/>
    </row>
    <row r="12" spans="1:13" ht="15.75" customHeight="1">
      <c r="A12" s="449"/>
      <c r="B12" s="452"/>
      <c r="C12" s="125">
        <v>5</v>
      </c>
      <c r="D12" s="443"/>
      <c r="E12" s="444"/>
      <c r="F12" s="445"/>
      <c r="G12" s="126"/>
      <c r="H12" s="126"/>
      <c r="I12" s="126"/>
      <c r="J12" s="126"/>
      <c r="K12" s="458"/>
      <c r="L12" s="455"/>
    </row>
    <row r="13" spans="1:13" ht="15.75" customHeight="1">
      <c r="A13" s="449"/>
      <c r="B13" s="452"/>
      <c r="C13" s="155" t="s">
        <v>344</v>
      </c>
      <c r="D13" s="443" t="s">
        <v>324</v>
      </c>
      <c r="E13" s="444"/>
      <c r="F13" s="445" t="s">
        <v>324</v>
      </c>
      <c r="G13" s="148">
        <v>20</v>
      </c>
      <c r="H13" s="240">
        <v>1092.708356517566</v>
      </c>
      <c r="I13" s="240">
        <v>54.635417825878307</v>
      </c>
      <c r="J13" s="241" t="s">
        <v>341</v>
      </c>
      <c r="K13" s="462"/>
      <c r="L13" s="425"/>
    </row>
    <row r="14" spans="1:13" ht="15.75" customHeight="1">
      <c r="A14" s="449"/>
      <c r="B14" s="452"/>
      <c r="C14" s="155" t="s">
        <v>345</v>
      </c>
      <c r="D14" s="443" t="s">
        <v>323</v>
      </c>
      <c r="E14" s="444"/>
      <c r="F14" s="445" t="s">
        <v>323</v>
      </c>
      <c r="G14" s="240">
        <v>18</v>
      </c>
      <c r="H14" s="240">
        <v>1274.2714704052996</v>
      </c>
      <c r="I14" s="240">
        <v>70.79285946696109</v>
      </c>
      <c r="J14" s="241" t="s">
        <v>341</v>
      </c>
      <c r="K14" s="454" t="s">
        <v>378</v>
      </c>
      <c r="L14" s="455"/>
    </row>
    <row r="15" spans="1:13" ht="15.75" customHeight="1">
      <c r="A15" s="449"/>
      <c r="B15" s="452"/>
      <c r="C15" s="155" t="s">
        <v>346</v>
      </c>
      <c r="D15" s="443"/>
      <c r="E15" s="444"/>
      <c r="F15" s="445"/>
      <c r="G15" s="126"/>
      <c r="H15" s="126"/>
      <c r="I15" s="126"/>
      <c r="J15" s="126"/>
      <c r="K15" s="458"/>
      <c r="L15" s="455"/>
    </row>
    <row r="16" spans="1:13" ht="15.75" customHeight="1">
      <c r="A16" s="449"/>
      <c r="B16" s="452"/>
      <c r="C16" s="155" t="s">
        <v>348</v>
      </c>
      <c r="D16" s="301"/>
      <c r="E16" s="302"/>
      <c r="F16" s="303"/>
      <c r="G16" s="126"/>
      <c r="H16" s="126"/>
      <c r="I16" s="126"/>
      <c r="J16" s="126"/>
      <c r="K16" s="458"/>
      <c r="L16" s="455"/>
      <c r="M16" s="117"/>
    </row>
    <row r="17" spans="1:13" ht="15.75" customHeight="1">
      <c r="A17" s="450"/>
      <c r="B17" s="453"/>
      <c r="C17" s="155" t="s">
        <v>349</v>
      </c>
      <c r="D17" s="443"/>
      <c r="E17" s="444"/>
      <c r="F17" s="445"/>
      <c r="G17" s="126"/>
      <c r="H17" s="126"/>
      <c r="I17" s="126"/>
      <c r="J17" s="126"/>
      <c r="K17" s="458"/>
      <c r="L17" s="455"/>
      <c r="M17" s="117"/>
    </row>
    <row r="18" spans="1:13" s="122" customFormat="1" ht="15.75" customHeight="1">
      <c r="A18" s="463" t="s">
        <v>131</v>
      </c>
      <c r="B18" s="464"/>
      <c r="C18" s="289" t="s">
        <v>52</v>
      </c>
      <c r="D18" s="463" t="s">
        <v>53</v>
      </c>
      <c r="E18" s="465"/>
      <c r="F18" s="464"/>
      <c r="G18" s="289" t="s">
        <v>54</v>
      </c>
      <c r="H18" s="289" t="s">
        <v>338</v>
      </c>
      <c r="I18" s="289" t="s">
        <v>339</v>
      </c>
      <c r="J18" s="220" t="s">
        <v>340</v>
      </c>
      <c r="K18" s="463" t="s">
        <v>58</v>
      </c>
      <c r="L18" s="464"/>
      <c r="M18" s="147"/>
    </row>
    <row r="19" spans="1:13" ht="15.75" customHeight="1">
      <c r="A19" s="448"/>
      <c r="B19" s="451"/>
      <c r="C19" s="125">
        <v>1</v>
      </c>
      <c r="D19" s="462"/>
      <c r="E19" s="467"/>
      <c r="F19" s="425"/>
      <c r="G19" s="126"/>
      <c r="H19" s="126"/>
      <c r="I19" s="126"/>
      <c r="J19" s="126"/>
      <c r="K19" s="462"/>
      <c r="L19" s="425"/>
      <c r="M19" s="117"/>
    </row>
    <row r="20" spans="1:13" ht="15.75" customHeight="1">
      <c r="A20" s="449"/>
      <c r="B20" s="452"/>
      <c r="C20" s="125">
        <v>2</v>
      </c>
      <c r="D20" s="458"/>
      <c r="E20" s="466"/>
      <c r="F20" s="455"/>
      <c r="G20" s="126"/>
      <c r="H20" s="126"/>
      <c r="I20" s="126"/>
      <c r="J20" s="126"/>
      <c r="K20" s="458"/>
      <c r="L20" s="455"/>
      <c r="M20" s="117"/>
    </row>
    <row r="21" spans="1:13" ht="15.75" customHeight="1">
      <c r="A21" s="449"/>
      <c r="B21" s="452"/>
      <c r="C21" s="125">
        <v>3</v>
      </c>
      <c r="D21" s="458"/>
      <c r="E21" s="466"/>
      <c r="F21" s="455"/>
      <c r="G21" s="126"/>
      <c r="H21" s="126"/>
      <c r="I21" s="126"/>
      <c r="J21" s="126"/>
      <c r="K21" s="458"/>
      <c r="L21" s="455"/>
      <c r="M21" s="117"/>
    </row>
    <row r="22" spans="1:13" ht="15.75" customHeight="1">
      <c r="A22" s="449"/>
      <c r="B22" s="452"/>
      <c r="C22" s="125">
        <v>4</v>
      </c>
      <c r="D22" s="458"/>
      <c r="E22" s="466"/>
      <c r="F22" s="455"/>
      <c r="G22" s="126"/>
      <c r="H22" s="126"/>
      <c r="I22" s="126"/>
      <c r="J22" s="126"/>
      <c r="K22" s="458"/>
      <c r="L22" s="455"/>
      <c r="M22" s="117"/>
    </row>
    <row r="23" spans="1:13" ht="15.75" customHeight="1">
      <c r="A23" s="449"/>
      <c r="B23" s="452"/>
      <c r="C23" s="125">
        <v>5</v>
      </c>
      <c r="D23" s="458"/>
      <c r="E23" s="466"/>
      <c r="F23" s="455"/>
      <c r="G23" s="126"/>
      <c r="H23" s="126"/>
      <c r="I23" s="126"/>
      <c r="J23" s="126"/>
      <c r="K23" s="458"/>
      <c r="L23" s="455"/>
      <c r="M23" s="117"/>
    </row>
    <row r="24" spans="1:13" ht="15.75" customHeight="1">
      <c r="A24" s="449"/>
      <c r="B24" s="452"/>
      <c r="C24" s="155" t="s">
        <v>344</v>
      </c>
      <c r="D24" s="462"/>
      <c r="E24" s="467"/>
      <c r="F24" s="425"/>
      <c r="G24" s="126"/>
      <c r="H24" s="126"/>
      <c r="I24" s="126"/>
      <c r="J24" s="126"/>
      <c r="K24" s="462"/>
      <c r="L24" s="425"/>
      <c r="M24" s="117"/>
    </row>
    <row r="25" spans="1:13" ht="15.75" customHeight="1">
      <c r="A25" s="449"/>
      <c r="B25" s="452"/>
      <c r="C25" s="155" t="s">
        <v>345</v>
      </c>
      <c r="D25" s="458"/>
      <c r="E25" s="466"/>
      <c r="F25" s="455"/>
      <c r="G25" s="126"/>
      <c r="H25" s="126"/>
      <c r="I25" s="126"/>
      <c r="J25" s="126"/>
      <c r="K25" s="458"/>
      <c r="L25" s="455"/>
      <c r="M25" s="117"/>
    </row>
    <row r="26" spans="1:13" ht="15.75" customHeight="1">
      <c r="A26" s="449"/>
      <c r="B26" s="452"/>
      <c r="C26" s="155" t="s">
        <v>346</v>
      </c>
      <c r="D26" s="458"/>
      <c r="E26" s="466"/>
      <c r="F26" s="455"/>
      <c r="G26" s="126"/>
      <c r="H26" s="126"/>
      <c r="I26" s="126"/>
      <c r="J26" s="126"/>
      <c r="K26" s="458"/>
      <c r="L26" s="455"/>
      <c r="M26" s="117"/>
    </row>
    <row r="27" spans="1:13" ht="15.75" customHeight="1">
      <c r="A27" s="449"/>
      <c r="B27" s="452"/>
      <c r="C27" s="155" t="s">
        <v>348</v>
      </c>
      <c r="D27" s="458"/>
      <c r="E27" s="466"/>
      <c r="F27" s="455"/>
      <c r="G27" s="126"/>
      <c r="H27" s="126"/>
      <c r="I27" s="126"/>
      <c r="J27" s="126"/>
      <c r="K27" s="458"/>
      <c r="L27" s="455"/>
      <c r="M27" s="117"/>
    </row>
    <row r="28" spans="1:13" ht="15.75" customHeight="1">
      <c r="A28" s="450"/>
      <c r="B28" s="453"/>
      <c r="C28" s="155" t="s">
        <v>349</v>
      </c>
      <c r="D28" s="458"/>
      <c r="E28" s="466"/>
      <c r="F28" s="455"/>
      <c r="G28" s="126"/>
      <c r="H28" s="126"/>
      <c r="I28" s="126"/>
      <c r="J28" s="126"/>
      <c r="K28" s="458"/>
      <c r="L28" s="455"/>
      <c r="M28" s="117"/>
    </row>
  </sheetData>
  <mergeCells count="52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6" customWidth="1"/>
    <col min="2" max="2" width="14.85546875" style="176" customWidth="1"/>
    <col min="3" max="3" width="12.85546875" style="176" customWidth="1"/>
    <col min="4" max="4" width="2.5703125" style="176" customWidth="1"/>
    <col min="5" max="5" width="7.5703125" style="176" customWidth="1"/>
    <col min="6" max="6" width="12.85546875" style="176" customWidth="1"/>
    <col min="7" max="7" width="9.42578125" style="176" customWidth="1"/>
    <col min="8" max="8" width="12.85546875" style="176" customWidth="1"/>
    <col min="9" max="9" width="9.42578125" style="176" customWidth="1"/>
    <col min="10" max="10" width="12.85546875" style="176" customWidth="1"/>
    <col min="11" max="11" width="9.42578125" style="176" customWidth="1"/>
    <col min="12" max="12" width="12.85546875" style="176" customWidth="1"/>
    <col min="13" max="13" width="9.42578125" style="176" customWidth="1"/>
    <col min="14" max="16384" width="12.5703125" style="176"/>
  </cols>
  <sheetData>
    <row r="1" spans="1:13" ht="15.75" customHeight="1">
      <c r="A1" s="470" t="s">
        <v>327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</row>
    <row r="2" spans="1:13" s="177" customFormat="1" ht="15.75" customHeight="1">
      <c r="A2" s="470"/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</row>
    <row r="3" spans="1:13" ht="15.75" customHeight="1">
      <c r="A3" s="471" t="s">
        <v>379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</row>
    <row r="4" spans="1:13" s="177" customFormat="1" ht="15.75" customHeight="1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</row>
    <row r="5" spans="1:13" ht="15.75" customHeight="1">
      <c r="A5" s="178" t="s">
        <v>380</v>
      </c>
      <c r="B5" s="179">
        <v>212376150</v>
      </c>
    </row>
    <row r="6" spans="1:13" ht="15.75" customHeight="1">
      <c r="A6" s="472" t="s">
        <v>105</v>
      </c>
      <c r="B6" s="473" t="s">
        <v>47</v>
      </c>
      <c r="C6" s="473"/>
      <c r="D6" s="474"/>
      <c r="E6" s="472" t="s">
        <v>105</v>
      </c>
      <c r="F6" s="476">
        <v>1</v>
      </c>
      <c r="G6" s="476"/>
      <c r="H6" s="476">
        <v>2</v>
      </c>
      <c r="I6" s="476"/>
      <c r="J6" s="476">
        <v>3</v>
      </c>
      <c r="K6" s="476"/>
      <c r="L6" s="476">
        <v>4</v>
      </c>
      <c r="M6" s="476"/>
    </row>
    <row r="7" spans="1:13" ht="31.35" customHeight="1">
      <c r="A7" s="472"/>
      <c r="B7" s="473"/>
      <c r="C7" s="473"/>
      <c r="D7" s="475"/>
      <c r="E7" s="472"/>
      <c r="F7" s="468" t="s">
        <v>381</v>
      </c>
      <c r="G7" s="468"/>
      <c r="H7" s="468" t="s">
        <v>382</v>
      </c>
      <c r="I7" s="468"/>
      <c r="J7" s="468" t="s">
        <v>383</v>
      </c>
      <c r="K7" s="468"/>
      <c r="L7" s="468" t="s">
        <v>384</v>
      </c>
      <c r="M7" s="468"/>
    </row>
    <row r="8" spans="1:13" ht="15.75" customHeight="1">
      <c r="A8" s="472"/>
      <c r="B8" s="212" t="s">
        <v>50</v>
      </c>
      <c r="C8" s="212" t="s">
        <v>15</v>
      </c>
      <c r="D8" s="475"/>
      <c r="E8" s="472"/>
      <c r="F8" s="212" t="s">
        <v>50</v>
      </c>
      <c r="G8" s="212" t="s">
        <v>15</v>
      </c>
      <c r="H8" s="212" t="s">
        <v>50</v>
      </c>
      <c r="I8" s="212" t="s">
        <v>15</v>
      </c>
      <c r="J8" s="212" t="s">
        <v>50</v>
      </c>
      <c r="K8" s="212" t="s">
        <v>15</v>
      </c>
      <c r="L8" s="212" t="s">
        <v>50</v>
      </c>
      <c r="M8" s="212" t="s">
        <v>15</v>
      </c>
    </row>
    <row r="9" spans="1:13" ht="19.350000000000001" customHeight="1">
      <c r="A9" s="180" t="s">
        <v>385</v>
      </c>
      <c r="B9" s="181">
        <v>47927.00699999994</v>
      </c>
      <c r="C9" s="182">
        <f>B9/$B$5</f>
        <v>2.256703824793883E-4</v>
      </c>
      <c r="D9" s="475"/>
      <c r="E9" s="180" t="s">
        <v>385</v>
      </c>
      <c r="F9" s="183">
        <v>1423.9050000000002</v>
      </c>
      <c r="G9" s="184">
        <f>IFERROR(F9/$B$9,"")</f>
        <v>2.9709866923256903E-2</v>
      </c>
      <c r="H9" s="183">
        <v>5535.9419999999991</v>
      </c>
      <c r="I9" s="184">
        <f>IFERROR(H9/$B$9,"")</f>
        <v>0.11550777623146812</v>
      </c>
      <c r="J9" s="183">
        <v>6691.5360000000019</v>
      </c>
      <c r="K9" s="184">
        <f t="shared" ref="K9" si="0">IFERROR(J9/$B$9,"")</f>
        <v>0.13961931735065389</v>
      </c>
      <c r="L9" s="183">
        <v>17258.763000000006</v>
      </c>
      <c r="M9" s="184">
        <f>IFERROR(L9/$B$9,"")</f>
        <v>0.36010516993059943</v>
      </c>
    </row>
    <row r="10" spans="1:13" ht="19.350000000000001" customHeight="1">
      <c r="A10" s="185" t="s">
        <v>386</v>
      </c>
      <c r="B10" s="186">
        <v>69974.579191980054</v>
      </c>
      <c r="C10" s="182">
        <f>B10/$B$5</f>
        <v>3.2948416849999424E-4</v>
      </c>
      <c r="D10" s="475"/>
      <c r="E10" s="185" t="s">
        <v>386</v>
      </c>
      <c r="F10" s="183">
        <v>1179.8078200000007</v>
      </c>
      <c r="G10" s="184">
        <f>IFERROR(F10/$B$10,"")</f>
        <v>1.6860520400746062E-2</v>
      </c>
      <c r="H10" s="183">
        <v>3563.9139100000007</v>
      </c>
      <c r="I10" s="184">
        <f>IFERROR(H10/$B$10,"")</f>
        <v>5.0931551874319365E-2</v>
      </c>
      <c r="J10" s="183">
        <v>3130.998689999999</v>
      </c>
      <c r="K10" s="184">
        <f>IFERROR(J10/$B$10,"")</f>
        <v>4.4744801986016804E-2</v>
      </c>
      <c r="L10" s="183">
        <v>14381.948886699534</v>
      </c>
      <c r="M10" s="184">
        <f>IFERROR(L10/$B$10,"")</f>
        <v>0.20553105217312806</v>
      </c>
    </row>
    <row r="11" spans="1:13" ht="15.75" customHeight="1">
      <c r="D11" s="475"/>
      <c r="E11" s="472" t="s">
        <v>105</v>
      </c>
      <c r="F11" s="476">
        <v>5</v>
      </c>
      <c r="G11" s="476"/>
      <c r="H11" s="476">
        <v>6</v>
      </c>
      <c r="I11" s="476"/>
      <c r="J11" s="476">
        <v>7</v>
      </c>
      <c r="K11" s="476"/>
      <c r="L11" s="477">
        <v>8</v>
      </c>
      <c r="M11" s="477"/>
    </row>
    <row r="12" spans="1:13" ht="31.35" customHeight="1">
      <c r="D12" s="475"/>
      <c r="E12" s="472"/>
      <c r="F12" s="468" t="s">
        <v>387</v>
      </c>
      <c r="G12" s="468"/>
      <c r="H12" s="468" t="s">
        <v>388</v>
      </c>
      <c r="I12" s="468"/>
      <c r="J12" s="468" t="s">
        <v>389</v>
      </c>
      <c r="K12" s="468"/>
      <c r="L12" s="469" t="s">
        <v>390</v>
      </c>
      <c r="M12" s="469"/>
    </row>
    <row r="13" spans="1:13" ht="15.75" customHeight="1">
      <c r="D13" s="475"/>
      <c r="E13" s="472"/>
      <c r="F13" s="212" t="s">
        <v>50</v>
      </c>
      <c r="G13" s="212" t="s">
        <v>15</v>
      </c>
      <c r="H13" s="212" t="s">
        <v>50</v>
      </c>
      <c r="I13" s="212" t="s">
        <v>15</v>
      </c>
      <c r="J13" s="212" t="s">
        <v>50</v>
      </c>
      <c r="K13" s="212" t="s">
        <v>15</v>
      </c>
      <c r="L13" s="212" t="s">
        <v>50</v>
      </c>
      <c r="M13" s="212" t="s">
        <v>15</v>
      </c>
    </row>
    <row r="14" spans="1:13" ht="19.350000000000001" customHeight="1">
      <c r="D14" s="475"/>
      <c r="E14" s="180" t="s">
        <v>385</v>
      </c>
      <c r="F14" s="183">
        <v>12460.915000000001</v>
      </c>
      <c r="G14" s="184">
        <f>IFERROR(F14/$B$9,"")</f>
        <v>0.25999777119401629</v>
      </c>
      <c r="H14" s="183">
        <v>1494.27</v>
      </c>
      <c r="I14" s="184">
        <f t="shared" ref="I14" si="1">IFERROR(H14/$B$9,"")</f>
        <v>3.1178037051218365E-2</v>
      </c>
      <c r="J14" s="183">
        <v>3061.675999999999</v>
      </c>
      <c r="K14" s="184">
        <f t="shared" ref="K14" si="2">IFERROR(J14/$B$9,"")</f>
        <v>6.3882061318788444E-2</v>
      </c>
      <c r="L14" s="183">
        <v>0</v>
      </c>
      <c r="M14" s="184">
        <f t="shared" ref="M14" si="3">IFERROR(L14/$B$9,"")</f>
        <v>0</v>
      </c>
    </row>
    <row r="15" spans="1:13" ht="19.350000000000001" customHeight="1">
      <c r="D15" s="475"/>
      <c r="E15" s="185" t="s">
        <v>386</v>
      </c>
      <c r="F15" s="183">
        <v>30846.731825280494</v>
      </c>
      <c r="G15" s="184">
        <f>IFERROR(F15/$B$10,"")</f>
        <v>0.44082768601795191</v>
      </c>
      <c r="H15" s="183">
        <v>12704.309300000044</v>
      </c>
      <c r="I15" s="184">
        <f>IFERROR(H15/$B$10,"")</f>
        <v>0.18155606574131589</v>
      </c>
      <c r="J15" s="183">
        <v>3994.7131600000112</v>
      </c>
      <c r="K15" s="184">
        <f>IFERROR(J15/$B$10,"")</f>
        <v>5.7088062638293857E-2</v>
      </c>
      <c r="L15" s="183"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54"/>
  <sheetViews>
    <sheetView topLeftCell="A27" zoomScale="110" zoomScaleNormal="110" zoomScaleSheetLayoutView="115" workbookViewId="0">
      <selection activeCell="L64" sqref="L64"/>
    </sheetView>
  </sheetViews>
  <sheetFormatPr defaultColWidth="12.5703125" defaultRowHeight="15.75" customHeight="1"/>
  <cols>
    <col min="1" max="1" width="7.5703125" style="176" customWidth="1"/>
    <col min="2" max="2" width="14.85546875" style="176" customWidth="1"/>
    <col min="3" max="3" width="12.85546875" style="176" customWidth="1"/>
    <col min="4" max="4" width="2.5703125" style="176" customWidth="1"/>
    <col min="5" max="5" width="7.5703125" style="176" customWidth="1"/>
    <col min="6" max="6" width="12.85546875" style="176" customWidth="1"/>
    <col min="7" max="7" width="9.42578125" style="176" customWidth="1"/>
    <col min="8" max="8" width="12.85546875" style="176" customWidth="1"/>
    <col min="9" max="9" width="9.42578125" style="176" customWidth="1"/>
    <col min="10" max="10" width="12.85546875" style="176" customWidth="1"/>
    <col min="11" max="11" width="9.42578125" style="176" customWidth="1"/>
    <col min="12" max="12" width="12.85546875" style="176" customWidth="1"/>
    <col min="13" max="13" width="9.42578125" style="176" customWidth="1"/>
    <col min="14" max="16384" width="12.5703125" style="176"/>
  </cols>
  <sheetData>
    <row r="1" spans="1:13" ht="15.75" customHeight="1">
      <c r="A1" s="470" t="s">
        <v>327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</row>
    <row r="2" spans="1:13" s="177" customFormat="1" ht="15.75" customHeight="1">
      <c r="A2" s="470"/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</row>
    <row r="3" spans="1:13" ht="15.75" customHeight="1">
      <c r="A3" s="471" t="s">
        <v>391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</row>
    <row r="4" spans="1:13" s="177" customFormat="1" ht="15.75" customHeight="1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</row>
    <row r="5" spans="1:13" ht="15.75" customHeight="1">
      <c r="A5" s="178" t="s">
        <v>380</v>
      </c>
      <c r="B5" s="179">
        <v>75872986</v>
      </c>
    </row>
    <row r="6" spans="1:13" ht="15.75" customHeight="1">
      <c r="A6" s="472" t="s">
        <v>105</v>
      </c>
      <c r="B6" s="473" t="s">
        <v>47</v>
      </c>
      <c r="C6" s="473"/>
      <c r="D6" s="474"/>
      <c r="E6" s="472" t="s">
        <v>105</v>
      </c>
      <c r="F6" s="476">
        <v>1</v>
      </c>
      <c r="G6" s="476"/>
      <c r="H6" s="476">
        <v>2</v>
      </c>
      <c r="I6" s="476"/>
      <c r="J6" s="476">
        <v>3</v>
      </c>
      <c r="K6" s="476"/>
      <c r="L6" s="476">
        <v>4</v>
      </c>
      <c r="M6" s="476"/>
    </row>
    <row r="7" spans="1:13" ht="31.35" customHeight="1">
      <c r="A7" s="472"/>
      <c r="B7" s="473"/>
      <c r="C7" s="473"/>
      <c r="D7" s="475"/>
      <c r="E7" s="472"/>
      <c r="F7" s="468" t="s">
        <v>381</v>
      </c>
      <c r="G7" s="468"/>
      <c r="H7" s="468" t="s">
        <v>382</v>
      </c>
      <c r="I7" s="468"/>
      <c r="J7" s="468" t="s">
        <v>383</v>
      </c>
      <c r="K7" s="468"/>
      <c r="L7" s="468" t="s">
        <v>384</v>
      </c>
      <c r="M7" s="468"/>
    </row>
    <row r="8" spans="1:13" ht="15.75" customHeight="1">
      <c r="A8" s="472"/>
      <c r="B8" s="212" t="s">
        <v>50</v>
      </c>
      <c r="C8" s="212" t="s">
        <v>15</v>
      </c>
      <c r="D8" s="475"/>
      <c r="E8" s="472"/>
      <c r="F8" s="212" t="s">
        <v>50</v>
      </c>
      <c r="G8" s="212" t="s">
        <v>15</v>
      </c>
      <c r="H8" s="212" t="s">
        <v>50</v>
      </c>
      <c r="I8" s="212" t="s">
        <v>15</v>
      </c>
      <c r="J8" s="212" t="s">
        <v>50</v>
      </c>
      <c r="K8" s="212" t="s">
        <v>15</v>
      </c>
      <c r="L8" s="212" t="s">
        <v>50</v>
      </c>
      <c r="M8" s="212" t="s">
        <v>15</v>
      </c>
    </row>
    <row r="9" spans="1:13" ht="19.350000000000001" customHeight="1">
      <c r="A9" s="180" t="s">
        <v>385</v>
      </c>
      <c r="B9" s="181">
        <v>18257.814999999991</v>
      </c>
      <c r="C9" s="182">
        <f>B9/$B$5</f>
        <v>2.4063656859372835E-4</v>
      </c>
      <c r="D9" s="475"/>
      <c r="E9" s="180" t="s">
        <v>385</v>
      </c>
      <c r="F9" s="183">
        <v>552.57299999999998</v>
      </c>
      <c r="G9" s="184">
        <f>IFERROR(F9/$B$9,"")</f>
        <v>3.0265012543943523E-2</v>
      </c>
      <c r="H9" s="183">
        <v>1893.9470000000001</v>
      </c>
      <c r="I9" s="184">
        <f t="shared" ref="I9" si="0">IFERROR(H9/$B$9,"")</f>
        <v>0.10373349713533635</v>
      </c>
      <c r="J9" s="183">
        <v>2015.6379999999999</v>
      </c>
      <c r="K9" s="184">
        <f t="shared" ref="K9" si="1">IFERROR(J9/$B$9,"")</f>
        <v>0.11039864299205578</v>
      </c>
      <c r="L9" s="183">
        <v>6004.951</v>
      </c>
      <c r="M9" s="184">
        <f>IFERROR(L9/$B$9,"")</f>
        <v>0.32889757071150094</v>
      </c>
    </row>
    <row r="10" spans="1:13" ht="19.350000000000001" customHeight="1">
      <c r="A10" s="185" t="s">
        <v>386</v>
      </c>
      <c r="B10" s="186">
        <v>22782.319846732516</v>
      </c>
      <c r="C10" s="182">
        <f>B10/$B$5</f>
        <v>3.0026918733279477E-4</v>
      </c>
      <c r="D10" s="475"/>
      <c r="E10" s="185" t="s">
        <v>386</v>
      </c>
      <c r="F10" s="183">
        <v>733.22632000000021</v>
      </c>
      <c r="G10" s="184">
        <f>IFERROR(F10/$B$10,"")</f>
        <v>3.2184006059644575E-2</v>
      </c>
      <c r="H10" s="183">
        <v>2126.0029800000007</v>
      </c>
      <c r="I10" s="184">
        <f>IFERROR(H10/$B$10,"")</f>
        <v>9.3318107826710892E-2</v>
      </c>
      <c r="J10" s="183">
        <v>833.94599999999934</v>
      </c>
      <c r="K10" s="184">
        <f>IFERROR(J10/$B$10,"")</f>
        <v>3.6604964095419169E-2</v>
      </c>
      <c r="L10" s="183">
        <v>7270.6642214520316</v>
      </c>
      <c r="M10" s="184">
        <f>IFERROR(L10/$B$10,"")</f>
        <v>0.31913625435711734</v>
      </c>
    </row>
    <row r="11" spans="1:13" ht="15.75" customHeight="1">
      <c r="D11" s="475"/>
      <c r="E11" s="472" t="s">
        <v>105</v>
      </c>
      <c r="F11" s="476">
        <v>5</v>
      </c>
      <c r="G11" s="476"/>
      <c r="H11" s="476">
        <v>6</v>
      </c>
      <c r="I11" s="476"/>
      <c r="J11" s="476">
        <v>7</v>
      </c>
      <c r="K11" s="476"/>
      <c r="L11" s="477">
        <v>8</v>
      </c>
      <c r="M11" s="477"/>
    </row>
    <row r="12" spans="1:13" ht="31.35" customHeight="1">
      <c r="D12" s="475"/>
      <c r="E12" s="472"/>
      <c r="F12" s="468" t="s">
        <v>387</v>
      </c>
      <c r="G12" s="468"/>
      <c r="H12" s="468" t="s">
        <v>388</v>
      </c>
      <c r="I12" s="468"/>
      <c r="J12" s="468" t="s">
        <v>389</v>
      </c>
      <c r="K12" s="468"/>
      <c r="L12" s="469" t="s">
        <v>390</v>
      </c>
      <c r="M12" s="469"/>
    </row>
    <row r="13" spans="1:13" ht="15.75" customHeight="1">
      <c r="D13" s="475"/>
      <c r="E13" s="472"/>
      <c r="F13" s="212" t="s">
        <v>50</v>
      </c>
      <c r="G13" s="212" t="s">
        <v>15</v>
      </c>
      <c r="H13" s="212" t="s">
        <v>50</v>
      </c>
      <c r="I13" s="212" t="s">
        <v>15</v>
      </c>
      <c r="J13" s="212" t="s">
        <v>50</v>
      </c>
      <c r="K13" s="212" t="s">
        <v>15</v>
      </c>
      <c r="L13" s="212" t="s">
        <v>50</v>
      </c>
      <c r="M13" s="212" t="s">
        <v>15</v>
      </c>
    </row>
    <row r="14" spans="1:13" ht="19.350000000000001" customHeight="1">
      <c r="D14" s="475"/>
      <c r="E14" s="180" t="s">
        <v>385</v>
      </c>
      <c r="F14" s="183">
        <v>6580.9920000000002</v>
      </c>
      <c r="G14" s="184">
        <f>IFERROR(F14/$B$9,"")</f>
        <v>0.3604479506446967</v>
      </c>
      <c r="H14" s="183">
        <v>0</v>
      </c>
      <c r="I14" s="184">
        <f t="shared" ref="I14" si="2">IFERROR(H14/$B$9,"")</f>
        <v>0</v>
      </c>
      <c r="J14" s="183">
        <v>1209.7139999999999</v>
      </c>
      <c r="K14" s="184">
        <f t="shared" ref="K14" si="3">IFERROR(J14/$B$9,"")</f>
        <v>6.6257325972467154E-2</v>
      </c>
      <c r="L14" s="183">
        <v>0</v>
      </c>
      <c r="M14" s="184">
        <f t="shared" ref="M14" si="4">IFERROR(L14/$B$9,"")</f>
        <v>0</v>
      </c>
    </row>
    <row r="15" spans="1:13" ht="19.350000000000001" customHeight="1" thickBot="1">
      <c r="D15" s="475"/>
      <c r="E15" s="185" t="s">
        <v>386</v>
      </c>
      <c r="F15" s="183">
        <v>9515.0165852805003</v>
      </c>
      <c r="G15" s="184">
        <f>IFERROR(F15/$B$10,"")</f>
        <v>0.41764915290859467</v>
      </c>
      <c r="H15" s="183">
        <v>415.10627999999923</v>
      </c>
      <c r="I15" s="184">
        <f>IFERROR(H15/$B$10,"")</f>
        <v>1.8220544825663772E-2</v>
      </c>
      <c r="J15" s="183">
        <v>1888.3574600000009</v>
      </c>
      <c r="K15" s="184">
        <f>IFERROR(J15/$B$10,"")</f>
        <v>8.2886969926850212E-2</v>
      </c>
      <c r="L15" s="183">
        <v>0</v>
      </c>
      <c r="M15" s="184">
        <f>IFERROR(L15/$B$10,"")</f>
        <v>0</v>
      </c>
    </row>
    <row r="16" spans="1:13" ht="15.75" customHeight="1">
      <c r="A16" s="480" t="s">
        <v>392</v>
      </c>
      <c r="B16" s="481"/>
      <c r="C16" s="481"/>
      <c r="D16" s="481"/>
      <c r="E16" s="481"/>
      <c r="F16" s="481"/>
      <c r="G16" s="481"/>
      <c r="H16" s="481"/>
      <c r="I16" s="481"/>
      <c r="J16" s="481"/>
      <c r="K16" s="481"/>
      <c r="L16" s="481"/>
      <c r="M16" s="482"/>
    </row>
    <row r="17" spans="1:13" ht="15.75" customHeight="1">
      <c r="A17" s="483"/>
      <c r="B17" s="471"/>
      <c r="C17" s="471"/>
      <c r="D17" s="471"/>
      <c r="E17" s="471"/>
      <c r="F17" s="471"/>
      <c r="G17" s="471"/>
      <c r="H17" s="471"/>
      <c r="I17" s="471"/>
      <c r="J17" s="471"/>
      <c r="K17" s="471"/>
      <c r="L17" s="471"/>
      <c r="M17" s="484"/>
    </row>
    <row r="18" spans="1:13" ht="15.75" customHeight="1">
      <c r="A18" s="273" t="s">
        <v>380</v>
      </c>
      <c r="B18" s="179">
        <v>48523585</v>
      </c>
      <c r="M18" s="274"/>
    </row>
    <row r="19" spans="1:13" ht="15.75" customHeight="1">
      <c r="A19" s="485" t="s">
        <v>105</v>
      </c>
      <c r="B19" s="473" t="s">
        <v>47</v>
      </c>
      <c r="C19" s="473"/>
      <c r="D19" s="474"/>
      <c r="E19" s="472" t="s">
        <v>105</v>
      </c>
      <c r="F19" s="476">
        <v>1</v>
      </c>
      <c r="G19" s="476"/>
      <c r="H19" s="476">
        <v>2</v>
      </c>
      <c r="I19" s="476"/>
      <c r="J19" s="476">
        <v>3</v>
      </c>
      <c r="K19" s="476"/>
      <c r="L19" s="476">
        <v>4</v>
      </c>
      <c r="M19" s="487"/>
    </row>
    <row r="20" spans="1:13" ht="15.75" customHeight="1">
      <c r="A20" s="485"/>
      <c r="B20" s="473"/>
      <c r="C20" s="473"/>
      <c r="D20" s="475"/>
      <c r="E20" s="472"/>
      <c r="F20" s="468" t="s">
        <v>381</v>
      </c>
      <c r="G20" s="468"/>
      <c r="H20" s="468" t="s">
        <v>382</v>
      </c>
      <c r="I20" s="468"/>
      <c r="J20" s="468" t="s">
        <v>383</v>
      </c>
      <c r="K20" s="468"/>
      <c r="L20" s="468" t="s">
        <v>384</v>
      </c>
      <c r="M20" s="488"/>
    </row>
    <row r="21" spans="1:13" ht="15.75" customHeight="1">
      <c r="A21" s="485"/>
      <c r="B21" s="212" t="s">
        <v>50</v>
      </c>
      <c r="C21" s="212" t="s">
        <v>15</v>
      </c>
      <c r="D21" s="475"/>
      <c r="E21" s="472"/>
      <c r="F21" s="212" t="s">
        <v>50</v>
      </c>
      <c r="G21" s="212" t="s">
        <v>15</v>
      </c>
      <c r="H21" s="212" t="s">
        <v>50</v>
      </c>
      <c r="I21" s="212" t="s">
        <v>15</v>
      </c>
      <c r="J21" s="212" t="s">
        <v>50</v>
      </c>
      <c r="K21" s="212" t="s">
        <v>15</v>
      </c>
      <c r="L21" s="212" t="s">
        <v>50</v>
      </c>
      <c r="M21" s="275" t="s">
        <v>15</v>
      </c>
    </row>
    <row r="22" spans="1:13" ht="15.75" customHeight="1">
      <c r="A22" s="276" t="s">
        <v>385</v>
      </c>
      <c r="B22" s="277">
        <v>11676.691000000003</v>
      </c>
      <c r="C22" s="182">
        <f>B22/$B$18</f>
        <v>2.4063949520630024E-4</v>
      </c>
      <c r="D22" s="475"/>
      <c r="E22" s="180" t="s">
        <v>385</v>
      </c>
      <c r="F22" s="278">
        <v>165.98000000000002</v>
      </c>
      <c r="G22" s="184">
        <f>IFERROR(F22/$B$9,"")</f>
        <v>9.0909016221272978E-3</v>
      </c>
      <c r="H22" s="278">
        <v>1611.5420000000004</v>
      </c>
      <c r="I22" s="184">
        <f t="shared" ref="I22" si="5">IFERROR(H22/$B$9,"")</f>
        <v>8.8265874092820037E-2</v>
      </c>
      <c r="J22" s="278">
        <v>1228.9280000000001</v>
      </c>
      <c r="K22" s="184">
        <f t="shared" ref="K22" si="6">IFERROR(J22/$B$9,"")</f>
        <v>6.7309697244714153E-2</v>
      </c>
      <c r="L22" s="278">
        <v>3775.8909999999996</v>
      </c>
      <c r="M22" s="279">
        <f>IFERROR(L22/$B$9,"")</f>
        <v>0.20680957715915083</v>
      </c>
    </row>
    <row r="23" spans="1:13" ht="15.75" customHeight="1">
      <c r="A23" s="280" t="s">
        <v>386</v>
      </c>
      <c r="B23" s="281">
        <v>18680.446015247508</v>
      </c>
      <c r="C23" s="182">
        <f>B23/$B$18</f>
        <v>3.8497662559861369E-4</v>
      </c>
      <c r="D23" s="475"/>
      <c r="E23" s="185" t="s">
        <v>386</v>
      </c>
      <c r="F23" s="278">
        <v>0</v>
      </c>
      <c r="G23" s="184">
        <f>IFERROR(F23/$B$10,"")</f>
        <v>0</v>
      </c>
      <c r="H23" s="278">
        <v>644.21809999999959</v>
      </c>
      <c r="I23" s="184">
        <f>IFERROR(H23/$B$10,"")</f>
        <v>2.8277107174947972E-2</v>
      </c>
      <c r="J23" s="278">
        <v>874.41625999999883</v>
      </c>
      <c r="K23" s="184">
        <f>IFERROR(J23/$B$10,"")</f>
        <v>3.8381352991381575E-2</v>
      </c>
      <c r="L23" s="278">
        <v>3059.7451552474977</v>
      </c>
      <c r="M23" s="279">
        <f>IFERROR(L23/$B$10,"")</f>
        <v>0.13430349393002364</v>
      </c>
    </row>
    <row r="24" spans="1:13" ht="15.75" customHeight="1">
      <c r="A24" s="282"/>
      <c r="D24" s="475"/>
      <c r="E24" s="472" t="s">
        <v>105</v>
      </c>
      <c r="F24" s="476">
        <v>5</v>
      </c>
      <c r="G24" s="476"/>
      <c r="H24" s="476">
        <v>6</v>
      </c>
      <c r="I24" s="476"/>
      <c r="J24" s="476">
        <v>7</v>
      </c>
      <c r="K24" s="476"/>
      <c r="L24" s="477">
        <v>8</v>
      </c>
      <c r="M24" s="478"/>
    </row>
    <row r="25" spans="1:13" ht="15.75" customHeight="1">
      <c r="A25" s="282"/>
      <c r="D25" s="475"/>
      <c r="E25" s="472"/>
      <c r="F25" s="468" t="s">
        <v>387</v>
      </c>
      <c r="G25" s="468"/>
      <c r="H25" s="468" t="s">
        <v>388</v>
      </c>
      <c r="I25" s="468"/>
      <c r="J25" s="468" t="s">
        <v>389</v>
      </c>
      <c r="K25" s="468"/>
      <c r="L25" s="469" t="s">
        <v>390</v>
      </c>
      <c r="M25" s="479"/>
    </row>
    <row r="26" spans="1:13" ht="15.75" customHeight="1">
      <c r="A26" s="282"/>
      <c r="D26" s="475"/>
      <c r="E26" s="472"/>
      <c r="F26" s="212" t="s">
        <v>50</v>
      </c>
      <c r="G26" s="212" t="s">
        <v>15</v>
      </c>
      <c r="H26" s="212" t="s">
        <v>50</v>
      </c>
      <c r="I26" s="212" t="s">
        <v>15</v>
      </c>
      <c r="J26" s="212" t="s">
        <v>50</v>
      </c>
      <c r="K26" s="212" t="s">
        <v>15</v>
      </c>
      <c r="L26" s="212" t="s">
        <v>50</v>
      </c>
      <c r="M26" s="275" t="s">
        <v>15</v>
      </c>
    </row>
    <row r="27" spans="1:13" ht="15.75" customHeight="1">
      <c r="A27" s="282"/>
      <c r="D27" s="475"/>
      <c r="E27" s="180" t="s">
        <v>385</v>
      </c>
      <c r="F27" s="278">
        <v>3919.5130000000004</v>
      </c>
      <c r="G27" s="184">
        <f>IFERROR(F27/$B$9,"")</f>
        <v>0.21467590727587074</v>
      </c>
      <c r="H27" s="278">
        <v>0</v>
      </c>
      <c r="I27" s="184">
        <f t="shared" ref="I27" si="7">IFERROR(H27/$B$9,"")</f>
        <v>0</v>
      </c>
      <c r="J27" s="278">
        <v>974.8370000000001</v>
      </c>
      <c r="K27" s="184">
        <f t="shared" ref="K27" si="8">IFERROR(J27/$B$9,"")</f>
        <v>5.3392862179839184E-2</v>
      </c>
      <c r="L27" s="278">
        <v>0</v>
      </c>
      <c r="M27" s="279">
        <f t="shared" ref="M27" si="9">IFERROR(L27/$B$9,"")</f>
        <v>0</v>
      </c>
    </row>
    <row r="28" spans="1:13" ht="15.75" customHeight="1" thickBot="1">
      <c r="A28" s="283"/>
      <c r="B28" s="284"/>
      <c r="C28" s="284"/>
      <c r="D28" s="486"/>
      <c r="E28" s="285" t="s">
        <v>386</v>
      </c>
      <c r="F28" s="286">
        <v>10050.147089999993</v>
      </c>
      <c r="G28" s="287">
        <f>IFERROR(F28/$B$10,"")</f>
        <v>0.44113800339965836</v>
      </c>
      <c r="H28" s="286">
        <v>2190.4281100000026</v>
      </c>
      <c r="I28" s="287">
        <f>IFERROR(H28/$B$10,"")</f>
        <v>9.6145964271244222E-2</v>
      </c>
      <c r="J28" s="286">
        <v>1689.3357000000103</v>
      </c>
      <c r="K28" s="287">
        <f>IFERROR(J28/$B$10,"")</f>
        <v>7.4151171231243082E-2</v>
      </c>
      <c r="L28" s="286">
        <v>0</v>
      </c>
      <c r="M28" s="288">
        <f>IFERROR(L28/$B$10,"")</f>
        <v>0</v>
      </c>
    </row>
    <row r="29" spans="1:13" ht="15.75" customHeight="1">
      <c r="A29" s="480" t="s">
        <v>393</v>
      </c>
      <c r="B29" s="481"/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2"/>
    </row>
    <row r="30" spans="1:13" ht="15.75" customHeight="1">
      <c r="A30" s="483"/>
      <c r="B30" s="471"/>
      <c r="C30" s="471"/>
      <c r="D30" s="471"/>
      <c r="E30" s="471"/>
      <c r="F30" s="471"/>
      <c r="G30" s="471"/>
      <c r="H30" s="471"/>
      <c r="I30" s="471"/>
      <c r="J30" s="471"/>
      <c r="K30" s="471"/>
      <c r="L30" s="471"/>
      <c r="M30" s="484"/>
    </row>
    <row r="31" spans="1:13" ht="15.75" customHeight="1">
      <c r="A31" s="273" t="s">
        <v>380</v>
      </c>
      <c r="B31" s="179">
        <v>48655452</v>
      </c>
      <c r="M31" s="274"/>
    </row>
    <row r="32" spans="1:13" ht="15.75" customHeight="1">
      <c r="A32" s="485" t="s">
        <v>105</v>
      </c>
      <c r="B32" s="473" t="s">
        <v>47</v>
      </c>
      <c r="C32" s="473"/>
      <c r="D32" s="474"/>
      <c r="E32" s="472" t="s">
        <v>105</v>
      </c>
      <c r="F32" s="476">
        <v>1</v>
      </c>
      <c r="G32" s="476"/>
      <c r="H32" s="476">
        <v>2</v>
      </c>
      <c r="I32" s="476"/>
      <c r="J32" s="476">
        <v>3</v>
      </c>
      <c r="K32" s="476"/>
      <c r="L32" s="476">
        <v>4</v>
      </c>
      <c r="M32" s="487"/>
    </row>
    <row r="33" spans="1:13" ht="15.75" customHeight="1">
      <c r="A33" s="485"/>
      <c r="B33" s="473"/>
      <c r="C33" s="473"/>
      <c r="D33" s="475"/>
      <c r="E33" s="472"/>
      <c r="F33" s="468" t="s">
        <v>381</v>
      </c>
      <c r="G33" s="468"/>
      <c r="H33" s="468" t="s">
        <v>382</v>
      </c>
      <c r="I33" s="468"/>
      <c r="J33" s="468" t="s">
        <v>383</v>
      </c>
      <c r="K33" s="468"/>
      <c r="L33" s="468" t="s">
        <v>384</v>
      </c>
      <c r="M33" s="488"/>
    </row>
    <row r="34" spans="1:13" ht="15.75" customHeight="1">
      <c r="A34" s="485"/>
      <c r="B34" s="212" t="s">
        <v>50</v>
      </c>
      <c r="C34" s="212" t="s">
        <v>15</v>
      </c>
      <c r="D34" s="475"/>
      <c r="E34" s="472"/>
      <c r="F34" s="212" t="s">
        <v>50</v>
      </c>
      <c r="G34" s="212" t="s">
        <v>15</v>
      </c>
      <c r="H34" s="212" t="s">
        <v>50</v>
      </c>
      <c r="I34" s="212" t="s">
        <v>15</v>
      </c>
      <c r="J34" s="212" t="s">
        <v>50</v>
      </c>
      <c r="K34" s="212" t="s">
        <v>15</v>
      </c>
      <c r="L34" s="212" t="s">
        <v>50</v>
      </c>
      <c r="M34" s="275" t="s">
        <v>15</v>
      </c>
    </row>
    <row r="35" spans="1:13" ht="15.75" customHeight="1">
      <c r="A35" s="276" t="s">
        <v>385</v>
      </c>
      <c r="B35" s="277">
        <v>9800.9250000000029</v>
      </c>
      <c r="C35" s="182">
        <f>B35/$B$5</f>
        <v>1.2917542219835663E-4</v>
      </c>
      <c r="D35" s="475"/>
      <c r="E35" s="180" t="s">
        <v>385</v>
      </c>
      <c r="F35" s="278">
        <v>705.35199999999998</v>
      </c>
      <c r="G35" s="184">
        <f>IFERROR(F35/$B$9,"")</f>
        <v>3.8632881316849818E-2</v>
      </c>
      <c r="H35" s="278">
        <v>1195.5910000000001</v>
      </c>
      <c r="I35" s="184">
        <f t="shared" ref="I35" si="10">IFERROR(H35/$B$9,"")</f>
        <v>6.5483794199908407E-2</v>
      </c>
      <c r="J35" s="278">
        <v>1614.134</v>
      </c>
      <c r="K35" s="184">
        <f t="shared" ref="K35" si="11">IFERROR(J35/$B$9,"")</f>
        <v>8.8407840697257628E-2</v>
      </c>
      <c r="L35" s="278">
        <v>4035.8779999999997</v>
      </c>
      <c r="M35" s="279">
        <f>IFERROR(L35/$B$9,"")</f>
        <v>0.22104934243226812</v>
      </c>
    </row>
    <row r="36" spans="1:13" ht="15.75" customHeight="1" thickBot="1">
      <c r="A36" s="280" t="s">
        <v>386</v>
      </c>
      <c r="B36" s="281">
        <v>15896.425820000022</v>
      </c>
      <c r="C36" s="182">
        <f>B36/$B$5</f>
        <v>2.0951364455328042E-4</v>
      </c>
      <c r="D36" s="475"/>
      <c r="E36" s="185" t="s">
        <v>386</v>
      </c>
      <c r="F36" s="286">
        <v>446.58150000000035</v>
      </c>
      <c r="G36" s="184">
        <f>IFERROR(F36/$B$10,"")</f>
        <v>1.9602108257823003E-2</v>
      </c>
      <c r="H36" s="278">
        <v>793.69283000000019</v>
      </c>
      <c r="I36" s="184">
        <f>IFERROR(H36/$B$10,"")</f>
        <v>3.4838104079810514E-2</v>
      </c>
      <c r="J36" s="278">
        <v>666.6480400000014</v>
      </c>
      <c r="K36" s="184">
        <f>IFERROR(J36/$B$10,"")</f>
        <v>2.9261639924505464E-2</v>
      </c>
      <c r="L36" s="278">
        <v>1637.1258600000046</v>
      </c>
      <c r="M36" s="279">
        <f>IFERROR(L36/$B$10,"")</f>
        <v>7.1859488893744258E-2</v>
      </c>
    </row>
    <row r="37" spans="1:13" ht="15.75" customHeight="1">
      <c r="A37" s="282"/>
      <c r="D37" s="475"/>
      <c r="E37" s="472" t="s">
        <v>105</v>
      </c>
      <c r="F37" s="476">
        <v>5</v>
      </c>
      <c r="G37" s="476"/>
      <c r="H37" s="476">
        <v>6</v>
      </c>
      <c r="I37" s="476"/>
      <c r="J37" s="476">
        <v>7</v>
      </c>
      <c r="K37" s="476"/>
      <c r="L37" s="477">
        <v>8</v>
      </c>
      <c r="M37" s="478"/>
    </row>
    <row r="38" spans="1:13" ht="15.75" customHeight="1">
      <c r="A38" s="282"/>
      <c r="D38" s="475"/>
      <c r="E38" s="472"/>
      <c r="F38" s="468" t="s">
        <v>387</v>
      </c>
      <c r="G38" s="468"/>
      <c r="H38" s="468" t="s">
        <v>388</v>
      </c>
      <c r="I38" s="468"/>
      <c r="J38" s="468" t="s">
        <v>389</v>
      </c>
      <c r="K38" s="468"/>
      <c r="L38" s="469" t="s">
        <v>390</v>
      </c>
      <c r="M38" s="479"/>
    </row>
    <row r="39" spans="1:13" ht="15.75" customHeight="1">
      <c r="A39" s="282"/>
      <c r="D39" s="475"/>
      <c r="E39" s="472"/>
      <c r="F39" s="212" t="s">
        <v>50</v>
      </c>
      <c r="G39" s="212" t="s">
        <v>15</v>
      </c>
      <c r="H39" s="212" t="s">
        <v>50</v>
      </c>
      <c r="I39" s="212" t="s">
        <v>15</v>
      </c>
      <c r="J39" s="212" t="s">
        <v>50</v>
      </c>
      <c r="K39" s="212" t="s">
        <v>15</v>
      </c>
      <c r="L39" s="212" t="s">
        <v>50</v>
      </c>
      <c r="M39" s="275" t="s">
        <v>15</v>
      </c>
    </row>
    <row r="40" spans="1:13" ht="15.75" customHeight="1">
      <c r="A40" s="282"/>
      <c r="D40" s="475"/>
      <c r="E40" s="180" t="s">
        <v>385</v>
      </c>
      <c r="F40" s="278">
        <v>1269.0300000000002</v>
      </c>
      <c r="G40" s="184">
        <f>IFERROR(F40/$B$9,"")</f>
        <v>6.9506126554574069E-2</v>
      </c>
      <c r="H40" s="278">
        <v>361.74299999999999</v>
      </c>
      <c r="I40" s="184">
        <f t="shared" ref="I40" si="12">IFERROR(H40/$B$9,"")</f>
        <v>1.9813049918623898E-2</v>
      </c>
      <c r="J40" s="278">
        <v>619.197</v>
      </c>
      <c r="K40" s="184">
        <f t="shared" ref="K40" si="13">IFERROR(J40/$B$9,"")</f>
        <v>3.3914080080228677E-2</v>
      </c>
      <c r="L40" s="278">
        <v>0</v>
      </c>
      <c r="M40" s="279">
        <f t="shared" ref="M40" si="14">IFERROR(L40/$B$9,"")</f>
        <v>0</v>
      </c>
    </row>
    <row r="41" spans="1:13" ht="15.75" customHeight="1" thickBot="1">
      <c r="A41" s="283"/>
      <c r="B41" s="284"/>
      <c r="C41" s="284"/>
      <c r="D41" s="486"/>
      <c r="E41" s="285" t="s">
        <v>386</v>
      </c>
      <c r="F41" s="286">
        <v>6394.8248599999997</v>
      </c>
      <c r="G41" s="287">
        <f>IFERROR(F41/$B$10,"")</f>
        <v>0.28069243619706086</v>
      </c>
      <c r="H41" s="286">
        <v>5540.5327300000126</v>
      </c>
      <c r="I41" s="287">
        <f>IFERROR(H41/$B$10,"")</f>
        <v>0.24319440545448431</v>
      </c>
      <c r="J41" s="286">
        <v>417.01999999999981</v>
      </c>
      <c r="K41" s="287">
        <f>IFERROR(J41/$B$10,"")</f>
        <v>1.8304545050964578E-2</v>
      </c>
      <c r="L41" s="286">
        <v>0</v>
      </c>
      <c r="M41" s="288">
        <f>IFERROR(L41/$B$10,"")</f>
        <v>0</v>
      </c>
    </row>
    <row r="42" spans="1:13" ht="15.75" customHeight="1">
      <c r="A42" s="480" t="s">
        <v>394</v>
      </c>
      <c r="B42" s="481"/>
      <c r="C42" s="481"/>
      <c r="D42" s="481"/>
      <c r="E42" s="481"/>
      <c r="F42" s="481"/>
      <c r="G42" s="481"/>
      <c r="H42" s="481"/>
      <c r="I42" s="481"/>
      <c r="J42" s="481"/>
      <c r="K42" s="481"/>
      <c r="L42" s="481"/>
      <c r="M42" s="482"/>
    </row>
    <row r="43" spans="1:13" ht="15.75" customHeight="1">
      <c r="A43" s="483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84"/>
    </row>
    <row r="44" spans="1:13" ht="15.75" customHeight="1">
      <c r="A44" s="273" t="s">
        <v>380</v>
      </c>
      <c r="B44" s="179">
        <v>39181352</v>
      </c>
      <c r="M44" s="274"/>
    </row>
    <row r="45" spans="1:13" ht="15.75" customHeight="1">
      <c r="A45" s="485" t="s">
        <v>105</v>
      </c>
      <c r="B45" s="473" t="s">
        <v>47</v>
      </c>
      <c r="C45" s="473"/>
      <c r="D45" s="474"/>
      <c r="E45" s="472" t="s">
        <v>105</v>
      </c>
      <c r="F45" s="476">
        <v>1</v>
      </c>
      <c r="G45" s="476"/>
      <c r="H45" s="476">
        <v>2</v>
      </c>
      <c r="I45" s="476"/>
      <c r="J45" s="476">
        <v>3</v>
      </c>
      <c r="K45" s="476"/>
      <c r="L45" s="476">
        <v>4</v>
      </c>
      <c r="M45" s="487"/>
    </row>
    <row r="46" spans="1:13" ht="15.75" customHeight="1">
      <c r="A46" s="485"/>
      <c r="B46" s="473"/>
      <c r="C46" s="473"/>
      <c r="D46" s="475"/>
      <c r="E46" s="472"/>
      <c r="F46" s="468" t="s">
        <v>381</v>
      </c>
      <c r="G46" s="468"/>
      <c r="H46" s="468" t="s">
        <v>382</v>
      </c>
      <c r="I46" s="468"/>
      <c r="J46" s="468" t="s">
        <v>383</v>
      </c>
      <c r="K46" s="468"/>
      <c r="L46" s="468" t="s">
        <v>384</v>
      </c>
      <c r="M46" s="488"/>
    </row>
    <row r="47" spans="1:13" ht="15.75" customHeight="1">
      <c r="A47" s="485"/>
      <c r="B47" s="212" t="s">
        <v>50</v>
      </c>
      <c r="C47" s="212" t="s">
        <v>15</v>
      </c>
      <c r="D47" s="475"/>
      <c r="E47" s="472"/>
      <c r="F47" s="212" t="s">
        <v>50</v>
      </c>
      <c r="G47" s="212" t="s">
        <v>15</v>
      </c>
      <c r="H47" s="212" t="s">
        <v>50</v>
      </c>
      <c r="I47" s="212" t="s">
        <v>15</v>
      </c>
      <c r="J47" s="212" t="s">
        <v>50</v>
      </c>
      <c r="K47" s="212" t="s">
        <v>15</v>
      </c>
      <c r="L47" s="212" t="s">
        <v>50</v>
      </c>
      <c r="M47" s="275" t="s">
        <v>15</v>
      </c>
    </row>
    <row r="48" spans="1:13" ht="15.75" customHeight="1">
      <c r="A48" s="276" t="s">
        <v>385</v>
      </c>
      <c r="B48" s="277">
        <v>8191.576</v>
      </c>
      <c r="C48" s="182">
        <f>B48/$B$5</f>
        <v>1.0796432870059971E-4</v>
      </c>
      <c r="D48" s="475"/>
      <c r="E48" s="180" t="s">
        <v>385</v>
      </c>
      <c r="F48" s="278">
        <v>0</v>
      </c>
      <c r="G48" s="184">
        <f>IFERROR(F48/$B$9,"")</f>
        <v>0</v>
      </c>
      <c r="H48" s="278">
        <v>834.86200000000008</v>
      </c>
      <c r="I48" s="184">
        <f t="shared" ref="I48" si="15">IFERROR(H48/$B$9,"")</f>
        <v>4.5726282142742734E-2</v>
      </c>
      <c r="J48" s="278">
        <v>1832.836</v>
      </c>
      <c r="K48" s="184">
        <f t="shared" ref="K48" si="16">IFERROR(J48/$B$9,"")</f>
        <v>0.10038638248881374</v>
      </c>
      <c r="L48" s="278">
        <v>3442.0430000000006</v>
      </c>
      <c r="M48" s="279">
        <f>IFERROR(L48/$B$9,"")</f>
        <v>0.18852436614129359</v>
      </c>
    </row>
    <row r="49" spans="1:13" ht="15.75" customHeight="1">
      <c r="A49" s="280" t="s">
        <v>386</v>
      </c>
      <c r="B49" s="281">
        <v>12615.387510000026</v>
      </c>
      <c r="C49" s="182">
        <f>B49/$B$5</f>
        <v>1.6626981716522961E-4</v>
      </c>
      <c r="D49" s="475"/>
      <c r="E49" s="185" t="s">
        <v>386</v>
      </c>
      <c r="F49" s="278">
        <v>0</v>
      </c>
      <c r="G49" s="184">
        <f>IFERROR(F49/$B$10,"")</f>
        <v>0</v>
      </c>
      <c r="H49" s="278">
        <v>0</v>
      </c>
      <c r="I49" s="184">
        <f>IFERROR(H49/$B$10,"")</f>
        <v>0</v>
      </c>
      <c r="J49" s="278">
        <v>755.9883899999993</v>
      </c>
      <c r="K49" s="184">
        <f>IFERROR(J49/$B$10,"")</f>
        <v>3.3183117219224914E-2</v>
      </c>
      <c r="L49" s="278">
        <v>2414.4136500000041</v>
      </c>
      <c r="M49" s="279">
        <f>IFERROR(L49/$B$10,"")</f>
        <v>0.10597751529444373</v>
      </c>
    </row>
    <row r="50" spans="1:13" ht="15.75" customHeight="1">
      <c r="A50" s="282"/>
      <c r="D50" s="475"/>
      <c r="E50" s="472" t="s">
        <v>105</v>
      </c>
      <c r="F50" s="476">
        <v>5</v>
      </c>
      <c r="G50" s="476"/>
      <c r="H50" s="476">
        <v>6</v>
      </c>
      <c r="I50" s="476"/>
      <c r="J50" s="476">
        <v>7</v>
      </c>
      <c r="K50" s="476"/>
      <c r="L50" s="477">
        <v>8</v>
      </c>
      <c r="M50" s="478"/>
    </row>
    <row r="51" spans="1:13" ht="15.75" customHeight="1">
      <c r="A51" s="282"/>
      <c r="D51" s="475"/>
      <c r="E51" s="472"/>
      <c r="F51" s="468" t="s">
        <v>387</v>
      </c>
      <c r="G51" s="468"/>
      <c r="H51" s="468" t="s">
        <v>388</v>
      </c>
      <c r="I51" s="468"/>
      <c r="J51" s="468" t="s">
        <v>389</v>
      </c>
      <c r="K51" s="468"/>
      <c r="L51" s="469" t="s">
        <v>390</v>
      </c>
      <c r="M51" s="479"/>
    </row>
    <row r="52" spans="1:13" ht="15.75" customHeight="1">
      <c r="A52" s="282"/>
      <c r="D52" s="475"/>
      <c r="E52" s="472"/>
      <c r="F52" s="212" t="s">
        <v>50</v>
      </c>
      <c r="G52" s="212" t="s">
        <v>15</v>
      </c>
      <c r="H52" s="212" t="s">
        <v>50</v>
      </c>
      <c r="I52" s="212" t="s">
        <v>15</v>
      </c>
      <c r="J52" s="212" t="s">
        <v>50</v>
      </c>
      <c r="K52" s="212" t="s">
        <v>15</v>
      </c>
      <c r="L52" s="212" t="s">
        <v>50</v>
      </c>
      <c r="M52" s="275" t="s">
        <v>15</v>
      </c>
    </row>
    <row r="53" spans="1:13" ht="15.75" customHeight="1">
      <c r="A53" s="282"/>
      <c r="D53" s="475"/>
      <c r="E53" s="180" t="s">
        <v>385</v>
      </c>
      <c r="F53" s="278">
        <v>691.38</v>
      </c>
      <c r="G53" s="184">
        <f>IFERROR(F53/$B$9,"")</f>
        <v>3.7867619975336608E-2</v>
      </c>
      <c r="H53" s="278">
        <v>1132.527</v>
      </c>
      <c r="I53" s="184">
        <f t="shared" ref="I53" si="17">IFERROR(H53/$B$9,"")</f>
        <v>6.2029711660458856E-2</v>
      </c>
      <c r="J53" s="278">
        <v>257.928</v>
      </c>
      <c r="K53" s="184">
        <f t="shared" ref="K53" si="18">IFERROR(J53/$B$9,"")</f>
        <v>1.4126991647138506E-2</v>
      </c>
      <c r="L53" s="278">
        <v>0</v>
      </c>
      <c r="M53" s="279">
        <f t="shared" ref="M53" si="19">IFERROR(L53/$B$9,"")</f>
        <v>0</v>
      </c>
    </row>
    <row r="54" spans="1:13" ht="15.75" customHeight="1" thickBot="1">
      <c r="A54" s="283"/>
      <c r="B54" s="284"/>
      <c r="C54" s="284"/>
      <c r="D54" s="486"/>
      <c r="E54" s="285" t="s">
        <v>386</v>
      </c>
      <c r="F54" s="286">
        <v>4886.7432899999922</v>
      </c>
      <c r="G54" s="287">
        <f>IFERROR(F54/$B$10,"")</f>
        <v>0.21449717688433112</v>
      </c>
      <c r="H54" s="286">
        <v>4558.2421800000275</v>
      </c>
      <c r="I54" s="287">
        <f>IFERROR(H54/$B$10,"")</f>
        <v>0.20007805222055905</v>
      </c>
      <c r="J54" s="286">
        <v>0</v>
      </c>
      <c r="K54" s="287">
        <f>IFERROR(J54/$B$10,"")</f>
        <v>0</v>
      </c>
      <c r="L54" s="286">
        <v>0</v>
      </c>
      <c r="M54" s="288">
        <f>IFERROR(L54/$B$10,"")</f>
        <v>0</v>
      </c>
    </row>
  </sheetData>
  <mergeCells count="89"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O17" sqref="O17:P17"/>
    </sheetView>
  </sheetViews>
  <sheetFormatPr defaultColWidth="12.5703125" defaultRowHeight="15.75" customHeight="1"/>
  <cols>
    <col min="1" max="1" width="5.42578125" style="117" customWidth="1"/>
    <col min="2" max="2" width="11.42578125" style="165" customWidth="1"/>
    <col min="3" max="3" width="4" style="152" customWidth="1"/>
    <col min="4" max="17" width="9.5703125" style="117" customWidth="1"/>
    <col min="18" max="16384" width="12.5703125" style="117"/>
  </cols>
  <sheetData>
    <row r="1" spans="1:17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</row>
    <row r="3" spans="1:17" ht="15.75" customHeight="1">
      <c r="A3" s="434" t="s">
        <v>395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</row>
    <row r="4" spans="1:17" s="118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</row>
    <row r="5" spans="1:17" ht="15.75" customHeight="1">
      <c r="A5" s="375" t="s">
        <v>396</v>
      </c>
      <c r="B5" s="505">
        <v>1</v>
      </c>
      <c r="C5" s="505"/>
      <c r="D5" s="505">
        <v>2</v>
      </c>
      <c r="E5" s="505"/>
      <c r="F5" s="505">
        <v>3</v>
      </c>
      <c r="G5" s="505"/>
      <c r="H5" s="419">
        <v>4</v>
      </c>
      <c r="I5" s="419"/>
      <c r="J5" s="419">
        <v>5</v>
      </c>
      <c r="K5" s="419"/>
      <c r="L5" s="419">
        <v>6</v>
      </c>
      <c r="M5" s="419"/>
      <c r="N5" s="419">
        <v>7</v>
      </c>
      <c r="O5" s="419"/>
      <c r="P5" s="419">
        <v>8</v>
      </c>
      <c r="Q5" s="419"/>
    </row>
    <row r="6" spans="1:17" ht="15.75" customHeight="1">
      <c r="A6" s="375"/>
      <c r="B6" s="506" t="s">
        <v>381</v>
      </c>
      <c r="C6" s="506"/>
      <c r="D6" s="506" t="s">
        <v>397</v>
      </c>
      <c r="E6" s="506"/>
      <c r="F6" s="506" t="s">
        <v>383</v>
      </c>
      <c r="G6" s="506"/>
      <c r="H6" s="375" t="s">
        <v>384</v>
      </c>
      <c r="I6" s="375"/>
      <c r="J6" s="375" t="s">
        <v>387</v>
      </c>
      <c r="K6" s="375"/>
      <c r="L6" s="375" t="s">
        <v>388</v>
      </c>
      <c r="M6" s="375"/>
      <c r="N6" s="375" t="s">
        <v>389</v>
      </c>
      <c r="O6" s="375"/>
      <c r="P6" s="504" t="s">
        <v>398</v>
      </c>
      <c r="Q6" s="375"/>
    </row>
    <row r="8" spans="1:17" s="124" customFormat="1" ht="15.75" customHeight="1">
      <c r="A8" s="419" t="s">
        <v>396</v>
      </c>
      <c r="B8" s="419"/>
      <c r="C8" s="300" t="s">
        <v>52</v>
      </c>
      <c r="D8" s="498" t="s">
        <v>53</v>
      </c>
      <c r="E8" s="499"/>
      <c r="F8" s="500"/>
      <c r="G8" s="298" t="s">
        <v>62</v>
      </c>
      <c r="H8" s="299"/>
      <c r="I8" s="300"/>
      <c r="J8" s="160" t="s">
        <v>63</v>
      </c>
      <c r="K8" s="160" t="s">
        <v>27</v>
      </c>
      <c r="L8" s="160" t="s">
        <v>64</v>
      </c>
      <c r="M8" s="160" t="s">
        <v>50</v>
      </c>
      <c r="N8" s="160" t="s">
        <v>399</v>
      </c>
      <c r="O8" s="501" t="s">
        <v>58</v>
      </c>
      <c r="P8" s="502"/>
    </row>
    <row r="9" spans="1:17" ht="15.75" customHeight="1">
      <c r="A9" s="419">
        <v>1</v>
      </c>
      <c r="B9" s="491" t="s">
        <v>400</v>
      </c>
      <c r="C9" s="161">
        <v>1</v>
      </c>
      <c r="D9" s="314">
        <v>0</v>
      </c>
      <c r="E9" s="492"/>
      <c r="F9" s="493"/>
      <c r="G9" s="314">
        <v>0</v>
      </c>
      <c r="H9" s="492"/>
      <c r="I9" s="493"/>
      <c r="J9" s="4">
        <v>0</v>
      </c>
      <c r="K9" s="14">
        <v>0</v>
      </c>
      <c r="L9" s="4">
        <v>0</v>
      </c>
      <c r="M9" s="16">
        <v>0</v>
      </c>
      <c r="N9" s="162"/>
      <c r="O9" s="494"/>
      <c r="P9" s="495"/>
    </row>
    <row r="10" spans="1:17" ht="15.75" customHeight="1">
      <c r="A10" s="419"/>
      <c r="B10" s="491"/>
      <c r="C10" s="161">
        <v>2</v>
      </c>
      <c r="D10" s="314">
        <v>0</v>
      </c>
      <c r="E10" s="492"/>
      <c r="F10" s="493"/>
      <c r="G10" s="314">
        <v>0</v>
      </c>
      <c r="H10" s="492"/>
      <c r="I10" s="493"/>
      <c r="J10" s="4">
        <v>0</v>
      </c>
      <c r="K10" s="14">
        <v>0</v>
      </c>
      <c r="L10" s="4">
        <v>0</v>
      </c>
      <c r="M10" s="16">
        <v>0</v>
      </c>
      <c r="N10" s="162"/>
      <c r="O10" s="494"/>
      <c r="P10" s="503"/>
    </row>
    <row r="11" spans="1:17" ht="15.75" customHeight="1">
      <c r="A11" s="419"/>
      <c r="B11" s="491"/>
      <c r="C11" s="161">
        <v>3</v>
      </c>
      <c r="D11" s="314">
        <v>0</v>
      </c>
      <c r="E11" s="492"/>
      <c r="F11" s="493"/>
      <c r="G11" s="314">
        <v>0</v>
      </c>
      <c r="H11" s="492"/>
      <c r="I11" s="493"/>
      <c r="J11" s="4">
        <v>0</v>
      </c>
      <c r="K11" s="14">
        <v>0</v>
      </c>
      <c r="L11" s="4">
        <v>0</v>
      </c>
      <c r="M11" s="16">
        <v>0</v>
      </c>
      <c r="N11" s="162"/>
      <c r="O11" s="494"/>
      <c r="P11" s="495"/>
    </row>
    <row r="12" spans="1:17" ht="15.75" customHeight="1">
      <c r="A12" s="419"/>
      <c r="B12" s="491"/>
      <c r="C12" s="161">
        <v>4</v>
      </c>
      <c r="D12" s="314">
        <v>0</v>
      </c>
      <c r="E12" s="492"/>
      <c r="F12" s="493"/>
      <c r="G12" s="314">
        <v>0</v>
      </c>
      <c r="H12" s="492"/>
      <c r="I12" s="493"/>
      <c r="J12" s="4">
        <v>0</v>
      </c>
      <c r="K12" s="14">
        <v>0</v>
      </c>
      <c r="L12" s="4">
        <v>0</v>
      </c>
      <c r="M12" s="16">
        <v>0</v>
      </c>
      <c r="N12" s="162"/>
      <c r="O12" s="494"/>
      <c r="P12" s="495"/>
    </row>
    <row r="13" spans="1:17" ht="15.75" customHeight="1">
      <c r="A13" s="419"/>
      <c r="B13" s="491"/>
      <c r="C13" s="163">
        <v>5</v>
      </c>
      <c r="D13" s="314">
        <v>0</v>
      </c>
      <c r="E13" s="492"/>
      <c r="F13" s="493"/>
      <c r="G13" s="314">
        <v>0</v>
      </c>
      <c r="H13" s="492"/>
      <c r="I13" s="493"/>
      <c r="J13" s="4">
        <v>0</v>
      </c>
      <c r="K13" s="14">
        <v>0</v>
      </c>
      <c r="L13" s="4">
        <v>0</v>
      </c>
      <c r="M13" s="16">
        <v>0</v>
      </c>
      <c r="N13" s="164"/>
      <c r="O13" s="494"/>
      <c r="P13" s="495"/>
    </row>
    <row r="14" spans="1:17" ht="15.75" customHeight="1">
      <c r="A14" s="419"/>
      <c r="B14" s="491"/>
      <c r="C14" s="489"/>
      <c r="D14" s="489"/>
      <c r="E14" s="489"/>
      <c r="F14" s="489"/>
      <c r="G14" s="489"/>
      <c r="H14" s="489"/>
      <c r="I14" s="489"/>
      <c r="J14" s="297" t="s">
        <v>73</v>
      </c>
      <c r="K14" s="251">
        <v>0</v>
      </c>
      <c r="L14" s="297" t="s">
        <v>74</v>
      </c>
      <c r="M14" s="272">
        <v>0</v>
      </c>
      <c r="N14" s="490"/>
      <c r="O14" s="490"/>
      <c r="P14" s="490"/>
    </row>
    <row r="16" spans="1:17" ht="15.75" customHeight="1">
      <c r="A16" s="419" t="s">
        <v>396</v>
      </c>
      <c r="B16" s="419"/>
      <c r="C16" s="300" t="s">
        <v>52</v>
      </c>
      <c r="D16" s="498" t="s">
        <v>53</v>
      </c>
      <c r="E16" s="499"/>
      <c r="F16" s="500"/>
      <c r="G16" s="298" t="s">
        <v>62</v>
      </c>
      <c r="H16" s="299"/>
      <c r="I16" s="300"/>
      <c r="J16" s="160" t="s">
        <v>63</v>
      </c>
      <c r="K16" s="160" t="s">
        <v>27</v>
      </c>
      <c r="L16" s="160" t="s">
        <v>64</v>
      </c>
      <c r="M16" s="160" t="s">
        <v>50</v>
      </c>
      <c r="N16" s="160" t="s">
        <v>399</v>
      </c>
      <c r="O16" s="501" t="s">
        <v>58</v>
      </c>
      <c r="P16" s="502"/>
    </row>
    <row r="17" spans="1:16" ht="15.75" customHeight="1">
      <c r="A17" s="419">
        <v>2</v>
      </c>
      <c r="B17" s="491" t="s">
        <v>401</v>
      </c>
      <c r="C17" s="161">
        <v>1</v>
      </c>
      <c r="D17" s="314" t="s">
        <v>256</v>
      </c>
      <c r="E17" s="492"/>
      <c r="F17" s="493"/>
      <c r="G17" s="314" t="s">
        <v>402</v>
      </c>
      <c r="H17" s="492"/>
      <c r="I17" s="493"/>
      <c r="J17" s="4">
        <v>452.22</v>
      </c>
      <c r="K17" s="14">
        <v>7.575757575757576E-2</v>
      </c>
      <c r="L17" s="4">
        <v>0.3</v>
      </c>
      <c r="M17" s="16">
        <v>135.666</v>
      </c>
      <c r="N17" s="162"/>
      <c r="O17" s="494" t="s">
        <v>403</v>
      </c>
      <c r="P17" s="495"/>
    </row>
    <row r="18" spans="1:16" ht="15.75" customHeight="1">
      <c r="A18" s="419"/>
      <c r="B18" s="491"/>
      <c r="C18" s="161">
        <v>2</v>
      </c>
      <c r="D18" s="314" t="s">
        <v>264</v>
      </c>
      <c r="E18" s="492"/>
      <c r="F18" s="493"/>
      <c r="G18" s="314" t="s">
        <v>404</v>
      </c>
      <c r="H18" s="492"/>
      <c r="I18" s="493"/>
      <c r="J18" s="4">
        <v>180.96</v>
      </c>
      <c r="K18" s="14">
        <v>4.170390229371463E-2</v>
      </c>
      <c r="L18" s="4">
        <v>0.70000000000000007</v>
      </c>
      <c r="M18" s="16">
        <v>126.67200000000001</v>
      </c>
      <c r="N18" s="162"/>
      <c r="O18" s="494" t="s">
        <v>403</v>
      </c>
      <c r="P18" s="495"/>
    </row>
    <row r="19" spans="1:16" ht="15.75" customHeight="1">
      <c r="A19" s="419"/>
      <c r="B19" s="491"/>
      <c r="C19" s="161">
        <v>3</v>
      </c>
      <c r="D19" s="314" t="s">
        <v>267</v>
      </c>
      <c r="E19" s="492"/>
      <c r="F19" s="493"/>
      <c r="G19" s="314" t="s">
        <v>405</v>
      </c>
      <c r="H19" s="492"/>
      <c r="I19" s="493"/>
      <c r="J19" s="4">
        <v>418.41</v>
      </c>
      <c r="K19" s="14">
        <v>1.905850962454736E-2</v>
      </c>
      <c r="L19" s="4">
        <v>0.3</v>
      </c>
      <c r="M19" s="16">
        <v>125.523</v>
      </c>
      <c r="N19" s="162"/>
      <c r="O19" s="494" t="s">
        <v>403</v>
      </c>
      <c r="P19" s="495"/>
    </row>
    <row r="20" spans="1:16" ht="15.75" customHeight="1">
      <c r="A20" s="419"/>
      <c r="B20" s="491"/>
      <c r="C20" s="161">
        <v>4</v>
      </c>
      <c r="D20" s="314" t="s">
        <v>282</v>
      </c>
      <c r="E20" s="492"/>
      <c r="F20" s="493"/>
      <c r="G20" s="314" t="s">
        <v>406</v>
      </c>
      <c r="H20" s="492"/>
      <c r="I20" s="493"/>
      <c r="J20" s="4">
        <v>631.87</v>
      </c>
      <c r="K20" s="14">
        <v>4.714757190004714E-2</v>
      </c>
      <c r="L20" s="4">
        <v>0.3</v>
      </c>
      <c r="M20" s="16">
        <v>189.56100000000001</v>
      </c>
      <c r="N20" s="162"/>
      <c r="O20" s="494" t="s">
        <v>403</v>
      </c>
      <c r="P20" s="495"/>
    </row>
    <row r="21" spans="1:16" ht="15.75" customHeight="1">
      <c r="A21" s="419"/>
      <c r="B21" s="491"/>
      <c r="C21" s="163">
        <v>5</v>
      </c>
      <c r="D21" s="314" t="s">
        <v>285</v>
      </c>
      <c r="E21" s="492"/>
      <c r="F21" s="493"/>
      <c r="G21" s="314" t="s">
        <v>407</v>
      </c>
      <c r="H21" s="492"/>
      <c r="I21" s="493"/>
      <c r="J21" s="4">
        <v>130</v>
      </c>
      <c r="K21" s="14">
        <v>0.21331058020477817</v>
      </c>
      <c r="L21" s="4">
        <v>1</v>
      </c>
      <c r="M21" s="16">
        <v>130</v>
      </c>
      <c r="N21" s="164"/>
      <c r="O21" s="494" t="s">
        <v>403</v>
      </c>
      <c r="P21" s="495"/>
    </row>
    <row r="22" spans="1:16" ht="15.75" customHeight="1">
      <c r="A22" s="419"/>
      <c r="B22" s="491"/>
      <c r="C22" s="489"/>
      <c r="D22" s="489"/>
      <c r="E22" s="489"/>
      <c r="F22" s="489"/>
      <c r="G22" s="489"/>
      <c r="H22" s="489"/>
      <c r="I22" s="489"/>
      <c r="J22" s="297" t="s">
        <v>73</v>
      </c>
      <c r="K22" s="251">
        <v>3.8746257424560407E-2</v>
      </c>
      <c r="L22" s="297" t="s">
        <v>74</v>
      </c>
      <c r="M22" s="272">
        <v>707.42200000000003</v>
      </c>
      <c r="N22" s="490"/>
      <c r="O22" s="490"/>
      <c r="P22" s="490"/>
    </row>
    <row r="24" spans="1:16" ht="15.75" customHeight="1">
      <c r="A24" s="419" t="s">
        <v>396</v>
      </c>
      <c r="B24" s="419"/>
      <c r="C24" s="300" t="s">
        <v>52</v>
      </c>
      <c r="D24" s="498" t="s">
        <v>53</v>
      </c>
      <c r="E24" s="499"/>
      <c r="F24" s="500"/>
      <c r="G24" s="298" t="s">
        <v>62</v>
      </c>
      <c r="H24" s="299"/>
      <c r="I24" s="300"/>
      <c r="J24" s="160" t="s">
        <v>63</v>
      </c>
      <c r="K24" s="160" t="s">
        <v>27</v>
      </c>
      <c r="L24" s="160" t="s">
        <v>64</v>
      </c>
      <c r="M24" s="160" t="s">
        <v>50</v>
      </c>
      <c r="N24" s="160" t="s">
        <v>57</v>
      </c>
      <c r="O24" s="501" t="s">
        <v>58</v>
      </c>
      <c r="P24" s="502"/>
    </row>
    <row r="25" spans="1:16" ht="15.75" customHeight="1">
      <c r="A25" s="419">
        <v>3</v>
      </c>
      <c r="B25" s="491" t="s">
        <v>408</v>
      </c>
      <c r="C25" s="161">
        <v>1</v>
      </c>
      <c r="D25" s="314" t="s">
        <v>277</v>
      </c>
      <c r="E25" s="492"/>
      <c r="F25" s="493"/>
      <c r="G25" s="314" t="s">
        <v>409</v>
      </c>
      <c r="H25" s="492"/>
      <c r="I25" s="493"/>
      <c r="J25" s="4">
        <v>581.91999999999996</v>
      </c>
      <c r="K25" s="14">
        <v>1.668195846192343E-2</v>
      </c>
      <c r="L25" s="4">
        <v>0.4</v>
      </c>
      <c r="M25" s="16">
        <v>232.768</v>
      </c>
      <c r="N25" s="162"/>
      <c r="O25" s="494" t="s">
        <v>410</v>
      </c>
      <c r="P25" s="495"/>
    </row>
    <row r="26" spans="1:16" ht="15.75" customHeight="1">
      <c r="A26" s="419"/>
      <c r="B26" s="491"/>
      <c r="C26" s="161">
        <v>2</v>
      </c>
      <c r="D26" s="314" t="s">
        <v>309</v>
      </c>
      <c r="E26" s="492"/>
      <c r="F26" s="493"/>
      <c r="G26" s="314" t="s">
        <v>411</v>
      </c>
      <c r="H26" s="492"/>
      <c r="I26" s="493"/>
      <c r="J26" s="4">
        <v>87.72</v>
      </c>
      <c r="K26" s="14">
        <v>4.511677282377919E-2</v>
      </c>
      <c r="L26" s="4">
        <v>1.7</v>
      </c>
      <c r="M26" s="16">
        <v>149.124</v>
      </c>
      <c r="N26" s="162"/>
      <c r="O26" s="494" t="s">
        <v>410</v>
      </c>
      <c r="P26" s="495"/>
    </row>
    <row r="27" spans="1:16" ht="15.75" customHeight="1">
      <c r="A27" s="419"/>
      <c r="B27" s="491"/>
      <c r="C27" s="161">
        <v>3</v>
      </c>
      <c r="D27" s="314" t="s">
        <v>305</v>
      </c>
      <c r="E27" s="492"/>
      <c r="F27" s="493"/>
      <c r="G27" s="314" t="s">
        <v>412</v>
      </c>
      <c r="H27" s="492"/>
      <c r="I27" s="493"/>
      <c r="J27" s="4">
        <v>76.34</v>
      </c>
      <c r="K27" s="14">
        <v>1.4251425142514252E-2</v>
      </c>
      <c r="L27" s="4">
        <v>1.9</v>
      </c>
      <c r="M27" s="16">
        <v>145.04599999999999</v>
      </c>
      <c r="N27" s="162"/>
      <c r="O27" s="494" t="s">
        <v>410</v>
      </c>
      <c r="P27" s="495"/>
    </row>
    <row r="28" spans="1:16" ht="15.75" customHeight="1">
      <c r="A28" s="419"/>
      <c r="B28" s="491"/>
      <c r="C28" s="161">
        <v>4</v>
      </c>
      <c r="D28" s="314" t="s">
        <v>305</v>
      </c>
      <c r="E28" s="492"/>
      <c r="F28" s="493"/>
      <c r="G28" s="314" t="s">
        <v>413</v>
      </c>
      <c r="H28" s="492"/>
      <c r="I28" s="493"/>
      <c r="J28" s="4">
        <v>101.65</v>
      </c>
      <c r="K28" s="14">
        <v>4.6045058378556152E-2</v>
      </c>
      <c r="L28" s="4">
        <v>1.4</v>
      </c>
      <c r="M28" s="16">
        <v>142.31</v>
      </c>
      <c r="N28" s="162"/>
      <c r="O28" s="494" t="s">
        <v>410</v>
      </c>
      <c r="P28" s="495"/>
    </row>
    <row r="29" spans="1:16" ht="15.75" customHeight="1">
      <c r="A29" s="419"/>
      <c r="B29" s="491"/>
      <c r="C29" s="163">
        <v>5</v>
      </c>
      <c r="D29" s="314" t="s">
        <v>287</v>
      </c>
      <c r="E29" s="492"/>
      <c r="F29" s="493"/>
      <c r="G29" s="314" t="s">
        <v>414</v>
      </c>
      <c r="H29" s="492"/>
      <c r="I29" s="493"/>
      <c r="J29" s="4">
        <v>114.4</v>
      </c>
      <c r="K29" s="14">
        <v>1.2606366214938543E-2</v>
      </c>
      <c r="L29" s="4">
        <v>1.2</v>
      </c>
      <c r="M29" s="16">
        <v>137.28</v>
      </c>
      <c r="N29" s="164"/>
      <c r="O29" s="496" t="s">
        <v>415</v>
      </c>
      <c r="P29" s="497"/>
    </row>
    <row r="30" spans="1:16" ht="15.75" customHeight="1">
      <c r="A30" s="419"/>
      <c r="B30" s="491"/>
      <c r="C30" s="489"/>
      <c r="D30" s="489"/>
      <c r="E30" s="489"/>
      <c r="F30" s="489"/>
      <c r="G30" s="489"/>
      <c r="H30" s="489"/>
      <c r="I30" s="489"/>
      <c r="J30" s="297" t="s">
        <v>73</v>
      </c>
      <c r="K30" s="251">
        <v>4.417439874377084E-2</v>
      </c>
      <c r="L30" s="297" t="s">
        <v>74</v>
      </c>
      <c r="M30" s="272">
        <v>806.52800000000002</v>
      </c>
      <c r="N30" s="490"/>
      <c r="O30" s="490"/>
      <c r="P30" s="490"/>
    </row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O26" sqref="O26:P26"/>
    </sheetView>
  </sheetViews>
  <sheetFormatPr defaultColWidth="12.5703125" defaultRowHeight="15.75" customHeight="1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16384" width="12.5703125" style="2"/>
  </cols>
  <sheetData>
    <row r="1" spans="1:17" s="117" customFormat="1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</row>
    <row r="3" spans="1:17" s="117" customFormat="1" ht="15.75" customHeight="1">
      <c r="A3" s="434" t="s">
        <v>395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</row>
    <row r="4" spans="1:17" s="118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</row>
    <row r="5" spans="1:17" s="117" customFormat="1" ht="15.75" customHeight="1">
      <c r="A5" s="375" t="s">
        <v>396</v>
      </c>
      <c r="B5" s="419">
        <v>1</v>
      </c>
      <c r="C5" s="419"/>
      <c r="D5" s="419">
        <v>2</v>
      </c>
      <c r="E5" s="419"/>
      <c r="F5" s="419">
        <v>3</v>
      </c>
      <c r="G5" s="419"/>
      <c r="H5" s="505">
        <v>4</v>
      </c>
      <c r="I5" s="505"/>
      <c r="J5" s="505">
        <v>5</v>
      </c>
      <c r="K5" s="505"/>
      <c r="L5" s="505">
        <v>6</v>
      </c>
      <c r="M5" s="505"/>
      <c r="N5" s="505">
        <v>7</v>
      </c>
      <c r="O5" s="505"/>
      <c r="P5" s="419">
        <v>8</v>
      </c>
      <c r="Q5" s="419"/>
    </row>
    <row r="6" spans="1:17" s="117" customFormat="1" ht="15.75" customHeight="1">
      <c r="A6" s="375"/>
      <c r="B6" s="375" t="s">
        <v>381</v>
      </c>
      <c r="C6" s="375"/>
      <c r="D6" s="375" t="s">
        <v>397</v>
      </c>
      <c r="E6" s="375"/>
      <c r="F6" s="375" t="s">
        <v>383</v>
      </c>
      <c r="G6" s="375"/>
      <c r="H6" s="506" t="s">
        <v>384</v>
      </c>
      <c r="I6" s="506"/>
      <c r="J6" s="506" t="s">
        <v>387</v>
      </c>
      <c r="K6" s="506"/>
      <c r="L6" s="506" t="s">
        <v>388</v>
      </c>
      <c r="M6" s="506"/>
      <c r="N6" s="506" t="s">
        <v>389</v>
      </c>
      <c r="O6" s="506"/>
      <c r="P6" s="504" t="s">
        <v>398</v>
      </c>
      <c r="Q6" s="375"/>
    </row>
    <row r="7" spans="1:17" s="117" customFormat="1" ht="15.75" customHeight="1">
      <c r="B7" s="165"/>
      <c r="C7" s="152"/>
    </row>
    <row r="8" spans="1:17" s="107" customFormat="1" ht="15.75" customHeight="1">
      <c r="A8" s="507" t="s">
        <v>396</v>
      </c>
      <c r="B8" s="508"/>
      <c r="C8" s="114" t="s">
        <v>52</v>
      </c>
      <c r="D8" s="509" t="s">
        <v>53</v>
      </c>
      <c r="E8" s="510"/>
      <c r="F8" s="511"/>
      <c r="G8" s="112" t="s">
        <v>62</v>
      </c>
      <c r="H8" s="113"/>
      <c r="I8" s="114"/>
      <c r="J8" s="111" t="s">
        <v>63</v>
      </c>
      <c r="K8" s="111" t="s">
        <v>27</v>
      </c>
      <c r="L8" s="111" t="s">
        <v>64</v>
      </c>
      <c r="M8" s="115" t="s">
        <v>50</v>
      </c>
      <c r="N8" s="115" t="s">
        <v>399</v>
      </c>
      <c r="O8" s="512" t="s">
        <v>58</v>
      </c>
      <c r="P8" s="513"/>
    </row>
    <row r="9" spans="1:17" ht="15.75" customHeight="1">
      <c r="A9" s="508">
        <v>4</v>
      </c>
      <c r="B9" s="515" t="s">
        <v>416</v>
      </c>
      <c r="C9" s="109">
        <v>1</v>
      </c>
      <c r="D9" s="314" t="s">
        <v>417</v>
      </c>
      <c r="E9" s="492"/>
      <c r="F9" s="493"/>
      <c r="G9" s="314" t="s">
        <v>418</v>
      </c>
      <c r="H9" s="492"/>
      <c r="I9" s="493"/>
      <c r="J9" s="4">
        <v>510.06</v>
      </c>
      <c r="K9" s="14">
        <v>2.6125520061133717E-3</v>
      </c>
      <c r="L9" s="4">
        <v>0.4</v>
      </c>
      <c r="M9" s="16">
        <v>204.024</v>
      </c>
      <c r="N9" s="4"/>
      <c r="O9" s="494"/>
      <c r="P9" s="503"/>
    </row>
    <row r="10" spans="1:17" ht="15.75" customHeight="1">
      <c r="A10" s="508"/>
      <c r="B10" s="515"/>
      <c r="C10" s="109">
        <v>2</v>
      </c>
      <c r="D10" s="314" t="s">
        <v>419</v>
      </c>
      <c r="E10" s="492"/>
      <c r="F10" s="493"/>
      <c r="G10" s="314" t="s">
        <v>420</v>
      </c>
      <c r="H10" s="492"/>
      <c r="I10" s="493"/>
      <c r="J10" s="4">
        <v>401.75</v>
      </c>
      <c r="K10" s="14">
        <v>1.485001485001485E-2</v>
      </c>
      <c r="L10" s="4">
        <v>0.4</v>
      </c>
      <c r="M10" s="16">
        <v>160.70000000000002</v>
      </c>
      <c r="N10" s="4"/>
      <c r="O10" s="494" t="s">
        <v>421</v>
      </c>
      <c r="P10" s="503"/>
    </row>
    <row r="11" spans="1:17" ht="15.75" customHeight="1">
      <c r="A11" s="508"/>
      <c r="B11" s="515"/>
      <c r="C11" s="109">
        <v>3</v>
      </c>
      <c r="D11" s="314" t="s">
        <v>305</v>
      </c>
      <c r="E11" s="492"/>
      <c r="F11" s="493"/>
      <c r="G11" s="314" t="s">
        <v>422</v>
      </c>
      <c r="H11" s="492"/>
      <c r="I11" s="493"/>
      <c r="J11" s="4">
        <v>208.47</v>
      </c>
      <c r="K11" s="14">
        <v>9.0009000900090029E-3</v>
      </c>
      <c r="L11" s="4">
        <v>0.70000000000000007</v>
      </c>
      <c r="M11" s="16">
        <v>145.929</v>
      </c>
      <c r="N11" s="4"/>
      <c r="O11" s="494" t="s">
        <v>423</v>
      </c>
      <c r="P11" s="503"/>
    </row>
    <row r="12" spans="1:17" ht="15.75" customHeight="1">
      <c r="A12" s="508"/>
      <c r="B12" s="515"/>
      <c r="C12" s="109">
        <v>4</v>
      </c>
      <c r="D12" s="314" t="s">
        <v>417</v>
      </c>
      <c r="E12" s="492"/>
      <c r="F12" s="493"/>
      <c r="G12" s="314" t="s">
        <v>424</v>
      </c>
      <c r="H12" s="492"/>
      <c r="I12" s="493"/>
      <c r="J12" s="4">
        <v>127.66</v>
      </c>
      <c r="K12" s="14">
        <v>7.4080060341576428E-3</v>
      </c>
      <c r="L12" s="4">
        <v>1.1000000000000001</v>
      </c>
      <c r="M12" s="16">
        <v>140.42600000000002</v>
      </c>
      <c r="N12" s="4"/>
      <c r="O12" s="494" t="s">
        <v>423</v>
      </c>
      <c r="P12" s="503"/>
    </row>
    <row r="13" spans="1:17" ht="15.75" customHeight="1">
      <c r="A13" s="508"/>
      <c r="B13" s="515"/>
      <c r="C13" s="110">
        <v>5</v>
      </c>
      <c r="D13" s="314" t="s">
        <v>417</v>
      </c>
      <c r="E13" s="492"/>
      <c r="F13" s="493"/>
      <c r="G13" s="314" t="s">
        <v>425</v>
      </c>
      <c r="H13" s="492"/>
      <c r="I13" s="493"/>
      <c r="J13" s="4">
        <v>116.66</v>
      </c>
      <c r="K13" s="14">
        <v>6.3107740690293498E-3</v>
      </c>
      <c r="L13" s="4">
        <v>1.2</v>
      </c>
      <c r="M13" s="16">
        <v>139.99199999999999</v>
      </c>
      <c r="N13" s="27"/>
      <c r="O13" s="494" t="s">
        <v>423</v>
      </c>
      <c r="P13" s="503"/>
    </row>
    <row r="14" spans="1:17" ht="15.75" customHeight="1">
      <c r="A14" s="508"/>
      <c r="B14" s="515"/>
      <c r="C14" s="522"/>
      <c r="D14" s="522"/>
      <c r="E14" s="522"/>
      <c r="F14" s="522"/>
      <c r="G14" s="522"/>
      <c r="H14" s="522"/>
      <c r="I14" s="522"/>
      <c r="J14" s="252" t="s">
        <v>73</v>
      </c>
      <c r="K14" s="251">
        <v>4.332780236846525E-2</v>
      </c>
      <c r="L14" s="252" t="s">
        <v>74</v>
      </c>
      <c r="M14" s="272">
        <v>791.07100000000003</v>
      </c>
      <c r="N14" s="521"/>
      <c r="O14" s="521"/>
      <c r="P14" s="521"/>
    </row>
    <row r="16" spans="1:17" ht="15.75" customHeight="1">
      <c r="A16" s="507" t="s">
        <v>396</v>
      </c>
      <c r="B16" s="508"/>
      <c r="C16" s="114" t="s">
        <v>52</v>
      </c>
      <c r="D16" s="509" t="s">
        <v>53</v>
      </c>
      <c r="E16" s="510"/>
      <c r="F16" s="511"/>
      <c r="G16" s="112" t="s">
        <v>62</v>
      </c>
      <c r="H16" s="113"/>
      <c r="I16" s="114"/>
      <c r="J16" s="111" t="s">
        <v>63</v>
      </c>
      <c r="K16" s="111" t="s">
        <v>27</v>
      </c>
      <c r="L16" s="111" t="s">
        <v>64</v>
      </c>
      <c r="M16" s="115" t="s">
        <v>50</v>
      </c>
      <c r="N16" s="115" t="s">
        <v>399</v>
      </c>
      <c r="O16" s="512" t="s">
        <v>58</v>
      </c>
      <c r="P16" s="513"/>
    </row>
    <row r="17" spans="1:16" ht="15.75" customHeight="1">
      <c r="A17" s="508">
        <v>5</v>
      </c>
      <c r="B17" s="514" t="s">
        <v>426</v>
      </c>
      <c r="C17" s="109">
        <v>1</v>
      </c>
      <c r="D17" s="314" t="s">
        <v>323</v>
      </c>
      <c r="E17" s="492"/>
      <c r="F17" s="493"/>
      <c r="G17" s="314" t="s">
        <v>427</v>
      </c>
      <c r="H17" s="492"/>
      <c r="I17" s="493"/>
      <c r="J17" s="4">
        <v>758.19</v>
      </c>
      <c r="K17" s="14">
        <v>1.0505305179115455E-2</v>
      </c>
      <c r="L17" s="4">
        <v>0.2</v>
      </c>
      <c r="M17" s="16">
        <v>151.63800000000001</v>
      </c>
      <c r="N17" s="4"/>
      <c r="O17" s="494" t="s">
        <v>428</v>
      </c>
      <c r="P17" s="503"/>
    </row>
    <row r="18" spans="1:16" ht="15.75" customHeight="1">
      <c r="A18" s="508"/>
      <c r="B18" s="515"/>
      <c r="C18" s="109">
        <v>2</v>
      </c>
      <c r="D18" s="314" t="s">
        <v>417</v>
      </c>
      <c r="E18" s="492"/>
      <c r="F18" s="493"/>
      <c r="G18" s="314" t="s">
        <v>429</v>
      </c>
      <c r="H18" s="492"/>
      <c r="I18" s="493"/>
      <c r="J18" s="4">
        <v>136.88999999999999</v>
      </c>
      <c r="K18" s="14">
        <v>3.2023159148696339E-3</v>
      </c>
      <c r="L18" s="4">
        <v>1</v>
      </c>
      <c r="M18" s="16">
        <v>136.88999999999999</v>
      </c>
      <c r="N18" s="4"/>
      <c r="O18" s="494" t="s">
        <v>430</v>
      </c>
      <c r="P18" s="495"/>
    </row>
    <row r="19" spans="1:16" ht="15.75" customHeight="1">
      <c r="A19" s="508"/>
      <c r="B19" s="515"/>
      <c r="C19" s="109">
        <v>3</v>
      </c>
      <c r="D19" s="314" t="s">
        <v>273</v>
      </c>
      <c r="E19" s="492"/>
      <c r="F19" s="493"/>
      <c r="G19" s="314" t="s">
        <v>431</v>
      </c>
      <c r="H19" s="492"/>
      <c r="I19" s="493"/>
      <c r="J19" s="4">
        <v>273.68</v>
      </c>
      <c r="K19" s="14">
        <v>1.1293054771315642E-2</v>
      </c>
      <c r="L19" s="4">
        <v>0.5</v>
      </c>
      <c r="M19" s="16">
        <v>136.84</v>
      </c>
      <c r="N19" s="4"/>
      <c r="O19" s="494" t="s">
        <v>432</v>
      </c>
      <c r="P19" s="495"/>
    </row>
    <row r="20" spans="1:16" ht="15.75" customHeight="1">
      <c r="A20" s="508"/>
      <c r="B20" s="515"/>
      <c r="C20" s="109">
        <v>4</v>
      </c>
      <c r="D20" s="314" t="s">
        <v>278</v>
      </c>
      <c r="E20" s="492"/>
      <c r="F20" s="493"/>
      <c r="G20" s="314" t="s">
        <v>433</v>
      </c>
      <c r="H20" s="492"/>
      <c r="I20" s="493"/>
      <c r="J20" s="4">
        <v>334.49</v>
      </c>
      <c r="K20" s="14">
        <v>8.6479007220997117E-3</v>
      </c>
      <c r="L20" s="4">
        <v>0.4</v>
      </c>
      <c r="M20" s="16">
        <v>133.79600000000002</v>
      </c>
      <c r="N20" s="4"/>
      <c r="O20" s="494"/>
      <c r="P20" s="495"/>
    </row>
    <row r="21" spans="1:16" ht="15.75" customHeight="1" thickBot="1">
      <c r="A21" s="508"/>
      <c r="B21" s="515"/>
      <c r="C21" s="110">
        <v>5</v>
      </c>
      <c r="D21" s="314" t="s">
        <v>280</v>
      </c>
      <c r="E21" s="492"/>
      <c r="F21" s="493"/>
      <c r="G21" s="314" t="s">
        <v>434</v>
      </c>
      <c r="H21" s="492"/>
      <c r="I21" s="493"/>
      <c r="J21" s="4">
        <v>330.54</v>
      </c>
      <c r="K21" s="14">
        <v>5.5165565653918823E-3</v>
      </c>
      <c r="L21" s="4">
        <v>0.4</v>
      </c>
      <c r="M21" s="16">
        <v>132.21600000000001</v>
      </c>
      <c r="N21" s="4"/>
      <c r="O21" s="494" t="s">
        <v>432</v>
      </c>
      <c r="P21" s="495"/>
    </row>
    <row r="22" spans="1:16" ht="15.75" customHeight="1" thickTop="1" thickBot="1">
      <c r="A22" s="508"/>
      <c r="B22" s="515"/>
      <c r="C22" s="516"/>
      <c r="D22" s="516"/>
      <c r="E22" s="516"/>
      <c r="F22" s="516"/>
      <c r="G22" s="516"/>
      <c r="H22" s="516"/>
      <c r="I22" s="517"/>
      <c r="J22" s="116" t="s">
        <v>73</v>
      </c>
      <c r="K22" s="251">
        <v>3.7867619975336615E-2</v>
      </c>
      <c r="L22" s="116" t="s">
        <v>74</v>
      </c>
      <c r="M22" s="253">
        <v>691.38000000000011</v>
      </c>
      <c r="N22" s="518"/>
      <c r="O22" s="519"/>
      <c r="P22" s="520"/>
    </row>
    <row r="23" spans="1:16" ht="15.75" customHeight="1" thickTop="1"/>
    <row r="24" spans="1:16" ht="15.75" customHeight="1">
      <c r="A24" s="507" t="s">
        <v>396</v>
      </c>
      <c r="B24" s="508"/>
      <c r="C24" s="114" t="s">
        <v>52</v>
      </c>
      <c r="D24" s="509" t="s">
        <v>53</v>
      </c>
      <c r="E24" s="510"/>
      <c r="F24" s="511"/>
      <c r="G24" s="112" t="s">
        <v>62</v>
      </c>
      <c r="H24" s="113"/>
      <c r="I24" s="114"/>
      <c r="J24" s="111" t="s">
        <v>63</v>
      </c>
      <c r="K24" s="111" t="s">
        <v>27</v>
      </c>
      <c r="L24" s="111" t="s">
        <v>64</v>
      </c>
      <c r="M24" s="115" t="s">
        <v>50</v>
      </c>
      <c r="N24" s="115" t="s">
        <v>57</v>
      </c>
      <c r="O24" s="512" t="s">
        <v>58</v>
      </c>
      <c r="P24" s="513"/>
    </row>
    <row r="25" spans="1:16" ht="15.75" customHeight="1">
      <c r="A25" s="508">
        <v>6</v>
      </c>
      <c r="B25" s="514" t="s">
        <v>435</v>
      </c>
      <c r="C25" s="109">
        <v>1</v>
      </c>
      <c r="D25" s="314" t="s">
        <v>310</v>
      </c>
      <c r="E25" s="492"/>
      <c r="F25" s="493"/>
      <c r="G25" s="314" t="s">
        <v>436</v>
      </c>
      <c r="H25" s="492"/>
      <c r="I25" s="493"/>
      <c r="J25" s="4">
        <v>13.45</v>
      </c>
      <c r="K25" s="14">
        <v>7.5349838536060282E-3</v>
      </c>
      <c r="L25" s="4">
        <v>14</v>
      </c>
      <c r="M25" s="16">
        <v>188.29999999999998</v>
      </c>
      <c r="N25" s="4"/>
      <c r="O25" s="494" t="s">
        <v>437</v>
      </c>
      <c r="P25" s="503"/>
    </row>
    <row r="26" spans="1:16" ht="15.75" customHeight="1">
      <c r="A26" s="508"/>
      <c r="B26" s="515"/>
      <c r="C26" s="109">
        <v>2</v>
      </c>
      <c r="D26" s="314" t="s">
        <v>417</v>
      </c>
      <c r="E26" s="492"/>
      <c r="F26" s="493"/>
      <c r="G26" s="314" t="s">
        <v>438</v>
      </c>
      <c r="H26" s="492"/>
      <c r="I26" s="493"/>
      <c r="J26" s="4">
        <v>473.79</v>
      </c>
      <c r="K26" s="14">
        <v>5.6686128904257123E-3</v>
      </c>
      <c r="L26" s="4">
        <v>0.3</v>
      </c>
      <c r="M26" s="16">
        <v>142.137</v>
      </c>
      <c r="N26" s="4"/>
      <c r="O26" s="494" t="s">
        <v>439</v>
      </c>
      <c r="P26" s="503"/>
    </row>
    <row r="27" spans="1:16" ht="15.75" customHeight="1">
      <c r="A27" s="508"/>
      <c r="B27" s="515"/>
      <c r="C27" s="109">
        <v>3</v>
      </c>
      <c r="D27" s="314" t="s">
        <v>286</v>
      </c>
      <c r="E27" s="492"/>
      <c r="F27" s="493"/>
      <c r="G27" s="314" t="s">
        <v>440</v>
      </c>
      <c r="H27" s="492"/>
      <c r="I27" s="493"/>
      <c r="J27" s="4">
        <v>444.88</v>
      </c>
      <c r="K27" s="14">
        <v>1.097935880544576E-2</v>
      </c>
      <c r="L27" s="4">
        <v>0.3</v>
      </c>
      <c r="M27" s="16">
        <v>133.464</v>
      </c>
      <c r="N27" s="4"/>
      <c r="O27" s="494" t="s">
        <v>439</v>
      </c>
      <c r="P27" s="503"/>
    </row>
    <row r="28" spans="1:16" ht="15.75" customHeight="1">
      <c r="A28" s="508"/>
      <c r="B28" s="515"/>
      <c r="C28" s="109">
        <v>4</v>
      </c>
      <c r="D28" s="314" t="s">
        <v>293</v>
      </c>
      <c r="E28" s="492"/>
      <c r="F28" s="493"/>
      <c r="G28" s="314" t="s">
        <v>441</v>
      </c>
      <c r="H28" s="492"/>
      <c r="I28" s="493"/>
      <c r="J28" s="4">
        <v>658.31</v>
      </c>
      <c r="K28" s="14">
        <v>3.3670033670033669E-2</v>
      </c>
      <c r="L28" s="4">
        <v>0.2</v>
      </c>
      <c r="M28" s="16">
        <v>131.66200000000001</v>
      </c>
      <c r="N28" s="4"/>
      <c r="O28" s="523"/>
      <c r="P28" s="503"/>
    </row>
    <row r="29" spans="1:16" ht="15.75" customHeight="1" thickBot="1">
      <c r="A29" s="508"/>
      <c r="B29" s="515"/>
      <c r="C29" s="110">
        <v>5</v>
      </c>
      <c r="D29" s="314">
        <v>0</v>
      </c>
      <c r="E29" s="492"/>
      <c r="F29" s="493"/>
      <c r="G29" s="314">
        <v>0</v>
      </c>
      <c r="H29" s="492"/>
      <c r="I29" s="493"/>
      <c r="J29" s="4">
        <v>0</v>
      </c>
      <c r="K29" s="14">
        <v>0</v>
      </c>
      <c r="L29" s="4">
        <v>0</v>
      </c>
      <c r="M29" s="16">
        <v>0</v>
      </c>
      <c r="N29" s="4"/>
      <c r="O29" s="523"/>
      <c r="P29" s="503"/>
    </row>
    <row r="30" spans="1:16" ht="15.75" customHeight="1" thickTop="1" thickBot="1">
      <c r="A30" s="508"/>
      <c r="B30" s="515"/>
      <c r="C30" s="516"/>
      <c r="D30" s="516"/>
      <c r="E30" s="516"/>
      <c r="F30" s="516"/>
      <c r="G30" s="516"/>
      <c r="H30" s="516"/>
      <c r="I30" s="517"/>
      <c r="J30" s="116" t="s">
        <v>73</v>
      </c>
      <c r="K30" s="251">
        <v>3.2619620693932996E-2</v>
      </c>
      <c r="L30" s="116" t="s">
        <v>74</v>
      </c>
      <c r="M30" s="253">
        <v>595.56299999999999</v>
      </c>
      <c r="N30" s="518"/>
      <c r="O30" s="519"/>
      <c r="P30" s="520"/>
    </row>
    <row r="31" spans="1:16" ht="15.75" customHeight="1" thickTop="1"/>
    <row r="32" spans="1:16" ht="15.75" customHeight="1">
      <c r="A32" s="507" t="s">
        <v>396</v>
      </c>
      <c r="B32" s="508"/>
      <c r="C32" s="114" t="s">
        <v>52</v>
      </c>
      <c r="D32" s="509" t="s">
        <v>53</v>
      </c>
      <c r="E32" s="510"/>
      <c r="F32" s="511"/>
      <c r="G32" s="112" t="s">
        <v>62</v>
      </c>
      <c r="H32" s="113"/>
      <c r="I32" s="114"/>
      <c r="J32" s="111" t="s">
        <v>63</v>
      </c>
      <c r="K32" s="111" t="s">
        <v>27</v>
      </c>
      <c r="L32" s="111" t="s">
        <v>64</v>
      </c>
      <c r="M32" s="115" t="s">
        <v>50</v>
      </c>
      <c r="N32" s="115" t="s">
        <v>57</v>
      </c>
      <c r="O32" s="512" t="s">
        <v>58</v>
      </c>
      <c r="P32" s="513"/>
    </row>
    <row r="33" spans="1:16" ht="15.75" customHeight="1">
      <c r="A33" s="508">
        <v>7</v>
      </c>
      <c r="B33" s="514" t="s">
        <v>442</v>
      </c>
      <c r="C33" s="109">
        <v>1</v>
      </c>
      <c r="D33" s="314" t="s">
        <v>270</v>
      </c>
      <c r="E33" s="492"/>
      <c r="F33" s="493"/>
      <c r="G33" s="314" t="s">
        <v>443</v>
      </c>
      <c r="H33" s="492"/>
      <c r="I33" s="493"/>
      <c r="J33" s="4">
        <v>78.16</v>
      </c>
      <c r="K33" s="14">
        <v>9.6153846153846142E-3</v>
      </c>
      <c r="L33" s="4">
        <v>1.7</v>
      </c>
      <c r="M33" s="16">
        <v>132.87199999999999</v>
      </c>
      <c r="N33" s="4"/>
      <c r="O33" s="494" t="s">
        <v>437</v>
      </c>
      <c r="P33" s="503"/>
    </row>
    <row r="34" spans="1:16" ht="15.75" customHeight="1">
      <c r="A34" s="508"/>
      <c r="B34" s="515"/>
      <c r="C34" s="109">
        <v>2</v>
      </c>
      <c r="D34" s="314">
        <v>0</v>
      </c>
      <c r="E34" s="492"/>
      <c r="F34" s="493"/>
      <c r="G34" s="314">
        <v>0</v>
      </c>
      <c r="H34" s="492"/>
      <c r="I34" s="493"/>
      <c r="J34" s="4">
        <v>0</v>
      </c>
      <c r="K34" s="14">
        <v>0</v>
      </c>
      <c r="L34" s="4">
        <v>0</v>
      </c>
      <c r="M34" s="16">
        <v>0</v>
      </c>
      <c r="N34" s="4"/>
      <c r="O34" s="494"/>
      <c r="P34" s="503"/>
    </row>
    <row r="35" spans="1:16" ht="15.75" customHeight="1">
      <c r="A35" s="508"/>
      <c r="B35" s="515"/>
      <c r="C35" s="109">
        <v>3</v>
      </c>
      <c r="D35" s="314">
        <v>0</v>
      </c>
      <c r="E35" s="492"/>
      <c r="F35" s="493"/>
      <c r="G35" s="314">
        <v>0</v>
      </c>
      <c r="H35" s="492"/>
      <c r="I35" s="493"/>
      <c r="J35" s="4">
        <v>0</v>
      </c>
      <c r="K35" s="14">
        <v>0</v>
      </c>
      <c r="L35" s="4">
        <v>0</v>
      </c>
      <c r="M35" s="16">
        <v>0</v>
      </c>
      <c r="N35" s="4"/>
      <c r="O35" s="494"/>
      <c r="P35" s="503"/>
    </row>
    <row r="36" spans="1:16" ht="15.75" customHeight="1">
      <c r="A36" s="508"/>
      <c r="B36" s="515"/>
      <c r="C36" s="109">
        <v>4</v>
      </c>
      <c r="D36" s="314">
        <v>0</v>
      </c>
      <c r="E36" s="492"/>
      <c r="F36" s="493"/>
      <c r="G36" s="314">
        <v>0</v>
      </c>
      <c r="H36" s="492"/>
      <c r="I36" s="493"/>
      <c r="J36" s="4">
        <v>0</v>
      </c>
      <c r="K36" s="14">
        <v>0</v>
      </c>
      <c r="L36" s="4">
        <v>0</v>
      </c>
      <c r="M36" s="16">
        <v>0</v>
      </c>
      <c r="N36" s="4"/>
      <c r="O36" s="494"/>
      <c r="P36" s="503"/>
    </row>
    <row r="37" spans="1:16" ht="15.75" customHeight="1" thickBot="1">
      <c r="A37" s="508"/>
      <c r="B37" s="515"/>
      <c r="C37" s="110">
        <v>5</v>
      </c>
      <c r="D37" s="314">
        <v>0</v>
      </c>
      <c r="E37" s="492"/>
      <c r="F37" s="493"/>
      <c r="G37" s="314">
        <v>0</v>
      </c>
      <c r="H37" s="492"/>
      <c r="I37" s="493"/>
      <c r="J37" s="4">
        <v>0</v>
      </c>
      <c r="K37" s="14">
        <v>0</v>
      </c>
      <c r="L37" s="4">
        <v>0</v>
      </c>
      <c r="M37" s="16">
        <v>0</v>
      </c>
      <c r="N37" s="4"/>
      <c r="O37" s="494"/>
      <c r="P37" s="503"/>
    </row>
    <row r="38" spans="1:16" ht="15.75" customHeight="1" thickTop="1" thickBot="1">
      <c r="A38" s="508"/>
      <c r="B38" s="515"/>
      <c r="C38" s="516"/>
      <c r="D38" s="516"/>
      <c r="E38" s="516"/>
      <c r="F38" s="516"/>
      <c r="G38" s="516"/>
      <c r="H38" s="516"/>
      <c r="I38" s="517"/>
      <c r="J38" s="116" t="s">
        <v>73</v>
      </c>
      <c r="K38" s="251">
        <v>7.2775411515561992E-3</v>
      </c>
      <c r="L38" s="116" t="s">
        <v>74</v>
      </c>
      <c r="M38" s="253">
        <v>132.87199999999999</v>
      </c>
      <c r="N38" s="518"/>
      <c r="O38" s="519"/>
      <c r="P38" s="520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tabSelected="1" view="pageBreakPreview" zoomScale="115" zoomScaleNormal="60" zoomScaleSheetLayoutView="115" workbookViewId="0">
      <selection activeCell="L11" sqref="L11"/>
    </sheetView>
  </sheetViews>
  <sheetFormatPr defaultColWidth="12.5703125" defaultRowHeight="15.75" customHeight="1"/>
  <cols>
    <col min="1" max="1" width="5.42578125" style="117" customWidth="1"/>
    <col min="2" max="2" width="7.85546875" style="166" customWidth="1"/>
    <col min="3" max="3" width="4" style="152" customWidth="1"/>
    <col min="4" max="17" width="8.5703125" style="117" customWidth="1"/>
    <col min="18" max="16384" width="12.5703125" style="117"/>
  </cols>
  <sheetData>
    <row r="1" spans="1:17" ht="15.75" customHeight="1">
      <c r="A1" s="341" t="s">
        <v>327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2" spans="1:17" s="118" customFormat="1" ht="15.7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</row>
    <row r="3" spans="1:17" ht="15.75" customHeight="1">
      <c r="A3" s="434" t="s">
        <v>444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</row>
    <row r="4" spans="1:17" s="118" customFormat="1" ht="15.75" customHeight="1">
      <c r="A4" s="528"/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</row>
    <row r="5" spans="1:17" ht="15.75" customHeight="1">
      <c r="A5" s="375" t="s">
        <v>396</v>
      </c>
      <c r="B5" s="419">
        <v>1</v>
      </c>
      <c r="C5" s="419"/>
      <c r="D5" s="419">
        <v>2</v>
      </c>
      <c r="E5" s="419"/>
      <c r="F5" s="419">
        <v>3</v>
      </c>
      <c r="G5" s="419"/>
      <c r="H5" s="419">
        <v>4</v>
      </c>
      <c r="I5" s="419"/>
      <c r="J5" s="419">
        <v>5</v>
      </c>
      <c r="K5" s="419"/>
      <c r="L5" s="419">
        <v>6</v>
      </c>
      <c r="M5" s="419"/>
      <c r="N5" s="419">
        <v>7</v>
      </c>
      <c r="O5" s="419"/>
      <c r="P5" s="505">
        <v>8</v>
      </c>
      <c r="Q5" s="505"/>
    </row>
    <row r="6" spans="1:17" ht="15.75" customHeight="1">
      <c r="A6" s="375"/>
      <c r="B6" s="375" t="s">
        <v>381</v>
      </c>
      <c r="C6" s="375"/>
      <c r="D6" s="375" t="s">
        <v>397</v>
      </c>
      <c r="E6" s="375"/>
      <c r="F6" s="375" t="s">
        <v>383</v>
      </c>
      <c r="G6" s="375"/>
      <c r="H6" s="375" t="s">
        <v>384</v>
      </c>
      <c r="I6" s="375"/>
      <c r="J6" s="375" t="s">
        <v>387</v>
      </c>
      <c r="K6" s="375"/>
      <c r="L6" s="375" t="s">
        <v>388</v>
      </c>
      <c r="M6" s="375"/>
      <c r="N6" s="375" t="s">
        <v>389</v>
      </c>
      <c r="O6" s="375"/>
      <c r="P6" s="506" t="s">
        <v>398</v>
      </c>
      <c r="Q6" s="506"/>
    </row>
    <row r="8" spans="1:17" s="124" customFormat="1" ht="15.75" customHeight="1">
      <c r="A8" s="154" t="s">
        <v>396</v>
      </c>
      <c r="B8" s="169" t="s">
        <v>93</v>
      </c>
      <c r="C8" s="526" t="s">
        <v>53</v>
      </c>
      <c r="D8" s="526"/>
      <c r="E8" s="526"/>
      <c r="F8" s="526" t="s">
        <v>62</v>
      </c>
      <c r="G8" s="526"/>
      <c r="H8" s="526"/>
      <c r="I8" s="169" t="s">
        <v>63</v>
      </c>
      <c r="J8" s="170" t="s">
        <v>94</v>
      </c>
      <c r="K8" s="169" t="s">
        <v>95</v>
      </c>
      <c r="L8" s="169" t="s">
        <v>10</v>
      </c>
      <c r="M8" s="529" t="s">
        <v>96</v>
      </c>
      <c r="N8" s="530"/>
      <c r="O8" s="530"/>
      <c r="P8" s="530"/>
      <c r="Q8" s="530"/>
    </row>
    <row r="9" spans="1:17" ht="15.75" customHeight="1">
      <c r="A9" s="526" t="s">
        <v>48</v>
      </c>
      <c r="B9" s="148">
        <v>1</v>
      </c>
      <c r="C9" s="433"/>
      <c r="D9" s="422"/>
      <c r="E9" s="422"/>
      <c r="F9" s="433"/>
      <c r="G9" s="422"/>
      <c r="H9" s="422"/>
      <c r="I9" s="126"/>
      <c r="J9" s="137"/>
      <c r="K9" s="137"/>
      <c r="L9" s="168">
        <f t="shared" ref="L9:L13" si="0">K9-J9</f>
        <v>0</v>
      </c>
      <c r="M9" s="433"/>
      <c r="N9" s="433"/>
      <c r="O9" s="433"/>
      <c r="P9" s="433"/>
      <c r="Q9" s="433"/>
    </row>
    <row r="10" spans="1:17" ht="15.75" customHeight="1">
      <c r="A10" s="527"/>
      <c r="B10" s="148">
        <v>2</v>
      </c>
      <c r="C10" s="433"/>
      <c r="D10" s="422"/>
      <c r="E10" s="422"/>
      <c r="F10" s="433"/>
      <c r="G10" s="422"/>
      <c r="H10" s="422"/>
      <c r="I10" s="126"/>
      <c r="J10" s="137"/>
      <c r="K10" s="137"/>
      <c r="L10" s="168">
        <f t="shared" si="0"/>
        <v>0</v>
      </c>
      <c r="M10" s="433"/>
      <c r="N10" s="433"/>
      <c r="O10" s="433"/>
      <c r="P10" s="433"/>
      <c r="Q10" s="433"/>
    </row>
    <row r="11" spans="1:17" ht="15.75" customHeight="1">
      <c r="A11" s="527"/>
      <c r="B11" s="148">
        <v>3</v>
      </c>
      <c r="C11" s="433"/>
      <c r="D11" s="422"/>
      <c r="E11" s="422"/>
      <c r="F11" s="433"/>
      <c r="G11" s="422"/>
      <c r="H11" s="422"/>
      <c r="I11" s="126"/>
      <c r="J11" s="137"/>
      <c r="K11" s="137"/>
      <c r="L11" s="168">
        <f t="shared" si="0"/>
        <v>0</v>
      </c>
      <c r="M11" s="433"/>
      <c r="N11" s="433"/>
      <c r="O11" s="433"/>
      <c r="P11" s="433"/>
      <c r="Q11" s="433"/>
    </row>
    <row r="12" spans="1:17" ht="15.75" customHeight="1">
      <c r="A12" s="527"/>
      <c r="B12" s="148">
        <v>4</v>
      </c>
      <c r="C12" s="433"/>
      <c r="D12" s="422"/>
      <c r="E12" s="422"/>
      <c r="F12" s="433"/>
      <c r="G12" s="422"/>
      <c r="H12" s="422"/>
      <c r="I12" s="126"/>
      <c r="J12" s="137"/>
      <c r="K12" s="137"/>
      <c r="L12" s="168">
        <f t="shared" si="0"/>
        <v>0</v>
      </c>
      <c r="M12" s="433"/>
      <c r="N12" s="433"/>
      <c r="O12" s="433"/>
      <c r="P12" s="433"/>
      <c r="Q12" s="433"/>
    </row>
    <row r="13" spans="1:17" ht="15.75" customHeight="1">
      <c r="A13" s="527"/>
      <c r="B13" s="148">
        <v>5</v>
      </c>
      <c r="C13" s="433"/>
      <c r="D13" s="422"/>
      <c r="E13" s="422"/>
      <c r="F13" s="433"/>
      <c r="G13" s="422"/>
      <c r="H13" s="422"/>
      <c r="I13" s="126"/>
      <c r="J13" s="137"/>
      <c r="K13" s="137"/>
      <c r="L13" s="168">
        <f t="shared" si="0"/>
        <v>0</v>
      </c>
      <c r="M13" s="433"/>
      <c r="N13" s="433"/>
      <c r="O13" s="433"/>
      <c r="P13" s="433"/>
      <c r="Q13" s="433"/>
    </row>
    <row r="14" spans="1:17" ht="15.75" customHeight="1">
      <c r="A14" s="524"/>
      <c r="B14" s="524"/>
      <c r="C14" s="524"/>
      <c r="D14" s="524"/>
      <c r="E14" s="524"/>
      <c r="F14" s="524"/>
      <c r="G14" s="524"/>
      <c r="H14" s="524"/>
      <c r="I14" s="524"/>
      <c r="J14" s="524"/>
      <c r="K14" s="524"/>
      <c r="L14" s="524"/>
      <c r="M14" s="524"/>
      <c r="N14" s="524"/>
      <c r="O14" s="525"/>
    </row>
    <row r="15" spans="1:17" s="124" customFormat="1" ht="15.75" customHeight="1">
      <c r="A15" s="154" t="s">
        <v>396</v>
      </c>
      <c r="B15" s="154" t="s">
        <v>93</v>
      </c>
      <c r="C15" s="489" t="s">
        <v>53</v>
      </c>
      <c r="D15" s="489"/>
      <c r="E15" s="489"/>
      <c r="F15" s="489" t="s">
        <v>62</v>
      </c>
      <c r="G15" s="489"/>
      <c r="H15" s="489"/>
      <c r="I15" s="154" t="s">
        <v>63</v>
      </c>
      <c r="J15" s="167" t="s">
        <v>94</v>
      </c>
      <c r="K15" s="154" t="s">
        <v>95</v>
      </c>
      <c r="L15" s="154" t="s">
        <v>10</v>
      </c>
      <c r="M15" s="489" t="s">
        <v>96</v>
      </c>
      <c r="N15" s="489"/>
      <c r="O15" s="489"/>
      <c r="P15" s="489"/>
      <c r="Q15" s="489"/>
    </row>
    <row r="16" spans="1:17" ht="15.75" customHeight="1">
      <c r="A16" s="489" t="s">
        <v>445</v>
      </c>
      <c r="B16" s="148">
        <v>1</v>
      </c>
      <c r="C16" s="433"/>
      <c r="D16" s="422"/>
      <c r="E16" s="422"/>
      <c r="F16" s="433"/>
      <c r="G16" s="422"/>
      <c r="H16" s="422"/>
      <c r="I16" s="126"/>
      <c r="J16" s="137"/>
      <c r="K16" s="137"/>
      <c r="L16" s="168">
        <f t="shared" ref="L16:L19" si="1">K16-J16</f>
        <v>0</v>
      </c>
      <c r="M16" s="433"/>
      <c r="N16" s="433"/>
      <c r="O16" s="433"/>
      <c r="P16" s="433"/>
      <c r="Q16" s="433"/>
    </row>
    <row r="17" spans="1:17" ht="15.75" customHeight="1">
      <c r="A17" s="489"/>
      <c r="B17" s="148">
        <v>2</v>
      </c>
      <c r="C17" s="433"/>
      <c r="D17" s="422"/>
      <c r="E17" s="422"/>
      <c r="F17" s="433"/>
      <c r="G17" s="422"/>
      <c r="H17" s="422"/>
      <c r="I17" s="126"/>
      <c r="J17" s="137"/>
      <c r="K17" s="137"/>
      <c r="L17" s="168">
        <f t="shared" si="1"/>
        <v>0</v>
      </c>
      <c r="M17" s="433"/>
      <c r="N17" s="433"/>
      <c r="O17" s="433"/>
      <c r="P17" s="433"/>
      <c r="Q17" s="433"/>
    </row>
    <row r="18" spans="1:17" ht="15.75" customHeight="1">
      <c r="A18" s="489"/>
      <c r="B18" s="148">
        <v>3</v>
      </c>
      <c r="C18" s="433"/>
      <c r="D18" s="422"/>
      <c r="E18" s="422"/>
      <c r="F18" s="433"/>
      <c r="G18" s="422"/>
      <c r="H18" s="422"/>
      <c r="I18" s="126"/>
      <c r="J18" s="137"/>
      <c r="K18" s="137"/>
      <c r="L18" s="168">
        <f t="shared" si="1"/>
        <v>0</v>
      </c>
      <c r="M18" s="433"/>
      <c r="N18" s="433"/>
      <c r="O18" s="433"/>
      <c r="P18" s="433"/>
      <c r="Q18" s="433"/>
    </row>
    <row r="19" spans="1:17" ht="15.75" customHeight="1">
      <c r="A19" s="489"/>
      <c r="B19" s="148">
        <v>4</v>
      </c>
      <c r="C19" s="433"/>
      <c r="D19" s="422"/>
      <c r="E19" s="422"/>
      <c r="F19" s="433"/>
      <c r="G19" s="422"/>
      <c r="H19" s="422"/>
      <c r="I19" s="126"/>
      <c r="J19" s="137"/>
      <c r="K19" s="137"/>
      <c r="L19" s="168">
        <f t="shared" si="1"/>
        <v>0</v>
      </c>
      <c r="M19" s="433"/>
      <c r="N19" s="433"/>
      <c r="O19" s="433"/>
      <c r="P19" s="433"/>
      <c r="Q19" s="433"/>
    </row>
    <row r="20" spans="1:17" ht="15.75" customHeight="1">
      <c r="A20" s="489"/>
      <c r="B20" s="148">
        <v>5</v>
      </c>
      <c r="C20" s="433"/>
      <c r="D20" s="422"/>
      <c r="E20" s="422"/>
      <c r="F20" s="433"/>
      <c r="G20" s="422"/>
      <c r="H20" s="422"/>
      <c r="I20" s="126"/>
      <c r="J20" s="137"/>
      <c r="K20" s="137"/>
      <c r="L20" s="168">
        <f>K20-J20</f>
        <v>0</v>
      </c>
      <c r="M20" s="433"/>
      <c r="N20" s="433"/>
      <c r="O20" s="433"/>
      <c r="P20" s="433"/>
      <c r="Q20" s="43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H326"/>
  <sheetViews>
    <sheetView zoomScale="70" zoomScaleNormal="70" workbookViewId="0">
      <pane xSplit="4" ySplit="6" topLeftCell="E289" activePane="bottomRight" state="frozen"/>
      <selection pane="bottomRight" activeCell="X306" sqref="X306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87"/>
    <col min="2" max="2" width="12.42578125" style="187" customWidth="1"/>
    <col min="3" max="3" width="8.85546875" style="187"/>
    <col min="4" max="4" width="6.85546875" style="187" customWidth="1"/>
    <col min="5" max="5" width="27" style="187" customWidth="1"/>
    <col min="6" max="6" width="22.5703125" style="187" customWidth="1"/>
    <col min="7" max="7" width="14.140625" style="187" customWidth="1"/>
    <col min="8" max="8" width="14" style="187" customWidth="1"/>
    <col min="9" max="9" width="16.85546875" style="187" customWidth="1"/>
    <col min="10" max="12" width="14" style="187" customWidth="1"/>
    <col min="13" max="13" width="19.42578125" style="187" customWidth="1"/>
    <col min="14" max="17" width="14" style="187" customWidth="1"/>
    <col min="18" max="18" width="8.85546875" style="187"/>
    <col min="19" max="19" width="10.42578125" style="187" bestFit="1" customWidth="1"/>
    <col min="20" max="20" width="10.140625" style="187" customWidth="1"/>
    <col min="21" max="21" width="15.5703125" style="187" customWidth="1"/>
    <col min="22" max="22" width="15.5703125" style="187" bestFit="1" customWidth="1"/>
    <col min="23" max="23" width="7.42578125" style="187" bestFit="1" customWidth="1"/>
    <col min="24" max="24" width="32.5703125" style="187" bestFit="1" customWidth="1"/>
    <col min="25" max="25" width="8.85546875" style="187"/>
    <col min="26" max="27" width="21.5703125" style="187" customWidth="1"/>
    <col min="28" max="33" width="14.42578125" style="187" customWidth="1"/>
    <col min="34" max="34" width="11.42578125" style="187" bestFit="1" customWidth="1"/>
    <col min="35" max="16384" width="8.85546875" style="187"/>
  </cols>
  <sheetData>
    <row r="2" spans="2:34" ht="41.1" customHeight="1">
      <c r="B2" s="537" t="s">
        <v>446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Z2" s="188"/>
      <c r="AA2" s="188"/>
    </row>
    <row r="3" spans="2:34" ht="17.100000000000001" customHeight="1">
      <c r="B3" s="539" t="s">
        <v>145</v>
      </c>
      <c r="C3" s="540"/>
      <c r="D3" s="536" t="s">
        <v>447</v>
      </c>
      <c r="E3" s="536"/>
      <c r="F3" s="536"/>
      <c r="G3" s="536" t="s">
        <v>448</v>
      </c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 t="s">
        <v>449</v>
      </c>
      <c r="U3" s="545" t="s">
        <v>450</v>
      </c>
      <c r="V3" s="548" t="s">
        <v>451</v>
      </c>
      <c r="W3" s="548" t="s">
        <v>452</v>
      </c>
      <c r="X3" s="551" t="s">
        <v>453</v>
      </c>
      <c r="Z3" s="536" t="s">
        <v>454</v>
      </c>
      <c r="AA3" s="536"/>
      <c r="AB3" s="536"/>
      <c r="AC3" s="536"/>
      <c r="AD3" s="536"/>
      <c r="AE3" s="536"/>
      <c r="AF3" s="536"/>
      <c r="AG3" s="536"/>
      <c r="AH3" s="536"/>
    </row>
    <row r="4" spans="2:34" ht="17.100000000000001" customHeight="1">
      <c r="B4" s="541"/>
      <c r="C4" s="542"/>
      <c r="D4" s="552" t="s">
        <v>455</v>
      </c>
      <c r="E4" s="536" t="s">
        <v>456</v>
      </c>
      <c r="F4" s="536"/>
      <c r="G4" s="536" t="s">
        <v>457</v>
      </c>
      <c r="H4" s="536"/>
      <c r="I4" s="536"/>
      <c r="J4" s="536"/>
      <c r="K4" s="536"/>
      <c r="L4" s="536"/>
      <c r="M4" s="536"/>
      <c r="N4" s="536"/>
      <c r="O4" s="536" t="s">
        <v>458</v>
      </c>
      <c r="P4" s="536"/>
      <c r="Q4" s="536"/>
      <c r="R4" s="536"/>
      <c r="S4" s="536"/>
      <c r="T4" s="536"/>
      <c r="U4" s="546"/>
      <c r="V4" s="549"/>
      <c r="W4" s="549"/>
      <c r="X4" s="551"/>
      <c r="Z4" s="536"/>
      <c r="AA4" s="536"/>
      <c r="AB4" s="536"/>
      <c r="AC4" s="536"/>
      <c r="AD4" s="536"/>
      <c r="AE4" s="536"/>
      <c r="AF4" s="536"/>
      <c r="AG4" s="536"/>
      <c r="AH4" s="536"/>
    </row>
    <row r="5" spans="2:34" ht="17.100000000000001" customHeight="1">
      <c r="B5" s="541"/>
      <c r="C5" s="542"/>
      <c r="D5" s="552"/>
      <c r="E5" s="552" t="s">
        <v>459</v>
      </c>
      <c r="F5" s="551" t="s">
        <v>460</v>
      </c>
      <c r="G5" s="553" t="s">
        <v>461</v>
      </c>
      <c r="H5" s="553"/>
      <c r="I5" s="553"/>
      <c r="J5" s="553"/>
      <c r="K5" s="553"/>
      <c r="L5" s="553"/>
      <c r="M5" s="553"/>
      <c r="N5" s="553"/>
      <c r="O5" s="553" t="s">
        <v>462</v>
      </c>
      <c r="P5" s="553"/>
      <c r="Q5" s="553" t="s">
        <v>463</v>
      </c>
      <c r="R5" s="553"/>
      <c r="S5" s="553"/>
      <c r="T5" s="536"/>
      <c r="U5" s="546"/>
      <c r="V5" s="549"/>
      <c r="W5" s="549"/>
      <c r="X5" s="551"/>
      <c r="Z5" s="536"/>
      <c r="AA5" s="536"/>
      <c r="AB5" s="536"/>
      <c r="AC5" s="536"/>
      <c r="AD5" s="536"/>
      <c r="AE5" s="536"/>
      <c r="AF5" s="536"/>
      <c r="AG5" s="536"/>
      <c r="AH5" s="536"/>
    </row>
    <row r="6" spans="2:34" ht="38.450000000000003" customHeight="1">
      <c r="B6" s="543"/>
      <c r="C6" s="544"/>
      <c r="D6" s="552"/>
      <c r="E6" s="552"/>
      <c r="F6" s="551"/>
      <c r="G6" s="198" t="s">
        <v>464</v>
      </c>
      <c r="H6" s="198" t="s">
        <v>465</v>
      </c>
      <c r="I6" s="198" t="s">
        <v>466</v>
      </c>
      <c r="J6" s="198" t="s">
        <v>467</v>
      </c>
      <c r="K6" s="198" t="s">
        <v>468</v>
      </c>
      <c r="L6" s="198" t="s">
        <v>469</v>
      </c>
      <c r="M6" s="198" t="s">
        <v>470</v>
      </c>
      <c r="N6" s="198" t="s">
        <v>471</v>
      </c>
      <c r="O6" s="199" t="s">
        <v>472</v>
      </c>
      <c r="P6" s="199" t="s">
        <v>473</v>
      </c>
      <c r="Q6" s="199" t="s">
        <v>472</v>
      </c>
      <c r="R6" s="199" t="s">
        <v>473</v>
      </c>
      <c r="S6" s="198" t="s">
        <v>474</v>
      </c>
      <c r="T6" s="536"/>
      <c r="U6" s="547"/>
      <c r="V6" s="550"/>
      <c r="W6" s="550"/>
      <c r="X6" s="551"/>
      <c r="Z6" s="225" t="s">
        <v>475</v>
      </c>
      <c r="AA6" s="225" t="s">
        <v>476</v>
      </c>
      <c r="AB6" s="213" t="s">
        <v>477</v>
      </c>
      <c r="AC6" s="213" t="s">
        <v>408</v>
      </c>
      <c r="AD6" s="213" t="s">
        <v>478</v>
      </c>
      <c r="AE6" s="213" t="s">
        <v>479</v>
      </c>
      <c r="AF6" s="213" t="s">
        <v>480</v>
      </c>
      <c r="AG6" s="213" t="s">
        <v>442</v>
      </c>
      <c r="AH6" s="213" t="s">
        <v>481</v>
      </c>
    </row>
    <row r="7" spans="2:34">
      <c r="B7" s="533">
        <v>45870</v>
      </c>
      <c r="C7" s="531" t="s">
        <v>156</v>
      </c>
      <c r="D7" s="200">
        <v>1</v>
      </c>
      <c r="E7" s="189" t="s">
        <v>482</v>
      </c>
      <c r="F7" s="195">
        <v>169.28800000000001</v>
      </c>
      <c r="G7" s="258">
        <v>6.0389999999999997</v>
      </c>
      <c r="H7" s="258">
        <v>6.5</v>
      </c>
      <c r="I7" s="201">
        <f>H7/G7</f>
        <v>1.0763371419109125</v>
      </c>
      <c r="J7" s="196">
        <v>0</v>
      </c>
      <c r="K7" s="201">
        <f>J7/G7</f>
        <v>0</v>
      </c>
      <c r="L7" s="195">
        <v>846.44</v>
      </c>
      <c r="M7" s="201">
        <f>(H7+J7)/G7</f>
        <v>1.0763371419109125</v>
      </c>
      <c r="N7" s="195">
        <v>390.20884000000029</v>
      </c>
      <c r="O7" s="196">
        <v>0.2</v>
      </c>
      <c r="P7" s="197">
        <v>3.3118065904951158E-2</v>
      </c>
      <c r="Q7" s="258">
        <v>0.26100000000000029</v>
      </c>
      <c r="R7" s="197">
        <v>4.3219076005961303E-2</v>
      </c>
      <c r="S7" s="195">
        <v>220.92084000000025</v>
      </c>
      <c r="T7" s="196" t="s">
        <v>483</v>
      </c>
      <c r="U7" s="196" t="s">
        <v>416</v>
      </c>
      <c r="V7" s="196"/>
      <c r="W7" s="196">
        <v>1</v>
      </c>
      <c r="X7" s="196" t="s">
        <v>270</v>
      </c>
      <c r="Y7" s="192" t="s">
        <v>484</v>
      </c>
      <c r="Z7" s="222">
        <f>SUM(W7:W46)</f>
        <v>40</v>
      </c>
      <c r="AA7" s="221">
        <f ca="1">SUMIF($U$7:$U$10000,TRIM(AA6),$W$7:$W$46)</f>
        <v>0</v>
      </c>
      <c r="AB7" s="221">
        <f ca="1">SUMIF($U$7:$U$10000,TRIM(AB6),$W$7:$W$46)</f>
        <v>38</v>
      </c>
      <c r="AC7" s="221">
        <f t="shared" ref="AC7:AH7" ca="1" si="0">SUMIF($U$7:$U$10000,TRIM(AC6),$W$7:$W$46)</f>
        <v>44</v>
      </c>
      <c r="AD7" s="221">
        <f t="shared" ca="1" si="0"/>
        <v>116</v>
      </c>
      <c r="AE7" s="221">
        <f t="shared" ca="1" si="0"/>
        <v>75</v>
      </c>
      <c r="AF7" s="221">
        <f t="shared" ca="1" si="0"/>
        <v>10</v>
      </c>
      <c r="AG7" s="221">
        <f t="shared" ca="1" si="0"/>
        <v>18</v>
      </c>
      <c r="AH7" s="221">
        <f t="shared" ca="1" si="0"/>
        <v>0</v>
      </c>
    </row>
    <row r="8" spans="2:34">
      <c r="B8" s="531"/>
      <c r="C8" s="531"/>
      <c r="D8" s="200">
        <v>2</v>
      </c>
      <c r="E8" s="189" t="s">
        <v>485</v>
      </c>
      <c r="F8" s="195">
        <v>165.98000000000002</v>
      </c>
      <c r="G8" s="258">
        <v>21.042000000000002</v>
      </c>
      <c r="H8" s="258">
        <v>21.8</v>
      </c>
      <c r="I8" s="201">
        <f t="shared" ref="I8:I71" si="1">H8/G8</f>
        <v>1.0360231917118143</v>
      </c>
      <c r="J8" s="196">
        <v>0</v>
      </c>
      <c r="K8" s="201">
        <f t="shared" ref="K8:K71" si="2">J8/G8</f>
        <v>0</v>
      </c>
      <c r="L8" s="195">
        <v>414.95</v>
      </c>
      <c r="M8" s="201">
        <f t="shared" ref="M8:M71" si="3">(H8+J8)/G8</f>
        <v>1.0360231917118143</v>
      </c>
      <c r="N8" s="195">
        <v>314.53209999999962</v>
      </c>
      <c r="O8" s="196">
        <v>0.4</v>
      </c>
      <c r="P8" s="197">
        <v>1.9009599847923202E-2</v>
      </c>
      <c r="Q8" s="258">
        <v>0.3579999999999991</v>
      </c>
      <c r="R8" s="197">
        <v>1.701359186389122E-2</v>
      </c>
      <c r="S8" s="195">
        <v>148.55209999999963</v>
      </c>
      <c r="T8" s="196" t="s">
        <v>486</v>
      </c>
      <c r="U8" s="196" t="s">
        <v>426</v>
      </c>
      <c r="V8" s="196"/>
      <c r="W8" s="196">
        <v>1</v>
      </c>
      <c r="X8" s="196" t="s">
        <v>304</v>
      </c>
      <c r="Y8" s="192"/>
      <c r="Z8" s="222"/>
      <c r="AA8" s="224">
        <f t="shared" ref="AA8:AH8" si="4">SUMIF($U$7:$U$46,TRIM(AA6),$F$7:$F$46)</f>
        <v>0</v>
      </c>
      <c r="AB8" s="224">
        <f t="shared" si="4"/>
        <v>856.79600000000005</v>
      </c>
      <c r="AC8" s="224">
        <f t="shared" si="4"/>
        <v>490.08800000000008</v>
      </c>
      <c r="AD8" s="224">
        <f t="shared" si="4"/>
        <v>2394.6160000000004</v>
      </c>
      <c r="AE8" s="224">
        <f t="shared" si="4"/>
        <v>2607.634</v>
      </c>
      <c r="AF8" s="224">
        <f t="shared" si="4"/>
        <v>0</v>
      </c>
      <c r="AG8" s="224">
        <f t="shared" si="4"/>
        <v>348.58600000000001</v>
      </c>
      <c r="AH8" s="224">
        <f t="shared" si="4"/>
        <v>0</v>
      </c>
    </row>
    <row r="9" spans="2:34">
      <c r="B9" s="531"/>
      <c r="C9" s="531"/>
      <c r="D9" s="200">
        <v>3</v>
      </c>
      <c r="E9" s="189" t="s">
        <v>434</v>
      </c>
      <c r="F9" s="195">
        <v>165.27</v>
      </c>
      <c r="G9" s="258">
        <v>69.688000000000002</v>
      </c>
      <c r="H9" s="258">
        <v>70.599999999999994</v>
      </c>
      <c r="I9" s="201">
        <f t="shared" si="1"/>
        <v>1.013086901618643</v>
      </c>
      <c r="J9" s="196">
        <v>0</v>
      </c>
      <c r="K9" s="201">
        <f t="shared" si="2"/>
        <v>0</v>
      </c>
      <c r="L9" s="195">
        <v>330.54</v>
      </c>
      <c r="M9" s="201">
        <f t="shared" si="3"/>
        <v>1.013086901618643</v>
      </c>
      <c r="N9" s="195">
        <v>301.45247999999737</v>
      </c>
      <c r="O9" s="196">
        <v>0.5</v>
      </c>
      <c r="P9" s="197">
        <v>7.174836413729767E-3</v>
      </c>
      <c r="Q9" s="258">
        <v>0.41199999999999193</v>
      </c>
      <c r="R9" s="197">
        <v>5.9120652049132116E-3</v>
      </c>
      <c r="S9" s="195">
        <v>136.18247999999733</v>
      </c>
      <c r="T9" s="196" t="s">
        <v>486</v>
      </c>
      <c r="U9" s="196" t="s">
        <v>426</v>
      </c>
      <c r="V9" s="196"/>
      <c r="W9" s="196">
        <v>1</v>
      </c>
      <c r="X9" s="196" t="s">
        <v>280</v>
      </c>
      <c r="Y9" s="192"/>
      <c r="Z9" s="222">
        <f>SUM(W47:W116)</f>
        <v>70</v>
      </c>
      <c r="AA9" s="221">
        <f t="shared" ref="AA9:AH9" si="5">SUMIF($U$47:$U$116,TRIM(AA6),$W$47:$W$116)</f>
        <v>0</v>
      </c>
      <c r="AB9" s="221">
        <f t="shared" si="5"/>
        <v>7</v>
      </c>
      <c r="AC9" s="221">
        <f t="shared" si="5"/>
        <v>10</v>
      </c>
      <c r="AD9" s="221">
        <f t="shared" si="5"/>
        <v>23</v>
      </c>
      <c r="AE9" s="221">
        <f t="shared" si="5"/>
        <v>23</v>
      </c>
      <c r="AF9" s="221">
        <f t="shared" si="5"/>
        <v>0</v>
      </c>
      <c r="AG9" s="221">
        <f t="shared" si="5"/>
        <v>5</v>
      </c>
      <c r="AH9" s="221">
        <f t="shared" si="5"/>
        <v>0</v>
      </c>
    </row>
    <row r="10" spans="2:34">
      <c r="B10" s="531"/>
      <c r="C10" s="531"/>
      <c r="D10" s="200">
        <v>4</v>
      </c>
      <c r="E10" s="189" t="s">
        <v>487</v>
      </c>
      <c r="F10" s="195">
        <v>160.70000000000002</v>
      </c>
      <c r="G10" s="258">
        <v>14.14</v>
      </c>
      <c r="H10" s="258">
        <v>14.74</v>
      </c>
      <c r="I10" s="201">
        <f t="shared" si="1"/>
        <v>1.0424328147100423</v>
      </c>
      <c r="J10" s="196">
        <v>0</v>
      </c>
      <c r="K10" s="201">
        <f t="shared" si="2"/>
        <v>0</v>
      </c>
      <c r="L10" s="195">
        <v>401.75</v>
      </c>
      <c r="M10" s="201">
        <f t="shared" si="3"/>
        <v>1.0424328147100423</v>
      </c>
      <c r="N10" s="195">
        <v>241.04999999999987</v>
      </c>
      <c r="O10" s="196">
        <v>0.4</v>
      </c>
      <c r="P10" s="197">
        <v>2.828854314002829E-2</v>
      </c>
      <c r="Q10" s="258">
        <v>0.19999999999999962</v>
      </c>
      <c r="R10" s="197">
        <v>1.4144271570014117E-2</v>
      </c>
      <c r="S10" s="195">
        <v>80.349999999999852</v>
      </c>
      <c r="T10" s="196" t="s">
        <v>483</v>
      </c>
      <c r="U10" s="196" t="s">
        <v>416</v>
      </c>
      <c r="V10" s="196"/>
      <c r="W10" s="196">
        <v>1</v>
      </c>
      <c r="X10" s="196" t="s">
        <v>213</v>
      </c>
      <c r="Y10" s="192" t="s">
        <v>488</v>
      </c>
      <c r="Z10" s="221"/>
      <c r="AA10" s="224">
        <f t="shared" ref="AA10:AH10" si="6">SUMIF($U$47:$U$116,TRIM(AA6),$F$47:$F$116)</f>
        <v>0</v>
      </c>
      <c r="AB10" s="224">
        <f t="shared" si="6"/>
        <v>1037.1510000000001</v>
      </c>
      <c r="AC10" s="224">
        <f t="shared" si="6"/>
        <v>1525.5500000000002</v>
      </c>
      <c r="AD10" s="224">
        <f t="shared" si="6"/>
        <v>3610.335</v>
      </c>
      <c r="AE10" s="224">
        <f t="shared" si="6"/>
        <v>3973.3580000000002</v>
      </c>
      <c r="AF10" s="224">
        <f t="shared" si="6"/>
        <v>0</v>
      </c>
      <c r="AG10" s="224">
        <f t="shared" si="6"/>
        <v>861.12799999999993</v>
      </c>
      <c r="AH10" s="224">
        <f t="shared" si="6"/>
        <v>0</v>
      </c>
    </row>
    <row r="11" spans="2:34">
      <c r="B11" s="531"/>
      <c r="C11" s="531"/>
      <c r="D11" s="200">
        <v>5</v>
      </c>
      <c r="E11" s="189" t="s">
        <v>489</v>
      </c>
      <c r="F11" s="195">
        <v>159.02500000000001</v>
      </c>
      <c r="G11" s="258">
        <v>26.184000000000001</v>
      </c>
      <c r="H11" s="258">
        <v>26.6</v>
      </c>
      <c r="I11" s="201">
        <f t="shared" si="1"/>
        <v>1.0158875649251451</v>
      </c>
      <c r="J11" s="196">
        <v>0.6</v>
      </c>
      <c r="K11" s="201">
        <f t="shared" si="2"/>
        <v>2.2914757103574702E-2</v>
      </c>
      <c r="L11" s="195">
        <v>318.05</v>
      </c>
      <c r="M11" s="201">
        <f t="shared" si="3"/>
        <v>1.0388023220287199</v>
      </c>
      <c r="N11" s="195">
        <v>323.13880000000057</v>
      </c>
      <c r="O11" s="196">
        <v>0.5</v>
      </c>
      <c r="P11" s="197">
        <v>1.9095630919645584E-2</v>
      </c>
      <c r="Q11" s="258">
        <v>0.51600000000000179</v>
      </c>
      <c r="R11" s="197">
        <v>1.970669110907431E-2</v>
      </c>
      <c r="S11" s="195">
        <v>164.11380000000057</v>
      </c>
      <c r="T11" s="196" t="s">
        <v>486</v>
      </c>
      <c r="U11" s="196" t="s">
        <v>490</v>
      </c>
      <c r="V11" s="196"/>
      <c r="W11" s="196">
        <v>1</v>
      </c>
      <c r="X11" s="196" t="s">
        <v>303</v>
      </c>
      <c r="Y11" s="192"/>
      <c r="Z11" s="221"/>
      <c r="AA11" s="222"/>
      <c r="AB11" s="222"/>
      <c r="AC11" s="221"/>
      <c r="AD11" s="221"/>
      <c r="AE11" s="221"/>
      <c r="AF11" s="221"/>
      <c r="AG11" s="221"/>
      <c r="AH11" s="221"/>
    </row>
    <row r="12" spans="2:34">
      <c r="B12" s="531"/>
      <c r="C12" s="531"/>
      <c r="D12" s="200">
        <v>6</v>
      </c>
      <c r="E12" s="189" t="s">
        <v>491</v>
      </c>
      <c r="F12" s="195">
        <v>154.05500000000001</v>
      </c>
      <c r="G12" s="258">
        <v>81.399669966996697</v>
      </c>
      <c r="H12" s="258">
        <v>82.2</v>
      </c>
      <c r="I12" s="201">
        <f t="shared" si="1"/>
        <v>1.009832104151378</v>
      </c>
      <c r="J12" s="196">
        <v>0</v>
      </c>
      <c r="K12" s="201">
        <f t="shared" si="2"/>
        <v>0</v>
      </c>
      <c r="L12" s="195">
        <v>308.11</v>
      </c>
      <c r="M12" s="201">
        <f t="shared" si="3"/>
        <v>1.009832104151378</v>
      </c>
      <c r="N12" s="195">
        <v>246.58968646864849</v>
      </c>
      <c r="O12" s="196">
        <v>0.5</v>
      </c>
      <c r="P12" s="197">
        <v>6.142531047149501E-3</v>
      </c>
      <c r="Q12" s="258">
        <v>0.30033003300330563</v>
      </c>
      <c r="R12" s="197">
        <v>3.6895731042284781E-3</v>
      </c>
      <c r="S12" s="195">
        <v>92.534686468648502</v>
      </c>
      <c r="T12" s="196" t="s">
        <v>483</v>
      </c>
      <c r="U12" s="196" t="s">
        <v>416</v>
      </c>
      <c r="V12" s="196"/>
      <c r="W12" s="196">
        <v>1</v>
      </c>
      <c r="X12" s="196" t="s">
        <v>320</v>
      </c>
      <c r="Y12" s="192"/>
      <c r="Z12" s="222">
        <f>SUM(W117:W186)</f>
        <v>70</v>
      </c>
      <c r="AA12" s="221">
        <f t="shared" ref="AA12:AH12" si="7">SUMIF($U$117:$U$186,TRIM(AA6),$W$117:$W$186)</f>
        <v>0</v>
      </c>
      <c r="AB12" s="221">
        <f t="shared" si="7"/>
        <v>11</v>
      </c>
      <c r="AC12" s="221">
        <f t="shared" si="7"/>
        <v>6</v>
      </c>
      <c r="AD12" s="221">
        <f t="shared" si="7"/>
        <v>24</v>
      </c>
      <c r="AE12" s="221">
        <f t="shared" si="7"/>
        <v>23</v>
      </c>
      <c r="AF12" s="221">
        <f t="shared" si="7"/>
        <v>0</v>
      </c>
      <c r="AG12" s="221">
        <f t="shared" si="7"/>
        <v>5</v>
      </c>
      <c r="AH12" s="221">
        <f t="shared" si="7"/>
        <v>0</v>
      </c>
    </row>
    <row r="13" spans="2:34">
      <c r="B13" s="531"/>
      <c r="C13" s="531"/>
      <c r="D13" s="200">
        <v>7</v>
      </c>
      <c r="E13" s="189" t="s">
        <v>427</v>
      </c>
      <c r="F13" s="195">
        <v>151.63800000000001</v>
      </c>
      <c r="G13" s="258">
        <v>14.166</v>
      </c>
      <c r="H13" s="258">
        <v>14.5</v>
      </c>
      <c r="I13" s="201">
        <f t="shared" si="1"/>
        <v>1.0235775801214175</v>
      </c>
      <c r="J13" s="196">
        <v>0</v>
      </c>
      <c r="K13" s="201">
        <f t="shared" si="2"/>
        <v>0</v>
      </c>
      <c r="L13" s="195">
        <v>758.19</v>
      </c>
      <c r="M13" s="201">
        <f t="shared" si="3"/>
        <v>1.0235775801214175</v>
      </c>
      <c r="N13" s="195">
        <v>253.23545999999973</v>
      </c>
      <c r="O13" s="196">
        <v>0.2</v>
      </c>
      <c r="P13" s="197">
        <v>1.4118311449950587E-2</v>
      </c>
      <c r="Q13" s="258">
        <v>0.13399999999999962</v>
      </c>
      <c r="R13" s="197">
        <v>9.4592686714668646E-3</v>
      </c>
      <c r="S13" s="195">
        <v>101.59745999999971</v>
      </c>
      <c r="T13" s="196" t="s">
        <v>483</v>
      </c>
      <c r="U13" s="196" t="s">
        <v>416</v>
      </c>
      <c r="V13" s="196"/>
      <c r="W13" s="196">
        <v>1</v>
      </c>
      <c r="X13" s="196" t="s">
        <v>323</v>
      </c>
      <c r="Y13" s="192" t="s">
        <v>492</v>
      </c>
      <c r="Z13" s="221"/>
      <c r="AA13" s="224">
        <f>SUMIF($U$117:$U$186,TRIM(AA6),$F$117:$F$186)</f>
        <v>0</v>
      </c>
      <c r="AB13" s="224">
        <f>SUMIF($U$117:$U$186,TRIM(AB6),$F$117:$F$186)</f>
        <v>1611.5420000000004</v>
      </c>
      <c r="AC13" s="224">
        <f t="shared" ref="AC13:AH13" si="8">SUMIF($U$117:$U$186,TRIM(AC6),$F$117:$F$186)</f>
        <v>1228.9280000000001</v>
      </c>
      <c r="AD13" s="224">
        <f t="shared" si="8"/>
        <v>3775.8909999999996</v>
      </c>
      <c r="AE13" s="224">
        <f t="shared" si="8"/>
        <v>3919.5130000000004</v>
      </c>
      <c r="AF13" s="224">
        <f t="shared" si="8"/>
        <v>0</v>
      </c>
      <c r="AG13" s="224">
        <f t="shared" si="8"/>
        <v>974.8370000000001</v>
      </c>
      <c r="AH13" s="224">
        <f t="shared" si="8"/>
        <v>0</v>
      </c>
    </row>
    <row r="14" spans="2:34">
      <c r="B14" s="531"/>
      <c r="C14" s="531"/>
      <c r="D14" s="200">
        <v>8</v>
      </c>
      <c r="E14" s="189" t="s">
        <v>493</v>
      </c>
      <c r="F14" s="195">
        <v>150.51400000000001</v>
      </c>
      <c r="G14" s="258">
        <v>31.675000000000001</v>
      </c>
      <c r="H14" s="258">
        <v>34.475000000000001</v>
      </c>
      <c r="I14" s="201">
        <f t="shared" si="1"/>
        <v>1.0883977900552486</v>
      </c>
      <c r="J14" s="196">
        <v>0</v>
      </c>
      <c r="K14" s="201">
        <f t="shared" si="2"/>
        <v>0</v>
      </c>
      <c r="L14" s="195">
        <v>107.51</v>
      </c>
      <c r="M14" s="201">
        <f t="shared" si="3"/>
        <v>1.0883977900552486</v>
      </c>
      <c r="N14" s="195">
        <v>301.02800000000008</v>
      </c>
      <c r="O14" s="196">
        <v>1.4</v>
      </c>
      <c r="P14" s="197">
        <v>4.4198895027624308E-2</v>
      </c>
      <c r="Q14" s="258">
        <v>1.4000000000000008</v>
      </c>
      <c r="R14" s="197">
        <v>4.4198895027624335E-2</v>
      </c>
      <c r="S14" s="195">
        <v>150.5140000000001</v>
      </c>
      <c r="T14" s="196" t="s">
        <v>494</v>
      </c>
      <c r="U14" s="196" t="s">
        <v>495</v>
      </c>
      <c r="V14" s="196"/>
      <c r="W14" s="196">
        <v>1</v>
      </c>
      <c r="X14" s="196" t="s">
        <v>294</v>
      </c>
      <c r="Y14" s="192"/>
      <c r="Z14" s="221"/>
      <c r="AA14" s="222"/>
      <c r="AB14" s="222"/>
      <c r="AC14" s="221"/>
      <c r="AD14" s="221"/>
      <c r="AE14" s="221"/>
      <c r="AF14" s="221"/>
      <c r="AG14" s="221"/>
      <c r="AH14" s="221"/>
    </row>
    <row r="15" spans="2:34">
      <c r="B15" s="531"/>
      <c r="C15" s="531"/>
      <c r="D15" s="200">
        <v>9</v>
      </c>
      <c r="E15" s="189" t="s">
        <v>429</v>
      </c>
      <c r="F15" s="195">
        <v>136.88999999999999</v>
      </c>
      <c r="G15" s="258">
        <v>214.05799999999999</v>
      </c>
      <c r="H15" s="258">
        <v>216.1</v>
      </c>
      <c r="I15" s="201">
        <f t="shared" si="1"/>
        <v>1.009539470610769</v>
      </c>
      <c r="J15" s="196">
        <v>0</v>
      </c>
      <c r="K15" s="201">
        <f t="shared" si="2"/>
        <v>0</v>
      </c>
      <c r="L15" s="195">
        <v>136.88999999999999</v>
      </c>
      <c r="M15" s="201">
        <f t="shared" si="3"/>
        <v>1.009539470610769</v>
      </c>
      <c r="N15" s="195">
        <v>279.52938000000017</v>
      </c>
      <c r="O15" s="196">
        <v>1</v>
      </c>
      <c r="P15" s="197">
        <v>4.6716310532659375E-3</v>
      </c>
      <c r="Q15" s="258">
        <v>1.0420000000000016</v>
      </c>
      <c r="R15" s="197">
        <v>4.8678395575031145E-3</v>
      </c>
      <c r="S15" s="195">
        <v>142.63938000000022</v>
      </c>
      <c r="T15" s="196" t="s">
        <v>486</v>
      </c>
      <c r="U15" s="196" t="s">
        <v>426</v>
      </c>
      <c r="V15" s="196"/>
      <c r="W15" s="196">
        <v>1</v>
      </c>
      <c r="X15" s="196" t="s">
        <v>417</v>
      </c>
      <c r="Y15" s="192"/>
      <c r="Z15" s="222">
        <f>SUM(W187:W256)</f>
        <v>70</v>
      </c>
      <c r="AA15" s="221">
        <f t="shared" ref="AA15:AH15" si="9">SUMIF($U$187:$U$256,TRIM(AA6),$W$187:$W$256)</f>
        <v>0</v>
      </c>
      <c r="AB15" s="221">
        <f t="shared" si="9"/>
        <v>9</v>
      </c>
      <c r="AC15" s="221">
        <f t="shared" si="9"/>
        <v>12</v>
      </c>
      <c r="AD15" s="221">
        <f t="shared" si="9"/>
        <v>29</v>
      </c>
      <c r="AE15" s="221">
        <f t="shared" si="9"/>
        <v>9</v>
      </c>
      <c r="AF15" s="221">
        <f t="shared" si="9"/>
        <v>2</v>
      </c>
      <c r="AG15" s="221">
        <f t="shared" si="9"/>
        <v>4</v>
      </c>
      <c r="AH15" s="221">
        <f t="shared" si="9"/>
        <v>0</v>
      </c>
    </row>
    <row r="16" spans="2:34">
      <c r="B16" s="531"/>
      <c r="C16" s="531"/>
      <c r="D16" s="200">
        <v>10</v>
      </c>
      <c r="E16" s="189" t="s">
        <v>431</v>
      </c>
      <c r="F16" s="195">
        <v>136.84</v>
      </c>
      <c r="G16" s="258">
        <v>38.78</v>
      </c>
      <c r="H16" s="258">
        <v>39.700000000000003</v>
      </c>
      <c r="I16" s="201">
        <f t="shared" si="1"/>
        <v>1.0237235688499227</v>
      </c>
      <c r="J16" s="196">
        <v>0</v>
      </c>
      <c r="K16" s="201">
        <f t="shared" si="2"/>
        <v>0</v>
      </c>
      <c r="L16" s="195">
        <v>273.68</v>
      </c>
      <c r="M16" s="201">
        <f t="shared" si="3"/>
        <v>1.0237235688499227</v>
      </c>
      <c r="N16" s="195">
        <v>251.78560000000047</v>
      </c>
      <c r="O16" s="196">
        <v>0.5</v>
      </c>
      <c r="P16" s="197">
        <v>1.2893243940175348E-2</v>
      </c>
      <c r="Q16" s="258">
        <v>0.42000000000000171</v>
      </c>
      <c r="R16" s="197">
        <v>1.0830324909747335E-2</v>
      </c>
      <c r="S16" s="195">
        <v>114.94560000000047</v>
      </c>
      <c r="T16" s="196" t="s">
        <v>486</v>
      </c>
      <c r="U16" s="196" t="s">
        <v>426</v>
      </c>
      <c r="V16" s="196"/>
      <c r="W16" s="196">
        <v>1</v>
      </c>
      <c r="X16" s="196" t="s">
        <v>273</v>
      </c>
      <c r="Y16" s="192" t="s">
        <v>496</v>
      </c>
      <c r="Z16" s="221"/>
      <c r="AA16" s="224">
        <f>SUMIF($U$187:$U$256,TRIM(AA6),$F$187:$F$256)</f>
        <v>0</v>
      </c>
      <c r="AB16" s="224">
        <f t="shared" ref="AB16:AH16" si="10">SUMIF($U$187:$U$256,TRIM(AB6),$F$187:$F$256)</f>
        <v>1195.5910000000001</v>
      </c>
      <c r="AC16" s="224">
        <f t="shared" si="10"/>
        <v>1614.134</v>
      </c>
      <c r="AD16" s="224">
        <f t="shared" si="10"/>
        <v>4035.8779999999997</v>
      </c>
      <c r="AE16" s="224">
        <f t="shared" si="10"/>
        <v>1269.0300000000002</v>
      </c>
      <c r="AF16" s="224">
        <f t="shared" si="10"/>
        <v>361.74299999999999</v>
      </c>
      <c r="AG16" s="224">
        <f t="shared" si="10"/>
        <v>619.197</v>
      </c>
      <c r="AH16" s="224">
        <f t="shared" si="10"/>
        <v>0</v>
      </c>
    </row>
    <row r="17" spans="2:34">
      <c r="B17" s="533">
        <v>45871</v>
      </c>
      <c r="C17" s="531" t="s">
        <v>157</v>
      </c>
      <c r="D17" s="200">
        <v>1</v>
      </c>
      <c r="E17" s="189" t="s">
        <v>491</v>
      </c>
      <c r="F17" s="195">
        <v>215.67700000000002</v>
      </c>
      <c r="G17" s="258">
        <v>83.532924092409303</v>
      </c>
      <c r="H17" s="258">
        <v>84.6</v>
      </c>
      <c r="I17" s="201">
        <f t="shared" si="1"/>
        <v>1.0127743152677169</v>
      </c>
      <c r="J17" s="196">
        <v>0</v>
      </c>
      <c r="K17" s="201">
        <f t="shared" si="2"/>
        <v>0</v>
      </c>
      <c r="L17" s="195">
        <v>308.11</v>
      </c>
      <c r="M17" s="201">
        <f t="shared" si="3"/>
        <v>1.0127743152677169</v>
      </c>
      <c r="N17" s="195">
        <v>328.77675788776799</v>
      </c>
      <c r="O17" s="196">
        <v>0.70000000000000007</v>
      </c>
      <c r="P17" s="197">
        <v>8.3799293225461213E-3</v>
      </c>
      <c r="Q17" s="258">
        <v>0.36707590759069142</v>
      </c>
      <c r="R17" s="197">
        <v>4.3943859451706646E-3</v>
      </c>
      <c r="S17" s="195">
        <v>113.09975788776794</v>
      </c>
      <c r="T17" s="196" t="s">
        <v>483</v>
      </c>
      <c r="U17" s="196" t="s">
        <v>416</v>
      </c>
      <c r="V17" s="196"/>
      <c r="W17" s="196">
        <v>1</v>
      </c>
      <c r="X17" s="196" t="s">
        <v>320</v>
      </c>
      <c r="Y17" s="192"/>
      <c r="Z17" s="221"/>
      <c r="AA17" s="222"/>
      <c r="AB17" s="222"/>
      <c r="AC17" s="221"/>
      <c r="AD17" s="221"/>
      <c r="AE17" s="221"/>
      <c r="AF17" s="221"/>
      <c r="AG17" s="221"/>
      <c r="AH17" s="221"/>
    </row>
    <row r="18" spans="2:34">
      <c r="B18" s="531"/>
      <c r="C18" s="531"/>
      <c r="D18" s="200">
        <v>2</v>
      </c>
      <c r="E18" s="189" t="s">
        <v>497</v>
      </c>
      <c r="F18" s="195">
        <v>213.816</v>
      </c>
      <c r="G18" s="258">
        <v>13.481999999999999</v>
      </c>
      <c r="H18" s="258">
        <v>14.1</v>
      </c>
      <c r="I18" s="201">
        <f t="shared" si="1"/>
        <v>1.045838896306186</v>
      </c>
      <c r="J18" s="196">
        <v>0</v>
      </c>
      <c r="K18" s="201">
        <f t="shared" si="2"/>
        <v>0</v>
      </c>
      <c r="L18" s="195">
        <v>534.54</v>
      </c>
      <c r="M18" s="201">
        <f t="shared" si="3"/>
        <v>1.045838896306186</v>
      </c>
      <c r="N18" s="195">
        <v>330.34572000000014</v>
      </c>
      <c r="O18" s="196">
        <v>0.4</v>
      </c>
      <c r="P18" s="197">
        <v>2.9669188547693223E-2</v>
      </c>
      <c r="Q18" s="258">
        <v>0.2180000000000003</v>
      </c>
      <c r="R18" s="197">
        <v>1.6169707758492829E-2</v>
      </c>
      <c r="S18" s="195">
        <v>116.52972000000015</v>
      </c>
      <c r="T18" s="196" t="s">
        <v>486</v>
      </c>
      <c r="U18" s="196" t="s">
        <v>426</v>
      </c>
      <c r="V18" s="196"/>
      <c r="W18" s="196">
        <v>1</v>
      </c>
      <c r="X18" s="196" t="s">
        <v>294</v>
      </c>
      <c r="Y18" s="192"/>
      <c r="Z18" s="222">
        <f>SUM(W257:W326)</f>
        <v>60</v>
      </c>
      <c r="AA18" s="221">
        <f t="shared" ref="AA18:AH18" si="11">SUMIF($U$257:$U$326,TRIM(AA6),$W$257:$W$326)</f>
        <v>0</v>
      </c>
      <c r="AB18" s="221">
        <f t="shared" si="11"/>
        <v>6</v>
      </c>
      <c r="AC18" s="221">
        <f t="shared" si="11"/>
        <v>13</v>
      </c>
      <c r="AD18" s="221">
        <f t="shared" si="11"/>
        <v>26</v>
      </c>
      <c r="AE18" s="221">
        <f t="shared" si="11"/>
        <v>5</v>
      </c>
      <c r="AF18" s="221">
        <f t="shared" si="11"/>
        <v>8</v>
      </c>
      <c r="AG18" s="221">
        <f t="shared" si="11"/>
        <v>2</v>
      </c>
      <c r="AH18" s="221">
        <f t="shared" si="11"/>
        <v>0</v>
      </c>
    </row>
    <row r="19" spans="2:34">
      <c r="B19" s="531"/>
      <c r="C19" s="531"/>
      <c r="D19" s="200">
        <v>3</v>
      </c>
      <c r="E19" s="189" t="s">
        <v>429</v>
      </c>
      <c r="F19" s="195">
        <v>191.64599999999996</v>
      </c>
      <c r="G19" s="258">
        <v>215.54</v>
      </c>
      <c r="H19" s="258">
        <v>218.23999999999998</v>
      </c>
      <c r="I19" s="201">
        <f t="shared" si="1"/>
        <v>1.0125266771828894</v>
      </c>
      <c r="J19" s="196">
        <v>0</v>
      </c>
      <c r="K19" s="201">
        <f t="shared" si="2"/>
        <v>0</v>
      </c>
      <c r="L19" s="195">
        <v>136.88999999999999</v>
      </c>
      <c r="M19" s="201">
        <f t="shared" si="3"/>
        <v>1.0125266771828894</v>
      </c>
      <c r="N19" s="195">
        <v>369.60299999999842</v>
      </c>
      <c r="O19" s="196">
        <v>1.4</v>
      </c>
      <c r="P19" s="197">
        <v>6.4953140948315856E-3</v>
      </c>
      <c r="Q19" s="258">
        <v>1.2999999999999887</v>
      </c>
      <c r="R19" s="197">
        <v>6.0313630880578489E-3</v>
      </c>
      <c r="S19" s="195">
        <v>177.95699999999843</v>
      </c>
      <c r="T19" s="196" t="s">
        <v>486</v>
      </c>
      <c r="U19" s="196" t="s">
        <v>426</v>
      </c>
      <c r="V19" s="196"/>
      <c r="W19" s="196">
        <v>1</v>
      </c>
      <c r="X19" s="196" t="s">
        <v>417</v>
      </c>
      <c r="Y19" s="192" t="s">
        <v>498</v>
      </c>
      <c r="Z19" s="221"/>
      <c r="AA19" s="224">
        <f>SUMIF($U$257:$U$326,TRIM(AA6),$F$257:$F$326)</f>
        <v>0</v>
      </c>
      <c r="AB19" s="224">
        <f t="shared" ref="AB19:AH19" si="12">SUMIF($U$257:$U$326,TRIM(AB6),$F$257:$F$326)</f>
        <v>834.86200000000008</v>
      </c>
      <c r="AC19" s="224">
        <f t="shared" si="12"/>
        <v>1832.836</v>
      </c>
      <c r="AD19" s="224">
        <f t="shared" si="12"/>
        <v>3442.0430000000006</v>
      </c>
      <c r="AE19" s="224">
        <f t="shared" si="12"/>
        <v>691.38</v>
      </c>
      <c r="AF19" s="224">
        <f t="shared" si="12"/>
        <v>1132.527</v>
      </c>
      <c r="AG19" s="224">
        <f t="shared" si="12"/>
        <v>257.928</v>
      </c>
      <c r="AH19" s="224">
        <f t="shared" si="12"/>
        <v>0</v>
      </c>
    </row>
    <row r="20" spans="2:34">
      <c r="B20" s="531"/>
      <c r="C20" s="531"/>
      <c r="D20" s="200">
        <v>4</v>
      </c>
      <c r="E20" s="189" t="s">
        <v>489</v>
      </c>
      <c r="F20" s="195">
        <v>190.83</v>
      </c>
      <c r="G20" s="258">
        <v>28.36</v>
      </c>
      <c r="H20" s="258">
        <v>29.46</v>
      </c>
      <c r="I20" s="201">
        <f t="shared" si="1"/>
        <v>1.0387870239774331</v>
      </c>
      <c r="J20" s="196">
        <v>0</v>
      </c>
      <c r="K20" s="201">
        <f t="shared" si="2"/>
        <v>0</v>
      </c>
      <c r="L20" s="195">
        <v>318.05</v>
      </c>
      <c r="M20" s="201">
        <f t="shared" si="3"/>
        <v>1.0387870239774331</v>
      </c>
      <c r="N20" s="195">
        <v>349.85500000000047</v>
      </c>
      <c r="O20" s="196">
        <v>0.6</v>
      </c>
      <c r="P20" s="197">
        <v>2.1156558533145273E-2</v>
      </c>
      <c r="Q20" s="258">
        <v>0.50000000000000144</v>
      </c>
      <c r="R20" s="197">
        <v>1.7630465444287782E-2</v>
      </c>
      <c r="S20" s="195">
        <v>159.02500000000046</v>
      </c>
      <c r="T20" s="196" t="s">
        <v>486</v>
      </c>
      <c r="U20" s="196" t="s">
        <v>426</v>
      </c>
      <c r="V20" s="196"/>
      <c r="W20" s="196">
        <v>1</v>
      </c>
      <c r="X20" s="196" t="s">
        <v>303</v>
      </c>
      <c r="Y20" s="192"/>
      <c r="Z20" s="221"/>
      <c r="AA20" s="222"/>
      <c r="AB20" s="222"/>
      <c r="AC20" s="221"/>
      <c r="AD20" s="221"/>
      <c r="AE20" s="221"/>
      <c r="AF20" s="221"/>
      <c r="AG20" s="221"/>
      <c r="AH20" s="221"/>
    </row>
    <row r="21" spans="2:34">
      <c r="B21" s="531"/>
      <c r="C21" s="531"/>
      <c r="D21" s="200">
        <v>5</v>
      </c>
      <c r="E21" s="189" t="s">
        <v>499</v>
      </c>
      <c r="F21" s="195">
        <v>174.3</v>
      </c>
      <c r="G21" s="258">
        <v>23.943999999999999</v>
      </c>
      <c r="H21" s="258">
        <v>24.7</v>
      </c>
      <c r="I21" s="201">
        <f t="shared" si="1"/>
        <v>1.0315736719011026</v>
      </c>
      <c r="J21" s="196">
        <v>0</v>
      </c>
      <c r="K21" s="201">
        <f t="shared" si="2"/>
        <v>0</v>
      </c>
      <c r="L21" s="195">
        <v>348.6</v>
      </c>
      <c r="M21" s="201">
        <f t="shared" si="3"/>
        <v>1.0315736719011026</v>
      </c>
      <c r="N21" s="195">
        <v>263.54160000000007</v>
      </c>
      <c r="O21" s="196">
        <v>0.5</v>
      </c>
      <c r="P21" s="197">
        <v>2.0882058135649851E-2</v>
      </c>
      <c r="Q21" s="258">
        <v>0.25600000000000023</v>
      </c>
      <c r="R21" s="197">
        <v>1.0691613765452733E-2</v>
      </c>
      <c r="S21" s="195">
        <v>89.241600000000091</v>
      </c>
      <c r="T21" s="196" t="s">
        <v>494</v>
      </c>
      <c r="U21" s="196" t="s">
        <v>500</v>
      </c>
      <c r="V21" s="196"/>
      <c r="W21" s="196">
        <v>1</v>
      </c>
      <c r="X21" s="196" t="s">
        <v>266</v>
      </c>
      <c r="Y21" s="192"/>
      <c r="Z21" s="193"/>
      <c r="AA21" s="193"/>
      <c r="AB21" s="193"/>
      <c r="AC21" s="193"/>
      <c r="AD21" s="193"/>
      <c r="AE21" s="193"/>
      <c r="AF21" s="193"/>
      <c r="AG21" s="193"/>
      <c r="AH21" s="193"/>
    </row>
    <row r="22" spans="2:34" ht="16.5">
      <c r="B22" s="531"/>
      <c r="C22" s="531"/>
      <c r="D22" s="200">
        <v>6</v>
      </c>
      <c r="E22" s="189" t="s">
        <v>482</v>
      </c>
      <c r="F22" s="195">
        <v>169.28800000000001</v>
      </c>
      <c r="G22" s="258">
        <v>6.516</v>
      </c>
      <c r="H22" s="258">
        <v>7</v>
      </c>
      <c r="I22" s="201">
        <f t="shared" si="1"/>
        <v>1.0742786985880908</v>
      </c>
      <c r="J22" s="196">
        <v>0</v>
      </c>
      <c r="K22" s="201">
        <f t="shared" si="2"/>
        <v>0</v>
      </c>
      <c r="L22" s="195">
        <v>846.44</v>
      </c>
      <c r="M22" s="201">
        <f t="shared" si="3"/>
        <v>1.0742786985880908</v>
      </c>
      <c r="N22" s="195">
        <v>409.67696000000001</v>
      </c>
      <c r="O22" s="196">
        <v>0.2</v>
      </c>
      <c r="P22" s="197">
        <v>3.0693677102516883E-2</v>
      </c>
      <c r="Q22" s="258">
        <v>0.28399999999999997</v>
      </c>
      <c r="R22" s="197">
        <v>4.3585021485573965E-2</v>
      </c>
      <c r="S22" s="195">
        <v>240.38896</v>
      </c>
      <c r="T22" s="196" t="s">
        <v>486</v>
      </c>
      <c r="U22" s="196" t="s">
        <v>426</v>
      </c>
      <c r="V22" s="196"/>
      <c r="W22" s="196">
        <v>1</v>
      </c>
      <c r="X22" s="196" t="s">
        <v>270</v>
      </c>
      <c r="Y22" s="223" t="s">
        <v>501</v>
      </c>
      <c r="Z22" s="221">
        <f>SUM(W7:W10000)</f>
        <v>310</v>
      </c>
      <c r="AA22" s="222">
        <f t="shared" ref="AA22:AH22" si="13">SUMIF($U$7:$U$10000,TRIM(AA6),$W$7:$W$10000)</f>
        <v>0</v>
      </c>
      <c r="AB22" s="222">
        <f t="shared" si="13"/>
        <v>38</v>
      </c>
      <c r="AC22" s="221">
        <f t="shared" si="13"/>
        <v>44</v>
      </c>
      <c r="AD22" s="221">
        <f t="shared" si="13"/>
        <v>116</v>
      </c>
      <c r="AE22" s="221">
        <f t="shared" si="13"/>
        <v>75</v>
      </c>
      <c r="AF22" s="221">
        <f t="shared" si="13"/>
        <v>10</v>
      </c>
      <c r="AG22" s="221">
        <f t="shared" si="13"/>
        <v>18</v>
      </c>
      <c r="AH22" s="221">
        <f t="shared" si="13"/>
        <v>0</v>
      </c>
    </row>
    <row r="23" spans="2:34">
      <c r="B23" s="531"/>
      <c r="C23" s="531"/>
      <c r="D23" s="200">
        <v>7</v>
      </c>
      <c r="E23" s="189" t="s">
        <v>485</v>
      </c>
      <c r="F23" s="195">
        <v>165.98000000000002</v>
      </c>
      <c r="G23" s="258">
        <v>21.91</v>
      </c>
      <c r="H23" s="258">
        <v>22.7</v>
      </c>
      <c r="I23" s="201">
        <f t="shared" si="1"/>
        <v>1.0360565951620264</v>
      </c>
      <c r="J23" s="196">
        <v>0</v>
      </c>
      <c r="K23" s="201">
        <f t="shared" si="2"/>
        <v>0</v>
      </c>
      <c r="L23" s="195">
        <v>414.95</v>
      </c>
      <c r="M23" s="201">
        <f t="shared" si="3"/>
        <v>1.0360565951620264</v>
      </c>
      <c r="N23" s="195">
        <v>327.81049999999965</v>
      </c>
      <c r="O23" s="196">
        <v>0.4</v>
      </c>
      <c r="P23" s="197">
        <v>1.8256503879507075E-2</v>
      </c>
      <c r="Q23" s="258">
        <v>0.38999999999999913</v>
      </c>
      <c r="R23" s="197">
        <v>1.7800091282519359E-2</v>
      </c>
      <c r="S23" s="195">
        <v>161.83049999999963</v>
      </c>
      <c r="T23" s="196" t="s">
        <v>483</v>
      </c>
      <c r="U23" s="196" t="s">
        <v>416</v>
      </c>
      <c r="V23" s="196"/>
      <c r="W23" s="196">
        <v>1</v>
      </c>
      <c r="X23" s="196" t="s">
        <v>304</v>
      </c>
      <c r="Z23" s="221"/>
      <c r="AA23" s="224">
        <f t="shared" ref="AA23:AH23" si="14">SUMIF($U$7:$U$10000,TRIM(AA6),$F$7:$F$10000)</f>
        <v>0</v>
      </c>
      <c r="AB23" s="224">
        <f t="shared" si="14"/>
        <v>5535.9419999999991</v>
      </c>
      <c r="AC23" s="224">
        <f t="shared" si="14"/>
        <v>6691.5360000000019</v>
      </c>
      <c r="AD23" s="224">
        <f t="shared" si="14"/>
        <v>17258.763000000006</v>
      </c>
      <c r="AE23" s="224">
        <f t="shared" si="14"/>
        <v>12460.915000000001</v>
      </c>
      <c r="AF23" s="224">
        <f t="shared" si="14"/>
        <v>1494.27</v>
      </c>
      <c r="AG23" s="224">
        <f t="shared" si="14"/>
        <v>3061.675999999999</v>
      </c>
      <c r="AH23" s="224">
        <f t="shared" si="14"/>
        <v>0</v>
      </c>
    </row>
    <row r="24" spans="2:34">
      <c r="B24" s="531"/>
      <c r="C24" s="531"/>
      <c r="D24" s="200">
        <v>8</v>
      </c>
      <c r="E24" s="189" t="s">
        <v>502</v>
      </c>
      <c r="F24" s="195">
        <v>164.18800000000002</v>
      </c>
      <c r="G24" s="258">
        <v>11.843999999999999</v>
      </c>
      <c r="H24" s="258">
        <v>12.5</v>
      </c>
      <c r="I24" s="201">
        <f t="shared" si="1"/>
        <v>1.0553866936845662</v>
      </c>
      <c r="J24" s="196">
        <v>0</v>
      </c>
      <c r="K24" s="201">
        <f t="shared" si="2"/>
        <v>0</v>
      </c>
      <c r="L24" s="195">
        <v>410.47</v>
      </c>
      <c r="M24" s="201">
        <f t="shared" si="3"/>
        <v>1.0553866936845662</v>
      </c>
      <c r="N24" s="195">
        <v>269.26832000000024</v>
      </c>
      <c r="O24" s="196">
        <v>0.4</v>
      </c>
      <c r="P24" s="197">
        <v>3.3772374197906116E-2</v>
      </c>
      <c r="Q24" s="258">
        <v>0.25600000000000056</v>
      </c>
      <c r="R24" s="197">
        <v>2.1614319486659962E-2</v>
      </c>
      <c r="S24" s="195">
        <v>105.08032000000024</v>
      </c>
      <c r="T24" s="196" t="s">
        <v>494</v>
      </c>
      <c r="U24" s="196" t="s">
        <v>500</v>
      </c>
      <c r="V24" s="196"/>
      <c r="W24" s="196">
        <v>1</v>
      </c>
      <c r="X24" s="196" t="s">
        <v>230</v>
      </c>
    </row>
    <row r="25" spans="2:34">
      <c r="B25" s="531"/>
      <c r="C25" s="531"/>
      <c r="D25" s="200">
        <v>9</v>
      </c>
      <c r="E25" s="189" t="s">
        <v>418</v>
      </c>
      <c r="F25" s="195">
        <v>153.018</v>
      </c>
      <c r="G25" s="258">
        <v>45.904000000000003</v>
      </c>
      <c r="H25" s="258">
        <v>46.5</v>
      </c>
      <c r="I25" s="201">
        <f t="shared" si="1"/>
        <v>1.0129836179853606</v>
      </c>
      <c r="J25" s="196">
        <v>0</v>
      </c>
      <c r="K25" s="201">
        <f t="shared" si="2"/>
        <v>0</v>
      </c>
      <c r="L25" s="195">
        <v>510.06</v>
      </c>
      <c r="M25" s="201">
        <f t="shared" si="3"/>
        <v>1.0129836179853606</v>
      </c>
      <c r="N25" s="195">
        <v>303.99575999999826</v>
      </c>
      <c r="O25" s="196">
        <v>0.3</v>
      </c>
      <c r="P25" s="197">
        <v>6.5353781805507138E-3</v>
      </c>
      <c r="Q25" s="258">
        <v>0.29599999999999654</v>
      </c>
      <c r="R25" s="197">
        <v>6.4482398048099623E-3</v>
      </c>
      <c r="S25" s="195">
        <v>150.97775999999823</v>
      </c>
      <c r="T25" s="196" t="s">
        <v>486</v>
      </c>
      <c r="U25" s="196" t="s">
        <v>426</v>
      </c>
      <c r="V25" s="196"/>
      <c r="W25" s="196">
        <v>1</v>
      </c>
      <c r="X25" s="196" t="s">
        <v>261</v>
      </c>
    </row>
    <row r="26" spans="2:34">
      <c r="B26" s="531"/>
      <c r="C26" s="531"/>
      <c r="D26" s="200">
        <v>10</v>
      </c>
      <c r="E26" s="189" t="s">
        <v>503</v>
      </c>
      <c r="F26" s="195">
        <v>151.6</v>
      </c>
      <c r="G26" s="258">
        <v>49.776000000000003</v>
      </c>
      <c r="H26" s="258">
        <v>51.4</v>
      </c>
      <c r="I26" s="201">
        <f t="shared" si="1"/>
        <v>1.0326261652201862</v>
      </c>
      <c r="J26" s="196">
        <v>0</v>
      </c>
      <c r="K26" s="201">
        <f t="shared" si="2"/>
        <v>0</v>
      </c>
      <c r="L26" s="195">
        <v>151.6</v>
      </c>
      <c r="M26" s="201">
        <f t="shared" si="3"/>
        <v>1.0326261652201862</v>
      </c>
      <c r="N26" s="195">
        <v>246.19839999999925</v>
      </c>
      <c r="O26" s="196">
        <v>1</v>
      </c>
      <c r="P26" s="197">
        <v>2.0090003214400513E-2</v>
      </c>
      <c r="Q26" s="258">
        <v>0.62399999999999523</v>
      </c>
      <c r="R26" s="197">
        <v>1.2536162005785825E-2</v>
      </c>
      <c r="S26" s="195">
        <v>94.598399999999273</v>
      </c>
      <c r="T26" s="196" t="s">
        <v>494</v>
      </c>
      <c r="U26" s="196" t="s">
        <v>500</v>
      </c>
      <c r="V26" s="196"/>
      <c r="W26" s="196">
        <v>1</v>
      </c>
      <c r="X26" s="196" t="s">
        <v>306</v>
      </c>
    </row>
    <row r="27" spans="2:34">
      <c r="B27" s="533">
        <v>45872</v>
      </c>
      <c r="C27" s="531" t="s">
        <v>152</v>
      </c>
      <c r="D27" s="200">
        <v>1</v>
      </c>
      <c r="E27" s="189" t="s">
        <v>429</v>
      </c>
      <c r="F27" s="190">
        <v>191.64599999999996</v>
      </c>
      <c r="G27" s="259">
        <v>261.98</v>
      </c>
      <c r="H27" s="259">
        <v>264.28000000000003</v>
      </c>
      <c r="I27" s="201">
        <f t="shared" si="1"/>
        <v>1.0087792961294755</v>
      </c>
      <c r="J27" s="189">
        <v>0</v>
      </c>
      <c r="K27" s="201">
        <f t="shared" si="2"/>
        <v>0</v>
      </c>
      <c r="L27" s="190">
        <v>136.88999999999999</v>
      </c>
      <c r="M27" s="201">
        <f t="shared" si="3"/>
        <v>1.0087792961294755</v>
      </c>
      <c r="N27" s="190">
        <v>314.84700000000151</v>
      </c>
      <c r="O27" s="189">
        <v>1.4</v>
      </c>
      <c r="P27" s="191">
        <v>5.3439193831590192E-3</v>
      </c>
      <c r="Q27" s="259">
        <v>0.90000000000001146</v>
      </c>
      <c r="R27" s="191">
        <v>3.4353767463165563E-3</v>
      </c>
      <c r="S27" s="190">
        <v>123.20100000000156</v>
      </c>
      <c r="T27" s="189" t="s">
        <v>486</v>
      </c>
      <c r="U27" s="189" t="s">
        <v>426</v>
      </c>
      <c r="V27" s="189"/>
      <c r="W27" s="196">
        <v>1</v>
      </c>
      <c r="X27" s="189" t="s">
        <v>417</v>
      </c>
    </row>
    <row r="28" spans="2:34">
      <c r="B28" s="531"/>
      <c r="C28" s="531"/>
      <c r="D28" s="200">
        <v>2</v>
      </c>
      <c r="E28" s="189" t="s">
        <v>504</v>
      </c>
      <c r="F28" s="190">
        <v>186.072</v>
      </c>
      <c r="G28" s="259">
        <v>12.023</v>
      </c>
      <c r="H28" s="259">
        <v>12.4</v>
      </c>
      <c r="I28" s="201">
        <f t="shared" si="1"/>
        <v>1.0313565665807203</v>
      </c>
      <c r="J28" s="189">
        <v>0</v>
      </c>
      <c r="K28" s="201">
        <f t="shared" si="2"/>
        <v>0</v>
      </c>
      <c r="L28" s="190">
        <v>930.36</v>
      </c>
      <c r="M28" s="201">
        <f t="shared" si="3"/>
        <v>1.0313565665807203</v>
      </c>
      <c r="N28" s="190">
        <v>350.74572000000063</v>
      </c>
      <c r="O28" s="189">
        <v>0.2</v>
      </c>
      <c r="P28" s="191">
        <v>1.6634783331947102E-2</v>
      </c>
      <c r="Q28" s="259">
        <v>0.17700000000000066</v>
      </c>
      <c r="R28" s="191">
        <v>1.472178324877324E-2</v>
      </c>
      <c r="S28" s="190">
        <v>164.6737200000006</v>
      </c>
      <c r="T28" s="189" t="s">
        <v>494</v>
      </c>
      <c r="U28" s="196" t="s">
        <v>495</v>
      </c>
      <c r="V28" s="189"/>
      <c r="W28" s="196">
        <v>1</v>
      </c>
      <c r="X28" s="189" t="s">
        <v>271</v>
      </c>
    </row>
    <row r="29" spans="2:34">
      <c r="B29" s="531"/>
      <c r="C29" s="531"/>
      <c r="D29" s="200">
        <v>3</v>
      </c>
      <c r="E29" s="189" t="s">
        <v>505</v>
      </c>
      <c r="F29" s="190">
        <v>174.60000000000002</v>
      </c>
      <c r="G29" s="259">
        <v>1.4590000000000001</v>
      </c>
      <c r="H29" s="259">
        <v>2.1589999999999998</v>
      </c>
      <c r="I29" s="201">
        <f t="shared" si="1"/>
        <v>1.4797806716929403</v>
      </c>
      <c r="J29" s="189">
        <v>0</v>
      </c>
      <c r="K29" s="201">
        <f t="shared" si="2"/>
        <v>0</v>
      </c>
      <c r="L29" s="190">
        <v>436.5</v>
      </c>
      <c r="M29" s="201">
        <f t="shared" si="3"/>
        <v>1.4797806716929403</v>
      </c>
      <c r="N29" s="190">
        <v>305.5499999999999</v>
      </c>
      <c r="O29" s="189">
        <v>0.4</v>
      </c>
      <c r="P29" s="191">
        <v>0.27416038382453733</v>
      </c>
      <c r="Q29" s="259">
        <v>0.29999999999999971</v>
      </c>
      <c r="R29" s="191">
        <v>0.20562028786840281</v>
      </c>
      <c r="S29" s="190">
        <v>130.94999999999987</v>
      </c>
      <c r="T29" s="189" t="s">
        <v>494</v>
      </c>
      <c r="U29" s="189" t="s">
        <v>495</v>
      </c>
      <c r="V29" s="189"/>
      <c r="W29" s="196">
        <v>1</v>
      </c>
      <c r="X29" s="189" t="s">
        <v>277</v>
      </c>
    </row>
    <row r="30" spans="2:34">
      <c r="B30" s="531"/>
      <c r="C30" s="531"/>
      <c r="D30" s="200">
        <v>4</v>
      </c>
      <c r="E30" s="189" t="s">
        <v>506</v>
      </c>
      <c r="F30" s="190">
        <v>172.80500000000001</v>
      </c>
      <c r="G30" s="259">
        <v>15.36</v>
      </c>
      <c r="H30" s="259">
        <v>18.059999999999999</v>
      </c>
      <c r="I30" s="201">
        <f t="shared" si="1"/>
        <v>1.17578125</v>
      </c>
      <c r="J30" s="189">
        <v>0</v>
      </c>
      <c r="K30" s="201">
        <f t="shared" si="2"/>
        <v>0</v>
      </c>
      <c r="L30" s="190">
        <v>101.65</v>
      </c>
      <c r="M30" s="201">
        <f t="shared" si="3"/>
        <v>1.17578125</v>
      </c>
      <c r="N30" s="190">
        <v>274.45499999999993</v>
      </c>
      <c r="O30" s="189">
        <v>1.7</v>
      </c>
      <c r="P30" s="191">
        <v>0.11067708333333333</v>
      </c>
      <c r="Q30" s="259">
        <v>0.99999999999999933</v>
      </c>
      <c r="R30" s="191">
        <v>6.510416666666663E-2</v>
      </c>
      <c r="S30" s="190">
        <v>101.64999999999993</v>
      </c>
      <c r="T30" s="189" t="s">
        <v>494</v>
      </c>
      <c r="U30" s="189" t="s">
        <v>495</v>
      </c>
      <c r="V30" s="189"/>
      <c r="W30" s="196">
        <v>1</v>
      </c>
      <c r="X30" s="189" t="s">
        <v>276</v>
      </c>
    </row>
    <row r="31" spans="2:34">
      <c r="B31" s="531"/>
      <c r="C31" s="531"/>
      <c r="D31" s="200">
        <v>5</v>
      </c>
      <c r="E31" s="189" t="s">
        <v>507</v>
      </c>
      <c r="F31" s="190">
        <v>168.13200000000001</v>
      </c>
      <c r="G31" s="259">
        <v>90.86</v>
      </c>
      <c r="H31" s="259">
        <v>91.6</v>
      </c>
      <c r="I31" s="201">
        <f t="shared" si="1"/>
        <v>1.0081443979749063</v>
      </c>
      <c r="J31" s="189">
        <v>0</v>
      </c>
      <c r="K31" s="201">
        <f t="shared" si="2"/>
        <v>0</v>
      </c>
      <c r="L31" s="190">
        <v>420.33</v>
      </c>
      <c r="M31" s="201">
        <f t="shared" si="3"/>
        <v>1.0081443979749063</v>
      </c>
      <c r="N31" s="190">
        <v>311.04419999999783</v>
      </c>
      <c r="O31" s="189">
        <v>0.4</v>
      </c>
      <c r="P31" s="191">
        <v>4.4023772837332165E-3</v>
      </c>
      <c r="Q31" s="259">
        <v>0.33999999999999486</v>
      </c>
      <c r="R31" s="191">
        <v>3.7420206911731768E-3</v>
      </c>
      <c r="S31" s="190">
        <v>142.91219999999782</v>
      </c>
      <c r="T31" s="189" t="s">
        <v>486</v>
      </c>
      <c r="U31" s="196" t="s">
        <v>426</v>
      </c>
      <c r="V31" s="189"/>
      <c r="W31" s="196">
        <v>1</v>
      </c>
      <c r="X31" s="189" t="s">
        <v>297</v>
      </c>
    </row>
    <row r="32" spans="2:34">
      <c r="B32" s="531"/>
      <c r="C32" s="531"/>
      <c r="D32" s="200">
        <v>6</v>
      </c>
      <c r="E32" s="189" t="s">
        <v>508</v>
      </c>
      <c r="F32" s="190">
        <v>165.72400000000002</v>
      </c>
      <c r="G32" s="259">
        <v>136.535</v>
      </c>
      <c r="H32" s="259">
        <v>138.63499999999999</v>
      </c>
      <c r="I32" s="201">
        <f t="shared" si="1"/>
        <v>1.0153806716226608</v>
      </c>
      <c r="J32" s="189">
        <v>0</v>
      </c>
      <c r="K32" s="201">
        <f t="shared" si="2"/>
        <v>0</v>
      </c>
      <c r="L32" s="190">
        <v>127.48</v>
      </c>
      <c r="M32" s="201">
        <f t="shared" si="3"/>
        <v>1.0153806716226608</v>
      </c>
      <c r="N32" s="190">
        <v>267.70799999999929</v>
      </c>
      <c r="O32" s="189">
        <v>1.3</v>
      </c>
      <c r="P32" s="191">
        <v>9.5213681473614829E-3</v>
      </c>
      <c r="Q32" s="259">
        <v>0.79999999999999427</v>
      </c>
      <c r="R32" s="191">
        <v>5.8593034752993317E-3</v>
      </c>
      <c r="S32" s="190">
        <v>101.98399999999927</v>
      </c>
      <c r="T32" s="189" t="s">
        <v>483</v>
      </c>
      <c r="U32" s="189" t="s">
        <v>416</v>
      </c>
      <c r="V32" s="189"/>
      <c r="W32" s="196">
        <v>1</v>
      </c>
      <c r="X32" s="189" t="s">
        <v>323</v>
      </c>
    </row>
    <row r="33" spans="2:24">
      <c r="B33" s="531"/>
      <c r="C33" s="531"/>
      <c r="D33" s="200">
        <v>7</v>
      </c>
      <c r="E33" s="189" t="s">
        <v>509</v>
      </c>
      <c r="F33" s="190">
        <v>165.33300000000003</v>
      </c>
      <c r="G33" s="259">
        <v>375.3</v>
      </c>
      <c r="H33" s="259">
        <v>378.6</v>
      </c>
      <c r="I33" s="201">
        <f t="shared" si="1"/>
        <v>1.0087929656274981</v>
      </c>
      <c r="J33" s="189">
        <v>0</v>
      </c>
      <c r="K33" s="201">
        <f t="shared" si="2"/>
        <v>0</v>
      </c>
      <c r="L33" s="190">
        <v>78.73</v>
      </c>
      <c r="M33" s="201">
        <f t="shared" si="3"/>
        <v>1.0087929656274981</v>
      </c>
      <c r="N33" s="190">
        <v>259.80900000000094</v>
      </c>
      <c r="O33" s="189">
        <v>2.1</v>
      </c>
      <c r="P33" s="191">
        <v>5.5955235811350921E-3</v>
      </c>
      <c r="Q33" s="259">
        <v>1.2000000000000113</v>
      </c>
      <c r="R33" s="191">
        <v>3.1974420463629395E-3</v>
      </c>
      <c r="S33" s="190">
        <v>94.476000000000894</v>
      </c>
      <c r="T33" s="189" t="s">
        <v>483</v>
      </c>
      <c r="U33" s="189" t="s">
        <v>416</v>
      </c>
      <c r="V33" s="189"/>
      <c r="W33" s="196">
        <v>1</v>
      </c>
      <c r="X33" s="189" t="s">
        <v>278</v>
      </c>
    </row>
    <row r="34" spans="2:24">
      <c r="B34" s="531"/>
      <c r="C34" s="531"/>
      <c r="D34" s="200">
        <v>8</v>
      </c>
      <c r="E34" s="189" t="s">
        <v>431</v>
      </c>
      <c r="F34" s="190">
        <v>164.208</v>
      </c>
      <c r="G34" s="259">
        <v>46.865000000000002</v>
      </c>
      <c r="H34" s="259">
        <v>47.965000000000003</v>
      </c>
      <c r="I34" s="201">
        <f t="shared" si="1"/>
        <v>1.0234716739571108</v>
      </c>
      <c r="J34" s="189">
        <v>0</v>
      </c>
      <c r="K34" s="201">
        <f t="shared" si="2"/>
        <v>0</v>
      </c>
      <c r="L34" s="190">
        <v>273.68</v>
      </c>
      <c r="M34" s="201">
        <f t="shared" si="3"/>
        <v>1.0234716739571108</v>
      </c>
      <c r="N34" s="190">
        <v>301.0480000000004</v>
      </c>
      <c r="O34" s="189">
        <v>0.6</v>
      </c>
      <c r="P34" s="191">
        <v>1.2802731249333191E-2</v>
      </c>
      <c r="Q34" s="259">
        <v>0.50000000000000144</v>
      </c>
      <c r="R34" s="191">
        <v>1.066894270777769E-2</v>
      </c>
      <c r="S34" s="190">
        <v>136.8400000000004</v>
      </c>
      <c r="T34" s="189" t="s">
        <v>486</v>
      </c>
      <c r="U34" s="196" t="s">
        <v>426</v>
      </c>
      <c r="V34" s="189"/>
      <c r="W34" s="196">
        <v>1</v>
      </c>
      <c r="X34" s="189" t="s">
        <v>273</v>
      </c>
    </row>
    <row r="35" spans="2:24">
      <c r="B35" s="531"/>
      <c r="C35" s="531"/>
      <c r="D35" s="200">
        <v>9</v>
      </c>
      <c r="E35" s="189" t="s">
        <v>404</v>
      </c>
      <c r="F35" s="190">
        <v>162.864</v>
      </c>
      <c r="G35" s="259">
        <v>20.835000000000001</v>
      </c>
      <c r="H35" s="259">
        <v>22.335000000000001</v>
      </c>
      <c r="I35" s="201">
        <f t="shared" si="1"/>
        <v>1.0719942404607632</v>
      </c>
      <c r="J35" s="189">
        <v>0</v>
      </c>
      <c r="K35" s="201">
        <f t="shared" si="2"/>
        <v>0</v>
      </c>
      <c r="L35" s="190">
        <v>180.96</v>
      </c>
      <c r="M35" s="201">
        <f t="shared" si="3"/>
        <v>1.0719942404607632</v>
      </c>
      <c r="N35" s="190">
        <v>271.44</v>
      </c>
      <c r="O35" s="189">
        <v>0.9</v>
      </c>
      <c r="P35" s="191">
        <v>4.3196544276457881E-2</v>
      </c>
      <c r="Q35" s="259">
        <v>0.6</v>
      </c>
      <c r="R35" s="191">
        <v>2.8797696184305253E-2</v>
      </c>
      <c r="S35" s="190">
        <v>108.57600000000001</v>
      </c>
      <c r="T35" s="189" t="s">
        <v>483</v>
      </c>
      <c r="U35" s="189" t="s">
        <v>416</v>
      </c>
      <c r="V35" s="189"/>
      <c r="W35" s="196">
        <v>1</v>
      </c>
      <c r="X35" s="189" t="s">
        <v>264</v>
      </c>
    </row>
    <row r="36" spans="2:24">
      <c r="B36" s="531"/>
      <c r="C36" s="531"/>
      <c r="D36" s="200">
        <v>10</v>
      </c>
      <c r="E36" s="189" t="s">
        <v>489</v>
      </c>
      <c r="F36" s="190">
        <v>159.02500000000001</v>
      </c>
      <c r="G36" s="259">
        <v>41.167999999999999</v>
      </c>
      <c r="H36" s="259">
        <v>42.1</v>
      </c>
      <c r="I36" s="201">
        <f t="shared" si="1"/>
        <v>1.0226389428682472</v>
      </c>
      <c r="J36" s="189">
        <v>0</v>
      </c>
      <c r="K36" s="201">
        <f t="shared" si="2"/>
        <v>0</v>
      </c>
      <c r="L36" s="190">
        <v>318.05</v>
      </c>
      <c r="M36" s="201">
        <f t="shared" si="3"/>
        <v>1.0226389428682472</v>
      </c>
      <c r="N36" s="190">
        <v>296.42260000000067</v>
      </c>
      <c r="O36" s="189">
        <v>0.5</v>
      </c>
      <c r="P36" s="191">
        <v>1.2145355616012437E-2</v>
      </c>
      <c r="Q36" s="259">
        <v>0.43200000000000216</v>
      </c>
      <c r="R36" s="191">
        <v>1.0493587252234798E-2</v>
      </c>
      <c r="S36" s="190">
        <v>137.39760000000069</v>
      </c>
      <c r="T36" s="189" t="s">
        <v>486</v>
      </c>
      <c r="U36" s="189" t="s">
        <v>426</v>
      </c>
      <c r="V36" s="189"/>
      <c r="W36" s="196">
        <v>1</v>
      </c>
      <c r="X36" s="189" t="s">
        <v>303</v>
      </c>
    </row>
    <row r="37" spans="2:24">
      <c r="B37" s="533">
        <v>45873</v>
      </c>
      <c r="C37" s="531" t="s">
        <v>158</v>
      </c>
      <c r="D37" s="200">
        <v>1</v>
      </c>
      <c r="E37" s="189" t="s">
        <v>489</v>
      </c>
      <c r="F37" s="190">
        <v>222.63499999999999</v>
      </c>
      <c r="G37" s="259">
        <v>42.207999999999998</v>
      </c>
      <c r="H37" s="259">
        <v>43.507999999999996</v>
      </c>
      <c r="I37" s="201">
        <f t="shared" si="1"/>
        <v>1.0307998483699772</v>
      </c>
      <c r="J37" s="189">
        <v>0</v>
      </c>
      <c r="K37" s="201">
        <f t="shared" si="2"/>
        <v>0</v>
      </c>
      <c r="L37" s="190">
        <v>318.05</v>
      </c>
      <c r="M37" s="201">
        <f t="shared" si="3"/>
        <v>1.0307998483699772</v>
      </c>
      <c r="N37" s="190">
        <v>413.46499999999912</v>
      </c>
      <c r="O37" s="189">
        <v>0.7</v>
      </c>
      <c r="P37" s="191">
        <v>1.6584533737680061E-2</v>
      </c>
      <c r="Q37" s="259">
        <v>0.5999999999999972</v>
      </c>
      <c r="R37" s="191">
        <v>1.4215314632297129E-2</v>
      </c>
      <c r="S37" s="190">
        <v>190.8299999999991</v>
      </c>
      <c r="T37" s="189" t="s">
        <v>486</v>
      </c>
      <c r="U37" s="189" t="s">
        <v>426</v>
      </c>
      <c r="V37" s="189"/>
      <c r="W37" s="196">
        <v>1</v>
      </c>
      <c r="X37" s="189" t="s">
        <v>303</v>
      </c>
    </row>
    <row r="38" spans="2:24">
      <c r="B38" s="531"/>
      <c r="C38" s="531"/>
      <c r="D38" s="200">
        <v>2</v>
      </c>
      <c r="E38" s="189" t="s">
        <v>406</v>
      </c>
      <c r="F38" s="190">
        <v>189.56100000000001</v>
      </c>
      <c r="G38" s="259">
        <v>8.8740000000000006</v>
      </c>
      <c r="H38" s="259">
        <v>9.1999999999999993</v>
      </c>
      <c r="I38" s="201">
        <f t="shared" si="1"/>
        <v>1.0367365336939371</v>
      </c>
      <c r="J38" s="189">
        <v>0</v>
      </c>
      <c r="K38" s="201">
        <f t="shared" si="2"/>
        <v>0</v>
      </c>
      <c r="L38" s="190">
        <v>631.87</v>
      </c>
      <c r="M38" s="201">
        <f t="shared" si="3"/>
        <v>1.0367365336939371</v>
      </c>
      <c r="N38" s="190">
        <v>205.98961999999921</v>
      </c>
      <c r="O38" s="189">
        <v>0.3</v>
      </c>
      <c r="P38" s="191">
        <v>3.3806626098715348E-2</v>
      </c>
      <c r="Q38" s="259">
        <v>2.5999999999998746E-2</v>
      </c>
      <c r="R38" s="191">
        <v>2.9299075952218556E-3</v>
      </c>
      <c r="S38" s="190">
        <v>16.428619999999206</v>
      </c>
      <c r="T38" s="189" t="s">
        <v>486</v>
      </c>
      <c r="U38" s="189" t="s">
        <v>490</v>
      </c>
      <c r="V38" s="189"/>
      <c r="W38" s="196">
        <v>1</v>
      </c>
      <c r="X38" s="189" t="s">
        <v>282</v>
      </c>
    </row>
    <row r="39" spans="2:24">
      <c r="B39" s="531"/>
      <c r="C39" s="531"/>
      <c r="D39" s="200">
        <v>3</v>
      </c>
      <c r="E39" s="189" t="s">
        <v>491</v>
      </c>
      <c r="F39" s="190">
        <v>184.86600000000001</v>
      </c>
      <c r="G39" s="259">
        <v>103.905689768977</v>
      </c>
      <c r="H39" s="259">
        <v>105.1</v>
      </c>
      <c r="I39" s="201">
        <f t="shared" si="1"/>
        <v>1.0114941754746869</v>
      </c>
      <c r="J39" s="189">
        <v>0</v>
      </c>
      <c r="K39" s="201">
        <f t="shared" si="2"/>
        <v>0</v>
      </c>
      <c r="L39" s="190">
        <v>308.11</v>
      </c>
      <c r="M39" s="201">
        <f t="shared" si="3"/>
        <v>1.0114941754746869</v>
      </c>
      <c r="N39" s="190">
        <v>367.97892528049533</v>
      </c>
      <c r="O39" s="189">
        <v>0.6</v>
      </c>
      <c r="P39" s="191">
        <v>5.774467224403541E-3</v>
      </c>
      <c r="Q39" s="259">
        <v>0.59431023102299607</v>
      </c>
      <c r="R39" s="191">
        <v>5.7197082502833119E-3</v>
      </c>
      <c r="S39" s="190">
        <v>183.11292528049532</v>
      </c>
      <c r="T39" s="189" t="s">
        <v>483</v>
      </c>
      <c r="U39" s="189" t="s">
        <v>416</v>
      </c>
      <c r="V39" s="189"/>
      <c r="W39" s="196">
        <v>1</v>
      </c>
      <c r="X39" s="189" t="s">
        <v>320</v>
      </c>
    </row>
    <row r="40" spans="2:24">
      <c r="B40" s="531"/>
      <c r="C40" s="531"/>
      <c r="D40" s="200">
        <v>4</v>
      </c>
      <c r="E40" s="189" t="s">
        <v>510</v>
      </c>
      <c r="F40" s="190">
        <v>178.41</v>
      </c>
      <c r="G40" s="259">
        <v>41.514000000000003</v>
      </c>
      <c r="H40" s="259">
        <v>42.614000000000004</v>
      </c>
      <c r="I40" s="201">
        <f t="shared" si="1"/>
        <v>1.0264970853206148</v>
      </c>
      <c r="J40" s="189">
        <v>0</v>
      </c>
      <c r="K40" s="201">
        <f t="shared" si="2"/>
        <v>0</v>
      </c>
      <c r="L40" s="190">
        <v>297.35000000000002</v>
      </c>
      <c r="M40" s="201">
        <f t="shared" si="3"/>
        <v>1.0264970853206148</v>
      </c>
      <c r="N40" s="190">
        <v>327.08500000000043</v>
      </c>
      <c r="O40" s="189">
        <v>0.6</v>
      </c>
      <c r="P40" s="191">
        <v>1.4452955629426216E-2</v>
      </c>
      <c r="Q40" s="259">
        <v>0.50000000000000144</v>
      </c>
      <c r="R40" s="191">
        <v>1.2044129691188548E-2</v>
      </c>
      <c r="S40" s="190">
        <v>148.67500000000044</v>
      </c>
      <c r="T40" s="189" t="s">
        <v>486</v>
      </c>
      <c r="U40" s="189" t="s">
        <v>426</v>
      </c>
      <c r="V40" s="189"/>
      <c r="W40" s="196">
        <v>1</v>
      </c>
      <c r="X40" s="189" t="s">
        <v>271</v>
      </c>
    </row>
    <row r="41" spans="2:24">
      <c r="B41" s="531"/>
      <c r="C41" s="531"/>
      <c r="D41" s="200">
        <v>5</v>
      </c>
      <c r="E41" s="189" t="s">
        <v>511</v>
      </c>
      <c r="F41" s="190">
        <v>177</v>
      </c>
      <c r="G41" s="259">
        <v>60.753</v>
      </c>
      <c r="H41" s="259">
        <v>62.253</v>
      </c>
      <c r="I41" s="201">
        <f t="shared" si="1"/>
        <v>1.0246901387585798</v>
      </c>
      <c r="J41" s="189">
        <v>0</v>
      </c>
      <c r="K41" s="201">
        <f t="shared" si="2"/>
        <v>0</v>
      </c>
      <c r="L41" s="190">
        <v>177</v>
      </c>
      <c r="M41" s="201">
        <f t="shared" si="3"/>
        <v>1.0246901387585798</v>
      </c>
      <c r="N41" s="190">
        <v>265.5</v>
      </c>
      <c r="O41" s="189">
        <v>1</v>
      </c>
      <c r="P41" s="191">
        <v>1.6460092505719882E-2</v>
      </c>
      <c r="Q41" s="259">
        <v>0.5</v>
      </c>
      <c r="R41" s="191">
        <v>8.2300462528599409E-3</v>
      </c>
      <c r="S41" s="190">
        <v>88.5</v>
      </c>
      <c r="T41" s="189" t="s">
        <v>483</v>
      </c>
      <c r="U41" s="189" t="s">
        <v>416</v>
      </c>
      <c r="V41" s="189"/>
      <c r="W41" s="196">
        <v>1</v>
      </c>
      <c r="X41" s="189" t="s">
        <v>304</v>
      </c>
    </row>
    <row r="42" spans="2:24">
      <c r="B42" s="531"/>
      <c r="C42" s="531"/>
      <c r="D42" s="200">
        <v>6</v>
      </c>
      <c r="E42" s="189" t="s">
        <v>499</v>
      </c>
      <c r="F42" s="190">
        <v>174.3</v>
      </c>
      <c r="G42" s="259">
        <v>21.361000000000001</v>
      </c>
      <c r="H42" s="259">
        <v>22.260999999999999</v>
      </c>
      <c r="I42" s="201">
        <f t="shared" si="1"/>
        <v>1.042132858948551</v>
      </c>
      <c r="J42" s="189">
        <v>0</v>
      </c>
      <c r="K42" s="201">
        <f t="shared" si="2"/>
        <v>0</v>
      </c>
      <c r="L42" s="190">
        <v>348.6</v>
      </c>
      <c r="M42" s="201">
        <f t="shared" si="3"/>
        <v>1.042132858948551</v>
      </c>
      <c r="N42" s="190">
        <v>313.7399999999995</v>
      </c>
      <c r="O42" s="189">
        <v>0.5</v>
      </c>
      <c r="P42" s="191">
        <v>2.3407143860306165E-2</v>
      </c>
      <c r="Q42" s="259">
        <v>0.39999999999999858</v>
      </c>
      <c r="R42" s="191">
        <v>1.8725715088244867E-2</v>
      </c>
      <c r="S42" s="190">
        <v>139.43999999999951</v>
      </c>
      <c r="T42" s="189" t="s">
        <v>483</v>
      </c>
      <c r="U42" s="189" t="s">
        <v>416</v>
      </c>
      <c r="V42" s="189"/>
      <c r="W42" s="196">
        <v>1</v>
      </c>
      <c r="X42" s="189" t="s">
        <v>266</v>
      </c>
    </row>
    <row r="43" spans="2:24">
      <c r="B43" s="531"/>
      <c r="C43" s="531"/>
      <c r="D43" s="200">
        <v>7</v>
      </c>
      <c r="E43" s="189" t="s">
        <v>512</v>
      </c>
      <c r="F43" s="190">
        <v>173.98499999999999</v>
      </c>
      <c r="G43" s="259">
        <v>46.484999999999999</v>
      </c>
      <c r="H43" s="259">
        <v>48.284999999999997</v>
      </c>
      <c r="I43" s="201">
        <f t="shared" si="1"/>
        <v>1.0387221684414327</v>
      </c>
      <c r="J43" s="189">
        <v>0</v>
      </c>
      <c r="K43" s="201">
        <f t="shared" si="2"/>
        <v>0</v>
      </c>
      <c r="L43" s="190">
        <v>115.99</v>
      </c>
      <c r="M43" s="201">
        <f t="shared" si="3"/>
        <v>1.0387221684414327</v>
      </c>
      <c r="N43" s="190">
        <v>208.78199999999967</v>
      </c>
      <c r="O43" s="189">
        <v>1.5</v>
      </c>
      <c r="P43" s="191">
        <v>3.2268473701193935E-2</v>
      </c>
      <c r="Q43" s="259">
        <v>0.29999999999999716</v>
      </c>
      <c r="R43" s="191">
        <v>6.4536947402387256E-3</v>
      </c>
      <c r="S43" s="190">
        <v>34.79699999999967</v>
      </c>
      <c r="T43" s="189" t="s">
        <v>483</v>
      </c>
      <c r="U43" s="189" t="s">
        <v>416</v>
      </c>
      <c r="V43" s="189"/>
      <c r="W43" s="196">
        <v>1</v>
      </c>
      <c r="X43" s="189" t="s">
        <v>305</v>
      </c>
    </row>
    <row r="44" spans="2:24">
      <c r="B44" s="531"/>
      <c r="C44" s="531"/>
      <c r="D44" s="200">
        <v>8</v>
      </c>
      <c r="E44" s="189" t="s">
        <v>513</v>
      </c>
      <c r="F44" s="190">
        <v>173.892</v>
      </c>
      <c r="G44" s="259">
        <v>18.431999999999999</v>
      </c>
      <c r="H44" s="259">
        <v>19.8</v>
      </c>
      <c r="I44" s="201">
        <f t="shared" si="1"/>
        <v>1.0742187500000002</v>
      </c>
      <c r="J44" s="189">
        <v>0</v>
      </c>
      <c r="K44" s="201">
        <f t="shared" si="2"/>
        <v>0</v>
      </c>
      <c r="L44" s="190">
        <v>144.91</v>
      </c>
      <c r="M44" s="201">
        <f t="shared" si="3"/>
        <v>1.0742187500000002</v>
      </c>
      <c r="N44" s="190">
        <v>198.2368800000003</v>
      </c>
      <c r="O44" s="189">
        <v>1.2</v>
      </c>
      <c r="P44" s="191">
        <v>6.5104166666666671E-2</v>
      </c>
      <c r="Q44" s="259">
        <v>0.16800000000000215</v>
      </c>
      <c r="R44" s="191">
        <v>9.1145833333334501E-3</v>
      </c>
      <c r="S44" s="190">
        <v>24.344880000000309</v>
      </c>
      <c r="T44" s="189" t="s">
        <v>514</v>
      </c>
      <c r="U44" s="189" t="s">
        <v>400</v>
      </c>
      <c r="V44" s="189"/>
      <c r="W44" s="196">
        <v>1</v>
      </c>
      <c r="X44" s="189" t="s">
        <v>515</v>
      </c>
    </row>
    <row r="45" spans="2:24">
      <c r="B45" s="531"/>
      <c r="C45" s="531"/>
      <c r="D45" s="200">
        <v>9</v>
      </c>
      <c r="E45" s="189" t="s">
        <v>509</v>
      </c>
      <c r="F45" s="190">
        <v>173.20600000000002</v>
      </c>
      <c r="G45" s="259">
        <v>385.02</v>
      </c>
      <c r="H45" s="259">
        <v>388.41999999999996</v>
      </c>
      <c r="I45" s="201">
        <f t="shared" si="1"/>
        <v>1.0088307100929821</v>
      </c>
      <c r="J45" s="189">
        <v>0</v>
      </c>
      <c r="K45" s="201">
        <f t="shared" si="2"/>
        <v>0</v>
      </c>
      <c r="L45" s="190">
        <v>78.73</v>
      </c>
      <c r="M45" s="201">
        <f t="shared" si="3"/>
        <v>1.0088307100929821</v>
      </c>
      <c r="N45" s="190">
        <v>267.6819999999982</v>
      </c>
      <c r="O45" s="189">
        <v>2.2000000000000002</v>
      </c>
      <c r="P45" s="191">
        <v>5.7139888836943544E-3</v>
      </c>
      <c r="Q45" s="259">
        <v>1.1999999999999771</v>
      </c>
      <c r="R45" s="191">
        <v>3.1167212092877697E-3</v>
      </c>
      <c r="S45" s="190">
        <v>94.475999999998194</v>
      </c>
      <c r="T45" s="189" t="s">
        <v>483</v>
      </c>
      <c r="U45" s="189" t="s">
        <v>416</v>
      </c>
      <c r="V45" s="189"/>
      <c r="W45" s="196">
        <v>1</v>
      </c>
      <c r="X45" s="189" t="s">
        <v>278</v>
      </c>
    </row>
    <row r="46" spans="2:24">
      <c r="B46" s="531"/>
      <c r="C46" s="531"/>
      <c r="D46" s="200">
        <v>10</v>
      </c>
      <c r="E46" s="189" t="s">
        <v>506</v>
      </c>
      <c r="F46" s="190">
        <v>172.80500000000001</v>
      </c>
      <c r="G46" s="259">
        <v>13.98</v>
      </c>
      <c r="H46" s="259">
        <v>16.98</v>
      </c>
      <c r="I46" s="201">
        <f t="shared" si="1"/>
        <v>1.2145922746781115</v>
      </c>
      <c r="J46" s="189">
        <v>0</v>
      </c>
      <c r="K46" s="201">
        <f t="shared" si="2"/>
        <v>0</v>
      </c>
      <c r="L46" s="190">
        <v>101.65</v>
      </c>
      <c r="M46" s="201">
        <f t="shared" si="3"/>
        <v>1.2145922746781115</v>
      </c>
      <c r="N46" s="190">
        <v>304.95000000000005</v>
      </c>
      <c r="O46" s="189">
        <v>1.7</v>
      </c>
      <c r="P46" s="191">
        <v>0.12160228898426323</v>
      </c>
      <c r="Q46" s="259">
        <v>1.3</v>
      </c>
      <c r="R46" s="191">
        <v>9.2989985693848351E-2</v>
      </c>
      <c r="S46" s="190">
        <v>132.14500000000001</v>
      </c>
      <c r="T46" s="189" t="s">
        <v>494</v>
      </c>
      <c r="U46" s="189" t="s">
        <v>495</v>
      </c>
      <c r="V46" s="189"/>
      <c r="W46" s="196">
        <v>1</v>
      </c>
      <c r="X46" s="189" t="s">
        <v>276</v>
      </c>
    </row>
    <row r="47" spans="2:24">
      <c r="B47" s="533">
        <v>45874</v>
      </c>
      <c r="C47" s="531" t="s">
        <v>159</v>
      </c>
      <c r="D47" s="200">
        <v>1</v>
      </c>
      <c r="E47" s="189" t="s">
        <v>504</v>
      </c>
      <c r="F47" s="190">
        <v>186.072</v>
      </c>
      <c r="G47" s="259">
        <v>12.089</v>
      </c>
      <c r="H47" s="259">
        <v>12.5</v>
      </c>
      <c r="I47" s="201">
        <f t="shared" si="1"/>
        <v>1.0339978492844735</v>
      </c>
      <c r="J47" s="189">
        <v>0</v>
      </c>
      <c r="K47" s="201">
        <f t="shared" si="2"/>
        <v>0</v>
      </c>
      <c r="L47" s="190">
        <v>930.36</v>
      </c>
      <c r="M47" s="201">
        <f t="shared" si="3"/>
        <v>1.0339978492844735</v>
      </c>
      <c r="N47" s="190">
        <v>382.37795999999963</v>
      </c>
      <c r="O47" s="189">
        <v>0.2</v>
      </c>
      <c r="P47" s="191">
        <v>1.6543965588551576E-2</v>
      </c>
      <c r="Q47" s="259">
        <v>0.21099999999999958</v>
      </c>
      <c r="R47" s="191">
        <v>1.7453883695921876E-2</v>
      </c>
      <c r="S47" s="190">
        <v>196.3059599999996</v>
      </c>
      <c r="T47" s="189" t="s">
        <v>486</v>
      </c>
      <c r="U47" s="189" t="s">
        <v>490</v>
      </c>
      <c r="V47" s="189"/>
      <c r="W47" s="196">
        <v>1</v>
      </c>
      <c r="X47" s="189" t="s">
        <v>271</v>
      </c>
    </row>
    <row r="48" spans="2:24">
      <c r="B48" s="531"/>
      <c r="C48" s="531"/>
      <c r="D48" s="200">
        <v>2</v>
      </c>
      <c r="E48" s="189" t="s">
        <v>482</v>
      </c>
      <c r="F48" s="190">
        <v>169.28800000000001</v>
      </c>
      <c r="G48" s="259">
        <v>7.101</v>
      </c>
      <c r="H48" s="259">
        <v>7.5</v>
      </c>
      <c r="I48" s="201">
        <f t="shared" si="1"/>
        <v>1.0561892691170258</v>
      </c>
      <c r="J48" s="189">
        <v>0</v>
      </c>
      <c r="K48" s="201">
        <f t="shared" si="2"/>
        <v>0</v>
      </c>
      <c r="L48" s="190">
        <v>846.44</v>
      </c>
      <c r="M48" s="201">
        <f t="shared" si="3"/>
        <v>1.0561892691170258</v>
      </c>
      <c r="N48" s="190">
        <v>337.72956000000005</v>
      </c>
      <c r="O48" s="189">
        <v>0.2</v>
      </c>
      <c r="P48" s="191">
        <v>2.8165047176454024E-2</v>
      </c>
      <c r="Q48" s="259">
        <v>0.19900000000000001</v>
      </c>
      <c r="R48" s="191">
        <v>2.8024221940571751E-2</v>
      </c>
      <c r="S48" s="190">
        <v>168.44156000000001</v>
      </c>
      <c r="T48" s="189" t="s">
        <v>486</v>
      </c>
      <c r="U48" s="189" t="s">
        <v>490</v>
      </c>
      <c r="V48" s="189"/>
      <c r="W48" s="196">
        <v>1</v>
      </c>
      <c r="X48" s="189" t="s">
        <v>270</v>
      </c>
    </row>
    <row r="49" spans="2:24">
      <c r="B49" s="531"/>
      <c r="C49" s="531"/>
      <c r="D49" s="200">
        <v>3</v>
      </c>
      <c r="E49" s="189" t="s">
        <v>434</v>
      </c>
      <c r="F49" s="190">
        <v>165.27</v>
      </c>
      <c r="G49" s="259">
        <v>86.025000000000006</v>
      </c>
      <c r="H49" s="259">
        <v>87.2</v>
      </c>
      <c r="I49" s="201">
        <f t="shared" si="1"/>
        <v>1.0136588201104331</v>
      </c>
      <c r="J49" s="189">
        <v>0</v>
      </c>
      <c r="K49" s="201">
        <f t="shared" si="2"/>
        <v>0</v>
      </c>
      <c r="L49" s="190">
        <v>330.54</v>
      </c>
      <c r="M49" s="201">
        <f t="shared" si="3"/>
        <v>1.0136588201104331</v>
      </c>
      <c r="N49" s="190">
        <v>388.38449999999909</v>
      </c>
      <c r="O49" s="189">
        <v>0.5</v>
      </c>
      <c r="P49" s="191">
        <v>5.8122638767800052E-3</v>
      </c>
      <c r="Q49" s="259">
        <v>0.67499999999999716</v>
      </c>
      <c r="R49" s="191">
        <v>7.8465562336529748E-3</v>
      </c>
      <c r="S49" s="190">
        <v>223.11449999999908</v>
      </c>
      <c r="T49" s="189" t="s">
        <v>486</v>
      </c>
      <c r="U49" s="189" t="s">
        <v>426</v>
      </c>
      <c r="V49" s="189"/>
      <c r="W49" s="196">
        <v>1</v>
      </c>
      <c r="X49" s="189" t="s">
        <v>280</v>
      </c>
    </row>
    <row r="50" spans="2:24">
      <c r="B50" s="531"/>
      <c r="C50" s="531"/>
      <c r="D50" s="200">
        <v>4</v>
      </c>
      <c r="E50" s="189" t="s">
        <v>516</v>
      </c>
      <c r="F50" s="190">
        <v>161.739</v>
      </c>
      <c r="G50" s="259">
        <v>52.76</v>
      </c>
      <c r="H50" s="259">
        <v>53.86</v>
      </c>
      <c r="I50" s="201">
        <f t="shared" si="1"/>
        <v>1.0208491281273693</v>
      </c>
      <c r="J50" s="189">
        <v>0</v>
      </c>
      <c r="K50" s="201">
        <f t="shared" si="2"/>
        <v>0</v>
      </c>
      <c r="L50" s="190">
        <v>179.71</v>
      </c>
      <c r="M50" s="201">
        <f t="shared" si="3"/>
        <v>1.0208491281273693</v>
      </c>
      <c r="N50" s="190">
        <v>197.68100000000027</v>
      </c>
      <c r="O50" s="189">
        <v>0.9</v>
      </c>
      <c r="P50" s="191">
        <v>1.7058377558756634E-2</v>
      </c>
      <c r="Q50" s="259">
        <v>0.2000000000000014</v>
      </c>
      <c r="R50" s="191">
        <v>3.7907505686126121E-3</v>
      </c>
      <c r="S50" s="190">
        <v>35.942000000000256</v>
      </c>
      <c r="T50" s="189" t="s">
        <v>483</v>
      </c>
      <c r="U50" s="189" t="s">
        <v>416</v>
      </c>
      <c r="V50" s="189"/>
      <c r="W50" s="196">
        <v>1</v>
      </c>
      <c r="X50" s="189" t="s">
        <v>212</v>
      </c>
    </row>
    <row r="51" spans="2:24">
      <c r="B51" s="531"/>
      <c r="C51" s="531"/>
      <c r="D51" s="200">
        <v>5</v>
      </c>
      <c r="E51" s="189" t="s">
        <v>517</v>
      </c>
      <c r="F51" s="190">
        <v>161.316</v>
      </c>
      <c r="G51" s="259">
        <v>10.304</v>
      </c>
      <c r="H51" s="259">
        <v>11.804</v>
      </c>
      <c r="I51" s="201">
        <f t="shared" si="1"/>
        <v>1.1455745341614907</v>
      </c>
      <c r="J51" s="189">
        <v>0</v>
      </c>
      <c r="K51" s="201">
        <f t="shared" si="2"/>
        <v>0</v>
      </c>
      <c r="L51" s="190">
        <v>134.43</v>
      </c>
      <c r="M51" s="201">
        <f t="shared" si="3"/>
        <v>1.1455745341614907</v>
      </c>
      <c r="N51" s="190">
        <v>201.64500000000001</v>
      </c>
      <c r="O51" s="189">
        <v>1.2</v>
      </c>
      <c r="P51" s="191">
        <v>0.11645962732919254</v>
      </c>
      <c r="Q51" s="259">
        <v>0.30000000000000004</v>
      </c>
      <c r="R51" s="191">
        <v>2.911490683229814E-2</v>
      </c>
      <c r="S51" s="190">
        <v>40.329000000000008</v>
      </c>
      <c r="T51" s="189" t="s">
        <v>514</v>
      </c>
      <c r="U51" s="189" t="s">
        <v>400</v>
      </c>
      <c r="V51" s="189"/>
      <c r="W51" s="196">
        <v>1</v>
      </c>
      <c r="X51" s="189" t="s">
        <v>240</v>
      </c>
    </row>
    <row r="52" spans="2:24">
      <c r="B52" s="531"/>
      <c r="C52" s="531"/>
      <c r="D52" s="200">
        <v>6</v>
      </c>
      <c r="E52" s="189" t="s">
        <v>518</v>
      </c>
      <c r="F52" s="190">
        <v>160.185</v>
      </c>
      <c r="G52" s="259">
        <v>4.0650000000000004</v>
      </c>
      <c r="H52" s="259">
        <v>4.5650000000000004</v>
      </c>
      <c r="I52" s="201">
        <f t="shared" si="1"/>
        <v>1.1230012300123</v>
      </c>
      <c r="J52" s="189">
        <v>0</v>
      </c>
      <c r="K52" s="201">
        <f t="shared" si="2"/>
        <v>0</v>
      </c>
      <c r="L52" s="190">
        <v>320.37</v>
      </c>
      <c r="M52" s="201">
        <f t="shared" si="3"/>
        <v>1.1230012300123</v>
      </c>
      <c r="N52" s="190">
        <v>160.185</v>
      </c>
      <c r="O52" s="189">
        <v>0.5</v>
      </c>
      <c r="P52" s="191">
        <v>0.12300123001230011</v>
      </c>
      <c r="Q52" s="259">
        <v>0</v>
      </c>
      <c r="R52" s="191">
        <v>0</v>
      </c>
      <c r="S52" s="190">
        <v>0</v>
      </c>
      <c r="T52" s="189" t="s">
        <v>494</v>
      </c>
      <c r="U52" s="189" t="s">
        <v>495</v>
      </c>
      <c r="V52" s="189"/>
      <c r="W52" s="196">
        <v>1</v>
      </c>
      <c r="X52" s="189" t="s">
        <v>417</v>
      </c>
    </row>
    <row r="53" spans="2:24">
      <c r="B53" s="531"/>
      <c r="C53" s="531"/>
      <c r="D53" s="200">
        <v>7</v>
      </c>
      <c r="E53" s="189" t="s">
        <v>519</v>
      </c>
      <c r="F53" s="190">
        <v>159.19200000000001</v>
      </c>
      <c r="G53" s="259">
        <v>22.512</v>
      </c>
      <c r="H53" s="259">
        <v>23.612000000000002</v>
      </c>
      <c r="I53" s="201">
        <f t="shared" si="1"/>
        <v>1.0488628287135751</v>
      </c>
      <c r="J53" s="189">
        <v>0</v>
      </c>
      <c r="K53" s="201">
        <f t="shared" si="2"/>
        <v>0</v>
      </c>
      <c r="L53" s="190">
        <v>176.88</v>
      </c>
      <c r="M53" s="201">
        <f t="shared" si="3"/>
        <v>1.0488628287135751</v>
      </c>
      <c r="N53" s="190">
        <v>194.56800000000024</v>
      </c>
      <c r="O53" s="189">
        <v>0.9</v>
      </c>
      <c r="P53" s="191">
        <v>3.9978678038379532E-2</v>
      </c>
      <c r="Q53" s="259">
        <v>0.2000000000000014</v>
      </c>
      <c r="R53" s="191">
        <v>8.8841506751955127E-3</v>
      </c>
      <c r="S53" s="190">
        <v>35.376000000000246</v>
      </c>
      <c r="T53" s="189" t="s">
        <v>483</v>
      </c>
      <c r="U53" s="189" t="s">
        <v>416</v>
      </c>
      <c r="V53" s="189"/>
      <c r="W53" s="196">
        <v>1</v>
      </c>
      <c r="X53" s="189" t="s">
        <v>292</v>
      </c>
    </row>
    <row r="54" spans="2:24">
      <c r="B54" s="531"/>
      <c r="C54" s="531"/>
      <c r="D54" s="200">
        <v>8</v>
      </c>
      <c r="E54" s="189" t="s">
        <v>489</v>
      </c>
      <c r="F54" s="190">
        <v>159.02500000000001</v>
      </c>
      <c r="G54" s="259">
        <v>42.984000000000002</v>
      </c>
      <c r="H54" s="259">
        <v>43.884</v>
      </c>
      <c r="I54" s="201">
        <f t="shared" si="1"/>
        <v>1.0209380234505863</v>
      </c>
      <c r="J54" s="189">
        <v>0</v>
      </c>
      <c r="K54" s="201">
        <f t="shared" si="2"/>
        <v>0</v>
      </c>
      <c r="L54" s="190">
        <v>318.05</v>
      </c>
      <c r="M54" s="201">
        <f t="shared" si="3"/>
        <v>1.0209380234505863</v>
      </c>
      <c r="N54" s="190">
        <v>286.24499999999955</v>
      </c>
      <c r="O54" s="189">
        <v>0.5</v>
      </c>
      <c r="P54" s="191">
        <v>1.1632235250325702E-2</v>
      </c>
      <c r="Q54" s="259">
        <v>0.39999999999999858</v>
      </c>
      <c r="R54" s="191">
        <v>9.3057882002605292E-3</v>
      </c>
      <c r="S54" s="190">
        <v>127.21999999999956</v>
      </c>
      <c r="T54" s="189" t="s">
        <v>486</v>
      </c>
      <c r="U54" s="189" t="s">
        <v>426</v>
      </c>
      <c r="V54" s="189"/>
      <c r="W54" s="196">
        <v>1</v>
      </c>
      <c r="X54" s="189" t="s">
        <v>303</v>
      </c>
    </row>
    <row r="55" spans="2:24">
      <c r="B55" s="531"/>
      <c r="C55" s="531"/>
      <c r="D55" s="200">
        <v>9</v>
      </c>
      <c r="E55" s="189" t="s">
        <v>520</v>
      </c>
      <c r="F55" s="190">
        <v>158.44999999999999</v>
      </c>
      <c r="G55" s="259">
        <v>4.1879999999999997</v>
      </c>
      <c r="H55" s="259">
        <v>4.0880000000000001</v>
      </c>
      <c r="I55" s="201">
        <f t="shared" si="1"/>
        <v>0.97612225405921693</v>
      </c>
      <c r="J55" s="259">
        <v>0.81200000000000028</v>
      </c>
      <c r="K55" s="201">
        <f t="shared" si="2"/>
        <v>0.19388729703915958</v>
      </c>
      <c r="L55" s="190">
        <v>316.89999999999998</v>
      </c>
      <c r="M55" s="201">
        <f t="shared" si="3"/>
        <v>1.1700095510983766</v>
      </c>
      <c r="N55" s="190">
        <v>225.63280000000017</v>
      </c>
      <c r="O55" s="189">
        <v>0.5</v>
      </c>
      <c r="P55" s="191">
        <v>0.11938872970391595</v>
      </c>
      <c r="Q55" s="259">
        <v>0.21200000000000063</v>
      </c>
      <c r="R55" s="191">
        <v>5.0620821394460516E-2</v>
      </c>
      <c r="S55" s="190">
        <v>67.182800000000199</v>
      </c>
      <c r="T55" s="189" t="s">
        <v>494</v>
      </c>
      <c r="U55" s="189" t="s">
        <v>495</v>
      </c>
      <c r="V55" s="189"/>
      <c r="W55" s="196">
        <v>1</v>
      </c>
      <c r="X55" s="189" t="s">
        <v>417</v>
      </c>
    </row>
    <row r="56" spans="2:24">
      <c r="B56" s="531"/>
      <c r="C56" s="531"/>
      <c r="D56" s="200">
        <v>10</v>
      </c>
      <c r="E56" s="189" t="s">
        <v>521</v>
      </c>
      <c r="F56" s="190">
        <v>157.71899999999999</v>
      </c>
      <c r="G56" s="259">
        <v>92.256</v>
      </c>
      <c r="H56" s="259">
        <v>93</v>
      </c>
      <c r="I56" s="201">
        <f t="shared" si="1"/>
        <v>1.0080645161290323</v>
      </c>
      <c r="J56" s="189">
        <v>0</v>
      </c>
      <c r="K56" s="201">
        <f t="shared" si="2"/>
        <v>0</v>
      </c>
      <c r="L56" s="190">
        <v>525.73</v>
      </c>
      <c r="M56" s="201">
        <f t="shared" si="3"/>
        <v>1.0080645161290323</v>
      </c>
      <c r="N56" s="190">
        <v>391.1431199999999</v>
      </c>
      <c r="O56" s="189">
        <v>0.3</v>
      </c>
      <c r="P56" s="191">
        <v>3.2518210197710717E-3</v>
      </c>
      <c r="Q56" s="259">
        <v>0.44399999999999978</v>
      </c>
      <c r="R56" s="191">
        <v>4.8126951092611839E-3</v>
      </c>
      <c r="S56" s="190">
        <v>233.4241199999999</v>
      </c>
      <c r="T56" s="189" t="s">
        <v>486</v>
      </c>
      <c r="U56" s="189" t="s">
        <v>426</v>
      </c>
      <c r="V56" s="189"/>
      <c r="W56" s="196">
        <v>1</v>
      </c>
      <c r="X56" s="189" t="s">
        <v>285</v>
      </c>
    </row>
    <row r="57" spans="2:24">
      <c r="B57" s="533">
        <v>45875</v>
      </c>
      <c r="C57" s="531" t="s">
        <v>160</v>
      </c>
      <c r="D57" s="200">
        <v>1</v>
      </c>
      <c r="E57" s="189" t="s">
        <v>513</v>
      </c>
      <c r="F57" s="190">
        <v>217.36500000000001</v>
      </c>
      <c r="G57" s="259">
        <v>18.372</v>
      </c>
      <c r="H57" s="259">
        <v>19.899999999999999</v>
      </c>
      <c r="I57" s="201">
        <f t="shared" si="1"/>
        <v>1.083170041367298</v>
      </c>
      <c r="J57" s="189">
        <v>0</v>
      </c>
      <c r="K57" s="201">
        <f t="shared" si="2"/>
        <v>0</v>
      </c>
      <c r="L57" s="190">
        <v>144.91</v>
      </c>
      <c r="M57" s="201">
        <f t="shared" si="3"/>
        <v>1.083170041367298</v>
      </c>
      <c r="N57" s="190">
        <v>221.42247999999981</v>
      </c>
      <c r="O57" s="189">
        <v>1.5</v>
      </c>
      <c r="P57" s="191">
        <v>8.1645983017635537E-2</v>
      </c>
      <c r="Q57" s="259">
        <v>2.7999999999998693E-2</v>
      </c>
      <c r="R57" s="191">
        <v>1.5240583496624587E-3</v>
      </c>
      <c r="S57" s="190">
        <v>4.0574799999998108</v>
      </c>
      <c r="T57" s="189" t="s">
        <v>514</v>
      </c>
      <c r="U57" s="189" t="s">
        <v>400</v>
      </c>
      <c r="V57" s="189"/>
      <c r="W57" s="196">
        <v>1</v>
      </c>
      <c r="X57" s="189" t="s">
        <v>515</v>
      </c>
    </row>
    <row r="58" spans="2:24">
      <c r="B58" s="531"/>
      <c r="C58" s="531"/>
      <c r="D58" s="200">
        <v>2</v>
      </c>
      <c r="E58" s="189" t="s">
        <v>414</v>
      </c>
      <c r="F58" s="190">
        <v>217.36</v>
      </c>
      <c r="G58" s="259">
        <v>81.78</v>
      </c>
      <c r="H58" s="259">
        <v>83.68</v>
      </c>
      <c r="I58" s="201">
        <f t="shared" si="1"/>
        <v>1.0232330643189045</v>
      </c>
      <c r="J58" s="189">
        <v>0</v>
      </c>
      <c r="K58" s="201">
        <f t="shared" si="2"/>
        <v>0</v>
      </c>
      <c r="L58" s="190">
        <v>114.4</v>
      </c>
      <c r="M58" s="201">
        <f t="shared" si="3"/>
        <v>1.0232330643189045</v>
      </c>
      <c r="N58" s="190">
        <v>217.36000000000067</v>
      </c>
      <c r="O58" s="189">
        <v>1.9</v>
      </c>
      <c r="P58" s="191">
        <v>2.3233064318904376E-2</v>
      </c>
      <c r="Q58" s="259">
        <v>0</v>
      </c>
      <c r="R58" s="191">
        <v>7.0593784886901617E-17</v>
      </c>
      <c r="S58" s="190">
        <v>6.6044947288901314E-13</v>
      </c>
      <c r="T58" s="189" t="s">
        <v>483</v>
      </c>
      <c r="U58" s="189" t="s">
        <v>416</v>
      </c>
      <c r="V58" s="189"/>
      <c r="W58" s="196">
        <v>1</v>
      </c>
      <c r="X58" s="189" t="s">
        <v>287</v>
      </c>
    </row>
    <row r="59" spans="2:24">
      <c r="B59" s="531"/>
      <c r="C59" s="531"/>
      <c r="D59" s="200">
        <v>3</v>
      </c>
      <c r="E59" s="189" t="s">
        <v>522</v>
      </c>
      <c r="F59" s="190">
        <v>210.392</v>
      </c>
      <c r="G59" s="259">
        <v>150.75</v>
      </c>
      <c r="H59" s="259">
        <v>153.55000000000001</v>
      </c>
      <c r="I59" s="201">
        <f t="shared" si="1"/>
        <v>1.0185737976782754</v>
      </c>
      <c r="J59" s="189">
        <v>0</v>
      </c>
      <c r="K59" s="201">
        <f t="shared" si="2"/>
        <v>0</v>
      </c>
      <c r="L59" s="190">
        <v>75.14</v>
      </c>
      <c r="M59" s="201">
        <f t="shared" si="3"/>
        <v>1.0185737976782754</v>
      </c>
      <c r="N59" s="190">
        <v>210.39200000000085</v>
      </c>
      <c r="O59" s="189">
        <v>2.8</v>
      </c>
      <c r="P59" s="191">
        <v>1.857379767827529E-2</v>
      </c>
      <c r="Q59" s="259">
        <v>0</v>
      </c>
      <c r="R59" s="191">
        <v>7.6592500537987579E-17</v>
      </c>
      <c r="S59" s="190">
        <v>8.6759044393147637E-13</v>
      </c>
      <c r="T59" s="189" t="s">
        <v>483</v>
      </c>
      <c r="U59" s="189" t="s">
        <v>416</v>
      </c>
      <c r="V59" s="189"/>
      <c r="W59" s="196">
        <v>1</v>
      </c>
      <c r="X59" s="189" t="s">
        <v>417</v>
      </c>
    </row>
    <row r="60" spans="2:24">
      <c r="B60" s="531"/>
      <c r="C60" s="531"/>
      <c r="D60" s="200">
        <v>4</v>
      </c>
      <c r="E60" s="189" t="s">
        <v>523</v>
      </c>
      <c r="F60" s="190">
        <v>205.755</v>
      </c>
      <c r="G60" s="259">
        <v>111.76600000000001</v>
      </c>
      <c r="H60" s="259">
        <v>114.66600000000001</v>
      </c>
      <c r="I60" s="201">
        <f t="shared" si="1"/>
        <v>1.0259470679813181</v>
      </c>
      <c r="J60" s="189">
        <v>0</v>
      </c>
      <c r="K60" s="201">
        <f t="shared" si="2"/>
        <v>0</v>
      </c>
      <c r="L60" s="190">
        <v>70.95</v>
      </c>
      <c r="M60" s="201">
        <f t="shared" si="3"/>
        <v>1.0259470679813181</v>
      </c>
      <c r="N60" s="190">
        <v>205.75500000000042</v>
      </c>
      <c r="O60" s="189">
        <v>2.9</v>
      </c>
      <c r="P60" s="191">
        <v>2.5947067981318107E-2</v>
      </c>
      <c r="Q60" s="259">
        <v>0</v>
      </c>
      <c r="R60" s="191">
        <v>5.1653988941635325E-17</v>
      </c>
      <c r="S60" s="190">
        <v>4.0960568270520526E-13</v>
      </c>
      <c r="T60" s="189" t="s">
        <v>483</v>
      </c>
      <c r="U60" s="189" t="s">
        <v>416</v>
      </c>
      <c r="V60" s="189"/>
      <c r="W60" s="196">
        <v>1</v>
      </c>
      <c r="X60" s="189" t="s">
        <v>287</v>
      </c>
    </row>
    <row r="61" spans="2:24">
      <c r="B61" s="531"/>
      <c r="C61" s="531"/>
      <c r="D61" s="200">
        <v>5</v>
      </c>
      <c r="E61" s="189" t="s">
        <v>524</v>
      </c>
      <c r="F61" s="190">
        <v>174.96</v>
      </c>
      <c r="G61" s="259">
        <v>212.64</v>
      </c>
      <c r="H61" s="259">
        <v>215.04</v>
      </c>
      <c r="I61" s="201">
        <f t="shared" si="1"/>
        <v>1.0112866817155757</v>
      </c>
      <c r="J61" s="189">
        <v>0</v>
      </c>
      <c r="K61" s="201">
        <f t="shared" si="2"/>
        <v>0</v>
      </c>
      <c r="L61" s="190">
        <v>72.900000000000006</v>
      </c>
      <c r="M61" s="201">
        <f t="shared" si="3"/>
        <v>1.0112866817155757</v>
      </c>
      <c r="N61" s="190">
        <v>174.96000000000043</v>
      </c>
      <c r="O61" s="189">
        <v>2.4</v>
      </c>
      <c r="P61" s="191">
        <v>1.1286681715575621E-2</v>
      </c>
      <c r="Q61" s="259">
        <v>0</v>
      </c>
      <c r="R61" s="191">
        <v>2.7149923476536939E-17</v>
      </c>
      <c r="S61" s="190">
        <v>4.2086334417490436E-13</v>
      </c>
      <c r="T61" s="189" t="s">
        <v>483</v>
      </c>
      <c r="U61" s="189" t="s">
        <v>416</v>
      </c>
      <c r="V61" s="189"/>
      <c r="W61" s="196">
        <v>1</v>
      </c>
      <c r="X61" s="189" t="s">
        <v>264</v>
      </c>
    </row>
    <row r="62" spans="2:24">
      <c r="B62" s="531"/>
      <c r="C62" s="531"/>
      <c r="D62" s="200">
        <v>6</v>
      </c>
      <c r="E62" s="189" t="s">
        <v>525</v>
      </c>
      <c r="F62" s="190">
        <v>171.76</v>
      </c>
      <c r="G62" s="259">
        <v>218.55600000000001</v>
      </c>
      <c r="H62" s="259">
        <v>220.55600000000001</v>
      </c>
      <c r="I62" s="201">
        <f t="shared" si="1"/>
        <v>1.0091509727484032</v>
      </c>
      <c r="J62" s="189">
        <v>0</v>
      </c>
      <c r="K62" s="201">
        <f t="shared" si="2"/>
        <v>0</v>
      </c>
      <c r="L62" s="190">
        <v>90.4</v>
      </c>
      <c r="M62" s="201">
        <f t="shared" si="3"/>
        <v>1.0091509727484032</v>
      </c>
      <c r="N62" s="190">
        <v>180.8</v>
      </c>
      <c r="O62" s="189">
        <v>1.9</v>
      </c>
      <c r="P62" s="191">
        <v>8.693424110982997E-3</v>
      </c>
      <c r="Q62" s="259">
        <v>0.10000000000000009</v>
      </c>
      <c r="R62" s="191">
        <v>4.5754863742015816E-4</v>
      </c>
      <c r="S62" s="190">
        <v>9.040000000000008</v>
      </c>
      <c r="T62" s="189" t="s">
        <v>483</v>
      </c>
      <c r="U62" s="189" t="s">
        <v>416</v>
      </c>
      <c r="V62" s="189"/>
      <c r="W62" s="196">
        <v>1</v>
      </c>
      <c r="X62" s="189" t="s">
        <v>279</v>
      </c>
    </row>
    <row r="63" spans="2:24">
      <c r="B63" s="531"/>
      <c r="C63" s="531"/>
      <c r="D63" s="200">
        <v>7</v>
      </c>
      <c r="E63" s="189" t="s">
        <v>526</v>
      </c>
      <c r="F63" s="190">
        <v>165.31900000000002</v>
      </c>
      <c r="G63" s="259">
        <v>9.2799999999999994</v>
      </c>
      <c r="H63" s="259">
        <v>10.479999999999999</v>
      </c>
      <c r="I63" s="201">
        <f t="shared" si="1"/>
        <v>1.1293103448275861</v>
      </c>
      <c r="J63" s="189">
        <v>0</v>
      </c>
      <c r="K63" s="201">
        <f t="shared" si="2"/>
        <v>0</v>
      </c>
      <c r="L63" s="190">
        <v>150.29</v>
      </c>
      <c r="M63" s="201">
        <f t="shared" si="3"/>
        <v>1.1293103448275861</v>
      </c>
      <c r="N63" s="190">
        <v>180.34799999999987</v>
      </c>
      <c r="O63" s="189">
        <v>1.1000000000000001</v>
      </c>
      <c r="P63" s="191">
        <v>0.1185344827586207</v>
      </c>
      <c r="Q63" s="259">
        <v>9.9999999999999201E-2</v>
      </c>
      <c r="R63" s="191">
        <v>1.0775862068965431E-2</v>
      </c>
      <c r="S63" s="190">
        <v>15.028999999999879</v>
      </c>
      <c r="T63" s="189" t="s">
        <v>494</v>
      </c>
      <c r="U63" s="189" t="s">
        <v>495</v>
      </c>
      <c r="V63" s="189"/>
      <c r="W63" s="196">
        <v>1</v>
      </c>
      <c r="X63" s="189" t="s">
        <v>276</v>
      </c>
    </row>
    <row r="64" spans="2:24">
      <c r="B64" s="531"/>
      <c r="C64" s="531"/>
      <c r="D64" s="200">
        <v>8</v>
      </c>
      <c r="E64" s="189" t="s">
        <v>489</v>
      </c>
      <c r="F64" s="190">
        <v>159.02500000000001</v>
      </c>
      <c r="G64" s="259">
        <v>41.384</v>
      </c>
      <c r="H64" s="259">
        <v>42.183999999999997</v>
      </c>
      <c r="I64" s="201">
        <f t="shared" si="1"/>
        <v>1.01933114247052</v>
      </c>
      <c r="J64" s="189">
        <v>0</v>
      </c>
      <c r="K64" s="201">
        <f t="shared" si="2"/>
        <v>0</v>
      </c>
      <c r="L64" s="190">
        <v>318.05</v>
      </c>
      <c r="M64" s="201">
        <f t="shared" si="3"/>
        <v>1.01933114247052</v>
      </c>
      <c r="N64" s="190">
        <v>254.43999999999912</v>
      </c>
      <c r="O64" s="189">
        <v>0.5</v>
      </c>
      <c r="P64" s="191">
        <v>1.2081964044075005E-2</v>
      </c>
      <c r="Q64" s="259">
        <v>0.29999999999999716</v>
      </c>
      <c r="R64" s="191">
        <v>7.2491784264449343E-3</v>
      </c>
      <c r="S64" s="190">
        <v>95.414999999999097</v>
      </c>
      <c r="T64" s="189" t="s">
        <v>486</v>
      </c>
      <c r="U64" s="189" t="s">
        <v>490</v>
      </c>
      <c r="V64" s="189"/>
      <c r="W64" s="196">
        <v>1</v>
      </c>
      <c r="X64" s="189" t="s">
        <v>303</v>
      </c>
    </row>
    <row r="65" spans="2:24">
      <c r="B65" s="531"/>
      <c r="C65" s="531"/>
      <c r="D65" s="200">
        <v>9</v>
      </c>
      <c r="E65" s="189" t="s">
        <v>527</v>
      </c>
      <c r="F65" s="190">
        <v>157.5</v>
      </c>
      <c r="G65" s="259">
        <v>260.54000000000002</v>
      </c>
      <c r="H65" s="259">
        <v>264.04000000000002</v>
      </c>
      <c r="I65" s="201">
        <f t="shared" si="1"/>
        <v>1.0134336378291242</v>
      </c>
      <c r="J65" s="189">
        <v>0</v>
      </c>
      <c r="K65" s="201">
        <f t="shared" si="2"/>
        <v>0</v>
      </c>
      <c r="L65" s="190">
        <v>45</v>
      </c>
      <c r="M65" s="201">
        <f t="shared" si="3"/>
        <v>1.0134336378291242</v>
      </c>
      <c r="N65" s="190">
        <v>157.5</v>
      </c>
      <c r="O65" s="189">
        <v>3.5</v>
      </c>
      <c r="P65" s="191">
        <v>1.3433637829124125E-2</v>
      </c>
      <c r="Q65" s="259">
        <v>0</v>
      </c>
      <c r="R65" s="191">
        <v>0</v>
      </c>
      <c r="S65" s="190">
        <v>0</v>
      </c>
      <c r="T65" s="189" t="s">
        <v>494</v>
      </c>
      <c r="U65" s="189" t="s">
        <v>500</v>
      </c>
      <c r="V65" s="189"/>
      <c r="W65" s="196">
        <v>1</v>
      </c>
      <c r="X65" s="189" t="s">
        <v>267</v>
      </c>
    </row>
    <row r="66" spans="2:24">
      <c r="B66" s="531"/>
      <c r="C66" s="531"/>
      <c r="D66" s="200">
        <v>10</v>
      </c>
      <c r="E66" s="189" t="s">
        <v>528</v>
      </c>
      <c r="F66" s="190">
        <v>155.68</v>
      </c>
      <c r="G66" s="259">
        <v>279.02</v>
      </c>
      <c r="H66" s="259">
        <v>281.91999999999996</v>
      </c>
      <c r="I66" s="201">
        <f t="shared" si="1"/>
        <v>1.010393520177765</v>
      </c>
      <c r="J66" s="189">
        <v>0</v>
      </c>
      <c r="K66" s="201">
        <f t="shared" si="2"/>
        <v>0</v>
      </c>
      <c r="L66" s="190">
        <v>55.6</v>
      </c>
      <c r="M66" s="201">
        <f t="shared" si="3"/>
        <v>1.010393520177765</v>
      </c>
      <c r="N66" s="190">
        <v>161.23999999999873</v>
      </c>
      <c r="O66" s="189">
        <v>2.8</v>
      </c>
      <c r="P66" s="191">
        <v>1.0035122930255895E-2</v>
      </c>
      <c r="Q66" s="259">
        <v>9.999999999997744E-2</v>
      </c>
      <c r="R66" s="191">
        <v>3.5839724750905832E-4</v>
      </c>
      <c r="S66" s="190">
        <v>5.5599999999987455</v>
      </c>
      <c r="T66" s="189" t="s">
        <v>494</v>
      </c>
      <c r="U66" s="189" t="s">
        <v>500</v>
      </c>
      <c r="V66" s="189"/>
      <c r="W66" s="196">
        <v>1</v>
      </c>
      <c r="X66" s="189" t="s">
        <v>269</v>
      </c>
    </row>
    <row r="67" spans="2:24">
      <c r="B67" s="533">
        <v>45876</v>
      </c>
      <c r="C67" s="531" t="s">
        <v>161</v>
      </c>
      <c r="D67" s="200">
        <v>1</v>
      </c>
      <c r="E67" s="189" t="s">
        <v>489</v>
      </c>
      <c r="F67" s="190">
        <v>254.44000000000003</v>
      </c>
      <c r="G67" s="259">
        <v>44.576000000000001</v>
      </c>
      <c r="H67" s="259">
        <v>45.6</v>
      </c>
      <c r="I67" s="201">
        <f t="shared" si="1"/>
        <v>1.0229720028715004</v>
      </c>
      <c r="J67" s="189">
        <v>0</v>
      </c>
      <c r="K67" s="201">
        <f t="shared" si="2"/>
        <v>0</v>
      </c>
      <c r="L67" s="190">
        <v>318.05</v>
      </c>
      <c r="M67" s="201">
        <f t="shared" si="3"/>
        <v>1.0229720028715004</v>
      </c>
      <c r="N67" s="190">
        <v>325.68320000000028</v>
      </c>
      <c r="O67" s="189">
        <v>0.8</v>
      </c>
      <c r="P67" s="191">
        <v>1.7946877243359655E-2</v>
      </c>
      <c r="Q67" s="259">
        <v>0.22400000000000087</v>
      </c>
      <c r="R67" s="191">
        <v>5.0251256281407227E-3</v>
      </c>
      <c r="S67" s="190">
        <v>71.243200000000272</v>
      </c>
      <c r="T67" s="189" t="s">
        <v>486</v>
      </c>
      <c r="U67" s="189" t="s">
        <v>426</v>
      </c>
      <c r="V67" s="189"/>
      <c r="W67" s="196">
        <v>1</v>
      </c>
      <c r="X67" s="189" t="s">
        <v>303</v>
      </c>
    </row>
    <row r="68" spans="2:24">
      <c r="B68" s="531"/>
      <c r="C68" s="531"/>
      <c r="D68" s="200">
        <v>2</v>
      </c>
      <c r="E68" s="189" t="s">
        <v>529</v>
      </c>
      <c r="F68" s="190">
        <v>158.119</v>
      </c>
      <c r="G68" s="259">
        <v>25.064</v>
      </c>
      <c r="H68" s="259">
        <v>26.463999999999999</v>
      </c>
      <c r="I68" s="201">
        <f t="shared" si="1"/>
        <v>1.055857006064475</v>
      </c>
      <c r="J68" s="189">
        <v>0</v>
      </c>
      <c r="K68" s="201">
        <f t="shared" si="2"/>
        <v>0</v>
      </c>
      <c r="L68" s="190">
        <v>121.63</v>
      </c>
      <c r="M68" s="201">
        <f t="shared" si="3"/>
        <v>1.055857006064475</v>
      </c>
      <c r="N68" s="190">
        <v>170.28199999999981</v>
      </c>
      <c r="O68" s="189">
        <v>1.3</v>
      </c>
      <c r="P68" s="191">
        <v>5.1867219917012451E-2</v>
      </c>
      <c r="Q68" s="259">
        <v>9.9999999999998535E-2</v>
      </c>
      <c r="R68" s="191">
        <v>3.9897861474624376E-3</v>
      </c>
      <c r="S68" s="190">
        <v>12.162999999999821</v>
      </c>
      <c r="T68" s="189" t="s">
        <v>494</v>
      </c>
      <c r="U68" s="189" t="s">
        <v>500</v>
      </c>
      <c r="V68" s="189"/>
      <c r="W68" s="196">
        <v>1</v>
      </c>
      <c r="X68" s="189" t="s">
        <v>292</v>
      </c>
    </row>
    <row r="69" spans="2:24">
      <c r="B69" s="531"/>
      <c r="C69" s="531"/>
      <c r="D69" s="200">
        <v>3</v>
      </c>
      <c r="E69" s="189" t="s">
        <v>521</v>
      </c>
      <c r="F69" s="190">
        <v>157.71899999999999</v>
      </c>
      <c r="G69" s="259">
        <v>55.008000000000003</v>
      </c>
      <c r="H69" s="259">
        <v>56.008000000000003</v>
      </c>
      <c r="I69" s="201">
        <f t="shared" si="1"/>
        <v>1.0181791739383363</v>
      </c>
      <c r="J69" s="189">
        <v>0</v>
      </c>
      <c r="K69" s="201">
        <f t="shared" si="2"/>
        <v>0</v>
      </c>
      <c r="L69" s="190">
        <v>525.73</v>
      </c>
      <c r="M69" s="201">
        <f t="shared" si="3"/>
        <v>1.0181791739383363</v>
      </c>
      <c r="N69" s="190">
        <v>525.73</v>
      </c>
      <c r="O69" s="189">
        <v>0.3</v>
      </c>
      <c r="P69" s="191">
        <v>5.4537521815008717E-3</v>
      </c>
      <c r="Q69" s="259">
        <v>0.7</v>
      </c>
      <c r="R69" s="191">
        <v>1.2725421756835368E-2</v>
      </c>
      <c r="S69" s="190">
        <v>368.01099999999997</v>
      </c>
      <c r="T69" s="189" t="s">
        <v>486</v>
      </c>
      <c r="U69" s="189" t="s">
        <v>426</v>
      </c>
      <c r="V69" s="189"/>
      <c r="W69" s="196">
        <v>1</v>
      </c>
      <c r="X69" s="189" t="s">
        <v>285</v>
      </c>
    </row>
    <row r="70" spans="2:24">
      <c r="B70" s="531"/>
      <c r="C70" s="531"/>
      <c r="D70" s="200">
        <v>4</v>
      </c>
      <c r="E70" s="189" t="s">
        <v>509</v>
      </c>
      <c r="F70" s="190">
        <v>157.46</v>
      </c>
      <c r="G70" s="259">
        <v>309.60000000000002</v>
      </c>
      <c r="H70" s="259">
        <v>311.70000000000005</v>
      </c>
      <c r="I70" s="201">
        <f t="shared" si="1"/>
        <v>1.0067829457364341</v>
      </c>
      <c r="J70" s="189">
        <v>0</v>
      </c>
      <c r="K70" s="201">
        <f t="shared" si="2"/>
        <v>0</v>
      </c>
      <c r="L70" s="190">
        <v>78.73</v>
      </c>
      <c r="M70" s="201">
        <f t="shared" si="3"/>
        <v>1.0067829457364341</v>
      </c>
      <c r="N70" s="190">
        <v>165.33300000000179</v>
      </c>
      <c r="O70" s="189">
        <v>2</v>
      </c>
      <c r="P70" s="191">
        <v>6.4599483204134363E-3</v>
      </c>
      <c r="Q70" s="259">
        <v>0.10000000000002274</v>
      </c>
      <c r="R70" s="191">
        <v>3.2299741602074525E-4</v>
      </c>
      <c r="S70" s="190">
        <v>7.8730000000017908</v>
      </c>
      <c r="T70" s="189" t="s">
        <v>494</v>
      </c>
      <c r="U70" s="189" t="s">
        <v>500</v>
      </c>
      <c r="V70" s="189"/>
      <c r="W70" s="196">
        <v>1</v>
      </c>
      <c r="X70" s="189" t="s">
        <v>278</v>
      </c>
    </row>
    <row r="71" spans="2:24">
      <c r="B71" s="531"/>
      <c r="C71" s="531"/>
      <c r="D71" s="200">
        <v>5</v>
      </c>
      <c r="E71" s="189" t="s">
        <v>523</v>
      </c>
      <c r="F71" s="190">
        <v>156.09000000000003</v>
      </c>
      <c r="G71" s="259">
        <v>107.461</v>
      </c>
      <c r="H71" s="259">
        <v>109.761</v>
      </c>
      <c r="I71" s="201">
        <f t="shared" si="1"/>
        <v>1.0214031136877564</v>
      </c>
      <c r="J71" s="189">
        <v>0</v>
      </c>
      <c r="K71" s="201">
        <f t="shared" si="2"/>
        <v>0</v>
      </c>
      <c r="L71" s="190">
        <v>70.95</v>
      </c>
      <c r="M71" s="201">
        <f t="shared" si="3"/>
        <v>1.0214031136877564</v>
      </c>
      <c r="N71" s="190">
        <v>163.1849999999998</v>
      </c>
      <c r="O71" s="189">
        <v>2.2000000000000002</v>
      </c>
      <c r="P71" s="191">
        <v>2.0472543527419253E-2</v>
      </c>
      <c r="Q71" s="259">
        <v>9.999999999999698E-2</v>
      </c>
      <c r="R71" s="191">
        <v>9.3057016033721055E-4</v>
      </c>
      <c r="S71" s="190">
        <v>7.0949999999997857</v>
      </c>
      <c r="T71" s="189" t="s">
        <v>494</v>
      </c>
      <c r="U71" s="189" t="s">
        <v>500</v>
      </c>
      <c r="V71" s="189"/>
      <c r="W71" s="196">
        <v>1</v>
      </c>
      <c r="X71" s="189" t="s">
        <v>287</v>
      </c>
    </row>
    <row r="72" spans="2:24">
      <c r="B72" s="531"/>
      <c r="C72" s="531"/>
      <c r="D72" s="200">
        <v>6</v>
      </c>
      <c r="E72" s="189" t="s">
        <v>425</v>
      </c>
      <c r="F72" s="190">
        <v>151.65799999999999</v>
      </c>
      <c r="G72" s="259">
        <v>159.79300000000001</v>
      </c>
      <c r="H72" s="259">
        <v>161.19300000000001</v>
      </c>
      <c r="I72" s="201">
        <f t="shared" ref="I72:I135" si="15">H72/G72</f>
        <v>1.0087613349771267</v>
      </c>
      <c r="J72" s="189">
        <v>0</v>
      </c>
      <c r="K72" s="201">
        <f t="shared" ref="K72:K135" si="16">J72/G72</f>
        <v>0</v>
      </c>
      <c r="L72" s="190">
        <v>116.66</v>
      </c>
      <c r="M72" s="201">
        <f t="shared" ref="M72:M135" si="17">(H72+J72)/G72</f>
        <v>1.0087613349771267</v>
      </c>
      <c r="N72" s="190">
        <v>163.32400000000067</v>
      </c>
      <c r="O72" s="189">
        <v>1.3</v>
      </c>
      <c r="P72" s="191">
        <v>8.1355253359033253E-3</v>
      </c>
      <c r="Q72" s="259">
        <v>0.10000000000000564</v>
      </c>
      <c r="R72" s="191">
        <v>6.2580964122336798E-4</v>
      </c>
      <c r="S72" s="190">
        <v>11.666000000000658</v>
      </c>
      <c r="T72" s="189" t="s">
        <v>486</v>
      </c>
      <c r="U72" s="189" t="s">
        <v>426</v>
      </c>
      <c r="V72" s="189"/>
      <c r="W72" s="196">
        <v>1</v>
      </c>
      <c r="X72" s="189" t="s">
        <v>417</v>
      </c>
    </row>
    <row r="73" spans="2:24">
      <c r="B73" s="531"/>
      <c r="C73" s="531"/>
      <c r="D73" s="200">
        <v>7</v>
      </c>
      <c r="E73" s="189" t="s">
        <v>530</v>
      </c>
      <c r="F73" s="190">
        <v>145.92600000000002</v>
      </c>
      <c r="G73" s="259">
        <v>97.272000000000006</v>
      </c>
      <c r="H73" s="259">
        <v>99.872</v>
      </c>
      <c r="I73" s="201">
        <f t="shared" si="15"/>
        <v>1.026729171806892</v>
      </c>
      <c r="J73" s="189">
        <v>0</v>
      </c>
      <c r="K73" s="201">
        <f t="shared" si="16"/>
        <v>0</v>
      </c>
      <c r="L73" s="190">
        <v>66.33</v>
      </c>
      <c r="M73" s="201">
        <f t="shared" si="17"/>
        <v>1.026729171806892</v>
      </c>
      <c r="N73" s="190">
        <v>172.45799999999963</v>
      </c>
      <c r="O73" s="189">
        <v>2.2000000000000002</v>
      </c>
      <c r="P73" s="191">
        <v>2.2616991528908628E-2</v>
      </c>
      <c r="Q73" s="259">
        <v>0.39999999999999414</v>
      </c>
      <c r="R73" s="191">
        <v>4.1121802779833265E-3</v>
      </c>
      <c r="S73" s="190">
        <v>26.531999999999609</v>
      </c>
      <c r="T73" s="189" t="s">
        <v>483</v>
      </c>
      <c r="U73" s="189" t="s">
        <v>416</v>
      </c>
      <c r="V73" s="189"/>
      <c r="W73" s="196">
        <v>1</v>
      </c>
      <c r="X73" s="189" t="s">
        <v>282</v>
      </c>
    </row>
    <row r="74" spans="2:24">
      <c r="B74" s="531"/>
      <c r="C74" s="531"/>
      <c r="D74" s="200">
        <v>8</v>
      </c>
      <c r="E74" s="189" t="s">
        <v>522</v>
      </c>
      <c r="F74" s="190">
        <v>142.76599999999999</v>
      </c>
      <c r="G74" s="259">
        <v>130.70500000000001</v>
      </c>
      <c r="H74" s="259">
        <v>132.70500000000001</v>
      </c>
      <c r="I74" s="201">
        <f t="shared" si="15"/>
        <v>1.0153016334493707</v>
      </c>
      <c r="J74" s="189">
        <v>0</v>
      </c>
      <c r="K74" s="201">
        <f t="shared" si="16"/>
        <v>0</v>
      </c>
      <c r="L74" s="190">
        <v>75.14</v>
      </c>
      <c r="M74" s="201">
        <f t="shared" si="17"/>
        <v>1.0153016334493707</v>
      </c>
      <c r="N74" s="190">
        <v>150.28</v>
      </c>
      <c r="O74" s="189">
        <v>1.9</v>
      </c>
      <c r="P74" s="191">
        <v>1.4536551776902181E-2</v>
      </c>
      <c r="Q74" s="259">
        <v>0.10000000000000009</v>
      </c>
      <c r="R74" s="191">
        <v>7.6508167246853661E-4</v>
      </c>
      <c r="S74" s="190">
        <v>7.5140000000000065</v>
      </c>
      <c r="T74" s="189" t="s">
        <v>483</v>
      </c>
      <c r="U74" s="189" t="s">
        <v>416</v>
      </c>
      <c r="V74" s="189"/>
      <c r="W74" s="196">
        <v>1</v>
      </c>
      <c r="X74" s="189" t="s">
        <v>417</v>
      </c>
    </row>
    <row r="75" spans="2:24">
      <c r="B75" s="531"/>
      <c r="C75" s="531"/>
      <c r="D75" s="200">
        <v>9</v>
      </c>
      <c r="E75" s="189" t="s">
        <v>531</v>
      </c>
      <c r="F75" s="190">
        <v>142.596</v>
      </c>
      <c r="G75" s="259">
        <v>59.109000000000002</v>
      </c>
      <c r="H75" s="259">
        <v>60.408999999999999</v>
      </c>
      <c r="I75" s="201">
        <f t="shared" si="15"/>
        <v>1.0219932666768174</v>
      </c>
      <c r="J75" s="189">
        <v>0</v>
      </c>
      <c r="K75" s="201">
        <f t="shared" si="16"/>
        <v>0</v>
      </c>
      <c r="L75" s="190">
        <v>118.83</v>
      </c>
      <c r="M75" s="201">
        <f t="shared" si="17"/>
        <v>1.0219932666768174</v>
      </c>
      <c r="N75" s="190">
        <v>154.47899999999967</v>
      </c>
      <c r="O75" s="189">
        <v>1.2</v>
      </c>
      <c r="P75" s="191">
        <v>2.0301476932446834E-2</v>
      </c>
      <c r="Q75" s="259">
        <v>9.9999999999997202E-2</v>
      </c>
      <c r="R75" s="191">
        <v>1.6917897443705222E-3</v>
      </c>
      <c r="S75" s="190">
        <v>11.882999999999667</v>
      </c>
      <c r="T75" s="189" t="s">
        <v>483</v>
      </c>
      <c r="U75" s="189" t="s">
        <v>416</v>
      </c>
      <c r="V75" s="189"/>
      <c r="W75" s="196">
        <v>1</v>
      </c>
      <c r="X75" s="189" t="s">
        <v>296</v>
      </c>
    </row>
    <row r="76" spans="2:24">
      <c r="B76" s="531"/>
      <c r="C76" s="531"/>
      <c r="D76" s="200">
        <v>10</v>
      </c>
      <c r="E76" s="189" t="s">
        <v>511</v>
      </c>
      <c r="F76" s="190">
        <v>141.6</v>
      </c>
      <c r="G76" s="259">
        <v>48.444000000000003</v>
      </c>
      <c r="H76" s="259">
        <v>49.544000000000004</v>
      </c>
      <c r="I76" s="201">
        <f t="shared" si="15"/>
        <v>1.0227066303360581</v>
      </c>
      <c r="J76" s="189">
        <v>0</v>
      </c>
      <c r="K76" s="201">
        <f t="shared" si="16"/>
        <v>0</v>
      </c>
      <c r="L76" s="190">
        <v>177</v>
      </c>
      <c r="M76" s="201">
        <f t="shared" si="17"/>
        <v>1.0227066303360581</v>
      </c>
      <c r="N76" s="190">
        <v>194.70000000000024</v>
      </c>
      <c r="O76" s="189">
        <v>0.8</v>
      </c>
      <c r="P76" s="191">
        <v>1.6513912971678639E-2</v>
      </c>
      <c r="Q76" s="259">
        <v>0.30000000000000138</v>
      </c>
      <c r="R76" s="191">
        <v>6.1927173643795174E-3</v>
      </c>
      <c r="S76" s="190">
        <v>53.100000000000243</v>
      </c>
      <c r="T76" s="189" t="s">
        <v>494</v>
      </c>
      <c r="U76" s="189" t="s">
        <v>500</v>
      </c>
      <c r="V76" s="189"/>
      <c r="W76" s="196">
        <v>1</v>
      </c>
      <c r="X76" s="189" t="s">
        <v>304</v>
      </c>
    </row>
    <row r="77" spans="2:24">
      <c r="B77" s="533">
        <v>45877</v>
      </c>
      <c r="C77" s="531" t="s">
        <v>156</v>
      </c>
      <c r="D77" s="200">
        <v>1</v>
      </c>
      <c r="E77" s="189" t="s">
        <v>489</v>
      </c>
      <c r="F77" s="190">
        <v>222.63499999999999</v>
      </c>
      <c r="G77" s="259">
        <v>31.832000000000001</v>
      </c>
      <c r="H77" s="259">
        <v>33.1</v>
      </c>
      <c r="I77" s="201">
        <f t="shared" si="15"/>
        <v>1.0398341291781854</v>
      </c>
      <c r="J77" s="189">
        <v>0</v>
      </c>
      <c r="K77" s="201">
        <f t="shared" si="16"/>
        <v>0</v>
      </c>
      <c r="L77" s="190">
        <v>318.05</v>
      </c>
      <c r="M77" s="201">
        <f t="shared" si="17"/>
        <v>1.0398341291781854</v>
      </c>
      <c r="N77" s="190">
        <v>403.28740000000022</v>
      </c>
      <c r="O77" s="189">
        <v>0.7</v>
      </c>
      <c r="P77" s="191">
        <v>2.1990449861774314E-2</v>
      </c>
      <c r="Q77" s="259">
        <v>0.56800000000000073</v>
      </c>
      <c r="R77" s="191">
        <v>1.784367931641118E-2</v>
      </c>
      <c r="S77" s="190">
        <v>180.65240000000023</v>
      </c>
      <c r="T77" s="189" t="s">
        <v>486</v>
      </c>
      <c r="U77" s="189" t="s">
        <v>490</v>
      </c>
      <c r="V77" s="189"/>
      <c r="W77" s="196">
        <v>1</v>
      </c>
      <c r="X77" s="189" t="s">
        <v>303</v>
      </c>
    </row>
    <row r="78" spans="2:24">
      <c r="B78" s="531"/>
      <c r="C78" s="531"/>
      <c r="D78" s="200">
        <v>2</v>
      </c>
      <c r="E78" s="189" t="s">
        <v>429</v>
      </c>
      <c r="F78" s="190">
        <v>136.88999999999999</v>
      </c>
      <c r="G78" s="259">
        <v>207.136</v>
      </c>
      <c r="H78" s="259">
        <v>209.1</v>
      </c>
      <c r="I78" s="201">
        <f t="shared" si="15"/>
        <v>1.0094816931870849</v>
      </c>
      <c r="J78" s="189">
        <v>0</v>
      </c>
      <c r="K78" s="201">
        <f t="shared" si="16"/>
        <v>0</v>
      </c>
      <c r="L78" s="190">
        <v>136.88999999999999</v>
      </c>
      <c r="M78" s="201">
        <f t="shared" si="17"/>
        <v>1.0094816931870849</v>
      </c>
      <c r="N78" s="190">
        <v>268.85195999999979</v>
      </c>
      <c r="O78" s="189">
        <v>1</v>
      </c>
      <c r="P78" s="191">
        <v>4.8277460219372783E-3</v>
      </c>
      <c r="Q78" s="259">
        <v>0.96399999999999864</v>
      </c>
      <c r="R78" s="191">
        <v>4.6539471651475296E-3</v>
      </c>
      <c r="S78" s="190">
        <v>131.96195999999981</v>
      </c>
      <c r="T78" s="189" t="s">
        <v>486</v>
      </c>
      <c r="U78" s="189" t="s">
        <v>426</v>
      </c>
      <c r="V78" s="189"/>
      <c r="W78" s="196">
        <v>1</v>
      </c>
      <c r="X78" s="189" t="s">
        <v>417</v>
      </c>
    </row>
    <row r="79" spans="2:24">
      <c r="B79" s="531"/>
      <c r="C79" s="531"/>
      <c r="D79" s="200">
        <v>3</v>
      </c>
      <c r="E79" s="189" t="s">
        <v>532</v>
      </c>
      <c r="F79" s="190">
        <v>130.31400000000002</v>
      </c>
      <c r="G79" s="259">
        <v>29.891999999999999</v>
      </c>
      <c r="H79" s="259">
        <v>30.4</v>
      </c>
      <c r="I79" s="201">
        <f t="shared" si="15"/>
        <v>1.0169945135822294</v>
      </c>
      <c r="J79" s="189">
        <v>0</v>
      </c>
      <c r="K79" s="201">
        <f t="shared" si="16"/>
        <v>0</v>
      </c>
      <c r="L79" s="190">
        <v>651.57000000000005</v>
      </c>
      <c r="M79" s="201">
        <f t="shared" si="17"/>
        <v>1.0169945135822294</v>
      </c>
      <c r="N79" s="190">
        <v>330.99755999999945</v>
      </c>
      <c r="O79" s="189">
        <v>0.2</v>
      </c>
      <c r="P79" s="191">
        <v>6.6907533788304564E-3</v>
      </c>
      <c r="Q79" s="259">
        <v>0.30799999999999911</v>
      </c>
      <c r="R79" s="191">
        <v>1.0303760203398873E-2</v>
      </c>
      <c r="S79" s="190">
        <v>200.68355999999943</v>
      </c>
      <c r="T79" s="189" t="s">
        <v>483</v>
      </c>
      <c r="U79" s="189" t="s">
        <v>416</v>
      </c>
      <c r="V79" s="189"/>
      <c r="W79" s="196">
        <v>1</v>
      </c>
      <c r="X79" s="189" t="s">
        <v>533</v>
      </c>
    </row>
    <row r="80" spans="2:24">
      <c r="B80" s="531"/>
      <c r="C80" s="531"/>
      <c r="D80" s="200">
        <v>4</v>
      </c>
      <c r="E80" s="189" t="s">
        <v>534</v>
      </c>
      <c r="F80" s="190">
        <v>126.55499999999999</v>
      </c>
      <c r="G80" s="259">
        <v>38.03</v>
      </c>
      <c r="H80" s="259">
        <v>39.6</v>
      </c>
      <c r="I80" s="201">
        <f t="shared" si="15"/>
        <v>1.0412831974756771</v>
      </c>
      <c r="J80" s="189">
        <v>0</v>
      </c>
      <c r="K80" s="201">
        <f t="shared" si="16"/>
        <v>0</v>
      </c>
      <c r="L80" s="190">
        <v>97.35</v>
      </c>
      <c r="M80" s="201">
        <f t="shared" si="17"/>
        <v>1.0412831974756771</v>
      </c>
      <c r="N80" s="190">
        <v>152.83950000000002</v>
      </c>
      <c r="O80" s="189">
        <v>1.3</v>
      </c>
      <c r="P80" s="191">
        <v>3.418353931107021E-2</v>
      </c>
      <c r="Q80" s="259">
        <v>0.27000000000000024</v>
      </c>
      <c r="R80" s="191">
        <v>7.099658164606895E-3</v>
      </c>
      <c r="S80" s="190">
        <v>26.284500000000023</v>
      </c>
      <c r="T80" s="189" t="s">
        <v>494</v>
      </c>
      <c r="U80" s="189" t="s">
        <v>500</v>
      </c>
      <c r="V80" s="189"/>
      <c r="W80" s="196">
        <v>1</v>
      </c>
      <c r="X80" s="189" t="s">
        <v>417</v>
      </c>
    </row>
    <row r="81" spans="2:24">
      <c r="B81" s="531"/>
      <c r="C81" s="531"/>
      <c r="D81" s="200">
        <v>5</v>
      </c>
      <c r="E81" s="189" t="s">
        <v>422</v>
      </c>
      <c r="F81" s="190">
        <v>125.08199999999999</v>
      </c>
      <c r="G81" s="259">
        <v>82.495000000000005</v>
      </c>
      <c r="H81" s="259">
        <v>83.3</v>
      </c>
      <c r="I81" s="201">
        <f t="shared" si="15"/>
        <v>1.009758167161646</v>
      </c>
      <c r="J81" s="189">
        <v>0</v>
      </c>
      <c r="K81" s="201">
        <f t="shared" si="16"/>
        <v>0</v>
      </c>
      <c r="L81" s="190">
        <v>208.47</v>
      </c>
      <c r="M81" s="201">
        <f t="shared" si="17"/>
        <v>1.009758167161646</v>
      </c>
      <c r="N81" s="190">
        <v>167.81834999999845</v>
      </c>
      <c r="O81" s="189">
        <v>0.6</v>
      </c>
      <c r="P81" s="191">
        <v>7.2731680707921681E-3</v>
      </c>
      <c r="Q81" s="259">
        <v>0.20499999999999263</v>
      </c>
      <c r="R81" s="191">
        <v>2.4849990908539015E-3</v>
      </c>
      <c r="S81" s="190">
        <v>42.736349999998467</v>
      </c>
      <c r="T81" s="189" t="s">
        <v>483</v>
      </c>
      <c r="U81" s="189" t="s">
        <v>416</v>
      </c>
      <c r="V81" s="189"/>
      <c r="W81" s="196">
        <v>1</v>
      </c>
      <c r="X81" s="189" t="s">
        <v>305</v>
      </c>
    </row>
    <row r="82" spans="2:24">
      <c r="B82" s="531"/>
      <c r="C82" s="531"/>
      <c r="D82" s="200">
        <v>6</v>
      </c>
      <c r="E82" s="189" t="s">
        <v>485</v>
      </c>
      <c r="F82" s="190">
        <v>124.48499999999999</v>
      </c>
      <c r="G82" s="259">
        <v>16.981999999999999</v>
      </c>
      <c r="H82" s="259">
        <v>17.600000000000001</v>
      </c>
      <c r="I82" s="201">
        <f t="shared" si="15"/>
        <v>1.0363914733246968</v>
      </c>
      <c r="J82" s="189">
        <v>0</v>
      </c>
      <c r="K82" s="201">
        <f t="shared" si="16"/>
        <v>0</v>
      </c>
      <c r="L82" s="190">
        <v>414.95</v>
      </c>
      <c r="M82" s="201">
        <f t="shared" si="17"/>
        <v>1.0363914733246968</v>
      </c>
      <c r="N82" s="190">
        <v>256.43910000000085</v>
      </c>
      <c r="O82" s="189">
        <v>0.3</v>
      </c>
      <c r="P82" s="191">
        <v>1.7665763749852785E-2</v>
      </c>
      <c r="Q82" s="259">
        <v>0.31800000000000211</v>
      </c>
      <c r="R82" s="191">
        <v>1.8725709574844079E-2</v>
      </c>
      <c r="S82" s="190">
        <v>131.95410000000086</v>
      </c>
      <c r="T82" s="189" t="s">
        <v>486</v>
      </c>
      <c r="U82" s="189" t="s">
        <v>426</v>
      </c>
      <c r="V82" s="189"/>
      <c r="W82" s="196">
        <v>1</v>
      </c>
      <c r="X82" s="189" t="s">
        <v>304</v>
      </c>
    </row>
    <row r="83" spans="2:24">
      <c r="B83" s="531"/>
      <c r="C83" s="531"/>
      <c r="D83" s="200">
        <v>7</v>
      </c>
      <c r="E83" s="189" t="s">
        <v>535</v>
      </c>
      <c r="F83" s="190">
        <v>124.10799999999999</v>
      </c>
      <c r="G83" s="259">
        <v>293.29000000000002</v>
      </c>
      <c r="H83" s="259">
        <v>295.99</v>
      </c>
      <c r="I83" s="201">
        <f t="shared" si="15"/>
        <v>1.0092059054178457</v>
      </c>
      <c r="J83" s="189">
        <v>0</v>
      </c>
      <c r="K83" s="201">
        <f t="shared" si="16"/>
        <v>0</v>
      </c>
      <c r="L83" s="190">
        <v>53.96</v>
      </c>
      <c r="M83" s="201">
        <f t="shared" si="17"/>
        <v>1.0092059054178457</v>
      </c>
      <c r="N83" s="190">
        <v>145.69199999999938</v>
      </c>
      <c r="O83" s="189">
        <v>2.2999999999999998</v>
      </c>
      <c r="P83" s="191">
        <v>7.8420675781649546E-3</v>
      </c>
      <c r="Q83" s="259">
        <v>0.39999999999998881</v>
      </c>
      <c r="R83" s="191">
        <v>1.3638378396808237E-3</v>
      </c>
      <c r="S83" s="190">
        <v>21.583999999999396</v>
      </c>
      <c r="T83" s="189" t="s">
        <v>486</v>
      </c>
      <c r="U83" s="189" t="s">
        <v>490</v>
      </c>
      <c r="V83" s="189"/>
      <c r="W83" s="196">
        <v>1</v>
      </c>
      <c r="X83" s="189" t="s">
        <v>417</v>
      </c>
    </row>
    <row r="84" spans="2:24">
      <c r="B84" s="531"/>
      <c r="C84" s="531"/>
      <c r="D84" s="200">
        <v>8</v>
      </c>
      <c r="E84" s="189" t="s">
        <v>502</v>
      </c>
      <c r="F84" s="190">
        <v>123.14100000000001</v>
      </c>
      <c r="G84" s="259">
        <v>10.856999999999999</v>
      </c>
      <c r="H84" s="259">
        <v>11.5</v>
      </c>
      <c r="I84" s="201">
        <f t="shared" si="15"/>
        <v>1.0592244634797827</v>
      </c>
      <c r="J84" s="189">
        <v>0</v>
      </c>
      <c r="K84" s="201">
        <f t="shared" si="16"/>
        <v>0</v>
      </c>
      <c r="L84" s="190">
        <v>410.47</v>
      </c>
      <c r="M84" s="201">
        <f t="shared" si="17"/>
        <v>1.0592244634797827</v>
      </c>
      <c r="N84" s="190">
        <v>263.93221000000028</v>
      </c>
      <c r="O84" s="189">
        <v>0.3</v>
      </c>
      <c r="P84" s="191">
        <v>2.7631942525559547E-2</v>
      </c>
      <c r="Q84" s="259">
        <v>0.34300000000000069</v>
      </c>
      <c r="R84" s="191">
        <v>3.1592520954223151E-2</v>
      </c>
      <c r="S84" s="190">
        <v>140.79121000000029</v>
      </c>
      <c r="T84" s="189" t="s">
        <v>494</v>
      </c>
      <c r="U84" s="189" t="s">
        <v>500</v>
      </c>
      <c r="V84" s="189"/>
      <c r="W84" s="196">
        <v>1</v>
      </c>
      <c r="X84" s="189" t="s">
        <v>230</v>
      </c>
    </row>
    <row r="85" spans="2:24">
      <c r="B85" s="531"/>
      <c r="C85" s="531"/>
      <c r="D85" s="200">
        <v>9</v>
      </c>
      <c r="E85" s="189" t="s">
        <v>510</v>
      </c>
      <c r="F85" s="190">
        <v>118.94000000000001</v>
      </c>
      <c r="G85" s="259">
        <v>31.524000000000001</v>
      </c>
      <c r="H85" s="259">
        <v>32.299999999999997</v>
      </c>
      <c r="I85" s="201">
        <f t="shared" si="15"/>
        <v>1.0246161654612358</v>
      </c>
      <c r="J85" s="189">
        <v>0</v>
      </c>
      <c r="K85" s="201">
        <f t="shared" si="16"/>
        <v>0</v>
      </c>
      <c r="L85" s="190">
        <v>297.35000000000002</v>
      </c>
      <c r="M85" s="201">
        <f t="shared" si="17"/>
        <v>1.0246161654612358</v>
      </c>
      <c r="N85" s="190">
        <v>230.74359999999891</v>
      </c>
      <c r="O85" s="189">
        <v>0.4</v>
      </c>
      <c r="P85" s="191">
        <v>1.2688745083111281E-2</v>
      </c>
      <c r="Q85" s="259">
        <v>0.37599999999999623</v>
      </c>
      <c r="R85" s="191">
        <v>1.1927420378124484E-2</v>
      </c>
      <c r="S85" s="190">
        <v>111.80359999999888</v>
      </c>
      <c r="T85" s="189" t="s">
        <v>483</v>
      </c>
      <c r="U85" s="189" t="s">
        <v>416</v>
      </c>
      <c r="V85" s="189"/>
      <c r="W85" s="196">
        <v>1</v>
      </c>
      <c r="X85" s="189" t="s">
        <v>271</v>
      </c>
    </row>
    <row r="86" spans="2:24">
      <c r="B86" s="531"/>
      <c r="C86" s="531"/>
      <c r="D86" s="200">
        <v>10</v>
      </c>
      <c r="E86" s="189" t="s">
        <v>536</v>
      </c>
      <c r="F86" s="190">
        <v>118.31399999999999</v>
      </c>
      <c r="G86" s="259">
        <v>6.72</v>
      </c>
      <c r="H86" s="259">
        <v>7.12</v>
      </c>
      <c r="I86" s="201">
        <f t="shared" si="15"/>
        <v>1.0595238095238095</v>
      </c>
      <c r="J86" s="189">
        <v>0</v>
      </c>
      <c r="K86" s="201">
        <f t="shared" si="16"/>
        <v>0</v>
      </c>
      <c r="L86" s="190">
        <v>394.38</v>
      </c>
      <c r="M86" s="201">
        <f t="shared" si="17"/>
        <v>1.0595238095238095</v>
      </c>
      <c r="N86" s="190">
        <v>157.75200000000015</v>
      </c>
      <c r="O86" s="189">
        <v>0.3</v>
      </c>
      <c r="P86" s="191">
        <v>4.4642857142857144E-2</v>
      </c>
      <c r="Q86" s="259">
        <v>0.10000000000000037</v>
      </c>
      <c r="R86" s="191">
        <v>1.4880952380952436E-2</v>
      </c>
      <c r="S86" s="190">
        <v>39.438000000000144</v>
      </c>
      <c r="T86" s="189" t="s">
        <v>494</v>
      </c>
      <c r="U86" s="189" t="s">
        <v>495</v>
      </c>
      <c r="V86" s="189"/>
      <c r="W86" s="196">
        <v>1</v>
      </c>
      <c r="X86" s="189" t="s">
        <v>325</v>
      </c>
    </row>
    <row r="87" spans="2:24">
      <c r="B87" s="533">
        <v>45878</v>
      </c>
      <c r="C87" s="531" t="s">
        <v>157</v>
      </c>
      <c r="D87" s="200">
        <v>1</v>
      </c>
      <c r="E87" s="189" t="s">
        <v>537</v>
      </c>
      <c r="F87" s="190">
        <v>290</v>
      </c>
      <c r="G87" s="259">
        <v>2.0979000000000001</v>
      </c>
      <c r="H87" s="259">
        <v>2.2000000000000002</v>
      </c>
      <c r="I87" s="201">
        <f t="shared" si="15"/>
        <v>1.048667715334382</v>
      </c>
      <c r="J87" s="189">
        <v>0</v>
      </c>
      <c r="K87" s="201">
        <f t="shared" si="16"/>
        <v>0</v>
      </c>
      <c r="L87" s="190">
        <v>2900</v>
      </c>
      <c r="M87" s="201">
        <f t="shared" si="17"/>
        <v>1.048667715334382</v>
      </c>
      <c r="N87" s="190">
        <v>296.09000000000026</v>
      </c>
      <c r="O87" s="189">
        <v>0.1</v>
      </c>
      <c r="P87" s="191">
        <v>4.7666714333381002E-2</v>
      </c>
      <c r="Q87" s="259">
        <v>2.100000000000074E-3</v>
      </c>
      <c r="R87" s="191">
        <v>1.0010010010010363E-3</v>
      </c>
      <c r="S87" s="190">
        <v>6.0900000000002148</v>
      </c>
      <c r="T87" s="189" t="s">
        <v>486</v>
      </c>
      <c r="U87" s="189" t="s">
        <v>426</v>
      </c>
      <c r="V87" s="189"/>
      <c r="W87" s="196">
        <v>1</v>
      </c>
      <c r="X87" s="189" t="s">
        <v>533</v>
      </c>
    </row>
    <row r="88" spans="2:24">
      <c r="B88" s="531"/>
      <c r="C88" s="531"/>
      <c r="D88" s="200">
        <v>2</v>
      </c>
      <c r="E88" s="189" t="s">
        <v>489</v>
      </c>
      <c r="F88" s="190">
        <v>222.63500000000002</v>
      </c>
      <c r="G88" s="259">
        <v>31.327999999999999</v>
      </c>
      <c r="H88" s="259">
        <v>32.5</v>
      </c>
      <c r="I88" s="201">
        <f t="shared" si="15"/>
        <v>1.0374106230847804</v>
      </c>
      <c r="J88" s="189">
        <v>0</v>
      </c>
      <c r="K88" s="201">
        <f t="shared" si="16"/>
        <v>0</v>
      </c>
      <c r="L88" s="190">
        <v>318.05</v>
      </c>
      <c r="M88" s="201">
        <f t="shared" si="17"/>
        <v>1.0374106230847804</v>
      </c>
      <c r="N88" s="190">
        <v>372.75460000000021</v>
      </c>
      <c r="O88" s="189">
        <v>0.70000000000000007</v>
      </c>
      <c r="P88" s="191">
        <v>2.2344228804902964E-2</v>
      </c>
      <c r="Q88" s="259">
        <v>0.47200000000000053</v>
      </c>
      <c r="R88" s="191">
        <v>1.5066394279877443E-2</v>
      </c>
      <c r="S88" s="190">
        <v>150.11960000000016</v>
      </c>
      <c r="T88" s="189" t="s">
        <v>486</v>
      </c>
      <c r="U88" s="189" t="s">
        <v>426</v>
      </c>
      <c r="V88" s="189"/>
      <c r="W88" s="196">
        <v>1</v>
      </c>
      <c r="X88" s="189" t="s">
        <v>303</v>
      </c>
    </row>
    <row r="89" spans="2:24">
      <c r="B89" s="531"/>
      <c r="C89" s="531"/>
      <c r="D89" s="200">
        <v>3</v>
      </c>
      <c r="E89" s="189" t="s">
        <v>507</v>
      </c>
      <c r="F89" s="190">
        <v>168.13200000000001</v>
      </c>
      <c r="G89" s="259">
        <v>72.59</v>
      </c>
      <c r="H89" s="259">
        <v>73.3</v>
      </c>
      <c r="I89" s="201">
        <f t="shared" si="15"/>
        <v>1.0097809615649538</v>
      </c>
      <c r="J89" s="189">
        <v>0</v>
      </c>
      <c r="K89" s="201">
        <f t="shared" si="16"/>
        <v>0</v>
      </c>
      <c r="L89" s="190">
        <v>420.33</v>
      </c>
      <c r="M89" s="201">
        <f t="shared" si="17"/>
        <v>1.0097809615649538</v>
      </c>
      <c r="N89" s="190">
        <v>298.43429999999734</v>
      </c>
      <c r="O89" s="189">
        <v>0.4</v>
      </c>
      <c r="P89" s="191">
        <v>5.5104008816641414E-3</v>
      </c>
      <c r="Q89" s="259">
        <v>0.30999999999999373</v>
      </c>
      <c r="R89" s="191">
        <v>4.2705606832896224E-3</v>
      </c>
      <c r="S89" s="190">
        <v>130.30229999999736</v>
      </c>
      <c r="T89" s="189" t="s">
        <v>483</v>
      </c>
      <c r="U89" s="189" t="s">
        <v>416</v>
      </c>
      <c r="V89" s="189"/>
      <c r="W89" s="196">
        <v>1</v>
      </c>
      <c r="X89" s="189" t="s">
        <v>297</v>
      </c>
    </row>
    <row r="90" spans="2:24">
      <c r="B90" s="531"/>
      <c r="C90" s="531"/>
      <c r="D90" s="200">
        <v>4</v>
      </c>
      <c r="E90" s="189" t="s">
        <v>485</v>
      </c>
      <c r="F90" s="190">
        <v>165.98000000000002</v>
      </c>
      <c r="G90" s="259">
        <v>16.632000000000001</v>
      </c>
      <c r="H90" s="259">
        <v>17.3</v>
      </c>
      <c r="I90" s="201">
        <f t="shared" si="15"/>
        <v>1.0401635401635401</v>
      </c>
      <c r="J90" s="189">
        <v>0</v>
      </c>
      <c r="K90" s="201">
        <f t="shared" si="16"/>
        <v>0</v>
      </c>
      <c r="L90" s="190">
        <v>414.95</v>
      </c>
      <c r="M90" s="201">
        <f t="shared" si="17"/>
        <v>1.0401635401635401</v>
      </c>
      <c r="N90" s="190">
        <v>277.18659999999966</v>
      </c>
      <c r="O90" s="189">
        <v>0.4</v>
      </c>
      <c r="P90" s="191">
        <v>2.4050024050024051E-2</v>
      </c>
      <c r="Q90" s="259">
        <v>0.26799999999999924</v>
      </c>
      <c r="R90" s="191">
        <v>1.6113516113516066E-2</v>
      </c>
      <c r="S90" s="190">
        <v>111.20659999999968</v>
      </c>
      <c r="T90" s="189" t="s">
        <v>486</v>
      </c>
      <c r="U90" s="189" t="s">
        <v>426</v>
      </c>
      <c r="V90" s="189"/>
      <c r="W90" s="196">
        <v>1</v>
      </c>
      <c r="X90" s="189" t="s">
        <v>304</v>
      </c>
    </row>
    <row r="91" spans="2:24">
      <c r="B91" s="531"/>
      <c r="C91" s="531"/>
      <c r="D91" s="200">
        <v>5</v>
      </c>
      <c r="E91" s="189" t="s">
        <v>521</v>
      </c>
      <c r="F91" s="190">
        <v>157.71899999999999</v>
      </c>
      <c r="G91" s="259">
        <v>38.328000000000003</v>
      </c>
      <c r="H91" s="259">
        <v>39</v>
      </c>
      <c r="I91" s="201">
        <f t="shared" si="15"/>
        <v>1.0175328741390106</v>
      </c>
      <c r="J91" s="189">
        <v>0</v>
      </c>
      <c r="K91" s="201">
        <f t="shared" si="16"/>
        <v>0</v>
      </c>
      <c r="L91" s="190">
        <v>525.73</v>
      </c>
      <c r="M91" s="201">
        <f t="shared" si="17"/>
        <v>1.0175328741390106</v>
      </c>
      <c r="N91" s="190">
        <v>353.29055999999844</v>
      </c>
      <c r="O91" s="189">
        <v>0.3</v>
      </c>
      <c r="P91" s="191">
        <v>7.8271759549154649E-3</v>
      </c>
      <c r="Q91" s="259">
        <v>0.37199999999999706</v>
      </c>
      <c r="R91" s="191">
        <v>9.7056981840951007E-3</v>
      </c>
      <c r="S91" s="190">
        <v>195.57155999999847</v>
      </c>
      <c r="T91" s="189" t="s">
        <v>486</v>
      </c>
      <c r="U91" s="189" t="s">
        <v>426</v>
      </c>
      <c r="V91" s="189"/>
      <c r="W91" s="196">
        <v>1</v>
      </c>
      <c r="X91" s="189" t="s">
        <v>285</v>
      </c>
    </row>
    <row r="92" spans="2:24">
      <c r="B92" s="531"/>
      <c r="C92" s="531"/>
      <c r="D92" s="200">
        <v>6</v>
      </c>
      <c r="E92" s="189" t="s">
        <v>427</v>
      </c>
      <c r="F92" s="190">
        <v>151.63800000000001</v>
      </c>
      <c r="G92" s="259">
        <v>14.568</v>
      </c>
      <c r="H92" s="259">
        <v>15</v>
      </c>
      <c r="I92" s="201">
        <f t="shared" si="15"/>
        <v>1.029654036243822</v>
      </c>
      <c r="J92" s="189">
        <v>0</v>
      </c>
      <c r="K92" s="201">
        <f t="shared" si="16"/>
        <v>0</v>
      </c>
      <c r="L92" s="190">
        <v>758.19</v>
      </c>
      <c r="M92" s="201">
        <f t="shared" si="17"/>
        <v>1.029654036243822</v>
      </c>
      <c r="N92" s="190">
        <v>327.53808000000032</v>
      </c>
      <c r="O92" s="189">
        <v>0.2</v>
      </c>
      <c r="P92" s="191">
        <v>1.3728720483250962E-2</v>
      </c>
      <c r="Q92" s="259">
        <v>0.23200000000000037</v>
      </c>
      <c r="R92" s="191">
        <v>1.592531576057114E-2</v>
      </c>
      <c r="S92" s="190">
        <v>175.90008000000029</v>
      </c>
      <c r="T92" s="189" t="s">
        <v>486</v>
      </c>
      <c r="U92" s="189" t="s">
        <v>426</v>
      </c>
      <c r="V92" s="189"/>
      <c r="W92" s="196">
        <v>1</v>
      </c>
      <c r="X92" s="189" t="s">
        <v>323</v>
      </c>
    </row>
    <row r="93" spans="2:24">
      <c r="B93" s="531"/>
      <c r="C93" s="531"/>
      <c r="D93" s="200">
        <v>7</v>
      </c>
      <c r="E93" s="189" t="s">
        <v>510</v>
      </c>
      <c r="F93" s="190">
        <v>148.67500000000001</v>
      </c>
      <c r="G93" s="259">
        <v>36.777999999999999</v>
      </c>
      <c r="H93" s="259">
        <v>37.5</v>
      </c>
      <c r="I93" s="201">
        <f t="shared" si="15"/>
        <v>1.0196313013214422</v>
      </c>
      <c r="J93" s="189">
        <v>0</v>
      </c>
      <c r="K93" s="201">
        <f t="shared" si="16"/>
        <v>0</v>
      </c>
      <c r="L93" s="190">
        <v>297.35000000000002</v>
      </c>
      <c r="M93" s="201">
        <f t="shared" si="17"/>
        <v>1.0196313013214422</v>
      </c>
      <c r="N93" s="190">
        <v>214.6867000000004</v>
      </c>
      <c r="O93" s="189">
        <v>0.5</v>
      </c>
      <c r="P93" s="191">
        <v>1.3595084017619229E-2</v>
      </c>
      <c r="Q93" s="259">
        <v>0.22200000000000131</v>
      </c>
      <c r="R93" s="191">
        <v>6.0362173038229737E-3</v>
      </c>
      <c r="S93" s="190">
        <v>66.011700000000388</v>
      </c>
      <c r="T93" s="189" t="s">
        <v>486</v>
      </c>
      <c r="U93" s="189" t="s">
        <v>426</v>
      </c>
      <c r="V93" s="189"/>
      <c r="W93" s="196">
        <v>1</v>
      </c>
      <c r="X93" s="189" t="s">
        <v>271</v>
      </c>
    </row>
    <row r="94" spans="2:24">
      <c r="B94" s="531"/>
      <c r="C94" s="531"/>
      <c r="D94" s="200">
        <v>8</v>
      </c>
      <c r="E94" s="189" t="s">
        <v>538</v>
      </c>
      <c r="F94" s="190">
        <v>145.05199999999999</v>
      </c>
      <c r="G94" s="259">
        <v>43.167999999999999</v>
      </c>
      <c r="H94" s="259">
        <v>43.868000000000002</v>
      </c>
      <c r="I94" s="201">
        <f t="shared" si="15"/>
        <v>1.0162157153446998</v>
      </c>
      <c r="J94" s="189">
        <v>0</v>
      </c>
      <c r="K94" s="201">
        <f t="shared" si="16"/>
        <v>0</v>
      </c>
      <c r="L94" s="190">
        <v>362.63</v>
      </c>
      <c r="M94" s="201">
        <f t="shared" si="17"/>
        <v>1.0162157153446998</v>
      </c>
      <c r="N94" s="190">
        <v>253.84100000000103</v>
      </c>
      <c r="O94" s="189">
        <v>0.4</v>
      </c>
      <c r="P94" s="191">
        <v>9.2661230541141587E-3</v>
      </c>
      <c r="Q94" s="259">
        <v>0.30000000000000282</v>
      </c>
      <c r="R94" s="191">
        <v>6.9495922905856841E-3</v>
      </c>
      <c r="S94" s="190">
        <v>108.78900000000102</v>
      </c>
      <c r="T94" s="189" t="s">
        <v>483</v>
      </c>
      <c r="U94" s="189" t="s">
        <v>416</v>
      </c>
      <c r="V94" s="189"/>
      <c r="W94" s="196">
        <v>1</v>
      </c>
      <c r="X94" s="189" t="s">
        <v>539</v>
      </c>
    </row>
    <row r="95" spans="2:24">
      <c r="B95" s="531"/>
      <c r="C95" s="531"/>
      <c r="D95" s="200">
        <v>9</v>
      </c>
      <c r="E95" s="189" t="s">
        <v>540</v>
      </c>
      <c r="F95" s="190">
        <v>141.74800000000002</v>
      </c>
      <c r="G95" s="259">
        <v>18.524000000000001</v>
      </c>
      <c r="H95" s="259">
        <v>19.100000000000001</v>
      </c>
      <c r="I95" s="201">
        <f t="shared" si="15"/>
        <v>1.0310947959404018</v>
      </c>
      <c r="J95" s="189">
        <v>0</v>
      </c>
      <c r="K95" s="201">
        <f t="shared" si="16"/>
        <v>0</v>
      </c>
      <c r="L95" s="190">
        <v>354.37</v>
      </c>
      <c r="M95" s="201">
        <f t="shared" si="17"/>
        <v>1.0310947959404018</v>
      </c>
      <c r="N95" s="190">
        <v>204.11712000000017</v>
      </c>
      <c r="O95" s="189">
        <v>0.4</v>
      </c>
      <c r="P95" s="191">
        <v>2.1593608291945583E-2</v>
      </c>
      <c r="Q95" s="259">
        <v>0.17600000000000049</v>
      </c>
      <c r="R95" s="191">
        <v>9.5011876484560834E-3</v>
      </c>
      <c r="S95" s="190">
        <v>62.369120000000173</v>
      </c>
      <c r="T95" s="189" t="s">
        <v>483</v>
      </c>
      <c r="U95" s="189" t="s">
        <v>416</v>
      </c>
      <c r="V95" s="189"/>
      <c r="W95" s="196">
        <v>1</v>
      </c>
      <c r="X95" s="189" t="s">
        <v>267</v>
      </c>
    </row>
    <row r="96" spans="2:24">
      <c r="B96" s="531"/>
      <c r="C96" s="531"/>
      <c r="D96" s="200">
        <v>10</v>
      </c>
      <c r="E96" s="189" t="s">
        <v>511</v>
      </c>
      <c r="F96" s="190">
        <v>141.6</v>
      </c>
      <c r="G96" s="259">
        <v>39.204000000000001</v>
      </c>
      <c r="H96" s="259">
        <v>40.704000000000001</v>
      </c>
      <c r="I96" s="201">
        <f t="shared" si="15"/>
        <v>1.0382614018977656</v>
      </c>
      <c r="J96" s="189">
        <v>0</v>
      </c>
      <c r="K96" s="201">
        <f t="shared" si="16"/>
        <v>0</v>
      </c>
      <c r="L96" s="190">
        <v>177</v>
      </c>
      <c r="M96" s="201">
        <f t="shared" si="17"/>
        <v>1.0382614018977656</v>
      </c>
      <c r="N96" s="190">
        <v>265.5</v>
      </c>
      <c r="O96" s="189">
        <v>0.8</v>
      </c>
      <c r="P96" s="191">
        <v>2.0406081012141621E-2</v>
      </c>
      <c r="Q96" s="259">
        <v>0.7</v>
      </c>
      <c r="R96" s="191">
        <v>1.7855320885623915E-2</v>
      </c>
      <c r="S96" s="190">
        <v>123.89999999999999</v>
      </c>
      <c r="T96" s="189" t="s">
        <v>483</v>
      </c>
      <c r="U96" s="189" t="s">
        <v>416</v>
      </c>
      <c r="V96" s="189"/>
      <c r="W96" s="196">
        <v>1</v>
      </c>
      <c r="X96" s="189" t="s">
        <v>304</v>
      </c>
    </row>
    <row r="97" spans="2:24">
      <c r="B97" s="533">
        <v>45879</v>
      </c>
      <c r="C97" s="531" t="s">
        <v>152</v>
      </c>
      <c r="D97" s="200">
        <v>1</v>
      </c>
      <c r="E97" s="189" t="s">
        <v>489</v>
      </c>
      <c r="F97" s="190">
        <v>190.83</v>
      </c>
      <c r="G97" s="259">
        <v>43.088000000000001</v>
      </c>
      <c r="H97" s="259">
        <v>43.887999999999998</v>
      </c>
      <c r="I97" s="201">
        <f t="shared" si="15"/>
        <v>1.0185666542888971</v>
      </c>
      <c r="J97" s="189">
        <v>0</v>
      </c>
      <c r="K97" s="201">
        <f t="shared" si="16"/>
        <v>0</v>
      </c>
      <c r="L97" s="190">
        <v>318.05</v>
      </c>
      <c r="M97" s="201">
        <f t="shared" si="17"/>
        <v>1.0185666542888971</v>
      </c>
      <c r="N97" s="190">
        <v>254.43999999999912</v>
      </c>
      <c r="O97" s="189">
        <v>0.6</v>
      </c>
      <c r="P97" s="191">
        <v>1.3924990716672855E-2</v>
      </c>
      <c r="Q97" s="259">
        <v>0.19999999999999718</v>
      </c>
      <c r="R97" s="191">
        <v>4.6416635722242193E-3</v>
      </c>
      <c r="S97" s="190">
        <v>63.609999999999104</v>
      </c>
      <c r="T97" s="189" t="s">
        <v>486</v>
      </c>
      <c r="U97" s="189" t="s">
        <v>426</v>
      </c>
      <c r="V97" s="189"/>
      <c r="W97" s="196">
        <v>1</v>
      </c>
      <c r="X97" s="189" t="s">
        <v>303</v>
      </c>
    </row>
    <row r="98" spans="2:24">
      <c r="B98" s="531"/>
      <c r="C98" s="531"/>
      <c r="D98" s="200">
        <v>2</v>
      </c>
      <c r="E98" s="189" t="s">
        <v>504</v>
      </c>
      <c r="F98" s="190">
        <v>186.072</v>
      </c>
      <c r="G98" s="259">
        <v>10.505000000000001</v>
      </c>
      <c r="H98" s="259">
        <v>11</v>
      </c>
      <c r="I98" s="201">
        <f t="shared" si="15"/>
        <v>1.0471204188481675</v>
      </c>
      <c r="J98" s="189">
        <v>0</v>
      </c>
      <c r="K98" s="201">
        <f t="shared" si="16"/>
        <v>0</v>
      </c>
      <c r="L98" s="190">
        <v>930.36</v>
      </c>
      <c r="M98" s="201">
        <f t="shared" si="17"/>
        <v>1.0471204188481675</v>
      </c>
      <c r="N98" s="190">
        <v>460.52819999999929</v>
      </c>
      <c r="O98" s="189">
        <v>0.2</v>
      </c>
      <c r="P98" s="191">
        <v>1.9038553069966681E-2</v>
      </c>
      <c r="Q98" s="259">
        <v>0.29499999999999921</v>
      </c>
      <c r="R98" s="191">
        <v>2.8081865778200779E-2</v>
      </c>
      <c r="S98" s="190">
        <v>274.45619999999928</v>
      </c>
      <c r="T98" s="189" t="s">
        <v>486</v>
      </c>
      <c r="U98" s="189" t="s">
        <v>426</v>
      </c>
      <c r="V98" s="189"/>
      <c r="W98" s="196">
        <v>1</v>
      </c>
      <c r="X98" s="189" t="s">
        <v>271</v>
      </c>
    </row>
    <row r="99" spans="2:24">
      <c r="B99" s="531"/>
      <c r="C99" s="531"/>
      <c r="D99" s="200">
        <v>3</v>
      </c>
      <c r="E99" s="189" t="s">
        <v>540</v>
      </c>
      <c r="F99" s="190">
        <v>177.185</v>
      </c>
      <c r="G99" s="259">
        <v>19.701000000000001</v>
      </c>
      <c r="H99" s="259">
        <v>20.501000000000001</v>
      </c>
      <c r="I99" s="201">
        <f t="shared" si="15"/>
        <v>1.0406070757829553</v>
      </c>
      <c r="J99" s="189">
        <v>0</v>
      </c>
      <c r="K99" s="201">
        <f t="shared" si="16"/>
        <v>0</v>
      </c>
      <c r="L99" s="190">
        <v>354.37</v>
      </c>
      <c r="M99" s="201">
        <f t="shared" si="17"/>
        <v>1.0406070757829553</v>
      </c>
      <c r="N99" s="190">
        <v>283.49600000000027</v>
      </c>
      <c r="O99" s="189">
        <v>0.5</v>
      </c>
      <c r="P99" s="191">
        <v>2.5379422364346985E-2</v>
      </c>
      <c r="Q99" s="259">
        <v>0.30000000000000071</v>
      </c>
      <c r="R99" s="191">
        <v>1.5227653418608229E-2</v>
      </c>
      <c r="S99" s="190">
        <v>106.31100000000025</v>
      </c>
      <c r="T99" s="189" t="s">
        <v>483</v>
      </c>
      <c r="U99" s="189" t="s">
        <v>416</v>
      </c>
      <c r="V99" s="189"/>
      <c r="W99" s="196">
        <v>1</v>
      </c>
      <c r="X99" s="189" t="s">
        <v>267</v>
      </c>
    </row>
    <row r="100" spans="2:24">
      <c r="B100" s="531"/>
      <c r="C100" s="531"/>
      <c r="D100" s="200">
        <v>4</v>
      </c>
      <c r="E100" s="189" t="s">
        <v>434</v>
      </c>
      <c r="F100" s="190">
        <v>165.27</v>
      </c>
      <c r="G100" s="259">
        <v>68.138000000000005</v>
      </c>
      <c r="H100" s="259">
        <v>69.038000000000011</v>
      </c>
      <c r="I100" s="201">
        <f t="shared" si="15"/>
        <v>1.0132084886553758</v>
      </c>
      <c r="J100" s="189">
        <v>0</v>
      </c>
      <c r="K100" s="201">
        <f t="shared" si="16"/>
        <v>0</v>
      </c>
      <c r="L100" s="190">
        <v>330.54</v>
      </c>
      <c r="M100" s="201">
        <f t="shared" si="17"/>
        <v>1.0132084886553758</v>
      </c>
      <c r="N100" s="190">
        <v>297.48600000000192</v>
      </c>
      <c r="O100" s="189">
        <v>0.5</v>
      </c>
      <c r="P100" s="191">
        <v>7.3380492529865858E-3</v>
      </c>
      <c r="Q100" s="259">
        <v>0.40000000000000568</v>
      </c>
      <c r="R100" s="191">
        <v>5.8704394023893517E-3</v>
      </c>
      <c r="S100" s="190">
        <v>132.21600000000188</v>
      </c>
      <c r="T100" s="189" t="s">
        <v>486</v>
      </c>
      <c r="U100" s="189" t="s">
        <v>426</v>
      </c>
      <c r="V100" s="189"/>
      <c r="W100" s="196">
        <v>1</v>
      </c>
      <c r="X100" s="189" t="s">
        <v>280</v>
      </c>
    </row>
    <row r="101" spans="2:24">
      <c r="B101" s="531"/>
      <c r="C101" s="531"/>
      <c r="D101" s="200">
        <v>5</v>
      </c>
      <c r="E101" s="189" t="s">
        <v>521</v>
      </c>
      <c r="F101" s="190">
        <v>157.71899999999999</v>
      </c>
      <c r="G101" s="259">
        <v>34.295999999999999</v>
      </c>
      <c r="H101" s="259">
        <v>34.9</v>
      </c>
      <c r="I101" s="201">
        <f t="shared" si="15"/>
        <v>1.0176113832516911</v>
      </c>
      <c r="J101" s="189">
        <v>0</v>
      </c>
      <c r="K101" s="201">
        <f t="shared" si="16"/>
        <v>0</v>
      </c>
      <c r="L101" s="190">
        <v>525.73</v>
      </c>
      <c r="M101" s="201">
        <f t="shared" si="17"/>
        <v>1.0176113832516911</v>
      </c>
      <c r="N101" s="190">
        <v>317.54091999999957</v>
      </c>
      <c r="O101" s="189">
        <v>0.3</v>
      </c>
      <c r="P101" s="191">
        <v>8.74737578726382E-3</v>
      </c>
      <c r="Q101" s="259">
        <v>0.30399999999999922</v>
      </c>
      <c r="R101" s="191">
        <v>8.8640074644273162E-3</v>
      </c>
      <c r="S101" s="190">
        <v>159.82191999999958</v>
      </c>
      <c r="T101" s="189" t="s">
        <v>486</v>
      </c>
      <c r="U101" s="189" t="s">
        <v>426</v>
      </c>
      <c r="V101" s="189"/>
      <c r="W101" s="196">
        <v>1</v>
      </c>
      <c r="X101" s="189" t="s">
        <v>285</v>
      </c>
    </row>
    <row r="102" spans="2:24">
      <c r="B102" s="531"/>
      <c r="C102" s="531"/>
      <c r="D102" s="200">
        <v>6</v>
      </c>
      <c r="E102" s="189" t="s">
        <v>541</v>
      </c>
      <c r="F102" s="190">
        <v>148.452</v>
      </c>
      <c r="G102" s="259">
        <v>56.405999999999999</v>
      </c>
      <c r="H102" s="259">
        <v>57.205999999999996</v>
      </c>
      <c r="I102" s="201">
        <f t="shared" si="15"/>
        <v>1.0141828883452115</v>
      </c>
      <c r="J102" s="189">
        <v>0</v>
      </c>
      <c r="K102" s="201">
        <f t="shared" si="16"/>
        <v>0</v>
      </c>
      <c r="L102" s="190">
        <v>371.13</v>
      </c>
      <c r="M102" s="201">
        <f t="shared" si="17"/>
        <v>1.0141828883452115</v>
      </c>
      <c r="N102" s="190">
        <v>296.90399999999892</v>
      </c>
      <c r="O102" s="189">
        <v>0.4</v>
      </c>
      <c r="P102" s="191">
        <v>7.0914441726057514E-3</v>
      </c>
      <c r="Q102" s="259">
        <v>0.39999999999999714</v>
      </c>
      <c r="R102" s="191">
        <v>7.0914441726057003E-3</v>
      </c>
      <c r="S102" s="190">
        <v>148.45199999999895</v>
      </c>
      <c r="T102" s="189" t="s">
        <v>486</v>
      </c>
      <c r="U102" s="189" t="s">
        <v>416</v>
      </c>
      <c r="V102" s="189"/>
      <c r="W102" s="196">
        <v>1</v>
      </c>
      <c r="X102" s="189" t="s">
        <v>314</v>
      </c>
    </row>
    <row r="103" spans="2:24">
      <c r="B103" s="531"/>
      <c r="C103" s="531"/>
      <c r="D103" s="200">
        <v>7</v>
      </c>
      <c r="E103" s="189" t="s">
        <v>422</v>
      </c>
      <c r="F103" s="190">
        <v>145.929</v>
      </c>
      <c r="G103" s="259">
        <v>103.215</v>
      </c>
      <c r="H103" s="259">
        <v>104.515</v>
      </c>
      <c r="I103" s="201">
        <f t="shared" si="15"/>
        <v>1.0125950685462384</v>
      </c>
      <c r="J103" s="189">
        <v>0</v>
      </c>
      <c r="K103" s="201">
        <f t="shared" si="16"/>
        <v>0</v>
      </c>
      <c r="L103" s="190">
        <v>208.47</v>
      </c>
      <c r="M103" s="201">
        <f t="shared" si="17"/>
        <v>1.0125950685462384</v>
      </c>
      <c r="N103" s="190">
        <v>271.0109999999994</v>
      </c>
      <c r="O103" s="189">
        <v>0.70000000000000007</v>
      </c>
      <c r="P103" s="191">
        <v>6.7819599864360801E-3</v>
      </c>
      <c r="Q103" s="259">
        <v>0.59999999999999709</v>
      </c>
      <c r="R103" s="191">
        <v>5.813108559802326E-3</v>
      </c>
      <c r="S103" s="190">
        <v>125.0819999999994</v>
      </c>
      <c r="T103" s="189" t="s">
        <v>486</v>
      </c>
      <c r="U103" s="189" t="s">
        <v>416</v>
      </c>
      <c r="V103" s="189"/>
      <c r="W103" s="196">
        <v>1</v>
      </c>
      <c r="X103" s="189" t="s">
        <v>305</v>
      </c>
    </row>
    <row r="104" spans="2:24">
      <c r="B104" s="531"/>
      <c r="C104" s="531"/>
      <c r="D104" s="200">
        <v>8</v>
      </c>
      <c r="E104" s="189" t="s">
        <v>542</v>
      </c>
      <c r="F104" s="190">
        <v>144.375</v>
      </c>
      <c r="G104" s="259">
        <v>3.198</v>
      </c>
      <c r="H104" s="259">
        <v>4.4980000000000002</v>
      </c>
      <c r="I104" s="201">
        <f t="shared" si="15"/>
        <v>1.4065040650406504</v>
      </c>
      <c r="J104" s="189">
        <v>0</v>
      </c>
      <c r="K104" s="201">
        <f t="shared" si="16"/>
        <v>0</v>
      </c>
      <c r="L104" s="190">
        <v>206.25</v>
      </c>
      <c r="M104" s="201">
        <f t="shared" si="17"/>
        <v>1.4065040650406504</v>
      </c>
      <c r="N104" s="190">
        <v>268.12500000000006</v>
      </c>
      <c r="O104" s="189">
        <v>0.70000000000000007</v>
      </c>
      <c r="P104" s="191">
        <v>0.21888680425265794</v>
      </c>
      <c r="Q104" s="259">
        <v>0.6000000000000002</v>
      </c>
      <c r="R104" s="191">
        <v>0.18761726078799257</v>
      </c>
      <c r="S104" s="190">
        <v>123.75000000000004</v>
      </c>
      <c r="T104" s="189" t="s">
        <v>494</v>
      </c>
      <c r="U104" s="189" t="s">
        <v>495</v>
      </c>
      <c r="V104" s="189"/>
      <c r="W104" s="196">
        <v>1</v>
      </c>
      <c r="X104" s="189" t="s">
        <v>256</v>
      </c>
    </row>
    <row r="105" spans="2:24">
      <c r="B105" s="531"/>
      <c r="C105" s="531"/>
      <c r="D105" s="200">
        <v>9</v>
      </c>
      <c r="E105" s="189" t="s">
        <v>438</v>
      </c>
      <c r="F105" s="190">
        <v>142.137</v>
      </c>
      <c r="G105" s="259">
        <v>62.168999999999997</v>
      </c>
      <c r="H105" s="259">
        <v>62.869</v>
      </c>
      <c r="I105" s="201">
        <f t="shared" si="15"/>
        <v>1.0112596310058068</v>
      </c>
      <c r="J105" s="189">
        <v>0</v>
      </c>
      <c r="K105" s="201">
        <f t="shared" si="16"/>
        <v>0</v>
      </c>
      <c r="L105" s="190">
        <v>473.79</v>
      </c>
      <c r="M105" s="201">
        <f t="shared" si="17"/>
        <v>1.0112596310058068</v>
      </c>
      <c r="N105" s="190">
        <v>331.65300000000138</v>
      </c>
      <c r="O105" s="189">
        <v>0.3</v>
      </c>
      <c r="P105" s="191">
        <v>4.825556145345751E-3</v>
      </c>
      <c r="Q105" s="259">
        <v>0.40000000000000285</v>
      </c>
      <c r="R105" s="191">
        <v>6.4340748604610476E-3</v>
      </c>
      <c r="S105" s="190">
        <v>189.51600000000136</v>
      </c>
      <c r="T105" s="189" t="s">
        <v>486</v>
      </c>
      <c r="U105" s="189" t="s">
        <v>426</v>
      </c>
      <c r="V105" s="189"/>
      <c r="W105" s="196">
        <v>1</v>
      </c>
      <c r="X105" s="189" t="s">
        <v>417</v>
      </c>
    </row>
    <row r="106" spans="2:24">
      <c r="B106" s="531"/>
      <c r="C106" s="531"/>
      <c r="D106" s="200">
        <v>10</v>
      </c>
      <c r="E106" s="189" t="s">
        <v>543</v>
      </c>
      <c r="F106" s="190">
        <v>141.93</v>
      </c>
      <c r="G106" s="259">
        <v>408.82799999999997</v>
      </c>
      <c r="H106" s="259">
        <v>411.82799999999997</v>
      </c>
      <c r="I106" s="201">
        <f t="shared" si="15"/>
        <v>1.0073380492529866</v>
      </c>
      <c r="J106" s="189">
        <v>0</v>
      </c>
      <c r="K106" s="201">
        <f t="shared" si="16"/>
        <v>0</v>
      </c>
      <c r="L106" s="190">
        <v>78.849999999999994</v>
      </c>
      <c r="M106" s="201">
        <f t="shared" si="17"/>
        <v>1.0073380492529866</v>
      </c>
      <c r="N106" s="190">
        <v>236.54999999999998</v>
      </c>
      <c r="O106" s="189">
        <v>1.8</v>
      </c>
      <c r="P106" s="191">
        <v>4.402829551791952E-3</v>
      </c>
      <c r="Q106" s="259">
        <v>1.2</v>
      </c>
      <c r="R106" s="191">
        <v>2.9352197011946347E-3</v>
      </c>
      <c r="S106" s="190">
        <v>94.61999999999999</v>
      </c>
      <c r="T106" s="189" t="s">
        <v>494</v>
      </c>
      <c r="U106" s="189" t="s">
        <v>500</v>
      </c>
      <c r="V106" s="189"/>
      <c r="W106" s="196">
        <v>1</v>
      </c>
      <c r="X106" s="189" t="s">
        <v>280</v>
      </c>
    </row>
    <row r="107" spans="2:24">
      <c r="B107" s="533">
        <v>45880</v>
      </c>
      <c r="C107" s="531" t="s">
        <v>158</v>
      </c>
      <c r="D107" s="200">
        <v>1</v>
      </c>
      <c r="E107" s="189" t="s">
        <v>489</v>
      </c>
      <c r="F107" s="190">
        <v>254.44000000000003</v>
      </c>
      <c r="G107" s="259">
        <v>43.088000000000001</v>
      </c>
      <c r="H107" s="259">
        <v>44.2</v>
      </c>
      <c r="I107" s="201">
        <f t="shared" si="15"/>
        <v>1.0258076494615671</v>
      </c>
      <c r="J107" s="189">
        <v>0</v>
      </c>
      <c r="K107" s="201">
        <f t="shared" si="16"/>
        <v>0</v>
      </c>
      <c r="L107" s="190">
        <v>318.05</v>
      </c>
      <c r="M107" s="201">
        <f t="shared" si="17"/>
        <v>1.0258076494615671</v>
      </c>
      <c r="N107" s="190">
        <v>353.67160000000064</v>
      </c>
      <c r="O107" s="189">
        <v>0.8</v>
      </c>
      <c r="P107" s="191">
        <v>1.8566654288897141E-2</v>
      </c>
      <c r="Q107" s="259">
        <v>0.31200000000000183</v>
      </c>
      <c r="R107" s="191">
        <v>7.240995172669927E-3</v>
      </c>
      <c r="S107" s="190">
        <v>99.231600000000583</v>
      </c>
      <c r="T107" s="189" t="s">
        <v>486</v>
      </c>
      <c r="U107" s="189" t="s">
        <v>426</v>
      </c>
      <c r="V107" s="189"/>
      <c r="W107" s="196">
        <v>1</v>
      </c>
      <c r="X107" s="189" t="s">
        <v>303</v>
      </c>
    </row>
    <row r="108" spans="2:24">
      <c r="B108" s="531"/>
      <c r="C108" s="531"/>
      <c r="D108" s="200">
        <v>2</v>
      </c>
      <c r="E108" s="189" t="s">
        <v>485</v>
      </c>
      <c r="F108" s="190">
        <v>207.47499999999999</v>
      </c>
      <c r="G108" s="259">
        <v>18.004000000000001</v>
      </c>
      <c r="H108" s="259">
        <v>18.7</v>
      </c>
      <c r="I108" s="201">
        <f t="shared" si="15"/>
        <v>1.0386580759831148</v>
      </c>
      <c r="J108" s="189">
        <v>0</v>
      </c>
      <c r="K108" s="201">
        <f t="shared" si="16"/>
        <v>0</v>
      </c>
      <c r="L108" s="190">
        <v>414.95</v>
      </c>
      <c r="M108" s="201">
        <f t="shared" si="17"/>
        <v>1.0386580759831148</v>
      </c>
      <c r="N108" s="190">
        <v>288.80519999999916</v>
      </c>
      <c r="O108" s="189">
        <v>0.5</v>
      </c>
      <c r="P108" s="191">
        <v>2.777160630970895E-2</v>
      </c>
      <c r="Q108" s="259">
        <v>0.19599999999999795</v>
      </c>
      <c r="R108" s="191">
        <v>1.0886469673405796E-2</v>
      </c>
      <c r="S108" s="190">
        <v>81.330199999999152</v>
      </c>
      <c r="T108" s="189" t="s">
        <v>494</v>
      </c>
      <c r="U108" s="189" t="s">
        <v>500</v>
      </c>
      <c r="V108" s="189"/>
      <c r="W108" s="196">
        <v>1</v>
      </c>
      <c r="X108" s="189" t="s">
        <v>304</v>
      </c>
    </row>
    <row r="109" spans="2:24">
      <c r="B109" s="531"/>
      <c r="C109" s="531"/>
      <c r="D109" s="200">
        <v>3</v>
      </c>
      <c r="E109" s="189" t="s">
        <v>502</v>
      </c>
      <c r="F109" s="190">
        <v>164.18800000000002</v>
      </c>
      <c r="G109" s="259">
        <v>11.256</v>
      </c>
      <c r="H109" s="259">
        <v>11.9</v>
      </c>
      <c r="I109" s="201">
        <f t="shared" si="15"/>
        <v>1.0572139303482586</v>
      </c>
      <c r="J109" s="189">
        <v>0</v>
      </c>
      <c r="K109" s="201">
        <f t="shared" si="16"/>
        <v>0</v>
      </c>
      <c r="L109" s="190">
        <v>410.47</v>
      </c>
      <c r="M109" s="201">
        <f t="shared" si="17"/>
        <v>1.0572139303482586</v>
      </c>
      <c r="N109" s="190">
        <v>264.34268000000009</v>
      </c>
      <c r="O109" s="189">
        <v>0.4</v>
      </c>
      <c r="P109" s="191">
        <v>3.5536602700781808E-2</v>
      </c>
      <c r="Q109" s="259">
        <v>0.24400000000000011</v>
      </c>
      <c r="R109" s="191">
        <v>2.1677327647476909E-2</v>
      </c>
      <c r="S109" s="190">
        <v>100.15468000000006</v>
      </c>
      <c r="T109" s="189" t="s">
        <v>483</v>
      </c>
      <c r="U109" s="189" t="s">
        <v>416</v>
      </c>
      <c r="V109" s="189"/>
      <c r="W109" s="196">
        <v>1</v>
      </c>
      <c r="X109" s="189" t="s">
        <v>230</v>
      </c>
    </row>
    <row r="110" spans="2:24">
      <c r="B110" s="531"/>
      <c r="C110" s="531"/>
      <c r="D110" s="200">
        <v>4</v>
      </c>
      <c r="E110" s="189" t="s">
        <v>536</v>
      </c>
      <c r="F110" s="190">
        <v>157.75200000000001</v>
      </c>
      <c r="G110" s="259">
        <v>7.08</v>
      </c>
      <c r="H110" s="259">
        <v>6.88</v>
      </c>
      <c r="I110" s="201">
        <f t="shared" si="15"/>
        <v>0.97175141242937846</v>
      </c>
      <c r="J110" s="189">
        <v>0.9</v>
      </c>
      <c r="K110" s="201">
        <f t="shared" si="16"/>
        <v>0.1271186440677966</v>
      </c>
      <c r="L110" s="190">
        <v>394.38</v>
      </c>
      <c r="M110" s="201">
        <f t="shared" si="17"/>
        <v>1.0988700564971752</v>
      </c>
      <c r="N110" s="190">
        <v>283.95359999999988</v>
      </c>
      <c r="O110" s="189">
        <v>0.4</v>
      </c>
      <c r="P110" s="191">
        <v>5.6497175141242938E-2</v>
      </c>
      <c r="Q110" s="259">
        <v>0.30000000000000016</v>
      </c>
      <c r="R110" s="191">
        <v>4.2372881355932222E-2</v>
      </c>
      <c r="S110" s="190">
        <v>118.31400000000006</v>
      </c>
      <c r="T110" s="189" t="s">
        <v>494</v>
      </c>
      <c r="U110" s="189" t="s">
        <v>495</v>
      </c>
      <c r="V110" s="189"/>
      <c r="W110" s="196">
        <v>1</v>
      </c>
      <c r="X110" s="189" t="s">
        <v>325</v>
      </c>
    </row>
    <row r="111" spans="2:24">
      <c r="B111" s="531"/>
      <c r="C111" s="531"/>
      <c r="D111" s="200">
        <v>5</v>
      </c>
      <c r="E111" s="189" t="s">
        <v>544</v>
      </c>
      <c r="F111" s="190">
        <v>152.69999999999999</v>
      </c>
      <c r="G111" s="259">
        <v>15.948</v>
      </c>
      <c r="H111" s="259">
        <v>16.748000000000001</v>
      </c>
      <c r="I111" s="201">
        <f t="shared" si="15"/>
        <v>1.0501630298470028</v>
      </c>
      <c r="J111" s="189">
        <v>0</v>
      </c>
      <c r="K111" s="201">
        <f t="shared" si="16"/>
        <v>0</v>
      </c>
      <c r="L111" s="190">
        <v>305.39999999999998</v>
      </c>
      <c r="M111" s="201">
        <f t="shared" si="17"/>
        <v>1.0501630298470028</v>
      </c>
      <c r="N111" s="190">
        <v>244.32000000000019</v>
      </c>
      <c r="O111" s="189">
        <v>0.5</v>
      </c>
      <c r="P111" s="191">
        <v>3.1351893654376725E-2</v>
      </c>
      <c r="Q111" s="259">
        <v>0.30000000000000071</v>
      </c>
      <c r="R111" s="191">
        <v>1.8811136192626077E-2</v>
      </c>
      <c r="S111" s="190">
        <v>91.620000000000203</v>
      </c>
      <c r="T111" s="189" t="s">
        <v>486</v>
      </c>
      <c r="U111" s="189" t="s">
        <v>426</v>
      </c>
      <c r="V111" s="189"/>
      <c r="W111" s="196">
        <v>1</v>
      </c>
      <c r="X111" s="189" t="s">
        <v>301</v>
      </c>
    </row>
    <row r="112" spans="2:24">
      <c r="B112" s="531"/>
      <c r="C112" s="531"/>
      <c r="D112" s="200">
        <v>6</v>
      </c>
      <c r="E112" s="189" t="s">
        <v>510</v>
      </c>
      <c r="F112" s="190">
        <v>148.67500000000001</v>
      </c>
      <c r="G112" s="259">
        <v>35.704999999999998</v>
      </c>
      <c r="H112" s="259">
        <v>36.805</v>
      </c>
      <c r="I112" s="201">
        <f t="shared" si="15"/>
        <v>1.0308080100826216</v>
      </c>
      <c r="J112" s="189">
        <v>0</v>
      </c>
      <c r="K112" s="201">
        <f t="shared" si="16"/>
        <v>0</v>
      </c>
      <c r="L112" s="190">
        <v>297.35000000000002</v>
      </c>
      <c r="M112" s="201">
        <f t="shared" si="17"/>
        <v>1.0308080100826216</v>
      </c>
      <c r="N112" s="190">
        <v>327.08500000000043</v>
      </c>
      <c r="O112" s="189">
        <v>0.5</v>
      </c>
      <c r="P112" s="191">
        <v>1.4003640946646129E-2</v>
      </c>
      <c r="Q112" s="259">
        <v>0.60000000000000142</v>
      </c>
      <c r="R112" s="191">
        <v>1.6804369135975394E-2</v>
      </c>
      <c r="S112" s="190">
        <v>178.41000000000042</v>
      </c>
      <c r="T112" s="189" t="s">
        <v>486</v>
      </c>
      <c r="U112" s="189" t="s">
        <v>426</v>
      </c>
      <c r="V112" s="189"/>
      <c r="W112" s="196">
        <v>1</v>
      </c>
      <c r="X112" s="189" t="s">
        <v>271</v>
      </c>
    </row>
    <row r="113" spans="2:25">
      <c r="B113" s="531"/>
      <c r="C113" s="531"/>
      <c r="D113" s="200">
        <v>7</v>
      </c>
      <c r="E113" s="189" t="s">
        <v>545</v>
      </c>
      <c r="F113" s="190">
        <v>136.672</v>
      </c>
      <c r="G113" s="259">
        <v>33.04</v>
      </c>
      <c r="H113" s="259">
        <v>34.24</v>
      </c>
      <c r="I113" s="201">
        <f t="shared" si="15"/>
        <v>1.0363196125907992</v>
      </c>
      <c r="J113" s="189">
        <v>0</v>
      </c>
      <c r="K113" s="201">
        <f t="shared" si="16"/>
        <v>0</v>
      </c>
      <c r="L113" s="190">
        <v>170.84</v>
      </c>
      <c r="M113" s="201">
        <f t="shared" si="17"/>
        <v>1.0363196125907992</v>
      </c>
      <c r="N113" s="190">
        <v>205.00800000000049</v>
      </c>
      <c r="O113" s="189">
        <v>0.8</v>
      </c>
      <c r="P113" s="191">
        <v>2.4213075060532691E-2</v>
      </c>
      <c r="Q113" s="259">
        <v>0.4000000000000028</v>
      </c>
      <c r="R113" s="191">
        <v>1.2106537530266429E-2</v>
      </c>
      <c r="S113" s="190">
        <v>68.336000000000482</v>
      </c>
      <c r="T113" s="189" t="s">
        <v>483</v>
      </c>
      <c r="U113" s="189" t="s">
        <v>416</v>
      </c>
      <c r="V113" s="189"/>
      <c r="W113" s="196">
        <v>1</v>
      </c>
      <c r="X113" s="189" t="s">
        <v>319</v>
      </c>
    </row>
    <row r="114" spans="2:25">
      <c r="B114" s="531"/>
      <c r="C114" s="531"/>
      <c r="D114" s="200">
        <v>8</v>
      </c>
      <c r="E114" s="189" t="s">
        <v>546</v>
      </c>
      <c r="F114" s="190">
        <v>134.595</v>
      </c>
      <c r="G114" s="259">
        <v>99.05</v>
      </c>
      <c r="H114" s="259">
        <v>100.14999999999999</v>
      </c>
      <c r="I114" s="201">
        <f t="shared" si="15"/>
        <v>1.01110550227158</v>
      </c>
      <c r="J114" s="189">
        <v>0</v>
      </c>
      <c r="K114" s="201">
        <f t="shared" si="16"/>
        <v>0</v>
      </c>
      <c r="L114" s="190">
        <v>269.19</v>
      </c>
      <c r="M114" s="201">
        <f t="shared" si="17"/>
        <v>1.01110550227158</v>
      </c>
      <c r="N114" s="190">
        <v>296.10899999999845</v>
      </c>
      <c r="O114" s="189">
        <v>0.5</v>
      </c>
      <c r="P114" s="191">
        <v>5.0479555779909136E-3</v>
      </c>
      <c r="Q114" s="259">
        <v>0.59999999999999432</v>
      </c>
      <c r="R114" s="191">
        <v>6.0575466935890391E-3</v>
      </c>
      <c r="S114" s="190">
        <v>161.51399999999848</v>
      </c>
      <c r="T114" s="189" t="s">
        <v>483</v>
      </c>
      <c r="U114" s="189" t="s">
        <v>416</v>
      </c>
      <c r="V114" s="189"/>
      <c r="W114" s="196">
        <v>1</v>
      </c>
      <c r="X114" s="189" t="s">
        <v>287</v>
      </c>
    </row>
    <row r="115" spans="2:25">
      <c r="B115" s="531"/>
      <c r="C115" s="531"/>
      <c r="D115" s="200">
        <v>9</v>
      </c>
      <c r="E115" s="189" t="s">
        <v>547</v>
      </c>
      <c r="F115" s="190">
        <v>132.756</v>
      </c>
      <c r="G115" s="259">
        <v>14.853999999999999</v>
      </c>
      <c r="H115" s="259">
        <v>16.3</v>
      </c>
      <c r="I115" s="201">
        <f t="shared" si="15"/>
        <v>1.0973475158206545</v>
      </c>
      <c r="J115" s="189">
        <v>0</v>
      </c>
      <c r="K115" s="201">
        <f t="shared" si="16"/>
        <v>0</v>
      </c>
      <c r="L115" s="190">
        <v>110.63</v>
      </c>
      <c r="M115" s="201">
        <f t="shared" si="17"/>
        <v>1.0973475158206545</v>
      </c>
      <c r="N115" s="190">
        <v>159.97098000000017</v>
      </c>
      <c r="O115" s="189">
        <v>1.2</v>
      </c>
      <c r="P115" s="191">
        <v>8.0786320183115656E-2</v>
      </c>
      <c r="Q115" s="259">
        <v>0.24600000000000155</v>
      </c>
      <c r="R115" s="191">
        <v>1.6561195637538814E-2</v>
      </c>
      <c r="S115" s="190">
        <v>27.214980000000171</v>
      </c>
      <c r="T115" s="189" t="s">
        <v>494</v>
      </c>
      <c r="U115" s="189" t="s">
        <v>495</v>
      </c>
      <c r="V115" s="189"/>
      <c r="W115" s="196">
        <v>1</v>
      </c>
      <c r="X115" s="189" t="s">
        <v>548</v>
      </c>
    </row>
    <row r="116" spans="2:25">
      <c r="B116" s="531"/>
      <c r="C116" s="531"/>
      <c r="D116" s="200">
        <v>10</v>
      </c>
      <c r="E116" s="189" t="s">
        <v>441</v>
      </c>
      <c r="F116" s="190">
        <v>131.66200000000001</v>
      </c>
      <c r="G116" s="259">
        <v>7.6950000000000003</v>
      </c>
      <c r="H116" s="259">
        <v>7.9950000000000001</v>
      </c>
      <c r="I116" s="201">
        <f t="shared" si="15"/>
        <v>1.0389863547758285</v>
      </c>
      <c r="J116" s="189">
        <v>0</v>
      </c>
      <c r="K116" s="201">
        <f t="shared" si="16"/>
        <v>0</v>
      </c>
      <c r="L116" s="190">
        <v>658.31</v>
      </c>
      <c r="M116" s="201">
        <f t="shared" si="17"/>
        <v>1.0389863547758285</v>
      </c>
      <c r="N116" s="190">
        <v>197.49299999999985</v>
      </c>
      <c r="O116" s="189">
        <v>0.2</v>
      </c>
      <c r="P116" s="191">
        <v>2.5990903183885642E-2</v>
      </c>
      <c r="Q116" s="259">
        <v>9.9999999999999811E-2</v>
      </c>
      <c r="R116" s="191">
        <v>1.2995451591942795E-2</v>
      </c>
      <c r="S116" s="190">
        <v>65.830999999999875</v>
      </c>
      <c r="T116" s="189" t="s">
        <v>486</v>
      </c>
      <c r="U116" s="189" t="s">
        <v>426</v>
      </c>
      <c r="V116" s="189"/>
      <c r="W116" s="196">
        <v>1</v>
      </c>
      <c r="X116" s="189" t="s">
        <v>293</v>
      </c>
    </row>
    <row r="117" spans="2:25">
      <c r="B117" s="533">
        <v>45881</v>
      </c>
      <c r="C117" s="531" t="s">
        <v>159</v>
      </c>
      <c r="D117" s="200">
        <v>11</v>
      </c>
      <c r="E117" s="189" t="s">
        <v>537</v>
      </c>
      <c r="F117" s="190">
        <v>290</v>
      </c>
      <c r="G117" s="189">
        <v>1.2754000000000001</v>
      </c>
      <c r="H117" s="189">
        <v>1.4000000000000001</v>
      </c>
      <c r="I117" s="201">
        <f t="shared" si="15"/>
        <v>1.0976948408342482</v>
      </c>
      <c r="J117" s="189">
        <v>0</v>
      </c>
      <c r="K117" s="201">
        <f t="shared" si="16"/>
        <v>0</v>
      </c>
      <c r="L117" s="190">
        <v>2900</v>
      </c>
      <c r="M117" s="201">
        <f t="shared" si="17"/>
        <v>1.0976948408342482</v>
      </c>
      <c r="N117" s="190">
        <v>361.34000000000015</v>
      </c>
      <c r="O117" s="189">
        <v>0.1</v>
      </c>
      <c r="P117" s="191">
        <v>7.8406774345303437E-2</v>
      </c>
      <c r="Q117" s="259">
        <v>2.4600000000000039E-2</v>
      </c>
      <c r="R117" s="191">
        <v>1.9288066488944672E-2</v>
      </c>
      <c r="S117" s="190">
        <v>71.340000000000117</v>
      </c>
      <c r="T117" s="189" t="s">
        <v>486</v>
      </c>
      <c r="U117" s="189" t="s">
        <v>426</v>
      </c>
      <c r="V117" s="189"/>
      <c r="W117" s="196">
        <v>1</v>
      </c>
      <c r="X117" s="189" t="s">
        <v>533</v>
      </c>
    </row>
    <row r="118" spans="2:25">
      <c r="B118" s="531"/>
      <c r="C118" s="531"/>
      <c r="D118" s="200">
        <v>12</v>
      </c>
      <c r="E118" s="189" t="s">
        <v>532</v>
      </c>
      <c r="F118" s="190">
        <v>260.62800000000004</v>
      </c>
      <c r="G118" s="189">
        <v>21.864000000000001</v>
      </c>
      <c r="H118" s="189">
        <v>22.564</v>
      </c>
      <c r="I118" s="201">
        <f t="shared" si="15"/>
        <v>1.0320160995243322</v>
      </c>
      <c r="J118" s="189">
        <v>0</v>
      </c>
      <c r="K118" s="201">
        <f t="shared" si="16"/>
        <v>0</v>
      </c>
      <c r="L118" s="190">
        <v>651.57000000000005</v>
      </c>
      <c r="M118" s="201">
        <f t="shared" si="17"/>
        <v>1.0320160995243322</v>
      </c>
      <c r="N118" s="190">
        <v>456.09899999999959</v>
      </c>
      <c r="O118" s="189">
        <v>0.4</v>
      </c>
      <c r="P118" s="191">
        <v>1.8294914013904134E-2</v>
      </c>
      <c r="Q118" s="189">
        <v>0.29999999999999927</v>
      </c>
      <c r="R118" s="191">
        <v>1.3721185510428066E-2</v>
      </c>
      <c r="S118" s="190">
        <v>195.47099999999955</v>
      </c>
      <c r="T118" s="189" t="s">
        <v>483</v>
      </c>
      <c r="U118" s="189" t="s">
        <v>416</v>
      </c>
      <c r="V118" s="189"/>
      <c r="W118" s="196">
        <v>1</v>
      </c>
      <c r="X118" s="189" t="s">
        <v>533</v>
      </c>
    </row>
    <row r="119" spans="2:25">
      <c r="B119" s="531"/>
      <c r="C119" s="531"/>
      <c r="D119" s="200">
        <v>13</v>
      </c>
      <c r="E119" s="189" t="s">
        <v>508</v>
      </c>
      <c r="F119" s="190">
        <v>254.96</v>
      </c>
      <c r="G119" s="189">
        <v>143.209</v>
      </c>
      <c r="H119" s="189">
        <v>146.309</v>
      </c>
      <c r="I119" s="201">
        <f t="shared" si="15"/>
        <v>1.021646684216774</v>
      </c>
      <c r="J119" s="189">
        <v>0</v>
      </c>
      <c r="K119" s="201">
        <f t="shared" si="16"/>
        <v>0</v>
      </c>
      <c r="L119" s="190">
        <v>127.48</v>
      </c>
      <c r="M119" s="201">
        <f t="shared" si="17"/>
        <v>1.021646684216774</v>
      </c>
      <c r="N119" s="190">
        <v>395.18799999999931</v>
      </c>
      <c r="O119" s="189">
        <v>2</v>
      </c>
      <c r="P119" s="191">
        <v>1.3965602720499409E-2</v>
      </c>
      <c r="Q119" s="189">
        <v>1.0999999999999943</v>
      </c>
      <c r="R119" s="191">
        <v>7.6810814962746353E-3</v>
      </c>
      <c r="S119" s="190">
        <v>140.22799999999927</v>
      </c>
      <c r="T119" s="189" t="s">
        <v>494</v>
      </c>
      <c r="U119" s="189" t="s">
        <v>500</v>
      </c>
      <c r="V119" s="189"/>
      <c r="W119" s="196">
        <v>1</v>
      </c>
      <c r="X119" s="189" t="s">
        <v>323</v>
      </c>
    </row>
    <row r="120" spans="2:25">
      <c r="B120" s="531"/>
      <c r="C120" s="531"/>
      <c r="D120" s="200">
        <v>14</v>
      </c>
      <c r="E120" s="189" t="s">
        <v>440</v>
      </c>
      <c r="F120" s="190">
        <v>222.44</v>
      </c>
      <c r="G120" s="189">
        <v>67.733999999999995</v>
      </c>
      <c r="H120" s="189">
        <v>68.733999999999995</v>
      </c>
      <c r="I120" s="201">
        <f t="shared" si="15"/>
        <v>1.0147636342161988</v>
      </c>
      <c r="J120" s="189">
        <v>0</v>
      </c>
      <c r="K120" s="201">
        <f t="shared" si="16"/>
        <v>0</v>
      </c>
      <c r="L120" s="190">
        <v>444.88</v>
      </c>
      <c r="M120" s="201">
        <f t="shared" si="17"/>
        <v>1.0147636342161988</v>
      </c>
      <c r="N120" s="190">
        <v>444.88</v>
      </c>
      <c r="O120" s="189">
        <v>0.5</v>
      </c>
      <c r="P120" s="191">
        <v>7.3818171080993304E-3</v>
      </c>
      <c r="Q120" s="189">
        <v>0.5</v>
      </c>
      <c r="R120" s="191">
        <v>7.3818171080993304E-3</v>
      </c>
      <c r="S120" s="190">
        <v>222.44</v>
      </c>
      <c r="T120" s="189" t="s">
        <v>486</v>
      </c>
      <c r="U120" s="189" t="s">
        <v>490</v>
      </c>
      <c r="V120" s="189"/>
      <c r="W120" s="196">
        <v>1</v>
      </c>
      <c r="X120" s="189" t="s">
        <v>286</v>
      </c>
    </row>
    <row r="121" spans="2:25">
      <c r="B121" s="531"/>
      <c r="C121" s="531"/>
      <c r="D121" s="200">
        <v>15</v>
      </c>
      <c r="E121" s="189" t="s">
        <v>521</v>
      </c>
      <c r="F121" s="190">
        <v>210.29200000000003</v>
      </c>
      <c r="G121" s="189">
        <v>42.432000000000002</v>
      </c>
      <c r="H121" s="189">
        <v>43.8</v>
      </c>
      <c r="I121" s="201">
        <f t="shared" si="15"/>
        <v>1.0322398190045248</v>
      </c>
      <c r="J121" s="189">
        <v>0</v>
      </c>
      <c r="K121" s="201">
        <f t="shared" si="16"/>
        <v>0</v>
      </c>
      <c r="L121" s="190">
        <v>525.73</v>
      </c>
      <c r="M121" s="201">
        <f t="shared" si="17"/>
        <v>1.0322398190045248</v>
      </c>
      <c r="N121" s="190">
        <v>719.19863999999734</v>
      </c>
      <c r="O121" s="189">
        <v>0.4</v>
      </c>
      <c r="P121" s="191">
        <v>9.4268476621417793E-3</v>
      </c>
      <c r="Q121" s="189">
        <v>0.96799999999999498</v>
      </c>
      <c r="R121" s="191">
        <v>2.2812971342382988E-2</v>
      </c>
      <c r="S121" s="190">
        <v>508.90663999999737</v>
      </c>
      <c r="T121" s="189" t="s">
        <v>486</v>
      </c>
      <c r="U121" s="189" t="s">
        <v>490</v>
      </c>
      <c r="V121" s="189"/>
      <c r="W121" s="196">
        <v>1</v>
      </c>
      <c r="X121" s="189" t="s">
        <v>285</v>
      </c>
    </row>
    <row r="122" spans="2:25">
      <c r="B122" s="531"/>
      <c r="C122" s="531"/>
      <c r="D122" s="200">
        <v>16</v>
      </c>
      <c r="E122" s="189" t="s">
        <v>429</v>
      </c>
      <c r="F122" s="190">
        <v>205.33499999999998</v>
      </c>
      <c r="G122" s="189">
        <v>252.43199999999999</v>
      </c>
      <c r="H122" s="189">
        <v>255.232</v>
      </c>
      <c r="I122" s="201">
        <f t="shared" si="15"/>
        <v>1.0110920960892438</v>
      </c>
      <c r="J122" s="189">
        <v>0</v>
      </c>
      <c r="K122" s="201">
        <f t="shared" si="16"/>
        <v>0</v>
      </c>
      <c r="L122" s="190">
        <v>136.88999999999999</v>
      </c>
      <c r="M122" s="201">
        <f t="shared" si="17"/>
        <v>1.0110920960892438</v>
      </c>
      <c r="N122" s="190">
        <v>383.29200000000151</v>
      </c>
      <c r="O122" s="189">
        <v>1.5</v>
      </c>
      <c r="P122" s="191">
        <v>5.9421943335234836E-3</v>
      </c>
      <c r="Q122" s="189">
        <v>1.3000000000000114</v>
      </c>
      <c r="R122" s="191">
        <v>5.1499017557203979E-3</v>
      </c>
      <c r="S122" s="190">
        <v>177.95700000000153</v>
      </c>
      <c r="T122" s="189" t="s">
        <v>486</v>
      </c>
      <c r="U122" s="189" t="s">
        <v>426</v>
      </c>
      <c r="V122" s="189"/>
      <c r="W122" s="196">
        <v>1</v>
      </c>
      <c r="X122" s="189" t="s">
        <v>417</v>
      </c>
    </row>
    <row r="123" spans="2:25">
      <c r="B123" s="531"/>
      <c r="C123" s="531"/>
      <c r="D123" s="200">
        <v>17</v>
      </c>
      <c r="E123" s="189" t="s">
        <v>504</v>
      </c>
      <c r="F123" s="190">
        <v>186.072</v>
      </c>
      <c r="G123" s="189">
        <v>12.265000000000001</v>
      </c>
      <c r="H123" s="189">
        <v>12.5</v>
      </c>
      <c r="I123" s="201">
        <f t="shared" si="15"/>
        <v>1.019160211985324</v>
      </c>
      <c r="J123" s="189">
        <v>0</v>
      </c>
      <c r="K123" s="201">
        <f t="shared" si="16"/>
        <v>0</v>
      </c>
      <c r="L123" s="190">
        <v>930.36</v>
      </c>
      <c r="M123" s="201">
        <f t="shared" si="17"/>
        <v>1.019160211985324</v>
      </c>
      <c r="N123" s="190">
        <v>218.63459999999947</v>
      </c>
      <c r="O123" s="189">
        <v>0.2</v>
      </c>
      <c r="P123" s="191">
        <v>1.6306563391765186E-2</v>
      </c>
      <c r="Q123" s="189">
        <v>3.499999999999942E-2</v>
      </c>
      <c r="R123" s="191">
        <v>2.8536485935588599E-3</v>
      </c>
      <c r="S123" s="190">
        <v>32.562599999999463</v>
      </c>
      <c r="T123" s="189" t="s">
        <v>486</v>
      </c>
      <c r="U123" s="189" t="s">
        <v>426</v>
      </c>
      <c r="V123" s="189"/>
      <c r="W123" s="196">
        <v>1</v>
      </c>
      <c r="X123" s="189" t="s">
        <v>271</v>
      </c>
    </row>
    <row r="124" spans="2:25">
      <c r="B124" s="531"/>
      <c r="C124" s="531"/>
      <c r="D124" s="200">
        <v>18</v>
      </c>
      <c r="E124" s="189" t="s">
        <v>510</v>
      </c>
      <c r="F124" s="190">
        <v>178.41000000000005</v>
      </c>
      <c r="G124" s="189">
        <v>41.255000000000003</v>
      </c>
      <c r="H124" s="189">
        <v>42.455000000000005</v>
      </c>
      <c r="I124" s="201">
        <f t="shared" si="15"/>
        <v>1.0290873833474732</v>
      </c>
      <c r="J124" s="189">
        <v>0</v>
      </c>
      <c r="K124" s="201">
        <f t="shared" si="16"/>
        <v>0</v>
      </c>
      <c r="L124" s="190">
        <v>297.35000000000002</v>
      </c>
      <c r="M124" s="201">
        <f t="shared" si="17"/>
        <v>1.0290873833474732</v>
      </c>
      <c r="N124" s="190">
        <v>356.82000000000085</v>
      </c>
      <c r="O124" s="189">
        <v>0.60000000000000009</v>
      </c>
      <c r="P124" s="191">
        <v>1.4543691673736517E-2</v>
      </c>
      <c r="Q124" s="189">
        <v>0.60000000000000275</v>
      </c>
      <c r="R124" s="191">
        <v>1.4543691673736583E-2</v>
      </c>
      <c r="S124" s="190">
        <v>178.41000000000082</v>
      </c>
      <c r="T124" s="189" t="s">
        <v>486</v>
      </c>
      <c r="U124" s="189" t="s">
        <v>426</v>
      </c>
      <c r="V124" s="189"/>
      <c r="W124" s="196">
        <v>1</v>
      </c>
      <c r="X124" s="189" t="s">
        <v>271</v>
      </c>
    </row>
    <row r="125" spans="2:25">
      <c r="B125" s="531"/>
      <c r="C125" s="531"/>
      <c r="D125" s="200">
        <v>19</v>
      </c>
      <c r="E125" s="189" t="s">
        <v>405</v>
      </c>
      <c r="F125" s="190">
        <v>167.36400000000003</v>
      </c>
      <c r="G125" s="189">
        <v>17.036999999999999</v>
      </c>
      <c r="H125" s="189">
        <v>17.637</v>
      </c>
      <c r="I125" s="201">
        <f t="shared" si="15"/>
        <v>1.0352174678640607</v>
      </c>
      <c r="J125" s="189">
        <v>0</v>
      </c>
      <c r="K125" s="201">
        <f t="shared" si="16"/>
        <v>0</v>
      </c>
      <c r="L125" s="190">
        <v>418.41</v>
      </c>
      <c r="M125" s="201">
        <f t="shared" si="17"/>
        <v>1.0352174678640607</v>
      </c>
      <c r="N125" s="190">
        <v>251.04600000000062</v>
      </c>
      <c r="O125" s="189">
        <v>0.4</v>
      </c>
      <c r="P125" s="191">
        <v>2.347831190937372E-2</v>
      </c>
      <c r="Q125" s="189">
        <v>0.2000000000000014</v>
      </c>
      <c r="R125" s="191">
        <v>1.173915595468694E-2</v>
      </c>
      <c r="S125" s="190">
        <v>83.682000000000585</v>
      </c>
      <c r="T125" s="189" t="s">
        <v>494</v>
      </c>
      <c r="U125" s="189" t="s">
        <v>495</v>
      </c>
      <c r="V125" s="189"/>
      <c r="W125" s="196">
        <v>1</v>
      </c>
      <c r="X125" s="189" t="s">
        <v>267</v>
      </c>
    </row>
    <row r="126" spans="2:25">
      <c r="B126" s="531"/>
      <c r="C126" s="531"/>
      <c r="D126" s="200">
        <v>20</v>
      </c>
      <c r="E126" s="189" t="s">
        <v>549</v>
      </c>
      <c r="F126" s="190">
        <v>159.55199999999999</v>
      </c>
      <c r="G126" s="189">
        <v>164.232</v>
      </c>
      <c r="H126" s="189">
        <v>167.13200000000001</v>
      </c>
      <c r="I126" s="201">
        <f t="shared" si="15"/>
        <v>1.0176579472940719</v>
      </c>
      <c r="J126" s="189">
        <v>0</v>
      </c>
      <c r="K126" s="201">
        <f t="shared" si="16"/>
        <v>0</v>
      </c>
      <c r="L126" s="190">
        <v>88.64</v>
      </c>
      <c r="M126" s="201">
        <f t="shared" si="17"/>
        <v>1.0176579472940719</v>
      </c>
      <c r="N126" s="190">
        <v>257.05600000000049</v>
      </c>
      <c r="O126" s="189">
        <v>1.8</v>
      </c>
      <c r="P126" s="191">
        <v>1.0960105217010083E-2</v>
      </c>
      <c r="Q126" s="189">
        <v>1.1000000000000056</v>
      </c>
      <c r="R126" s="191">
        <v>6.6978420770617518E-3</v>
      </c>
      <c r="S126" s="190">
        <v>97.504000000000502</v>
      </c>
      <c r="T126" s="189" t="s">
        <v>494</v>
      </c>
      <c r="U126" s="189" t="s">
        <v>416</v>
      </c>
      <c r="V126" s="189"/>
      <c r="W126" s="196">
        <v>1</v>
      </c>
      <c r="X126" s="189" t="s">
        <v>308</v>
      </c>
    </row>
    <row r="127" spans="2:25">
      <c r="B127" s="533">
        <v>45882</v>
      </c>
      <c r="C127" s="531" t="s">
        <v>160</v>
      </c>
      <c r="D127" s="200">
        <v>21</v>
      </c>
      <c r="E127" s="189" t="s">
        <v>418</v>
      </c>
      <c r="F127" s="190">
        <v>153.018</v>
      </c>
      <c r="G127" s="189">
        <v>209.471</v>
      </c>
      <c r="H127" s="189">
        <v>210.7</v>
      </c>
      <c r="I127" s="201">
        <f t="shared" si="15"/>
        <v>1.0058671606093443</v>
      </c>
      <c r="J127" s="189">
        <v>0</v>
      </c>
      <c r="K127" s="201">
        <f t="shared" si="16"/>
        <v>0</v>
      </c>
      <c r="L127" s="190">
        <v>510.06</v>
      </c>
      <c r="M127" s="201">
        <f t="shared" si="17"/>
        <v>1.0058671606093443</v>
      </c>
      <c r="N127" s="190">
        <v>626.86373999999239</v>
      </c>
      <c r="O127" s="189">
        <v>0.3</v>
      </c>
      <c r="P127" s="191">
        <v>1.4321791560645625E-3</v>
      </c>
      <c r="Q127" s="189">
        <v>0.92899999999998495</v>
      </c>
      <c r="R127" s="191">
        <v>4.4349814532798574E-3</v>
      </c>
      <c r="S127" s="190">
        <v>473.8457399999923</v>
      </c>
      <c r="T127" s="189" t="s">
        <v>486</v>
      </c>
      <c r="U127" s="189" t="s">
        <v>426</v>
      </c>
      <c r="V127" s="189"/>
      <c r="W127" s="196">
        <v>1</v>
      </c>
      <c r="X127" s="189" t="s">
        <v>417</v>
      </c>
      <c r="Y127" s="192" t="s">
        <v>550</v>
      </c>
    </row>
    <row r="128" spans="2:25">
      <c r="B128" s="531"/>
      <c r="C128" s="531"/>
      <c r="D128" s="200">
        <v>22</v>
      </c>
      <c r="E128" s="189" t="s">
        <v>551</v>
      </c>
      <c r="F128" s="190">
        <v>149.4</v>
      </c>
      <c r="G128" s="189">
        <v>2150</v>
      </c>
      <c r="H128" s="189">
        <v>2160</v>
      </c>
      <c r="I128" s="201">
        <f t="shared" si="15"/>
        <v>1.0046511627906978</v>
      </c>
      <c r="J128" s="189">
        <v>0</v>
      </c>
      <c r="K128" s="201">
        <f t="shared" si="16"/>
        <v>0</v>
      </c>
      <c r="L128" s="190">
        <v>14.94</v>
      </c>
      <c r="M128" s="201">
        <f t="shared" si="17"/>
        <v>1.0046511627906978</v>
      </c>
      <c r="N128" s="190">
        <v>149.4</v>
      </c>
      <c r="O128" s="189">
        <v>10</v>
      </c>
      <c r="P128" s="191">
        <v>4.6511627906976744E-3</v>
      </c>
      <c r="Q128" s="189">
        <v>0</v>
      </c>
      <c r="R128" s="191">
        <v>0</v>
      </c>
      <c r="S128" s="190">
        <v>0</v>
      </c>
      <c r="T128" s="189" t="s">
        <v>486</v>
      </c>
      <c r="U128" s="189" t="s">
        <v>426</v>
      </c>
      <c r="V128" s="189"/>
      <c r="W128" s="196">
        <v>1</v>
      </c>
      <c r="X128" s="189" t="s">
        <v>216</v>
      </c>
      <c r="Y128" s="194" t="s">
        <v>552</v>
      </c>
    </row>
    <row r="129" spans="2:24">
      <c r="B129" s="531"/>
      <c r="C129" s="531"/>
      <c r="D129" s="200">
        <v>23</v>
      </c>
      <c r="E129" s="189" t="s">
        <v>510</v>
      </c>
      <c r="F129" s="190">
        <v>148.67500000000001</v>
      </c>
      <c r="G129" s="189">
        <v>38.997999999999998</v>
      </c>
      <c r="H129" s="189">
        <v>39.799999999999997</v>
      </c>
      <c r="I129" s="201">
        <f t="shared" si="15"/>
        <v>1.020565157187548</v>
      </c>
      <c r="J129" s="189">
        <v>0</v>
      </c>
      <c r="K129" s="201">
        <f t="shared" si="16"/>
        <v>0</v>
      </c>
      <c r="L129" s="190">
        <v>297.35000000000002</v>
      </c>
      <c r="M129" s="201">
        <f t="shared" si="17"/>
        <v>1.020565157187548</v>
      </c>
      <c r="N129" s="190">
        <v>238.4746999999999</v>
      </c>
      <c r="O129" s="189">
        <v>0.5</v>
      </c>
      <c r="P129" s="191">
        <v>1.2821170316426484E-2</v>
      </c>
      <c r="Q129" s="189">
        <v>0.3019999999999996</v>
      </c>
      <c r="R129" s="191">
        <v>7.7439868711215859E-3</v>
      </c>
      <c r="S129" s="190">
        <v>89.799699999999888</v>
      </c>
      <c r="T129" s="189" t="s">
        <v>486</v>
      </c>
      <c r="U129" s="189" t="s">
        <v>426</v>
      </c>
      <c r="V129" s="189"/>
      <c r="W129" s="196">
        <v>1</v>
      </c>
      <c r="X129" s="189" t="s">
        <v>271</v>
      </c>
    </row>
    <row r="130" spans="2:24">
      <c r="B130" s="531"/>
      <c r="C130" s="531"/>
      <c r="D130" s="200">
        <v>24</v>
      </c>
      <c r="E130" s="189" t="s">
        <v>538</v>
      </c>
      <c r="F130" s="190">
        <v>145.05199999999999</v>
      </c>
      <c r="G130" s="189">
        <v>44.856000000000002</v>
      </c>
      <c r="H130" s="189">
        <v>45.6</v>
      </c>
      <c r="I130" s="201">
        <f t="shared" si="15"/>
        <v>1.0165864098448367</v>
      </c>
      <c r="J130" s="189">
        <v>0</v>
      </c>
      <c r="K130" s="201">
        <f t="shared" si="16"/>
        <v>0</v>
      </c>
      <c r="L130" s="190">
        <v>362.63</v>
      </c>
      <c r="M130" s="201">
        <f t="shared" si="17"/>
        <v>1.0165864098448367</v>
      </c>
      <c r="N130" s="190">
        <v>269.79671999999994</v>
      </c>
      <c r="O130" s="189">
        <v>0.4</v>
      </c>
      <c r="P130" s="191">
        <v>8.9174246477617264E-3</v>
      </c>
      <c r="Q130" s="189">
        <v>0.34399999999999975</v>
      </c>
      <c r="R130" s="191">
        <v>7.668985197075079E-3</v>
      </c>
      <c r="S130" s="190">
        <v>124.7447199999999</v>
      </c>
      <c r="T130" s="189" t="s">
        <v>483</v>
      </c>
      <c r="U130" s="189" t="s">
        <v>416</v>
      </c>
      <c r="V130" s="189"/>
      <c r="W130" s="196">
        <v>1</v>
      </c>
      <c r="X130" s="189" t="s">
        <v>539</v>
      </c>
    </row>
    <row r="131" spans="2:24">
      <c r="B131" s="531"/>
      <c r="C131" s="531"/>
      <c r="D131" s="200">
        <v>25</v>
      </c>
      <c r="E131" s="189" t="s">
        <v>540</v>
      </c>
      <c r="F131" s="190">
        <v>141.74800000000002</v>
      </c>
      <c r="G131" s="189">
        <v>19.492000000000001</v>
      </c>
      <c r="H131" s="189">
        <v>19.899999999999999</v>
      </c>
      <c r="I131" s="201">
        <f t="shared" si="15"/>
        <v>1.0209316642725219</v>
      </c>
      <c r="J131" s="189">
        <v>0</v>
      </c>
      <c r="K131" s="201">
        <f t="shared" si="16"/>
        <v>0</v>
      </c>
      <c r="L131" s="190">
        <v>354.37</v>
      </c>
      <c r="M131" s="201">
        <f t="shared" si="17"/>
        <v>1.0209316642725219</v>
      </c>
      <c r="N131" s="190">
        <v>144.58295999999919</v>
      </c>
      <c r="O131" s="189">
        <v>0.4</v>
      </c>
      <c r="P131" s="191">
        <v>2.0521239482864766E-2</v>
      </c>
      <c r="Q131" s="189">
        <v>7.9999999999976756E-3</v>
      </c>
      <c r="R131" s="191">
        <v>4.1042478965717602E-4</v>
      </c>
      <c r="S131" s="190">
        <v>2.8349599999991764</v>
      </c>
      <c r="T131" s="189" t="s">
        <v>483</v>
      </c>
      <c r="U131" s="189" t="s">
        <v>416</v>
      </c>
      <c r="V131" s="189"/>
      <c r="W131" s="196">
        <v>1</v>
      </c>
      <c r="X131" s="189" t="s">
        <v>267</v>
      </c>
    </row>
    <row r="132" spans="2:24">
      <c r="B132" s="531"/>
      <c r="C132" s="531"/>
      <c r="D132" s="200">
        <v>26</v>
      </c>
      <c r="E132" s="189" t="s">
        <v>553</v>
      </c>
      <c r="F132" s="190">
        <v>140.86000000000001</v>
      </c>
      <c r="G132" s="189">
        <v>40.631</v>
      </c>
      <c r="H132" s="189">
        <v>41.4</v>
      </c>
      <c r="I132" s="201">
        <f t="shared" si="15"/>
        <v>1.0189264354802983</v>
      </c>
      <c r="J132" s="189">
        <v>0</v>
      </c>
      <c r="K132" s="201">
        <f t="shared" si="16"/>
        <v>0</v>
      </c>
      <c r="L132" s="190">
        <v>281.72000000000003</v>
      </c>
      <c r="M132" s="201">
        <f t="shared" si="17"/>
        <v>1.0189264354802983</v>
      </c>
      <c r="N132" s="190">
        <v>216.64267999999956</v>
      </c>
      <c r="O132" s="189">
        <v>0.5</v>
      </c>
      <c r="P132" s="191">
        <v>1.2305874824641284E-2</v>
      </c>
      <c r="Q132" s="189">
        <v>0.26899999999999835</v>
      </c>
      <c r="R132" s="191">
        <v>6.6205606556569698E-3</v>
      </c>
      <c r="S132" s="190">
        <v>75.782679999999544</v>
      </c>
      <c r="T132" s="189" t="s">
        <v>486</v>
      </c>
      <c r="U132" s="189" t="s">
        <v>426</v>
      </c>
      <c r="V132" s="189"/>
      <c r="W132" s="196">
        <v>1</v>
      </c>
      <c r="X132" s="189" t="s">
        <v>296</v>
      </c>
    </row>
    <row r="133" spans="2:24">
      <c r="B133" s="531"/>
      <c r="C133" s="531"/>
      <c r="D133" s="200">
        <v>27</v>
      </c>
      <c r="E133" s="189" t="s">
        <v>554</v>
      </c>
      <c r="F133" s="190">
        <v>138.50900000000001</v>
      </c>
      <c r="G133" s="189">
        <v>113.883</v>
      </c>
      <c r="H133" s="189">
        <v>115.2</v>
      </c>
      <c r="I133" s="201">
        <f t="shared" si="15"/>
        <v>1.0115645004083138</v>
      </c>
      <c r="J133" s="189">
        <v>0</v>
      </c>
      <c r="K133" s="201">
        <f t="shared" si="16"/>
        <v>0</v>
      </c>
      <c r="L133" s="190">
        <v>197.87</v>
      </c>
      <c r="M133" s="201">
        <f t="shared" si="17"/>
        <v>1.0115645004083138</v>
      </c>
      <c r="N133" s="190">
        <v>260.59479000000147</v>
      </c>
      <c r="O133" s="189">
        <v>0.70000000000000007</v>
      </c>
      <c r="P133" s="191">
        <v>6.1466592906755189E-3</v>
      </c>
      <c r="Q133" s="189">
        <v>0.61700000000000721</v>
      </c>
      <c r="R133" s="191">
        <v>5.4178411176383414E-3</v>
      </c>
      <c r="S133" s="190">
        <v>122.08579000000142</v>
      </c>
      <c r="T133" s="189" t="s">
        <v>483</v>
      </c>
      <c r="U133" s="189" t="s">
        <v>416</v>
      </c>
      <c r="V133" s="189"/>
      <c r="W133" s="196">
        <v>1</v>
      </c>
      <c r="X133" s="189" t="s">
        <v>555</v>
      </c>
    </row>
    <row r="134" spans="2:24">
      <c r="B134" s="531"/>
      <c r="C134" s="531"/>
      <c r="D134" s="200">
        <v>28</v>
      </c>
      <c r="E134" s="189" t="s">
        <v>556</v>
      </c>
      <c r="F134" s="190">
        <v>136.172</v>
      </c>
      <c r="G134" s="189">
        <v>3.0720000000000001</v>
      </c>
      <c r="H134" s="189">
        <v>3.6</v>
      </c>
      <c r="I134" s="201">
        <f t="shared" si="15"/>
        <v>1.171875</v>
      </c>
      <c r="J134" s="189">
        <v>0</v>
      </c>
      <c r="K134" s="201">
        <f t="shared" si="16"/>
        <v>0</v>
      </c>
      <c r="L134" s="190">
        <v>340.43</v>
      </c>
      <c r="M134" s="201">
        <f t="shared" si="17"/>
        <v>1.171875</v>
      </c>
      <c r="N134" s="190">
        <v>179.74704</v>
      </c>
      <c r="O134" s="189">
        <v>0.4</v>
      </c>
      <c r="P134" s="191">
        <v>0.13020833333333334</v>
      </c>
      <c r="Q134" s="189">
        <v>0.128</v>
      </c>
      <c r="R134" s="191">
        <v>4.1666666666666664E-2</v>
      </c>
      <c r="S134" s="190">
        <v>43.575040000000001</v>
      </c>
      <c r="T134" s="189" t="s">
        <v>514</v>
      </c>
      <c r="U134" s="189" t="s">
        <v>495</v>
      </c>
      <c r="V134" s="189"/>
      <c r="W134" s="196">
        <v>1</v>
      </c>
      <c r="X134" s="189" t="s">
        <v>275</v>
      </c>
    </row>
    <row r="135" spans="2:24">
      <c r="B135" s="531"/>
      <c r="C135" s="531"/>
      <c r="D135" s="200">
        <v>29</v>
      </c>
      <c r="E135" s="189" t="s">
        <v>546</v>
      </c>
      <c r="F135" s="190">
        <v>134.595</v>
      </c>
      <c r="G135" s="189">
        <v>91.805000000000007</v>
      </c>
      <c r="H135" s="189">
        <v>92.5</v>
      </c>
      <c r="I135" s="201">
        <f t="shared" si="15"/>
        <v>1.0075703937694025</v>
      </c>
      <c r="J135" s="189">
        <v>0</v>
      </c>
      <c r="K135" s="201">
        <f t="shared" si="16"/>
        <v>0</v>
      </c>
      <c r="L135" s="190">
        <v>269.19</v>
      </c>
      <c r="M135" s="201">
        <f t="shared" si="17"/>
        <v>1.0075703937694025</v>
      </c>
      <c r="N135" s="190">
        <v>187.08704999999816</v>
      </c>
      <c r="O135" s="189">
        <v>0.5</v>
      </c>
      <c r="P135" s="191">
        <v>5.446326452807581E-3</v>
      </c>
      <c r="Q135" s="189">
        <v>0.19499999999999318</v>
      </c>
      <c r="R135" s="191">
        <v>2.1240673165948821E-3</v>
      </c>
      <c r="S135" s="190">
        <v>52.492049999998166</v>
      </c>
      <c r="T135" s="189" t="s">
        <v>483</v>
      </c>
      <c r="U135" s="189" t="s">
        <v>416</v>
      </c>
      <c r="V135" s="189"/>
      <c r="W135" s="196">
        <v>1</v>
      </c>
      <c r="X135" s="189" t="s">
        <v>287</v>
      </c>
    </row>
    <row r="136" spans="2:24">
      <c r="B136" s="531"/>
      <c r="C136" s="531"/>
      <c r="D136" s="200">
        <v>30</v>
      </c>
      <c r="E136" s="189" t="s">
        <v>509</v>
      </c>
      <c r="F136" s="190">
        <v>133.84100000000001</v>
      </c>
      <c r="G136" s="189">
        <v>359.64</v>
      </c>
      <c r="H136" s="189">
        <v>362.4</v>
      </c>
      <c r="I136" s="201">
        <f t="shared" ref="I136:I199" si="18">H136/G136</f>
        <v>1.0076743410076743</v>
      </c>
      <c r="J136" s="189">
        <v>0</v>
      </c>
      <c r="K136" s="201">
        <f t="shared" ref="K136:K199" si="19">J136/G136</f>
        <v>0</v>
      </c>
      <c r="L136" s="190">
        <v>78.73</v>
      </c>
      <c r="M136" s="201">
        <f t="shared" ref="M136:M199" si="20">(H136+J136)/G136</f>
        <v>1.0076743410076743</v>
      </c>
      <c r="N136" s="190">
        <v>217.2947999999993</v>
      </c>
      <c r="O136" s="189">
        <v>1.7</v>
      </c>
      <c r="P136" s="191">
        <v>4.7269491713936157E-3</v>
      </c>
      <c r="Q136" s="189">
        <v>1.0599999999999909</v>
      </c>
      <c r="R136" s="191">
        <v>2.9473918362807002E-3</v>
      </c>
      <c r="S136" s="190">
        <v>83.453799999999291</v>
      </c>
      <c r="T136" s="189" t="s">
        <v>483</v>
      </c>
      <c r="U136" s="189" t="s">
        <v>416</v>
      </c>
      <c r="V136" s="189"/>
      <c r="W136" s="196">
        <v>1</v>
      </c>
      <c r="X136" s="189" t="s">
        <v>278</v>
      </c>
    </row>
    <row r="137" spans="2:24">
      <c r="B137" s="533">
        <v>45883</v>
      </c>
      <c r="C137" s="531" t="s">
        <v>161</v>
      </c>
      <c r="D137" s="200">
        <v>31</v>
      </c>
      <c r="E137" s="189" t="s">
        <v>489</v>
      </c>
      <c r="F137" s="190">
        <v>254.44000000000003</v>
      </c>
      <c r="G137" s="189">
        <v>41.536000000000001</v>
      </c>
      <c r="H137" s="189">
        <v>42.9</v>
      </c>
      <c r="I137" s="201">
        <f t="shared" si="18"/>
        <v>1.0328389830508473</v>
      </c>
      <c r="J137" s="189">
        <v>0</v>
      </c>
      <c r="K137" s="201">
        <f t="shared" si="19"/>
        <v>0</v>
      </c>
      <c r="L137" s="190">
        <v>318.05</v>
      </c>
      <c r="M137" s="201">
        <f t="shared" si="20"/>
        <v>1.0328389830508473</v>
      </c>
      <c r="N137" s="190">
        <v>433.82019999999915</v>
      </c>
      <c r="O137" s="189">
        <v>0.8</v>
      </c>
      <c r="P137" s="191">
        <v>1.9260400616332819E-2</v>
      </c>
      <c r="Q137" s="189">
        <v>0.56399999999999717</v>
      </c>
      <c r="R137" s="191">
        <v>1.3578582434514569E-2</v>
      </c>
      <c r="S137" s="190">
        <v>179.38019999999909</v>
      </c>
      <c r="T137" s="189" t="s">
        <v>486</v>
      </c>
      <c r="U137" s="189" t="s">
        <v>426</v>
      </c>
      <c r="V137" s="189"/>
      <c r="W137" s="196">
        <v>1</v>
      </c>
      <c r="X137" s="189" t="s">
        <v>303</v>
      </c>
    </row>
    <row r="138" spans="2:24">
      <c r="B138" s="531"/>
      <c r="C138" s="531"/>
      <c r="D138" s="200">
        <v>32</v>
      </c>
      <c r="E138" s="189" t="s">
        <v>511</v>
      </c>
      <c r="F138" s="190">
        <v>194.70000000000002</v>
      </c>
      <c r="G138" s="189">
        <v>37.421999999999997</v>
      </c>
      <c r="H138" s="189">
        <v>38.799999999999997</v>
      </c>
      <c r="I138" s="201">
        <f t="shared" si="18"/>
        <v>1.0368232590454813</v>
      </c>
      <c r="J138" s="189">
        <v>0</v>
      </c>
      <c r="K138" s="201">
        <f t="shared" si="19"/>
        <v>0</v>
      </c>
      <c r="L138" s="190">
        <v>177</v>
      </c>
      <c r="M138" s="201">
        <f t="shared" si="20"/>
        <v>1.0368232590454813</v>
      </c>
      <c r="N138" s="190">
        <v>243.90600000000001</v>
      </c>
      <c r="O138" s="189">
        <v>1.1000000000000001</v>
      </c>
      <c r="P138" s="191">
        <v>2.9394473838918286E-2</v>
      </c>
      <c r="Q138" s="189">
        <v>0.27800000000000002</v>
      </c>
      <c r="R138" s="191">
        <v>7.4287852065629857E-3</v>
      </c>
      <c r="S138" s="190">
        <v>49.206000000000003</v>
      </c>
      <c r="T138" s="189" t="s">
        <v>494</v>
      </c>
      <c r="U138" s="189" t="s">
        <v>500</v>
      </c>
      <c r="V138" s="189"/>
      <c r="W138" s="196">
        <v>1</v>
      </c>
      <c r="X138" s="189" t="s">
        <v>304</v>
      </c>
    </row>
    <row r="139" spans="2:24">
      <c r="B139" s="531"/>
      <c r="C139" s="531"/>
      <c r="D139" s="200">
        <v>33</v>
      </c>
      <c r="E139" s="189" t="s">
        <v>508</v>
      </c>
      <c r="F139" s="190">
        <v>191.22</v>
      </c>
      <c r="G139" s="189">
        <v>140.34200000000001</v>
      </c>
      <c r="H139" s="189">
        <v>143.30000000000001</v>
      </c>
      <c r="I139" s="201">
        <f t="shared" si="18"/>
        <v>1.0210770831255076</v>
      </c>
      <c r="J139" s="189">
        <v>0</v>
      </c>
      <c r="K139" s="201">
        <f t="shared" si="19"/>
        <v>0</v>
      </c>
      <c r="L139" s="190">
        <v>127.48</v>
      </c>
      <c r="M139" s="201">
        <f t="shared" si="20"/>
        <v>1.0210770831255076</v>
      </c>
      <c r="N139" s="190">
        <v>377.08583999999979</v>
      </c>
      <c r="O139" s="189">
        <v>1.5</v>
      </c>
      <c r="P139" s="191">
        <v>1.0688176027133716E-2</v>
      </c>
      <c r="Q139" s="189">
        <v>1.4579999999999984</v>
      </c>
      <c r="R139" s="191">
        <v>1.0388907098373959E-2</v>
      </c>
      <c r="S139" s="190">
        <v>185.86583999999979</v>
      </c>
      <c r="T139" s="189" t="s">
        <v>494</v>
      </c>
      <c r="U139" s="189" t="s">
        <v>500</v>
      </c>
      <c r="V139" s="189"/>
      <c r="W139" s="196">
        <v>1</v>
      </c>
      <c r="X139" s="189" t="s">
        <v>323</v>
      </c>
    </row>
    <row r="140" spans="2:24">
      <c r="B140" s="531"/>
      <c r="C140" s="531"/>
      <c r="D140" s="200">
        <v>34</v>
      </c>
      <c r="E140" s="189" t="s">
        <v>485</v>
      </c>
      <c r="F140" s="190">
        <v>165.98000000000002</v>
      </c>
      <c r="G140" s="189">
        <v>15.875999999999999</v>
      </c>
      <c r="H140" s="189">
        <v>16.5</v>
      </c>
      <c r="I140" s="201">
        <f t="shared" si="18"/>
        <v>1.0393046107331823</v>
      </c>
      <c r="J140" s="189">
        <v>0</v>
      </c>
      <c r="K140" s="201">
        <f t="shared" si="19"/>
        <v>0</v>
      </c>
      <c r="L140" s="190">
        <v>414.95</v>
      </c>
      <c r="M140" s="201">
        <f t="shared" si="20"/>
        <v>1.0393046107331823</v>
      </c>
      <c r="N140" s="190">
        <v>258.92880000000025</v>
      </c>
      <c r="O140" s="189">
        <v>0.4</v>
      </c>
      <c r="P140" s="191">
        <v>2.5195263290501389E-2</v>
      </c>
      <c r="Q140" s="189">
        <v>0.22400000000000053</v>
      </c>
      <c r="R140" s="191">
        <v>1.410934744268081E-2</v>
      </c>
      <c r="S140" s="190">
        <v>92.948800000000219</v>
      </c>
      <c r="T140" s="189" t="s">
        <v>483</v>
      </c>
      <c r="U140" s="189" t="s">
        <v>416</v>
      </c>
      <c r="V140" s="189"/>
      <c r="W140" s="196">
        <v>1</v>
      </c>
      <c r="X140" s="189" t="s">
        <v>304</v>
      </c>
    </row>
    <row r="141" spans="2:24">
      <c r="B141" s="531"/>
      <c r="C141" s="531"/>
      <c r="D141" s="200">
        <v>35</v>
      </c>
      <c r="E141" s="189" t="s">
        <v>557</v>
      </c>
      <c r="F141" s="190">
        <v>155.215</v>
      </c>
      <c r="G141" s="189">
        <v>19.952000000000002</v>
      </c>
      <c r="H141" s="189">
        <v>21.2</v>
      </c>
      <c r="I141" s="201">
        <f t="shared" si="18"/>
        <v>1.0625501202886927</v>
      </c>
      <c r="J141" s="189">
        <v>0</v>
      </c>
      <c r="K141" s="201">
        <f t="shared" si="19"/>
        <v>0</v>
      </c>
      <c r="L141" s="190">
        <v>310.43</v>
      </c>
      <c r="M141" s="201">
        <f t="shared" si="20"/>
        <v>1.0625501202886927</v>
      </c>
      <c r="N141" s="190">
        <v>387.41663999999923</v>
      </c>
      <c r="O141" s="189">
        <v>0.5</v>
      </c>
      <c r="P141" s="191">
        <v>2.5060144346431432E-2</v>
      </c>
      <c r="Q141" s="189">
        <v>0.74799999999999756</v>
      </c>
      <c r="R141" s="191">
        <v>3.7489975942261299E-2</v>
      </c>
      <c r="S141" s="190">
        <v>232.20163999999926</v>
      </c>
      <c r="T141" s="189" t="s">
        <v>486</v>
      </c>
      <c r="U141" s="189" t="s">
        <v>426</v>
      </c>
      <c r="V141" s="189"/>
      <c r="W141" s="196">
        <v>1</v>
      </c>
      <c r="X141" s="189" t="s">
        <v>270</v>
      </c>
    </row>
    <row r="142" spans="2:24">
      <c r="B142" s="531"/>
      <c r="C142" s="531"/>
      <c r="D142" s="200">
        <v>36</v>
      </c>
      <c r="E142" s="189" t="s">
        <v>491</v>
      </c>
      <c r="F142" s="190">
        <v>154.05500000000001</v>
      </c>
      <c r="G142" s="189">
        <v>72.772277227722796</v>
      </c>
      <c r="H142" s="189">
        <v>73.900000000000006</v>
      </c>
      <c r="I142" s="201">
        <f t="shared" si="18"/>
        <v>1.0154965986394555</v>
      </c>
      <c r="J142" s="189">
        <v>0</v>
      </c>
      <c r="K142" s="201">
        <f t="shared" si="19"/>
        <v>0</v>
      </c>
      <c r="L142" s="190">
        <v>308.11</v>
      </c>
      <c r="M142" s="201">
        <f t="shared" si="20"/>
        <v>1.0154965986394555</v>
      </c>
      <c r="N142" s="190">
        <v>347.46266336633107</v>
      </c>
      <c r="O142" s="189">
        <v>0.5</v>
      </c>
      <c r="P142" s="191">
        <v>6.8707482993197256E-3</v>
      </c>
      <c r="Q142" s="189">
        <v>0.62772277227720963</v>
      </c>
      <c r="R142" s="191">
        <v>8.6258503401358023E-3</v>
      </c>
      <c r="S142" s="190">
        <v>193.40766336633106</v>
      </c>
      <c r="T142" s="189" t="s">
        <v>483</v>
      </c>
      <c r="U142" s="189" t="s">
        <v>416</v>
      </c>
      <c r="V142" s="189"/>
      <c r="W142" s="196">
        <v>1</v>
      </c>
      <c r="X142" s="189" t="s">
        <v>320</v>
      </c>
    </row>
    <row r="143" spans="2:24">
      <c r="B143" s="531"/>
      <c r="C143" s="531"/>
      <c r="D143" s="200">
        <v>37</v>
      </c>
      <c r="E143" s="189" t="s">
        <v>558</v>
      </c>
      <c r="F143" s="190">
        <v>148.68</v>
      </c>
      <c r="G143" s="189">
        <v>11.234999999999999</v>
      </c>
      <c r="H143" s="189">
        <v>12.2</v>
      </c>
      <c r="I143" s="201">
        <f t="shared" si="18"/>
        <v>1.0858923008455719</v>
      </c>
      <c r="J143" s="189">
        <v>0</v>
      </c>
      <c r="K143" s="201">
        <f t="shared" si="19"/>
        <v>0</v>
      </c>
      <c r="L143" s="190">
        <v>212.4</v>
      </c>
      <c r="M143" s="201">
        <f t="shared" si="20"/>
        <v>1.0858923008455719</v>
      </c>
      <c r="N143" s="190">
        <v>204.96599999999998</v>
      </c>
      <c r="O143" s="189">
        <v>0.7</v>
      </c>
      <c r="P143" s="191">
        <v>6.2305295950155763E-2</v>
      </c>
      <c r="Q143" s="189">
        <v>0.2649999999999999</v>
      </c>
      <c r="R143" s="191">
        <v>2.3587004895416104E-2</v>
      </c>
      <c r="S143" s="190">
        <v>56.28599999999998</v>
      </c>
      <c r="T143" s="189" t="s">
        <v>494</v>
      </c>
      <c r="U143" s="189" t="s">
        <v>495</v>
      </c>
      <c r="V143" s="189"/>
      <c r="W143" s="196">
        <v>1</v>
      </c>
      <c r="X143" s="189" t="s">
        <v>300</v>
      </c>
    </row>
    <row r="144" spans="2:24">
      <c r="B144" s="531"/>
      <c r="C144" s="531"/>
      <c r="D144" s="200">
        <v>38</v>
      </c>
      <c r="E144" s="189" t="s">
        <v>510</v>
      </c>
      <c r="F144" s="190">
        <v>148.67500000000001</v>
      </c>
      <c r="G144" s="189">
        <v>36.963000000000001</v>
      </c>
      <c r="H144" s="189">
        <v>38.200000000000003</v>
      </c>
      <c r="I144" s="201">
        <f t="shared" si="18"/>
        <v>1.0334658983307632</v>
      </c>
      <c r="J144" s="189">
        <v>0</v>
      </c>
      <c r="K144" s="201">
        <f t="shared" si="19"/>
        <v>0</v>
      </c>
      <c r="L144" s="190">
        <v>297.35000000000002</v>
      </c>
      <c r="M144" s="201">
        <f t="shared" si="20"/>
        <v>1.0334658983307632</v>
      </c>
      <c r="N144" s="190">
        <v>367.82195000000058</v>
      </c>
      <c r="O144" s="189">
        <v>0.5</v>
      </c>
      <c r="P144" s="191">
        <v>1.3527040554067581E-2</v>
      </c>
      <c r="Q144" s="189">
        <v>0.73700000000000188</v>
      </c>
      <c r="R144" s="191">
        <v>1.9938857776695663E-2</v>
      </c>
      <c r="S144" s="190">
        <v>219.14695000000057</v>
      </c>
      <c r="T144" s="189" t="s">
        <v>486</v>
      </c>
      <c r="U144" s="189" t="s">
        <v>426</v>
      </c>
      <c r="V144" s="189"/>
      <c r="W144" s="196">
        <v>1</v>
      </c>
      <c r="X144" s="189" t="s">
        <v>271</v>
      </c>
    </row>
    <row r="145" spans="2:24">
      <c r="B145" s="531"/>
      <c r="C145" s="531"/>
      <c r="D145" s="200">
        <v>39</v>
      </c>
      <c r="E145" s="189" t="s">
        <v>559</v>
      </c>
      <c r="F145" s="190">
        <v>148.21600000000001</v>
      </c>
      <c r="G145" s="189">
        <v>7.2080000000000002</v>
      </c>
      <c r="H145" s="189">
        <v>7.9</v>
      </c>
      <c r="I145" s="201">
        <f t="shared" si="18"/>
        <v>1.0960044395116537</v>
      </c>
      <c r="J145" s="189">
        <v>0</v>
      </c>
      <c r="K145" s="201">
        <f t="shared" si="19"/>
        <v>0</v>
      </c>
      <c r="L145" s="190">
        <v>370.54</v>
      </c>
      <c r="M145" s="201">
        <f t="shared" si="20"/>
        <v>1.0960044395116537</v>
      </c>
      <c r="N145" s="190">
        <v>256.41368000000006</v>
      </c>
      <c r="O145" s="189">
        <v>0.4</v>
      </c>
      <c r="P145" s="191">
        <v>5.549389567147614E-2</v>
      </c>
      <c r="Q145" s="189">
        <v>0.29200000000000015</v>
      </c>
      <c r="R145" s="191">
        <v>4.0510543840177597E-2</v>
      </c>
      <c r="S145" s="190">
        <v>108.19768000000006</v>
      </c>
      <c r="T145" s="189" t="s">
        <v>486</v>
      </c>
      <c r="U145" s="189" t="s">
        <v>426</v>
      </c>
      <c r="V145" s="189"/>
      <c r="W145" s="196">
        <v>1</v>
      </c>
      <c r="X145" s="189" t="s">
        <v>228</v>
      </c>
    </row>
    <row r="146" spans="2:24">
      <c r="B146" s="531"/>
      <c r="C146" s="531"/>
      <c r="D146" s="200">
        <v>40</v>
      </c>
      <c r="E146" s="189" t="s">
        <v>560</v>
      </c>
      <c r="F146" s="190">
        <v>145.42500000000001</v>
      </c>
      <c r="G146" s="189">
        <v>33.231000000000002</v>
      </c>
      <c r="H146" s="189">
        <v>33.9</v>
      </c>
      <c r="I146" s="201">
        <f t="shared" si="18"/>
        <v>1.0201318046402454</v>
      </c>
      <c r="J146" s="189">
        <v>0</v>
      </c>
      <c r="K146" s="201">
        <f t="shared" si="19"/>
        <v>0</v>
      </c>
      <c r="L146" s="190">
        <v>290.85000000000002</v>
      </c>
      <c r="M146" s="201">
        <f t="shared" si="20"/>
        <v>1.0201318046402454</v>
      </c>
      <c r="N146" s="190">
        <v>194.57864999999913</v>
      </c>
      <c r="O146" s="189">
        <v>0.5</v>
      </c>
      <c r="P146" s="191">
        <v>1.5046191808853179E-2</v>
      </c>
      <c r="Q146" s="189">
        <v>0.16899999999999693</v>
      </c>
      <c r="R146" s="191">
        <v>5.085612831392282E-3</v>
      </c>
      <c r="S146" s="190">
        <v>49.153649999999111</v>
      </c>
      <c r="T146" s="189" t="s">
        <v>486</v>
      </c>
      <c r="U146" s="189" t="s">
        <v>426</v>
      </c>
      <c r="V146" s="189"/>
      <c r="W146" s="196">
        <v>1</v>
      </c>
      <c r="X146" s="189" t="s">
        <v>220</v>
      </c>
    </row>
    <row r="147" spans="2:24">
      <c r="B147" s="533">
        <v>45884</v>
      </c>
      <c r="C147" s="531" t="s">
        <v>156</v>
      </c>
      <c r="D147" s="200">
        <v>41</v>
      </c>
      <c r="E147" s="189" t="s">
        <v>508</v>
      </c>
      <c r="F147" s="190">
        <v>229.464</v>
      </c>
      <c r="G147" s="189">
        <v>123.23399999999999</v>
      </c>
      <c r="H147" s="189">
        <v>126.4</v>
      </c>
      <c r="I147" s="201">
        <f t="shared" si="18"/>
        <v>1.0256909619098626</v>
      </c>
      <c r="J147" s="189">
        <v>0</v>
      </c>
      <c r="K147" s="201">
        <f t="shared" si="19"/>
        <v>0</v>
      </c>
      <c r="L147" s="190">
        <v>127.48</v>
      </c>
      <c r="M147" s="201">
        <f t="shared" si="20"/>
        <v>1.0256909619098626</v>
      </c>
      <c r="N147" s="190">
        <v>403.60168000000141</v>
      </c>
      <c r="O147" s="189">
        <v>1.8</v>
      </c>
      <c r="P147" s="191">
        <v>1.4606358634792347E-2</v>
      </c>
      <c r="Q147" s="189">
        <v>1.366000000000011</v>
      </c>
      <c r="R147" s="191">
        <v>1.1084603275070281E-2</v>
      </c>
      <c r="S147" s="190">
        <v>174.13768000000141</v>
      </c>
      <c r="T147" s="189" t="s">
        <v>494</v>
      </c>
      <c r="U147" s="189" t="s">
        <v>500</v>
      </c>
      <c r="V147" s="189"/>
      <c r="W147" s="196">
        <v>1</v>
      </c>
      <c r="X147" s="189" t="s">
        <v>323</v>
      </c>
    </row>
    <row r="148" spans="2:24">
      <c r="B148" s="531"/>
      <c r="C148" s="531"/>
      <c r="D148" s="200">
        <v>42</v>
      </c>
      <c r="E148" s="189" t="s">
        <v>489</v>
      </c>
      <c r="F148" s="190">
        <v>222.63499999999999</v>
      </c>
      <c r="G148" s="189">
        <v>25.568000000000001</v>
      </c>
      <c r="H148" s="189">
        <v>26.8</v>
      </c>
      <c r="I148" s="201">
        <f t="shared" si="18"/>
        <v>1.0481852315394242</v>
      </c>
      <c r="J148" s="189">
        <v>0</v>
      </c>
      <c r="K148" s="201">
        <f t="shared" si="19"/>
        <v>0</v>
      </c>
      <c r="L148" s="190">
        <v>318.05</v>
      </c>
      <c r="M148" s="201">
        <f t="shared" si="20"/>
        <v>1.0481852315394242</v>
      </c>
      <c r="N148" s="190">
        <v>391.83759999999978</v>
      </c>
      <c r="O148" s="189">
        <v>0.7</v>
      </c>
      <c r="P148" s="191">
        <v>2.7377972465581973E-2</v>
      </c>
      <c r="Q148" s="189">
        <v>0.53199999999999936</v>
      </c>
      <c r="R148" s="191">
        <v>2.0807259073842278E-2</v>
      </c>
      <c r="S148" s="190">
        <v>169.20259999999979</v>
      </c>
      <c r="T148" s="189" t="s">
        <v>486</v>
      </c>
      <c r="U148" s="189" t="s">
        <v>426</v>
      </c>
      <c r="V148" s="189"/>
      <c r="W148" s="196">
        <v>1</v>
      </c>
      <c r="X148" s="189" t="s">
        <v>303</v>
      </c>
    </row>
    <row r="149" spans="2:24">
      <c r="B149" s="531"/>
      <c r="C149" s="531"/>
      <c r="D149" s="200">
        <v>43</v>
      </c>
      <c r="E149" s="189" t="s">
        <v>405</v>
      </c>
      <c r="F149" s="190">
        <v>167.36400000000003</v>
      </c>
      <c r="G149" s="189">
        <v>16.271999999999998</v>
      </c>
      <c r="H149" s="189">
        <v>16.899999999999999</v>
      </c>
      <c r="I149" s="201">
        <f t="shared" si="18"/>
        <v>1.0385939036381515</v>
      </c>
      <c r="J149" s="189">
        <v>0</v>
      </c>
      <c r="K149" s="201">
        <f t="shared" si="19"/>
        <v>0</v>
      </c>
      <c r="L149" s="190">
        <v>418.41</v>
      </c>
      <c r="M149" s="201">
        <f t="shared" si="20"/>
        <v>1.0385939036381515</v>
      </c>
      <c r="N149" s="190">
        <v>262.76148000000006</v>
      </c>
      <c r="O149" s="189">
        <v>0.4</v>
      </c>
      <c r="P149" s="191">
        <v>2.4582104228121932E-2</v>
      </c>
      <c r="Q149" s="189">
        <v>0.22800000000000009</v>
      </c>
      <c r="R149" s="191">
        <v>1.4011799410029505E-2</v>
      </c>
      <c r="S149" s="190">
        <v>95.397480000000044</v>
      </c>
      <c r="T149" s="189" t="s">
        <v>494</v>
      </c>
      <c r="U149" s="189" t="s">
        <v>500</v>
      </c>
      <c r="V149" s="189"/>
      <c r="W149" s="196">
        <v>1</v>
      </c>
      <c r="X149" s="189" t="s">
        <v>267</v>
      </c>
    </row>
    <row r="150" spans="2:24">
      <c r="B150" s="531"/>
      <c r="C150" s="531"/>
      <c r="D150" s="200">
        <v>44</v>
      </c>
      <c r="E150" s="189" t="s">
        <v>422</v>
      </c>
      <c r="F150" s="190">
        <v>166.77600000000001</v>
      </c>
      <c r="G150" s="189">
        <v>70.56</v>
      </c>
      <c r="H150" s="189">
        <v>71.7</v>
      </c>
      <c r="I150" s="201">
        <f t="shared" si="18"/>
        <v>1.0161564625850341</v>
      </c>
      <c r="J150" s="189">
        <v>0</v>
      </c>
      <c r="K150" s="201">
        <f t="shared" si="19"/>
        <v>0</v>
      </c>
      <c r="L150" s="190">
        <v>208.47</v>
      </c>
      <c r="M150" s="201">
        <f t="shared" si="20"/>
        <v>1.0161564625850341</v>
      </c>
      <c r="N150" s="190">
        <v>237.65580000000011</v>
      </c>
      <c r="O150" s="189">
        <v>0.8</v>
      </c>
      <c r="P150" s="191">
        <v>1.1337868480725623E-2</v>
      </c>
      <c r="Q150" s="189">
        <v>0.34000000000000052</v>
      </c>
      <c r="R150" s="191">
        <v>4.8185941043083977E-3</v>
      </c>
      <c r="S150" s="190">
        <v>70.879800000000103</v>
      </c>
      <c r="T150" s="189" t="s">
        <v>483</v>
      </c>
      <c r="U150" s="189" t="s">
        <v>416</v>
      </c>
      <c r="V150" s="189"/>
      <c r="W150" s="196">
        <v>1</v>
      </c>
      <c r="X150" s="189" t="s">
        <v>305</v>
      </c>
    </row>
    <row r="151" spans="2:24">
      <c r="B151" s="531"/>
      <c r="C151" s="531"/>
      <c r="D151" s="200">
        <v>45</v>
      </c>
      <c r="E151" s="189" t="s">
        <v>431</v>
      </c>
      <c r="F151" s="190">
        <v>164.208</v>
      </c>
      <c r="G151" s="189">
        <v>42.384999999999998</v>
      </c>
      <c r="H151" s="189">
        <v>43.4</v>
      </c>
      <c r="I151" s="201">
        <f t="shared" si="18"/>
        <v>1.0239471511147813</v>
      </c>
      <c r="J151" s="189">
        <v>0</v>
      </c>
      <c r="K151" s="201">
        <f t="shared" si="19"/>
        <v>0</v>
      </c>
      <c r="L151" s="190">
        <v>273.68</v>
      </c>
      <c r="M151" s="201">
        <f t="shared" si="20"/>
        <v>1.0239471511147813</v>
      </c>
      <c r="N151" s="190">
        <v>277.78520000000015</v>
      </c>
      <c r="O151" s="189">
        <v>0.6</v>
      </c>
      <c r="P151" s="191">
        <v>1.4155951397900201E-2</v>
      </c>
      <c r="Q151" s="189">
        <v>0.41500000000000059</v>
      </c>
      <c r="R151" s="191">
        <v>9.7911997168809873E-3</v>
      </c>
      <c r="S151" s="190">
        <v>113.57720000000016</v>
      </c>
      <c r="T151" s="189" t="s">
        <v>494</v>
      </c>
      <c r="U151" s="189" t="s">
        <v>495</v>
      </c>
      <c r="V151" s="189"/>
      <c r="W151" s="196">
        <v>1</v>
      </c>
      <c r="X151" s="189" t="s">
        <v>273</v>
      </c>
    </row>
    <row r="152" spans="2:24">
      <c r="B152" s="531"/>
      <c r="C152" s="531"/>
      <c r="D152" s="200">
        <v>46</v>
      </c>
      <c r="E152" s="189" t="s">
        <v>487</v>
      </c>
      <c r="F152" s="190">
        <v>160.70000000000002</v>
      </c>
      <c r="G152" s="189">
        <v>15.036</v>
      </c>
      <c r="H152" s="189">
        <v>15.5</v>
      </c>
      <c r="I152" s="201">
        <f t="shared" si="18"/>
        <v>1.0308592710827349</v>
      </c>
      <c r="J152" s="189">
        <v>0</v>
      </c>
      <c r="K152" s="201">
        <f t="shared" si="19"/>
        <v>0</v>
      </c>
      <c r="L152" s="190">
        <v>401.75</v>
      </c>
      <c r="M152" s="201">
        <f t="shared" si="20"/>
        <v>1.0308592710827349</v>
      </c>
      <c r="N152" s="190">
        <v>186.41200000000018</v>
      </c>
      <c r="O152" s="189">
        <v>0.4</v>
      </c>
      <c r="P152" s="191">
        <v>2.6602819898909287E-2</v>
      </c>
      <c r="Q152" s="189">
        <v>6.400000000000039E-2</v>
      </c>
      <c r="R152" s="191">
        <v>4.2564511838255117E-3</v>
      </c>
      <c r="S152" s="190">
        <v>25.712000000000156</v>
      </c>
      <c r="T152" s="189" t="s">
        <v>483</v>
      </c>
      <c r="U152" s="189" t="s">
        <v>416</v>
      </c>
      <c r="V152" s="189"/>
      <c r="W152" s="196">
        <v>1</v>
      </c>
      <c r="X152" s="189" t="s">
        <v>213</v>
      </c>
    </row>
    <row r="153" spans="2:24">
      <c r="B153" s="531"/>
      <c r="C153" s="531"/>
      <c r="D153" s="200">
        <v>47</v>
      </c>
      <c r="E153" s="189" t="s">
        <v>521</v>
      </c>
      <c r="F153" s="190">
        <v>157.71899999999999</v>
      </c>
      <c r="G153" s="189">
        <v>41.16</v>
      </c>
      <c r="H153" s="189">
        <v>42.2</v>
      </c>
      <c r="I153" s="201">
        <f t="shared" si="18"/>
        <v>1.0252672497570459</v>
      </c>
      <c r="J153" s="189">
        <v>0</v>
      </c>
      <c r="K153" s="201">
        <f t="shared" si="19"/>
        <v>0</v>
      </c>
      <c r="L153" s="190">
        <v>525.73</v>
      </c>
      <c r="M153" s="201">
        <f t="shared" si="20"/>
        <v>1.0252672497570459</v>
      </c>
      <c r="N153" s="190">
        <v>546.75920000000326</v>
      </c>
      <c r="O153" s="189">
        <v>0.3</v>
      </c>
      <c r="P153" s="191">
        <v>7.28862973760933E-3</v>
      </c>
      <c r="Q153" s="189">
        <v>0.74000000000000621</v>
      </c>
      <c r="R153" s="191">
        <v>1.7978620019436498E-2</v>
      </c>
      <c r="S153" s="190">
        <v>389.04020000000327</v>
      </c>
      <c r="T153" s="189" t="s">
        <v>486</v>
      </c>
      <c r="U153" s="189" t="s">
        <v>426</v>
      </c>
      <c r="V153" s="189"/>
      <c r="W153" s="196">
        <v>1</v>
      </c>
      <c r="X153" s="189" t="s">
        <v>285</v>
      </c>
    </row>
    <row r="154" spans="2:24">
      <c r="B154" s="531"/>
      <c r="C154" s="531"/>
      <c r="D154" s="200">
        <v>48</v>
      </c>
      <c r="E154" s="189" t="s">
        <v>491</v>
      </c>
      <c r="F154" s="190">
        <v>154.05500000000001</v>
      </c>
      <c r="G154" s="189">
        <v>65.6683168316832</v>
      </c>
      <c r="H154" s="189">
        <v>66.8</v>
      </c>
      <c r="I154" s="201">
        <f t="shared" si="18"/>
        <v>1.0172333207689404</v>
      </c>
      <c r="J154" s="189">
        <v>0</v>
      </c>
      <c r="K154" s="201">
        <f t="shared" si="19"/>
        <v>0</v>
      </c>
      <c r="L154" s="190">
        <v>308.11</v>
      </c>
      <c r="M154" s="201">
        <f t="shared" si="20"/>
        <v>1.0172333207689404</v>
      </c>
      <c r="N154" s="190">
        <v>348.68290099008851</v>
      </c>
      <c r="O154" s="189">
        <v>0.5</v>
      </c>
      <c r="P154" s="191">
        <v>7.6140218620429669E-3</v>
      </c>
      <c r="Q154" s="189">
        <v>0.63168316831679761</v>
      </c>
      <c r="R154" s="191">
        <v>9.6192989068973282E-3</v>
      </c>
      <c r="S154" s="190">
        <v>194.62790099008851</v>
      </c>
      <c r="T154" s="189" t="s">
        <v>483</v>
      </c>
      <c r="U154" s="189" t="s">
        <v>416</v>
      </c>
      <c r="V154" s="189"/>
      <c r="W154" s="196">
        <v>1</v>
      </c>
      <c r="X154" s="189" t="s">
        <v>320</v>
      </c>
    </row>
    <row r="155" spans="2:24">
      <c r="B155" s="531"/>
      <c r="C155" s="531"/>
      <c r="D155" s="200">
        <v>49</v>
      </c>
      <c r="E155" s="189" t="s">
        <v>418</v>
      </c>
      <c r="F155" s="190">
        <v>153.018</v>
      </c>
      <c r="G155" s="189">
        <v>170.58500000000001</v>
      </c>
      <c r="H155" s="189">
        <v>171.6</v>
      </c>
      <c r="I155" s="201">
        <f t="shared" si="18"/>
        <v>1.0059501128469677</v>
      </c>
      <c r="J155" s="189">
        <v>0</v>
      </c>
      <c r="K155" s="201">
        <f t="shared" si="19"/>
        <v>0</v>
      </c>
      <c r="L155" s="190">
        <v>510.06</v>
      </c>
      <c r="M155" s="201">
        <f t="shared" si="20"/>
        <v>1.0059501128469677</v>
      </c>
      <c r="N155" s="190">
        <v>517.71089999999299</v>
      </c>
      <c r="O155" s="189">
        <v>0.3</v>
      </c>
      <c r="P155" s="191">
        <v>1.7586540434387547E-3</v>
      </c>
      <c r="Q155" s="189">
        <v>0.71499999999998631</v>
      </c>
      <c r="R155" s="191">
        <v>4.191458803528952E-3</v>
      </c>
      <c r="S155" s="190">
        <v>364.69289999999302</v>
      </c>
      <c r="T155" s="189" t="s">
        <v>483</v>
      </c>
      <c r="U155" s="189" t="s">
        <v>416</v>
      </c>
      <c r="V155" s="189"/>
      <c r="W155" s="196">
        <v>1</v>
      </c>
      <c r="X155" s="189" t="s">
        <v>417</v>
      </c>
    </row>
    <row r="156" spans="2:24">
      <c r="B156" s="531"/>
      <c r="C156" s="531"/>
      <c r="D156" s="200">
        <v>50</v>
      </c>
      <c r="E156" s="189" t="s">
        <v>427</v>
      </c>
      <c r="F156" s="190">
        <v>151.63800000000001</v>
      </c>
      <c r="G156" s="189">
        <v>15.731999999999999</v>
      </c>
      <c r="H156" s="189">
        <v>16</v>
      </c>
      <c r="I156" s="201">
        <f t="shared" si="18"/>
        <v>1.0170353419781337</v>
      </c>
      <c r="J156" s="189">
        <v>0</v>
      </c>
      <c r="K156" s="201">
        <f t="shared" si="19"/>
        <v>0</v>
      </c>
      <c r="L156" s="190">
        <v>758.19</v>
      </c>
      <c r="M156" s="201">
        <f t="shared" si="20"/>
        <v>1.0170353419781337</v>
      </c>
      <c r="N156" s="190">
        <v>203.19492000000054</v>
      </c>
      <c r="O156" s="189">
        <v>0.2</v>
      </c>
      <c r="P156" s="191">
        <v>1.2712941774726674E-2</v>
      </c>
      <c r="Q156" s="189">
        <v>6.8000000000000671E-2</v>
      </c>
      <c r="R156" s="191">
        <v>4.3224002034071111E-3</v>
      </c>
      <c r="S156" s="190">
        <v>51.55692000000051</v>
      </c>
      <c r="T156" s="189" t="s">
        <v>486</v>
      </c>
      <c r="U156" s="189" t="s">
        <v>426</v>
      </c>
      <c r="V156" s="189"/>
      <c r="W156" s="196">
        <v>1</v>
      </c>
      <c r="X156" s="189" t="s">
        <v>323</v>
      </c>
    </row>
    <row r="157" spans="2:24">
      <c r="B157" s="533">
        <v>45885</v>
      </c>
      <c r="C157" s="531" t="s">
        <v>157</v>
      </c>
      <c r="D157" s="200">
        <v>51</v>
      </c>
      <c r="E157" s="189" t="s">
        <v>489</v>
      </c>
      <c r="F157" s="190">
        <v>222.63499999999999</v>
      </c>
      <c r="G157" s="189">
        <v>29.335999999999999</v>
      </c>
      <c r="H157" s="189">
        <v>30.6</v>
      </c>
      <c r="I157" s="201">
        <f t="shared" si="18"/>
        <v>1.0430869920916281</v>
      </c>
      <c r="J157" s="189">
        <v>0</v>
      </c>
      <c r="K157" s="201">
        <f t="shared" si="19"/>
        <v>0</v>
      </c>
      <c r="L157" s="190">
        <v>318.05</v>
      </c>
      <c r="M157" s="201">
        <f t="shared" si="20"/>
        <v>1.0430869920916281</v>
      </c>
      <c r="N157" s="190">
        <v>402.01520000000096</v>
      </c>
      <c r="O157" s="189">
        <v>0.7</v>
      </c>
      <c r="P157" s="191">
        <v>2.3861467139350969E-2</v>
      </c>
      <c r="Q157" s="189">
        <v>0.56400000000000294</v>
      </c>
      <c r="R157" s="191">
        <v>1.9225524952277168E-2</v>
      </c>
      <c r="S157" s="190">
        <v>179.38020000000094</v>
      </c>
      <c r="T157" s="189" t="s">
        <v>486</v>
      </c>
      <c r="U157" s="189" t="s">
        <v>426</v>
      </c>
      <c r="V157" s="189"/>
      <c r="W157" s="196">
        <v>1</v>
      </c>
      <c r="X157" s="189" t="s">
        <v>303</v>
      </c>
    </row>
    <row r="158" spans="2:24">
      <c r="B158" s="531"/>
      <c r="C158" s="531"/>
      <c r="D158" s="200">
        <v>52</v>
      </c>
      <c r="E158" s="189" t="s">
        <v>438</v>
      </c>
      <c r="F158" s="190">
        <v>142.137</v>
      </c>
      <c r="G158" s="189">
        <v>71.369</v>
      </c>
      <c r="H158" s="189">
        <v>72.7</v>
      </c>
      <c r="I158" s="201">
        <f t="shared" si="18"/>
        <v>1.0186495537278091</v>
      </c>
      <c r="J158" s="189">
        <v>0</v>
      </c>
      <c r="K158" s="201">
        <f t="shared" si="19"/>
        <v>0</v>
      </c>
      <c r="L158" s="190">
        <v>473.79</v>
      </c>
      <c r="M158" s="201">
        <f t="shared" si="20"/>
        <v>1.0186495537278091</v>
      </c>
      <c r="N158" s="190">
        <v>630.61449000000152</v>
      </c>
      <c r="O158" s="189">
        <v>0.3</v>
      </c>
      <c r="P158" s="191">
        <v>4.2035057237736267E-3</v>
      </c>
      <c r="Q158" s="189">
        <v>1.031000000000003</v>
      </c>
      <c r="R158" s="191">
        <v>1.4446048004035409E-2</v>
      </c>
      <c r="S158" s="190">
        <v>488.47749000000147</v>
      </c>
      <c r="T158" s="189" t="s">
        <v>486</v>
      </c>
      <c r="U158" s="189" t="s">
        <v>426</v>
      </c>
      <c r="V158" s="189"/>
      <c r="W158" s="196">
        <v>1</v>
      </c>
      <c r="X158" s="189" t="s">
        <v>417</v>
      </c>
    </row>
    <row r="159" spans="2:24">
      <c r="B159" s="531"/>
      <c r="C159" s="531"/>
      <c r="D159" s="200">
        <v>53</v>
      </c>
      <c r="E159" s="189" t="s">
        <v>499</v>
      </c>
      <c r="F159" s="190">
        <v>139.44000000000003</v>
      </c>
      <c r="G159" s="189">
        <v>18.204000000000001</v>
      </c>
      <c r="H159" s="189">
        <v>18.100000000000001</v>
      </c>
      <c r="I159" s="201">
        <f t="shared" si="18"/>
        <v>0.99428696989672605</v>
      </c>
      <c r="J159" s="189">
        <v>0.8</v>
      </c>
      <c r="K159" s="201">
        <f t="shared" si="19"/>
        <v>4.3946385409800046E-2</v>
      </c>
      <c r="L159" s="190">
        <v>348.6</v>
      </c>
      <c r="M159" s="201">
        <f t="shared" si="20"/>
        <v>1.0382333553065262</v>
      </c>
      <c r="N159" s="190">
        <v>242.62560000000053</v>
      </c>
      <c r="O159" s="189">
        <v>0.4</v>
      </c>
      <c r="P159" s="191">
        <v>2.1973192704900023E-2</v>
      </c>
      <c r="Q159" s="189">
        <v>0.29600000000000148</v>
      </c>
      <c r="R159" s="191">
        <v>1.6260162601626098E-2</v>
      </c>
      <c r="S159" s="190">
        <v>103.18560000000052</v>
      </c>
      <c r="T159" s="189" t="s">
        <v>494</v>
      </c>
      <c r="U159" s="189" t="s">
        <v>495</v>
      </c>
      <c r="V159" s="189"/>
      <c r="W159" s="196">
        <v>1</v>
      </c>
      <c r="X159" s="189" t="s">
        <v>266</v>
      </c>
    </row>
    <row r="160" spans="2:24">
      <c r="B160" s="531"/>
      <c r="C160" s="531"/>
      <c r="D160" s="200">
        <v>54</v>
      </c>
      <c r="E160" s="189" t="s">
        <v>556</v>
      </c>
      <c r="F160" s="190">
        <v>136.172</v>
      </c>
      <c r="G160" s="189">
        <v>3.28</v>
      </c>
      <c r="H160" s="189">
        <v>3.2</v>
      </c>
      <c r="I160" s="201">
        <f t="shared" si="18"/>
        <v>0.97560975609756106</v>
      </c>
      <c r="J160" s="189">
        <v>0.7</v>
      </c>
      <c r="K160" s="201">
        <f t="shared" si="19"/>
        <v>0.21341463414634146</v>
      </c>
      <c r="L160" s="190">
        <v>340.43</v>
      </c>
      <c r="M160" s="201">
        <f t="shared" si="20"/>
        <v>1.1890243902439026</v>
      </c>
      <c r="N160" s="190">
        <v>211.06660000000019</v>
      </c>
      <c r="O160" s="189">
        <v>0.4</v>
      </c>
      <c r="P160" s="191">
        <v>0.12195121951219513</v>
      </c>
      <c r="Q160" s="189">
        <v>0.22000000000000053</v>
      </c>
      <c r="R160" s="191">
        <v>6.7073170731707488E-2</v>
      </c>
      <c r="S160" s="190">
        <v>74.894600000000182</v>
      </c>
      <c r="T160" s="189" t="s">
        <v>494</v>
      </c>
      <c r="U160" s="189" t="s">
        <v>495</v>
      </c>
      <c r="V160" s="189"/>
      <c r="W160" s="196">
        <v>1</v>
      </c>
      <c r="X160" s="189" t="s">
        <v>275</v>
      </c>
    </row>
    <row r="161" spans="2:24">
      <c r="B161" s="531"/>
      <c r="C161" s="531"/>
      <c r="D161" s="200">
        <v>55</v>
      </c>
      <c r="E161" s="189" t="s">
        <v>402</v>
      </c>
      <c r="F161" s="190">
        <v>135.666</v>
      </c>
      <c r="G161" s="189">
        <v>4.5090000000000003</v>
      </c>
      <c r="H161" s="189">
        <v>5.0999999999999996</v>
      </c>
      <c r="I161" s="201">
        <f t="shared" si="18"/>
        <v>1.1310711909514304</v>
      </c>
      <c r="J161" s="189">
        <v>0</v>
      </c>
      <c r="K161" s="201">
        <f t="shared" si="19"/>
        <v>0</v>
      </c>
      <c r="L161" s="190">
        <v>452.22</v>
      </c>
      <c r="M161" s="201">
        <f t="shared" si="20"/>
        <v>1.1310711909514304</v>
      </c>
      <c r="N161" s="190">
        <v>267.26201999999972</v>
      </c>
      <c r="O161" s="189">
        <v>0.3</v>
      </c>
      <c r="P161" s="191">
        <v>6.65335994677312E-2</v>
      </c>
      <c r="Q161" s="189">
        <v>0.29099999999999931</v>
      </c>
      <c r="R161" s="191">
        <v>6.4537591483699114E-2</v>
      </c>
      <c r="S161" s="190">
        <v>131.5960199999997</v>
      </c>
      <c r="T161" s="189" t="s">
        <v>494</v>
      </c>
      <c r="U161" s="189" t="s">
        <v>495</v>
      </c>
      <c r="V161" s="189"/>
      <c r="W161" s="196">
        <v>1</v>
      </c>
      <c r="X161" s="189" t="s">
        <v>256</v>
      </c>
    </row>
    <row r="162" spans="2:24">
      <c r="B162" s="531"/>
      <c r="C162" s="531"/>
      <c r="D162" s="200">
        <v>56</v>
      </c>
      <c r="E162" s="189" t="s">
        <v>551</v>
      </c>
      <c r="F162" s="190">
        <v>134.46</v>
      </c>
      <c r="G162" s="189">
        <v>1755</v>
      </c>
      <c r="H162" s="189">
        <v>1764</v>
      </c>
      <c r="I162" s="201">
        <f t="shared" si="18"/>
        <v>1.0051282051282051</v>
      </c>
      <c r="J162" s="189">
        <v>0</v>
      </c>
      <c r="K162" s="201">
        <f t="shared" si="19"/>
        <v>0</v>
      </c>
      <c r="L162" s="190">
        <v>14.94</v>
      </c>
      <c r="M162" s="201">
        <f t="shared" si="20"/>
        <v>1.0051282051282051</v>
      </c>
      <c r="N162" s="190">
        <v>134.46</v>
      </c>
      <c r="O162" s="189">
        <v>9</v>
      </c>
      <c r="P162" s="191">
        <v>5.1282051282051282E-3</v>
      </c>
      <c r="Q162" s="189">
        <v>0</v>
      </c>
      <c r="R162" s="191">
        <v>0</v>
      </c>
      <c r="S162" s="190">
        <v>0</v>
      </c>
      <c r="T162" s="189" t="s">
        <v>486</v>
      </c>
      <c r="U162" s="189" t="s">
        <v>426</v>
      </c>
      <c r="V162" s="189"/>
      <c r="W162" s="196">
        <v>1</v>
      </c>
      <c r="X162" s="189" t="s">
        <v>216</v>
      </c>
    </row>
    <row r="163" spans="2:24">
      <c r="B163" s="531"/>
      <c r="C163" s="531"/>
      <c r="D163" s="200">
        <v>57</v>
      </c>
      <c r="E163" s="189" t="s">
        <v>434</v>
      </c>
      <c r="F163" s="190">
        <v>132.21600000000001</v>
      </c>
      <c r="G163" s="189">
        <v>70.277000000000001</v>
      </c>
      <c r="H163" s="189">
        <v>71.2</v>
      </c>
      <c r="I163" s="201">
        <f t="shared" si="18"/>
        <v>1.0131337421916131</v>
      </c>
      <c r="J163" s="189">
        <v>0</v>
      </c>
      <c r="K163" s="201">
        <f t="shared" si="19"/>
        <v>0</v>
      </c>
      <c r="L163" s="190">
        <v>330.54</v>
      </c>
      <c r="M163" s="201">
        <f t="shared" si="20"/>
        <v>1.0131337421916131</v>
      </c>
      <c r="N163" s="190">
        <v>305.08842000000061</v>
      </c>
      <c r="O163" s="189">
        <v>0.4</v>
      </c>
      <c r="P163" s="191">
        <v>5.6917625965820966E-3</v>
      </c>
      <c r="Q163" s="189">
        <v>0.5230000000000018</v>
      </c>
      <c r="R163" s="191">
        <v>7.4419795950311169E-3</v>
      </c>
      <c r="S163" s="190">
        <v>172.8724200000006</v>
      </c>
      <c r="T163" s="189" t="s">
        <v>486</v>
      </c>
      <c r="U163" s="189" t="s">
        <v>426</v>
      </c>
      <c r="V163" s="189"/>
      <c r="W163" s="196">
        <v>1</v>
      </c>
      <c r="X163" s="189" t="s">
        <v>280</v>
      </c>
    </row>
    <row r="164" spans="2:24">
      <c r="B164" s="531"/>
      <c r="C164" s="531"/>
      <c r="D164" s="200">
        <v>58</v>
      </c>
      <c r="E164" s="189" t="s">
        <v>441</v>
      </c>
      <c r="F164" s="190">
        <v>131.66200000000001</v>
      </c>
      <c r="G164" s="189">
        <v>6.2549999999999999</v>
      </c>
      <c r="H164" s="189">
        <v>6.8</v>
      </c>
      <c r="I164" s="201">
        <f t="shared" si="18"/>
        <v>1.0871302957633893</v>
      </c>
      <c r="J164" s="189">
        <v>0</v>
      </c>
      <c r="K164" s="201">
        <f t="shared" si="19"/>
        <v>0</v>
      </c>
      <c r="L164" s="190">
        <v>658.31</v>
      </c>
      <c r="M164" s="201">
        <f t="shared" si="20"/>
        <v>1.0871302957633893</v>
      </c>
      <c r="N164" s="190">
        <v>358.7789499999999</v>
      </c>
      <c r="O164" s="189">
        <v>0.2</v>
      </c>
      <c r="P164" s="191">
        <v>3.1974420463629097E-2</v>
      </c>
      <c r="Q164" s="189">
        <v>0.34499999999999992</v>
      </c>
      <c r="R164" s="191">
        <v>5.5155875299760182E-2</v>
      </c>
      <c r="S164" s="190">
        <v>227.11694999999992</v>
      </c>
      <c r="T164" s="189" t="s">
        <v>486</v>
      </c>
      <c r="U164" s="189" t="s">
        <v>426</v>
      </c>
      <c r="V164" s="189"/>
      <c r="W164" s="196">
        <v>1</v>
      </c>
      <c r="X164" s="189" t="s">
        <v>293</v>
      </c>
    </row>
    <row r="165" spans="2:24">
      <c r="B165" s="531"/>
      <c r="C165" s="531"/>
      <c r="D165" s="200">
        <v>59</v>
      </c>
      <c r="E165" s="189" t="s">
        <v>505</v>
      </c>
      <c r="F165" s="190">
        <v>130.94999999999999</v>
      </c>
      <c r="G165" s="189">
        <v>1.3460000000000001</v>
      </c>
      <c r="H165" s="189">
        <v>1.9</v>
      </c>
      <c r="I165" s="201">
        <f t="shared" si="18"/>
        <v>1.4115898959881128</v>
      </c>
      <c r="J165" s="189">
        <v>0</v>
      </c>
      <c r="K165" s="201">
        <f t="shared" si="19"/>
        <v>0</v>
      </c>
      <c r="L165" s="190">
        <v>436.5</v>
      </c>
      <c r="M165" s="201">
        <f t="shared" si="20"/>
        <v>1.4115898959881128</v>
      </c>
      <c r="N165" s="190">
        <v>241.82099999999991</v>
      </c>
      <c r="O165" s="189">
        <v>0.3</v>
      </c>
      <c r="P165" s="191">
        <v>0.22288261515601782</v>
      </c>
      <c r="Q165" s="189">
        <v>0.25399999999999984</v>
      </c>
      <c r="R165" s="191">
        <v>0.18870728083209495</v>
      </c>
      <c r="S165" s="190">
        <v>110.87099999999992</v>
      </c>
      <c r="T165" s="189" t="s">
        <v>494</v>
      </c>
      <c r="U165" s="189" t="s">
        <v>495</v>
      </c>
      <c r="V165" s="189"/>
      <c r="W165" s="196">
        <v>1</v>
      </c>
      <c r="X165" s="189" t="s">
        <v>277</v>
      </c>
    </row>
    <row r="166" spans="2:24">
      <c r="B166" s="531"/>
      <c r="C166" s="531"/>
      <c r="D166" s="200">
        <v>60</v>
      </c>
      <c r="E166" s="189" t="s">
        <v>561</v>
      </c>
      <c r="F166" s="190">
        <v>128.63999999999999</v>
      </c>
      <c r="G166" s="189">
        <v>2.9940000000000002</v>
      </c>
      <c r="H166" s="189">
        <v>3.6</v>
      </c>
      <c r="I166" s="201">
        <f t="shared" si="18"/>
        <v>1.2024048096192383</v>
      </c>
      <c r="J166" s="189">
        <v>0</v>
      </c>
      <c r="K166" s="201">
        <f t="shared" si="19"/>
        <v>0</v>
      </c>
      <c r="L166" s="190">
        <v>428.8</v>
      </c>
      <c r="M166" s="201">
        <f t="shared" si="20"/>
        <v>1.2024048096192383</v>
      </c>
      <c r="N166" s="190">
        <v>259.85279999999995</v>
      </c>
      <c r="O166" s="189">
        <v>0.3</v>
      </c>
      <c r="P166" s="191">
        <v>0.1002004008016032</v>
      </c>
      <c r="Q166" s="189">
        <v>0.30599999999999988</v>
      </c>
      <c r="R166" s="191">
        <v>0.10220440881763522</v>
      </c>
      <c r="S166" s="190">
        <v>131.21279999999996</v>
      </c>
      <c r="T166" s="189" t="s">
        <v>514</v>
      </c>
      <c r="U166" s="189" t="s">
        <v>490</v>
      </c>
      <c r="V166" s="189"/>
      <c r="W166" s="196">
        <v>1</v>
      </c>
      <c r="X166" s="189" t="s">
        <v>245</v>
      </c>
    </row>
    <row r="167" spans="2:24">
      <c r="B167" s="533">
        <v>45886</v>
      </c>
      <c r="C167" s="531" t="s">
        <v>152</v>
      </c>
      <c r="D167" s="200">
        <v>61</v>
      </c>
      <c r="E167" s="189" t="s">
        <v>489</v>
      </c>
      <c r="F167" s="190">
        <v>222.63499999999999</v>
      </c>
      <c r="G167" s="189">
        <v>40.847999999999999</v>
      </c>
      <c r="H167" s="189">
        <v>41.9</v>
      </c>
      <c r="I167" s="201">
        <f t="shared" si="18"/>
        <v>1.0257540148844497</v>
      </c>
      <c r="J167" s="189">
        <v>0</v>
      </c>
      <c r="K167" s="201">
        <f t="shared" si="19"/>
        <v>0</v>
      </c>
      <c r="L167" s="190">
        <v>318.05</v>
      </c>
      <c r="M167" s="201">
        <f t="shared" si="20"/>
        <v>1.0257540148844497</v>
      </c>
      <c r="N167" s="190">
        <v>334.58859999999987</v>
      </c>
      <c r="O167" s="189">
        <v>0.7</v>
      </c>
      <c r="P167" s="191">
        <v>1.7136701919310614E-2</v>
      </c>
      <c r="Q167" s="189">
        <v>0.35199999999999965</v>
      </c>
      <c r="R167" s="191">
        <v>8.6173129651390436E-3</v>
      </c>
      <c r="S167" s="190">
        <v>111.95359999999989</v>
      </c>
      <c r="T167" s="189" t="s">
        <v>486</v>
      </c>
      <c r="U167" s="189" t="s">
        <v>490</v>
      </c>
      <c r="V167" s="189"/>
      <c r="W167" s="196">
        <v>1</v>
      </c>
      <c r="X167" s="189" t="s">
        <v>303</v>
      </c>
    </row>
    <row r="168" spans="2:24">
      <c r="B168" s="531"/>
      <c r="C168" s="531"/>
      <c r="D168" s="200">
        <v>62</v>
      </c>
      <c r="E168" s="189" t="s">
        <v>508</v>
      </c>
      <c r="F168" s="190">
        <v>191.22</v>
      </c>
      <c r="G168" s="189">
        <v>144.43100000000001</v>
      </c>
      <c r="H168" s="189">
        <v>147.5</v>
      </c>
      <c r="I168" s="201">
        <f t="shared" si="18"/>
        <v>1.0212489008592338</v>
      </c>
      <c r="J168" s="189">
        <v>0</v>
      </c>
      <c r="K168" s="201">
        <f t="shared" si="19"/>
        <v>0</v>
      </c>
      <c r="L168" s="190">
        <v>127.48</v>
      </c>
      <c r="M168" s="201">
        <f t="shared" si="20"/>
        <v>1.0212489008592338</v>
      </c>
      <c r="N168" s="190">
        <v>391.23611999999855</v>
      </c>
      <c r="O168" s="189">
        <v>1.5</v>
      </c>
      <c r="P168" s="191">
        <v>1.0385582042636276E-2</v>
      </c>
      <c r="Q168" s="189">
        <v>1.5689999999999884</v>
      </c>
      <c r="R168" s="191">
        <v>1.0863318816597464E-2</v>
      </c>
      <c r="S168" s="190">
        <v>200.01611999999852</v>
      </c>
      <c r="T168" s="189" t="s">
        <v>494</v>
      </c>
      <c r="U168" s="189" t="s">
        <v>500</v>
      </c>
      <c r="V168" s="189"/>
      <c r="W168" s="196">
        <v>1</v>
      </c>
      <c r="X168" s="189" t="s">
        <v>323</v>
      </c>
    </row>
    <row r="169" spans="2:24">
      <c r="B169" s="531"/>
      <c r="C169" s="531"/>
      <c r="D169" s="200">
        <v>63</v>
      </c>
      <c r="E169" s="189" t="s">
        <v>553</v>
      </c>
      <c r="F169" s="190">
        <v>169.03200000000001</v>
      </c>
      <c r="G169" s="189">
        <v>40.590000000000003</v>
      </c>
      <c r="H169" s="189">
        <v>41.5</v>
      </c>
      <c r="I169" s="201">
        <f t="shared" si="18"/>
        <v>1.0224193151022418</v>
      </c>
      <c r="J169" s="189">
        <v>0</v>
      </c>
      <c r="K169" s="201">
        <f t="shared" si="19"/>
        <v>0</v>
      </c>
      <c r="L169" s="190">
        <v>281.72000000000003</v>
      </c>
      <c r="M169" s="201">
        <f t="shared" si="20"/>
        <v>1.0224193151022418</v>
      </c>
      <c r="N169" s="190">
        <v>256.36519999999905</v>
      </c>
      <c r="O169" s="189">
        <v>0.6</v>
      </c>
      <c r="P169" s="191">
        <v>1.4781966001478195E-2</v>
      </c>
      <c r="Q169" s="189">
        <v>0.30999999999999661</v>
      </c>
      <c r="R169" s="191">
        <v>7.6373491007636508E-3</v>
      </c>
      <c r="S169" s="190">
        <v>87.333199999999053</v>
      </c>
      <c r="T169" s="189" t="s">
        <v>486</v>
      </c>
      <c r="U169" s="189" t="s">
        <v>426</v>
      </c>
      <c r="V169" s="189"/>
      <c r="W169" s="196">
        <v>1</v>
      </c>
      <c r="X169" s="189" t="s">
        <v>296</v>
      </c>
    </row>
    <row r="170" spans="2:24">
      <c r="B170" s="531"/>
      <c r="C170" s="531"/>
      <c r="D170" s="200">
        <v>64</v>
      </c>
      <c r="E170" s="189" t="s">
        <v>433</v>
      </c>
      <c r="F170" s="190">
        <v>167.245</v>
      </c>
      <c r="G170" s="189">
        <v>47.97</v>
      </c>
      <c r="H170" s="189">
        <v>48.8</v>
      </c>
      <c r="I170" s="201">
        <f t="shared" si="18"/>
        <v>1.0173024807171149</v>
      </c>
      <c r="J170" s="189">
        <v>0</v>
      </c>
      <c r="K170" s="201">
        <f t="shared" si="19"/>
        <v>0</v>
      </c>
      <c r="L170" s="190">
        <v>334.49</v>
      </c>
      <c r="M170" s="201">
        <f t="shared" si="20"/>
        <v>1.0173024807171149</v>
      </c>
      <c r="N170" s="190">
        <v>277.62669999999946</v>
      </c>
      <c r="O170" s="189">
        <v>0.5</v>
      </c>
      <c r="P170" s="191">
        <v>1.0423181154888472E-2</v>
      </c>
      <c r="Q170" s="189">
        <v>0.32999999999999829</v>
      </c>
      <c r="R170" s="191">
        <v>6.8792995622263559E-3</v>
      </c>
      <c r="S170" s="190">
        <v>110.38169999999943</v>
      </c>
      <c r="T170" s="189" t="s">
        <v>483</v>
      </c>
      <c r="U170" s="189" t="s">
        <v>416</v>
      </c>
      <c r="V170" s="189"/>
      <c r="W170" s="196">
        <v>1</v>
      </c>
      <c r="X170" s="189" t="s">
        <v>278</v>
      </c>
    </row>
    <row r="171" spans="2:24">
      <c r="B171" s="531"/>
      <c r="C171" s="531"/>
      <c r="D171" s="200">
        <v>65</v>
      </c>
      <c r="E171" s="189" t="s">
        <v>422</v>
      </c>
      <c r="F171" s="190">
        <v>166.77599999999998</v>
      </c>
      <c r="G171" s="189">
        <v>92.61</v>
      </c>
      <c r="H171" s="189">
        <v>93.8</v>
      </c>
      <c r="I171" s="201">
        <f t="shared" si="18"/>
        <v>1.0128495842781557</v>
      </c>
      <c r="J171" s="189">
        <v>0</v>
      </c>
      <c r="K171" s="201">
        <f t="shared" si="19"/>
        <v>0</v>
      </c>
      <c r="L171" s="190">
        <v>208.47</v>
      </c>
      <c r="M171" s="201">
        <f t="shared" si="20"/>
        <v>1.0128495842781557</v>
      </c>
      <c r="N171" s="190">
        <v>248.07929999999953</v>
      </c>
      <c r="O171" s="189">
        <v>0.79999999999999993</v>
      </c>
      <c r="P171" s="191">
        <v>8.6383759853147606E-3</v>
      </c>
      <c r="Q171" s="189">
        <v>0.38999999999999779</v>
      </c>
      <c r="R171" s="191">
        <v>4.2112082928409218E-3</v>
      </c>
      <c r="S171" s="190">
        <v>81.303299999999538</v>
      </c>
      <c r="T171" s="189" t="s">
        <v>483</v>
      </c>
      <c r="U171" s="189" t="s">
        <v>416</v>
      </c>
      <c r="V171" s="189"/>
      <c r="W171" s="196">
        <v>1</v>
      </c>
      <c r="X171" s="189" t="s">
        <v>305</v>
      </c>
    </row>
    <row r="172" spans="2:24">
      <c r="B172" s="531"/>
      <c r="C172" s="531"/>
      <c r="D172" s="200">
        <v>66</v>
      </c>
      <c r="E172" s="189" t="s">
        <v>502</v>
      </c>
      <c r="F172" s="190">
        <v>164.18800000000002</v>
      </c>
      <c r="G172" s="189">
        <v>10.843</v>
      </c>
      <c r="H172" s="189">
        <v>11.5</v>
      </c>
      <c r="I172" s="201">
        <f t="shared" si="18"/>
        <v>1.0605920870607766</v>
      </c>
      <c r="J172" s="189">
        <v>0</v>
      </c>
      <c r="K172" s="201">
        <f t="shared" si="19"/>
        <v>0</v>
      </c>
      <c r="L172" s="190">
        <v>410.47</v>
      </c>
      <c r="M172" s="201">
        <f t="shared" si="20"/>
        <v>1.0605920870607766</v>
      </c>
      <c r="N172" s="190">
        <v>269.67879000000005</v>
      </c>
      <c r="O172" s="189">
        <v>0.4</v>
      </c>
      <c r="P172" s="191">
        <v>3.6890159549940058E-2</v>
      </c>
      <c r="Q172" s="189">
        <v>0.25700000000000001</v>
      </c>
      <c r="R172" s="191">
        <v>2.3701927510836485E-2</v>
      </c>
      <c r="S172" s="190">
        <v>105.49079</v>
      </c>
      <c r="T172" s="189" t="s">
        <v>494</v>
      </c>
      <c r="U172" s="189" t="s">
        <v>495</v>
      </c>
      <c r="V172" s="189"/>
      <c r="W172" s="196">
        <v>1</v>
      </c>
      <c r="X172" s="189" t="s">
        <v>230</v>
      </c>
    </row>
    <row r="173" spans="2:24">
      <c r="B173" s="531"/>
      <c r="C173" s="531"/>
      <c r="D173" s="200">
        <v>67</v>
      </c>
      <c r="E173" s="189" t="s">
        <v>420</v>
      </c>
      <c r="F173" s="190">
        <v>160.70000000000002</v>
      </c>
      <c r="G173" s="189">
        <v>29.47</v>
      </c>
      <c r="H173" s="189">
        <v>30.1</v>
      </c>
      <c r="I173" s="201">
        <f t="shared" si="18"/>
        <v>1.0213776722090262</v>
      </c>
      <c r="J173" s="189">
        <v>0</v>
      </c>
      <c r="K173" s="201">
        <f t="shared" si="19"/>
        <v>0</v>
      </c>
      <c r="L173" s="190">
        <v>401.75</v>
      </c>
      <c r="M173" s="201">
        <f t="shared" si="20"/>
        <v>1.0213776722090262</v>
      </c>
      <c r="N173" s="190">
        <v>253.10250000000102</v>
      </c>
      <c r="O173" s="189">
        <v>0.4</v>
      </c>
      <c r="P173" s="191">
        <v>1.3573125212080083E-2</v>
      </c>
      <c r="Q173" s="189">
        <v>0.23000000000000254</v>
      </c>
      <c r="R173" s="191">
        <v>7.8045469969461332E-3</v>
      </c>
      <c r="S173" s="190">
        <v>92.402500000001012</v>
      </c>
      <c r="T173" s="189" t="s">
        <v>483</v>
      </c>
      <c r="U173" s="189" t="s">
        <v>416</v>
      </c>
      <c r="V173" s="189"/>
      <c r="W173" s="196">
        <v>1</v>
      </c>
      <c r="X173" s="189" t="s">
        <v>419</v>
      </c>
    </row>
    <row r="174" spans="2:24">
      <c r="B174" s="531"/>
      <c r="C174" s="531"/>
      <c r="D174" s="200">
        <v>68</v>
      </c>
      <c r="E174" s="189" t="s">
        <v>536</v>
      </c>
      <c r="F174" s="190">
        <v>157.75200000000001</v>
      </c>
      <c r="G174" s="189">
        <v>7.76</v>
      </c>
      <c r="H174" s="189">
        <v>8.4</v>
      </c>
      <c r="I174" s="201">
        <f t="shared" si="18"/>
        <v>1.0824742268041239</v>
      </c>
      <c r="J174" s="189">
        <v>0</v>
      </c>
      <c r="K174" s="201">
        <f t="shared" si="19"/>
        <v>0</v>
      </c>
      <c r="L174" s="190">
        <v>394.38</v>
      </c>
      <c r="M174" s="201">
        <f t="shared" si="20"/>
        <v>1.0824742268041239</v>
      </c>
      <c r="N174" s="190">
        <v>252.40320000000023</v>
      </c>
      <c r="O174" s="189">
        <v>0.4</v>
      </c>
      <c r="P174" s="191">
        <v>5.1546391752577324E-2</v>
      </c>
      <c r="Q174" s="189">
        <v>0.24000000000000055</v>
      </c>
      <c r="R174" s="191">
        <v>3.0927835051546462E-2</v>
      </c>
      <c r="S174" s="190">
        <v>94.651200000000216</v>
      </c>
      <c r="T174" s="189" t="s">
        <v>494</v>
      </c>
      <c r="U174" s="189" t="s">
        <v>495</v>
      </c>
      <c r="V174" s="189"/>
      <c r="W174" s="196">
        <v>1</v>
      </c>
      <c r="X174" s="189" t="s">
        <v>325</v>
      </c>
    </row>
    <row r="175" spans="2:24">
      <c r="B175" s="531"/>
      <c r="C175" s="531"/>
      <c r="D175" s="200">
        <v>69</v>
      </c>
      <c r="E175" s="189" t="s">
        <v>521</v>
      </c>
      <c r="F175" s="190">
        <v>157.71899999999999</v>
      </c>
      <c r="G175" s="189">
        <v>37.247999999999998</v>
      </c>
      <c r="H175" s="189">
        <v>38.299999999999997</v>
      </c>
      <c r="I175" s="201">
        <f t="shared" si="18"/>
        <v>1.0282431271477663</v>
      </c>
      <c r="J175" s="189">
        <v>0</v>
      </c>
      <c r="K175" s="201">
        <f t="shared" si="19"/>
        <v>0</v>
      </c>
      <c r="L175" s="190">
        <v>525.73</v>
      </c>
      <c r="M175" s="201">
        <f t="shared" si="20"/>
        <v>1.0282431271477663</v>
      </c>
      <c r="N175" s="190">
        <v>553.06795999999986</v>
      </c>
      <c r="O175" s="189">
        <v>0.3</v>
      </c>
      <c r="P175" s="191">
        <v>8.0541237113402071E-3</v>
      </c>
      <c r="Q175" s="189">
        <v>0.75199999999999956</v>
      </c>
      <c r="R175" s="191">
        <v>2.0189003436426108E-2</v>
      </c>
      <c r="S175" s="190">
        <v>395.34895999999981</v>
      </c>
      <c r="T175" s="189" t="s">
        <v>483</v>
      </c>
      <c r="U175" s="189" t="s">
        <v>416</v>
      </c>
      <c r="V175" s="189"/>
      <c r="W175" s="196">
        <v>1</v>
      </c>
      <c r="X175" s="189" t="s">
        <v>285</v>
      </c>
    </row>
    <row r="176" spans="2:24">
      <c r="B176" s="531"/>
      <c r="C176" s="531"/>
      <c r="D176" s="200">
        <v>70</v>
      </c>
      <c r="E176" s="189" t="s">
        <v>491</v>
      </c>
      <c r="F176" s="190">
        <v>154.05500000000001</v>
      </c>
      <c r="G176" s="189">
        <v>83.1683168316832</v>
      </c>
      <c r="H176" s="189">
        <v>84</v>
      </c>
      <c r="I176" s="201">
        <f t="shared" si="18"/>
        <v>1.0099999999999996</v>
      </c>
      <c r="J176" s="189">
        <v>0</v>
      </c>
      <c r="K176" s="201">
        <f t="shared" si="19"/>
        <v>0</v>
      </c>
      <c r="L176" s="190">
        <v>308.11</v>
      </c>
      <c r="M176" s="201">
        <f t="shared" si="20"/>
        <v>1.0099999999999996</v>
      </c>
      <c r="N176" s="190">
        <v>256.24990099008937</v>
      </c>
      <c r="O176" s="189">
        <v>0.5</v>
      </c>
      <c r="P176" s="191">
        <v>6.01190476190476E-3</v>
      </c>
      <c r="Q176" s="189">
        <v>0.33168316831680045</v>
      </c>
      <c r="R176" s="191">
        <v>3.9880952380948612E-3</v>
      </c>
      <c r="S176" s="190">
        <v>102.19490099008939</v>
      </c>
      <c r="T176" s="189" t="s">
        <v>483</v>
      </c>
      <c r="U176" s="189" t="s">
        <v>416</v>
      </c>
      <c r="V176" s="189"/>
      <c r="W176" s="196">
        <v>1</v>
      </c>
      <c r="X176" s="189" t="s">
        <v>320</v>
      </c>
    </row>
    <row r="177" spans="2:24">
      <c r="B177" s="533">
        <v>45887</v>
      </c>
      <c r="C177" s="531" t="s">
        <v>158</v>
      </c>
      <c r="D177" s="200">
        <v>71</v>
      </c>
      <c r="E177" s="189" t="s">
        <v>521</v>
      </c>
      <c r="F177" s="190">
        <v>210.29200000000003</v>
      </c>
      <c r="G177" s="189">
        <v>33.887999999999998</v>
      </c>
      <c r="H177" s="189">
        <v>34.799999999999997</v>
      </c>
      <c r="I177" s="201">
        <f t="shared" si="18"/>
        <v>1.0269121813031161</v>
      </c>
      <c r="J177" s="189">
        <v>0</v>
      </c>
      <c r="K177" s="201">
        <f t="shared" si="19"/>
        <v>0</v>
      </c>
      <c r="L177" s="190">
        <v>525.73</v>
      </c>
      <c r="M177" s="201">
        <f t="shared" si="20"/>
        <v>1.0269121813031161</v>
      </c>
      <c r="N177" s="190">
        <v>479.46575999999953</v>
      </c>
      <c r="O177" s="189">
        <v>0.4</v>
      </c>
      <c r="P177" s="191">
        <v>1.1803588290840416E-2</v>
      </c>
      <c r="Q177" s="189">
        <v>0.51199999999999901</v>
      </c>
      <c r="R177" s="191">
        <v>1.5108593012275703E-2</v>
      </c>
      <c r="S177" s="190">
        <v>269.1737599999995</v>
      </c>
      <c r="T177" s="189" t="s">
        <v>483</v>
      </c>
      <c r="U177" s="189" t="s">
        <v>416</v>
      </c>
      <c r="V177" s="189"/>
      <c r="W177" s="196">
        <v>1</v>
      </c>
      <c r="X177" s="189" t="s">
        <v>285</v>
      </c>
    </row>
    <row r="178" spans="2:24">
      <c r="B178" s="531"/>
      <c r="C178" s="531"/>
      <c r="D178" s="200">
        <v>72</v>
      </c>
      <c r="E178" s="189" t="s">
        <v>489</v>
      </c>
      <c r="F178" s="190">
        <v>190.83</v>
      </c>
      <c r="G178" s="189">
        <v>42.095999999999997</v>
      </c>
      <c r="H178" s="189">
        <v>43.2</v>
      </c>
      <c r="I178" s="201">
        <f t="shared" si="18"/>
        <v>1.0262257696693273</v>
      </c>
      <c r="J178" s="189">
        <v>0</v>
      </c>
      <c r="K178" s="201">
        <f t="shared" si="19"/>
        <v>0</v>
      </c>
      <c r="L178" s="190">
        <v>318.05</v>
      </c>
      <c r="M178" s="201">
        <f t="shared" si="20"/>
        <v>1.0262257696693273</v>
      </c>
      <c r="N178" s="190">
        <v>351.12720000000201</v>
      </c>
      <c r="O178" s="189">
        <v>0.6</v>
      </c>
      <c r="P178" s="191">
        <v>1.4253135689851768E-2</v>
      </c>
      <c r="Q178" s="189">
        <v>0.50400000000000633</v>
      </c>
      <c r="R178" s="191">
        <v>1.1972633979475636E-2</v>
      </c>
      <c r="S178" s="190">
        <v>160.29720000000202</v>
      </c>
      <c r="T178" s="189" t="s">
        <v>486</v>
      </c>
      <c r="U178" s="189" t="s">
        <v>490</v>
      </c>
      <c r="V178" s="189"/>
      <c r="W178" s="196">
        <v>1</v>
      </c>
      <c r="X178" s="189" t="s">
        <v>303</v>
      </c>
    </row>
    <row r="179" spans="2:24">
      <c r="B179" s="531"/>
      <c r="C179" s="531"/>
      <c r="D179" s="200">
        <v>73</v>
      </c>
      <c r="E179" s="189" t="s">
        <v>485</v>
      </c>
      <c r="F179" s="190">
        <v>165.98000000000002</v>
      </c>
      <c r="G179" s="189">
        <v>15.176</v>
      </c>
      <c r="H179" s="189">
        <v>16</v>
      </c>
      <c r="I179" s="201">
        <f t="shared" si="18"/>
        <v>1.0542962572482868</v>
      </c>
      <c r="J179" s="189">
        <v>0</v>
      </c>
      <c r="K179" s="201">
        <f t="shared" si="19"/>
        <v>0</v>
      </c>
      <c r="L179" s="190">
        <v>414.95</v>
      </c>
      <c r="M179" s="201">
        <f t="shared" si="20"/>
        <v>1.0542962572482868</v>
      </c>
      <c r="N179" s="190">
        <v>341.91879999999992</v>
      </c>
      <c r="O179" s="189">
        <v>0.4</v>
      </c>
      <c r="P179" s="191">
        <v>2.6357406431207171E-2</v>
      </c>
      <c r="Q179" s="189">
        <v>0.42399999999999982</v>
      </c>
      <c r="R179" s="191">
        <v>2.7938850817079586E-2</v>
      </c>
      <c r="S179" s="190">
        <v>175.93879999999993</v>
      </c>
      <c r="T179" s="189" t="s">
        <v>514</v>
      </c>
      <c r="U179" s="189" t="s">
        <v>562</v>
      </c>
      <c r="V179" s="189"/>
      <c r="W179" s="196">
        <v>1</v>
      </c>
      <c r="X179" s="189" t="s">
        <v>304</v>
      </c>
    </row>
    <row r="180" spans="2:24">
      <c r="B180" s="531"/>
      <c r="C180" s="531"/>
      <c r="D180" s="200">
        <v>74</v>
      </c>
      <c r="E180" s="189" t="s">
        <v>418</v>
      </c>
      <c r="F180" s="190">
        <v>153.018</v>
      </c>
      <c r="G180" s="189">
        <v>162.25399999999999</v>
      </c>
      <c r="H180" s="189">
        <v>162.80000000000001</v>
      </c>
      <c r="I180" s="201">
        <f t="shared" si="18"/>
        <v>1.003365094234965</v>
      </c>
      <c r="J180" s="189">
        <v>0</v>
      </c>
      <c r="K180" s="201">
        <f t="shared" si="19"/>
        <v>0</v>
      </c>
      <c r="L180" s="190">
        <v>510.06</v>
      </c>
      <c r="M180" s="201">
        <f t="shared" si="20"/>
        <v>1.003365094234965</v>
      </c>
      <c r="N180" s="190">
        <v>278.49276000001055</v>
      </c>
      <c r="O180" s="189">
        <v>0.3</v>
      </c>
      <c r="P180" s="191">
        <v>1.8489528763543581E-3</v>
      </c>
      <c r="Q180" s="189">
        <v>0.2460000000000207</v>
      </c>
      <c r="R180" s="191">
        <v>1.5161413586107012E-3</v>
      </c>
      <c r="S180" s="190">
        <v>125.47476000001056</v>
      </c>
      <c r="T180" s="189" t="s">
        <v>483</v>
      </c>
      <c r="U180" s="189" t="s">
        <v>416</v>
      </c>
      <c r="V180" s="189"/>
      <c r="W180" s="196">
        <v>1</v>
      </c>
      <c r="X180" s="189" t="s">
        <v>417</v>
      </c>
    </row>
    <row r="181" spans="2:24">
      <c r="B181" s="531"/>
      <c r="C181" s="531"/>
      <c r="D181" s="200">
        <v>75</v>
      </c>
      <c r="E181" s="189" t="s">
        <v>427</v>
      </c>
      <c r="F181" s="190">
        <v>151.63800000000001</v>
      </c>
      <c r="G181" s="189">
        <v>19.044</v>
      </c>
      <c r="H181" s="189">
        <v>19.5</v>
      </c>
      <c r="I181" s="201">
        <f t="shared" si="18"/>
        <v>1.0239445494643982</v>
      </c>
      <c r="J181" s="189">
        <v>0</v>
      </c>
      <c r="K181" s="201">
        <f t="shared" si="19"/>
        <v>0</v>
      </c>
      <c r="L181" s="190">
        <v>758.19</v>
      </c>
      <c r="M181" s="201">
        <f t="shared" si="20"/>
        <v>1.0239445494643982</v>
      </c>
      <c r="N181" s="190">
        <v>345.73463999999967</v>
      </c>
      <c r="O181" s="189">
        <v>0.2</v>
      </c>
      <c r="P181" s="191">
        <v>1.0501995379122034E-2</v>
      </c>
      <c r="Q181" s="189">
        <v>0.25599999999999951</v>
      </c>
      <c r="R181" s="191">
        <v>1.3442554085276176E-2</v>
      </c>
      <c r="S181" s="190">
        <v>194.09663999999964</v>
      </c>
      <c r="T181" s="189" t="s">
        <v>486</v>
      </c>
      <c r="U181" s="189" t="s">
        <v>426</v>
      </c>
      <c r="V181" s="189"/>
      <c r="W181" s="196">
        <v>1</v>
      </c>
      <c r="X181" s="189" t="s">
        <v>323</v>
      </c>
    </row>
    <row r="182" spans="2:24">
      <c r="B182" s="531"/>
      <c r="C182" s="531"/>
      <c r="D182" s="200">
        <v>76</v>
      </c>
      <c r="E182" s="189" t="s">
        <v>438</v>
      </c>
      <c r="F182" s="190">
        <v>142.137</v>
      </c>
      <c r="G182" s="189">
        <v>60.72</v>
      </c>
      <c r="H182" s="189">
        <v>61.5</v>
      </c>
      <c r="I182" s="201">
        <f t="shared" si="18"/>
        <v>1.0128458498023716</v>
      </c>
      <c r="J182" s="189">
        <v>0</v>
      </c>
      <c r="K182" s="201">
        <f t="shared" si="19"/>
        <v>0</v>
      </c>
      <c r="L182" s="190">
        <v>473.79</v>
      </c>
      <c r="M182" s="201">
        <f t="shared" si="20"/>
        <v>1.0128458498023716</v>
      </c>
      <c r="N182" s="190">
        <v>369.55620000000056</v>
      </c>
      <c r="O182" s="189">
        <v>0.3</v>
      </c>
      <c r="P182" s="191">
        <v>4.940711462450593E-3</v>
      </c>
      <c r="Q182" s="189">
        <v>0.48000000000000115</v>
      </c>
      <c r="R182" s="191">
        <v>7.9051383399209672E-3</v>
      </c>
      <c r="S182" s="190">
        <v>227.41920000000056</v>
      </c>
      <c r="T182" s="189" t="s">
        <v>483</v>
      </c>
      <c r="U182" s="189" t="s">
        <v>416</v>
      </c>
      <c r="V182" s="189"/>
      <c r="W182" s="196">
        <v>1</v>
      </c>
      <c r="X182" s="189" t="s">
        <v>417</v>
      </c>
    </row>
    <row r="183" spans="2:24">
      <c r="B183" s="531"/>
      <c r="C183" s="531"/>
      <c r="D183" s="200">
        <v>77</v>
      </c>
      <c r="E183" s="189" t="s">
        <v>440</v>
      </c>
      <c r="F183" s="190">
        <v>133.464</v>
      </c>
      <c r="G183" s="189">
        <v>27.341999999999999</v>
      </c>
      <c r="H183" s="189">
        <v>28.2</v>
      </c>
      <c r="I183" s="201">
        <f t="shared" si="18"/>
        <v>1.0313802940531052</v>
      </c>
      <c r="J183" s="189">
        <v>0</v>
      </c>
      <c r="K183" s="201">
        <f t="shared" si="19"/>
        <v>0</v>
      </c>
      <c r="L183" s="190">
        <v>444.88</v>
      </c>
      <c r="M183" s="201">
        <f t="shared" si="20"/>
        <v>1.0313802940531052</v>
      </c>
      <c r="N183" s="190">
        <v>381.70704000000023</v>
      </c>
      <c r="O183" s="189">
        <v>0.3</v>
      </c>
      <c r="P183" s="191">
        <v>1.0972130787798991E-2</v>
      </c>
      <c r="Q183" s="189">
        <v>0.5580000000000005</v>
      </c>
      <c r="R183" s="191">
        <v>2.0408163265306142E-2</v>
      </c>
      <c r="S183" s="190">
        <v>248.24304000000021</v>
      </c>
      <c r="T183" s="189" t="s">
        <v>483</v>
      </c>
      <c r="U183" s="189" t="s">
        <v>416</v>
      </c>
      <c r="V183" s="189"/>
      <c r="W183" s="196">
        <v>1</v>
      </c>
      <c r="X183" s="189" t="s">
        <v>286</v>
      </c>
    </row>
    <row r="184" spans="2:24">
      <c r="B184" s="531"/>
      <c r="C184" s="531"/>
      <c r="D184" s="200">
        <v>78</v>
      </c>
      <c r="E184" s="189" t="s">
        <v>441</v>
      </c>
      <c r="F184" s="190">
        <v>131.66200000000001</v>
      </c>
      <c r="G184" s="189">
        <v>6.45</v>
      </c>
      <c r="H184" s="189">
        <v>6.8</v>
      </c>
      <c r="I184" s="201">
        <f t="shared" si="18"/>
        <v>1.0542635658914727</v>
      </c>
      <c r="J184" s="189">
        <v>0</v>
      </c>
      <c r="K184" s="201">
        <f t="shared" si="19"/>
        <v>0</v>
      </c>
      <c r="L184" s="190">
        <v>658.31</v>
      </c>
      <c r="M184" s="201">
        <f t="shared" si="20"/>
        <v>1.0542635658914727</v>
      </c>
      <c r="N184" s="190">
        <v>230.40849999999975</v>
      </c>
      <c r="O184" s="189">
        <v>0.2</v>
      </c>
      <c r="P184" s="191">
        <v>3.1007751937984496E-2</v>
      </c>
      <c r="Q184" s="189">
        <v>0.14999999999999963</v>
      </c>
      <c r="R184" s="191">
        <v>2.3255813953488316E-2</v>
      </c>
      <c r="S184" s="190">
        <v>98.746499999999756</v>
      </c>
      <c r="T184" s="189" t="s">
        <v>483</v>
      </c>
      <c r="U184" s="189" t="s">
        <v>416</v>
      </c>
      <c r="V184" s="189"/>
      <c r="W184" s="196">
        <v>1</v>
      </c>
      <c r="X184" s="189" t="s">
        <v>293</v>
      </c>
    </row>
    <row r="185" spans="2:24">
      <c r="B185" s="531"/>
      <c r="C185" s="531"/>
      <c r="D185" s="200">
        <v>79</v>
      </c>
      <c r="E185" s="189" t="s">
        <v>505</v>
      </c>
      <c r="F185" s="190">
        <v>130.94999999999999</v>
      </c>
      <c r="G185" s="189">
        <v>1.323</v>
      </c>
      <c r="H185" s="189">
        <v>1.8</v>
      </c>
      <c r="I185" s="201">
        <f t="shared" si="18"/>
        <v>1.360544217687075</v>
      </c>
      <c r="J185" s="189">
        <v>0</v>
      </c>
      <c r="K185" s="201">
        <f t="shared" si="19"/>
        <v>0</v>
      </c>
      <c r="L185" s="190">
        <v>436.5</v>
      </c>
      <c r="M185" s="201">
        <f t="shared" si="20"/>
        <v>1.360544217687075</v>
      </c>
      <c r="N185" s="190">
        <v>208.21050000000005</v>
      </c>
      <c r="O185" s="189">
        <v>0.3</v>
      </c>
      <c r="P185" s="191">
        <v>0.22675736961451248</v>
      </c>
      <c r="Q185" s="189">
        <v>0.1770000000000001</v>
      </c>
      <c r="R185" s="191">
        <v>0.13378684807256244</v>
      </c>
      <c r="S185" s="190">
        <v>77.26050000000005</v>
      </c>
      <c r="T185" s="189" t="s">
        <v>494</v>
      </c>
      <c r="U185" s="189" t="s">
        <v>495</v>
      </c>
      <c r="V185" s="189"/>
      <c r="W185" s="196">
        <v>1</v>
      </c>
      <c r="X185" s="189" t="s">
        <v>277</v>
      </c>
    </row>
    <row r="186" spans="2:24">
      <c r="B186" s="531"/>
      <c r="C186" s="531"/>
      <c r="D186" s="200">
        <v>80</v>
      </c>
      <c r="E186" s="189" t="s">
        <v>532</v>
      </c>
      <c r="F186" s="190">
        <v>130.31400000000002</v>
      </c>
      <c r="G186" s="189">
        <v>20.064</v>
      </c>
      <c r="H186" s="189">
        <v>20.6</v>
      </c>
      <c r="I186" s="201">
        <f t="shared" si="18"/>
        <v>1.0267145135566189</v>
      </c>
      <c r="J186" s="189">
        <v>0</v>
      </c>
      <c r="K186" s="201">
        <f t="shared" si="19"/>
        <v>0</v>
      </c>
      <c r="L186" s="190">
        <v>651.57000000000005</v>
      </c>
      <c r="M186" s="201">
        <f t="shared" si="20"/>
        <v>1.0267145135566189</v>
      </c>
      <c r="N186" s="190">
        <v>349.24152000000089</v>
      </c>
      <c r="O186" s="189">
        <v>0.2</v>
      </c>
      <c r="P186" s="191">
        <v>9.9681020733652318E-3</v>
      </c>
      <c r="Q186" s="189">
        <v>0.33600000000000135</v>
      </c>
      <c r="R186" s="191">
        <v>1.6746411483253655E-2</v>
      </c>
      <c r="S186" s="190">
        <v>218.9275200000009</v>
      </c>
      <c r="T186" s="189" t="s">
        <v>483</v>
      </c>
      <c r="U186" s="189" t="s">
        <v>416</v>
      </c>
      <c r="V186" s="189"/>
      <c r="W186" s="196">
        <v>1</v>
      </c>
      <c r="X186" s="189" t="s">
        <v>533</v>
      </c>
    </row>
    <row r="187" spans="2:24">
      <c r="B187" s="533">
        <v>45888</v>
      </c>
      <c r="C187" s="531" t="s">
        <v>159</v>
      </c>
      <c r="D187" s="200">
        <v>81</v>
      </c>
      <c r="E187" s="189" t="s">
        <v>489</v>
      </c>
      <c r="F187" s="190">
        <v>222.63499999999999</v>
      </c>
      <c r="G187" s="189">
        <v>41.624000000000002</v>
      </c>
      <c r="H187" s="189">
        <v>42.7</v>
      </c>
      <c r="I187" s="201">
        <f t="shared" si="18"/>
        <v>1.0258504708821834</v>
      </c>
      <c r="J187" s="189">
        <v>0</v>
      </c>
      <c r="K187" s="201">
        <f t="shared" si="19"/>
        <v>0</v>
      </c>
      <c r="L187" s="190">
        <v>318.05</v>
      </c>
      <c r="M187" s="201">
        <f t="shared" si="20"/>
        <v>1.0258504708821834</v>
      </c>
      <c r="N187" s="190">
        <v>342.2218000000002</v>
      </c>
      <c r="O187" s="189">
        <v>0.7</v>
      </c>
      <c r="P187" s="191">
        <v>1.6817220834134151E-2</v>
      </c>
      <c r="Q187" s="189">
        <v>0.37600000000000056</v>
      </c>
      <c r="R187" s="191">
        <v>9.0332500480492153E-3</v>
      </c>
      <c r="S187" s="190">
        <v>119.58680000000018</v>
      </c>
      <c r="T187" s="189" t="s">
        <v>486</v>
      </c>
      <c r="U187" s="189" t="s">
        <v>490</v>
      </c>
      <c r="V187" s="189"/>
      <c r="W187" s="196">
        <v>1</v>
      </c>
      <c r="X187" s="189" t="s">
        <v>303</v>
      </c>
    </row>
    <row r="188" spans="2:24">
      <c r="B188" s="531"/>
      <c r="C188" s="531"/>
      <c r="D188" s="200">
        <v>82</v>
      </c>
      <c r="E188" s="189" t="s">
        <v>418</v>
      </c>
      <c r="F188" s="190">
        <v>204.024</v>
      </c>
      <c r="G188" s="189">
        <v>156.16499999999999</v>
      </c>
      <c r="H188" s="189">
        <v>157.1</v>
      </c>
      <c r="I188" s="201">
        <f t="shared" si="18"/>
        <v>1.005987257067845</v>
      </c>
      <c r="J188" s="189">
        <v>0</v>
      </c>
      <c r="K188" s="201">
        <f t="shared" si="19"/>
        <v>0</v>
      </c>
      <c r="L188" s="190">
        <v>510.06</v>
      </c>
      <c r="M188" s="201">
        <f t="shared" si="20"/>
        <v>1.005987257067845</v>
      </c>
      <c r="N188" s="190">
        <v>476.90610000000117</v>
      </c>
      <c r="O188" s="189">
        <v>0.4</v>
      </c>
      <c r="P188" s="191">
        <v>2.5613933980085171E-3</v>
      </c>
      <c r="Q188" s="189">
        <v>0.53500000000000225</v>
      </c>
      <c r="R188" s="191">
        <v>3.4258636698364054E-3</v>
      </c>
      <c r="S188" s="190">
        <v>272.88210000000117</v>
      </c>
      <c r="T188" s="189" t="s">
        <v>486</v>
      </c>
      <c r="U188" s="189" t="s">
        <v>435</v>
      </c>
      <c r="V188" s="189"/>
      <c r="W188" s="196">
        <v>1</v>
      </c>
      <c r="X188" s="189" t="s">
        <v>417</v>
      </c>
    </row>
    <row r="189" spans="2:24">
      <c r="B189" s="531"/>
      <c r="C189" s="531"/>
      <c r="D189" s="200">
        <v>83</v>
      </c>
      <c r="E189" s="189" t="s">
        <v>485</v>
      </c>
      <c r="F189" s="190">
        <v>165.98000000000002</v>
      </c>
      <c r="G189" s="189">
        <v>14.378</v>
      </c>
      <c r="H189" s="189">
        <v>15</v>
      </c>
      <c r="I189" s="201">
        <f t="shared" si="18"/>
        <v>1.043260536931423</v>
      </c>
      <c r="J189" s="189">
        <v>0</v>
      </c>
      <c r="K189" s="201">
        <f t="shared" si="19"/>
        <v>0</v>
      </c>
      <c r="L189" s="190">
        <v>414.95</v>
      </c>
      <c r="M189" s="201">
        <f t="shared" si="20"/>
        <v>1.043260536931423</v>
      </c>
      <c r="N189" s="190">
        <v>258.09889999999996</v>
      </c>
      <c r="O189" s="189">
        <v>0.4</v>
      </c>
      <c r="P189" s="191">
        <v>2.7820280984837947E-2</v>
      </c>
      <c r="Q189" s="189">
        <v>0.22199999999999986</v>
      </c>
      <c r="R189" s="191">
        <v>1.5440255946585052E-2</v>
      </c>
      <c r="S189" s="190">
        <v>92.11889999999994</v>
      </c>
      <c r="T189" s="189" t="s">
        <v>486</v>
      </c>
      <c r="U189" s="189" t="s">
        <v>426</v>
      </c>
      <c r="V189" s="189"/>
      <c r="W189" s="196">
        <v>1</v>
      </c>
      <c r="X189" s="189" t="s">
        <v>304</v>
      </c>
    </row>
    <row r="190" spans="2:24">
      <c r="B190" s="531"/>
      <c r="C190" s="531"/>
      <c r="D190" s="200">
        <v>84</v>
      </c>
      <c r="E190" s="189" t="s">
        <v>521</v>
      </c>
      <c r="F190" s="190">
        <v>157.71899999999999</v>
      </c>
      <c r="G190" s="189">
        <v>36.095999999999997</v>
      </c>
      <c r="H190" s="189">
        <v>36.5</v>
      </c>
      <c r="I190" s="201">
        <f t="shared" si="18"/>
        <v>1.0111923758865249</v>
      </c>
      <c r="J190" s="189">
        <v>0</v>
      </c>
      <c r="K190" s="201">
        <f t="shared" si="19"/>
        <v>0</v>
      </c>
      <c r="L190" s="190">
        <v>525.73</v>
      </c>
      <c r="M190" s="201">
        <f t="shared" si="20"/>
        <v>1.0111923758865249</v>
      </c>
      <c r="N190" s="190">
        <v>212.39492000000183</v>
      </c>
      <c r="O190" s="189">
        <v>0.3</v>
      </c>
      <c r="P190" s="191">
        <v>8.3111702127659573E-3</v>
      </c>
      <c r="Q190" s="189">
        <v>0.10400000000000348</v>
      </c>
      <c r="R190" s="191">
        <v>2.8812056737589618E-3</v>
      </c>
      <c r="S190" s="190">
        <v>54.675920000001831</v>
      </c>
      <c r="T190" s="189" t="s">
        <v>486</v>
      </c>
      <c r="U190" s="189" t="s">
        <v>435</v>
      </c>
      <c r="V190" s="189"/>
      <c r="W190" s="196">
        <v>1</v>
      </c>
      <c r="X190" s="189" t="s">
        <v>285</v>
      </c>
    </row>
    <row r="191" spans="2:24">
      <c r="B191" s="531"/>
      <c r="C191" s="531"/>
      <c r="D191" s="200">
        <v>85</v>
      </c>
      <c r="E191" s="189" t="s">
        <v>427</v>
      </c>
      <c r="F191" s="190">
        <v>151.63800000000001</v>
      </c>
      <c r="G191" s="189">
        <v>18.648</v>
      </c>
      <c r="H191" s="189">
        <v>19</v>
      </c>
      <c r="I191" s="201">
        <f t="shared" si="18"/>
        <v>1.0188760188760189</v>
      </c>
      <c r="J191" s="189">
        <v>0</v>
      </c>
      <c r="K191" s="201">
        <f t="shared" si="19"/>
        <v>0</v>
      </c>
      <c r="L191" s="190">
        <v>758.19</v>
      </c>
      <c r="M191" s="201">
        <f t="shared" si="20"/>
        <v>1.0188760188760189</v>
      </c>
      <c r="N191" s="190">
        <v>266.88288000000028</v>
      </c>
      <c r="O191" s="189">
        <v>0.2</v>
      </c>
      <c r="P191" s="191">
        <v>1.0725010725010725E-2</v>
      </c>
      <c r="Q191" s="189">
        <v>0.1520000000000003</v>
      </c>
      <c r="R191" s="191">
        <v>8.1510081510081673E-3</v>
      </c>
      <c r="S191" s="190">
        <v>115.24488000000024</v>
      </c>
      <c r="T191" s="189" t="s">
        <v>486</v>
      </c>
      <c r="U191" s="189" t="s">
        <v>426</v>
      </c>
      <c r="V191" s="189"/>
      <c r="W191" s="196">
        <v>1</v>
      </c>
      <c r="X191" s="189" t="s">
        <v>323</v>
      </c>
    </row>
    <row r="192" spans="2:24">
      <c r="B192" s="531"/>
      <c r="C192" s="531"/>
      <c r="D192" s="200">
        <v>86</v>
      </c>
      <c r="E192" s="189" t="s">
        <v>538</v>
      </c>
      <c r="F192" s="190">
        <v>145.05199999999999</v>
      </c>
      <c r="G192" s="189">
        <v>46.192</v>
      </c>
      <c r="H192" s="189">
        <v>46.9</v>
      </c>
      <c r="I192" s="201">
        <f t="shared" si="18"/>
        <v>1.0153273294076897</v>
      </c>
      <c r="J192" s="189">
        <v>0</v>
      </c>
      <c r="K192" s="201">
        <f t="shared" si="19"/>
        <v>0</v>
      </c>
      <c r="L192" s="190">
        <v>362.63</v>
      </c>
      <c r="M192" s="201">
        <f t="shared" si="20"/>
        <v>1.0153273294076897</v>
      </c>
      <c r="N192" s="190">
        <v>256.74203999999941</v>
      </c>
      <c r="O192" s="189">
        <v>0.4</v>
      </c>
      <c r="P192" s="191">
        <v>8.6595081399376515E-3</v>
      </c>
      <c r="Q192" s="189">
        <v>0.30799999999999839</v>
      </c>
      <c r="R192" s="191">
        <v>6.6678212677519569E-3</v>
      </c>
      <c r="S192" s="190">
        <v>111.69003999999941</v>
      </c>
      <c r="T192" s="189" t="s">
        <v>483</v>
      </c>
      <c r="U192" s="189" t="s">
        <v>416</v>
      </c>
      <c r="V192" s="189"/>
      <c r="W192" s="196">
        <v>1</v>
      </c>
      <c r="X192" s="189" t="s">
        <v>539</v>
      </c>
    </row>
    <row r="193" spans="2:24">
      <c r="B193" s="531"/>
      <c r="C193" s="531"/>
      <c r="D193" s="200">
        <v>87</v>
      </c>
      <c r="E193" s="189" t="s">
        <v>499</v>
      </c>
      <c r="F193" s="190">
        <v>139.44000000000003</v>
      </c>
      <c r="G193" s="189">
        <v>15.252000000000001</v>
      </c>
      <c r="H193" s="189">
        <v>15.9</v>
      </c>
      <c r="I193" s="201">
        <f t="shared" si="18"/>
        <v>1.042486231313926</v>
      </c>
      <c r="J193" s="189">
        <v>0</v>
      </c>
      <c r="K193" s="201">
        <f t="shared" si="19"/>
        <v>0</v>
      </c>
      <c r="L193" s="190">
        <v>348.6</v>
      </c>
      <c r="M193" s="201">
        <f t="shared" si="20"/>
        <v>1.042486231313926</v>
      </c>
      <c r="N193" s="190">
        <v>225.89279999999991</v>
      </c>
      <c r="O193" s="189">
        <v>0.4</v>
      </c>
      <c r="P193" s="191">
        <v>2.6226068712300026E-2</v>
      </c>
      <c r="Q193" s="189">
        <v>0.24799999999999967</v>
      </c>
      <c r="R193" s="191">
        <v>1.6260162601625994E-2</v>
      </c>
      <c r="S193" s="190">
        <v>86.452799999999883</v>
      </c>
      <c r="T193" s="189" t="s">
        <v>494</v>
      </c>
      <c r="U193" s="189" t="s">
        <v>495</v>
      </c>
      <c r="V193" s="189"/>
      <c r="W193" s="196">
        <v>1</v>
      </c>
      <c r="X193" s="189" t="s">
        <v>266</v>
      </c>
    </row>
    <row r="194" spans="2:24">
      <c r="B194" s="531"/>
      <c r="C194" s="531"/>
      <c r="D194" s="200">
        <v>88</v>
      </c>
      <c r="E194" s="189" t="s">
        <v>434</v>
      </c>
      <c r="F194" s="190">
        <v>132.21600000000001</v>
      </c>
      <c r="G194" s="189">
        <v>75.733000000000004</v>
      </c>
      <c r="H194" s="189">
        <v>76.7</v>
      </c>
      <c r="I194" s="201">
        <f t="shared" si="18"/>
        <v>1.0127685421150621</v>
      </c>
      <c r="J194" s="189">
        <v>0</v>
      </c>
      <c r="K194" s="201">
        <f t="shared" si="19"/>
        <v>0</v>
      </c>
      <c r="L194" s="190">
        <v>330.54</v>
      </c>
      <c r="M194" s="201">
        <f t="shared" si="20"/>
        <v>1.0127685421150621</v>
      </c>
      <c r="N194" s="190">
        <v>319.63217999999961</v>
      </c>
      <c r="O194" s="189">
        <v>0.4</v>
      </c>
      <c r="P194" s="191">
        <v>5.2817133878230102E-3</v>
      </c>
      <c r="Q194" s="189">
        <v>0.56699999999999873</v>
      </c>
      <c r="R194" s="191">
        <v>7.4868287272390989E-3</v>
      </c>
      <c r="S194" s="190">
        <v>187.4161799999996</v>
      </c>
      <c r="T194" s="189" t="s">
        <v>486</v>
      </c>
      <c r="U194" s="189" t="s">
        <v>426</v>
      </c>
      <c r="V194" s="189"/>
      <c r="W194" s="196">
        <v>1</v>
      </c>
      <c r="X194" s="189" t="s">
        <v>280</v>
      </c>
    </row>
    <row r="195" spans="2:24">
      <c r="B195" s="531"/>
      <c r="C195" s="531"/>
      <c r="D195" s="200">
        <v>89</v>
      </c>
      <c r="E195" s="189" t="s">
        <v>561</v>
      </c>
      <c r="F195" s="190">
        <v>128.63999999999999</v>
      </c>
      <c r="G195" s="189">
        <v>3.6</v>
      </c>
      <c r="H195" s="189">
        <v>4.2</v>
      </c>
      <c r="I195" s="201">
        <f t="shared" si="18"/>
        <v>1.1666666666666667</v>
      </c>
      <c r="J195" s="189">
        <v>0</v>
      </c>
      <c r="K195" s="201">
        <f t="shared" si="19"/>
        <v>0</v>
      </c>
      <c r="L195" s="190">
        <v>428.8</v>
      </c>
      <c r="M195" s="201">
        <f t="shared" si="20"/>
        <v>1.1666666666666667</v>
      </c>
      <c r="N195" s="190">
        <v>257.28000000000003</v>
      </c>
      <c r="O195" s="189">
        <v>0.3</v>
      </c>
      <c r="P195" s="191">
        <v>8.3333333333333329E-2</v>
      </c>
      <c r="Q195" s="189">
        <v>0.3000000000000001</v>
      </c>
      <c r="R195" s="191">
        <v>8.3333333333333356E-2</v>
      </c>
      <c r="S195" s="190">
        <v>128.64000000000004</v>
      </c>
      <c r="T195" s="189" t="s">
        <v>514</v>
      </c>
      <c r="U195" s="189" t="s">
        <v>400</v>
      </c>
      <c r="V195" s="189"/>
      <c r="W195" s="196">
        <v>1</v>
      </c>
      <c r="X195" s="189" t="s">
        <v>245</v>
      </c>
    </row>
    <row r="196" spans="2:24">
      <c r="B196" s="531"/>
      <c r="C196" s="531"/>
      <c r="D196" s="200">
        <v>90</v>
      </c>
      <c r="E196" s="189" t="s">
        <v>522</v>
      </c>
      <c r="F196" s="190">
        <v>127.738</v>
      </c>
      <c r="G196" s="189">
        <v>141.815</v>
      </c>
      <c r="H196" s="189">
        <v>144.1</v>
      </c>
      <c r="I196" s="201">
        <f t="shared" si="18"/>
        <v>1.0161125409864964</v>
      </c>
      <c r="J196" s="189">
        <v>0</v>
      </c>
      <c r="K196" s="201">
        <f t="shared" si="19"/>
        <v>0</v>
      </c>
      <c r="L196" s="190">
        <v>75.14</v>
      </c>
      <c r="M196" s="201">
        <f t="shared" si="20"/>
        <v>1.0161125409864964</v>
      </c>
      <c r="N196" s="190">
        <v>171.69489999999973</v>
      </c>
      <c r="O196" s="189">
        <v>1.7</v>
      </c>
      <c r="P196" s="191">
        <v>1.1987448436343123E-2</v>
      </c>
      <c r="Q196" s="189">
        <v>0.58499999999999663</v>
      </c>
      <c r="R196" s="191">
        <v>4.1250925501533451E-3</v>
      </c>
      <c r="S196" s="190">
        <v>43.956899999999749</v>
      </c>
      <c r="T196" s="189" t="s">
        <v>483</v>
      </c>
      <c r="U196" s="189" t="s">
        <v>416</v>
      </c>
      <c r="V196" s="189"/>
      <c r="W196" s="196">
        <v>1</v>
      </c>
      <c r="X196" s="189" t="s">
        <v>417</v>
      </c>
    </row>
    <row r="197" spans="2:24">
      <c r="B197" s="533">
        <v>45889</v>
      </c>
      <c r="C197" s="531" t="s">
        <v>160</v>
      </c>
      <c r="D197" s="200">
        <v>91</v>
      </c>
      <c r="E197" s="189" t="s">
        <v>563</v>
      </c>
      <c r="F197" s="190">
        <v>180.62800000000001</v>
      </c>
      <c r="G197" s="189">
        <v>181.05600000000001</v>
      </c>
      <c r="H197" s="189">
        <v>182.5</v>
      </c>
      <c r="I197" s="201">
        <f t="shared" si="18"/>
        <v>1.0079754330151998</v>
      </c>
      <c r="J197" s="189">
        <v>0</v>
      </c>
      <c r="K197" s="201">
        <f t="shared" si="19"/>
        <v>0</v>
      </c>
      <c r="L197" s="190">
        <v>258.04000000000002</v>
      </c>
      <c r="M197" s="201">
        <f t="shared" si="20"/>
        <v>1.0079754330151998</v>
      </c>
      <c r="N197" s="190">
        <v>372.60975999999704</v>
      </c>
      <c r="O197" s="189">
        <v>0.7</v>
      </c>
      <c r="P197" s="191">
        <v>3.8662071403322723E-3</v>
      </c>
      <c r="Q197" s="189">
        <v>0.74399999999998845</v>
      </c>
      <c r="R197" s="191">
        <v>4.1092258748673801E-3</v>
      </c>
      <c r="S197" s="190">
        <v>191.98175999999702</v>
      </c>
      <c r="T197" s="189" t="s">
        <v>483</v>
      </c>
      <c r="U197" s="189" t="s">
        <v>416</v>
      </c>
      <c r="V197" s="189"/>
      <c r="W197" s="196">
        <v>1</v>
      </c>
      <c r="X197" s="189" t="s">
        <v>309</v>
      </c>
    </row>
    <row r="198" spans="2:24">
      <c r="B198" s="531"/>
      <c r="C198" s="531"/>
      <c r="D198" s="200">
        <v>92</v>
      </c>
      <c r="E198" s="189" t="s">
        <v>536</v>
      </c>
      <c r="F198" s="190">
        <v>157.75200000000001</v>
      </c>
      <c r="G198" s="189">
        <v>10.25</v>
      </c>
      <c r="H198" s="189">
        <v>11</v>
      </c>
      <c r="I198" s="201">
        <f t="shared" si="18"/>
        <v>1.0731707317073171</v>
      </c>
      <c r="J198" s="189">
        <v>0</v>
      </c>
      <c r="K198" s="201">
        <f t="shared" si="19"/>
        <v>0</v>
      </c>
      <c r="L198" s="190">
        <v>394.38</v>
      </c>
      <c r="M198" s="201">
        <f t="shared" si="20"/>
        <v>1.0731707317073171</v>
      </c>
      <c r="N198" s="190">
        <v>295.78499999999997</v>
      </c>
      <c r="O198" s="189">
        <v>0.4</v>
      </c>
      <c r="P198" s="191">
        <v>3.9024390243902439E-2</v>
      </c>
      <c r="Q198" s="189">
        <v>0.35</v>
      </c>
      <c r="R198" s="191">
        <v>3.414634146341463E-2</v>
      </c>
      <c r="S198" s="190">
        <v>138.03299999999999</v>
      </c>
      <c r="T198" s="189" t="s">
        <v>483</v>
      </c>
      <c r="U198" s="189" t="s">
        <v>500</v>
      </c>
      <c r="V198" s="189"/>
      <c r="W198" s="196">
        <v>1</v>
      </c>
      <c r="X198" s="189" t="s">
        <v>325</v>
      </c>
    </row>
    <row r="199" spans="2:24">
      <c r="B199" s="531"/>
      <c r="C199" s="531"/>
      <c r="D199" s="200">
        <v>93</v>
      </c>
      <c r="E199" s="189" t="s">
        <v>521</v>
      </c>
      <c r="F199" s="190">
        <v>157.71899999999999</v>
      </c>
      <c r="G199" s="189">
        <v>37.68</v>
      </c>
      <c r="H199" s="189">
        <v>38.4</v>
      </c>
      <c r="I199" s="201">
        <f t="shared" si="18"/>
        <v>1.0191082802547771</v>
      </c>
      <c r="J199" s="189">
        <v>0</v>
      </c>
      <c r="K199" s="201">
        <f t="shared" si="19"/>
        <v>0</v>
      </c>
      <c r="L199" s="190">
        <v>525.73</v>
      </c>
      <c r="M199" s="201">
        <f t="shared" si="20"/>
        <v>1.0191082802547771</v>
      </c>
      <c r="N199" s="190">
        <v>378.52559999999943</v>
      </c>
      <c r="O199" s="189">
        <v>0.3</v>
      </c>
      <c r="P199" s="191">
        <v>7.9617834394904458E-3</v>
      </c>
      <c r="Q199" s="189">
        <v>0.41999999999999887</v>
      </c>
      <c r="R199" s="191">
        <v>1.1146496815286594E-2</v>
      </c>
      <c r="S199" s="190">
        <v>220.80659999999941</v>
      </c>
      <c r="T199" s="189" t="s">
        <v>514</v>
      </c>
      <c r="U199" s="189" t="s">
        <v>400</v>
      </c>
      <c r="V199" s="189"/>
      <c r="W199" s="196">
        <v>1</v>
      </c>
      <c r="X199" s="189" t="s">
        <v>285</v>
      </c>
    </row>
    <row r="200" spans="2:24">
      <c r="B200" s="531"/>
      <c r="C200" s="531"/>
      <c r="D200" s="200">
        <v>94</v>
      </c>
      <c r="E200" s="189" t="s">
        <v>509</v>
      </c>
      <c r="F200" s="190">
        <v>149.58699999999999</v>
      </c>
      <c r="G200" s="189">
        <v>338.22</v>
      </c>
      <c r="H200" s="189">
        <v>340.5</v>
      </c>
      <c r="I200" s="201">
        <f t="shared" ref="I200:I263" si="21">H200/G200</f>
        <v>1.0067411743835373</v>
      </c>
      <c r="J200" s="189">
        <v>0</v>
      </c>
      <c r="K200" s="201">
        <f t="shared" ref="K200:K263" si="22">J200/G200</f>
        <v>0</v>
      </c>
      <c r="L200" s="190">
        <v>78.73</v>
      </c>
      <c r="M200" s="201">
        <f t="shared" ref="M200:M263" si="23">(H200+J200)/G200</f>
        <v>1.0067411743835373</v>
      </c>
      <c r="N200" s="190">
        <v>179.50439999999787</v>
      </c>
      <c r="O200" s="189">
        <v>1.9</v>
      </c>
      <c r="P200" s="191">
        <v>5.6176453196144513E-3</v>
      </c>
      <c r="Q200" s="189">
        <v>0.3799999999999728</v>
      </c>
      <c r="R200" s="191">
        <v>1.12352906392281E-3</v>
      </c>
      <c r="S200" s="190">
        <v>29.917399999997862</v>
      </c>
      <c r="T200" s="189" t="s">
        <v>483</v>
      </c>
      <c r="U200" s="189" t="s">
        <v>416</v>
      </c>
      <c r="V200" s="189"/>
      <c r="W200" s="196">
        <v>1</v>
      </c>
      <c r="X200" s="189" t="s">
        <v>278</v>
      </c>
    </row>
    <row r="201" spans="2:24">
      <c r="B201" s="531"/>
      <c r="C201" s="531"/>
      <c r="D201" s="200">
        <v>95</v>
      </c>
      <c r="E201" s="189" t="s">
        <v>559</v>
      </c>
      <c r="F201" s="190">
        <v>148.21600000000001</v>
      </c>
      <c r="G201" s="189">
        <v>7.1440000000000001</v>
      </c>
      <c r="H201" s="189">
        <v>7.7</v>
      </c>
      <c r="I201" s="201">
        <f t="shared" si="21"/>
        <v>1.0778275475923853</v>
      </c>
      <c r="J201" s="189">
        <v>0</v>
      </c>
      <c r="K201" s="201">
        <f t="shared" si="22"/>
        <v>0</v>
      </c>
      <c r="L201" s="190">
        <v>370.54</v>
      </c>
      <c r="M201" s="201">
        <f t="shared" si="23"/>
        <v>1.0778275475923853</v>
      </c>
      <c r="N201" s="190">
        <v>206.02024000000003</v>
      </c>
      <c r="O201" s="189">
        <v>0.4</v>
      </c>
      <c r="P201" s="191">
        <v>5.5991041433370664E-2</v>
      </c>
      <c r="Q201" s="189">
        <v>0.15600000000000003</v>
      </c>
      <c r="R201" s="191">
        <v>2.1836506159014561E-2</v>
      </c>
      <c r="S201" s="190">
        <v>57.804240000000014</v>
      </c>
      <c r="T201" s="189" t="s">
        <v>514</v>
      </c>
      <c r="U201" s="189" t="s">
        <v>400</v>
      </c>
      <c r="V201" s="189"/>
      <c r="W201" s="196">
        <v>1</v>
      </c>
      <c r="X201" s="189" t="s">
        <v>228</v>
      </c>
    </row>
    <row r="202" spans="2:24">
      <c r="B202" s="531"/>
      <c r="C202" s="531"/>
      <c r="D202" s="200">
        <v>96</v>
      </c>
      <c r="E202" s="189" t="s">
        <v>538</v>
      </c>
      <c r="F202" s="190">
        <v>145.05199999999999</v>
      </c>
      <c r="G202" s="189">
        <v>46.064</v>
      </c>
      <c r="H202" s="189">
        <v>46.8</v>
      </c>
      <c r="I202" s="201">
        <f t="shared" si="21"/>
        <v>1.0159777700590482</v>
      </c>
      <c r="J202" s="189">
        <v>0</v>
      </c>
      <c r="K202" s="201">
        <f t="shared" si="22"/>
        <v>0</v>
      </c>
      <c r="L202" s="190">
        <v>362.63</v>
      </c>
      <c r="M202" s="201">
        <f t="shared" si="23"/>
        <v>1.0159777700590482</v>
      </c>
      <c r="N202" s="190">
        <v>266.89567999999895</v>
      </c>
      <c r="O202" s="189">
        <v>0.4</v>
      </c>
      <c r="P202" s="191">
        <v>8.6835706842653699E-3</v>
      </c>
      <c r="Q202" s="189">
        <v>0.33599999999999708</v>
      </c>
      <c r="R202" s="191">
        <v>7.2941993747828475E-3</v>
      </c>
      <c r="S202" s="190">
        <v>121.84367999999894</v>
      </c>
      <c r="T202" s="189" t="s">
        <v>483</v>
      </c>
      <c r="U202" s="189" t="s">
        <v>416</v>
      </c>
      <c r="V202" s="189"/>
      <c r="W202" s="196">
        <v>1</v>
      </c>
      <c r="X202" s="189" t="s">
        <v>539</v>
      </c>
    </row>
    <row r="203" spans="2:24">
      <c r="B203" s="531"/>
      <c r="C203" s="531"/>
      <c r="D203" s="200">
        <v>97</v>
      </c>
      <c r="E203" s="189" t="s">
        <v>564</v>
      </c>
      <c r="F203" s="190">
        <v>144.60599999999999</v>
      </c>
      <c r="G203" s="189">
        <v>27.263999999999999</v>
      </c>
      <c r="H203" s="189">
        <v>28.3</v>
      </c>
      <c r="I203" s="201">
        <f t="shared" si="21"/>
        <v>1.0379988262910798</v>
      </c>
      <c r="J203" s="189">
        <v>0</v>
      </c>
      <c r="K203" s="201">
        <f t="shared" si="22"/>
        <v>0</v>
      </c>
      <c r="L203" s="190">
        <v>241.01</v>
      </c>
      <c r="M203" s="201">
        <f t="shared" si="23"/>
        <v>1.0379988262910798</v>
      </c>
      <c r="N203" s="190">
        <v>249.68636000000032</v>
      </c>
      <c r="O203" s="189">
        <v>0.6</v>
      </c>
      <c r="P203" s="191">
        <v>2.2007042253521125E-2</v>
      </c>
      <c r="Q203" s="189">
        <v>0.43600000000000139</v>
      </c>
      <c r="R203" s="191">
        <v>1.5991784037558736E-2</v>
      </c>
      <c r="S203" s="190">
        <v>105.08036000000033</v>
      </c>
      <c r="T203" s="189" t="s">
        <v>486</v>
      </c>
      <c r="U203" s="189" t="s">
        <v>426</v>
      </c>
      <c r="V203" s="189"/>
      <c r="W203" s="196">
        <v>1</v>
      </c>
      <c r="X203" s="189" t="s">
        <v>227</v>
      </c>
    </row>
    <row r="204" spans="2:24">
      <c r="B204" s="531"/>
      <c r="C204" s="531"/>
      <c r="D204" s="200">
        <v>98</v>
      </c>
      <c r="E204" s="189" t="s">
        <v>438</v>
      </c>
      <c r="F204" s="190">
        <v>142.137</v>
      </c>
      <c r="G204" s="189">
        <v>67.251999999999995</v>
      </c>
      <c r="H204" s="189">
        <v>68.2</v>
      </c>
      <c r="I204" s="201">
        <f t="shared" si="21"/>
        <v>1.0140962350562066</v>
      </c>
      <c r="J204" s="189">
        <v>0</v>
      </c>
      <c r="K204" s="201">
        <f t="shared" si="22"/>
        <v>0</v>
      </c>
      <c r="L204" s="190">
        <v>473.79</v>
      </c>
      <c r="M204" s="201">
        <f t="shared" si="23"/>
        <v>1.0140962350562066</v>
      </c>
      <c r="N204" s="190">
        <v>449.15292000000358</v>
      </c>
      <c r="O204" s="189">
        <v>0.3</v>
      </c>
      <c r="P204" s="191">
        <v>4.4608338785463632E-3</v>
      </c>
      <c r="Q204" s="189">
        <v>0.64800000000000746</v>
      </c>
      <c r="R204" s="191">
        <v>9.6354011776602563E-3</v>
      </c>
      <c r="S204" s="190">
        <v>307.01592000000358</v>
      </c>
      <c r="T204" s="189" t="s">
        <v>514</v>
      </c>
      <c r="U204" s="189" t="s">
        <v>400</v>
      </c>
      <c r="V204" s="189"/>
      <c r="W204" s="196">
        <v>1</v>
      </c>
      <c r="X204" s="189" t="s">
        <v>417</v>
      </c>
    </row>
    <row r="205" spans="2:24">
      <c r="B205" s="531"/>
      <c r="C205" s="531"/>
      <c r="D205" s="200">
        <v>99</v>
      </c>
      <c r="E205" s="189" t="s">
        <v>503</v>
      </c>
      <c r="F205" s="190">
        <v>136.44</v>
      </c>
      <c r="G205" s="189">
        <v>54.72</v>
      </c>
      <c r="H205" s="189">
        <v>56.1</v>
      </c>
      <c r="I205" s="201">
        <f t="shared" si="21"/>
        <v>1.0252192982456141</v>
      </c>
      <c r="J205" s="189">
        <v>0</v>
      </c>
      <c r="K205" s="201">
        <f t="shared" si="22"/>
        <v>0</v>
      </c>
      <c r="L205" s="190">
        <v>151.6</v>
      </c>
      <c r="M205" s="201">
        <f t="shared" si="23"/>
        <v>1.0252192982456141</v>
      </c>
      <c r="N205" s="190">
        <v>209.20800000000037</v>
      </c>
      <c r="O205" s="189">
        <v>0.9</v>
      </c>
      <c r="P205" s="191">
        <v>1.6447368421052631E-2</v>
      </c>
      <c r="Q205" s="189">
        <v>0.48000000000000254</v>
      </c>
      <c r="R205" s="191">
        <v>8.7719298245614499E-3</v>
      </c>
      <c r="S205" s="190">
        <v>72.768000000000384</v>
      </c>
      <c r="T205" s="189" t="s">
        <v>483</v>
      </c>
      <c r="U205" s="189" t="s">
        <v>416</v>
      </c>
      <c r="V205" s="189"/>
      <c r="W205" s="196">
        <v>1</v>
      </c>
      <c r="X205" s="189" t="s">
        <v>306</v>
      </c>
    </row>
    <row r="206" spans="2:24">
      <c r="B206" s="531"/>
      <c r="C206" s="531"/>
      <c r="D206" s="200">
        <v>100</v>
      </c>
      <c r="E206" s="189" t="s">
        <v>522</v>
      </c>
      <c r="F206" s="190">
        <v>135.25200000000001</v>
      </c>
      <c r="G206" s="189">
        <v>136.72499999999999</v>
      </c>
      <c r="H206" s="189">
        <v>139</v>
      </c>
      <c r="I206" s="201">
        <f t="shared" si="21"/>
        <v>1.0166392393490584</v>
      </c>
      <c r="J206" s="189">
        <v>0</v>
      </c>
      <c r="K206" s="201">
        <f t="shared" si="22"/>
        <v>0</v>
      </c>
      <c r="L206" s="190">
        <v>75.14</v>
      </c>
      <c r="M206" s="201">
        <f t="shared" si="23"/>
        <v>1.0166392393490584</v>
      </c>
      <c r="N206" s="190">
        <v>170.94350000000043</v>
      </c>
      <c r="O206" s="189">
        <v>1.8</v>
      </c>
      <c r="P206" s="191">
        <v>1.3165112452002196E-2</v>
      </c>
      <c r="Q206" s="189">
        <v>0.47500000000000564</v>
      </c>
      <c r="R206" s="191">
        <v>3.474126897056176E-3</v>
      </c>
      <c r="S206" s="190">
        <v>35.691500000000424</v>
      </c>
      <c r="T206" s="189" t="s">
        <v>483</v>
      </c>
      <c r="U206" s="189" t="s">
        <v>416</v>
      </c>
      <c r="V206" s="189"/>
      <c r="W206" s="196">
        <v>1</v>
      </c>
      <c r="X206" s="189" t="s">
        <v>417</v>
      </c>
    </row>
    <row r="207" spans="2:24">
      <c r="B207" s="533">
        <v>45890</v>
      </c>
      <c r="C207" s="531" t="s">
        <v>161</v>
      </c>
      <c r="D207" s="200">
        <v>101</v>
      </c>
      <c r="E207" s="189" t="s">
        <v>557</v>
      </c>
      <c r="F207" s="190">
        <v>155.215</v>
      </c>
      <c r="G207" s="189">
        <v>18.356999999999999</v>
      </c>
      <c r="H207" s="189">
        <v>19.3</v>
      </c>
      <c r="I207" s="201">
        <f t="shared" si="21"/>
        <v>1.0513700495723703</v>
      </c>
      <c r="J207" s="189">
        <v>0</v>
      </c>
      <c r="K207" s="201">
        <f t="shared" si="22"/>
        <v>0</v>
      </c>
      <c r="L207" s="190">
        <v>310.43</v>
      </c>
      <c r="M207" s="201">
        <f t="shared" si="23"/>
        <v>1.0513700495723703</v>
      </c>
      <c r="N207" s="190">
        <v>292.73549000000042</v>
      </c>
      <c r="O207" s="189">
        <v>0.5</v>
      </c>
      <c r="P207" s="191">
        <v>2.7237566051097676E-2</v>
      </c>
      <c r="Q207" s="189">
        <v>0.44300000000000139</v>
      </c>
      <c r="R207" s="191">
        <v>2.4132483521272615E-2</v>
      </c>
      <c r="S207" s="190">
        <v>137.52049000000042</v>
      </c>
      <c r="T207" s="189" t="s">
        <v>483</v>
      </c>
      <c r="U207" s="189" t="s">
        <v>416</v>
      </c>
      <c r="V207" s="189"/>
      <c r="W207" s="196">
        <v>1</v>
      </c>
      <c r="X207" s="189" t="s">
        <v>270</v>
      </c>
    </row>
    <row r="208" spans="2:24">
      <c r="B208" s="531"/>
      <c r="C208" s="531"/>
      <c r="D208" s="200">
        <v>102</v>
      </c>
      <c r="E208" s="189" t="s">
        <v>559</v>
      </c>
      <c r="F208" s="190">
        <v>148.21600000000001</v>
      </c>
      <c r="G208" s="189">
        <v>6.72</v>
      </c>
      <c r="H208" s="189">
        <v>7.6</v>
      </c>
      <c r="I208" s="201">
        <f t="shared" si="21"/>
        <v>1.1309523809523809</v>
      </c>
      <c r="J208" s="189">
        <v>0</v>
      </c>
      <c r="K208" s="201">
        <f t="shared" si="22"/>
        <v>0</v>
      </c>
      <c r="L208" s="190">
        <v>370.54</v>
      </c>
      <c r="M208" s="201">
        <f t="shared" si="23"/>
        <v>1.1309523809523809</v>
      </c>
      <c r="N208" s="190">
        <v>326.0752</v>
      </c>
      <c r="O208" s="189">
        <v>0.4</v>
      </c>
      <c r="P208" s="191">
        <v>5.9523809523809527E-2</v>
      </c>
      <c r="Q208" s="189">
        <v>0.47999999999999987</v>
      </c>
      <c r="R208" s="191">
        <v>7.1428571428571411E-2</v>
      </c>
      <c r="S208" s="190">
        <v>177.85919999999996</v>
      </c>
      <c r="T208" s="189" t="s">
        <v>494</v>
      </c>
      <c r="U208" s="189" t="s">
        <v>495</v>
      </c>
      <c r="V208" s="189"/>
      <c r="W208" s="196">
        <v>1</v>
      </c>
      <c r="X208" s="189" t="s">
        <v>228</v>
      </c>
    </row>
    <row r="209" spans="2:24">
      <c r="B209" s="531"/>
      <c r="C209" s="531"/>
      <c r="D209" s="200">
        <v>103</v>
      </c>
      <c r="E209" s="189" t="s">
        <v>560</v>
      </c>
      <c r="F209" s="190">
        <v>145.42500000000001</v>
      </c>
      <c r="G209" s="189">
        <v>32.869999999999997</v>
      </c>
      <c r="H209" s="189">
        <v>33.700000000000003</v>
      </c>
      <c r="I209" s="201">
        <f t="shared" si="21"/>
        <v>1.0252509887435353</v>
      </c>
      <c r="J209" s="189">
        <v>0</v>
      </c>
      <c r="K209" s="201">
        <f t="shared" si="22"/>
        <v>0</v>
      </c>
      <c r="L209" s="190">
        <v>290.85000000000002</v>
      </c>
      <c r="M209" s="201">
        <f t="shared" si="23"/>
        <v>1.0252509887435353</v>
      </c>
      <c r="N209" s="190">
        <v>241.40550000000158</v>
      </c>
      <c r="O209" s="189">
        <v>0.5</v>
      </c>
      <c r="P209" s="191">
        <v>1.5211439002129602E-2</v>
      </c>
      <c r="Q209" s="189">
        <v>0.3300000000000054</v>
      </c>
      <c r="R209" s="191">
        <v>1.0039549741405702E-2</v>
      </c>
      <c r="S209" s="190">
        <v>95.980500000001584</v>
      </c>
      <c r="T209" s="189" t="s">
        <v>483</v>
      </c>
      <c r="U209" s="189" t="s">
        <v>416</v>
      </c>
      <c r="V209" s="189"/>
      <c r="W209" s="196">
        <v>1</v>
      </c>
      <c r="X209" s="189" t="s">
        <v>220</v>
      </c>
    </row>
    <row r="210" spans="2:24">
      <c r="B210" s="531"/>
      <c r="C210" s="531"/>
      <c r="D210" s="200">
        <v>104</v>
      </c>
      <c r="E210" s="189" t="s">
        <v>438</v>
      </c>
      <c r="F210" s="190">
        <v>142.137</v>
      </c>
      <c r="G210" s="189">
        <v>59.247999999999998</v>
      </c>
      <c r="H210" s="189">
        <v>60.1</v>
      </c>
      <c r="I210" s="201">
        <f t="shared" si="21"/>
        <v>1.0143802322441264</v>
      </c>
      <c r="J210" s="189">
        <v>0</v>
      </c>
      <c r="K210" s="201">
        <f t="shared" si="22"/>
        <v>0</v>
      </c>
      <c r="L210" s="190">
        <v>473.79</v>
      </c>
      <c r="M210" s="201">
        <f t="shared" si="23"/>
        <v>1.0143802322441264</v>
      </c>
      <c r="N210" s="190">
        <v>403.66908000000183</v>
      </c>
      <c r="O210" s="189">
        <v>0.3</v>
      </c>
      <c r="P210" s="191">
        <v>5.0634620577909807E-3</v>
      </c>
      <c r="Q210" s="189">
        <v>0.55200000000000382</v>
      </c>
      <c r="R210" s="191">
        <v>9.3167701863354681E-3</v>
      </c>
      <c r="S210" s="190">
        <v>261.53208000000183</v>
      </c>
      <c r="T210" s="189" t="s">
        <v>483</v>
      </c>
      <c r="U210" s="189" t="s">
        <v>416</v>
      </c>
      <c r="V210" s="189"/>
      <c r="W210" s="196">
        <v>1</v>
      </c>
      <c r="X210" s="189" t="s">
        <v>417</v>
      </c>
    </row>
    <row r="211" spans="2:24">
      <c r="B211" s="531"/>
      <c r="C211" s="531"/>
      <c r="D211" s="200">
        <v>105</v>
      </c>
      <c r="E211" s="189" t="s">
        <v>509</v>
      </c>
      <c r="F211" s="190">
        <v>141.714</v>
      </c>
      <c r="G211" s="189">
        <v>318.24</v>
      </c>
      <c r="H211" s="189">
        <v>321.7</v>
      </c>
      <c r="I211" s="201">
        <f t="shared" si="21"/>
        <v>1.0108722976370035</v>
      </c>
      <c r="J211" s="189">
        <v>0</v>
      </c>
      <c r="K211" s="201">
        <f t="shared" si="22"/>
        <v>0</v>
      </c>
      <c r="L211" s="190">
        <v>78.73</v>
      </c>
      <c r="M211" s="201">
        <f t="shared" si="23"/>
        <v>1.0108722976370035</v>
      </c>
      <c r="N211" s="190">
        <v>272.40579999999841</v>
      </c>
      <c r="O211" s="189">
        <v>1.8</v>
      </c>
      <c r="P211" s="191">
        <v>5.6561085972850677E-3</v>
      </c>
      <c r="Q211" s="189">
        <v>1.6599999999999795</v>
      </c>
      <c r="R211" s="191">
        <v>5.216189039718387E-3</v>
      </c>
      <c r="S211" s="190">
        <v>130.69179999999838</v>
      </c>
      <c r="T211" s="189" t="s">
        <v>483</v>
      </c>
      <c r="U211" s="189" t="s">
        <v>416</v>
      </c>
      <c r="V211" s="189"/>
      <c r="W211" s="196">
        <v>1</v>
      </c>
      <c r="X211" s="189" t="s">
        <v>278</v>
      </c>
    </row>
    <row r="212" spans="2:24">
      <c r="B212" s="531"/>
      <c r="C212" s="531"/>
      <c r="D212" s="200">
        <v>106</v>
      </c>
      <c r="E212" s="189" t="s">
        <v>499</v>
      </c>
      <c r="F212" s="190">
        <v>139.44000000000003</v>
      </c>
      <c r="G212" s="189">
        <v>13.324999999999999</v>
      </c>
      <c r="H212" s="189">
        <v>14.3</v>
      </c>
      <c r="I212" s="201">
        <f t="shared" si="21"/>
        <v>1.0731707317073171</v>
      </c>
      <c r="J212" s="189">
        <v>0</v>
      </c>
      <c r="K212" s="201">
        <f t="shared" si="22"/>
        <v>0</v>
      </c>
      <c r="L212" s="190">
        <v>348.6</v>
      </c>
      <c r="M212" s="201">
        <f t="shared" si="23"/>
        <v>1.0731707317073171</v>
      </c>
      <c r="N212" s="190">
        <v>339.8850000000005</v>
      </c>
      <c r="O212" s="189">
        <v>0.4</v>
      </c>
      <c r="P212" s="191">
        <v>3.0018761726078803E-2</v>
      </c>
      <c r="Q212" s="189">
        <v>0.5750000000000014</v>
      </c>
      <c r="R212" s="191">
        <v>4.3151969981238381E-2</v>
      </c>
      <c r="S212" s="190">
        <v>200.4450000000005</v>
      </c>
      <c r="T212" s="189" t="s">
        <v>494</v>
      </c>
      <c r="U212" s="189" t="s">
        <v>500</v>
      </c>
      <c r="V212" s="189"/>
      <c r="W212" s="196">
        <v>1</v>
      </c>
      <c r="X212" s="189" t="s">
        <v>266</v>
      </c>
    </row>
    <row r="213" spans="2:24">
      <c r="B213" s="531"/>
      <c r="C213" s="531"/>
      <c r="D213" s="200">
        <v>107</v>
      </c>
      <c r="E213" s="189" t="s">
        <v>565</v>
      </c>
      <c r="F213" s="190">
        <v>135.48800000000003</v>
      </c>
      <c r="G213" s="189">
        <v>49.878999999999998</v>
      </c>
      <c r="H213" s="189">
        <v>51.2</v>
      </c>
      <c r="I213" s="201">
        <f t="shared" si="21"/>
        <v>1.0264840915014335</v>
      </c>
      <c r="J213" s="189">
        <v>0</v>
      </c>
      <c r="K213" s="201">
        <f t="shared" si="22"/>
        <v>0</v>
      </c>
      <c r="L213" s="190">
        <v>169.36</v>
      </c>
      <c r="M213" s="201">
        <f t="shared" si="23"/>
        <v>1.0264840915014335</v>
      </c>
      <c r="N213" s="190">
        <v>223.72456000000088</v>
      </c>
      <c r="O213" s="189">
        <v>0.8</v>
      </c>
      <c r="P213" s="191">
        <v>1.6038813929709898E-2</v>
      </c>
      <c r="Q213" s="189">
        <v>0.52100000000000501</v>
      </c>
      <c r="R213" s="191">
        <v>1.0445277571723671E-2</v>
      </c>
      <c r="S213" s="190">
        <v>88.23656000000085</v>
      </c>
      <c r="T213" s="189" t="s">
        <v>494</v>
      </c>
      <c r="U213" s="189" t="s">
        <v>495</v>
      </c>
      <c r="V213" s="189"/>
      <c r="W213" s="196">
        <v>1</v>
      </c>
      <c r="X213" s="189" t="s">
        <v>417</v>
      </c>
    </row>
    <row r="214" spans="2:24">
      <c r="B214" s="531"/>
      <c r="C214" s="531"/>
      <c r="D214" s="200">
        <v>108</v>
      </c>
      <c r="E214" s="189" t="s">
        <v>566</v>
      </c>
      <c r="F214" s="190">
        <v>135.29999999999998</v>
      </c>
      <c r="G214" s="189">
        <v>27.83</v>
      </c>
      <c r="H214" s="189">
        <v>28.6</v>
      </c>
      <c r="I214" s="201">
        <f t="shared" si="21"/>
        <v>1.0276679841897234</v>
      </c>
      <c r="J214" s="189">
        <v>0</v>
      </c>
      <c r="K214" s="201">
        <f t="shared" si="22"/>
        <v>0</v>
      </c>
      <c r="L214" s="190">
        <v>451</v>
      </c>
      <c r="M214" s="201">
        <f t="shared" si="23"/>
        <v>1.0276679841897234</v>
      </c>
      <c r="N214" s="190">
        <v>347.2700000000014</v>
      </c>
      <c r="O214" s="189">
        <v>0.3</v>
      </c>
      <c r="P214" s="191">
        <v>1.0779734099892203E-2</v>
      </c>
      <c r="Q214" s="189">
        <v>0.47000000000000314</v>
      </c>
      <c r="R214" s="191">
        <v>1.688825008983123E-2</v>
      </c>
      <c r="S214" s="190">
        <v>211.97000000000142</v>
      </c>
      <c r="T214" s="189" t="s">
        <v>494</v>
      </c>
      <c r="U214" s="189" t="s">
        <v>500</v>
      </c>
      <c r="V214" s="189"/>
      <c r="W214" s="196">
        <v>1</v>
      </c>
      <c r="X214" s="189" t="s">
        <v>284</v>
      </c>
    </row>
    <row r="215" spans="2:24">
      <c r="B215" s="531"/>
      <c r="C215" s="531"/>
      <c r="D215" s="200">
        <v>109</v>
      </c>
      <c r="E215" s="189" t="s">
        <v>522</v>
      </c>
      <c r="F215" s="190">
        <v>135.25200000000001</v>
      </c>
      <c r="G215" s="189">
        <v>128.85499999999999</v>
      </c>
      <c r="H215" s="189">
        <v>131.9</v>
      </c>
      <c r="I215" s="201">
        <f t="shared" si="21"/>
        <v>1.0236312133793801</v>
      </c>
      <c r="J215" s="189">
        <v>0</v>
      </c>
      <c r="K215" s="201">
        <f t="shared" si="22"/>
        <v>0</v>
      </c>
      <c r="L215" s="190">
        <v>75.14</v>
      </c>
      <c r="M215" s="201">
        <f t="shared" si="23"/>
        <v>1.0236312133793801</v>
      </c>
      <c r="N215" s="190">
        <v>228.80130000000119</v>
      </c>
      <c r="O215" s="189">
        <v>1.8</v>
      </c>
      <c r="P215" s="191">
        <v>1.3969190175002911E-2</v>
      </c>
      <c r="Q215" s="189">
        <v>1.2450000000000159</v>
      </c>
      <c r="R215" s="191">
        <v>9.6620232043771372E-3</v>
      </c>
      <c r="S215" s="190">
        <v>93.549300000001196</v>
      </c>
      <c r="T215" s="189" t="s">
        <v>483</v>
      </c>
      <c r="U215" s="189" t="s">
        <v>416</v>
      </c>
      <c r="V215" s="189"/>
      <c r="W215" s="196">
        <v>1</v>
      </c>
      <c r="X215" s="189" t="s">
        <v>417</v>
      </c>
    </row>
    <row r="216" spans="2:24">
      <c r="B216" s="531"/>
      <c r="C216" s="531"/>
      <c r="D216" s="200">
        <v>110</v>
      </c>
      <c r="E216" s="189" t="s">
        <v>523</v>
      </c>
      <c r="F216" s="190">
        <v>134.80500000000001</v>
      </c>
      <c r="G216" s="189">
        <v>103.52500000000001</v>
      </c>
      <c r="H216" s="189">
        <v>106</v>
      </c>
      <c r="I216" s="201">
        <f t="shared" si="21"/>
        <v>1.0239072687756581</v>
      </c>
      <c r="J216" s="189">
        <v>0</v>
      </c>
      <c r="K216" s="201">
        <f t="shared" si="22"/>
        <v>0</v>
      </c>
      <c r="L216" s="190">
        <v>70.95</v>
      </c>
      <c r="M216" s="201">
        <f t="shared" si="23"/>
        <v>1.0239072687756581</v>
      </c>
      <c r="N216" s="190">
        <v>175.6012499999996</v>
      </c>
      <c r="O216" s="189">
        <v>1.9</v>
      </c>
      <c r="P216" s="191">
        <v>1.8353054817676889E-2</v>
      </c>
      <c r="Q216" s="189">
        <v>0.5749999999999944</v>
      </c>
      <c r="R216" s="191">
        <v>5.5542139579811099E-3</v>
      </c>
      <c r="S216" s="190">
        <v>40.796249999999603</v>
      </c>
      <c r="T216" s="189" t="s">
        <v>494</v>
      </c>
      <c r="U216" s="189" t="s">
        <v>500</v>
      </c>
      <c r="V216" s="189"/>
      <c r="W216" s="196">
        <v>1</v>
      </c>
      <c r="X216" s="189" t="s">
        <v>287</v>
      </c>
    </row>
    <row r="217" spans="2:24">
      <c r="B217" s="533">
        <v>45891</v>
      </c>
      <c r="C217" s="531" t="s">
        <v>156</v>
      </c>
      <c r="D217" s="200">
        <v>111</v>
      </c>
      <c r="E217" s="189" t="s">
        <v>521</v>
      </c>
      <c r="F217" s="190">
        <v>157.71899999999999</v>
      </c>
      <c r="G217" s="189">
        <v>29.568000000000001</v>
      </c>
      <c r="H217" s="189">
        <v>30.3</v>
      </c>
      <c r="I217" s="201">
        <f t="shared" si="21"/>
        <v>1.0247564935064934</v>
      </c>
      <c r="J217" s="189">
        <v>0</v>
      </c>
      <c r="K217" s="201">
        <f t="shared" si="22"/>
        <v>0</v>
      </c>
      <c r="L217" s="190">
        <v>525.73</v>
      </c>
      <c r="M217" s="201">
        <f t="shared" si="23"/>
        <v>1.0247564935064934</v>
      </c>
      <c r="N217" s="190">
        <v>384.83435999999966</v>
      </c>
      <c r="O217" s="189">
        <v>0.3</v>
      </c>
      <c r="P217" s="191">
        <v>1.0146103896103896E-2</v>
      </c>
      <c r="Q217" s="189">
        <v>0.43199999999999933</v>
      </c>
      <c r="R217" s="191">
        <v>1.4610389610389588E-2</v>
      </c>
      <c r="S217" s="190">
        <v>227.11535999999967</v>
      </c>
      <c r="T217" s="189" t="s">
        <v>483</v>
      </c>
      <c r="U217" s="189" t="s">
        <v>416</v>
      </c>
      <c r="V217" s="189"/>
      <c r="W217" s="196">
        <v>1</v>
      </c>
      <c r="X217" s="189" t="s">
        <v>285</v>
      </c>
    </row>
    <row r="218" spans="2:24">
      <c r="B218" s="531"/>
      <c r="C218" s="531"/>
      <c r="D218" s="200">
        <v>112</v>
      </c>
      <c r="E218" s="189" t="s">
        <v>418</v>
      </c>
      <c r="F218" s="190">
        <v>153.018</v>
      </c>
      <c r="G218" s="189">
        <v>139.84700000000001</v>
      </c>
      <c r="H218" s="189">
        <v>140.6</v>
      </c>
      <c r="I218" s="201">
        <f t="shared" si="21"/>
        <v>1.0053844558696288</v>
      </c>
      <c r="J218" s="189">
        <v>0</v>
      </c>
      <c r="K218" s="201">
        <f t="shared" si="22"/>
        <v>0</v>
      </c>
      <c r="L218" s="190">
        <v>510.06</v>
      </c>
      <c r="M218" s="201">
        <f t="shared" si="23"/>
        <v>1.0053844558696288</v>
      </c>
      <c r="N218" s="190">
        <v>384.07517999999283</v>
      </c>
      <c r="O218" s="189">
        <v>0.3</v>
      </c>
      <c r="P218" s="191">
        <v>2.1452015416848409E-3</v>
      </c>
      <c r="Q218" s="189">
        <v>0.45299999999998591</v>
      </c>
      <c r="R218" s="191">
        <v>3.2392543279440096E-3</v>
      </c>
      <c r="S218" s="190">
        <v>231.05717999999283</v>
      </c>
      <c r="T218" s="189" t="s">
        <v>483</v>
      </c>
      <c r="U218" s="189" t="s">
        <v>416</v>
      </c>
      <c r="V218" s="189"/>
      <c r="W218" s="196">
        <v>1</v>
      </c>
      <c r="X218" s="189" t="s">
        <v>417</v>
      </c>
    </row>
    <row r="219" spans="2:24">
      <c r="B219" s="531"/>
      <c r="C219" s="531"/>
      <c r="D219" s="200">
        <v>113</v>
      </c>
      <c r="E219" s="189" t="s">
        <v>434</v>
      </c>
      <c r="F219" s="190">
        <v>132.21600000000001</v>
      </c>
      <c r="G219" s="189">
        <v>68.510000000000005</v>
      </c>
      <c r="H219" s="189">
        <v>69.400000000000006</v>
      </c>
      <c r="I219" s="201">
        <f t="shared" si="21"/>
        <v>1.0129908042621516</v>
      </c>
      <c r="J219" s="189">
        <v>0</v>
      </c>
      <c r="K219" s="201">
        <f t="shared" si="22"/>
        <v>0</v>
      </c>
      <c r="L219" s="190">
        <v>330.54</v>
      </c>
      <c r="M219" s="201">
        <f t="shared" si="23"/>
        <v>1.0129908042621516</v>
      </c>
      <c r="N219" s="190">
        <v>294.1806000000002</v>
      </c>
      <c r="O219" s="189">
        <v>0.4</v>
      </c>
      <c r="P219" s="191">
        <v>5.8385637133265217E-3</v>
      </c>
      <c r="Q219" s="189">
        <v>0.49000000000000055</v>
      </c>
      <c r="R219" s="191">
        <v>7.1522405488249965E-3</v>
      </c>
      <c r="S219" s="190">
        <v>161.96460000000019</v>
      </c>
      <c r="T219" s="189" t="s">
        <v>486</v>
      </c>
      <c r="U219" s="189" t="s">
        <v>426</v>
      </c>
      <c r="V219" s="189"/>
      <c r="W219" s="196">
        <v>1</v>
      </c>
      <c r="X219" s="189" t="s">
        <v>280</v>
      </c>
    </row>
    <row r="220" spans="2:24">
      <c r="B220" s="531"/>
      <c r="C220" s="531"/>
      <c r="D220" s="200">
        <v>114</v>
      </c>
      <c r="E220" s="189" t="s">
        <v>532</v>
      </c>
      <c r="F220" s="190">
        <v>130.31400000000002</v>
      </c>
      <c r="G220" s="189">
        <v>16.488</v>
      </c>
      <c r="H220" s="189">
        <v>16.7</v>
      </c>
      <c r="I220" s="201">
        <f t="shared" si="21"/>
        <v>1.0128578360019407</v>
      </c>
      <c r="J220" s="189">
        <v>0</v>
      </c>
      <c r="K220" s="201">
        <f t="shared" si="22"/>
        <v>0</v>
      </c>
      <c r="L220" s="190">
        <v>651.57000000000005</v>
      </c>
      <c r="M220" s="201">
        <f t="shared" si="23"/>
        <v>1.0128578360019407</v>
      </c>
      <c r="N220" s="190">
        <v>138.13283999999985</v>
      </c>
      <c r="O220" s="189">
        <v>0.2</v>
      </c>
      <c r="P220" s="191">
        <v>1.2130033964095101E-2</v>
      </c>
      <c r="Q220" s="189">
        <v>1.1999999999999733E-2</v>
      </c>
      <c r="R220" s="191">
        <v>7.2780203784568985E-4</v>
      </c>
      <c r="S220" s="190">
        <v>7.8188399999998266</v>
      </c>
      <c r="T220" s="189" t="s">
        <v>483</v>
      </c>
      <c r="U220" s="189" t="s">
        <v>416</v>
      </c>
      <c r="V220" s="189"/>
      <c r="W220" s="196">
        <v>1</v>
      </c>
      <c r="X220" s="189" t="s">
        <v>533</v>
      </c>
    </row>
    <row r="221" spans="2:24">
      <c r="B221" s="531"/>
      <c r="C221" s="531"/>
      <c r="D221" s="200">
        <v>115</v>
      </c>
      <c r="E221" s="189" t="s">
        <v>567</v>
      </c>
      <c r="F221" s="190">
        <v>129.92000000000002</v>
      </c>
      <c r="G221" s="189">
        <v>1622</v>
      </c>
      <c r="H221" s="189">
        <v>1680</v>
      </c>
      <c r="I221" s="201">
        <f t="shared" si="21"/>
        <v>1.0357583230579532</v>
      </c>
      <c r="J221" s="189">
        <v>0</v>
      </c>
      <c r="K221" s="201">
        <f t="shared" si="22"/>
        <v>0</v>
      </c>
      <c r="L221" s="190">
        <v>2.2400000000000002</v>
      </c>
      <c r="M221" s="201">
        <f t="shared" si="23"/>
        <v>1.0357583230579532</v>
      </c>
      <c r="N221" s="190">
        <v>129.92000000000002</v>
      </c>
      <c r="O221" s="189">
        <v>58</v>
      </c>
      <c r="P221" s="191">
        <v>3.5758323057953144E-2</v>
      </c>
      <c r="Q221" s="189">
        <v>0</v>
      </c>
      <c r="R221" s="191">
        <v>0</v>
      </c>
      <c r="S221" s="190">
        <v>0</v>
      </c>
      <c r="T221" s="189" t="s">
        <v>486</v>
      </c>
      <c r="U221" s="189" t="s">
        <v>426</v>
      </c>
      <c r="V221" s="189"/>
      <c r="W221" s="196">
        <v>1</v>
      </c>
      <c r="X221" s="189" t="s">
        <v>296</v>
      </c>
    </row>
    <row r="222" spans="2:24">
      <c r="B222" s="531"/>
      <c r="C222" s="531"/>
      <c r="D222" s="200">
        <v>116</v>
      </c>
      <c r="E222" s="189" t="s">
        <v>563</v>
      </c>
      <c r="F222" s="190">
        <v>129.02000000000001</v>
      </c>
      <c r="G222" s="189">
        <v>134.464</v>
      </c>
      <c r="H222" s="189">
        <v>135.5</v>
      </c>
      <c r="I222" s="201">
        <f t="shared" si="21"/>
        <v>1.0077046644455021</v>
      </c>
      <c r="J222" s="189">
        <v>0</v>
      </c>
      <c r="K222" s="201">
        <f t="shared" si="22"/>
        <v>0</v>
      </c>
      <c r="L222" s="190">
        <v>258.04000000000002</v>
      </c>
      <c r="M222" s="201">
        <f t="shared" si="23"/>
        <v>1.0077046644455021</v>
      </c>
      <c r="N222" s="190">
        <v>267.32944000000037</v>
      </c>
      <c r="O222" s="189">
        <v>0.5</v>
      </c>
      <c r="P222" s="191">
        <v>3.7184673964778675E-3</v>
      </c>
      <c r="Q222" s="189">
        <v>0.53600000000000136</v>
      </c>
      <c r="R222" s="191">
        <v>3.9861970490242841E-3</v>
      </c>
      <c r="S222" s="190">
        <v>138.30944000000036</v>
      </c>
      <c r="T222" s="189" t="s">
        <v>483</v>
      </c>
      <c r="U222" s="189" t="s">
        <v>416</v>
      </c>
      <c r="V222" s="189"/>
      <c r="W222" s="196">
        <v>1</v>
      </c>
      <c r="X222" s="189" t="s">
        <v>309</v>
      </c>
    </row>
    <row r="223" spans="2:24">
      <c r="B223" s="531"/>
      <c r="C223" s="531"/>
      <c r="D223" s="200">
        <v>117</v>
      </c>
      <c r="E223" s="189" t="s">
        <v>561</v>
      </c>
      <c r="F223" s="190">
        <v>128.63999999999999</v>
      </c>
      <c r="G223" s="189">
        <v>2.73</v>
      </c>
      <c r="H223" s="189">
        <v>3.2</v>
      </c>
      <c r="I223" s="201">
        <f t="shared" si="21"/>
        <v>1.1721611721611722</v>
      </c>
      <c r="J223" s="189">
        <v>0</v>
      </c>
      <c r="K223" s="201">
        <f t="shared" si="22"/>
        <v>0</v>
      </c>
      <c r="L223" s="190">
        <v>428.8</v>
      </c>
      <c r="M223" s="201">
        <f t="shared" si="23"/>
        <v>1.1721611721611722</v>
      </c>
      <c r="N223" s="190">
        <v>201.53600000000009</v>
      </c>
      <c r="O223" s="189">
        <v>0.3</v>
      </c>
      <c r="P223" s="191">
        <v>0.10989010989010989</v>
      </c>
      <c r="Q223" s="189">
        <v>0.17000000000000021</v>
      </c>
      <c r="R223" s="191">
        <v>6.2271062271062348E-2</v>
      </c>
      <c r="S223" s="190">
        <v>72.896000000000086</v>
      </c>
      <c r="T223" s="189" t="s">
        <v>514</v>
      </c>
      <c r="U223" s="189" t="s">
        <v>400</v>
      </c>
      <c r="V223" s="189"/>
      <c r="W223" s="196">
        <v>1</v>
      </c>
      <c r="X223" s="189" t="s">
        <v>245</v>
      </c>
    </row>
    <row r="224" spans="2:24">
      <c r="B224" s="531"/>
      <c r="C224" s="531"/>
      <c r="D224" s="200">
        <v>118</v>
      </c>
      <c r="E224" s="189" t="s">
        <v>489</v>
      </c>
      <c r="F224" s="190">
        <v>127.22000000000001</v>
      </c>
      <c r="G224" s="189">
        <v>27.943999999999999</v>
      </c>
      <c r="H224" s="189">
        <v>28.9</v>
      </c>
      <c r="I224" s="201">
        <f t="shared" si="21"/>
        <v>1.0342112797022616</v>
      </c>
      <c r="J224" s="189">
        <v>0</v>
      </c>
      <c r="K224" s="201">
        <f t="shared" si="22"/>
        <v>0</v>
      </c>
      <c r="L224" s="190">
        <v>318.05</v>
      </c>
      <c r="M224" s="201">
        <f t="shared" si="23"/>
        <v>1.0342112797022616</v>
      </c>
      <c r="N224" s="190">
        <v>304.05579999999986</v>
      </c>
      <c r="O224" s="189">
        <v>0.4</v>
      </c>
      <c r="P224" s="191">
        <v>1.4314342971657602E-2</v>
      </c>
      <c r="Q224" s="189">
        <v>0.55599999999999949</v>
      </c>
      <c r="R224" s="191">
        <v>1.9896936730604046E-2</v>
      </c>
      <c r="S224" s="190">
        <v>176.83579999999984</v>
      </c>
      <c r="T224" s="189" t="s">
        <v>486</v>
      </c>
      <c r="U224" s="189" t="s">
        <v>426</v>
      </c>
      <c r="V224" s="189"/>
      <c r="W224" s="196">
        <v>1</v>
      </c>
      <c r="X224" s="189" t="s">
        <v>303</v>
      </c>
    </row>
    <row r="225" spans="2:24">
      <c r="B225" s="531"/>
      <c r="C225" s="531"/>
      <c r="D225" s="200">
        <v>119</v>
      </c>
      <c r="E225" s="189" t="s">
        <v>520</v>
      </c>
      <c r="F225" s="190">
        <v>126.75999999999999</v>
      </c>
      <c r="G225" s="189">
        <v>1.6559999999999999</v>
      </c>
      <c r="H225" s="189">
        <v>2.4</v>
      </c>
      <c r="I225" s="201">
        <f t="shared" si="21"/>
        <v>1.4492753623188406</v>
      </c>
      <c r="J225" s="189">
        <v>0</v>
      </c>
      <c r="K225" s="201">
        <f t="shared" si="22"/>
        <v>0</v>
      </c>
      <c r="L225" s="190">
        <v>316.89999999999998</v>
      </c>
      <c r="M225" s="201">
        <f t="shared" si="23"/>
        <v>1.4492753623188406</v>
      </c>
      <c r="N225" s="190">
        <v>235.77359999999999</v>
      </c>
      <c r="O225" s="189">
        <v>0.4</v>
      </c>
      <c r="P225" s="191">
        <v>0.24154589371980678</v>
      </c>
      <c r="Q225" s="189">
        <v>0.34399999999999997</v>
      </c>
      <c r="R225" s="191">
        <v>0.20772946859903382</v>
      </c>
      <c r="S225" s="190">
        <v>109.01359999999998</v>
      </c>
      <c r="T225" s="189" t="s">
        <v>494</v>
      </c>
      <c r="U225" s="189" t="s">
        <v>495</v>
      </c>
      <c r="V225" s="189"/>
      <c r="W225" s="196">
        <v>1</v>
      </c>
      <c r="X225" s="189" t="s">
        <v>305</v>
      </c>
    </row>
    <row r="226" spans="2:24">
      <c r="B226" s="531"/>
      <c r="C226" s="531"/>
      <c r="D226" s="200">
        <v>120</v>
      </c>
      <c r="E226" s="189" t="s">
        <v>568</v>
      </c>
      <c r="F226" s="190">
        <v>126.54</v>
      </c>
      <c r="G226" s="189">
        <v>44.3</v>
      </c>
      <c r="H226" s="189">
        <v>45.3</v>
      </c>
      <c r="I226" s="201">
        <f t="shared" si="21"/>
        <v>1.0225733634311513</v>
      </c>
      <c r="J226" s="189">
        <v>0</v>
      </c>
      <c r="K226" s="201">
        <f t="shared" si="22"/>
        <v>0</v>
      </c>
      <c r="L226" s="190">
        <v>253.08</v>
      </c>
      <c r="M226" s="201">
        <f t="shared" si="23"/>
        <v>1.0225733634311513</v>
      </c>
      <c r="N226" s="190">
        <v>253.08</v>
      </c>
      <c r="O226" s="189">
        <v>0.5</v>
      </c>
      <c r="P226" s="191">
        <v>1.1286681715575621E-2</v>
      </c>
      <c r="Q226" s="189">
        <v>0.5</v>
      </c>
      <c r="R226" s="191">
        <v>1.1286681715575621E-2</v>
      </c>
      <c r="S226" s="190">
        <v>126.54</v>
      </c>
      <c r="T226" s="189" t="s">
        <v>483</v>
      </c>
      <c r="U226" s="189" t="s">
        <v>416</v>
      </c>
      <c r="V226" s="189"/>
      <c r="W226" s="196">
        <v>1</v>
      </c>
      <c r="X226" s="189" t="s">
        <v>300</v>
      </c>
    </row>
    <row r="227" spans="2:24">
      <c r="B227" s="533">
        <v>45892</v>
      </c>
      <c r="C227" s="531" t="s">
        <v>157</v>
      </c>
      <c r="D227" s="200">
        <v>121</v>
      </c>
      <c r="E227" s="189" t="s">
        <v>418</v>
      </c>
      <c r="F227" s="190">
        <v>153.018</v>
      </c>
      <c r="G227" s="189">
        <v>131.23099999999999</v>
      </c>
      <c r="H227" s="189">
        <v>132</v>
      </c>
      <c r="I227" s="201">
        <f t="shared" si="21"/>
        <v>1.005859895908741</v>
      </c>
      <c r="J227" s="189">
        <v>0</v>
      </c>
      <c r="K227" s="201">
        <f t="shared" si="22"/>
        <v>0</v>
      </c>
      <c r="L227" s="190">
        <v>510.06</v>
      </c>
      <c r="M227" s="201">
        <f t="shared" si="23"/>
        <v>1.005859895908741</v>
      </c>
      <c r="N227" s="190">
        <v>392.23614000000276</v>
      </c>
      <c r="O227" s="189">
        <v>0.3</v>
      </c>
      <c r="P227" s="191">
        <v>2.2860452179744115E-3</v>
      </c>
      <c r="Q227" s="189">
        <v>0.46900000000000547</v>
      </c>
      <c r="R227" s="191">
        <v>3.5738506907667051E-3</v>
      </c>
      <c r="S227" s="190">
        <v>239.21814000000279</v>
      </c>
      <c r="T227" s="189" t="s">
        <v>486</v>
      </c>
      <c r="U227" s="189" t="s">
        <v>426</v>
      </c>
      <c r="V227" s="189"/>
      <c r="W227" s="196">
        <v>1</v>
      </c>
      <c r="X227" s="189" t="s">
        <v>417</v>
      </c>
    </row>
    <row r="228" spans="2:24">
      <c r="B228" s="531"/>
      <c r="C228" s="531"/>
      <c r="D228" s="200">
        <v>122</v>
      </c>
      <c r="E228" s="189" t="s">
        <v>433</v>
      </c>
      <c r="F228" s="190">
        <v>133.79600000000002</v>
      </c>
      <c r="G228" s="189">
        <v>46.878</v>
      </c>
      <c r="H228" s="189">
        <v>47.7</v>
      </c>
      <c r="I228" s="201">
        <f t="shared" si="21"/>
        <v>1.0175348777678228</v>
      </c>
      <c r="J228" s="189">
        <v>0</v>
      </c>
      <c r="K228" s="201">
        <f t="shared" si="22"/>
        <v>0</v>
      </c>
      <c r="L228" s="190">
        <v>334.49</v>
      </c>
      <c r="M228" s="201">
        <f t="shared" si="23"/>
        <v>1.0175348777678228</v>
      </c>
      <c r="N228" s="190">
        <v>274.95078000000092</v>
      </c>
      <c r="O228" s="189">
        <v>0.4</v>
      </c>
      <c r="P228" s="191">
        <v>8.5327872349502971E-3</v>
      </c>
      <c r="Q228" s="189">
        <v>0.42200000000000271</v>
      </c>
      <c r="R228" s="191">
        <v>9.0020905328726201E-3</v>
      </c>
      <c r="S228" s="190">
        <v>141.1547800000009</v>
      </c>
      <c r="T228" s="189" t="s">
        <v>483</v>
      </c>
      <c r="U228" s="189" t="s">
        <v>416</v>
      </c>
      <c r="V228" s="189"/>
      <c r="W228" s="196">
        <v>1</v>
      </c>
      <c r="X228" s="189" t="s">
        <v>278</v>
      </c>
    </row>
    <row r="229" spans="2:24">
      <c r="B229" s="531"/>
      <c r="C229" s="531"/>
      <c r="D229" s="200">
        <v>123</v>
      </c>
      <c r="E229" s="189" t="s">
        <v>532</v>
      </c>
      <c r="F229" s="190">
        <v>130.31400000000002</v>
      </c>
      <c r="G229" s="189">
        <v>16.692</v>
      </c>
      <c r="H229" s="189">
        <v>17.100000000000001</v>
      </c>
      <c r="I229" s="201">
        <f t="shared" si="21"/>
        <v>1.0244428468727536</v>
      </c>
      <c r="J229" s="189">
        <v>0</v>
      </c>
      <c r="K229" s="201">
        <f t="shared" si="22"/>
        <v>0</v>
      </c>
      <c r="L229" s="190">
        <v>651.57000000000005</v>
      </c>
      <c r="M229" s="201">
        <f t="shared" si="23"/>
        <v>1.0244428468727536</v>
      </c>
      <c r="N229" s="190">
        <v>265.84056000000083</v>
      </c>
      <c r="O229" s="189">
        <v>0.2</v>
      </c>
      <c r="P229" s="191">
        <v>1.1981787682722263E-2</v>
      </c>
      <c r="Q229" s="189">
        <v>0.20800000000000124</v>
      </c>
      <c r="R229" s="191">
        <v>1.2461059190031227E-2</v>
      </c>
      <c r="S229" s="190">
        <v>135.52656000000081</v>
      </c>
      <c r="T229" s="189" t="s">
        <v>483</v>
      </c>
      <c r="U229" s="189" t="s">
        <v>416</v>
      </c>
      <c r="V229" s="189"/>
      <c r="W229" s="196">
        <v>1</v>
      </c>
      <c r="X229" s="189" t="s">
        <v>533</v>
      </c>
    </row>
    <row r="230" spans="2:24">
      <c r="B230" s="531"/>
      <c r="C230" s="531"/>
      <c r="D230" s="200">
        <v>124</v>
      </c>
      <c r="E230" s="189" t="s">
        <v>485</v>
      </c>
      <c r="F230" s="190">
        <v>124.48499999999999</v>
      </c>
      <c r="G230" s="189">
        <v>10.808</v>
      </c>
      <c r="H230" s="189">
        <v>11.5</v>
      </c>
      <c r="I230" s="201">
        <f t="shared" si="21"/>
        <v>1.0640266469282014</v>
      </c>
      <c r="J230" s="189">
        <v>0</v>
      </c>
      <c r="K230" s="201">
        <f t="shared" si="22"/>
        <v>0</v>
      </c>
      <c r="L230" s="190">
        <v>414.95</v>
      </c>
      <c r="M230" s="201">
        <f t="shared" si="23"/>
        <v>1.0640266469282014</v>
      </c>
      <c r="N230" s="190">
        <v>287.14540000000005</v>
      </c>
      <c r="O230" s="189">
        <v>0.3</v>
      </c>
      <c r="P230" s="191">
        <v>2.7757216876387859E-2</v>
      </c>
      <c r="Q230" s="189">
        <v>0.39200000000000018</v>
      </c>
      <c r="R230" s="191">
        <v>3.6269430051813489E-2</v>
      </c>
      <c r="S230" s="190">
        <v>162.66040000000007</v>
      </c>
      <c r="T230" s="189" t="s">
        <v>494</v>
      </c>
      <c r="U230" s="189" t="s">
        <v>500</v>
      </c>
      <c r="V230" s="189"/>
      <c r="W230" s="196">
        <v>1</v>
      </c>
      <c r="X230" s="189" t="s">
        <v>304</v>
      </c>
    </row>
    <row r="231" spans="2:24">
      <c r="B231" s="531"/>
      <c r="C231" s="531"/>
      <c r="D231" s="200">
        <v>125</v>
      </c>
      <c r="E231" s="189" t="s">
        <v>557</v>
      </c>
      <c r="F231" s="190">
        <v>124.17200000000001</v>
      </c>
      <c r="G231" s="189">
        <v>20.792999999999999</v>
      </c>
      <c r="H231" s="189">
        <v>21.9</v>
      </c>
      <c r="I231" s="201">
        <f t="shared" si="21"/>
        <v>1.0532390708411485</v>
      </c>
      <c r="J231" s="189">
        <v>0</v>
      </c>
      <c r="K231" s="201">
        <f t="shared" si="22"/>
        <v>0</v>
      </c>
      <c r="L231" s="190">
        <v>310.43</v>
      </c>
      <c r="M231" s="201">
        <f t="shared" si="23"/>
        <v>1.0532390708411485</v>
      </c>
      <c r="N231" s="190">
        <v>343.64600999999982</v>
      </c>
      <c r="O231" s="189">
        <v>0.4</v>
      </c>
      <c r="P231" s="191">
        <v>1.9237243303034678E-2</v>
      </c>
      <c r="Q231" s="189">
        <v>0.7069999999999993</v>
      </c>
      <c r="R231" s="191">
        <v>3.4001827538113753E-2</v>
      </c>
      <c r="S231" s="190">
        <v>219.47400999999979</v>
      </c>
      <c r="T231" s="189" t="s">
        <v>483</v>
      </c>
      <c r="U231" s="189" t="s">
        <v>416</v>
      </c>
      <c r="V231" s="189"/>
      <c r="W231" s="196">
        <v>1</v>
      </c>
      <c r="X231" s="189" t="s">
        <v>270</v>
      </c>
    </row>
    <row r="232" spans="2:24">
      <c r="B232" s="531"/>
      <c r="C232" s="531"/>
      <c r="D232" s="200">
        <v>126</v>
      </c>
      <c r="E232" s="189" t="s">
        <v>569</v>
      </c>
      <c r="F232" s="190">
        <v>123.92399999999999</v>
      </c>
      <c r="G232" s="189">
        <v>8.4239999999999995</v>
      </c>
      <c r="H232" s="189">
        <v>8.4</v>
      </c>
      <c r="I232" s="201">
        <f t="shared" si="21"/>
        <v>0.99715099715099731</v>
      </c>
      <c r="J232" s="189">
        <v>0.6</v>
      </c>
      <c r="K232" s="201">
        <f t="shared" si="22"/>
        <v>7.1225071225071226E-2</v>
      </c>
      <c r="L232" s="190">
        <v>413.08</v>
      </c>
      <c r="M232" s="201">
        <f t="shared" si="23"/>
        <v>1.0683760683760684</v>
      </c>
      <c r="N232" s="190">
        <v>237.93408000000019</v>
      </c>
      <c r="O232" s="189">
        <v>0.3</v>
      </c>
      <c r="P232" s="191">
        <v>3.5612535612535613E-2</v>
      </c>
      <c r="Q232" s="189">
        <v>0.27600000000000052</v>
      </c>
      <c r="R232" s="191">
        <v>3.2763532763532825E-2</v>
      </c>
      <c r="S232" s="190">
        <v>114.01008000000022</v>
      </c>
      <c r="T232" s="189" t="s">
        <v>494</v>
      </c>
      <c r="U232" s="189" t="s">
        <v>500</v>
      </c>
      <c r="V232" s="189"/>
      <c r="W232" s="196">
        <v>1</v>
      </c>
      <c r="X232" s="189" t="s">
        <v>548</v>
      </c>
    </row>
    <row r="233" spans="2:24">
      <c r="B233" s="531"/>
      <c r="C233" s="531"/>
      <c r="D233" s="200">
        <v>127</v>
      </c>
      <c r="E233" s="189" t="s">
        <v>412</v>
      </c>
      <c r="F233" s="190">
        <v>122.14400000000001</v>
      </c>
      <c r="G233" s="189">
        <v>106.8</v>
      </c>
      <c r="H233" s="189">
        <v>109.2</v>
      </c>
      <c r="I233" s="201">
        <f t="shared" si="21"/>
        <v>1.0224719101123596</v>
      </c>
      <c r="J233" s="189">
        <v>0</v>
      </c>
      <c r="K233" s="201">
        <f t="shared" si="22"/>
        <v>0</v>
      </c>
      <c r="L233" s="190">
        <v>76.34</v>
      </c>
      <c r="M233" s="201">
        <f t="shared" si="23"/>
        <v>1.0224719101123596</v>
      </c>
      <c r="N233" s="190">
        <v>183.21600000000043</v>
      </c>
      <c r="O233" s="189">
        <v>1.6</v>
      </c>
      <c r="P233" s="191">
        <v>1.4981273408239702E-2</v>
      </c>
      <c r="Q233" s="189">
        <v>0.8000000000000056</v>
      </c>
      <c r="R233" s="191">
        <v>7.4906367041199032E-3</v>
      </c>
      <c r="S233" s="190">
        <v>61.072000000000429</v>
      </c>
      <c r="T233" s="189" t="s">
        <v>494</v>
      </c>
      <c r="U233" s="189" t="s">
        <v>500</v>
      </c>
      <c r="V233" s="189"/>
      <c r="W233" s="196">
        <v>1</v>
      </c>
      <c r="X233" s="189" t="s">
        <v>305</v>
      </c>
    </row>
    <row r="234" spans="2:24">
      <c r="B234" s="531"/>
      <c r="C234" s="531"/>
      <c r="D234" s="200">
        <v>128</v>
      </c>
      <c r="E234" s="189" t="s">
        <v>570</v>
      </c>
      <c r="F234" s="190">
        <v>121.88</v>
      </c>
      <c r="G234" s="189">
        <v>5.29</v>
      </c>
      <c r="H234" s="189">
        <v>5.8</v>
      </c>
      <c r="I234" s="201">
        <f t="shared" si="21"/>
        <v>1.0964083175803403</v>
      </c>
      <c r="J234" s="189">
        <v>0</v>
      </c>
      <c r="K234" s="201">
        <f t="shared" si="22"/>
        <v>0</v>
      </c>
      <c r="L234" s="190">
        <v>304.7</v>
      </c>
      <c r="M234" s="201">
        <f t="shared" si="23"/>
        <v>1.0964083175803403</v>
      </c>
      <c r="N234" s="190">
        <v>155.39699999999993</v>
      </c>
      <c r="O234" s="189">
        <v>0.4</v>
      </c>
      <c r="P234" s="191">
        <v>7.5614366729678639E-2</v>
      </c>
      <c r="Q234" s="189">
        <v>0.10999999999999976</v>
      </c>
      <c r="R234" s="191">
        <v>2.0793950850661581E-2</v>
      </c>
      <c r="S234" s="190">
        <v>33.516999999999925</v>
      </c>
      <c r="T234" s="189" t="s">
        <v>494</v>
      </c>
      <c r="U234" s="189" t="s">
        <v>495</v>
      </c>
      <c r="V234" s="189"/>
      <c r="W234" s="196">
        <v>1</v>
      </c>
      <c r="X234" s="189" t="s">
        <v>222</v>
      </c>
    </row>
    <row r="235" spans="2:24">
      <c r="B235" s="531"/>
      <c r="C235" s="531"/>
      <c r="D235" s="200">
        <v>129</v>
      </c>
      <c r="E235" s="189" t="s">
        <v>420</v>
      </c>
      <c r="F235" s="190">
        <v>120.52499999999999</v>
      </c>
      <c r="G235" s="189">
        <v>26.768000000000001</v>
      </c>
      <c r="H235" s="189">
        <v>27.4</v>
      </c>
      <c r="I235" s="201">
        <f t="shared" si="21"/>
        <v>1.0236102809324565</v>
      </c>
      <c r="J235" s="189">
        <v>0</v>
      </c>
      <c r="K235" s="201">
        <f t="shared" si="22"/>
        <v>0</v>
      </c>
      <c r="L235" s="190">
        <v>401.75</v>
      </c>
      <c r="M235" s="201">
        <f t="shared" si="23"/>
        <v>1.0236102809324565</v>
      </c>
      <c r="N235" s="190">
        <v>253.90599999999915</v>
      </c>
      <c r="O235" s="189">
        <v>0.3</v>
      </c>
      <c r="P235" s="191">
        <v>1.1207411835026897E-2</v>
      </c>
      <c r="Q235" s="189">
        <v>0.33199999999999791</v>
      </c>
      <c r="R235" s="191">
        <v>1.2402869097429688E-2</v>
      </c>
      <c r="S235" s="190">
        <v>133.38099999999915</v>
      </c>
      <c r="T235" s="189" t="s">
        <v>483</v>
      </c>
      <c r="U235" s="189" t="s">
        <v>416</v>
      </c>
      <c r="V235" s="189"/>
      <c r="W235" s="196">
        <v>1</v>
      </c>
      <c r="X235" s="189" t="s">
        <v>419</v>
      </c>
    </row>
    <row r="236" spans="2:24">
      <c r="B236" s="531"/>
      <c r="C236" s="531"/>
      <c r="D236" s="200">
        <v>130</v>
      </c>
      <c r="E236" s="189" t="s">
        <v>571</v>
      </c>
      <c r="F236" s="190">
        <v>120.07</v>
      </c>
      <c r="G236" s="189">
        <v>12.45</v>
      </c>
      <c r="H236" s="189">
        <v>14</v>
      </c>
      <c r="I236" s="201">
        <f t="shared" si="21"/>
        <v>1.1244979919678715</v>
      </c>
      <c r="J236" s="189">
        <v>0</v>
      </c>
      <c r="K236" s="201">
        <f t="shared" si="22"/>
        <v>0</v>
      </c>
      <c r="L236" s="190">
        <v>120.07</v>
      </c>
      <c r="M236" s="201">
        <f t="shared" si="23"/>
        <v>1.1244979919678715</v>
      </c>
      <c r="N236" s="190">
        <v>186.10850000000008</v>
      </c>
      <c r="O236" s="189">
        <v>1</v>
      </c>
      <c r="P236" s="191">
        <v>8.0321285140562249E-2</v>
      </c>
      <c r="Q236" s="189">
        <v>0.55000000000000071</v>
      </c>
      <c r="R236" s="191">
        <v>4.4176706827309294E-2</v>
      </c>
      <c r="S236" s="190">
        <v>66.038500000000084</v>
      </c>
      <c r="T236" s="189" t="s">
        <v>494</v>
      </c>
      <c r="U236" s="189" t="s">
        <v>495</v>
      </c>
      <c r="V236" s="189"/>
      <c r="W236" s="196">
        <v>1</v>
      </c>
      <c r="X236" s="189" t="s">
        <v>231</v>
      </c>
    </row>
    <row r="237" spans="2:24">
      <c r="B237" s="533">
        <v>45893</v>
      </c>
      <c r="C237" s="531" t="s">
        <v>152</v>
      </c>
      <c r="D237" s="200">
        <v>131</v>
      </c>
      <c r="E237" s="189" t="s">
        <v>503</v>
      </c>
      <c r="F237" s="190">
        <v>151.6</v>
      </c>
      <c r="G237" s="189">
        <v>55.008000000000003</v>
      </c>
      <c r="H237" s="189">
        <v>56.4</v>
      </c>
      <c r="I237" s="201">
        <f t="shared" si="21"/>
        <v>1.0253054101221639</v>
      </c>
      <c r="J237" s="189">
        <v>0</v>
      </c>
      <c r="K237" s="201">
        <f t="shared" si="22"/>
        <v>0</v>
      </c>
      <c r="L237" s="190">
        <v>151.6</v>
      </c>
      <c r="M237" s="201">
        <f t="shared" si="23"/>
        <v>1.0253054101221639</v>
      </c>
      <c r="N237" s="190">
        <v>211.02719999999937</v>
      </c>
      <c r="O237" s="189">
        <v>1</v>
      </c>
      <c r="P237" s="191">
        <v>1.8179173938336242E-2</v>
      </c>
      <c r="Q237" s="189">
        <v>0.39199999999999591</v>
      </c>
      <c r="R237" s="191">
        <v>7.1262361838277319E-3</v>
      </c>
      <c r="S237" s="190">
        <v>59.427199999999374</v>
      </c>
      <c r="T237" s="189" t="s">
        <v>494</v>
      </c>
      <c r="U237" s="189" t="s">
        <v>500</v>
      </c>
      <c r="V237" s="189"/>
      <c r="W237" s="196">
        <v>1</v>
      </c>
      <c r="X237" s="189" t="s">
        <v>306</v>
      </c>
    </row>
    <row r="238" spans="2:24">
      <c r="B238" s="531"/>
      <c r="C238" s="531"/>
      <c r="D238" s="200">
        <v>132</v>
      </c>
      <c r="E238" s="189" t="s">
        <v>422</v>
      </c>
      <c r="F238" s="190">
        <v>145.929</v>
      </c>
      <c r="G238" s="189">
        <v>80.045000000000002</v>
      </c>
      <c r="H238" s="189">
        <v>81.099999999999994</v>
      </c>
      <c r="I238" s="201">
        <f t="shared" si="21"/>
        <v>1.0131800862015115</v>
      </c>
      <c r="J238" s="189">
        <v>0</v>
      </c>
      <c r="K238" s="201">
        <f t="shared" si="22"/>
        <v>0</v>
      </c>
      <c r="L238" s="190">
        <v>208.47</v>
      </c>
      <c r="M238" s="201">
        <f t="shared" si="23"/>
        <v>1.0131800862015115</v>
      </c>
      <c r="N238" s="190">
        <v>219.93584999999845</v>
      </c>
      <c r="O238" s="189">
        <v>0.7</v>
      </c>
      <c r="P238" s="191">
        <v>8.7450808919982501E-3</v>
      </c>
      <c r="Q238" s="189">
        <v>0.35499999999999265</v>
      </c>
      <c r="R238" s="191">
        <v>4.435005309513307E-3</v>
      </c>
      <c r="S238" s="190">
        <v>74.006849999998465</v>
      </c>
      <c r="T238" s="189" t="s">
        <v>483</v>
      </c>
      <c r="U238" s="189" t="s">
        <v>416</v>
      </c>
      <c r="V238" s="189"/>
      <c r="W238" s="196">
        <v>1</v>
      </c>
      <c r="X238" s="189" t="s">
        <v>305</v>
      </c>
    </row>
    <row r="239" spans="2:24">
      <c r="B239" s="531"/>
      <c r="C239" s="531"/>
      <c r="D239" s="200">
        <v>133</v>
      </c>
      <c r="E239" s="189" t="s">
        <v>538</v>
      </c>
      <c r="F239" s="190">
        <v>145.05199999999999</v>
      </c>
      <c r="G239" s="189">
        <v>47.08</v>
      </c>
      <c r="H239" s="189">
        <v>47.8</v>
      </c>
      <c r="I239" s="201">
        <f t="shared" si="21"/>
        <v>1.0152931180968563</v>
      </c>
      <c r="J239" s="189">
        <v>0</v>
      </c>
      <c r="K239" s="201">
        <f t="shared" si="22"/>
        <v>0</v>
      </c>
      <c r="L239" s="190">
        <v>362.63</v>
      </c>
      <c r="M239" s="201">
        <f t="shared" si="23"/>
        <v>1.0152931180968563</v>
      </c>
      <c r="N239" s="190">
        <v>261.09359999999958</v>
      </c>
      <c r="O239" s="189">
        <v>0.4</v>
      </c>
      <c r="P239" s="191">
        <v>8.4961767204757861E-3</v>
      </c>
      <c r="Q239" s="189">
        <v>0.31999999999999884</v>
      </c>
      <c r="R239" s="191">
        <v>6.7969413763806046E-3</v>
      </c>
      <c r="S239" s="190">
        <v>116.04159999999958</v>
      </c>
      <c r="T239" s="189" t="s">
        <v>494</v>
      </c>
      <c r="U239" s="189" t="s">
        <v>416</v>
      </c>
      <c r="V239" s="189"/>
      <c r="W239" s="196">
        <v>1</v>
      </c>
      <c r="X239" s="189" t="s">
        <v>539</v>
      </c>
    </row>
    <row r="240" spans="2:24">
      <c r="B240" s="531"/>
      <c r="C240" s="531"/>
      <c r="D240" s="200">
        <v>134</v>
      </c>
      <c r="E240" s="189" t="s">
        <v>556</v>
      </c>
      <c r="F240" s="190">
        <v>136.172</v>
      </c>
      <c r="G240" s="189">
        <v>3.1560000000000001</v>
      </c>
      <c r="H240" s="189">
        <v>4</v>
      </c>
      <c r="I240" s="201">
        <f t="shared" si="21"/>
        <v>1.2674271229404308</v>
      </c>
      <c r="J240" s="189">
        <v>0</v>
      </c>
      <c r="K240" s="201">
        <f t="shared" si="22"/>
        <v>0</v>
      </c>
      <c r="L240" s="190">
        <v>340.43</v>
      </c>
      <c r="M240" s="201">
        <f t="shared" si="23"/>
        <v>1.2674271229404308</v>
      </c>
      <c r="N240" s="190">
        <v>287.32291999999995</v>
      </c>
      <c r="O240" s="189">
        <v>0.4</v>
      </c>
      <c r="P240" s="191">
        <v>0.1267427122940431</v>
      </c>
      <c r="Q240" s="189">
        <v>0.44399999999999984</v>
      </c>
      <c r="R240" s="191">
        <v>0.14068441064638779</v>
      </c>
      <c r="S240" s="190">
        <v>151.15091999999996</v>
      </c>
      <c r="T240" s="189" t="s">
        <v>494</v>
      </c>
      <c r="U240" s="189" t="s">
        <v>495</v>
      </c>
      <c r="V240" s="189"/>
      <c r="W240" s="196">
        <v>1</v>
      </c>
      <c r="X240" s="189" t="s">
        <v>275</v>
      </c>
    </row>
    <row r="241" spans="2:24">
      <c r="B241" s="531"/>
      <c r="C241" s="531"/>
      <c r="D241" s="200">
        <v>135</v>
      </c>
      <c r="E241" s="189" t="s">
        <v>543</v>
      </c>
      <c r="F241" s="190">
        <v>134.04499999999999</v>
      </c>
      <c r="G241" s="189">
        <v>450.49200000000002</v>
      </c>
      <c r="H241" s="189">
        <v>453.7</v>
      </c>
      <c r="I241" s="201">
        <f t="shared" si="21"/>
        <v>1.0071211031494454</v>
      </c>
      <c r="J241" s="189">
        <v>0</v>
      </c>
      <c r="K241" s="201">
        <f t="shared" si="22"/>
        <v>0</v>
      </c>
      <c r="L241" s="190">
        <v>78.849999999999994</v>
      </c>
      <c r="M241" s="201">
        <f t="shared" si="23"/>
        <v>1.0071211031494454</v>
      </c>
      <c r="N241" s="190">
        <v>252.95079999999763</v>
      </c>
      <c r="O241" s="189">
        <v>1.7</v>
      </c>
      <c r="P241" s="191">
        <v>3.7736519183470514E-3</v>
      </c>
      <c r="Q241" s="189">
        <v>1.50799999999997</v>
      </c>
      <c r="R241" s="191">
        <v>3.347451231098377E-3</v>
      </c>
      <c r="S241" s="190">
        <v>118.90579999999763</v>
      </c>
      <c r="T241" s="189" t="s">
        <v>494</v>
      </c>
      <c r="U241" s="189" t="s">
        <v>416</v>
      </c>
      <c r="V241" s="189"/>
      <c r="W241" s="196">
        <v>1</v>
      </c>
      <c r="X241" s="189" t="s">
        <v>280</v>
      </c>
    </row>
    <row r="242" spans="2:24">
      <c r="B242" s="531"/>
      <c r="C242" s="531"/>
      <c r="D242" s="200">
        <v>136</v>
      </c>
      <c r="E242" s="189" t="s">
        <v>528</v>
      </c>
      <c r="F242" s="190">
        <v>133.44</v>
      </c>
      <c r="G242" s="189">
        <v>269.36</v>
      </c>
      <c r="H242" s="189">
        <v>272.39999999999998</v>
      </c>
      <c r="I242" s="201">
        <f t="shared" si="21"/>
        <v>1.0112860112860111</v>
      </c>
      <c r="J242" s="189">
        <v>0</v>
      </c>
      <c r="K242" s="201">
        <f t="shared" si="22"/>
        <v>0</v>
      </c>
      <c r="L242" s="190">
        <v>55.6</v>
      </c>
      <c r="M242" s="201">
        <f t="shared" si="23"/>
        <v>1.0112860112860111</v>
      </c>
      <c r="N242" s="190">
        <v>169.02399999999798</v>
      </c>
      <c r="O242" s="189">
        <v>2.4</v>
      </c>
      <c r="P242" s="191">
        <v>8.910008910008909E-3</v>
      </c>
      <c r="Q242" s="189">
        <v>0.63999999999996371</v>
      </c>
      <c r="R242" s="191">
        <v>2.3760023760022409E-3</v>
      </c>
      <c r="S242" s="190">
        <v>35.583999999997985</v>
      </c>
      <c r="T242" s="189" t="s">
        <v>494</v>
      </c>
      <c r="U242" s="189" t="s">
        <v>416</v>
      </c>
      <c r="V242" s="189"/>
      <c r="W242" s="196">
        <v>1</v>
      </c>
      <c r="X242" s="189" t="s">
        <v>269</v>
      </c>
    </row>
    <row r="243" spans="2:24">
      <c r="B243" s="531"/>
      <c r="C243" s="531"/>
      <c r="D243" s="200">
        <v>137</v>
      </c>
      <c r="E243" s="189" t="s">
        <v>443</v>
      </c>
      <c r="F243" s="190">
        <v>132.87199999999999</v>
      </c>
      <c r="G243" s="189">
        <v>199.648</v>
      </c>
      <c r="H243" s="189">
        <v>202.2</v>
      </c>
      <c r="I243" s="201">
        <f t="shared" si="21"/>
        <v>1.0127824971950632</v>
      </c>
      <c r="J243" s="189">
        <v>0</v>
      </c>
      <c r="K243" s="201">
        <f t="shared" si="22"/>
        <v>0</v>
      </c>
      <c r="L243" s="190">
        <v>78.16</v>
      </c>
      <c r="M243" s="201">
        <f t="shared" si="23"/>
        <v>1.0127824971950632</v>
      </c>
      <c r="N243" s="190">
        <v>199.46431999999942</v>
      </c>
      <c r="O243" s="189">
        <v>1.7</v>
      </c>
      <c r="P243" s="191">
        <v>8.5149863760217975E-3</v>
      </c>
      <c r="Q243" s="189">
        <v>0.85199999999999254</v>
      </c>
      <c r="R243" s="191">
        <v>4.2675108190414757E-3</v>
      </c>
      <c r="S243" s="190">
        <v>66.592319999999418</v>
      </c>
      <c r="T243" s="189" t="s">
        <v>486</v>
      </c>
      <c r="U243" s="189" t="s">
        <v>490</v>
      </c>
      <c r="V243" s="189"/>
      <c r="W243" s="196">
        <v>1</v>
      </c>
      <c r="X243" s="189" t="s">
        <v>270</v>
      </c>
    </row>
    <row r="244" spans="2:24">
      <c r="B244" s="531"/>
      <c r="C244" s="531"/>
      <c r="D244" s="200">
        <v>138</v>
      </c>
      <c r="E244" s="189" t="s">
        <v>572</v>
      </c>
      <c r="F244" s="190">
        <v>132.02800000000002</v>
      </c>
      <c r="G244" s="189">
        <v>383.95</v>
      </c>
      <c r="H244" s="189">
        <v>388.3</v>
      </c>
      <c r="I244" s="201">
        <f t="shared" si="21"/>
        <v>1.0113296002083605</v>
      </c>
      <c r="J244" s="189">
        <v>0</v>
      </c>
      <c r="K244" s="201">
        <f t="shared" si="22"/>
        <v>0</v>
      </c>
      <c r="L244" s="190">
        <v>50.78</v>
      </c>
      <c r="M244" s="201">
        <f t="shared" si="23"/>
        <v>1.0113296002083605</v>
      </c>
      <c r="N244" s="190">
        <v>220.89300000000117</v>
      </c>
      <c r="O244" s="189">
        <v>2.6</v>
      </c>
      <c r="P244" s="191">
        <v>6.7717150670660248E-3</v>
      </c>
      <c r="Q244" s="189">
        <v>1.7500000000000226</v>
      </c>
      <c r="R244" s="191">
        <v>4.5578851412944989E-3</v>
      </c>
      <c r="S244" s="190">
        <v>88.865000000001146</v>
      </c>
      <c r="T244" s="189" t="s">
        <v>486</v>
      </c>
      <c r="U244" s="189" t="s">
        <v>490</v>
      </c>
      <c r="V244" s="189"/>
      <c r="W244" s="196">
        <v>1</v>
      </c>
      <c r="X244" s="189" t="s">
        <v>265</v>
      </c>
    </row>
    <row r="245" spans="2:24">
      <c r="B245" s="531"/>
      <c r="C245" s="531"/>
      <c r="D245" s="200">
        <v>139</v>
      </c>
      <c r="E245" s="189" t="s">
        <v>573</v>
      </c>
      <c r="F245" s="190">
        <v>131.15200000000002</v>
      </c>
      <c r="G245" s="189">
        <v>337.68</v>
      </c>
      <c r="H245" s="189">
        <v>339.9</v>
      </c>
      <c r="I245" s="201">
        <f t="shared" si="21"/>
        <v>1.0065742714996446</v>
      </c>
      <c r="J245" s="189">
        <v>0</v>
      </c>
      <c r="K245" s="201">
        <f t="shared" si="22"/>
        <v>0</v>
      </c>
      <c r="L245" s="190">
        <v>81.97</v>
      </c>
      <c r="M245" s="201">
        <f t="shared" si="23"/>
        <v>1.0065742714996446</v>
      </c>
      <c r="N245" s="190">
        <v>181.97339999999758</v>
      </c>
      <c r="O245" s="189">
        <v>1.6</v>
      </c>
      <c r="P245" s="191">
        <v>4.7382136934375745E-3</v>
      </c>
      <c r="Q245" s="189">
        <v>0.61999999999997035</v>
      </c>
      <c r="R245" s="191">
        <v>1.8360578062069722E-3</v>
      </c>
      <c r="S245" s="190">
        <v>50.821399999997567</v>
      </c>
      <c r="T245" s="189" t="s">
        <v>494</v>
      </c>
      <c r="U245" s="189" t="s">
        <v>416</v>
      </c>
      <c r="V245" s="189"/>
      <c r="W245" s="196">
        <v>1</v>
      </c>
      <c r="X245" s="189" t="s">
        <v>303</v>
      </c>
    </row>
    <row r="246" spans="2:24">
      <c r="B246" s="531"/>
      <c r="C246" s="531"/>
      <c r="D246" s="200">
        <v>140</v>
      </c>
      <c r="E246" s="189" t="s">
        <v>412</v>
      </c>
      <c r="F246" s="190">
        <v>129.77799999999999</v>
      </c>
      <c r="G246" s="189">
        <v>137.22</v>
      </c>
      <c r="H246" s="189">
        <v>140.1</v>
      </c>
      <c r="I246" s="201">
        <f t="shared" si="21"/>
        <v>1.0209881941407957</v>
      </c>
      <c r="J246" s="189">
        <v>0</v>
      </c>
      <c r="K246" s="201">
        <f t="shared" si="22"/>
        <v>0</v>
      </c>
      <c r="L246" s="190">
        <v>76.34</v>
      </c>
      <c r="M246" s="201">
        <f t="shared" si="23"/>
        <v>1.0209881941407957</v>
      </c>
      <c r="N246" s="190">
        <v>219.85919999999967</v>
      </c>
      <c r="O246" s="189">
        <v>1.7</v>
      </c>
      <c r="P246" s="191">
        <v>1.2388864596997522E-2</v>
      </c>
      <c r="Q246" s="189">
        <v>1.1799999999999955</v>
      </c>
      <c r="R246" s="191">
        <v>8.5993295437982471E-3</v>
      </c>
      <c r="S246" s="190">
        <v>90.081199999999654</v>
      </c>
      <c r="T246" s="189" t="s">
        <v>494</v>
      </c>
      <c r="U246" s="189" t="s">
        <v>500</v>
      </c>
      <c r="V246" s="189"/>
      <c r="W246" s="196">
        <v>1</v>
      </c>
      <c r="X246" s="189" t="s">
        <v>305</v>
      </c>
    </row>
    <row r="247" spans="2:24">
      <c r="B247" s="533">
        <v>45894</v>
      </c>
      <c r="C247" s="531" t="s">
        <v>158</v>
      </c>
      <c r="D247" s="200">
        <v>141</v>
      </c>
      <c r="E247" s="189" t="s">
        <v>565</v>
      </c>
      <c r="F247" s="190">
        <v>135.48800000000003</v>
      </c>
      <c r="G247" s="189">
        <v>50.473999999999997</v>
      </c>
      <c r="H247" s="189">
        <v>52</v>
      </c>
      <c r="I247" s="201">
        <f t="shared" si="21"/>
        <v>1.0302333874866267</v>
      </c>
      <c r="J247" s="189">
        <v>0</v>
      </c>
      <c r="K247" s="201">
        <f t="shared" si="22"/>
        <v>0</v>
      </c>
      <c r="L247" s="190">
        <v>169.36</v>
      </c>
      <c r="M247" s="201">
        <f t="shared" si="23"/>
        <v>1.0302333874866267</v>
      </c>
      <c r="N247" s="190">
        <v>258.44336000000061</v>
      </c>
      <c r="O247" s="189">
        <v>0.8</v>
      </c>
      <c r="P247" s="191">
        <v>1.5849744422871181E-2</v>
      </c>
      <c r="Q247" s="189">
        <v>0.72600000000000331</v>
      </c>
      <c r="R247" s="191">
        <v>1.4383643063755664E-2</v>
      </c>
      <c r="S247" s="190">
        <v>122.95536000000057</v>
      </c>
      <c r="T247" s="189" t="s">
        <v>494</v>
      </c>
      <c r="U247" s="189" t="s">
        <v>495</v>
      </c>
      <c r="V247" s="189"/>
      <c r="W247" s="196">
        <v>1</v>
      </c>
      <c r="X247" s="189" t="s">
        <v>417</v>
      </c>
    </row>
    <row r="248" spans="2:24">
      <c r="B248" s="531"/>
      <c r="C248" s="531"/>
      <c r="D248" s="200">
        <v>142</v>
      </c>
      <c r="E248" s="189" t="s">
        <v>574</v>
      </c>
      <c r="F248" s="190">
        <v>134.99200000000002</v>
      </c>
      <c r="G248" s="189">
        <v>65.64</v>
      </c>
      <c r="H248" s="189">
        <v>67.900000000000006</v>
      </c>
      <c r="I248" s="201">
        <f t="shared" si="21"/>
        <v>1.034430225472273</v>
      </c>
      <c r="J248" s="189">
        <v>0</v>
      </c>
      <c r="K248" s="201">
        <f t="shared" si="22"/>
        <v>0</v>
      </c>
      <c r="L248" s="190">
        <v>84.37</v>
      </c>
      <c r="M248" s="201">
        <f t="shared" si="23"/>
        <v>1.034430225472273</v>
      </c>
      <c r="N248" s="190">
        <v>190.67620000000045</v>
      </c>
      <c r="O248" s="189">
        <v>1.6</v>
      </c>
      <c r="P248" s="191">
        <v>2.4375380865326021E-2</v>
      </c>
      <c r="Q248" s="189">
        <v>0.66000000000000503</v>
      </c>
      <c r="R248" s="191">
        <v>1.0054844606947061E-2</v>
      </c>
      <c r="S248" s="190">
        <v>55.68420000000043</v>
      </c>
      <c r="T248" s="189" t="s">
        <v>416</v>
      </c>
      <c r="U248" s="189" t="s">
        <v>500</v>
      </c>
      <c r="V248" s="189"/>
      <c r="W248" s="196">
        <v>1</v>
      </c>
      <c r="X248" s="189" t="s">
        <v>306</v>
      </c>
    </row>
    <row r="249" spans="2:24">
      <c r="B249" s="531"/>
      <c r="C249" s="531"/>
      <c r="D249" s="200">
        <v>143</v>
      </c>
      <c r="E249" s="189" t="s">
        <v>543</v>
      </c>
      <c r="F249" s="190">
        <v>134.04499999999999</v>
      </c>
      <c r="G249" s="189">
        <v>458.11799999999999</v>
      </c>
      <c r="H249" s="189">
        <v>460.3</v>
      </c>
      <c r="I249" s="201">
        <f t="shared" si="21"/>
        <v>1.0047629650002838</v>
      </c>
      <c r="J249" s="189">
        <v>0</v>
      </c>
      <c r="K249" s="201">
        <f t="shared" si="22"/>
        <v>0</v>
      </c>
      <c r="L249" s="190">
        <v>78.849999999999994</v>
      </c>
      <c r="M249" s="201">
        <f t="shared" si="23"/>
        <v>1.0047629650002838</v>
      </c>
      <c r="N249" s="190">
        <v>172.05070000000129</v>
      </c>
      <c r="O249" s="189">
        <v>1.7</v>
      </c>
      <c r="P249" s="191">
        <v>3.7108343265272264E-3</v>
      </c>
      <c r="Q249" s="189">
        <v>0.48200000000001642</v>
      </c>
      <c r="R249" s="191">
        <v>1.0521306737565788E-3</v>
      </c>
      <c r="S249" s="190">
        <v>38.005700000001291</v>
      </c>
      <c r="T249" s="189" t="s">
        <v>483</v>
      </c>
      <c r="U249" s="189" t="s">
        <v>416</v>
      </c>
      <c r="V249" s="189"/>
      <c r="W249" s="196">
        <v>1</v>
      </c>
      <c r="X249" s="189" t="s">
        <v>280</v>
      </c>
    </row>
    <row r="250" spans="2:24">
      <c r="B250" s="531"/>
      <c r="C250" s="531"/>
      <c r="D250" s="200">
        <v>144</v>
      </c>
      <c r="E250" s="189" t="s">
        <v>509</v>
      </c>
      <c r="F250" s="190">
        <v>133.84100000000001</v>
      </c>
      <c r="G250" s="189">
        <v>335.16</v>
      </c>
      <c r="H250" s="189">
        <v>337.4</v>
      </c>
      <c r="I250" s="201">
        <f t="shared" si="21"/>
        <v>1.0066833751044275</v>
      </c>
      <c r="J250" s="189">
        <v>0</v>
      </c>
      <c r="K250" s="201">
        <f t="shared" si="22"/>
        <v>0</v>
      </c>
      <c r="L250" s="190">
        <v>78.73</v>
      </c>
      <c r="M250" s="201">
        <f t="shared" si="23"/>
        <v>1.0066833751044275</v>
      </c>
      <c r="N250" s="190">
        <v>176.35519999999624</v>
      </c>
      <c r="O250" s="189">
        <v>1.7</v>
      </c>
      <c r="P250" s="191">
        <v>5.0722043203246204E-3</v>
      </c>
      <c r="Q250" s="189">
        <v>0.5399999999999523</v>
      </c>
      <c r="R250" s="191">
        <v>1.6111707841029725E-3</v>
      </c>
      <c r="S250" s="190">
        <v>42.514199999996244</v>
      </c>
      <c r="T250" s="189" t="s">
        <v>416</v>
      </c>
      <c r="U250" s="189" t="s">
        <v>416</v>
      </c>
      <c r="V250" s="189"/>
      <c r="W250" s="196">
        <v>1</v>
      </c>
      <c r="X250" s="189" t="s">
        <v>278</v>
      </c>
    </row>
    <row r="251" spans="2:24">
      <c r="B251" s="531"/>
      <c r="C251" s="531"/>
      <c r="D251" s="200">
        <v>145</v>
      </c>
      <c r="E251" s="189" t="s">
        <v>440</v>
      </c>
      <c r="F251" s="190">
        <v>133.464</v>
      </c>
      <c r="G251" s="189">
        <v>27.306000000000001</v>
      </c>
      <c r="H251" s="189">
        <v>28</v>
      </c>
      <c r="I251" s="201">
        <f t="shared" si="21"/>
        <v>1.025415659562001</v>
      </c>
      <c r="J251" s="189">
        <v>0</v>
      </c>
      <c r="K251" s="201">
        <f t="shared" si="22"/>
        <v>0</v>
      </c>
      <c r="L251" s="190">
        <v>444.88</v>
      </c>
      <c r="M251" s="201">
        <f t="shared" si="23"/>
        <v>1.025415659562001</v>
      </c>
      <c r="N251" s="190">
        <v>308.74671999999958</v>
      </c>
      <c r="O251" s="189">
        <v>0.3</v>
      </c>
      <c r="P251" s="191">
        <v>1.098659635245001E-2</v>
      </c>
      <c r="Q251" s="189">
        <v>0.39399999999999907</v>
      </c>
      <c r="R251" s="191">
        <v>1.442906320955098E-2</v>
      </c>
      <c r="S251" s="190">
        <v>175.28271999999959</v>
      </c>
      <c r="T251" s="189" t="s">
        <v>416</v>
      </c>
      <c r="U251" s="189" t="s">
        <v>416</v>
      </c>
      <c r="V251" s="189"/>
      <c r="W251" s="196">
        <v>1</v>
      </c>
      <c r="X251" s="189" t="s">
        <v>286</v>
      </c>
    </row>
    <row r="252" spans="2:24">
      <c r="B252" s="531"/>
      <c r="C252" s="531"/>
      <c r="D252" s="200">
        <v>146</v>
      </c>
      <c r="E252" s="189" t="s">
        <v>434</v>
      </c>
      <c r="F252" s="190">
        <v>132.21600000000001</v>
      </c>
      <c r="G252" s="189">
        <v>76.352999999999994</v>
      </c>
      <c r="H252" s="189">
        <v>77.2</v>
      </c>
      <c r="I252" s="201">
        <f t="shared" si="21"/>
        <v>1.011093211792595</v>
      </c>
      <c r="J252" s="189">
        <v>0</v>
      </c>
      <c r="K252" s="201">
        <f t="shared" si="22"/>
        <v>0</v>
      </c>
      <c r="L252" s="190">
        <v>330.54</v>
      </c>
      <c r="M252" s="201">
        <f t="shared" si="23"/>
        <v>1.011093211792595</v>
      </c>
      <c r="N252" s="190">
        <v>279.96738000000278</v>
      </c>
      <c r="O252" s="189">
        <v>0.4</v>
      </c>
      <c r="P252" s="191">
        <v>5.2388249315678502E-3</v>
      </c>
      <c r="Q252" s="189">
        <v>0.44700000000000839</v>
      </c>
      <c r="R252" s="191">
        <v>5.8543868610271823E-3</v>
      </c>
      <c r="S252" s="190">
        <v>147.75138000000277</v>
      </c>
      <c r="T252" s="189" t="s">
        <v>486</v>
      </c>
      <c r="U252" s="189" t="s">
        <v>426</v>
      </c>
      <c r="V252" s="189"/>
      <c r="W252" s="196">
        <v>1</v>
      </c>
      <c r="X252" s="189" t="s">
        <v>280</v>
      </c>
    </row>
    <row r="253" spans="2:24">
      <c r="B253" s="531"/>
      <c r="C253" s="531"/>
      <c r="D253" s="200">
        <v>147</v>
      </c>
      <c r="E253" s="189" t="s">
        <v>571</v>
      </c>
      <c r="F253" s="190">
        <v>132.077</v>
      </c>
      <c r="G253" s="189">
        <v>14.795999999999999</v>
      </c>
      <c r="H253" s="189">
        <v>16.3</v>
      </c>
      <c r="I253" s="201">
        <f t="shared" si="21"/>
        <v>1.1016490943498243</v>
      </c>
      <c r="J253" s="189">
        <v>0</v>
      </c>
      <c r="K253" s="201">
        <f t="shared" si="22"/>
        <v>0</v>
      </c>
      <c r="L253" s="190">
        <v>120.07</v>
      </c>
      <c r="M253" s="201">
        <f t="shared" si="23"/>
        <v>1.1016490943498243</v>
      </c>
      <c r="N253" s="190">
        <v>180.58528000000015</v>
      </c>
      <c r="O253" s="189">
        <v>1.1000000000000001</v>
      </c>
      <c r="P253" s="191">
        <v>7.4344417410110844E-2</v>
      </c>
      <c r="Q253" s="189">
        <v>0.40400000000000125</v>
      </c>
      <c r="R253" s="191">
        <v>2.7304676939713522E-2</v>
      </c>
      <c r="S253" s="190">
        <v>48.508280000000148</v>
      </c>
      <c r="T253" s="189" t="s">
        <v>416</v>
      </c>
      <c r="U253" s="189" t="s">
        <v>495</v>
      </c>
      <c r="V253" s="189"/>
      <c r="W253" s="196">
        <v>1</v>
      </c>
      <c r="X253" s="189" t="s">
        <v>231</v>
      </c>
    </row>
    <row r="254" spans="2:24">
      <c r="B254" s="531"/>
      <c r="C254" s="531"/>
      <c r="D254" s="200">
        <v>148</v>
      </c>
      <c r="E254" s="189" t="s">
        <v>441</v>
      </c>
      <c r="F254" s="190">
        <v>131.66200000000001</v>
      </c>
      <c r="G254" s="189">
        <v>6.99</v>
      </c>
      <c r="H254" s="189">
        <v>7.9</v>
      </c>
      <c r="I254" s="201">
        <f t="shared" si="21"/>
        <v>1.1301859799713878</v>
      </c>
      <c r="J254" s="189">
        <v>0</v>
      </c>
      <c r="K254" s="201">
        <f t="shared" si="22"/>
        <v>0</v>
      </c>
      <c r="L254" s="190">
        <v>658.31</v>
      </c>
      <c r="M254" s="201">
        <f t="shared" si="23"/>
        <v>1.1301859799713878</v>
      </c>
      <c r="N254" s="190">
        <v>599.0621000000001</v>
      </c>
      <c r="O254" s="189">
        <v>0.2</v>
      </c>
      <c r="P254" s="191">
        <v>2.8612303290414878E-2</v>
      </c>
      <c r="Q254" s="189">
        <v>0.71000000000000019</v>
      </c>
      <c r="R254" s="191">
        <v>0.10157367668097284</v>
      </c>
      <c r="S254" s="190">
        <v>467.40010000000007</v>
      </c>
      <c r="T254" s="189" t="s">
        <v>416</v>
      </c>
      <c r="U254" s="189" t="s">
        <v>490</v>
      </c>
      <c r="V254" s="189"/>
      <c r="W254" s="196">
        <v>1</v>
      </c>
      <c r="X254" s="189" t="s">
        <v>293</v>
      </c>
    </row>
    <row r="255" spans="2:24">
      <c r="B255" s="531"/>
      <c r="C255" s="531"/>
      <c r="D255" s="200">
        <v>149</v>
      </c>
      <c r="E255" s="189" t="s">
        <v>532</v>
      </c>
      <c r="F255" s="190">
        <v>130.31400000000002</v>
      </c>
      <c r="G255" s="189">
        <v>18.456</v>
      </c>
      <c r="H255" s="189">
        <v>19.100000000000001</v>
      </c>
      <c r="I255" s="201">
        <f t="shared" si="21"/>
        <v>1.0348938014737756</v>
      </c>
      <c r="J255" s="189">
        <v>0</v>
      </c>
      <c r="K255" s="201">
        <f t="shared" si="22"/>
        <v>0</v>
      </c>
      <c r="L255" s="190">
        <v>651.57000000000005</v>
      </c>
      <c r="M255" s="201">
        <f t="shared" si="23"/>
        <v>1.0348938014737756</v>
      </c>
      <c r="N255" s="190">
        <v>419.61108000000127</v>
      </c>
      <c r="O255" s="189">
        <v>0.2</v>
      </c>
      <c r="P255" s="191">
        <v>1.0836584308625921E-2</v>
      </c>
      <c r="Q255" s="189">
        <v>0.44400000000000189</v>
      </c>
      <c r="R255" s="191">
        <v>2.405721716514965E-2</v>
      </c>
      <c r="S255" s="190">
        <v>289.29708000000124</v>
      </c>
      <c r="T255" s="189" t="s">
        <v>416</v>
      </c>
      <c r="U255" s="189" t="s">
        <v>500</v>
      </c>
      <c r="V255" s="189"/>
      <c r="W255" s="196">
        <v>1</v>
      </c>
      <c r="X255" s="189" t="s">
        <v>533</v>
      </c>
    </row>
    <row r="256" spans="2:24">
      <c r="B256" s="531"/>
      <c r="C256" s="531"/>
      <c r="D256" s="200">
        <v>150</v>
      </c>
      <c r="E256" s="189" t="s">
        <v>575</v>
      </c>
      <c r="F256" s="190">
        <v>129.6</v>
      </c>
      <c r="G256" s="189">
        <v>27.917999999999999</v>
      </c>
      <c r="H256" s="189">
        <v>29.1</v>
      </c>
      <c r="I256" s="201">
        <f t="shared" si="21"/>
        <v>1.0423382763808295</v>
      </c>
      <c r="J256" s="189">
        <v>0</v>
      </c>
      <c r="K256" s="201">
        <f t="shared" si="22"/>
        <v>0</v>
      </c>
      <c r="L256" s="190">
        <v>144</v>
      </c>
      <c r="M256" s="201">
        <f t="shared" si="23"/>
        <v>1.0423382763808295</v>
      </c>
      <c r="N256" s="190">
        <v>170.20800000000031</v>
      </c>
      <c r="O256" s="189">
        <v>0.9</v>
      </c>
      <c r="P256" s="191">
        <v>3.2237266279819474E-2</v>
      </c>
      <c r="Q256" s="189">
        <v>0.28200000000000214</v>
      </c>
      <c r="R256" s="191">
        <v>1.0101010101010178E-2</v>
      </c>
      <c r="S256" s="190">
        <v>40.60800000000031</v>
      </c>
      <c r="T256" s="189" t="s">
        <v>416</v>
      </c>
      <c r="U256" s="189" t="s">
        <v>500</v>
      </c>
      <c r="V256" s="189"/>
      <c r="W256" s="196">
        <v>1</v>
      </c>
      <c r="X256" s="189" t="s">
        <v>291</v>
      </c>
    </row>
    <row r="257" spans="2:24">
      <c r="B257" s="533">
        <v>45895</v>
      </c>
      <c r="C257" s="531" t="s">
        <v>159</v>
      </c>
      <c r="D257" s="200">
        <v>151</v>
      </c>
      <c r="E257" s="189" t="s">
        <v>409</v>
      </c>
      <c r="F257" s="190">
        <v>232.768</v>
      </c>
      <c r="G257" s="189">
        <v>23.978000000000002</v>
      </c>
      <c r="H257" s="189">
        <v>24.8</v>
      </c>
      <c r="I257" s="201">
        <f t="shared" si="21"/>
        <v>1.0342814246392527</v>
      </c>
      <c r="J257" s="189">
        <v>0</v>
      </c>
      <c r="K257" s="201">
        <f t="shared" si="22"/>
        <v>0</v>
      </c>
      <c r="L257" s="190">
        <v>581.91999999999996</v>
      </c>
      <c r="M257" s="201">
        <f t="shared" si="23"/>
        <v>1.0342814246392527</v>
      </c>
      <c r="N257" s="190">
        <v>478.33823999999947</v>
      </c>
      <c r="O257" s="189">
        <v>0.4</v>
      </c>
      <c r="P257" s="191">
        <v>1.668195846192343E-2</v>
      </c>
      <c r="Q257" s="189">
        <v>0.42199999999999915</v>
      </c>
      <c r="R257" s="191">
        <v>1.7599466177329184E-2</v>
      </c>
      <c r="S257" s="190">
        <v>245.5702399999995</v>
      </c>
      <c r="T257" s="189" t="s">
        <v>494</v>
      </c>
      <c r="U257" s="189" t="s">
        <v>500</v>
      </c>
      <c r="V257" s="189"/>
      <c r="W257" s="196">
        <v>1</v>
      </c>
      <c r="X257" s="189" t="s">
        <v>277</v>
      </c>
    </row>
    <row r="258" spans="2:24">
      <c r="B258" s="531"/>
      <c r="C258" s="531"/>
      <c r="D258" s="200">
        <v>152</v>
      </c>
      <c r="E258" s="189" t="s">
        <v>427</v>
      </c>
      <c r="F258" s="190">
        <v>151.63800000000001</v>
      </c>
      <c r="G258" s="189">
        <v>19.038</v>
      </c>
      <c r="H258" s="189">
        <v>19.5</v>
      </c>
      <c r="I258" s="201">
        <f t="shared" si="21"/>
        <v>1.0242672549637566</v>
      </c>
      <c r="J258" s="189">
        <v>0</v>
      </c>
      <c r="K258" s="201">
        <f t="shared" si="22"/>
        <v>0</v>
      </c>
      <c r="L258" s="190">
        <v>758.19</v>
      </c>
      <c r="M258" s="201">
        <f t="shared" si="23"/>
        <v>1.0242672549637566</v>
      </c>
      <c r="N258" s="190">
        <v>350.28377999999981</v>
      </c>
      <c r="O258" s="189">
        <v>0.2</v>
      </c>
      <c r="P258" s="191">
        <v>1.0505305179115455E-2</v>
      </c>
      <c r="Q258" s="189">
        <v>0.26199999999999973</v>
      </c>
      <c r="R258" s="191">
        <v>1.3761949784641229E-2</v>
      </c>
      <c r="S258" s="190">
        <v>198.6457799999998</v>
      </c>
      <c r="T258" s="189" t="s">
        <v>486</v>
      </c>
      <c r="U258" s="189" t="s">
        <v>426</v>
      </c>
      <c r="V258" s="189"/>
      <c r="W258" s="196">
        <v>1</v>
      </c>
      <c r="X258" s="189" t="s">
        <v>323</v>
      </c>
    </row>
    <row r="259" spans="2:24">
      <c r="B259" s="531"/>
      <c r="C259" s="531"/>
      <c r="D259" s="200">
        <v>153</v>
      </c>
      <c r="E259" s="189" t="s">
        <v>411</v>
      </c>
      <c r="F259" s="190">
        <v>149.124</v>
      </c>
      <c r="G259" s="189">
        <v>37.68</v>
      </c>
      <c r="H259" s="189">
        <v>39.799999999999997</v>
      </c>
      <c r="I259" s="201">
        <f t="shared" si="21"/>
        <v>1.0562632696390657</v>
      </c>
      <c r="J259" s="189">
        <v>0</v>
      </c>
      <c r="K259" s="201">
        <f t="shared" si="22"/>
        <v>0</v>
      </c>
      <c r="L259" s="190">
        <v>87.72</v>
      </c>
      <c r="M259" s="201">
        <f t="shared" si="23"/>
        <v>1.0562632696390657</v>
      </c>
      <c r="N259" s="190">
        <v>185.96639999999977</v>
      </c>
      <c r="O259" s="189">
        <v>1.7</v>
      </c>
      <c r="P259" s="191">
        <v>4.511677282377919E-2</v>
      </c>
      <c r="Q259" s="189">
        <v>0.41999999999999749</v>
      </c>
      <c r="R259" s="191">
        <v>1.1146496815286558E-2</v>
      </c>
      <c r="S259" s="190">
        <v>36.842399999999778</v>
      </c>
      <c r="T259" s="189" t="s">
        <v>494</v>
      </c>
      <c r="U259" s="189" t="s">
        <v>500</v>
      </c>
      <c r="V259" s="189"/>
      <c r="W259" s="196">
        <v>1</v>
      </c>
      <c r="X259" s="189" t="s">
        <v>309</v>
      </c>
    </row>
    <row r="260" spans="2:24">
      <c r="B260" s="531"/>
      <c r="C260" s="531"/>
      <c r="D260" s="200">
        <v>154</v>
      </c>
      <c r="E260" s="189" t="s">
        <v>438</v>
      </c>
      <c r="F260" s="190">
        <v>142.137</v>
      </c>
      <c r="G260" s="189">
        <v>52.923000000000002</v>
      </c>
      <c r="H260" s="189">
        <v>53.6</v>
      </c>
      <c r="I260" s="201">
        <f t="shared" si="21"/>
        <v>1.0127921697560607</v>
      </c>
      <c r="J260" s="189">
        <v>0</v>
      </c>
      <c r="K260" s="201">
        <f t="shared" si="22"/>
        <v>0</v>
      </c>
      <c r="L260" s="190">
        <v>473.79</v>
      </c>
      <c r="M260" s="201">
        <f t="shared" si="23"/>
        <v>1.0127921697560607</v>
      </c>
      <c r="N260" s="190">
        <v>320.75582999999983</v>
      </c>
      <c r="O260" s="189">
        <v>0.3</v>
      </c>
      <c r="P260" s="191">
        <v>5.6686128904257123E-3</v>
      </c>
      <c r="Q260" s="189">
        <v>0.37699999999999961</v>
      </c>
      <c r="R260" s="191">
        <v>7.1235568656349713E-3</v>
      </c>
      <c r="S260" s="190">
        <v>178.61882999999983</v>
      </c>
      <c r="T260" s="189" t="s">
        <v>486</v>
      </c>
      <c r="U260" s="189" t="s">
        <v>435</v>
      </c>
      <c r="V260" s="189"/>
      <c r="W260" s="196">
        <v>1</v>
      </c>
      <c r="X260" s="189" t="s">
        <v>417</v>
      </c>
    </row>
    <row r="261" spans="2:24">
      <c r="B261" s="531"/>
      <c r="C261" s="531"/>
      <c r="D261" s="200">
        <v>155</v>
      </c>
      <c r="E261" s="189" t="s">
        <v>402</v>
      </c>
      <c r="F261" s="190">
        <v>135.666</v>
      </c>
      <c r="G261" s="189">
        <v>3.96</v>
      </c>
      <c r="H261" s="189">
        <v>4.5999999999999996</v>
      </c>
      <c r="I261" s="201">
        <f t="shared" si="21"/>
        <v>1.1616161616161615</v>
      </c>
      <c r="J261" s="189">
        <v>0</v>
      </c>
      <c r="K261" s="201">
        <f t="shared" si="22"/>
        <v>0</v>
      </c>
      <c r="L261" s="190">
        <v>452.22</v>
      </c>
      <c r="M261" s="201">
        <f t="shared" si="23"/>
        <v>1.1616161616161615</v>
      </c>
      <c r="N261" s="190">
        <v>289.42079999999987</v>
      </c>
      <c r="O261" s="189">
        <v>0.3</v>
      </c>
      <c r="P261" s="191">
        <v>7.575757575757576E-2</v>
      </c>
      <c r="Q261" s="189">
        <v>0.33999999999999969</v>
      </c>
      <c r="R261" s="191">
        <v>8.5858585858585787E-2</v>
      </c>
      <c r="S261" s="190">
        <v>153.75479999999988</v>
      </c>
      <c r="T261" s="189" t="s">
        <v>494</v>
      </c>
      <c r="U261" s="189" t="s">
        <v>495</v>
      </c>
      <c r="V261" s="189"/>
      <c r="W261" s="196">
        <v>1</v>
      </c>
      <c r="X261" s="189" t="s">
        <v>256</v>
      </c>
    </row>
    <row r="262" spans="2:24">
      <c r="B262" s="531"/>
      <c r="C262" s="531"/>
      <c r="D262" s="200">
        <v>156</v>
      </c>
      <c r="E262" s="189" t="s">
        <v>436</v>
      </c>
      <c r="F262" s="190">
        <v>134.5</v>
      </c>
      <c r="G262" s="189">
        <v>3158</v>
      </c>
      <c r="H262" s="189">
        <v>3168</v>
      </c>
      <c r="I262" s="201">
        <f t="shared" si="21"/>
        <v>1.0031665611146294</v>
      </c>
      <c r="J262" s="189">
        <v>0</v>
      </c>
      <c r="K262" s="201">
        <f t="shared" si="22"/>
        <v>0</v>
      </c>
      <c r="L262" s="190">
        <v>13.45</v>
      </c>
      <c r="M262" s="201">
        <f t="shared" si="23"/>
        <v>1.0031665611146294</v>
      </c>
      <c r="N262" s="190">
        <v>134.5</v>
      </c>
      <c r="O262" s="189">
        <v>10</v>
      </c>
      <c r="P262" s="191">
        <v>3.1665611146295125E-3</v>
      </c>
      <c r="Q262" s="189">
        <v>0</v>
      </c>
      <c r="R262" s="191">
        <v>0</v>
      </c>
      <c r="S262" s="190">
        <v>0</v>
      </c>
      <c r="T262" s="189" t="s">
        <v>486</v>
      </c>
      <c r="U262" s="189" t="s">
        <v>435</v>
      </c>
      <c r="V262" s="189"/>
      <c r="W262" s="196">
        <v>1</v>
      </c>
      <c r="X262" s="189" t="s">
        <v>310</v>
      </c>
    </row>
    <row r="263" spans="2:24">
      <c r="B263" s="531"/>
      <c r="C263" s="531"/>
      <c r="D263" s="200">
        <v>157</v>
      </c>
      <c r="E263" s="189" t="s">
        <v>440</v>
      </c>
      <c r="F263" s="190">
        <v>133.464</v>
      </c>
      <c r="G263" s="189">
        <v>27.324000000000002</v>
      </c>
      <c r="H263" s="189">
        <v>28.6</v>
      </c>
      <c r="I263" s="201">
        <f t="shared" si="21"/>
        <v>1.0466988727858293</v>
      </c>
      <c r="J263" s="189">
        <v>0</v>
      </c>
      <c r="K263" s="201">
        <f t="shared" si="22"/>
        <v>0</v>
      </c>
      <c r="L263" s="190">
        <v>444.88</v>
      </c>
      <c r="M263" s="201">
        <f t="shared" si="23"/>
        <v>1.0466988727858293</v>
      </c>
      <c r="N263" s="190">
        <v>567.66687999999988</v>
      </c>
      <c r="O263" s="189">
        <v>0.3</v>
      </c>
      <c r="P263" s="191">
        <v>1.097935880544576E-2</v>
      </c>
      <c r="Q263" s="189">
        <v>0.97599999999999976</v>
      </c>
      <c r="R263" s="191">
        <v>3.5719513980383533E-2</v>
      </c>
      <c r="S263" s="190">
        <v>434.20287999999988</v>
      </c>
      <c r="T263" s="189" t="s">
        <v>486</v>
      </c>
      <c r="U263" s="189" t="s">
        <v>435</v>
      </c>
      <c r="V263" s="189"/>
      <c r="W263" s="196">
        <v>1</v>
      </c>
      <c r="X263" s="189" t="s">
        <v>286</v>
      </c>
    </row>
    <row r="264" spans="2:24">
      <c r="B264" s="531"/>
      <c r="C264" s="531"/>
      <c r="D264" s="200">
        <v>158</v>
      </c>
      <c r="E264" s="189" t="s">
        <v>441</v>
      </c>
      <c r="F264" s="190">
        <v>131.66200000000001</v>
      </c>
      <c r="G264" s="189">
        <v>5.94</v>
      </c>
      <c r="H264" s="189">
        <v>6.4</v>
      </c>
      <c r="I264" s="201">
        <f t="shared" ref="I264:I316" si="24">H264/G264</f>
        <v>1.0774410774410774</v>
      </c>
      <c r="J264" s="189">
        <v>0</v>
      </c>
      <c r="K264" s="201">
        <f t="shared" ref="K264:K316" si="25">J264/G264</f>
        <v>0</v>
      </c>
      <c r="L264" s="190">
        <v>658.31</v>
      </c>
      <c r="M264" s="201">
        <f t="shared" ref="M264:M316" si="26">(H264+J264)/G264</f>
        <v>1.0774410774410774</v>
      </c>
      <c r="N264" s="190">
        <v>302.82259999999997</v>
      </c>
      <c r="O264" s="189">
        <v>0.2</v>
      </c>
      <c r="P264" s="191">
        <v>3.3670033670033669E-2</v>
      </c>
      <c r="Q264" s="189">
        <v>0.25999999999999995</v>
      </c>
      <c r="R264" s="191">
        <v>4.3771043771043759E-2</v>
      </c>
      <c r="S264" s="190">
        <v>171.16059999999996</v>
      </c>
      <c r="T264" s="189" t="s">
        <v>486</v>
      </c>
      <c r="U264" s="189" t="s">
        <v>435</v>
      </c>
      <c r="V264" s="189"/>
      <c r="W264" s="196">
        <v>1</v>
      </c>
      <c r="X264" s="189" t="s">
        <v>293</v>
      </c>
    </row>
    <row r="265" spans="2:24">
      <c r="B265" s="531"/>
      <c r="C265" s="531"/>
      <c r="D265" s="200">
        <v>159</v>
      </c>
      <c r="E265" s="189" t="s">
        <v>532</v>
      </c>
      <c r="F265" s="190">
        <v>130.31400000000002</v>
      </c>
      <c r="G265" s="189">
        <v>14.58</v>
      </c>
      <c r="H265" s="189">
        <v>15.2</v>
      </c>
      <c r="I265" s="201">
        <f t="shared" si="24"/>
        <v>1.0425240054869684</v>
      </c>
      <c r="J265" s="189">
        <v>0</v>
      </c>
      <c r="K265" s="201">
        <f t="shared" si="25"/>
        <v>0</v>
      </c>
      <c r="L265" s="190">
        <v>651.57000000000005</v>
      </c>
      <c r="M265" s="201">
        <f t="shared" si="26"/>
        <v>1.0425240054869684</v>
      </c>
      <c r="N265" s="190">
        <v>403.97339999999951</v>
      </c>
      <c r="O265" s="189">
        <v>0.2</v>
      </c>
      <c r="P265" s="191">
        <v>1.3717421124828533E-2</v>
      </c>
      <c r="Q265" s="189">
        <v>0.41999999999999921</v>
      </c>
      <c r="R265" s="191">
        <v>2.8806584362139863E-2</v>
      </c>
      <c r="S265" s="190">
        <v>273.65939999999949</v>
      </c>
      <c r="T265" s="189" t="s">
        <v>483</v>
      </c>
      <c r="U265" s="189" t="s">
        <v>416</v>
      </c>
      <c r="V265" s="189"/>
      <c r="W265" s="196">
        <v>1</v>
      </c>
      <c r="X265" s="189" t="s">
        <v>533</v>
      </c>
    </row>
    <row r="266" spans="2:24">
      <c r="B266" s="531"/>
      <c r="C266" s="531"/>
      <c r="D266" s="200">
        <v>160</v>
      </c>
      <c r="E266" s="189" t="s">
        <v>407</v>
      </c>
      <c r="F266" s="190">
        <v>130</v>
      </c>
      <c r="G266" s="189">
        <v>4.6879999999999997</v>
      </c>
      <c r="H266" s="189">
        <v>6.1</v>
      </c>
      <c r="I266" s="201">
        <f t="shared" si="24"/>
        <v>1.3011945392491469</v>
      </c>
      <c r="J266" s="189">
        <v>0</v>
      </c>
      <c r="K266" s="201">
        <f t="shared" si="25"/>
        <v>0</v>
      </c>
      <c r="L266" s="190">
        <v>130</v>
      </c>
      <c r="M266" s="201">
        <f t="shared" si="26"/>
        <v>1.3011945392491469</v>
      </c>
      <c r="N266" s="190">
        <v>183.56</v>
      </c>
      <c r="O266" s="189">
        <v>1</v>
      </c>
      <c r="P266" s="191">
        <v>0.21331058020477817</v>
      </c>
      <c r="Q266" s="189">
        <v>0.41199999999999992</v>
      </c>
      <c r="R266" s="191">
        <v>8.788395904436859E-2</v>
      </c>
      <c r="S266" s="190">
        <v>53.559999999999988</v>
      </c>
      <c r="T266" s="189" t="s">
        <v>494</v>
      </c>
      <c r="U266" s="189" t="s">
        <v>495</v>
      </c>
      <c r="V266" s="189"/>
      <c r="W266" s="196">
        <v>1</v>
      </c>
      <c r="X266" s="189" t="s">
        <v>285</v>
      </c>
    </row>
    <row r="267" spans="2:24">
      <c r="B267" s="533">
        <v>45896</v>
      </c>
      <c r="C267" s="531" t="s">
        <v>160</v>
      </c>
      <c r="D267" s="200">
        <v>161</v>
      </c>
      <c r="E267" s="189" t="s">
        <v>436</v>
      </c>
      <c r="F267" s="190">
        <v>188.29999999999998</v>
      </c>
      <c r="G267" s="189">
        <v>1858</v>
      </c>
      <c r="H267" s="189">
        <v>1872</v>
      </c>
      <c r="I267" s="201">
        <f t="shared" si="24"/>
        <v>1.0075349838536061</v>
      </c>
      <c r="J267" s="189">
        <v>0</v>
      </c>
      <c r="K267" s="201">
        <f t="shared" si="25"/>
        <v>0</v>
      </c>
      <c r="L267" s="190">
        <v>13.45</v>
      </c>
      <c r="M267" s="201">
        <f t="shared" si="26"/>
        <v>1.0075349838536061</v>
      </c>
      <c r="N267" s="190">
        <v>188.29999999999998</v>
      </c>
      <c r="O267" s="189">
        <v>14</v>
      </c>
      <c r="P267" s="191">
        <v>7.5349838536060282E-3</v>
      </c>
      <c r="Q267" s="189">
        <v>0</v>
      </c>
      <c r="R267" s="191">
        <v>0</v>
      </c>
      <c r="S267" s="190">
        <v>0</v>
      </c>
      <c r="T267" s="189" t="s">
        <v>486</v>
      </c>
      <c r="U267" s="189" t="s">
        <v>435</v>
      </c>
      <c r="V267" s="189"/>
      <c r="W267" s="196">
        <v>1</v>
      </c>
      <c r="X267" s="189" t="s">
        <v>310</v>
      </c>
    </row>
    <row r="268" spans="2:24">
      <c r="B268" s="531"/>
      <c r="C268" s="531"/>
      <c r="D268" s="200">
        <v>162</v>
      </c>
      <c r="E268" s="189" t="s">
        <v>420</v>
      </c>
      <c r="F268" s="190">
        <v>160.70000000000002</v>
      </c>
      <c r="G268" s="189">
        <v>26.936</v>
      </c>
      <c r="H268" s="189">
        <v>27.6</v>
      </c>
      <c r="I268" s="201">
        <f t="shared" si="24"/>
        <v>1.0246510246510248</v>
      </c>
      <c r="J268" s="189">
        <v>0</v>
      </c>
      <c r="K268" s="201">
        <f t="shared" si="25"/>
        <v>0</v>
      </c>
      <c r="L268" s="190">
        <v>401.75</v>
      </c>
      <c r="M268" s="201">
        <f t="shared" si="26"/>
        <v>1.0246510246510248</v>
      </c>
      <c r="N268" s="190">
        <v>266.76200000000057</v>
      </c>
      <c r="O268" s="189">
        <v>0.4</v>
      </c>
      <c r="P268" s="191">
        <v>1.485001485001485E-2</v>
      </c>
      <c r="Q268" s="189">
        <v>0.26400000000000146</v>
      </c>
      <c r="R268" s="191">
        <v>9.8010098010098551E-3</v>
      </c>
      <c r="S268" s="190">
        <v>106.06200000000058</v>
      </c>
      <c r="T268" s="189" t="s">
        <v>483</v>
      </c>
      <c r="U268" s="189" t="s">
        <v>416</v>
      </c>
      <c r="V268" s="189"/>
      <c r="W268" s="196">
        <v>1</v>
      </c>
      <c r="X268" s="189" t="s">
        <v>419</v>
      </c>
    </row>
    <row r="269" spans="2:24">
      <c r="B269" s="531"/>
      <c r="C269" s="531"/>
      <c r="D269" s="200">
        <v>163</v>
      </c>
      <c r="E269" s="189" t="s">
        <v>413</v>
      </c>
      <c r="F269" s="190">
        <v>142.31</v>
      </c>
      <c r="G269" s="189">
        <v>30.405000000000001</v>
      </c>
      <c r="H269" s="189">
        <v>32.200000000000003</v>
      </c>
      <c r="I269" s="201">
        <f t="shared" si="24"/>
        <v>1.0590363427067917</v>
      </c>
      <c r="J269" s="189">
        <v>0</v>
      </c>
      <c r="K269" s="201">
        <f t="shared" si="25"/>
        <v>0</v>
      </c>
      <c r="L269" s="190">
        <v>101.65</v>
      </c>
      <c r="M269" s="201">
        <f t="shared" si="26"/>
        <v>1.0590363427067917</v>
      </c>
      <c r="N269" s="190">
        <v>182.46175000000019</v>
      </c>
      <c r="O269" s="189">
        <v>1.4</v>
      </c>
      <c r="P269" s="191">
        <v>4.6045058378556152E-2</v>
      </c>
      <c r="Q269" s="189">
        <v>0.39500000000000179</v>
      </c>
      <c r="R269" s="191">
        <v>1.2991284328235547E-2</v>
      </c>
      <c r="S269" s="190">
        <v>40.151750000000185</v>
      </c>
      <c r="T269" s="189" t="s">
        <v>494</v>
      </c>
      <c r="U269" s="189" t="s">
        <v>500</v>
      </c>
      <c r="V269" s="189"/>
      <c r="W269" s="196">
        <v>1</v>
      </c>
      <c r="X269" s="189" t="s">
        <v>305</v>
      </c>
    </row>
    <row r="270" spans="2:24">
      <c r="B270" s="531"/>
      <c r="C270" s="531"/>
      <c r="D270" s="200">
        <v>164</v>
      </c>
      <c r="E270" s="189" t="s">
        <v>425</v>
      </c>
      <c r="F270" s="190">
        <v>139.99199999999999</v>
      </c>
      <c r="G270" s="189">
        <v>190.15100000000001</v>
      </c>
      <c r="H270" s="189">
        <v>192.3</v>
      </c>
      <c r="I270" s="201">
        <f t="shared" si="24"/>
        <v>1.0113015445619533</v>
      </c>
      <c r="J270" s="189">
        <v>0</v>
      </c>
      <c r="K270" s="201">
        <f t="shared" si="25"/>
        <v>0</v>
      </c>
      <c r="L270" s="190">
        <v>116.66</v>
      </c>
      <c r="M270" s="201">
        <f t="shared" si="26"/>
        <v>1.0113015445619533</v>
      </c>
      <c r="N270" s="190">
        <v>250.70234000000011</v>
      </c>
      <c r="O270" s="189">
        <v>1.2</v>
      </c>
      <c r="P270" s="191">
        <v>6.3107740690293498E-3</v>
      </c>
      <c r="Q270" s="189">
        <v>0.94900000000000095</v>
      </c>
      <c r="R270" s="191">
        <v>4.9907704929240491E-3</v>
      </c>
      <c r="S270" s="190">
        <v>110.7103400000001</v>
      </c>
      <c r="T270" s="189" t="s">
        <v>483</v>
      </c>
      <c r="U270" s="189" t="s">
        <v>416</v>
      </c>
      <c r="V270" s="189"/>
      <c r="W270" s="196">
        <v>1</v>
      </c>
      <c r="X270" s="189" t="s">
        <v>417</v>
      </c>
    </row>
    <row r="271" spans="2:24">
      <c r="B271" s="531"/>
      <c r="C271" s="531"/>
      <c r="D271" s="200">
        <v>165</v>
      </c>
      <c r="E271" s="189" t="s">
        <v>573</v>
      </c>
      <c r="F271" s="190">
        <v>139.34899999999999</v>
      </c>
      <c r="G271" s="189">
        <v>338.87</v>
      </c>
      <c r="H271" s="189">
        <v>341.3</v>
      </c>
      <c r="I271" s="201">
        <f t="shared" si="24"/>
        <v>1.0071708914923128</v>
      </c>
      <c r="J271" s="189">
        <v>0</v>
      </c>
      <c r="K271" s="201">
        <f t="shared" si="25"/>
        <v>0</v>
      </c>
      <c r="L271" s="190">
        <v>81.97</v>
      </c>
      <c r="M271" s="201">
        <f t="shared" si="26"/>
        <v>1.0071708914923128</v>
      </c>
      <c r="N271" s="190">
        <v>199.18710000000056</v>
      </c>
      <c r="O271" s="189">
        <v>1.7</v>
      </c>
      <c r="P271" s="191">
        <v>5.0166730604656647E-3</v>
      </c>
      <c r="Q271" s="189">
        <v>0.73000000000000687</v>
      </c>
      <c r="R271" s="191">
        <v>2.154218431847041E-3</v>
      </c>
      <c r="S271" s="190">
        <v>59.838100000000559</v>
      </c>
      <c r="T271" s="189" t="s">
        <v>483</v>
      </c>
      <c r="U271" s="189" t="s">
        <v>416</v>
      </c>
      <c r="V271" s="189"/>
      <c r="W271" s="196">
        <v>1</v>
      </c>
      <c r="X271" s="189" t="s">
        <v>303</v>
      </c>
    </row>
    <row r="272" spans="2:24">
      <c r="B272" s="531"/>
      <c r="C272" s="531"/>
      <c r="D272" s="200">
        <v>166</v>
      </c>
      <c r="E272" s="189" t="s">
        <v>433</v>
      </c>
      <c r="F272" s="190">
        <v>133.79600000000002</v>
      </c>
      <c r="G272" s="189">
        <v>46.253999999999998</v>
      </c>
      <c r="H272" s="189">
        <v>47.3</v>
      </c>
      <c r="I272" s="201">
        <f t="shared" si="24"/>
        <v>1.0226142603882908</v>
      </c>
      <c r="J272" s="189">
        <v>0</v>
      </c>
      <c r="K272" s="201">
        <f t="shared" si="25"/>
        <v>0</v>
      </c>
      <c r="L272" s="190">
        <v>334.49</v>
      </c>
      <c r="M272" s="201">
        <f t="shared" si="26"/>
        <v>1.0226142603882908</v>
      </c>
      <c r="N272" s="190">
        <v>349.87653999999981</v>
      </c>
      <c r="O272" s="189">
        <v>0.4</v>
      </c>
      <c r="P272" s="191">
        <v>8.6479007220997117E-3</v>
      </c>
      <c r="Q272" s="189">
        <v>0.64599999999999935</v>
      </c>
      <c r="R272" s="191">
        <v>1.3966359666191018E-2</v>
      </c>
      <c r="S272" s="190">
        <v>216.08053999999979</v>
      </c>
      <c r="T272" s="189" t="s">
        <v>486</v>
      </c>
      <c r="U272" s="189" t="s">
        <v>426</v>
      </c>
      <c r="V272" s="189"/>
      <c r="W272" s="196">
        <v>1</v>
      </c>
      <c r="X272" s="189" t="s">
        <v>278</v>
      </c>
    </row>
    <row r="273" spans="2:24">
      <c r="B273" s="531"/>
      <c r="C273" s="531"/>
      <c r="D273" s="200">
        <v>167</v>
      </c>
      <c r="E273" s="189" t="s">
        <v>440</v>
      </c>
      <c r="F273" s="190">
        <v>133.464</v>
      </c>
      <c r="G273" s="189">
        <v>26.478000000000002</v>
      </c>
      <c r="H273" s="189">
        <v>27.1</v>
      </c>
      <c r="I273" s="201">
        <f t="shared" si="24"/>
        <v>1.02349120024171</v>
      </c>
      <c r="J273" s="189">
        <v>0</v>
      </c>
      <c r="K273" s="201">
        <f t="shared" si="25"/>
        <v>0</v>
      </c>
      <c r="L273" s="190">
        <v>444.88</v>
      </c>
      <c r="M273" s="201">
        <f t="shared" si="26"/>
        <v>1.02349120024171</v>
      </c>
      <c r="N273" s="190">
        <v>276.71535999999992</v>
      </c>
      <c r="O273" s="189">
        <v>0.3</v>
      </c>
      <c r="P273" s="191">
        <v>1.1330160888284613E-2</v>
      </c>
      <c r="Q273" s="189">
        <v>0.3219999999999999</v>
      </c>
      <c r="R273" s="191">
        <v>1.216103935342548E-2</v>
      </c>
      <c r="S273" s="190">
        <v>143.25135999999995</v>
      </c>
      <c r="T273" s="189" t="s">
        <v>486</v>
      </c>
      <c r="U273" s="189" t="s">
        <v>435</v>
      </c>
      <c r="V273" s="189"/>
      <c r="W273" s="196">
        <v>1</v>
      </c>
      <c r="X273" s="189" t="s">
        <v>286</v>
      </c>
    </row>
    <row r="274" spans="2:24">
      <c r="B274" s="531"/>
      <c r="C274" s="531"/>
      <c r="D274" s="200">
        <v>168</v>
      </c>
      <c r="E274" s="189" t="s">
        <v>434</v>
      </c>
      <c r="F274" s="190">
        <v>132.21600000000001</v>
      </c>
      <c r="G274" s="189">
        <v>72.509</v>
      </c>
      <c r="H274" s="189">
        <v>73.8</v>
      </c>
      <c r="I274" s="201">
        <f t="shared" si="24"/>
        <v>1.0178046863148023</v>
      </c>
      <c r="J274" s="189">
        <v>0</v>
      </c>
      <c r="K274" s="201">
        <f t="shared" si="25"/>
        <v>0</v>
      </c>
      <c r="L274" s="190">
        <v>330.54</v>
      </c>
      <c r="M274" s="201">
        <f t="shared" si="26"/>
        <v>1.0178046863148023</v>
      </c>
      <c r="N274" s="190">
        <v>426.727139999999</v>
      </c>
      <c r="O274" s="189">
        <v>0.4</v>
      </c>
      <c r="P274" s="191">
        <v>5.5165565653918823E-3</v>
      </c>
      <c r="Q274" s="189">
        <v>0.89099999999999679</v>
      </c>
      <c r="R274" s="191">
        <v>1.2288129749410374E-2</v>
      </c>
      <c r="S274" s="190">
        <v>294.51113999999893</v>
      </c>
      <c r="T274" s="189" t="s">
        <v>486</v>
      </c>
      <c r="U274" s="189" t="s">
        <v>426</v>
      </c>
      <c r="V274" s="189"/>
      <c r="W274" s="196">
        <v>1</v>
      </c>
      <c r="X274" s="189" t="s">
        <v>280</v>
      </c>
    </row>
    <row r="275" spans="2:24">
      <c r="B275" s="531"/>
      <c r="C275" s="531"/>
      <c r="D275" s="200">
        <v>169</v>
      </c>
      <c r="E275" s="189" t="s">
        <v>576</v>
      </c>
      <c r="F275" s="190">
        <v>130.67599999999999</v>
      </c>
      <c r="G275" s="189">
        <v>529.38</v>
      </c>
      <c r="H275" s="189">
        <v>532.6</v>
      </c>
      <c r="I275" s="201">
        <f t="shared" si="24"/>
        <v>1.006082587177453</v>
      </c>
      <c r="J275" s="189">
        <v>0</v>
      </c>
      <c r="K275" s="201">
        <f t="shared" si="25"/>
        <v>0</v>
      </c>
      <c r="L275" s="190">
        <v>46.67</v>
      </c>
      <c r="M275" s="201">
        <f t="shared" si="26"/>
        <v>1.006082587177453</v>
      </c>
      <c r="N275" s="190">
        <v>150.27740000000128</v>
      </c>
      <c r="O275" s="189">
        <v>2.8</v>
      </c>
      <c r="P275" s="191">
        <v>5.2892062412633646E-3</v>
      </c>
      <c r="Q275" s="189">
        <v>0.42000000000002746</v>
      </c>
      <c r="R275" s="191">
        <v>7.9338093618955654E-4</v>
      </c>
      <c r="S275" s="190">
        <v>19.601400000001281</v>
      </c>
      <c r="T275" s="189" t="s">
        <v>483</v>
      </c>
      <c r="U275" s="189" t="s">
        <v>416</v>
      </c>
      <c r="V275" s="189"/>
      <c r="W275" s="196">
        <v>1</v>
      </c>
      <c r="X275" s="189" t="s">
        <v>314</v>
      </c>
    </row>
    <row r="276" spans="2:24">
      <c r="B276" s="531"/>
      <c r="C276" s="531"/>
      <c r="D276" s="200">
        <v>170</v>
      </c>
      <c r="E276" s="189" t="s">
        <v>558</v>
      </c>
      <c r="F276" s="190">
        <v>127.44</v>
      </c>
      <c r="G276" s="189">
        <v>10.925000000000001</v>
      </c>
      <c r="H276" s="189">
        <v>11.7</v>
      </c>
      <c r="I276" s="201">
        <f t="shared" si="24"/>
        <v>1.0709382151029747</v>
      </c>
      <c r="J276" s="189">
        <v>0</v>
      </c>
      <c r="K276" s="201">
        <f t="shared" si="25"/>
        <v>0</v>
      </c>
      <c r="L276" s="190">
        <v>212.4</v>
      </c>
      <c r="M276" s="201">
        <f t="shared" si="26"/>
        <v>1.0709382151029747</v>
      </c>
      <c r="N276" s="190">
        <v>164.6099999999997</v>
      </c>
      <c r="O276" s="189">
        <v>0.6</v>
      </c>
      <c r="P276" s="191">
        <v>5.4919908466819219E-2</v>
      </c>
      <c r="Q276" s="189">
        <v>0.1749999999999986</v>
      </c>
      <c r="R276" s="191">
        <v>1.6018306636155479E-2</v>
      </c>
      <c r="S276" s="190">
        <v>37.169999999999703</v>
      </c>
      <c r="T276" s="189" t="s">
        <v>494</v>
      </c>
      <c r="U276" s="189" t="s">
        <v>495</v>
      </c>
      <c r="V276" s="189"/>
      <c r="W276" s="196">
        <v>1</v>
      </c>
      <c r="X276" s="189" t="s">
        <v>300</v>
      </c>
    </row>
    <row r="277" spans="2:24">
      <c r="B277" s="533">
        <v>45897</v>
      </c>
      <c r="C277" s="531" t="s">
        <v>161</v>
      </c>
      <c r="D277" s="200">
        <v>171</v>
      </c>
      <c r="E277" s="189" t="s">
        <v>406</v>
      </c>
      <c r="F277" s="190">
        <v>189.56100000000001</v>
      </c>
      <c r="G277" s="189">
        <v>6.3630000000000004</v>
      </c>
      <c r="H277" s="189">
        <v>6.8</v>
      </c>
      <c r="I277" s="201">
        <f t="shared" si="24"/>
        <v>1.0686782964010686</v>
      </c>
      <c r="J277" s="189">
        <v>0</v>
      </c>
      <c r="K277" s="201">
        <f t="shared" si="25"/>
        <v>0</v>
      </c>
      <c r="L277" s="190">
        <v>631.87</v>
      </c>
      <c r="M277" s="201">
        <f t="shared" si="26"/>
        <v>1.0686782964010686</v>
      </c>
      <c r="N277" s="190">
        <v>276.12718999999964</v>
      </c>
      <c r="O277" s="189">
        <v>0.3</v>
      </c>
      <c r="P277" s="191">
        <v>4.714757190004714E-2</v>
      </c>
      <c r="Q277" s="189">
        <v>0.1369999999999994</v>
      </c>
      <c r="R277" s="191">
        <v>2.1530724501021434E-2</v>
      </c>
      <c r="S277" s="190">
        <v>86.566189999999622</v>
      </c>
      <c r="T277" s="189" t="s">
        <v>494</v>
      </c>
      <c r="U277" s="189" t="s">
        <v>495</v>
      </c>
      <c r="V277" s="189"/>
      <c r="W277" s="196">
        <v>1</v>
      </c>
      <c r="X277" s="189" t="s">
        <v>282</v>
      </c>
    </row>
    <row r="278" spans="2:24">
      <c r="B278" s="531"/>
      <c r="C278" s="531"/>
      <c r="D278" s="200">
        <v>172</v>
      </c>
      <c r="E278" s="189" t="s">
        <v>412</v>
      </c>
      <c r="F278" s="190">
        <v>137.41200000000001</v>
      </c>
      <c r="G278" s="189">
        <v>116.82</v>
      </c>
      <c r="H278" s="189">
        <v>119.6</v>
      </c>
      <c r="I278" s="201">
        <f t="shared" si="24"/>
        <v>1.0237972949837357</v>
      </c>
      <c r="J278" s="189">
        <v>0</v>
      </c>
      <c r="K278" s="201">
        <f t="shared" si="25"/>
        <v>0</v>
      </c>
      <c r="L278" s="190">
        <v>76.34</v>
      </c>
      <c r="M278" s="201">
        <f t="shared" si="26"/>
        <v>1.0237972949837357</v>
      </c>
      <c r="N278" s="190">
        <v>212.22520000000009</v>
      </c>
      <c r="O278" s="189">
        <v>1.8</v>
      </c>
      <c r="P278" s="191">
        <v>1.5408320493066258E-2</v>
      </c>
      <c r="Q278" s="189">
        <v>0.98000000000000109</v>
      </c>
      <c r="R278" s="191">
        <v>8.3889744906694153E-3</v>
      </c>
      <c r="S278" s="190">
        <v>74.81320000000008</v>
      </c>
      <c r="T278" s="189" t="s">
        <v>483</v>
      </c>
      <c r="U278" s="189" t="s">
        <v>416</v>
      </c>
      <c r="V278" s="189"/>
      <c r="W278" s="196">
        <v>1</v>
      </c>
      <c r="X278" s="189" t="s">
        <v>305</v>
      </c>
    </row>
    <row r="279" spans="2:24">
      <c r="B279" s="531"/>
      <c r="C279" s="531"/>
      <c r="D279" s="200">
        <v>173</v>
      </c>
      <c r="E279" s="189" t="s">
        <v>534</v>
      </c>
      <c r="F279" s="190">
        <v>136.29</v>
      </c>
      <c r="G279" s="189">
        <v>39.729999999999997</v>
      </c>
      <c r="H279" s="189">
        <v>41.5</v>
      </c>
      <c r="I279" s="201">
        <f t="shared" si="24"/>
        <v>1.044550717342059</v>
      </c>
      <c r="J279" s="189">
        <v>0</v>
      </c>
      <c r="K279" s="201">
        <f t="shared" si="25"/>
        <v>0</v>
      </c>
      <c r="L279" s="190">
        <v>97.35</v>
      </c>
      <c r="M279" s="201">
        <f t="shared" si="26"/>
        <v>1.044550717342059</v>
      </c>
      <c r="N279" s="190">
        <v>172.3095000000003</v>
      </c>
      <c r="O279" s="189">
        <v>1.4</v>
      </c>
      <c r="P279" s="191">
        <v>3.5237855524792347E-2</v>
      </c>
      <c r="Q279" s="189">
        <v>0.37000000000000322</v>
      </c>
      <c r="R279" s="191">
        <v>9.3128618172666315E-3</v>
      </c>
      <c r="S279" s="190">
        <v>36.019500000000313</v>
      </c>
      <c r="T279" s="189" t="s">
        <v>494</v>
      </c>
      <c r="U279" s="189" t="s">
        <v>500</v>
      </c>
      <c r="V279" s="189"/>
      <c r="W279" s="196">
        <v>1</v>
      </c>
      <c r="X279" s="189" t="s">
        <v>417</v>
      </c>
    </row>
    <row r="280" spans="2:24">
      <c r="B280" s="531"/>
      <c r="C280" s="531"/>
      <c r="D280" s="200">
        <v>174</v>
      </c>
      <c r="E280" s="189" t="s">
        <v>523</v>
      </c>
      <c r="F280" s="190">
        <v>134.80500000000001</v>
      </c>
      <c r="G280" s="189">
        <v>106.559</v>
      </c>
      <c r="H280" s="189">
        <v>109</v>
      </c>
      <c r="I280" s="201">
        <f t="shared" si="24"/>
        <v>1.0229074972550418</v>
      </c>
      <c r="J280" s="189">
        <v>0</v>
      </c>
      <c r="K280" s="201">
        <f t="shared" si="25"/>
        <v>0</v>
      </c>
      <c r="L280" s="190">
        <v>70.95</v>
      </c>
      <c r="M280" s="201">
        <f t="shared" si="26"/>
        <v>1.0229074972550418</v>
      </c>
      <c r="N280" s="190">
        <v>173.18895000000018</v>
      </c>
      <c r="O280" s="189">
        <v>1.9</v>
      </c>
      <c r="P280" s="191">
        <v>1.7830497658574123E-2</v>
      </c>
      <c r="Q280" s="189">
        <v>0.54100000000000259</v>
      </c>
      <c r="R280" s="191">
        <v>5.076999596467709E-3</v>
      </c>
      <c r="S280" s="190">
        <v>38.383950000000183</v>
      </c>
      <c r="T280" s="189" t="s">
        <v>483</v>
      </c>
      <c r="U280" s="189" t="s">
        <v>416</v>
      </c>
      <c r="V280" s="189"/>
      <c r="W280" s="196">
        <v>1</v>
      </c>
      <c r="X280" s="189" t="s">
        <v>287</v>
      </c>
    </row>
    <row r="281" spans="2:24">
      <c r="B281" s="531"/>
      <c r="C281" s="531"/>
      <c r="D281" s="200">
        <v>175</v>
      </c>
      <c r="E281" s="189" t="s">
        <v>436</v>
      </c>
      <c r="F281" s="190">
        <v>134.5</v>
      </c>
      <c r="G281" s="189">
        <v>1754</v>
      </c>
      <c r="H281" s="189">
        <v>1764</v>
      </c>
      <c r="I281" s="201">
        <f t="shared" si="24"/>
        <v>1.0057012542759407</v>
      </c>
      <c r="J281" s="189">
        <v>0</v>
      </c>
      <c r="K281" s="201">
        <f t="shared" si="25"/>
        <v>0</v>
      </c>
      <c r="L281" s="190">
        <v>13.45</v>
      </c>
      <c r="M281" s="201">
        <f t="shared" si="26"/>
        <v>1.0057012542759407</v>
      </c>
      <c r="N281" s="190">
        <v>134.5</v>
      </c>
      <c r="O281" s="189">
        <v>10</v>
      </c>
      <c r="P281" s="191">
        <v>5.7012542759407071E-3</v>
      </c>
      <c r="Q281" s="189">
        <v>0</v>
      </c>
      <c r="R281" s="191">
        <v>0</v>
      </c>
      <c r="S281" s="190">
        <v>0</v>
      </c>
      <c r="T281" s="189" t="s">
        <v>486</v>
      </c>
      <c r="U281" s="189" t="s">
        <v>435</v>
      </c>
      <c r="V281" s="189"/>
      <c r="W281" s="196">
        <v>1</v>
      </c>
      <c r="X281" s="189" t="s">
        <v>310</v>
      </c>
    </row>
    <row r="282" spans="2:24">
      <c r="B282" s="531"/>
      <c r="C282" s="531"/>
      <c r="D282" s="200">
        <v>176</v>
      </c>
      <c r="E282" s="189" t="s">
        <v>577</v>
      </c>
      <c r="F282" s="190">
        <v>134.20399999999998</v>
      </c>
      <c r="G282" s="189">
        <v>141.36000000000001</v>
      </c>
      <c r="H282" s="189">
        <v>144.80000000000001</v>
      </c>
      <c r="I282" s="201">
        <f t="shared" si="24"/>
        <v>1.0243350311262025</v>
      </c>
      <c r="J282" s="189">
        <v>0</v>
      </c>
      <c r="K282" s="201">
        <f t="shared" si="25"/>
        <v>0</v>
      </c>
      <c r="L282" s="190">
        <v>47.93</v>
      </c>
      <c r="M282" s="201">
        <f t="shared" si="26"/>
        <v>1.0243350311262025</v>
      </c>
      <c r="N282" s="190">
        <v>164.87919999999988</v>
      </c>
      <c r="O282" s="189">
        <v>2.8</v>
      </c>
      <c r="P282" s="191">
        <v>1.9807583474816069E-2</v>
      </c>
      <c r="Q282" s="189">
        <v>0.6399999999999979</v>
      </c>
      <c r="R282" s="191">
        <v>4.5274476513865155E-3</v>
      </c>
      <c r="S282" s="190">
        <v>30.675199999999901</v>
      </c>
      <c r="T282" s="189" t="s">
        <v>483</v>
      </c>
      <c r="U282" s="189" t="s">
        <v>416</v>
      </c>
      <c r="V282" s="189"/>
      <c r="W282" s="196">
        <v>1</v>
      </c>
      <c r="X282" s="189" t="s">
        <v>273</v>
      </c>
    </row>
    <row r="283" spans="2:24">
      <c r="B283" s="531"/>
      <c r="C283" s="531"/>
      <c r="D283" s="200">
        <v>177</v>
      </c>
      <c r="E283" s="189" t="s">
        <v>543</v>
      </c>
      <c r="F283" s="190">
        <v>134.04499999999999</v>
      </c>
      <c r="G283" s="189">
        <v>437.286</v>
      </c>
      <c r="H283" s="189">
        <v>440.5</v>
      </c>
      <c r="I283" s="201">
        <f t="shared" si="24"/>
        <v>1.0073498808560073</v>
      </c>
      <c r="J283" s="189">
        <v>0</v>
      </c>
      <c r="K283" s="201">
        <f t="shared" si="25"/>
        <v>0</v>
      </c>
      <c r="L283" s="190">
        <v>78.849999999999994</v>
      </c>
      <c r="M283" s="201">
        <f t="shared" si="26"/>
        <v>1.0073498808560073</v>
      </c>
      <c r="N283" s="190">
        <v>253.42389999999986</v>
      </c>
      <c r="O283" s="189">
        <v>1.7</v>
      </c>
      <c r="P283" s="191">
        <v>3.8876158852558735E-3</v>
      </c>
      <c r="Q283" s="189">
        <v>1.5139999999999987</v>
      </c>
      <c r="R283" s="191">
        <v>3.4622649707514047E-3</v>
      </c>
      <c r="S283" s="190">
        <v>119.37889999999989</v>
      </c>
      <c r="T283" s="189" t="s">
        <v>483</v>
      </c>
      <c r="U283" s="189" t="s">
        <v>416</v>
      </c>
      <c r="V283" s="189"/>
      <c r="W283" s="196">
        <v>1</v>
      </c>
      <c r="X283" s="189" t="s">
        <v>280</v>
      </c>
    </row>
    <row r="284" spans="2:24" ht="16.5">
      <c r="B284" s="531"/>
      <c r="C284" s="531"/>
      <c r="D284" s="200">
        <v>178</v>
      </c>
      <c r="E284" s="189" t="s">
        <v>443</v>
      </c>
      <c r="F284" s="190">
        <v>132.87199999999999</v>
      </c>
      <c r="G284" s="189">
        <v>176.8</v>
      </c>
      <c r="H284" s="189">
        <v>179.6</v>
      </c>
      <c r="I284" s="201">
        <f t="shared" si="24"/>
        <v>1.0158371040723981</v>
      </c>
      <c r="J284" s="189">
        <v>0</v>
      </c>
      <c r="K284" s="201">
        <f t="shared" si="25"/>
        <v>0</v>
      </c>
      <c r="L284" s="190">
        <v>78.16</v>
      </c>
      <c r="M284" s="201">
        <f t="shared" si="26"/>
        <v>1.0158371040723981</v>
      </c>
      <c r="N284" s="190">
        <v>218.84799999999865</v>
      </c>
      <c r="O284" s="189">
        <v>1.7</v>
      </c>
      <c r="P284" s="191">
        <v>9.6153846153846142E-3</v>
      </c>
      <c r="Q284" s="189">
        <v>1.099999999999983</v>
      </c>
      <c r="R284" s="191">
        <v>6.221719457013478E-3</v>
      </c>
      <c r="S284" s="190">
        <v>85.975999999998663</v>
      </c>
      <c r="T284" s="189" t="s">
        <v>486</v>
      </c>
      <c r="U284" s="189" t="s">
        <v>490</v>
      </c>
      <c r="V284" s="296" t="s">
        <v>437</v>
      </c>
      <c r="W284" s="196">
        <v>1</v>
      </c>
      <c r="X284" s="189" t="s">
        <v>270</v>
      </c>
    </row>
    <row r="285" spans="2:24">
      <c r="B285" s="531"/>
      <c r="C285" s="531"/>
      <c r="D285" s="200">
        <v>179</v>
      </c>
      <c r="E285" s="189" t="s">
        <v>522</v>
      </c>
      <c r="F285" s="190">
        <v>127.738</v>
      </c>
      <c r="G285" s="189">
        <v>131.02500000000001</v>
      </c>
      <c r="H285" s="189">
        <v>133.19999999999999</v>
      </c>
      <c r="I285" s="201">
        <f t="shared" si="24"/>
        <v>1.0165998855180307</v>
      </c>
      <c r="J285" s="189">
        <v>0</v>
      </c>
      <c r="K285" s="201">
        <f t="shared" si="25"/>
        <v>0</v>
      </c>
      <c r="L285" s="190">
        <v>75.14</v>
      </c>
      <c r="M285" s="201">
        <f t="shared" si="26"/>
        <v>1.0165998855180307</v>
      </c>
      <c r="N285" s="190">
        <v>163.42949999999871</v>
      </c>
      <c r="O285" s="189">
        <v>1.7</v>
      </c>
      <c r="P285" s="191">
        <v>1.2974623163518412E-2</v>
      </c>
      <c r="Q285" s="189">
        <v>0.47499999999998299</v>
      </c>
      <c r="R285" s="191">
        <v>3.6252623545123676E-3</v>
      </c>
      <c r="S285" s="190">
        <v>35.691499999998719</v>
      </c>
      <c r="T285" s="189" t="s">
        <v>483</v>
      </c>
      <c r="U285" s="189" t="s">
        <v>416</v>
      </c>
      <c r="V285" s="189"/>
      <c r="W285" s="196">
        <v>1</v>
      </c>
      <c r="X285" s="189" t="s">
        <v>417</v>
      </c>
    </row>
    <row r="286" spans="2:24">
      <c r="B286" s="531"/>
      <c r="C286" s="531"/>
      <c r="D286" s="200">
        <v>180</v>
      </c>
      <c r="E286" s="189" t="s">
        <v>404</v>
      </c>
      <c r="F286" s="190">
        <v>126.67200000000001</v>
      </c>
      <c r="G286" s="189">
        <v>16.785</v>
      </c>
      <c r="H286" s="189">
        <v>18.100000000000001</v>
      </c>
      <c r="I286" s="201">
        <f t="shared" si="24"/>
        <v>1.0783437593089069</v>
      </c>
      <c r="J286" s="189">
        <v>0</v>
      </c>
      <c r="K286" s="201">
        <f t="shared" si="25"/>
        <v>0</v>
      </c>
      <c r="L286" s="190">
        <v>180.96</v>
      </c>
      <c r="M286" s="201">
        <f t="shared" si="26"/>
        <v>1.0783437593089069</v>
      </c>
      <c r="N286" s="190">
        <v>237.96240000000023</v>
      </c>
      <c r="O286" s="189">
        <v>0.70000000000000007</v>
      </c>
      <c r="P286" s="191">
        <v>4.170390229371463E-2</v>
      </c>
      <c r="Q286" s="189">
        <v>0.61500000000000121</v>
      </c>
      <c r="R286" s="191">
        <v>3.6639857015192207E-2</v>
      </c>
      <c r="S286" s="190">
        <v>111.29040000000022</v>
      </c>
      <c r="T286" s="189" t="s">
        <v>494</v>
      </c>
      <c r="U286" s="189" t="s">
        <v>495</v>
      </c>
      <c r="V286" s="189"/>
      <c r="W286" s="196">
        <v>1</v>
      </c>
      <c r="X286" s="189" t="s">
        <v>264</v>
      </c>
    </row>
    <row r="287" spans="2:24">
      <c r="B287" s="533">
        <v>45898</v>
      </c>
      <c r="C287" s="531" t="s">
        <v>156</v>
      </c>
      <c r="D287" s="200">
        <v>181</v>
      </c>
      <c r="E287" s="189" t="s">
        <v>532</v>
      </c>
      <c r="F287" s="190">
        <v>130.31400000000002</v>
      </c>
      <c r="G287" s="189">
        <v>13.164</v>
      </c>
      <c r="H287" s="189">
        <v>13.4</v>
      </c>
      <c r="I287" s="201">
        <f t="shared" si="24"/>
        <v>1.0179276815557581</v>
      </c>
      <c r="J287" s="189">
        <v>0</v>
      </c>
      <c r="K287" s="201">
        <f t="shared" si="25"/>
        <v>0</v>
      </c>
      <c r="L287" s="190">
        <v>651.57000000000005</v>
      </c>
      <c r="M287" s="201">
        <f t="shared" si="26"/>
        <v>1.0179276815557581</v>
      </c>
      <c r="N287" s="190">
        <v>153.77052000000043</v>
      </c>
      <c r="O287" s="189">
        <v>0.2</v>
      </c>
      <c r="P287" s="191">
        <v>1.5192950470981466E-2</v>
      </c>
      <c r="Q287" s="189">
        <v>3.6000000000000643E-2</v>
      </c>
      <c r="R287" s="191">
        <v>2.7347310847767124E-3</v>
      </c>
      <c r="S287" s="190">
        <v>23.45652000000042</v>
      </c>
      <c r="T287" s="189" t="s">
        <v>483</v>
      </c>
      <c r="U287" s="189" t="s">
        <v>416</v>
      </c>
      <c r="V287" s="189"/>
      <c r="W287" s="196">
        <v>1</v>
      </c>
      <c r="X287" s="189" t="s">
        <v>533</v>
      </c>
    </row>
    <row r="288" spans="2:24">
      <c r="B288" s="531"/>
      <c r="C288" s="531"/>
      <c r="D288" s="200">
        <v>182</v>
      </c>
      <c r="E288" s="189" t="s">
        <v>412</v>
      </c>
      <c r="F288" s="190">
        <v>129.77799999999999</v>
      </c>
      <c r="G288" s="189">
        <v>101.28</v>
      </c>
      <c r="H288" s="189">
        <v>104</v>
      </c>
      <c r="I288" s="201">
        <f t="shared" si="24"/>
        <v>1.0268562401263823</v>
      </c>
      <c r="J288" s="189">
        <v>0</v>
      </c>
      <c r="K288" s="201">
        <f t="shared" si="25"/>
        <v>0</v>
      </c>
      <c r="L288" s="190">
        <v>76.34</v>
      </c>
      <c r="M288" s="201">
        <f t="shared" si="26"/>
        <v>1.0268562401263823</v>
      </c>
      <c r="N288" s="190">
        <v>207.64479999999992</v>
      </c>
      <c r="O288" s="189">
        <v>1.7</v>
      </c>
      <c r="P288" s="191">
        <v>1.6785150078988943E-2</v>
      </c>
      <c r="Q288" s="189">
        <v>1.0199999999999989</v>
      </c>
      <c r="R288" s="191">
        <v>1.0071090047393354E-2</v>
      </c>
      <c r="S288" s="190">
        <v>77.866799999999927</v>
      </c>
      <c r="T288" s="189" t="s">
        <v>494</v>
      </c>
      <c r="U288" s="189" t="s">
        <v>500</v>
      </c>
      <c r="V288" s="189"/>
      <c r="W288" s="196">
        <v>1</v>
      </c>
      <c r="X288" s="189" t="s">
        <v>305</v>
      </c>
    </row>
    <row r="289" spans="2:24">
      <c r="B289" s="531"/>
      <c r="C289" s="531"/>
      <c r="D289" s="200">
        <v>183</v>
      </c>
      <c r="E289" s="189" t="s">
        <v>578</v>
      </c>
      <c r="F289" s="190">
        <v>127.66999999999999</v>
      </c>
      <c r="G289" s="189">
        <v>54.536999999999999</v>
      </c>
      <c r="H289" s="189">
        <v>57.4</v>
      </c>
      <c r="I289" s="201">
        <f t="shared" si="24"/>
        <v>1.0524964702862276</v>
      </c>
      <c r="J289" s="189">
        <v>0</v>
      </c>
      <c r="K289" s="201">
        <f t="shared" si="25"/>
        <v>0</v>
      </c>
      <c r="L289" s="190">
        <v>75.099999999999994</v>
      </c>
      <c r="M289" s="201">
        <f t="shared" si="26"/>
        <v>1.0524964702862276</v>
      </c>
      <c r="N289" s="190">
        <v>215.01129999999995</v>
      </c>
      <c r="O289" s="189">
        <v>1.7</v>
      </c>
      <c r="P289" s="191">
        <v>3.1171498248895244E-2</v>
      </c>
      <c r="Q289" s="189">
        <v>1.1629999999999996</v>
      </c>
      <c r="R289" s="191">
        <v>2.1324972037332447E-2</v>
      </c>
      <c r="S289" s="190">
        <v>87.341299999999961</v>
      </c>
      <c r="T289" s="189" t="s">
        <v>494</v>
      </c>
      <c r="U289" s="189" t="s">
        <v>500</v>
      </c>
      <c r="V289" s="189"/>
      <c r="W289" s="196">
        <v>1</v>
      </c>
      <c r="X289" s="189" t="s">
        <v>253</v>
      </c>
    </row>
    <row r="290" spans="2:24">
      <c r="B290" s="531"/>
      <c r="C290" s="531"/>
      <c r="D290" s="200">
        <v>184</v>
      </c>
      <c r="E290" s="189" t="s">
        <v>508</v>
      </c>
      <c r="F290" s="190">
        <v>127.48</v>
      </c>
      <c r="G290" s="189">
        <v>116.654</v>
      </c>
      <c r="H290" s="189">
        <v>118.8</v>
      </c>
      <c r="I290" s="201">
        <f t="shared" si="24"/>
        <v>1.0183962830250142</v>
      </c>
      <c r="J290" s="189">
        <v>0</v>
      </c>
      <c r="K290" s="201">
        <f t="shared" si="25"/>
        <v>0</v>
      </c>
      <c r="L290" s="190">
        <v>127.48</v>
      </c>
      <c r="M290" s="201">
        <f t="shared" si="26"/>
        <v>1.0183962830250142</v>
      </c>
      <c r="N290" s="190">
        <v>273.57208000000008</v>
      </c>
      <c r="O290" s="189">
        <v>1</v>
      </c>
      <c r="P290" s="191">
        <v>8.5723592847223411E-3</v>
      </c>
      <c r="Q290" s="189">
        <v>1.1460000000000008</v>
      </c>
      <c r="R290" s="191">
        <v>9.8239237402918105E-3</v>
      </c>
      <c r="S290" s="190">
        <v>146.0920800000001</v>
      </c>
      <c r="T290" s="189" t="s">
        <v>483</v>
      </c>
      <c r="U290" s="189" t="s">
        <v>416</v>
      </c>
      <c r="V290" s="189"/>
      <c r="W290" s="196">
        <v>1</v>
      </c>
      <c r="X290" s="189" t="s">
        <v>323</v>
      </c>
    </row>
    <row r="291" spans="2:24">
      <c r="B291" s="531"/>
      <c r="C291" s="531"/>
      <c r="D291" s="200">
        <v>185</v>
      </c>
      <c r="E291" s="189" t="s">
        <v>406</v>
      </c>
      <c r="F291" s="190">
        <v>126.37400000000001</v>
      </c>
      <c r="G291" s="189">
        <v>5.9790000000000001</v>
      </c>
      <c r="H291" s="189">
        <v>6.2</v>
      </c>
      <c r="I291" s="201">
        <f t="shared" si="24"/>
        <v>1.0369627027931092</v>
      </c>
      <c r="J291" s="189">
        <v>0</v>
      </c>
      <c r="K291" s="201">
        <f t="shared" si="25"/>
        <v>0</v>
      </c>
      <c r="L291" s="190">
        <v>631.87</v>
      </c>
      <c r="M291" s="201">
        <f t="shared" si="26"/>
        <v>1.0369627027931092</v>
      </c>
      <c r="N291" s="190">
        <v>139.64327000000006</v>
      </c>
      <c r="O291" s="189">
        <v>0.2</v>
      </c>
      <c r="P291" s="191">
        <v>3.3450409767519652E-2</v>
      </c>
      <c r="Q291" s="189">
        <v>2.1000000000000074E-2</v>
      </c>
      <c r="R291" s="191">
        <v>3.5122930255895757E-3</v>
      </c>
      <c r="S291" s="190">
        <v>13.269270000000047</v>
      </c>
      <c r="T291" s="189" t="s">
        <v>494</v>
      </c>
      <c r="U291" s="189" t="s">
        <v>500</v>
      </c>
      <c r="V291" s="189"/>
      <c r="W291" s="196">
        <v>1</v>
      </c>
      <c r="X291" s="189" t="s">
        <v>282</v>
      </c>
    </row>
    <row r="292" spans="2:24">
      <c r="B292" s="531"/>
      <c r="C292" s="531"/>
      <c r="D292" s="200">
        <v>186</v>
      </c>
      <c r="E292" s="189" t="s">
        <v>543</v>
      </c>
      <c r="F292" s="190">
        <v>126.16</v>
      </c>
      <c r="G292" s="189">
        <v>385.76400000000001</v>
      </c>
      <c r="H292" s="189">
        <v>388.7</v>
      </c>
      <c r="I292" s="201">
        <f t="shared" si="24"/>
        <v>1.0076108708951586</v>
      </c>
      <c r="J292" s="189">
        <v>0</v>
      </c>
      <c r="K292" s="201">
        <f t="shared" si="25"/>
        <v>0</v>
      </c>
      <c r="L292" s="190">
        <v>78.849999999999994</v>
      </c>
      <c r="M292" s="201">
        <f t="shared" si="26"/>
        <v>1.0076108708951586</v>
      </c>
      <c r="N292" s="190">
        <v>231.5035999999983</v>
      </c>
      <c r="O292" s="189">
        <v>1.6</v>
      </c>
      <c r="P292" s="191">
        <v>4.1476135668439777E-3</v>
      </c>
      <c r="Q292" s="189">
        <v>1.3359999999999785</v>
      </c>
      <c r="R292" s="191">
        <v>3.4632573283146654E-3</v>
      </c>
      <c r="S292" s="190">
        <v>105.3435999999983</v>
      </c>
      <c r="T292" s="189" t="s">
        <v>483</v>
      </c>
      <c r="U292" s="189" t="s">
        <v>416</v>
      </c>
      <c r="V292" s="189"/>
      <c r="W292" s="196">
        <v>1</v>
      </c>
      <c r="X292" s="189" t="s">
        <v>280</v>
      </c>
    </row>
    <row r="293" spans="2:24">
      <c r="B293" s="531"/>
      <c r="C293" s="531"/>
      <c r="D293" s="200">
        <v>187</v>
      </c>
      <c r="E293" s="189" t="s">
        <v>405</v>
      </c>
      <c r="F293" s="190">
        <v>125.523</v>
      </c>
      <c r="G293" s="189">
        <v>15.741</v>
      </c>
      <c r="H293" s="189">
        <v>16.3</v>
      </c>
      <c r="I293" s="201">
        <f t="shared" si="24"/>
        <v>1.0355123562670734</v>
      </c>
      <c r="J293" s="189">
        <v>0</v>
      </c>
      <c r="K293" s="201">
        <f t="shared" si="25"/>
        <v>0</v>
      </c>
      <c r="L293" s="190">
        <v>418.41</v>
      </c>
      <c r="M293" s="201">
        <f t="shared" si="26"/>
        <v>1.0355123562670734</v>
      </c>
      <c r="N293" s="190">
        <v>233.89119000000045</v>
      </c>
      <c r="O293" s="189">
        <v>0.3</v>
      </c>
      <c r="P293" s="191">
        <v>1.905850962454736E-2</v>
      </c>
      <c r="Q293" s="189">
        <v>0.25900000000000106</v>
      </c>
      <c r="R293" s="191">
        <v>1.6453846642525957E-2</v>
      </c>
      <c r="S293" s="190">
        <v>108.36819000000045</v>
      </c>
      <c r="T293" s="189" t="s">
        <v>494</v>
      </c>
      <c r="U293" s="189" t="s">
        <v>495</v>
      </c>
      <c r="V293" s="189"/>
      <c r="W293" s="196">
        <v>1</v>
      </c>
      <c r="X293" s="189" t="s">
        <v>267</v>
      </c>
    </row>
    <row r="294" spans="2:24" ht="16.5">
      <c r="B294" s="531"/>
      <c r="C294" s="531"/>
      <c r="D294" s="200">
        <v>188</v>
      </c>
      <c r="E294" s="189" t="s">
        <v>443</v>
      </c>
      <c r="F294" s="190">
        <v>125.056</v>
      </c>
      <c r="G294" s="189">
        <v>175.44</v>
      </c>
      <c r="H294" s="189">
        <v>178.3</v>
      </c>
      <c r="I294" s="201">
        <f t="shared" si="24"/>
        <v>1.0163018695850434</v>
      </c>
      <c r="J294" s="189">
        <v>0</v>
      </c>
      <c r="K294" s="201">
        <f t="shared" si="25"/>
        <v>0</v>
      </c>
      <c r="L294" s="190">
        <v>78.16</v>
      </c>
      <c r="M294" s="201">
        <f t="shared" si="26"/>
        <v>1.0163018695850434</v>
      </c>
      <c r="N294" s="190">
        <v>223.53760000000105</v>
      </c>
      <c r="O294" s="189">
        <v>1.6</v>
      </c>
      <c r="P294" s="191">
        <v>9.1199270405836752E-3</v>
      </c>
      <c r="Q294" s="189">
        <v>1.2600000000000136</v>
      </c>
      <c r="R294" s="191">
        <v>7.1819425444597214E-3</v>
      </c>
      <c r="S294" s="190">
        <v>98.481600000001052</v>
      </c>
      <c r="T294" s="189" t="s">
        <v>486</v>
      </c>
      <c r="U294" s="189" t="s">
        <v>490</v>
      </c>
      <c r="V294" s="296" t="s">
        <v>437</v>
      </c>
      <c r="W294" s="196">
        <v>1</v>
      </c>
      <c r="X294" s="189" t="s">
        <v>270</v>
      </c>
    </row>
    <row r="295" spans="2:24">
      <c r="B295" s="531"/>
      <c r="C295" s="531"/>
      <c r="D295" s="200">
        <v>189</v>
      </c>
      <c r="E295" s="189" t="s">
        <v>429</v>
      </c>
      <c r="F295" s="190">
        <v>123.20099999999999</v>
      </c>
      <c r="G295" s="189">
        <v>236.23400000000001</v>
      </c>
      <c r="H295" s="189">
        <v>237.6</v>
      </c>
      <c r="I295" s="201">
        <f t="shared" si="24"/>
        <v>1.0057824021944344</v>
      </c>
      <c r="J295" s="189">
        <v>0</v>
      </c>
      <c r="K295" s="201">
        <f t="shared" si="25"/>
        <v>0</v>
      </c>
      <c r="L295" s="190">
        <v>136.88999999999999</v>
      </c>
      <c r="M295" s="201">
        <f t="shared" si="26"/>
        <v>1.0057824021944344</v>
      </c>
      <c r="N295" s="190">
        <v>186.991739999998</v>
      </c>
      <c r="O295" s="189">
        <v>0.9</v>
      </c>
      <c r="P295" s="191">
        <v>3.8097818264940693E-3</v>
      </c>
      <c r="Q295" s="189">
        <v>0.46599999999998543</v>
      </c>
      <c r="R295" s="191">
        <v>1.9726203679402009E-3</v>
      </c>
      <c r="S295" s="190">
        <v>63.790739999997996</v>
      </c>
      <c r="T295" s="189" t="s">
        <v>483</v>
      </c>
      <c r="U295" s="189" t="s">
        <v>416</v>
      </c>
      <c r="V295" s="189"/>
      <c r="W295" s="196">
        <v>1</v>
      </c>
      <c r="X295" s="189" t="s">
        <v>417</v>
      </c>
    </row>
    <row r="296" spans="2:24">
      <c r="B296" s="531"/>
      <c r="C296" s="531"/>
      <c r="D296" s="200">
        <v>190</v>
      </c>
      <c r="E296" s="189" t="s">
        <v>579</v>
      </c>
      <c r="F296" s="190">
        <v>118.32000000000001</v>
      </c>
      <c r="G296" s="189">
        <v>4.2569999999999997</v>
      </c>
      <c r="H296" s="189">
        <v>4.7</v>
      </c>
      <c r="I296" s="201">
        <f t="shared" si="24"/>
        <v>1.1040638947615693</v>
      </c>
      <c r="J296" s="189">
        <v>0</v>
      </c>
      <c r="K296" s="201">
        <f t="shared" si="25"/>
        <v>0</v>
      </c>
      <c r="L296" s="190">
        <v>591.6</v>
      </c>
      <c r="M296" s="201">
        <f t="shared" si="26"/>
        <v>1.1040638947615693</v>
      </c>
      <c r="N296" s="190">
        <v>262.07880000000029</v>
      </c>
      <c r="O296" s="189">
        <v>0.2</v>
      </c>
      <c r="P296" s="191">
        <v>4.6981442330279545E-2</v>
      </c>
      <c r="Q296" s="189">
        <v>0.24300000000000049</v>
      </c>
      <c r="R296" s="191">
        <v>5.708245243128976E-2</v>
      </c>
      <c r="S296" s="190">
        <v>143.75880000000029</v>
      </c>
      <c r="T296" s="189" t="s">
        <v>514</v>
      </c>
      <c r="U296" s="189" t="s">
        <v>500</v>
      </c>
      <c r="V296" s="189"/>
      <c r="W296" s="196">
        <v>1</v>
      </c>
      <c r="X296" s="189" t="s">
        <v>245</v>
      </c>
    </row>
    <row r="297" spans="2:24">
      <c r="B297" s="533">
        <v>45899</v>
      </c>
      <c r="C297" s="531" t="s">
        <v>157</v>
      </c>
      <c r="D297" s="200">
        <v>191</v>
      </c>
      <c r="E297" s="189" t="s">
        <v>436</v>
      </c>
      <c r="F297" s="190">
        <v>134.5</v>
      </c>
      <c r="G297" s="189">
        <v>1718</v>
      </c>
      <c r="H297" s="189">
        <v>1728</v>
      </c>
      <c r="I297" s="201">
        <f t="shared" si="24"/>
        <v>1.0058207217694994</v>
      </c>
      <c r="J297" s="189">
        <v>0</v>
      </c>
      <c r="K297" s="201">
        <f t="shared" si="25"/>
        <v>0</v>
      </c>
      <c r="L297" s="190">
        <v>13.45</v>
      </c>
      <c r="M297" s="201">
        <f t="shared" si="26"/>
        <v>1.0058207217694994</v>
      </c>
      <c r="N297" s="190">
        <v>134.5</v>
      </c>
      <c r="O297" s="189">
        <v>10</v>
      </c>
      <c r="P297" s="191">
        <v>5.8207217694994182E-3</v>
      </c>
      <c r="Q297" s="189">
        <v>0</v>
      </c>
      <c r="R297" s="191">
        <v>0</v>
      </c>
      <c r="S297" s="190">
        <v>0</v>
      </c>
      <c r="T297" s="189" t="s">
        <v>486</v>
      </c>
      <c r="U297" s="189" t="s">
        <v>435</v>
      </c>
      <c r="V297" s="189"/>
      <c r="W297" s="196">
        <v>1</v>
      </c>
      <c r="X297" s="189" t="s">
        <v>310</v>
      </c>
    </row>
    <row r="298" spans="2:24">
      <c r="B298" s="531"/>
      <c r="C298" s="531"/>
      <c r="D298" s="200">
        <v>192</v>
      </c>
      <c r="E298" s="189" t="s">
        <v>568</v>
      </c>
      <c r="F298" s="190">
        <v>126.54</v>
      </c>
      <c r="G298" s="189">
        <v>48.45</v>
      </c>
      <c r="H298" s="189">
        <v>49.3</v>
      </c>
      <c r="I298" s="201">
        <f t="shared" si="24"/>
        <v>1.0175438596491226</v>
      </c>
      <c r="J298" s="189">
        <v>0</v>
      </c>
      <c r="K298" s="201">
        <f t="shared" si="25"/>
        <v>0</v>
      </c>
      <c r="L298" s="190">
        <v>253.08</v>
      </c>
      <c r="M298" s="201">
        <f t="shared" si="26"/>
        <v>1.0175438596491226</v>
      </c>
      <c r="N298" s="190">
        <v>215.11799999999857</v>
      </c>
      <c r="O298" s="189">
        <v>0.5</v>
      </c>
      <c r="P298" s="191">
        <v>1.0319917440660475E-2</v>
      </c>
      <c r="Q298" s="189">
        <v>0.34999999999999432</v>
      </c>
      <c r="R298" s="191">
        <v>7.2239422084622142E-3</v>
      </c>
      <c r="S298" s="190">
        <v>88.577999999998568</v>
      </c>
      <c r="T298" s="189" t="s">
        <v>483</v>
      </c>
      <c r="U298" s="189" t="s">
        <v>416</v>
      </c>
      <c r="V298" s="189"/>
      <c r="W298" s="196">
        <v>1</v>
      </c>
      <c r="X298" s="189" t="s">
        <v>300</v>
      </c>
    </row>
    <row r="299" spans="2:24">
      <c r="B299" s="531"/>
      <c r="C299" s="531"/>
      <c r="D299" s="200">
        <v>193</v>
      </c>
      <c r="E299" s="189" t="s">
        <v>510</v>
      </c>
      <c r="F299" s="190">
        <v>118.94000000000001</v>
      </c>
      <c r="G299" s="189">
        <v>42.328000000000003</v>
      </c>
      <c r="H299" s="189">
        <v>43.1</v>
      </c>
      <c r="I299" s="201">
        <f t="shared" si="24"/>
        <v>1.0182385182385183</v>
      </c>
      <c r="J299" s="189">
        <v>0</v>
      </c>
      <c r="K299" s="201">
        <f t="shared" si="25"/>
        <v>0</v>
      </c>
      <c r="L299" s="190">
        <v>297.35000000000002</v>
      </c>
      <c r="M299" s="201">
        <f t="shared" si="26"/>
        <v>1.0182385182385183</v>
      </c>
      <c r="N299" s="190">
        <v>229.55419999999955</v>
      </c>
      <c r="O299" s="189">
        <v>0.4</v>
      </c>
      <c r="P299" s="191">
        <v>9.4500094500094504E-3</v>
      </c>
      <c r="Q299" s="189">
        <v>0.37199999999999844</v>
      </c>
      <c r="R299" s="191">
        <v>8.7885087885087518E-3</v>
      </c>
      <c r="S299" s="190">
        <v>110.61419999999954</v>
      </c>
      <c r="T299" s="189" t="s">
        <v>483</v>
      </c>
      <c r="U299" s="189" t="s">
        <v>416</v>
      </c>
      <c r="V299" s="189"/>
      <c r="W299" s="196">
        <v>1</v>
      </c>
      <c r="X299" s="189" t="s">
        <v>271</v>
      </c>
    </row>
    <row r="300" spans="2:24">
      <c r="B300" s="531"/>
      <c r="C300" s="531"/>
      <c r="D300" s="200">
        <v>194</v>
      </c>
      <c r="E300" s="189" t="s">
        <v>580</v>
      </c>
      <c r="F300" s="190">
        <v>118.339</v>
      </c>
      <c r="G300" s="189">
        <v>95.037999999999997</v>
      </c>
      <c r="H300" s="189">
        <v>97.2</v>
      </c>
      <c r="I300" s="201">
        <f t="shared" si="24"/>
        <v>1.0227487952187546</v>
      </c>
      <c r="J300" s="189">
        <v>0</v>
      </c>
      <c r="K300" s="201">
        <f t="shared" si="25"/>
        <v>0</v>
      </c>
      <c r="L300" s="190">
        <v>91.03</v>
      </c>
      <c r="M300" s="201">
        <f t="shared" si="26"/>
        <v>1.0227487952187546</v>
      </c>
      <c r="N300" s="190">
        <v>196.80686000000057</v>
      </c>
      <c r="O300" s="189">
        <v>1.3</v>
      </c>
      <c r="P300" s="191">
        <v>1.367873903070351E-2</v>
      </c>
      <c r="Q300" s="189">
        <v>0.86200000000000609</v>
      </c>
      <c r="R300" s="191">
        <v>9.0700561880511597E-3</v>
      </c>
      <c r="S300" s="190">
        <v>78.467860000000556</v>
      </c>
      <c r="T300" s="189" t="s">
        <v>483</v>
      </c>
      <c r="U300" s="189" t="s">
        <v>416</v>
      </c>
      <c r="V300" s="189"/>
      <c r="W300" s="196">
        <v>1</v>
      </c>
      <c r="X300" s="189" t="s">
        <v>291</v>
      </c>
    </row>
    <row r="301" spans="2:24">
      <c r="B301" s="531"/>
      <c r="C301" s="531"/>
      <c r="D301" s="200">
        <v>195</v>
      </c>
      <c r="E301" s="189" t="s">
        <v>543</v>
      </c>
      <c r="F301" s="190">
        <v>118.27499999999999</v>
      </c>
      <c r="G301" s="189">
        <v>446.77199999999999</v>
      </c>
      <c r="H301" s="189">
        <v>450.3</v>
      </c>
      <c r="I301" s="201">
        <f t="shared" si="24"/>
        <v>1.0078966452687277</v>
      </c>
      <c r="J301" s="189">
        <v>0</v>
      </c>
      <c r="K301" s="201">
        <f t="shared" si="25"/>
        <v>0</v>
      </c>
      <c r="L301" s="190">
        <v>78.849999999999994</v>
      </c>
      <c r="M301" s="201">
        <f t="shared" si="26"/>
        <v>1.0078966452687277</v>
      </c>
      <c r="N301" s="190">
        <v>278.18280000000158</v>
      </c>
      <c r="O301" s="189">
        <v>1.5</v>
      </c>
      <c r="P301" s="191">
        <v>3.3574172060916977E-3</v>
      </c>
      <c r="Q301" s="189">
        <v>2.02800000000002</v>
      </c>
      <c r="R301" s="191">
        <v>4.5392280626360207E-3</v>
      </c>
      <c r="S301" s="190">
        <v>159.90780000000157</v>
      </c>
      <c r="T301" s="189" t="s">
        <v>483</v>
      </c>
      <c r="U301" s="189" t="s">
        <v>416</v>
      </c>
      <c r="V301" s="189"/>
      <c r="W301" s="196">
        <v>1</v>
      </c>
      <c r="X301" s="189" t="s">
        <v>280</v>
      </c>
    </row>
    <row r="302" spans="2:24">
      <c r="B302" s="531"/>
      <c r="C302" s="531"/>
      <c r="D302" s="200">
        <v>196</v>
      </c>
      <c r="E302" s="189" t="s">
        <v>581</v>
      </c>
      <c r="F302" s="190">
        <v>116.78800000000001</v>
      </c>
      <c r="G302" s="189">
        <v>2.552</v>
      </c>
      <c r="H302" s="189">
        <v>3.1</v>
      </c>
      <c r="I302" s="201">
        <f t="shared" si="24"/>
        <v>1.2147335423197492</v>
      </c>
      <c r="J302" s="189">
        <v>0</v>
      </c>
      <c r="K302" s="201">
        <f t="shared" si="25"/>
        <v>0</v>
      </c>
      <c r="L302" s="190">
        <v>291.97000000000003</v>
      </c>
      <c r="M302" s="201">
        <f t="shared" si="26"/>
        <v>1.2147335423197492</v>
      </c>
      <c r="N302" s="190">
        <v>159.99956000000003</v>
      </c>
      <c r="O302" s="189">
        <v>0.4</v>
      </c>
      <c r="P302" s="191">
        <v>0.15673981191222572</v>
      </c>
      <c r="Q302" s="189">
        <v>0.14800000000000002</v>
      </c>
      <c r="R302" s="191">
        <v>5.7993730407523515E-2</v>
      </c>
      <c r="S302" s="190">
        <v>43.211560000000013</v>
      </c>
      <c r="T302" s="189" t="s">
        <v>514</v>
      </c>
      <c r="U302" s="189" t="s">
        <v>500</v>
      </c>
      <c r="V302" s="189"/>
      <c r="W302" s="196">
        <v>1</v>
      </c>
      <c r="X302" s="189" t="s">
        <v>241</v>
      </c>
    </row>
    <row r="303" spans="2:24">
      <c r="B303" s="531"/>
      <c r="C303" s="531"/>
      <c r="D303" s="200">
        <v>197</v>
      </c>
      <c r="E303" s="189" t="s">
        <v>409</v>
      </c>
      <c r="F303" s="190">
        <v>116.384</v>
      </c>
      <c r="G303" s="189">
        <v>26.353000000000002</v>
      </c>
      <c r="H303" s="189">
        <v>26.9</v>
      </c>
      <c r="I303" s="201">
        <f t="shared" si="24"/>
        <v>1.0207566500967631</v>
      </c>
      <c r="J303" s="189">
        <v>0</v>
      </c>
      <c r="K303" s="201">
        <f t="shared" si="25"/>
        <v>0</v>
      </c>
      <c r="L303" s="190">
        <v>581.91999999999996</v>
      </c>
      <c r="M303" s="201">
        <f t="shared" si="26"/>
        <v>1.0207566500967631</v>
      </c>
      <c r="N303" s="190">
        <v>318.31023999999826</v>
      </c>
      <c r="O303" s="189">
        <v>0.2</v>
      </c>
      <c r="P303" s="191">
        <v>7.5892687739536292E-3</v>
      </c>
      <c r="Q303" s="189">
        <v>0.34699999999999703</v>
      </c>
      <c r="R303" s="191">
        <v>1.3167381322809434E-2</v>
      </c>
      <c r="S303" s="190">
        <v>201.92623999999827</v>
      </c>
      <c r="T303" s="189" t="s">
        <v>483</v>
      </c>
      <c r="U303" s="189" t="s">
        <v>416</v>
      </c>
      <c r="V303" s="189"/>
      <c r="W303" s="196">
        <v>1</v>
      </c>
      <c r="X303" s="189" t="s">
        <v>277</v>
      </c>
    </row>
    <row r="304" spans="2:24">
      <c r="B304" s="531"/>
      <c r="C304" s="531"/>
      <c r="D304" s="200">
        <v>198</v>
      </c>
      <c r="E304" s="189" t="s">
        <v>560</v>
      </c>
      <c r="F304" s="190">
        <v>116.34000000000002</v>
      </c>
      <c r="G304" s="189">
        <v>28.576000000000001</v>
      </c>
      <c r="H304" s="189">
        <v>29.4</v>
      </c>
      <c r="I304" s="201">
        <f t="shared" si="24"/>
        <v>1.0288353863381858</v>
      </c>
      <c r="J304" s="189">
        <v>0</v>
      </c>
      <c r="K304" s="201">
        <f t="shared" si="25"/>
        <v>0</v>
      </c>
      <c r="L304" s="190">
        <v>290.85000000000002</v>
      </c>
      <c r="M304" s="201">
        <f t="shared" si="26"/>
        <v>1.0288353863381858</v>
      </c>
      <c r="N304" s="190">
        <v>239.66039999999947</v>
      </c>
      <c r="O304" s="189">
        <v>0.4</v>
      </c>
      <c r="P304" s="191">
        <v>1.3997760358342666E-2</v>
      </c>
      <c r="Q304" s="189">
        <v>0.42399999999999805</v>
      </c>
      <c r="R304" s="191">
        <v>1.4837625979843156E-2</v>
      </c>
      <c r="S304" s="190">
        <v>123.32039999999944</v>
      </c>
      <c r="T304" s="189" t="s">
        <v>483</v>
      </c>
      <c r="U304" s="189" t="s">
        <v>416</v>
      </c>
      <c r="V304" s="189"/>
      <c r="W304" s="196">
        <v>1</v>
      </c>
      <c r="X304" s="189" t="s">
        <v>220</v>
      </c>
    </row>
    <row r="305" spans="2:24">
      <c r="B305" s="531"/>
      <c r="C305" s="531"/>
      <c r="D305" s="200">
        <v>199</v>
      </c>
      <c r="E305" s="189" t="s">
        <v>523</v>
      </c>
      <c r="F305" s="190">
        <v>113.52000000000001</v>
      </c>
      <c r="G305" s="189">
        <v>103.402</v>
      </c>
      <c r="H305" s="189">
        <v>105.9</v>
      </c>
      <c r="I305" s="201">
        <f t="shared" si="24"/>
        <v>1.0241581400746602</v>
      </c>
      <c r="J305" s="189">
        <v>0</v>
      </c>
      <c r="K305" s="201">
        <f t="shared" si="25"/>
        <v>0</v>
      </c>
      <c r="L305" s="190">
        <v>70.95</v>
      </c>
      <c r="M305" s="201">
        <f t="shared" si="26"/>
        <v>1.0241581400746602</v>
      </c>
      <c r="N305" s="190">
        <v>177.23310000000035</v>
      </c>
      <c r="O305" s="189">
        <v>1.6</v>
      </c>
      <c r="P305" s="191">
        <v>1.547358851859732E-2</v>
      </c>
      <c r="Q305" s="189">
        <v>0.89800000000000457</v>
      </c>
      <c r="R305" s="191">
        <v>8.68455155606279E-3</v>
      </c>
      <c r="S305" s="190">
        <v>63.713100000000324</v>
      </c>
      <c r="T305" s="189" t="s">
        <v>483</v>
      </c>
      <c r="U305" s="189" t="s">
        <v>416</v>
      </c>
      <c r="V305" s="189"/>
      <c r="W305" s="196">
        <v>1</v>
      </c>
      <c r="X305" s="189" t="s">
        <v>287</v>
      </c>
    </row>
    <row r="306" spans="2:24">
      <c r="B306" s="531"/>
      <c r="C306" s="531"/>
      <c r="D306" s="200">
        <v>200</v>
      </c>
      <c r="E306" s="189" t="s">
        <v>582</v>
      </c>
      <c r="F306" s="190">
        <v>113.47199999999999</v>
      </c>
      <c r="G306" s="189">
        <v>58.46</v>
      </c>
      <c r="H306" s="189">
        <v>59.1</v>
      </c>
      <c r="I306" s="201">
        <f t="shared" si="24"/>
        <v>1.0109476565172768</v>
      </c>
      <c r="J306" s="189">
        <v>0</v>
      </c>
      <c r="K306" s="201">
        <f t="shared" si="25"/>
        <v>0</v>
      </c>
      <c r="L306" s="190">
        <v>378.24</v>
      </c>
      <c r="M306" s="201">
        <f t="shared" si="26"/>
        <v>1.0109476565172768</v>
      </c>
      <c r="N306" s="190">
        <v>242.07360000000023</v>
      </c>
      <c r="O306" s="189">
        <v>0.3</v>
      </c>
      <c r="P306" s="191">
        <v>5.1317139924734858E-3</v>
      </c>
      <c r="Q306" s="189">
        <v>0.34000000000000058</v>
      </c>
      <c r="R306" s="191">
        <v>5.8159425248032939E-3</v>
      </c>
      <c r="S306" s="190">
        <v>128.60160000000022</v>
      </c>
      <c r="T306" s="189" t="s">
        <v>483</v>
      </c>
      <c r="U306" s="189" t="s">
        <v>416</v>
      </c>
      <c r="V306" s="189"/>
      <c r="W306" s="196">
        <v>1</v>
      </c>
      <c r="X306" s="189" t="s">
        <v>232</v>
      </c>
    </row>
    <row r="307" spans="2:24">
      <c r="B307" s="534">
        <v>45900</v>
      </c>
      <c r="C307" s="531" t="s">
        <v>152</v>
      </c>
      <c r="D307" s="200">
        <v>201</v>
      </c>
      <c r="E307" s="189" t="s">
        <v>418</v>
      </c>
      <c r="F307" s="190">
        <v>204.024</v>
      </c>
      <c r="G307" s="189">
        <v>153.107</v>
      </c>
      <c r="H307" s="189">
        <v>153.9</v>
      </c>
      <c r="I307" s="201">
        <f t="shared" si="24"/>
        <v>1.0051793843521197</v>
      </c>
      <c r="J307" s="189">
        <v>0</v>
      </c>
      <c r="K307" s="201">
        <f t="shared" si="25"/>
        <v>0</v>
      </c>
      <c r="L307" s="190">
        <v>510.06</v>
      </c>
      <c r="M307" s="201">
        <f t="shared" si="26"/>
        <v>1.0051793843521197</v>
      </c>
      <c r="N307" s="190">
        <v>404.47758000000323</v>
      </c>
      <c r="O307" s="189">
        <v>0.4</v>
      </c>
      <c r="P307" s="191">
        <v>2.6125520061133717E-3</v>
      </c>
      <c r="Q307" s="189">
        <v>0.39300000000000634</v>
      </c>
      <c r="R307" s="191">
        <v>2.566832346006429E-3</v>
      </c>
      <c r="S307" s="190">
        <v>200.45358000000323</v>
      </c>
      <c r="T307" s="189" t="s">
        <v>483</v>
      </c>
      <c r="U307" s="189" t="s">
        <v>416</v>
      </c>
      <c r="V307" s="189"/>
      <c r="W307" s="196">
        <v>1</v>
      </c>
      <c r="X307" s="189" t="s">
        <v>417</v>
      </c>
    </row>
    <row r="308" spans="2:24">
      <c r="B308" s="535"/>
      <c r="C308" s="531"/>
      <c r="D308" s="200">
        <v>202</v>
      </c>
      <c r="E308" s="189" t="s">
        <v>422</v>
      </c>
      <c r="F308" s="190">
        <v>145.929</v>
      </c>
      <c r="G308" s="189">
        <v>77.77</v>
      </c>
      <c r="H308" s="189">
        <v>79</v>
      </c>
      <c r="I308" s="201">
        <f t="shared" si="24"/>
        <v>1.0158158673010158</v>
      </c>
      <c r="J308" s="189">
        <v>0</v>
      </c>
      <c r="K308" s="201">
        <f t="shared" si="25"/>
        <v>0</v>
      </c>
      <c r="L308" s="190">
        <v>208.47</v>
      </c>
      <c r="M308" s="201">
        <f t="shared" si="26"/>
        <v>1.0158158673010158</v>
      </c>
      <c r="N308" s="190">
        <v>256.41810000000083</v>
      </c>
      <c r="O308" s="189">
        <v>0.70000000000000007</v>
      </c>
      <c r="P308" s="191">
        <v>9.0009000900090029E-3</v>
      </c>
      <c r="Q308" s="189">
        <v>0.53000000000000391</v>
      </c>
      <c r="R308" s="191">
        <v>6.8149672110068655E-3</v>
      </c>
      <c r="S308" s="190">
        <v>110.48910000000082</v>
      </c>
      <c r="T308" s="189" t="s">
        <v>483</v>
      </c>
      <c r="U308" s="189" t="s">
        <v>416</v>
      </c>
      <c r="V308" s="189"/>
      <c r="W308" s="196">
        <v>1</v>
      </c>
      <c r="X308" s="189" t="s">
        <v>305</v>
      </c>
    </row>
    <row r="309" spans="2:24">
      <c r="B309" s="535"/>
      <c r="C309" s="531"/>
      <c r="D309" s="200">
        <v>203</v>
      </c>
      <c r="E309" s="189" t="s">
        <v>412</v>
      </c>
      <c r="F309" s="190">
        <v>145.04599999999999</v>
      </c>
      <c r="G309" s="189">
        <v>133.32</v>
      </c>
      <c r="H309" s="189">
        <v>136.1</v>
      </c>
      <c r="I309" s="201">
        <f t="shared" si="24"/>
        <v>1.0208520852085208</v>
      </c>
      <c r="J309" s="189">
        <v>0</v>
      </c>
      <c r="K309" s="201">
        <f t="shared" si="25"/>
        <v>0</v>
      </c>
      <c r="L309" s="190">
        <v>76.34</v>
      </c>
      <c r="M309" s="201">
        <f t="shared" si="26"/>
        <v>1.0208520852085208</v>
      </c>
      <c r="N309" s="190">
        <v>212.22520000000009</v>
      </c>
      <c r="O309" s="189">
        <v>1.9</v>
      </c>
      <c r="P309" s="191">
        <v>1.4251425142514252E-2</v>
      </c>
      <c r="Q309" s="189">
        <v>0.88000000000000123</v>
      </c>
      <c r="R309" s="191">
        <v>6.6006600660066103E-3</v>
      </c>
      <c r="S309" s="190">
        <v>67.179200000000094</v>
      </c>
      <c r="T309" s="189" t="s">
        <v>494</v>
      </c>
      <c r="U309" s="189" t="s">
        <v>500</v>
      </c>
      <c r="V309" s="189"/>
      <c r="W309" s="196">
        <v>1</v>
      </c>
      <c r="X309" s="189" t="s">
        <v>305</v>
      </c>
    </row>
    <row r="310" spans="2:24">
      <c r="B310" s="535"/>
      <c r="C310" s="531"/>
      <c r="D310" s="200">
        <v>204</v>
      </c>
      <c r="E310" s="189" t="s">
        <v>424</v>
      </c>
      <c r="F310" s="190">
        <v>140.42600000000002</v>
      </c>
      <c r="G310" s="189">
        <v>148.488</v>
      </c>
      <c r="H310" s="189">
        <v>150.1</v>
      </c>
      <c r="I310" s="201">
        <f t="shared" si="24"/>
        <v>1.0108560961155111</v>
      </c>
      <c r="J310" s="189">
        <v>0</v>
      </c>
      <c r="K310" s="201">
        <f t="shared" si="25"/>
        <v>0</v>
      </c>
      <c r="L310" s="190">
        <v>127.66</v>
      </c>
      <c r="M310" s="201">
        <f t="shared" si="26"/>
        <v>1.0108560961155111</v>
      </c>
      <c r="N310" s="190">
        <v>205.78791999999933</v>
      </c>
      <c r="O310" s="189">
        <v>1.1000000000000001</v>
      </c>
      <c r="P310" s="191">
        <v>7.4080060341576428E-3</v>
      </c>
      <c r="Q310" s="189">
        <v>0.51199999999999468</v>
      </c>
      <c r="R310" s="191">
        <v>3.4480900813533394E-3</v>
      </c>
      <c r="S310" s="190">
        <v>65.361919999999316</v>
      </c>
      <c r="T310" s="189" t="s">
        <v>483</v>
      </c>
      <c r="U310" s="189" t="s">
        <v>416</v>
      </c>
      <c r="V310" s="189"/>
      <c r="W310" s="196">
        <v>1</v>
      </c>
      <c r="X310" s="189" t="s">
        <v>417</v>
      </c>
    </row>
    <row r="311" spans="2:24">
      <c r="B311" s="535"/>
      <c r="C311" s="531"/>
      <c r="D311" s="200">
        <v>205</v>
      </c>
      <c r="E311" s="189" t="s">
        <v>414</v>
      </c>
      <c r="F311" s="190">
        <v>137.28</v>
      </c>
      <c r="G311" s="189">
        <v>95.19</v>
      </c>
      <c r="H311" s="189">
        <v>97.1</v>
      </c>
      <c r="I311" s="201">
        <f t="shared" si="24"/>
        <v>1.0200651328921104</v>
      </c>
      <c r="J311" s="189">
        <v>0</v>
      </c>
      <c r="K311" s="201">
        <f t="shared" si="25"/>
        <v>0</v>
      </c>
      <c r="L311" s="190">
        <v>114.4</v>
      </c>
      <c r="M311" s="201">
        <f t="shared" si="26"/>
        <v>1.0200651328921104</v>
      </c>
      <c r="N311" s="190">
        <v>218.50399999999962</v>
      </c>
      <c r="O311" s="189">
        <v>1.2</v>
      </c>
      <c r="P311" s="191">
        <v>1.2606366214938543E-2</v>
      </c>
      <c r="Q311" s="189">
        <v>0.70999999999999663</v>
      </c>
      <c r="R311" s="191">
        <v>7.4587666771719369E-3</v>
      </c>
      <c r="S311" s="190">
        <v>81.22399999999962</v>
      </c>
      <c r="T311" s="189" t="s">
        <v>494</v>
      </c>
      <c r="U311" s="189" t="s">
        <v>500</v>
      </c>
      <c r="V311" s="189"/>
      <c r="W311" s="196">
        <v>1</v>
      </c>
      <c r="X311" s="189" t="s">
        <v>287</v>
      </c>
    </row>
    <row r="312" spans="2:24">
      <c r="B312" s="535"/>
      <c r="C312" s="531"/>
      <c r="D312" s="200">
        <v>206</v>
      </c>
      <c r="E312" s="189" t="s">
        <v>429</v>
      </c>
      <c r="F312" s="190">
        <v>136.88999999999999</v>
      </c>
      <c r="G312" s="189">
        <v>312.274</v>
      </c>
      <c r="H312" s="189">
        <v>314.2</v>
      </c>
      <c r="I312" s="201">
        <f t="shared" si="24"/>
        <v>1.0061676604520389</v>
      </c>
      <c r="J312" s="189">
        <v>0</v>
      </c>
      <c r="K312" s="201">
        <f t="shared" si="25"/>
        <v>0</v>
      </c>
      <c r="L312" s="190">
        <v>136.88999999999999</v>
      </c>
      <c r="M312" s="201">
        <f t="shared" si="26"/>
        <v>1.0061676604520389</v>
      </c>
      <c r="N312" s="190">
        <v>263.65013999999832</v>
      </c>
      <c r="O312" s="189">
        <v>1</v>
      </c>
      <c r="P312" s="191">
        <v>3.2023159148696339E-3</v>
      </c>
      <c r="Q312" s="189">
        <v>0.92599999999998772</v>
      </c>
      <c r="R312" s="191">
        <v>2.9653445371692413E-3</v>
      </c>
      <c r="S312" s="190">
        <v>126.7601399999983</v>
      </c>
      <c r="T312" s="189" t="s">
        <v>486</v>
      </c>
      <c r="U312" s="189" t="s">
        <v>426</v>
      </c>
      <c r="V312" s="189"/>
      <c r="W312" s="196">
        <v>1</v>
      </c>
      <c r="X312" s="189" t="s">
        <v>417</v>
      </c>
    </row>
    <row r="313" spans="2:24">
      <c r="B313" s="535"/>
      <c r="C313" s="531"/>
      <c r="D313" s="200">
        <v>207</v>
      </c>
      <c r="E313" s="189" t="s">
        <v>431</v>
      </c>
      <c r="F313" s="190">
        <v>136.84</v>
      </c>
      <c r="G313" s="189">
        <v>44.274999999999999</v>
      </c>
      <c r="H313" s="189">
        <v>45.2</v>
      </c>
      <c r="I313" s="201">
        <f t="shared" si="24"/>
        <v>1.020892151326934</v>
      </c>
      <c r="J313" s="189">
        <v>0</v>
      </c>
      <c r="K313" s="201">
        <f t="shared" si="25"/>
        <v>0</v>
      </c>
      <c r="L313" s="190">
        <v>273.68</v>
      </c>
      <c r="M313" s="201">
        <f t="shared" si="26"/>
        <v>1.020892151326934</v>
      </c>
      <c r="N313" s="190">
        <v>253.15400000000116</v>
      </c>
      <c r="O313" s="189">
        <v>0.5</v>
      </c>
      <c r="P313" s="191">
        <v>1.1293054771315642E-2</v>
      </c>
      <c r="Q313" s="189">
        <v>0.42500000000000426</v>
      </c>
      <c r="R313" s="191">
        <v>9.5990965556183912E-3</v>
      </c>
      <c r="S313" s="190">
        <v>116.31400000000117</v>
      </c>
      <c r="T313" s="189" t="s">
        <v>486</v>
      </c>
      <c r="U313" s="189" t="s">
        <v>426</v>
      </c>
      <c r="V313" s="189"/>
      <c r="W313" s="196">
        <v>1</v>
      </c>
      <c r="X313" s="189" t="s">
        <v>273</v>
      </c>
    </row>
    <row r="314" spans="2:24">
      <c r="B314" s="535"/>
      <c r="C314" s="531"/>
      <c r="D314" s="200">
        <v>208</v>
      </c>
      <c r="E314" s="189" t="s">
        <v>525</v>
      </c>
      <c r="F314" s="190">
        <v>135.60000000000002</v>
      </c>
      <c r="G314" s="189">
        <v>216.99600000000001</v>
      </c>
      <c r="H314" s="189">
        <v>219.4</v>
      </c>
      <c r="I314" s="201">
        <f t="shared" si="24"/>
        <v>1.0110785452266402</v>
      </c>
      <c r="J314" s="189">
        <v>0</v>
      </c>
      <c r="K314" s="201">
        <f t="shared" si="25"/>
        <v>0</v>
      </c>
      <c r="L314" s="190">
        <v>90.4</v>
      </c>
      <c r="M314" s="201">
        <f t="shared" si="26"/>
        <v>1.0110785452266402</v>
      </c>
      <c r="N314" s="190">
        <v>217.32159999999968</v>
      </c>
      <c r="O314" s="189">
        <v>1.5</v>
      </c>
      <c r="P314" s="191">
        <v>6.9125698169551506E-3</v>
      </c>
      <c r="Q314" s="189">
        <v>0.90399999999999636</v>
      </c>
      <c r="R314" s="191">
        <v>4.1659754096849541E-3</v>
      </c>
      <c r="S314" s="190">
        <v>81.721599999999682</v>
      </c>
      <c r="T314" s="189" t="s">
        <v>494</v>
      </c>
      <c r="U314" s="189" t="s">
        <v>500</v>
      </c>
      <c r="V314" s="189"/>
      <c r="W314" s="196">
        <v>1</v>
      </c>
      <c r="X314" s="189" t="s">
        <v>279</v>
      </c>
    </row>
    <row r="315" spans="2:24">
      <c r="B315" s="535"/>
      <c r="C315" s="531"/>
      <c r="D315" s="200">
        <v>209</v>
      </c>
      <c r="E315" s="189" t="s">
        <v>565</v>
      </c>
      <c r="F315" s="190">
        <v>135.48800000000003</v>
      </c>
      <c r="G315" s="189">
        <v>50.777999999999999</v>
      </c>
      <c r="H315" s="189">
        <v>52.2</v>
      </c>
      <c r="I315" s="201">
        <f t="shared" si="24"/>
        <v>1.0280042538107055</v>
      </c>
      <c r="J315" s="189">
        <v>0</v>
      </c>
      <c r="K315" s="201">
        <f t="shared" si="25"/>
        <v>0</v>
      </c>
      <c r="L315" s="190">
        <v>169.36</v>
      </c>
      <c r="M315" s="201">
        <f t="shared" si="26"/>
        <v>1.0280042538107055</v>
      </c>
      <c r="N315" s="190">
        <v>240.82992000000073</v>
      </c>
      <c r="O315" s="189">
        <v>0.8</v>
      </c>
      <c r="P315" s="191">
        <v>1.5754854464531884E-2</v>
      </c>
      <c r="Q315" s="189">
        <v>0.62200000000000411</v>
      </c>
      <c r="R315" s="191">
        <v>1.224939934617362E-2</v>
      </c>
      <c r="S315" s="190">
        <v>105.3419200000007</v>
      </c>
      <c r="T315" s="189" t="s">
        <v>494</v>
      </c>
      <c r="U315" s="189" t="s">
        <v>500</v>
      </c>
      <c r="V315" s="189"/>
      <c r="W315" s="196">
        <v>1</v>
      </c>
      <c r="X315" s="189" t="s">
        <v>417</v>
      </c>
    </row>
    <row r="316" spans="2:24">
      <c r="B316" s="535"/>
      <c r="C316" s="531"/>
      <c r="D316" s="200">
        <v>210</v>
      </c>
      <c r="E316" s="189" t="s">
        <v>440</v>
      </c>
      <c r="F316" s="190">
        <v>133.464</v>
      </c>
      <c r="G316" s="189">
        <v>28.655999999999999</v>
      </c>
      <c r="H316" s="189">
        <v>29.2</v>
      </c>
      <c r="I316" s="201">
        <f t="shared" si="24"/>
        <v>1.0189838079285316</v>
      </c>
      <c r="J316" s="189">
        <v>0</v>
      </c>
      <c r="K316" s="201">
        <f t="shared" si="25"/>
        <v>0</v>
      </c>
      <c r="L316" s="190">
        <v>444.88</v>
      </c>
      <c r="M316" s="201">
        <f t="shared" si="26"/>
        <v>1.0189838079285316</v>
      </c>
      <c r="N316" s="190">
        <v>242.01472000000021</v>
      </c>
      <c r="O316" s="189">
        <v>0.3</v>
      </c>
      <c r="P316" s="191">
        <v>1.0469011725293133E-2</v>
      </c>
      <c r="Q316" s="189">
        <v>0.24400000000000049</v>
      </c>
      <c r="R316" s="191">
        <v>8.5147962032384311E-3</v>
      </c>
      <c r="S316" s="190">
        <v>108.55072000000023</v>
      </c>
      <c r="T316" s="189" t="s">
        <v>483</v>
      </c>
      <c r="U316" s="189" t="s">
        <v>416</v>
      </c>
      <c r="V316" s="189"/>
      <c r="W316" s="196">
        <v>1</v>
      </c>
      <c r="X316" s="189" t="s">
        <v>286</v>
      </c>
    </row>
    <row r="317" spans="2:24">
      <c r="C317" s="532"/>
    </row>
    <row r="318" spans="2:24">
      <c r="C318" s="532"/>
    </row>
    <row r="319" spans="2:24">
      <c r="C319" s="532"/>
    </row>
    <row r="320" spans="2:24">
      <c r="C320" s="532"/>
    </row>
    <row r="321" spans="3:3">
      <c r="C321" s="532"/>
    </row>
    <row r="322" spans="3:3">
      <c r="C322" s="532"/>
    </row>
    <row r="323" spans="3:3">
      <c r="C323" s="532"/>
    </row>
    <row r="324" spans="3:3">
      <c r="C324" s="532"/>
    </row>
    <row r="325" spans="3:3">
      <c r="C325" s="532"/>
    </row>
    <row r="326" spans="3:3">
      <c r="C326" s="532"/>
    </row>
  </sheetData>
  <mergeCells count="82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317:C326"/>
    <mergeCell ref="C267:C276"/>
    <mergeCell ref="C277:C286"/>
    <mergeCell ref="C287:C296"/>
    <mergeCell ref="C297:C306"/>
    <mergeCell ref="C307:C316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H326"/>
  <sheetViews>
    <sheetView zoomScale="70" zoomScaleNormal="70" workbookViewId="0">
      <pane xSplit="4" ySplit="6" topLeftCell="E193" activePane="bottomRight" state="frozen"/>
      <selection pane="bottomRight" activeCell="R252" sqref="R252"/>
      <selection pane="bottomLeft" activeCell="Z121" sqref="Z121"/>
      <selection pane="topRight" activeCell="Z121" sqref="Z121"/>
    </sheetView>
  </sheetViews>
  <sheetFormatPr defaultColWidth="8.85546875" defaultRowHeight="14.25"/>
  <cols>
    <col min="1" max="1" width="8.85546875" style="187"/>
    <col min="2" max="2" width="12.42578125" style="187" customWidth="1"/>
    <col min="3" max="3" width="8.85546875" style="187"/>
    <col min="4" max="4" width="6.85546875" style="187" customWidth="1"/>
    <col min="5" max="5" width="27" style="187" customWidth="1"/>
    <col min="6" max="6" width="22.5703125" style="187" customWidth="1"/>
    <col min="7" max="7" width="14.140625" style="187" customWidth="1"/>
    <col min="8" max="8" width="14" style="187" customWidth="1"/>
    <col min="9" max="9" width="16.85546875" style="187" customWidth="1"/>
    <col min="10" max="12" width="14" style="187" customWidth="1"/>
    <col min="13" max="13" width="19.42578125" style="187" customWidth="1"/>
    <col min="14" max="18" width="14" style="187" customWidth="1"/>
    <col min="19" max="19" width="8.85546875" style="187"/>
    <col min="20" max="20" width="10.140625" style="187" customWidth="1"/>
    <col min="21" max="21" width="15.5703125" style="187" customWidth="1"/>
    <col min="22" max="22" width="15.5703125" style="187" bestFit="1" customWidth="1"/>
    <col min="23" max="23" width="7.42578125" style="187" bestFit="1" customWidth="1"/>
    <col min="24" max="24" width="32.5703125" style="187" bestFit="1" customWidth="1"/>
    <col min="25" max="25" width="8.85546875" style="187"/>
    <col min="26" max="27" width="21.5703125" style="187" customWidth="1"/>
    <col min="28" max="33" width="14.42578125" style="187" customWidth="1"/>
    <col min="34" max="34" width="11.42578125" style="187" bestFit="1" customWidth="1"/>
    <col min="35" max="16384" width="8.85546875" style="187"/>
  </cols>
  <sheetData>
    <row r="2" spans="2:34" ht="41.1" customHeight="1">
      <c r="B2" s="537" t="s">
        <v>583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Z2" s="188"/>
      <c r="AA2" s="188"/>
    </row>
    <row r="3" spans="2:34" ht="17.100000000000001" customHeight="1">
      <c r="B3" s="539" t="s">
        <v>145</v>
      </c>
      <c r="C3" s="540"/>
      <c r="D3" s="536" t="s">
        <v>447</v>
      </c>
      <c r="E3" s="536"/>
      <c r="F3" s="536"/>
      <c r="G3" s="536" t="s">
        <v>448</v>
      </c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6"/>
      <c r="T3" s="536" t="s">
        <v>449</v>
      </c>
      <c r="U3" s="545" t="s">
        <v>450</v>
      </c>
      <c r="V3" s="548" t="s">
        <v>451</v>
      </c>
      <c r="W3" s="548" t="s">
        <v>452</v>
      </c>
      <c r="X3" s="551" t="s">
        <v>453</v>
      </c>
      <c r="Z3" s="536" t="s">
        <v>454</v>
      </c>
      <c r="AA3" s="536"/>
      <c r="AB3" s="536"/>
      <c r="AC3" s="536"/>
      <c r="AD3" s="536"/>
      <c r="AE3" s="536"/>
      <c r="AF3" s="536"/>
      <c r="AG3" s="536"/>
      <c r="AH3" s="536"/>
    </row>
    <row r="4" spans="2:34" ht="17.100000000000001" customHeight="1">
      <c r="B4" s="541"/>
      <c r="C4" s="542"/>
      <c r="D4" s="552" t="s">
        <v>455</v>
      </c>
      <c r="E4" s="536" t="s">
        <v>456</v>
      </c>
      <c r="F4" s="536"/>
      <c r="G4" s="536" t="s">
        <v>457</v>
      </c>
      <c r="H4" s="536"/>
      <c r="I4" s="536"/>
      <c r="J4" s="536"/>
      <c r="K4" s="536"/>
      <c r="L4" s="536"/>
      <c r="M4" s="536"/>
      <c r="N4" s="536"/>
      <c r="O4" s="536" t="s">
        <v>458</v>
      </c>
      <c r="P4" s="536"/>
      <c r="Q4" s="536"/>
      <c r="R4" s="536"/>
      <c r="S4" s="536"/>
      <c r="T4" s="536"/>
      <c r="U4" s="546"/>
      <c r="V4" s="549"/>
      <c r="W4" s="549"/>
      <c r="X4" s="551"/>
      <c r="Z4" s="536"/>
      <c r="AA4" s="536"/>
      <c r="AB4" s="536"/>
      <c r="AC4" s="536"/>
      <c r="AD4" s="536"/>
      <c r="AE4" s="536"/>
      <c r="AF4" s="536"/>
      <c r="AG4" s="536"/>
      <c r="AH4" s="536"/>
    </row>
    <row r="5" spans="2:34" ht="17.100000000000001" customHeight="1">
      <c r="B5" s="541"/>
      <c r="C5" s="542"/>
      <c r="D5" s="552"/>
      <c r="E5" s="552" t="s">
        <v>459</v>
      </c>
      <c r="F5" s="551" t="s">
        <v>460</v>
      </c>
      <c r="G5" s="553" t="s">
        <v>461</v>
      </c>
      <c r="H5" s="553"/>
      <c r="I5" s="553"/>
      <c r="J5" s="553"/>
      <c r="K5" s="553"/>
      <c r="L5" s="553"/>
      <c r="M5" s="553"/>
      <c r="N5" s="553"/>
      <c r="O5" s="554" t="s">
        <v>462</v>
      </c>
      <c r="P5" s="555"/>
      <c r="Q5" s="556"/>
      <c r="R5" s="553" t="s">
        <v>463</v>
      </c>
      <c r="S5" s="553"/>
      <c r="T5" s="536"/>
      <c r="U5" s="546"/>
      <c r="V5" s="549"/>
      <c r="W5" s="549"/>
      <c r="X5" s="551"/>
      <c r="Z5" s="536"/>
      <c r="AA5" s="536"/>
      <c r="AB5" s="536"/>
      <c r="AC5" s="536"/>
      <c r="AD5" s="536"/>
      <c r="AE5" s="536"/>
      <c r="AF5" s="536"/>
      <c r="AG5" s="536"/>
      <c r="AH5" s="536"/>
    </row>
    <row r="6" spans="2:34" ht="38.450000000000003" customHeight="1">
      <c r="B6" s="543"/>
      <c r="C6" s="544"/>
      <c r="D6" s="552"/>
      <c r="E6" s="552"/>
      <c r="F6" s="551"/>
      <c r="G6" s="198" t="s">
        <v>464</v>
      </c>
      <c r="H6" s="198" t="s">
        <v>465</v>
      </c>
      <c r="I6" s="198" t="s">
        <v>466</v>
      </c>
      <c r="J6" s="198" t="s">
        <v>467</v>
      </c>
      <c r="K6" s="198" t="s">
        <v>468</v>
      </c>
      <c r="L6" s="198" t="s">
        <v>469</v>
      </c>
      <c r="M6" s="198" t="s">
        <v>470</v>
      </c>
      <c r="N6" s="198" t="s">
        <v>471</v>
      </c>
      <c r="O6" s="199" t="s">
        <v>472</v>
      </c>
      <c r="P6" s="199" t="s">
        <v>473</v>
      </c>
      <c r="Q6" s="198" t="s">
        <v>474</v>
      </c>
      <c r="R6" s="199" t="s">
        <v>472</v>
      </c>
      <c r="S6" s="199" t="s">
        <v>473</v>
      </c>
      <c r="T6" s="536"/>
      <c r="U6" s="547"/>
      <c r="V6" s="550"/>
      <c r="W6" s="550"/>
      <c r="X6" s="551"/>
      <c r="Z6" s="225" t="s">
        <v>475</v>
      </c>
      <c r="AA6" s="225" t="s">
        <v>476</v>
      </c>
      <c r="AB6" s="213" t="s">
        <v>477</v>
      </c>
      <c r="AC6" s="213" t="s">
        <v>408</v>
      </c>
      <c r="AD6" s="213" t="s">
        <v>478</v>
      </c>
      <c r="AE6" s="213" t="s">
        <v>479</v>
      </c>
      <c r="AF6" s="213" t="s">
        <v>480</v>
      </c>
      <c r="AG6" s="213" t="s">
        <v>442</v>
      </c>
      <c r="AH6" s="213" t="s">
        <v>481</v>
      </c>
    </row>
    <row r="7" spans="2:34">
      <c r="B7" s="533">
        <v>45870</v>
      </c>
      <c r="C7" s="531" t="s">
        <v>156</v>
      </c>
      <c r="D7" s="200">
        <v>1</v>
      </c>
      <c r="E7" s="189" t="s">
        <v>418</v>
      </c>
      <c r="F7" s="195">
        <v>238.7080799999996</v>
      </c>
      <c r="G7" s="258">
        <v>46.131999999999998</v>
      </c>
      <c r="H7" s="258">
        <v>46.3</v>
      </c>
      <c r="I7" s="201">
        <f>H7/G7</f>
        <v>1.0036417237492412</v>
      </c>
      <c r="J7" s="258">
        <v>0.5</v>
      </c>
      <c r="K7" s="201">
        <f>J7/G7</f>
        <v>1.0838463539408654E-2</v>
      </c>
      <c r="L7" s="195">
        <v>510.06</v>
      </c>
      <c r="M7" s="201">
        <f>(H7+J7)/G7</f>
        <v>1.01448018728865</v>
      </c>
      <c r="N7" s="195">
        <v>340.7200799999996</v>
      </c>
      <c r="O7" s="258">
        <v>0.2</v>
      </c>
      <c r="P7" s="197">
        <v>4.3353854157634616E-3</v>
      </c>
      <c r="Q7" s="249">
        <v>102.012</v>
      </c>
      <c r="R7" s="258">
        <v>0.46799999999999925</v>
      </c>
      <c r="S7" s="197">
        <v>1.0144801872886484E-2</v>
      </c>
      <c r="T7" s="196" t="s">
        <v>486</v>
      </c>
      <c r="U7" s="196" t="s">
        <v>435</v>
      </c>
      <c r="V7" s="196"/>
      <c r="W7" s="196">
        <v>1</v>
      </c>
      <c r="X7" s="196" t="s">
        <v>261</v>
      </c>
      <c r="Y7" s="192" t="s">
        <v>484</v>
      </c>
      <c r="Z7" s="222">
        <f>SUM(W7:W46)</f>
        <v>40</v>
      </c>
      <c r="AA7" s="221">
        <f ca="1">SUMIF($U$7:$U$10000,TRIM(AA6),$W$7:$W$46)</f>
        <v>1</v>
      </c>
      <c r="AB7" s="221">
        <f ca="1">SUMIF($U$7:$U$10000,TRIM(AB6),$W$7:$W$46)</f>
        <v>17</v>
      </c>
      <c r="AC7" s="221">
        <f t="shared" ref="AC7:AH7" ca="1" si="0">SUMIF($U$7:$U$10000,TRIM(AC6),$W$7:$W$46)</f>
        <v>15</v>
      </c>
      <c r="AD7" s="221">
        <f t="shared" ca="1" si="0"/>
        <v>72</v>
      </c>
      <c r="AE7" s="221">
        <f t="shared" ca="1" si="0"/>
        <v>132</v>
      </c>
      <c r="AF7" s="221">
        <f t="shared" ca="1" si="0"/>
        <v>52</v>
      </c>
      <c r="AG7" s="221">
        <f t="shared" ca="1" si="0"/>
        <v>16</v>
      </c>
      <c r="AH7" s="221">
        <f t="shared" ca="1" si="0"/>
        <v>0</v>
      </c>
    </row>
    <row r="8" spans="2:34">
      <c r="B8" s="531"/>
      <c r="C8" s="531"/>
      <c r="D8" s="200">
        <v>2</v>
      </c>
      <c r="E8" s="189" t="s">
        <v>584</v>
      </c>
      <c r="F8" s="195">
        <v>223.66830000000007</v>
      </c>
      <c r="G8" s="258">
        <v>1.365</v>
      </c>
      <c r="H8" s="258">
        <v>1.2</v>
      </c>
      <c r="I8" s="201">
        <f t="shared" ref="I8:I71" si="1">H8/G8</f>
        <v>0.87912087912087911</v>
      </c>
      <c r="J8" s="258">
        <v>0.4</v>
      </c>
      <c r="K8" s="201">
        <f t="shared" ref="K8:K71" si="2">J8/G8</f>
        <v>0.29304029304029305</v>
      </c>
      <c r="L8" s="195">
        <v>951.78</v>
      </c>
      <c r="M8" s="201">
        <f t="shared" ref="M8:M71" si="3">(H8+J8)/G8</f>
        <v>1.1721611721611722</v>
      </c>
      <c r="N8" s="195">
        <v>223.66830000000007</v>
      </c>
      <c r="O8" s="258">
        <v>0</v>
      </c>
      <c r="P8" s="197">
        <v>0</v>
      </c>
      <c r="Q8" s="249">
        <v>0</v>
      </c>
      <c r="R8" s="258">
        <v>0.2350000000000001</v>
      </c>
      <c r="S8" s="197">
        <v>0.17216117216117224</v>
      </c>
      <c r="T8" s="196" t="s">
        <v>494</v>
      </c>
      <c r="U8" s="196" t="s">
        <v>495</v>
      </c>
      <c r="V8" s="196"/>
      <c r="W8" s="196">
        <v>1</v>
      </c>
      <c r="X8" s="196" t="s">
        <v>312</v>
      </c>
      <c r="Y8" s="192"/>
      <c r="Z8" s="222"/>
      <c r="AA8" s="224">
        <f t="shared" ref="AA8:AH8" si="4">SUMIF($U$7:$U$46,TRIM(AA6),$F$7:$F$46)</f>
        <v>0</v>
      </c>
      <c r="AB8" s="224">
        <f t="shared" si="4"/>
        <v>1010.4893800000009</v>
      </c>
      <c r="AC8" s="224">
        <f t="shared" si="4"/>
        <v>350.80799999999988</v>
      </c>
      <c r="AD8" s="224">
        <f t="shared" si="4"/>
        <v>1973.6709514520355</v>
      </c>
      <c r="AE8" s="224">
        <f t="shared" si="4"/>
        <v>2822.4822652804892</v>
      </c>
      <c r="AF8" s="224">
        <f t="shared" si="4"/>
        <v>415.10627999999923</v>
      </c>
      <c r="AG8" s="224">
        <f t="shared" si="4"/>
        <v>641.31750000000125</v>
      </c>
      <c r="AH8" s="224">
        <f t="shared" si="4"/>
        <v>0</v>
      </c>
    </row>
    <row r="9" spans="2:34">
      <c r="B9" s="531"/>
      <c r="C9" s="531"/>
      <c r="D9" s="200">
        <v>3</v>
      </c>
      <c r="E9" s="189" t="s">
        <v>482</v>
      </c>
      <c r="F9" s="195">
        <v>220.92084000000028</v>
      </c>
      <c r="G9" s="258">
        <v>6.0389999999999997</v>
      </c>
      <c r="H9" s="258">
        <v>6.5</v>
      </c>
      <c r="I9" s="201">
        <f t="shared" si="1"/>
        <v>1.0763371419109125</v>
      </c>
      <c r="J9" s="258">
        <v>0</v>
      </c>
      <c r="K9" s="201">
        <f t="shared" si="2"/>
        <v>0</v>
      </c>
      <c r="L9" s="195">
        <v>846.44</v>
      </c>
      <c r="M9" s="201">
        <f t="shared" si="3"/>
        <v>1.0763371419109125</v>
      </c>
      <c r="N9" s="195">
        <v>390.20884000000029</v>
      </c>
      <c r="O9" s="258">
        <v>0.2</v>
      </c>
      <c r="P9" s="197">
        <v>3.3118065904951158E-2</v>
      </c>
      <c r="Q9" s="249">
        <v>169.28800000000001</v>
      </c>
      <c r="R9" s="258">
        <v>0.26100000000000029</v>
      </c>
      <c r="S9" s="197">
        <v>4.3219076005961303E-2</v>
      </c>
      <c r="T9" s="196" t="s">
        <v>494</v>
      </c>
      <c r="U9" s="196" t="s">
        <v>495</v>
      </c>
      <c r="V9" s="196"/>
      <c r="W9" s="196">
        <v>1</v>
      </c>
      <c r="X9" s="196" t="s">
        <v>270</v>
      </c>
      <c r="Y9" s="192"/>
      <c r="Z9" s="222">
        <f>SUM(W47:W116)</f>
        <v>70</v>
      </c>
      <c r="AA9" s="221">
        <f t="shared" ref="AA9:AH9" si="5">SUMIF($U$47:$U$116,TRIM(AA6),$W$47:$W$116)</f>
        <v>0</v>
      </c>
      <c r="AB9" s="221">
        <f t="shared" si="5"/>
        <v>5</v>
      </c>
      <c r="AC9" s="221">
        <f t="shared" si="5"/>
        <v>2</v>
      </c>
      <c r="AD9" s="221">
        <f t="shared" si="5"/>
        <v>26</v>
      </c>
      <c r="AE9" s="221">
        <f t="shared" si="5"/>
        <v>31</v>
      </c>
      <c r="AF9" s="221">
        <f t="shared" si="5"/>
        <v>0</v>
      </c>
      <c r="AG9" s="221">
        <f t="shared" si="5"/>
        <v>4</v>
      </c>
      <c r="AH9" s="221">
        <f t="shared" si="5"/>
        <v>0</v>
      </c>
    </row>
    <row r="10" spans="2:34">
      <c r="B10" s="531"/>
      <c r="C10" s="531"/>
      <c r="D10" s="200">
        <v>4</v>
      </c>
      <c r="E10" s="189" t="s">
        <v>541</v>
      </c>
      <c r="F10" s="195">
        <v>182.96709000000129</v>
      </c>
      <c r="G10" s="258">
        <v>100.607</v>
      </c>
      <c r="H10" s="258">
        <v>99.8</v>
      </c>
      <c r="I10" s="201">
        <f t="shared" si="1"/>
        <v>0.9919786893556114</v>
      </c>
      <c r="J10" s="258">
        <v>1.4</v>
      </c>
      <c r="K10" s="201">
        <f t="shared" si="2"/>
        <v>1.3915532716411383E-2</v>
      </c>
      <c r="L10" s="195">
        <v>371.13</v>
      </c>
      <c r="M10" s="201">
        <f t="shared" si="3"/>
        <v>1.0058942220720228</v>
      </c>
      <c r="N10" s="195">
        <v>220.08009000000129</v>
      </c>
      <c r="O10" s="258">
        <v>0.1</v>
      </c>
      <c r="P10" s="197">
        <v>9.9396662260081313E-4</v>
      </c>
      <c r="Q10" s="249">
        <v>37.113</v>
      </c>
      <c r="R10" s="258">
        <v>0.49300000000000355</v>
      </c>
      <c r="S10" s="197">
        <v>4.9002554494220439E-3</v>
      </c>
      <c r="T10" s="196" t="s">
        <v>483</v>
      </c>
      <c r="U10" s="196" t="s">
        <v>416</v>
      </c>
      <c r="V10" s="196"/>
      <c r="W10" s="196">
        <v>1</v>
      </c>
      <c r="X10" s="196" t="s">
        <v>417</v>
      </c>
      <c r="Y10" s="192" t="s">
        <v>488</v>
      </c>
      <c r="Z10" s="221"/>
      <c r="AA10" s="224">
        <f t="shared" ref="AA10:AH10" si="6">SUMIF($U$47:$U$116,TRIM(AA6),$F$47:$F$116)</f>
        <v>0</v>
      </c>
      <c r="AB10" s="224">
        <f t="shared" si="6"/>
        <v>1115.5135999999998</v>
      </c>
      <c r="AC10" s="224">
        <f t="shared" si="6"/>
        <v>483.13799999999935</v>
      </c>
      <c r="AD10" s="224">
        <f t="shared" si="6"/>
        <v>5296.9932699999954</v>
      </c>
      <c r="AE10" s="224">
        <f t="shared" si="6"/>
        <v>6692.5343200000107</v>
      </c>
      <c r="AF10" s="224">
        <f t="shared" si="6"/>
        <v>0</v>
      </c>
      <c r="AG10" s="224">
        <f t="shared" si="6"/>
        <v>1247.0399599999996</v>
      </c>
      <c r="AH10" s="224">
        <f t="shared" si="6"/>
        <v>0</v>
      </c>
    </row>
    <row r="11" spans="2:34">
      <c r="B11" s="531"/>
      <c r="C11" s="531"/>
      <c r="D11" s="200">
        <v>5</v>
      </c>
      <c r="E11" s="189" t="s">
        <v>497</v>
      </c>
      <c r="F11" s="195">
        <v>176.39819999999963</v>
      </c>
      <c r="G11" s="258">
        <v>12.67</v>
      </c>
      <c r="H11" s="258">
        <v>13.2</v>
      </c>
      <c r="I11" s="201">
        <f t="shared" si="1"/>
        <v>1.0418310970797158</v>
      </c>
      <c r="J11" s="258">
        <v>0</v>
      </c>
      <c r="K11" s="201">
        <f t="shared" si="2"/>
        <v>0</v>
      </c>
      <c r="L11" s="195">
        <v>534.54</v>
      </c>
      <c r="M11" s="201">
        <f t="shared" si="3"/>
        <v>1.0418310970797158</v>
      </c>
      <c r="N11" s="195">
        <v>283.30619999999965</v>
      </c>
      <c r="O11" s="258">
        <v>0.2</v>
      </c>
      <c r="P11" s="197">
        <v>1.5785319652722968E-2</v>
      </c>
      <c r="Q11" s="249">
        <v>106.908</v>
      </c>
      <c r="R11" s="258">
        <v>0.32999999999999935</v>
      </c>
      <c r="S11" s="197">
        <v>2.6045777426992846E-2</v>
      </c>
      <c r="T11" s="196" t="s">
        <v>486</v>
      </c>
      <c r="U11" s="196" t="s">
        <v>435</v>
      </c>
      <c r="V11" s="196"/>
      <c r="W11" s="196">
        <v>1</v>
      </c>
      <c r="X11" s="196" t="s">
        <v>294</v>
      </c>
      <c r="Y11" s="192"/>
      <c r="Z11" s="221"/>
      <c r="AA11" s="222"/>
      <c r="AB11" s="222"/>
      <c r="AC11" s="221"/>
      <c r="AD11" s="221"/>
      <c r="AE11" s="221"/>
      <c r="AF11" s="221"/>
      <c r="AG11" s="221"/>
      <c r="AH11" s="221"/>
    </row>
    <row r="12" spans="2:34">
      <c r="B12" s="531"/>
      <c r="C12" s="531"/>
      <c r="D12" s="200">
        <v>6</v>
      </c>
      <c r="E12" s="189" t="s">
        <v>585</v>
      </c>
      <c r="F12" s="195">
        <v>166.94279999999969</v>
      </c>
      <c r="G12" s="258">
        <v>6.7839999999999998</v>
      </c>
      <c r="H12" s="258">
        <v>7.1999999999999993</v>
      </c>
      <c r="I12" s="201">
        <f t="shared" si="1"/>
        <v>1.061320754716981</v>
      </c>
      <c r="J12" s="258">
        <v>0</v>
      </c>
      <c r="K12" s="201">
        <f t="shared" si="2"/>
        <v>0</v>
      </c>
      <c r="L12" s="195">
        <v>528.29999999999995</v>
      </c>
      <c r="M12" s="201">
        <f t="shared" si="3"/>
        <v>1.061320754716981</v>
      </c>
      <c r="N12" s="195">
        <v>219.77279999999971</v>
      </c>
      <c r="O12" s="258">
        <v>0.1</v>
      </c>
      <c r="P12" s="197">
        <v>1.4740566037735851E-2</v>
      </c>
      <c r="Q12" s="249">
        <v>52.83</v>
      </c>
      <c r="R12" s="258">
        <v>0.3159999999999995</v>
      </c>
      <c r="S12" s="197">
        <v>4.658018867924521E-2</v>
      </c>
      <c r="T12" s="196" t="s">
        <v>483</v>
      </c>
      <c r="U12" s="196" t="s">
        <v>416</v>
      </c>
      <c r="V12" s="196"/>
      <c r="W12" s="196">
        <v>1</v>
      </c>
      <c r="X12" s="196" t="s">
        <v>417</v>
      </c>
      <c r="Y12" s="192"/>
      <c r="Z12" s="222">
        <f>SUM(W117:W186)</f>
        <v>70</v>
      </c>
      <c r="AA12" s="221">
        <f t="shared" ref="AA12:AH12" si="7">SUMIF($U$117:$U$186,TRIM(AA6),$W$117:$W$186)</f>
        <v>1</v>
      </c>
      <c r="AB12" s="221">
        <f t="shared" si="7"/>
        <v>3</v>
      </c>
      <c r="AC12" s="221">
        <f t="shared" si="7"/>
        <v>4</v>
      </c>
      <c r="AD12" s="221">
        <f t="shared" si="7"/>
        <v>15</v>
      </c>
      <c r="AE12" s="221">
        <f t="shared" si="7"/>
        <v>34</v>
      </c>
      <c r="AF12" s="221">
        <f t="shared" si="7"/>
        <v>7</v>
      </c>
      <c r="AG12" s="221">
        <f t="shared" si="7"/>
        <v>6</v>
      </c>
      <c r="AH12" s="221">
        <f t="shared" si="7"/>
        <v>0</v>
      </c>
    </row>
    <row r="13" spans="2:34">
      <c r="B13" s="531"/>
      <c r="C13" s="531"/>
      <c r="D13" s="200">
        <v>7</v>
      </c>
      <c r="E13" s="189" t="s">
        <v>409</v>
      </c>
      <c r="F13" s="195">
        <v>165.26527999999894</v>
      </c>
      <c r="G13" s="258">
        <v>25.916</v>
      </c>
      <c r="H13" s="258">
        <v>26.4</v>
      </c>
      <c r="I13" s="201">
        <f t="shared" si="1"/>
        <v>1.0186757215619693</v>
      </c>
      <c r="J13" s="258">
        <v>0</v>
      </c>
      <c r="K13" s="201">
        <f t="shared" si="2"/>
        <v>0</v>
      </c>
      <c r="L13" s="195">
        <v>581.91999999999996</v>
      </c>
      <c r="M13" s="201">
        <f t="shared" si="3"/>
        <v>1.0186757215619693</v>
      </c>
      <c r="N13" s="195">
        <v>281.64927999999895</v>
      </c>
      <c r="O13" s="258">
        <v>0.2</v>
      </c>
      <c r="P13" s="197">
        <v>7.7172403148634055E-3</v>
      </c>
      <c r="Q13" s="249">
        <v>116.384</v>
      </c>
      <c r="R13" s="258">
        <v>0.2839999999999982</v>
      </c>
      <c r="S13" s="197">
        <v>1.0958481247105965E-2</v>
      </c>
      <c r="T13" s="196" t="s">
        <v>486</v>
      </c>
      <c r="U13" s="196" t="s">
        <v>426</v>
      </c>
      <c r="V13" s="196"/>
      <c r="W13" s="196">
        <v>1</v>
      </c>
      <c r="X13" s="196" t="s">
        <v>277</v>
      </c>
      <c r="Y13" s="192" t="s">
        <v>492</v>
      </c>
      <c r="Z13" s="221"/>
      <c r="AA13" s="224">
        <f t="shared" ref="AA13:AH13" si="8">SUMIF($U$117:$U$186,TRIM(AA6),$F$117:$F$186)</f>
        <v>172.15560000000002</v>
      </c>
      <c r="AB13" s="224">
        <f t="shared" si="8"/>
        <v>644.21809999999959</v>
      </c>
      <c r="AC13" s="224">
        <f t="shared" si="8"/>
        <v>874.41625999999883</v>
      </c>
      <c r="AD13" s="224">
        <f t="shared" si="8"/>
        <v>3059.7451552474977</v>
      </c>
      <c r="AE13" s="224">
        <f t="shared" si="8"/>
        <v>10050.147089999993</v>
      </c>
      <c r="AF13" s="224">
        <f t="shared" si="8"/>
        <v>2190.4281100000026</v>
      </c>
      <c r="AG13" s="224">
        <f t="shared" si="8"/>
        <v>1689.3357000000103</v>
      </c>
      <c r="AH13" s="224">
        <f t="shared" si="8"/>
        <v>0</v>
      </c>
    </row>
    <row r="14" spans="2:34">
      <c r="B14" s="531"/>
      <c r="C14" s="531"/>
      <c r="D14" s="200">
        <v>8</v>
      </c>
      <c r="E14" s="189" t="s">
        <v>441</v>
      </c>
      <c r="F14" s="195">
        <v>164.5775000000007</v>
      </c>
      <c r="G14" s="258">
        <v>8.85</v>
      </c>
      <c r="H14" s="258">
        <v>9.3000000000000007</v>
      </c>
      <c r="I14" s="201">
        <f t="shared" si="1"/>
        <v>1.0508474576271187</v>
      </c>
      <c r="J14" s="258">
        <v>0</v>
      </c>
      <c r="K14" s="201">
        <f t="shared" si="2"/>
        <v>0</v>
      </c>
      <c r="L14" s="195">
        <v>658.31</v>
      </c>
      <c r="M14" s="201">
        <f t="shared" si="3"/>
        <v>1.0508474576271187</v>
      </c>
      <c r="N14" s="195">
        <v>296.2395000000007</v>
      </c>
      <c r="O14" s="258">
        <v>0.2</v>
      </c>
      <c r="P14" s="197">
        <v>2.2598870056497179E-2</v>
      </c>
      <c r="Q14" s="249">
        <v>131.66200000000001</v>
      </c>
      <c r="R14" s="258">
        <v>0.25000000000000105</v>
      </c>
      <c r="S14" s="197">
        <v>2.824858757062159E-2</v>
      </c>
      <c r="T14" s="196" t="s">
        <v>486</v>
      </c>
      <c r="U14" s="196" t="s">
        <v>426</v>
      </c>
      <c r="V14" s="196"/>
      <c r="W14" s="196">
        <v>1</v>
      </c>
      <c r="X14" s="196" t="s">
        <v>293</v>
      </c>
      <c r="Y14" s="192"/>
      <c r="Z14" s="221"/>
      <c r="AA14" s="222"/>
      <c r="AB14" s="222"/>
      <c r="AC14" s="221"/>
      <c r="AD14" s="221"/>
      <c r="AE14" s="221"/>
      <c r="AF14" s="221"/>
      <c r="AG14" s="221"/>
      <c r="AH14" s="221"/>
    </row>
    <row r="15" spans="2:34">
      <c r="B15" s="531"/>
      <c r="C15" s="531"/>
      <c r="D15" s="200">
        <v>9</v>
      </c>
      <c r="E15" s="189" t="s">
        <v>489</v>
      </c>
      <c r="F15" s="195">
        <v>164.11380000000057</v>
      </c>
      <c r="G15" s="258">
        <v>26.184000000000001</v>
      </c>
      <c r="H15" s="258">
        <v>26.6</v>
      </c>
      <c r="I15" s="201">
        <f t="shared" si="1"/>
        <v>1.0158875649251451</v>
      </c>
      <c r="J15" s="258">
        <v>0.6</v>
      </c>
      <c r="K15" s="201">
        <f t="shared" si="2"/>
        <v>2.2914757103574702E-2</v>
      </c>
      <c r="L15" s="195">
        <v>318.05</v>
      </c>
      <c r="M15" s="201">
        <f t="shared" si="3"/>
        <v>1.0388023220287199</v>
      </c>
      <c r="N15" s="195">
        <v>323.13880000000057</v>
      </c>
      <c r="O15" s="258">
        <v>0.5</v>
      </c>
      <c r="P15" s="197">
        <v>1.9095630919645584E-2</v>
      </c>
      <c r="Q15" s="249">
        <v>159.02500000000001</v>
      </c>
      <c r="R15" s="258">
        <v>0.51600000000000179</v>
      </c>
      <c r="S15" s="197">
        <v>1.970669110907431E-2</v>
      </c>
      <c r="T15" s="196" t="s">
        <v>486</v>
      </c>
      <c r="U15" s="196" t="s">
        <v>490</v>
      </c>
      <c r="V15" s="196"/>
      <c r="W15" s="196">
        <v>1</v>
      </c>
      <c r="X15" s="196" t="s">
        <v>303</v>
      </c>
      <c r="Y15" s="192"/>
      <c r="Z15" s="222">
        <f>SUM(W187:W256)</f>
        <v>70</v>
      </c>
      <c r="AA15" s="221">
        <f t="shared" ref="AA15:AH15" si="9">SUMIF($U$187:$U$256,TRIM(AA6),$W$187:$W$256)</f>
        <v>0</v>
      </c>
      <c r="AB15" s="221">
        <f t="shared" si="9"/>
        <v>4</v>
      </c>
      <c r="AC15" s="221">
        <f t="shared" si="9"/>
        <v>3</v>
      </c>
      <c r="AD15" s="221">
        <f t="shared" si="9"/>
        <v>8</v>
      </c>
      <c r="AE15" s="221">
        <f t="shared" si="9"/>
        <v>28</v>
      </c>
      <c r="AF15" s="221">
        <f t="shared" si="9"/>
        <v>23</v>
      </c>
      <c r="AG15" s="221">
        <f t="shared" si="9"/>
        <v>2</v>
      </c>
      <c r="AH15" s="221">
        <f t="shared" si="9"/>
        <v>0</v>
      </c>
    </row>
    <row r="16" spans="2:34">
      <c r="B16" s="531"/>
      <c r="C16" s="531"/>
      <c r="D16" s="200">
        <v>10</v>
      </c>
      <c r="E16" s="189" t="s">
        <v>579</v>
      </c>
      <c r="F16" s="195">
        <v>163.87319999999988</v>
      </c>
      <c r="G16" s="258">
        <v>4.923</v>
      </c>
      <c r="H16" s="258">
        <v>5.3</v>
      </c>
      <c r="I16" s="201">
        <f t="shared" si="1"/>
        <v>1.0765793215518993</v>
      </c>
      <c r="J16" s="258">
        <v>0</v>
      </c>
      <c r="K16" s="201">
        <f t="shared" si="2"/>
        <v>0</v>
      </c>
      <c r="L16" s="195">
        <v>591.6</v>
      </c>
      <c r="M16" s="201">
        <f t="shared" si="3"/>
        <v>1.0765793215518993</v>
      </c>
      <c r="N16" s="195">
        <v>223.03319999999988</v>
      </c>
      <c r="O16" s="258">
        <v>0.1</v>
      </c>
      <c r="P16" s="197">
        <v>2.0312817387771683E-2</v>
      </c>
      <c r="Q16" s="249">
        <v>59.160000000000004</v>
      </c>
      <c r="R16" s="258">
        <v>0.2769999999999998</v>
      </c>
      <c r="S16" s="197">
        <v>5.6266504164127526E-2</v>
      </c>
      <c r="T16" s="196" t="s">
        <v>483</v>
      </c>
      <c r="U16" s="196" t="s">
        <v>416</v>
      </c>
      <c r="V16" s="196"/>
      <c r="W16" s="196">
        <v>1</v>
      </c>
      <c r="X16" s="196" t="s">
        <v>245</v>
      </c>
      <c r="Y16" s="192" t="s">
        <v>496</v>
      </c>
      <c r="Z16" s="221"/>
      <c r="AA16" s="224">
        <f t="shared" ref="AA16:AH16" si="10">SUMIF($U$187:$U$256,TRIM(AA6),$F$187:$F$256)</f>
        <v>0</v>
      </c>
      <c r="AB16" s="224">
        <f t="shared" si="10"/>
        <v>793.69283000000019</v>
      </c>
      <c r="AC16" s="224">
        <f t="shared" si="10"/>
        <v>666.6480400000014</v>
      </c>
      <c r="AD16" s="224">
        <f t="shared" si="10"/>
        <v>1637.1258600000046</v>
      </c>
      <c r="AE16" s="224">
        <f t="shared" si="10"/>
        <v>6394.8248599999997</v>
      </c>
      <c r="AF16" s="224">
        <f t="shared" si="10"/>
        <v>5540.5327300000126</v>
      </c>
      <c r="AG16" s="224">
        <f t="shared" si="10"/>
        <v>417.01999999999981</v>
      </c>
      <c r="AH16" s="224">
        <f t="shared" si="10"/>
        <v>0</v>
      </c>
    </row>
    <row r="17" spans="2:34">
      <c r="B17" s="533">
        <v>45871</v>
      </c>
      <c r="C17" s="531" t="s">
        <v>157</v>
      </c>
      <c r="D17" s="200">
        <v>1</v>
      </c>
      <c r="E17" s="189" t="s">
        <v>482</v>
      </c>
      <c r="F17" s="195">
        <v>240.38896</v>
      </c>
      <c r="G17" s="258">
        <v>6.516</v>
      </c>
      <c r="H17" s="258">
        <v>7</v>
      </c>
      <c r="I17" s="201">
        <f t="shared" si="1"/>
        <v>1.0742786985880908</v>
      </c>
      <c r="J17" s="258">
        <v>0</v>
      </c>
      <c r="K17" s="201">
        <f t="shared" si="2"/>
        <v>0</v>
      </c>
      <c r="L17" s="195">
        <v>846.44</v>
      </c>
      <c r="M17" s="201">
        <f t="shared" si="3"/>
        <v>1.0742786985880908</v>
      </c>
      <c r="N17" s="195">
        <v>409.67696000000001</v>
      </c>
      <c r="O17" s="258">
        <v>0.2</v>
      </c>
      <c r="P17" s="197">
        <v>3.0693677102516883E-2</v>
      </c>
      <c r="Q17" s="249">
        <v>169.28800000000001</v>
      </c>
      <c r="R17" s="258">
        <v>0.28399999999999997</v>
      </c>
      <c r="S17" s="197">
        <v>4.3585021485573965E-2</v>
      </c>
      <c r="T17" s="196" t="s">
        <v>483</v>
      </c>
      <c r="U17" s="196" t="s">
        <v>416</v>
      </c>
      <c r="V17" s="196"/>
      <c r="W17" s="196">
        <v>1</v>
      </c>
      <c r="X17" s="196" t="s">
        <v>270</v>
      </c>
      <c r="Y17" s="192"/>
      <c r="Z17" s="221"/>
      <c r="AA17" s="222"/>
      <c r="AB17" s="222"/>
      <c r="AC17" s="221"/>
      <c r="AD17" s="221"/>
      <c r="AE17" s="221"/>
      <c r="AF17" s="221"/>
      <c r="AG17" s="221"/>
      <c r="AH17" s="221"/>
    </row>
    <row r="18" spans="2:34">
      <c r="B18" s="531"/>
      <c r="C18" s="531"/>
      <c r="D18" s="200">
        <v>2</v>
      </c>
      <c r="E18" s="189" t="s">
        <v>402</v>
      </c>
      <c r="F18" s="195">
        <v>180.88799999999986</v>
      </c>
      <c r="G18" s="258">
        <v>4.8239999999999998</v>
      </c>
      <c r="H18" s="258">
        <v>5.4239999999999995</v>
      </c>
      <c r="I18" s="201">
        <f t="shared" si="1"/>
        <v>1.1243781094527363</v>
      </c>
      <c r="J18" s="258">
        <v>0</v>
      </c>
      <c r="K18" s="201">
        <f t="shared" si="2"/>
        <v>0</v>
      </c>
      <c r="L18" s="195">
        <v>452.22</v>
      </c>
      <c r="M18" s="201">
        <f t="shared" si="3"/>
        <v>1.1243781094527363</v>
      </c>
      <c r="N18" s="195">
        <v>271.33199999999988</v>
      </c>
      <c r="O18" s="258">
        <v>0.2</v>
      </c>
      <c r="P18" s="197">
        <v>4.1459369817578778E-2</v>
      </c>
      <c r="Q18" s="249">
        <v>90.444000000000017</v>
      </c>
      <c r="R18" s="258">
        <v>0.39999999999999963</v>
      </c>
      <c r="S18" s="197">
        <v>8.2918739635157473E-2</v>
      </c>
      <c r="T18" s="196" t="s">
        <v>494</v>
      </c>
      <c r="U18" s="196" t="s">
        <v>500</v>
      </c>
      <c r="V18" s="196"/>
      <c r="W18" s="196">
        <v>1</v>
      </c>
      <c r="X18" s="196" t="s">
        <v>256</v>
      </c>
      <c r="Y18" s="192"/>
      <c r="Z18" s="222">
        <f>SUM(W257:W326)</f>
        <v>60</v>
      </c>
      <c r="AA18" s="221">
        <f t="shared" ref="AA18:AH18" si="11">SUMIF($U$257:$U$326,TRIM(AA6),$W$257:$W$326)</f>
        <v>0</v>
      </c>
      <c r="AB18" s="221">
        <f t="shared" si="11"/>
        <v>0</v>
      </c>
      <c r="AC18" s="221">
        <f t="shared" si="11"/>
        <v>4</v>
      </c>
      <c r="AD18" s="221">
        <f t="shared" si="11"/>
        <v>12</v>
      </c>
      <c r="AE18" s="221">
        <f t="shared" si="11"/>
        <v>24</v>
      </c>
      <c r="AF18" s="221">
        <f t="shared" si="11"/>
        <v>20</v>
      </c>
      <c r="AG18" s="221">
        <f t="shared" si="11"/>
        <v>0</v>
      </c>
      <c r="AH18" s="221">
        <f t="shared" si="11"/>
        <v>0</v>
      </c>
    </row>
    <row r="19" spans="2:34">
      <c r="B19" s="531"/>
      <c r="C19" s="531"/>
      <c r="D19" s="200">
        <v>3</v>
      </c>
      <c r="E19" s="189" t="s">
        <v>429</v>
      </c>
      <c r="F19" s="195">
        <v>177.95699999999846</v>
      </c>
      <c r="G19" s="258">
        <v>215.54</v>
      </c>
      <c r="H19" s="258">
        <v>218.23999999999998</v>
      </c>
      <c r="I19" s="201">
        <f t="shared" si="1"/>
        <v>1.0125266771828894</v>
      </c>
      <c r="J19" s="258">
        <v>0</v>
      </c>
      <c r="K19" s="201">
        <f t="shared" si="2"/>
        <v>0</v>
      </c>
      <c r="L19" s="195">
        <v>136.88999999999999</v>
      </c>
      <c r="M19" s="201">
        <f t="shared" si="3"/>
        <v>1.0125266771828894</v>
      </c>
      <c r="N19" s="195">
        <v>369.60299999999842</v>
      </c>
      <c r="O19" s="258">
        <v>1.4</v>
      </c>
      <c r="P19" s="197">
        <v>6.4953140948315856E-3</v>
      </c>
      <c r="Q19" s="249">
        <v>191.64599999999996</v>
      </c>
      <c r="R19" s="258">
        <v>1.2999999999999887</v>
      </c>
      <c r="S19" s="197">
        <v>6.0313630880578489E-3</v>
      </c>
      <c r="T19" s="196" t="s">
        <v>486</v>
      </c>
      <c r="U19" s="196" t="s">
        <v>426</v>
      </c>
      <c r="V19" s="196"/>
      <c r="W19" s="196">
        <v>1</v>
      </c>
      <c r="X19" s="196" t="s">
        <v>417</v>
      </c>
      <c r="Y19" s="192" t="s">
        <v>498</v>
      </c>
      <c r="Z19" s="221"/>
      <c r="AA19" s="224">
        <f t="shared" ref="AA19:AH19" si="12">SUMIF($U$257:$U$326,TRIM(AA6),$F$257:$F$326)</f>
        <v>0</v>
      </c>
      <c r="AB19" s="224">
        <f t="shared" si="12"/>
        <v>0</v>
      </c>
      <c r="AC19" s="224">
        <f t="shared" si="12"/>
        <v>755.9883899999993</v>
      </c>
      <c r="AD19" s="224">
        <f t="shared" si="12"/>
        <v>2414.4136500000041</v>
      </c>
      <c r="AE19" s="224">
        <f t="shared" si="12"/>
        <v>4886.7432899999922</v>
      </c>
      <c r="AF19" s="224">
        <f t="shared" si="12"/>
        <v>4558.2421800000275</v>
      </c>
      <c r="AG19" s="224">
        <f t="shared" si="12"/>
        <v>0</v>
      </c>
      <c r="AH19" s="224">
        <f t="shared" si="12"/>
        <v>0</v>
      </c>
    </row>
    <row r="20" spans="2:34">
      <c r="B20" s="531"/>
      <c r="C20" s="531"/>
      <c r="D20" s="200">
        <v>4</v>
      </c>
      <c r="E20" s="189" t="s">
        <v>504</v>
      </c>
      <c r="F20" s="195">
        <v>177.69876000000033</v>
      </c>
      <c r="G20" s="258">
        <v>11.209</v>
      </c>
      <c r="H20" s="258">
        <v>11.5</v>
      </c>
      <c r="I20" s="201">
        <f t="shared" si="1"/>
        <v>1.0259612811133911</v>
      </c>
      <c r="J20" s="258">
        <v>0</v>
      </c>
      <c r="K20" s="201">
        <f t="shared" si="2"/>
        <v>0</v>
      </c>
      <c r="L20" s="195">
        <v>930.36</v>
      </c>
      <c r="M20" s="201">
        <f t="shared" si="3"/>
        <v>1.0259612811133911</v>
      </c>
      <c r="N20" s="195">
        <v>270.73476000000034</v>
      </c>
      <c r="O20" s="258">
        <v>0.1</v>
      </c>
      <c r="P20" s="197">
        <v>8.9214024444642711E-3</v>
      </c>
      <c r="Q20" s="249">
        <v>93.036000000000001</v>
      </c>
      <c r="R20" s="258">
        <v>0.19100000000000036</v>
      </c>
      <c r="S20" s="197">
        <v>1.7039878668926787E-2</v>
      </c>
      <c r="T20" s="196" t="s">
        <v>483</v>
      </c>
      <c r="U20" s="196" t="s">
        <v>416</v>
      </c>
      <c r="V20" s="196"/>
      <c r="W20" s="196">
        <v>1</v>
      </c>
      <c r="X20" s="196" t="s">
        <v>271</v>
      </c>
      <c r="Y20" s="192"/>
      <c r="Z20" s="221"/>
      <c r="AA20" s="222"/>
      <c r="AB20" s="222"/>
      <c r="AC20" s="221"/>
      <c r="AD20" s="221"/>
      <c r="AE20" s="221"/>
      <c r="AF20" s="221"/>
      <c r="AG20" s="221"/>
      <c r="AH20" s="221"/>
    </row>
    <row r="21" spans="2:34">
      <c r="B21" s="531"/>
      <c r="C21" s="531"/>
      <c r="D21" s="200">
        <v>5</v>
      </c>
      <c r="E21" s="189" t="s">
        <v>561</v>
      </c>
      <c r="F21" s="195">
        <v>171.51999999999992</v>
      </c>
      <c r="G21" s="258">
        <v>3.3420000000000001</v>
      </c>
      <c r="H21" s="258">
        <v>4.0419999999999998</v>
      </c>
      <c r="I21" s="201">
        <f t="shared" si="1"/>
        <v>1.2094554159186115</v>
      </c>
      <c r="J21" s="258">
        <v>0</v>
      </c>
      <c r="K21" s="201">
        <f t="shared" si="2"/>
        <v>0</v>
      </c>
      <c r="L21" s="195">
        <v>428.8</v>
      </c>
      <c r="M21" s="201">
        <f t="shared" si="3"/>
        <v>1.2094554159186115</v>
      </c>
      <c r="N21" s="195">
        <v>300.15999999999991</v>
      </c>
      <c r="O21" s="258">
        <v>0.3</v>
      </c>
      <c r="P21" s="197">
        <v>8.9766606822262118E-2</v>
      </c>
      <c r="Q21" s="249">
        <v>128.63999999999999</v>
      </c>
      <c r="R21" s="258">
        <v>0.39999999999999974</v>
      </c>
      <c r="S21" s="197">
        <v>0.11968880909634941</v>
      </c>
      <c r="T21" s="196" t="s">
        <v>514</v>
      </c>
      <c r="U21" s="196" t="s">
        <v>400</v>
      </c>
      <c r="V21" s="196"/>
      <c r="W21" s="196">
        <v>1</v>
      </c>
      <c r="X21" s="196" t="s">
        <v>245</v>
      </c>
      <c r="Y21" s="192"/>
      <c r="Z21" s="193"/>
      <c r="AA21" s="193"/>
      <c r="AB21" s="193"/>
      <c r="AC21" s="193"/>
      <c r="AD21" s="193"/>
      <c r="AE21" s="193"/>
      <c r="AF21" s="193"/>
      <c r="AG21" s="193"/>
      <c r="AH21" s="193"/>
    </row>
    <row r="22" spans="2:34" ht="16.5">
      <c r="B22" s="531"/>
      <c r="C22" s="531"/>
      <c r="D22" s="200">
        <v>6</v>
      </c>
      <c r="E22" s="189" t="s">
        <v>558</v>
      </c>
      <c r="F22" s="195">
        <v>169.92000000000002</v>
      </c>
      <c r="G22" s="258">
        <v>23.542999999999999</v>
      </c>
      <c r="H22" s="258">
        <v>25.042999999999999</v>
      </c>
      <c r="I22" s="201">
        <f t="shared" si="1"/>
        <v>1.0637132056237524</v>
      </c>
      <c r="J22" s="258">
        <v>0</v>
      </c>
      <c r="K22" s="201">
        <f t="shared" si="2"/>
        <v>0</v>
      </c>
      <c r="L22" s="195">
        <v>212.4</v>
      </c>
      <c r="M22" s="201">
        <f t="shared" si="3"/>
        <v>1.0637132056237524</v>
      </c>
      <c r="N22" s="195">
        <v>318.60000000000002</v>
      </c>
      <c r="O22" s="258">
        <v>0.70000000000000007</v>
      </c>
      <c r="P22" s="197">
        <v>2.9732829291084402E-2</v>
      </c>
      <c r="Q22" s="249">
        <v>148.68</v>
      </c>
      <c r="R22" s="258">
        <v>0.79999999999999993</v>
      </c>
      <c r="S22" s="197">
        <v>3.3980376332667886E-2</v>
      </c>
      <c r="T22" s="196" t="s">
        <v>494</v>
      </c>
      <c r="U22" s="196" t="s">
        <v>500</v>
      </c>
      <c r="V22" s="196"/>
      <c r="W22" s="196">
        <v>1</v>
      </c>
      <c r="X22" s="196" t="s">
        <v>417</v>
      </c>
      <c r="Y22" s="223" t="s">
        <v>501</v>
      </c>
      <c r="Z22" s="221">
        <f>SUM(W7:W10000)</f>
        <v>310</v>
      </c>
      <c r="AA22" s="222">
        <f t="shared" ref="AA22:AH22" si="13">SUMIF($U$7:$U$10000,TRIM(AA6),$W$7:$W$10000)</f>
        <v>1</v>
      </c>
      <c r="AB22" s="222">
        <f t="shared" si="13"/>
        <v>17</v>
      </c>
      <c r="AC22" s="221">
        <f t="shared" si="13"/>
        <v>15</v>
      </c>
      <c r="AD22" s="221">
        <f t="shared" si="13"/>
        <v>72</v>
      </c>
      <c r="AE22" s="221">
        <f t="shared" si="13"/>
        <v>132</v>
      </c>
      <c r="AF22" s="221">
        <f t="shared" si="13"/>
        <v>52</v>
      </c>
      <c r="AG22" s="221">
        <f t="shared" si="13"/>
        <v>16</v>
      </c>
      <c r="AH22" s="221">
        <f t="shared" si="13"/>
        <v>0</v>
      </c>
    </row>
    <row r="23" spans="2:34">
      <c r="B23" s="531"/>
      <c r="C23" s="531"/>
      <c r="D23" s="200">
        <v>7</v>
      </c>
      <c r="E23" s="189" t="s">
        <v>507</v>
      </c>
      <c r="F23" s="195">
        <v>168.1320000000012</v>
      </c>
      <c r="G23" s="258">
        <v>71.224999999999994</v>
      </c>
      <c r="H23" s="258">
        <v>71.924999999999997</v>
      </c>
      <c r="I23" s="201">
        <f t="shared" si="1"/>
        <v>1.0098280098280099</v>
      </c>
      <c r="J23" s="258">
        <v>0</v>
      </c>
      <c r="K23" s="201">
        <f t="shared" si="2"/>
        <v>0</v>
      </c>
      <c r="L23" s="195">
        <v>420.33</v>
      </c>
      <c r="M23" s="201">
        <f t="shared" si="3"/>
        <v>1.0098280098280099</v>
      </c>
      <c r="N23" s="195">
        <v>294.23100000000119</v>
      </c>
      <c r="O23" s="258">
        <v>0.3</v>
      </c>
      <c r="P23" s="197">
        <v>4.212004212004212E-3</v>
      </c>
      <c r="Q23" s="249">
        <v>126.09899999999999</v>
      </c>
      <c r="R23" s="258">
        <v>0.40000000000000285</v>
      </c>
      <c r="S23" s="197">
        <v>5.6160056160056565E-3</v>
      </c>
      <c r="T23" s="196" t="s">
        <v>486</v>
      </c>
      <c r="U23" s="196" t="s">
        <v>426</v>
      </c>
      <c r="V23" s="196"/>
      <c r="W23" s="196">
        <v>1</v>
      </c>
      <c r="X23" s="196" t="s">
        <v>297</v>
      </c>
      <c r="Z23" s="221"/>
      <c r="AA23" s="224">
        <f t="shared" ref="AA23:AH23" si="14">SUMIF($U$7:$U$10000,TRIM(AA6),$F$7:$F$10000)</f>
        <v>172.15560000000002</v>
      </c>
      <c r="AB23" s="224">
        <f t="shared" si="14"/>
        <v>3563.9139100000007</v>
      </c>
      <c r="AC23" s="224">
        <f t="shared" si="14"/>
        <v>3130.998689999999</v>
      </c>
      <c r="AD23" s="224">
        <f t="shared" si="14"/>
        <v>14381.948886699534</v>
      </c>
      <c r="AE23" s="224">
        <f t="shared" si="14"/>
        <v>30846.731825280494</v>
      </c>
      <c r="AF23" s="224">
        <f t="shared" si="14"/>
        <v>12704.309300000044</v>
      </c>
      <c r="AG23" s="224">
        <f t="shared" si="14"/>
        <v>3994.7131600000112</v>
      </c>
      <c r="AH23" s="224">
        <f t="shared" si="14"/>
        <v>0</v>
      </c>
    </row>
    <row r="24" spans="2:34">
      <c r="B24" s="531"/>
      <c r="C24" s="531"/>
      <c r="D24" s="200">
        <v>8</v>
      </c>
      <c r="E24" s="189" t="s">
        <v>434</v>
      </c>
      <c r="F24" s="195">
        <v>165.26999999999904</v>
      </c>
      <c r="G24" s="258">
        <v>72.137</v>
      </c>
      <c r="H24" s="258">
        <v>72.936999999999998</v>
      </c>
      <c r="I24" s="201">
        <f t="shared" si="1"/>
        <v>1.0110900092878827</v>
      </c>
      <c r="J24" s="258">
        <v>0</v>
      </c>
      <c r="K24" s="201">
        <f t="shared" si="2"/>
        <v>0</v>
      </c>
      <c r="L24" s="195">
        <v>330.54</v>
      </c>
      <c r="M24" s="201">
        <f t="shared" si="3"/>
        <v>1.0110900092878827</v>
      </c>
      <c r="N24" s="195">
        <v>264.43199999999905</v>
      </c>
      <c r="O24" s="258">
        <v>0.3</v>
      </c>
      <c r="P24" s="197">
        <v>4.1587534829560418E-3</v>
      </c>
      <c r="Q24" s="249">
        <v>99.162000000000006</v>
      </c>
      <c r="R24" s="258">
        <v>0.49999999999999717</v>
      </c>
      <c r="S24" s="197">
        <v>6.9312558049266972E-3</v>
      </c>
      <c r="T24" s="196" t="s">
        <v>486</v>
      </c>
      <c r="U24" s="196" t="s">
        <v>426</v>
      </c>
      <c r="V24" s="196"/>
      <c r="W24" s="196">
        <v>1</v>
      </c>
      <c r="X24" s="196" t="s">
        <v>280</v>
      </c>
    </row>
    <row r="25" spans="2:34">
      <c r="B25" s="531"/>
      <c r="C25" s="531"/>
      <c r="D25" s="200">
        <v>9</v>
      </c>
      <c r="E25" s="189" t="s">
        <v>586</v>
      </c>
      <c r="F25" s="195">
        <v>161.85600000000051</v>
      </c>
      <c r="G25" s="258">
        <v>65.308592592592603</v>
      </c>
      <c r="H25" s="258">
        <v>67.008592592592606</v>
      </c>
      <c r="I25" s="201">
        <f t="shared" si="1"/>
        <v>1.0260302654293123</v>
      </c>
      <c r="J25" s="258">
        <v>0</v>
      </c>
      <c r="K25" s="201">
        <f t="shared" si="2"/>
        <v>0</v>
      </c>
      <c r="L25" s="195">
        <v>179.84</v>
      </c>
      <c r="M25" s="201">
        <f t="shared" si="3"/>
        <v>1.0260302654293123</v>
      </c>
      <c r="N25" s="195">
        <v>305.72800000000052</v>
      </c>
      <c r="O25" s="258">
        <v>0.8</v>
      </c>
      <c r="P25" s="197">
        <v>1.2249536672617521E-2</v>
      </c>
      <c r="Q25" s="249">
        <v>143.87200000000001</v>
      </c>
      <c r="R25" s="258">
        <v>0.9000000000000028</v>
      </c>
      <c r="S25" s="197">
        <v>1.3780728756694753E-2</v>
      </c>
      <c r="T25" s="196" t="s">
        <v>483</v>
      </c>
      <c r="U25" s="196" t="s">
        <v>416</v>
      </c>
      <c r="V25" s="196"/>
      <c r="W25" s="196">
        <v>1</v>
      </c>
      <c r="X25" s="196" t="s">
        <v>282</v>
      </c>
    </row>
    <row r="26" spans="2:34">
      <c r="B26" s="531"/>
      <c r="C26" s="531"/>
      <c r="D26" s="200">
        <v>10</v>
      </c>
      <c r="E26" s="189" t="s">
        <v>485</v>
      </c>
      <c r="F26" s="195">
        <v>161.83049999999963</v>
      </c>
      <c r="G26" s="258">
        <v>21.91</v>
      </c>
      <c r="H26" s="258">
        <v>22.7</v>
      </c>
      <c r="I26" s="201">
        <f t="shared" si="1"/>
        <v>1.0360565951620264</v>
      </c>
      <c r="J26" s="258">
        <v>0</v>
      </c>
      <c r="K26" s="201">
        <f t="shared" si="2"/>
        <v>0</v>
      </c>
      <c r="L26" s="195">
        <v>414.95</v>
      </c>
      <c r="M26" s="201">
        <f t="shared" si="3"/>
        <v>1.0360565951620264</v>
      </c>
      <c r="N26" s="195">
        <v>327.81049999999965</v>
      </c>
      <c r="O26" s="258">
        <v>0.4</v>
      </c>
      <c r="P26" s="197">
        <v>1.8256503879507075E-2</v>
      </c>
      <c r="Q26" s="249">
        <v>165.98000000000002</v>
      </c>
      <c r="R26" s="258">
        <v>0.38999999999999913</v>
      </c>
      <c r="S26" s="197">
        <v>1.7800091282519359E-2</v>
      </c>
      <c r="T26" s="196" t="s">
        <v>483</v>
      </c>
      <c r="U26" s="196" t="s">
        <v>416</v>
      </c>
      <c r="V26" s="196"/>
      <c r="W26" s="196">
        <v>1</v>
      </c>
      <c r="X26" s="196" t="s">
        <v>304</v>
      </c>
    </row>
    <row r="27" spans="2:34">
      <c r="B27" s="533">
        <v>45872</v>
      </c>
      <c r="C27" s="531" t="s">
        <v>152</v>
      </c>
      <c r="D27" s="200">
        <v>1</v>
      </c>
      <c r="E27" s="189" t="s">
        <v>441</v>
      </c>
      <c r="F27" s="190">
        <v>263.32399999999973</v>
      </c>
      <c r="G27" s="259">
        <v>9.51</v>
      </c>
      <c r="H27" s="259">
        <v>10.11</v>
      </c>
      <c r="I27" s="201">
        <f t="shared" si="1"/>
        <v>1.0630914826498423</v>
      </c>
      <c r="J27" s="259">
        <v>0</v>
      </c>
      <c r="K27" s="201">
        <f t="shared" si="2"/>
        <v>0</v>
      </c>
      <c r="L27" s="190">
        <v>658.31</v>
      </c>
      <c r="M27" s="201">
        <f t="shared" si="3"/>
        <v>1.0630914826498423</v>
      </c>
      <c r="N27" s="190">
        <v>394.98599999999971</v>
      </c>
      <c r="O27" s="259">
        <v>0.2</v>
      </c>
      <c r="P27" s="191">
        <v>2.1030494216614092E-2</v>
      </c>
      <c r="Q27" s="250">
        <v>131.66200000000001</v>
      </c>
      <c r="R27" s="259">
        <v>0.39999999999999963</v>
      </c>
      <c r="S27" s="191">
        <v>4.2060988433228141E-2</v>
      </c>
      <c r="T27" s="189" t="s">
        <v>486</v>
      </c>
      <c r="U27" s="189" t="s">
        <v>426</v>
      </c>
      <c r="V27" s="189"/>
      <c r="W27" s="196">
        <v>1</v>
      </c>
      <c r="X27" s="189" t="s">
        <v>293</v>
      </c>
    </row>
    <row r="28" spans="2:34">
      <c r="B28" s="531"/>
      <c r="C28" s="531"/>
      <c r="D28" s="200">
        <v>2</v>
      </c>
      <c r="E28" s="189" t="s">
        <v>491</v>
      </c>
      <c r="F28" s="190">
        <v>228.3512014520349</v>
      </c>
      <c r="G28" s="259">
        <v>102.458864686469</v>
      </c>
      <c r="H28" s="259">
        <v>103.6</v>
      </c>
      <c r="I28" s="201">
        <f t="shared" si="1"/>
        <v>1.0111374971509097</v>
      </c>
      <c r="J28" s="259">
        <v>0</v>
      </c>
      <c r="K28" s="201">
        <f t="shared" si="2"/>
        <v>0</v>
      </c>
      <c r="L28" s="190">
        <v>308.11</v>
      </c>
      <c r="M28" s="201">
        <f t="shared" si="3"/>
        <v>1.0111374971509097</v>
      </c>
      <c r="N28" s="190">
        <v>351.59520145203493</v>
      </c>
      <c r="O28" s="259">
        <v>0.4</v>
      </c>
      <c r="P28" s="191">
        <v>3.9040057805054436E-3</v>
      </c>
      <c r="Q28" s="250">
        <v>123.24400000000001</v>
      </c>
      <c r="R28" s="259">
        <v>0.74113531353099515</v>
      </c>
      <c r="S28" s="191">
        <v>7.2334913704042974E-3</v>
      </c>
      <c r="T28" s="189" t="s">
        <v>483</v>
      </c>
      <c r="U28" s="196" t="s">
        <v>416</v>
      </c>
      <c r="V28" s="189"/>
      <c r="W28" s="196">
        <v>1</v>
      </c>
      <c r="X28" s="189" t="s">
        <v>320</v>
      </c>
    </row>
    <row r="29" spans="2:34">
      <c r="B29" s="531"/>
      <c r="C29" s="531"/>
      <c r="D29" s="200">
        <v>3</v>
      </c>
      <c r="E29" s="189" t="s">
        <v>485</v>
      </c>
      <c r="F29" s="190">
        <v>177.59860000000003</v>
      </c>
      <c r="G29" s="259">
        <v>26.571999999999999</v>
      </c>
      <c r="H29" s="259">
        <v>27.2</v>
      </c>
      <c r="I29" s="201">
        <f t="shared" si="1"/>
        <v>1.0236339003462291</v>
      </c>
      <c r="J29" s="259">
        <v>0</v>
      </c>
      <c r="K29" s="201">
        <f t="shared" si="2"/>
        <v>0</v>
      </c>
      <c r="L29" s="190">
        <v>414.95</v>
      </c>
      <c r="M29" s="201">
        <f t="shared" si="3"/>
        <v>1.0236339003462291</v>
      </c>
      <c r="N29" s="190">
        <v>260.58860000000004</v>
      </c>
      <c r="O29" s="259">
        <v>0.2</v>
      </c>
      <c r="P29" s="191">
        <v>7.5267198554869793E-3</v>
      </c>
      <c r="Q29" s="250">
        <v>82.990000000000009</v>
      </c>
      <c r="R29" s="259">
        <v>0.4280000000000001</v>
      </c>
      <c r="S29" s="191">
        <v>1.610718049074214E-2</v>
      </c>
      <c r="T29" s="189" t="s">
        <v>486</v>
      </c>
      <c r="U29" s="189" t="s">
        <v>426</v>
      </c>
      <c r="V29" s="189"/>
      <c r="W29" s="196">
        <v>1</v>
      </c>
      <c r="X29" s="189" t="s">
        <v>304</v>
      </c>
    </row>
    <row r="30" spans="2:34">
      <c r="B30" s="531"/>
      <c r="C30" s="531"/>
      <c r="D30" s="200">
        <v>4</v>
      </c>
      <c r="E30" s="189" t="s">
        <v>409</v>
      </c>
      <c r="F30" s="190">
        <v>174.57600000000039</v>
      </c>
      <c r="G30" s="259">
        <v>27.721</v>
      </c>
      <c r="H30" s="259">
        <v>27.321000000000002</v>
      </c>
      <c r="I30" s="201">
        <f t="shared" si="1"/>
        <v>0.98557050611449804</v>
      </c>
      <c r="J30" s="259">
        <v>0.7</v>
      </c>
      <c r="K30" s="201">
        <f t="shared" si="2"/>
        <v>2.5251614299628439E-2</v>
      </c>
      <c r="L30" s="190">
        <v>581.91999999999996</v>
      </c>
      <c r="M30" s="201">
        <f t="shared" si="3"/>
        <v>1.0108221204141266</v>
      </c>
      <c r="N30" s="190">
        <v>174.57600000000039</v>
      </c>
      <c r="O30" s="259">
        <v>0</v>
      </c>
      <c r="P30" s="191">
        <v>0</v>
      </c>
      <c r="Q30" s="250">
        <v>0</v>
      </c>
      <c r="R30" s="259">
        <v>0.30000000000000071</v>
      </c>
      <c r="S30" s="191">
        <v>1.08221204141265E-2</v>
      </c>
      <c r="T30" s="189" t="s">
        <v>486</v>
      </c>
      <c r="U30" s="189" t="s">
        <v>426</v>
      </c>
      <c r="V30" s="189"/>
      <c r="W30" s="196">
        <v>1</v>
      </c>
      <c r="X30" s="189" t="s">
        <v>277</v>
      </c>
    </row>
    <row r="31" spans="2:34">
      <c r="B31" s="531"/>
      <c r="C31" s="531"/>
      <c r="D31" s="200">
        <v>5</v>
      </c>
      <c r="E31" s="189" t="s">
        <v>587</v>
      </c>
      <c r="F31" s="190">
        <v>171.84127999999987</v>
      </c>
      <c r="G31" s="259">
        <v>5.3840000000000003</v>
      </c>
      <c r="H31" s="259">
        <v>6</v>
      </c>
      <c r="I31" s="201">
        <f t="shared" si="1"/>
        <v>1.1144130757800892</v>
      </c>
      <c r="J31" s="259">
        <v>0</v>
      </c>
      <c r="K31" s="201">
        <f t="shared" si="2"/>
        <v>0</v>
      </c>
      <c r="L31" s="190">
        <v>413.08</v>
      </c>
      <c r="M31" s="201">
        <f t="shared" si="3"/>
        <v>1.1144130757800892</v>
      </c>
      <c r="N31" s="190">
        <v>254.45727999999986</v>
      </c>
      <c r="O31" s="259">
        <v>0.2</v>
      </c>
      <c r="P31" s="191">
        <v>3.7147102526002972E-2</v>
      </c>
      <c r="Q31" s="250">
        <v>82.616</v>
      </c>
      <c r="R31" s="259">
        <v>0.41599999999999965</v>
      </c>
      <c r="S31" s="191">
        <v>7.7265973254086115E-2</v>
      </c>
      <c r="T31" s="189" t="s">
        <v>494</v>
      </c>
      <c r="U31" s="196" t="s">
        <v>495</v>
      </c>
      <c r="V31" s="189"/>
      <c r="W31" s="196">
        <v>1</v>
      </c>
      <c r="X31" s="189" t="s">
        <v>218</v>
      </c>
    </row>
    <row r="32" spans="2:34">
      <c r="B32" s="531"/>
      <c r="C32" s="531"/>
      <c r="D32" s="200">
        <v>6</v>
      </c>
      <c r="E32" s="189" t="s">
        <v>482</v>
      </c>
      <c r="F32" s="190">
        <v>170.1344399999997</v>
      </c>
      <c r="G32" s="259">
        <v>7.2990000000000004</v>
      </c>
      <c r="H32" s="259">
        <v>7.5</v>
      </c>
      <c r="I32" s="201">
        <f t="shared" si="1"/>
        <v>1.0275380189066996</v>
      </c>
      <c r="J32" s="259">
        <v>0</v>
      </c>
      <c r="K32" s="201">
        <f t="shared" si="2"/>
        <v>0</v>
      </c>
      <c r="L32" s="190">
        <v>846.44</v>
      </c>
      <c r="M32" s="201">
        <f t="shared" si="3"/>
        <v>1.0275380189066996</v>
      </c>
      <c r="N32" s="190">
        <v>170.1344399999997</v>
      </c>
      <c r="O32" s="259">
        <v>0</v>
      </c>
      <c r="P32" s="191">
        <v>0</v>
      </c>
      <c r="Q32" s="250">
        <v>0</v>
      </c>
      <c r="R32" s="259">
        <v>0.20099999999999962</v>
      </c>
      <c r="S32" s="191">
        <v>2.7538018906699494E-2</v>
      </c>
      <c r="T32" s="189" t="s">
        <v>483</v>
      </c>
      <c r="U32" s="189" t="s">
        <v>416</v>
      </c>
      <c r="V32" s="189"/>
      <c r="W32" s="196">
        <v>1</v>
      </c>
      <c r="X32" s="189" t="s">
        <v>270</v>
      </c>
    </row>
    <row r="33" spans="2:24">
      <c r="B33" s="531"/>
      <c r="C33" s="531"/>
      <c r="D33" s="200">
        <v>7</v>
      </c>
      <c r="E33" s="189" t="s">
        <v>504</v>
      </c>
      <c r="F33" s="190">
        <v>164.67372000000063</v>
      </c>
      <c r="G33" s="259">
        <v>12.023</v>
      </c>
      <c r="H33" s="259">
        <v>12.4</v>
      </c>
      <c r="I33" s="201">
        <f t="shared" si="1"/>
        <v>1.0313565665807203</v>
      </c>
      <c r="J33" s="259">
        <v>0</v>
      </c>
      <c r="K33" s="201">
        <f t="shared" si="2"/>
        <v>0</v>
      </c>
      <c r="L33" s="190">
        <v>930.36</v>
      </c>
      <c r="M33" s="201">
        <f t="shared" si="3"/>
        <v>1.0313565665807203</v>
      </c>
      <c r="N33" s="190">
        <v>350.74572000000063</v>
      </c>
      <c r="O33" s="259">
        <v>0.2</v>
      </c>
      <c r="P33" s="191">
        <v>1.6634783331947102E-2</v>
      </c>
      <c r="Q33" s="250">
        <v>186.072</v>
      </c>
      <c r="R33" s="259">
        <v>0.17700000000000066</v>
      </c>
      <c r="S33" s="191">
        <v>1.472178324877324E-2</v>
      </c>
      <c r="T33" s="189" t="s">
        <v>494</v>
      </c>
      <c r="U33" s="189" t="s">
        <v>495</v>
      </c>
      <c r="V33" s="189"/>
      <c r="W33" s="196">
        <v>1</v>
      </c>
      <c r="X33" s="189" t="s">
        <v>271</v>
      </c>
    </row>
    <row r="34" spans="2:24">
      <c r="B34" s="531"/>
      <c r="C34" s="531"/>
      <c r="D34" s="200">
        <v>8</v>
      </c>
      <c r="E34" s="189" t="s">
        <v>538</v>
      </c>
      <c r="F34" s="190">
        <v>145.05200000000104</v>
      </c>
      <c r="G34" s="259">
        <v>45.4</v>
      </c>
      <c r="H34" s="259">
        <v>46.1</v>
      </c>
      <c r="I34" s="201">
        <f t="shared" si="1"/>
        <v>1.0154185022026432</v>
      </c>
      <c r="J34" s="259">
        <v>0</v>
      </c>
      <c r="K34" s="201">
        <f t="shared" si="2"/>
        <v>0</v>
      </c>
      <c r="L34" s="190">
        <v>362.63</v>
      </c>
      <c r="M34" s="201">
        <f t="shared" si="3"/>
        <v>1.0154185022026432</v>
      </c>
      <c r="N34" s="190">
        <v>253.84100000000103</v>
      </c>
      <c r="O34" s="259">
        <v>0.3</v>
      </c>
      <c r="P34" s="191">
        <v>6.6079295154185024E-3</v>
      </c>
      <c r="Q34" s="250">
        <v>108.789</v>
      </c>
      <c r="R34" s="259">
        <v>0.40000000000000285</v>
      </c>
      <c r="S34" s="191">
        <v>8.8105726872247329E-3</v>
      </c>
      <c r="T34" s="189" t="s">
        <v>483</v>
      </c>
      <c r="U34" s="196" t="s">
        <v>416</v>
      </c>
      <c r="V34" s="189"/>
      <c r="W34" s="196">
        <v>1</v>
      </c>
      <c r="X34" s="189" t="s">
        <v>539</v>
      </c>
    </row>
    <row r="35" spans="2:24">
      <c r="B35" s="531"/>
      <c r="C35" s="531"/>
      <c r="D35" s="200">
        <v>9</v>
      </c>
      <c r="E35" s="189" t="s">
        <v>507</v>
      </c>
      <c r="F35" s="190">
        <v>142.91219999999782</v>
      </c>
      <c r="G35" s="259">
        <v>90.86</v>
      </c>
      <c r="H35" s="259">
        <v>91.6</v>
      </c>
      <c r="I35" s="201">
        <f t="shared" si="1"/>
        <v>1.0081443979749063</v>
      </c>
      <c r="J35" s="259">
        <v>0</v>
      </c>
      <c r="K35" s="201">
        <f t="shared" si="2"/>
        <v>0</v>
      </c>
      <c r="L35" s="190">
        <v>420.33</v>
      </c>
      <c r="M35" s="201">
        <f t="shared" si="3"/>
        <v>1.0081443979749063</v>
      </c>
      <c r="N35" s="190">
        <v>311.04419999999783</v>
      </c>
      <c r="O35" s="259">
        <v>0.4</v>
      </c>
      <c r="P35" s="191">
        <v>4.4023772837332165E-3</v>
      </c>
      <c r="Q35" s="250">
        <v>168.13200000000001</v>
      </c>
      <c r="R35" s="259">
        <v>0.33999999999999486</v>
      </c>
      <c r="S35" s="191">
        <v>3.7420206911731768E-3</v>
      </c>
      <c r="T35" s="189" t="s">
        <v>486</v>
      </c>
      <c r="U35" s="189" t="s">
        <v>426</v>
      </c>
      <c r="V35" s="189"/>
      <c r="W35" s="196">
        <v>1</v>
      </c>
      <c r="X35" s="189" t="s">
        <v>297</v>
      </c>
    </row>
    <row r="36" spans="2:24">
      <c r="B36" s="531"/>
      <c r="C36" s="531"/>
      <c r="D36" s="200">
        <v>10</v>
      </c>
      <c r="E36" s="189" t="s">
        <v>588</v>
      </c>
      <c r="F36" s="190">
        <v>139.84000000000012</v>
      </c>
      <c r="G36" s="259">
        <v>2.2240000000000002</v>
      </c>
      <c r="H36" s="259">
        <v>2.3000000000000003</v>
      </c>
      <c r="I36" s="201">
        <f t="shared" si="1"/>
        <v>1.0341726618705036</v>
      </c>
      <c r="J36" s="259">
        <v>0</v>
      </c>
      <c r="K36" s="201">
        <f t="shared" si="2"/>
        <v>0</v>
      </c>
      <c r="L36" s="190">
        <v>1840</v>
      </c>
      <c r="M36" s="201">
        <f t="shared" si="3"/>
        <v>1.0341726618705036</v>
      </c>
      <c r="N36" s="190">
        <v>139.84000000000012</v>
      </c>
      <c r="O36" s="259">
        <v>0</v>
      </c>
      <c r="P36" s="191">
        <v>0</v>
      </c>
      <c r="Q36" s="250">
        <v>0</v>
      </c>
      <c r="R36" s="259">
        <v>7.6000000000000068E-2</v>
      </c>
      <c r="S36" s="191">
        <v>3.4172661870503628E-2</v>
      </c>
      <c r="T36" s="189" t="s">
        <v>486</v>
      </c>
      <c r="U36" s="189" t="s">
        <v>490</v>
      </c>
      <c r="V36" s="189"/>
      <c r="W36" s="196">
        <v>1</v>
      </c>
      <c r="X36" s="189" t="s">
        <v>213</v>
      </c>
    </row>
    <row r="37" spans="2:24">
      <c r="B37" s="533">
        <v>45873</v>
      </c>
      <c r="C37" s="531" t="s">
        <v>158</v>
      </c>
      <c r="D37" s="200">
        <v>1</v>
      </c>
      <c r="E37" s="189" t="s">
        <v>507</v>
      </c>
      <c r="F37" s="190">
        <v>247.994699999999</v>
      </c>
      <c r="G37" s="259">
        <v>76.510000000000005</v>
      </c>
      <c r="H37" s="259">
        <v>76.7</v>
      </c>
      <c r="I37" s="201">
        <f t="shared" si="1"/>
        <v>1.0024833355116978</v>
      </c>
      <c r="J37" s="259">
        <v>0.5</v>
      </c>
      <c r="K37" s="201">
        <f t="shared" si="2"/>
        <v>6.5350934518363605E-3</v>
      </c>
      <c r="L37" s="190">
        <v>420.33</v>
      </c>
      <c r="M37" s="201">
        <f t="shared" si="3"/>
        <v>1.0090184289635342</v>
      </c>
      <c r="N37" s="190">
        <v>290.02769999999902</v>
      </c>
      <c r="O37" s="259">
        <v>0.1</v>
      </c>
      <c r="P37" s="191">
        <v>1.3070186903672723E-3</v>
      </c>
      <c r="Q37" s="250">
        <v>42.033000000000001</v>
      </c>
      <c r="R37" s="259">
        <v>0.58999999999999775</v>
      </c>
      <c r="S37" s="191">
        <v>7.7114102731668764E-3</v>
      </c>
      <c r="T37" s="189" t="s">
        <v>486</v>
      </c>
      <c r="U37" s="189" t="s">
        <v>426</v>
      </c>
      <c r="V37" s="189"/>
      <c r="W37" s="196">
        <v>1</v>
      </c>
      <c r="X37" s="189" t="s">
        <v>297</v>
      </c>
    </row>
    <row r="38" spans="2:24">
      <c r="B38" s="531"/>
      <c r="C38" s="531"/>
      <c r="D38" s="200">
        <v>2</v>
      </c>
      <c r="E38" s="189" t="s">
        <v>418</v>
      </c>
      <c r="F38" s="190">
        <v>232.58736000000013</v>
      </c>
      <c r="G38" s="259">
        <v>56.543999999999997</v>
      </c>
      <c r="H38" s="259">
        <v>57.3</v>
      </c>
      <c r="I38" s="201">
        <f t="shared" si="1"/>
        <v>1.0133701188455009</v>
      </c>
      <c r="J38" s="259">
        <v>0</v>
      </c>
      <c r="K38" s="201">
        <f t="shared" si="2"/>
        <v>0</v>
      </c>
      <c r="L38" s="190">
        <v>510.06</v>
      </c>
      <c r="M38" s="201">
        <f t="shared" si="3"/>
        <v>1.0133701188455009</v>
      </c>
      <c r="N38" s="190">
        <v>385.60536000000013</v>
      </c>
      <c r="O38" s="259">
        <v>0.3</v>
      </c>
      <c r="P38" s="191">
        <v>5.3056027164685906E-3</v>
      </c>
      <c r="Q38" s="250">
        <v>153.018</v>
      </c>
      <c r="R38" s="259">
        <v>0.45600000000000024</v>
      </c>
      <c r="S38" s="191">
        <v>8.064516129032263E-3</v>
      </c>
      <c r="T38" s="189" t="s">
        <v>486</v>
      </c>
      <c r="U38" s="189" t="s">
        <v>426</v>
      </c>
      <c r="V38" s="189"/>
      <c r="W38" s="196">
        <v>1</v>
      </c>
      <c r="X38" s="189" t="s">
        <v>261</v>
      </c>
    </row>
    <row r="39" spans="2:24">
      <c r="B39" s="531"/>
      <c r="C39" s="531"/>
      <c r="D39" s="200">
        <v>3</v>
      </c>
      <c r="E39" s="189" t="s">
        <v>482</v>
      </c>
      <c r="F39" s="190">
        <v>229.38524000000007</v>
      </c>
      <c r="G39" s="259">
        <v>7.0289999999999999</v>
      </c>
      <c r="H39" s="259">
        <v>7.5</v>
      </c>
      <c r="I39" s="201">
        <f t="shared" si="1"/>
        <v>1.0670081092616304</v>
      </c>
      <c r="J39" s="259">
        <v>0</v>
      </c>
      <c r="K39" s="201">
        <f t="shared" si="2"/>
        <v>0</v>
      </c>
      <c r="L39" s="190">
        <v>846.44</v>
      </c>
      <c r="M39" s="201">
        <f t="shared" si="3"/>
        <v>1.0670081092616304</v>
      </c>
      <c r="N39" s="190">
        <v>398.67324000000008</v>
      </c>
      <c r="O39" s="259">
        <v>0.2</v>
      </c>
      <c r="P39" s="191">
        <v>2.8453549580310145E-2</v>
      </c>
      <c r="Q39" s="250">
        <v>169.28800000000001</v>
      </c>
      <c r="R39" s="259">
        <v>0.27100000000000007</v>
      </c>
      <c r="S39" s="191">
        <v>3.8554559681320252E-2</v>
      </c>
      <c r="T39" s="189" t="s">
        <v>494</v>
      </c>
      <c r="U39" s="189" t="s">
        <v>495</v>
      </c>
      <c r="V39" s="189"/>
      <c r="W39" s="196">
        <v>1</v>
      </c>
      <c r="X39" s="189" t="s">
        <v>270</v>
      </c>
    </row>
    <row r="40" spans="2:24">
      <c r="B40" s="531"/>
      <c r="C40" s="531"/>
      <c r="D40" s="200">
        <v>4</v>
      </c>
      <c r="E40" s="189" t="s">
        <v>431</v>
      </c>
      <c r="F40" s="190">
        <v>191.57599999999925</v>
      </c>
      <c r="G40" s="259">
        <v>50.295000000000002</v>
      </c>
      <c r="H40" s="259">
        <v>51.594999999999999</v>
      </c>
      <c r="I40" s="201">
        <f t="shared" si="1"/>
        <v>1.0258474997514664</v>
      </c>
      <c r="J40" s="259">
        <v>0</v>
      </c>
      <c r="K40" s="201">
        <f t="shared" si="2"/>
        <v>0</v>
      </c>
      <c r="L40" s="190">
        <v>273.68</v>
      </c>
      <c r="M40" s="201">
        <f t="shared" si="3"/>
        <v>1.0258474997514664</v>
      </c>
      <c r="N40" s="190">
        <v>355.78399999999925</v>
      </c>
      <c r="O40" s="259">
        <v>0.6</v>
      </c>
      <c r="P40" s="191">
        <v>1.1929615269907545E-2</v>
      </c>
      <c r="Q40" s="250">
        <v>164.208</v>
      </c>
      <c r="R40" s="259">
        <v>0.69999999999999718</v>
      </c>
      <c r="S40" s="191">
        <v>1.3917884481558746E-2</v>
      </c>
      <c r="T40" s="189" t="s">
        <v>486</v>
      </c>
      <c r="U40" s="189" t="s">
        <v>426</v>
      </c>
      <c r="V40" s="189"/>
      <c r="W40" s="196">
        <v>1</v>
      </c>
      <c r="X40" s="189" t="s">
        <v>273</v>
      </c>
    </row>
    <row r="41" spans="2:24">
      <c r="B41" s="531"/>
      <c r="C41" s="531"/>
      <c r="D41" s="200">
        <v>5</v>
      </c>
      <c r="E41" s="189" t="s">
        <v>489</v>
      </c>
      <c r="F41" s="190">
        <v>190.82999999999913</v>
      </c>
      <c r="G41" s="259">
        <v>42.207999999999998</v>
      </c>
      <c r="H41" s="259">
        <v>43.507999999999996</v>
      </c>
      <c r="I41" s="201">
        <f t="shared" si="1"/>
        <v>1.0307998483699772</v>
      </c>
      <c r="J41" s="259">
        <v>0</v>
      </c>
      <c r="K41" s="201">
        <f t="shared" si="2"/>
        <v>0</v>
      </c>
      <c r="L41" s="190">
        <v>318.05</v>
      </c>
      <c r="M41" s="201">
        <f t="shared" si="3"/>
        <v>1.0307998483699772</v>
      </c>
      <c r="N41" s="190">
        <v>413.46499999999912</v>
      </c>
      <c r="O41" s="259">
        <v>0.7</v>
      </c>
      <c r="P41" s="191">
        <v>1.6584533737680061E-2</v>
      </c>
      <c r="Q41" s="250">
        <v>222.63499999999999</v>
      </c>
      <c r="R41" s="259">
        <v>0.5999999999999972</v>
      </c>
      <c r="S41" s="191">
        <v>1.4215314632297129E-2</v>
      </c>
      <c r="T41" s="189" t="s">
        <v>486</v>
      </c>
      <c r="U41" s="189" t="s">
        <v>426</v>
      </c>
      <c r="V41" s="189"/>
      <c r="W41" s="196">
        <v>1</v>
      </c>
      <c r="X41" s="189" t="s">
        <v>303</v>
      </c>
    </row>
    <row r="42" spans="2:24">
      <c r="B42" s="531"/>
      <c r="C42" s="531"/>
      <c r="D42" s="200">
        <v>6</v>
      </c>
      <c r="E42" s="189" t="s">
        <v>491</v>
      </c>
      <c r="F42" s="190">
        <v>183.11292528049532</v>
      </c>
      <c r="G42" s="259">
        <v>103.905689768977</v>
      </c>
      <c r="H42" s="259">
        <v>105.1</v>
      </c>
      <c r="I42" s="201">
        <f t="shared" si="1"/>
        <v>1.0114941754746869</v>
      </c>
      <c r="J42" s="259">
        <v>0</v>
      </c>
      <c r="K42" s="201">
        <f t="shared" si="2"/>
        <v>0</v>
      </c>
      <c r="L42" s="190">
        <v>308.11</v>
      </c>
      <c r="M42" s="201">
        <f t="shared" si="3"/>
        <v>1.0114941754746869</v>
      </c>
      <c r="N42" s="190">
        <v>367.97892528049533</v>
      </c>
      <c r="O42" s="259">
        <v>0.6</v>
      </c>
      <c r="P42" s="191">
        <v>5.774467224403541E-3</v>
      </c>
      <c r="Q42" s="250">
        <v>184.86600000000001</v>
      </c>
      <c r="R42" s="259">
        <v>0.59431023102299607</v>
      </c>
      <c r="S42" s="191">
        <v>5.7197082502833119E-3</v>
      </c>
      <c r="T42" s="189" t="s">
        <v>486</v>
      </c>
      <c r="U42" s="189" t="s">
        <v>426</v>
      </c>
      <c r="V42" s="189"/>
      <c r="W42" s="196">
        <v>1</v>
      </c>
      <c r="X42" s="189" t="s">
        <v>320</v>
      </c>
    </row>
    <row r="43" spans="2:24">
      <c r="B43" s="531"/>
      <c r="C43" s="531"/>
      <c r="D43" s="200">
        <v>7</v>
      </c>
      <c r="E43" s="189" t="s">
        <v>589</v>
      </c>
      <c r="F43" s="190">
        <v>180.32000000000056</v>
      </c>
      <c r="G43" s="259">
        <v>3.6019999999999999</v>
      </c>
      <c r="H43" s="259">
        <v>3.7</v>
      </c>
      <c r="I43" s="201">
        <f t="shared" si="1"/>
        <v>1.0272071071626874</v>
      </c>
      <c r="J43" s="259">
        <v>0</v>
      </c>
      <c r="K43" s="201">
        <f t="shared" si="2"/>
        <v>0</v>
      </c>
      <c r="L43" s="190">
        <v>1840</v>
      </c>
      <c r="M43" s="201">
        <f t="shared" si="3"/>
        <v>1.0272071071626874</v>
      </c>
      <c r="N43" s="190">
        <v>180.32000000000056</v>
      </c>
      <c r="O43" s="259">
        <v>0</v>
      </c>
      <c r="P43" s="191">
        <v>0</v>
      </c>
      <c r="Q43" s="250">
        <v>0</v>
      </c>
      <c r="R43" s="259">
        <v>9.8000000000000309E-2</v>
      </c>
      <c r="S43" s="191">
        <v>2.7207107162687483E-2</v>
      </c>
      <c r="T43" s="189" t="s">
        <v>486</v>
      </c>
      <c r="U43" s="189" t="s">
        <v>490</v>
      </c>
      <c r="V43" s="189"/>
      <c r="W43" s="196">
        <v>1</v>
      </c>
      <c r="X43" s="189" t="s">
        <v>419</v>
      </c>
    </row>
    <row r="44" spans="2:24">
      <c r="B44" s="531"/>
      <c r="C44" s="531"/>
      <c r="D44" s="200">
        <v>8</v>
      </c>
      <c r="E44" s="189" t="s">
        <v>485</v>
      </c>
      <c r="F44" s="190">
        <v>176.76870000000019</v>
      </c>
      <c r="G44" s="259">
        <v>25.774000000000001</v>
      </c>
      <c r="H44" s="259">
        <v>26.6</v>
      </c>
      <c r="I44" s="201">
        <f t="shared" si="1"/>
        <v>1.0320478001086366</v>
      </c>
      <c r="J44" s="259">
        <v>0</v>
      </c>
      <c r="K44" s="201">
        <f t="shared" si="2"/>
        <v>0</v>
      </c>
      <c r="L44" s="190">
        <v>414.95</v>
      </c>
      <c r="M44" s="201">
        <f t="shared" si="3"/>
        <v>1.0320478001086366</v>
      </c>
      <c r="N44" s="190">
        <v>342.74870000000021</v>
      </c>
      <c r="O44" s="259">
        <v>0.4</v>
      </c>
      <c r="P44" s="191">
        <v>1.5519515791107318E-2</v>
      </c>
      <c r="Q44" s="250">
        <v>165.98000000000002</v>
      </c>
      <c r="R44" s="259">
        <v>0.42600000000000049</v>
      </c>
      <c r="S44" s="191">
        <v>1.6528284317529313E-2</v>
      </c>
      <c r="T44" s="189" t="s">
        <v>486</v>
      </c>
      <c r="U44" s="189" t="s">
        <v>426</v>
      </c>
      <c r="V44" s="189"/>
      <c r="W44" s="196">
        <v>1</v>
      </c>
      <c r="X44" s="189" t="s">
        <v>304</v>
      </c>
    </row>
    <row r="45" spans="2:24">
      <c r="B45" s="531"/>
      <c r="C45" s="531"/>
      <c r="D45" s="200">
        <v>9</v>
      </c>
      <c r="E45" s="189" t="s">
        <v>409</v>
      </c>
      <c r="F45" s="190">
        <v>174.57599999999834</v>
      </c>
      <c r="G45" s="259">
        <v>29.943999999999999</v>
      </c>
      <c r="H45" s="259">
        <v>29.843999999999998</v>
      </c>
      <c r="I45" s="201">
        <f t="shared" si="1"/>
        <v>0.99666043280790806</v>
      </c>
      <c r="J45" s="259">
        <v>0.4</v>
      </c>
      <c r="K45" s="201">
        <f t="shared" si="2"/>
        <v>1.3358268768367621E-2</v>
      </c>
      <c r="L45" s="190">
        <v>581.91999999999996</v>
      </c>
      <c r="M45" s="201">
        <f t="shared" si="3"/>
        <v>1.0100187015762756</v>
      </c>
      <c r="N45" s="190">
        <v>174.57599999999834</v>
      </c>
      <c r="O45" s="259">
        <v>0</v>
      </c>
      <c r="P45" s="191">
        <v>0</v>
      </c>
      <c r="Q45" s="250">
        <v>0</v>
      </c>
      <c r="R45" s="259">
        <v>0.29999999999999716</v>
      </c>
      <c r="S45" s="191">
        <v>1.0018701576275621E-2</v>
      </c>
      <c r="T45" s="189" t="s">
        <v>483</v>
      </c>
      <c r="U45" s="189" t="s">
        <v>416</v>
      </c>
      <c r="V45" s="189"/>
      <c r="W45" s="196">
        <v>1</v>
      </c>
      <c r="X45" s="189" t="s">
        <v>277</v>
      </c>
    </row>
    <row r="46" spans="2:24">
      <c r="B46" s="531"/>
      <c r="C46" s="531"/>
      <c r="D46" s="200">
        <v>10</v>
      </c>
      <c r="E46" s="189" t="s">
        <v>584</v>
      </c>
      <c r="F46" s="190">
        <v>157.04370000000003</v>
      </c>
      <c r="G46" s="259">
        <v>0.93500000000000005</v>
      </c>
      <c r="H46" s="259">
        <v>1.1000000000000001</v>
      </c>
      <c r="I46" s="201">
        <f t="shared" si="1"/>
        <v>1.1764705882352942</v>
      </c>
      <c r="J46" s="259">
        <v>0</v>
      </c>
      <c r="K46" s="201">
        <f t="shared" si="2"/>
        <v>0</v>
      </c>
      <c r="L46" s="190">
        <v>951.78</v>
      </c>
      <c r="M46" s="201">
        <f t="shared" si="3"/>
        <v>1.1764705882352942</v>
      </c>
      <c r="N46" s="190">
        <v>157.04370000000003</v>
      </c>
      <c r="O46" s="259">
        <v>0</v>
      </c>
      <c r="P46" s="191">
        <v>0</v>
      </c>
      <c r="Q46" s="250">
        <v>0</v>
      </c>
      <c r="R46" s="259">
        <v>0.16500000000000004</v>
      </c>
      <c r="S46" s="191">
        <v>0.17647058823529416</v>
      </c>
      <c r="T46" s="189" t="s">
        <v>486</v>
      </c>
      <c r="U46" s="189" t="s">
        <v>490</v>
      </c>
      <c r="V46" s="189"/>
      <c r="W46" s="196">
        <v>1</v>
      </c>
      <c r="X46" s="189" t="s">
        <v>312</v>
      </c>
    </row>
    <row r="47" spans="2:24">
      <c r="B47" s="533">
        <v>45874</v>
      </c>
      <c r="C47" s="531" t="s">
        <v>159</v>
      </c>
      <c r="D47" s="200">
        <v>1</v>
      </c>
      <c r="E47" s="189" t="s">
        <v>537</v>
      </c>
      <c r="F47" s="190">
        <v>343.06999999999891</v>
      </c>
      <c r="G47" s="259">
        <v>2.6817000000000002</v>
      </c>
      <c r="H47" s="259">
        <v>2.8</v>
      </c>
      <c r="I47" s="201">
        <f t="shared" si="1"/>
        <v>1.044113808405116</v>
      </c>
      <c r="J47" s="259">
        <v>0</v>
      </c>
      <c r="K47" s="201">
        <f t="shared" si="2"/>
        <v>0</v>
      </c>
      <c r="L47" s="190">
        <v>2900</v>
      </c>
      <c r="M47" s="201">
        <f t="shared" si="3"/>
        <v>1.044113808405116</v>
      </c>
      <c r="N47" s="190">
        <v>343.06999999999891</v>
      </c>
      <c r="O47" s="259">
        <v>0</v>
      </c>
      <c r="P47" s="191">
        <v>0</v>
      </c>
      <c r="Q47" s="250">
        <v>0</v>
      </c>
      <c r="R47" s="259">
        <v>0.11829999999999963</v>
      </c>
      <c r="S47" s="191">
        <v>4.4113808405116015E-2</v>
      </c>
      <c r="T47" s="189" t="s">
        <v>486</v>
      </c>
      <c r="U47" s="189" t="s">
        <v>490</v>
      </c>
      <c r="V47" s="189"/>
      <c r="W47" s="196">
        <v>1</v>
      </c>
      <c r="X47" s="189" t="s">
        <v>533</v>
      </c>
    </row>
    <row r="48" spans="2:24">
      <c r="B48" s="531"/>
      <c r="C48" s="531"/>
      <c r="D48" s="200">
        <v>2</v>
      </c>
      <c r="E48" s="189" t="s">
        <v>438</v>
      </c>
      <c r="F48" s="190">
        <v>307.96350000000808</v>
      </c>
      <c r="G48" s="259">
        <v>175.95</v>
      </c>
      <c r="H48" s="259">
        <v>176.9</v>
      </c>
      <c r="I48" s="201">
        <f t="shared" si="1"/>
        <v>1.005399261153737</v>
      </c>
      <c r="J48" s="259">
        <v>0</v>
      </c>
      <c r="K48" s="201">
        <f t="shared" si="2"/>
        <v>0</v>
      </c>
      <c r="L48" s="190">
        <v>473.79</v>
      </c>
      <c r="M48" s="201">
        <f t="shared" si="3"/>
        <v>1.005399261153737</v>
      </c>
      <c r="N48" s="190">
        <v>450.10050000000808</v>
      </c>
      <c r="O48" s="259">
        <v>0.3</v>
      </c>
      <c r="P48" s="191">
        <v>1.7050298380221654E-3</v>
      </c>
      <c r="Q48" s="250">
        <v>142.137</v>
      </c>
      <c r="R48" s="259">
        <v>0.65000000000001701</v>
      </c>
      <c r="S48" s="191">
        <v>3.6942313157147886E-3</v>
      </c>
      <c r="T48" s="189" t="s">
        <v>486</v>
      </c>
      <c r="U48" s="189" t="s">
        <v>426</v>
      </c>
      <c r="V48" s="189"/>
      <c r="W48" s="196">
        <v>1</v>
      </c>
      <c r="X48" s="189" t="s">
        <v>417</v>
      </c>
    </row>
    <row r="49" spans="2:24">
      <c r="B49" s="531"/>
      <c r="C49" s="531"/>
      <c r="D49" s="200">
        <v>3</v>
      </c>
      <c r="E49" s="189" t="s">
        <v>441</v>
      </c>
      <c r="F49" s="190">
        <v>263.32399999999973</v>
      </c>
      <c r="G49" s="259">
        <v>9.84</v>
      </c>
      <c r="H49" s="259">
        <v>10.44</v>
      </c>
      <c r="I49" s="201">
        <f t="shared" si="1"/>
        <v>1.0609756097560976</v>
      </c>
      <c r="J49" s="259">
        <v>0</v>
      </c>
      <c r="K49" s="201">
        <f t="shared" si="2"/>
        <v>0</v>
      </c>
      <c r="L49" s="190">
        <v>658.31</v>
      </c>
      <c r="M49" s="201">
        <f t="shared" si="3"/>
        <v>1.0609756097560976</v>
      </c>
      <c r="N49" s="190">
        <v>394.98599999999971</v>
      </c>
      <c r="O49" s="259">
        <v>0.2</v>
      </c>
      <c r="P49" s="191">
        <v>2.0325203252032523E-2</v>
      </c>
      <c r="Q49" s="250">
        <v>131.66200000000001</v>
      </c>
      <c r="R49" s="259">
        <v>0.39999999999999963</v>
      </c>
      <c r="S49" s="191">
        <v>4.0650406504065005E-2</v>
      </c>
      <c r="T49" s="189" t="s">
        <v>486</v>
      </c>
      <c r="U49" s="189" t="s">
        <v>426</v>
      </c>
      <c r="V49" s="189"/>
      <c r="W49" s="196">
        <v>1</v>
      </c>
      <c r="X49" s="189" t="s">
        <v>293</v>
      </c>
    </row>
    <row r="50" spans="2:24">
      <c r="B50" s="531"/>
      <c r="C50" s="531"/>
      <c r="D50" s="200">
        <v>4</v>
      </c>
      <c r="E50" s="189" t="s">
        <v>532</v>
      </c>
      <c r="F50" s="190">
        <v>260.62800000000095</v>
      </c>
      <c r="G50" s="259">
        <v>45.972000000000001</v>
      </c>
      <c r="H50" s="259">
        <v>46.572000000000003</v>
      </c>
      <c r="I50" s="201">
        <f t="shared" si="1"/>
        <v>1.013051422605064</v>
      </c>
      <c r="J50" s="259">
        <v>0</v>
      </c>
      <c r="K50" s="201">
        <f t="shared" si="2"/>
        <v>0</v>
      </c>
      <c r="L50" s="190">
        <v>651.57000000000005</v>
      </c>
      <c r="M50" s="201">
        <f t="shared" si="3"/>
        <v>1.013051422605064</v>
      </c>
      <c r="N50" s="190">
        <v>390.94200000000097</v>
      </c>
      <c r="O50" s="259">
        <v>0.2</v>
      </c>
      <c r="P50" s="191">
        <v>4.350474201687984E-3</v>
      </c>
      <c r="Q50" s="250">
        <v>130.31400000000002</v>
      </c>
      <c r="R50" s="259">
        <v>0.40000000000000141</v>
      </c>
      <c r="S50" s="191">
        <v>8.7009484033759976E-3</v>
      </c>
      <c r="T50" s="189" t="s">
        <v>483</v>
      </c>
      <c r="U50" s="189" t="s">
        <v>416</v>
      </c>
      <c r="V50" s="189"/>
      <c r="W50" s="196">
        <v>1</v>
      </c>
      <c r="X50" s="189" t="s">
        <v>533</v>
      </c>
    </row>
    <row r="51" spans="2:24">
      <c r="B51" s="531"/>
      <c r="C51" s="531"/>
      <c r="D51" s="200">
        <v>5</v>
      </c>
      <c r="E51" s="189" t="s">
        <v>566</v>
      </c>
      <c r="F51" s="190">
        <v>256.16799999999773</v>
      </c>
      <c r="G51" s="259">
        <v>83.731999999999999</v>
      </c>
      <c r="H51" s="259">
        <v>84.6</v>
      </c>
      <c r="I51" s="201">
        <f t="shared" si="1"/>
        <v>1.0103664071083933</v>
      </c>
      <c r="J51" s="259">
        <v>0</v>
      </c>
      <c r="K51" s="201">
        <f t="shared" si="2"/>
        <v>0</v>
      </c>
      <c r="L51" s="190">
        <v>451</v>
      </c>
      <c r="M51" s="201">
        <f t="shared" si="3"/>
        <v>1.0103664071083933</v>
      </c>
      <c r="N51" s="190">
        <v>391.46799999999774</v>
      </c>
      <c r="O51" s="259">
        <v>0.3</v>
      </c>
      <c r="P51" s="191">
        <v>3.582859599675154E-3</v>
      </c>
      <c r="Q51" s="250">
        <v>135.29999999999998</v>
      </c>
      <c r="R51" s="259">
        <v>0.56799999999999495</v>
      </c>
      <c r="S51" s="191">
        <v>6.7835475087182316E-3</v>
      </c>
      <c r="T51" s="189" t="s">
        <v>486</v>
      </c>
      <c r="U51" s="189" t="s">
        <v>426</v>
      </c>
      <c r="V51" s="189"/>
      <c r="W51" s="196">
        <v>1</v>
      </c>
      <c r="X51" s="189" t="s">
        <v>284</v>
      </c>
    </row>
    <row r="52" spans="2:24">
      <c r="B52" s="531"/>
      <c r="C52" s="531"/>
      <c r="D52" s="200">
        <v>6</v>
      </c>
      <c r="E52" s="189" t="s">
        <v>491</v>
      </c>
      <c r="F52" s="190">
        <v>246.48799999999915</v>
      </c>
      <c r="G52" s="259">
        <v>101.632719471947</v>
      </c>
      <c r="H52" s="259">
        <v>102.932719471947</v>
      </c>
      <c r="I52" s="201">
        <f t="shared" si="1"/>
        <v>1.0127911563003962</v>
      </c>
      <c r="J52" s="259">
        <v>0</v>
      </c>
      <c r="K52" s="201">
        <f t="shared" si="2"/>
        <v>0</v>
      </c>
      <c r="L52" s="190">
        <v>308.11</v>
      </c>
      <c r="M52" s="201">
        <f t="shared" si="3"/>
        <v>1.0127911563003962</v>
      </c>
      <c r="N52" s="190">
        <v>400.54299999999915</v>
      </c>
      <c r="O52" s="259">
        <v>0.5</v>
      </c>
      <c r="P52" s="191">
        <v>4.9196755001524057E-3</v>
      </c>
      <c r="Q52" s="250">
        <v>154.05500000000001</v>
      </c>
      <c r="R52" s="259">
        <v>0.79999999999999716</v>
      </c>
      <c r="S52" s="191">
        <v>7.871480800243821E-3</v>
      </c>
      <c r="T52" s="189" t="s">
        <v>483</v>
      </c>
      <c r="U52" s="189" t="s">
        <v>416</v>
      </c>
      <c r="V52" s="189"/>
      <c r="W52" s="196">
        <v>1</v>
      </c>
      <c r="X52" s="189" t="s">
        <v>320</v>
      </c>
    </row>
    <row r="53" spans="2:24">
      <c r="B53" s="531"/>
      <c r="C53" s="531"/>
      <c r="D53" s="200">
        <v>7</v>
      </c>
      <c r="E53" s="189" t="s">
        <v>569</v>
      </c>
      <c r="F53" s="190">
        <v>236.28176000000039</v>
      </c>
      <c r="G53" s="259">
        <v>8.3279999999999994</v>
      </c>
      <c r="H53" s="259">
        <v>8.2279999999999998</v>
      </c>
      <c r="I53" s="201">
        <f t="shared" si="1"/>
        <v>0.98799231508165231</v>
      </c>
      <c r="J53" s="259">
        <v>0.6720000000000006</v>
      </c>
      <c r="K53" s="201">
        <f t="shared" si="2"/>
        <v>8.0691642651296913E-2</v>
      </c>
      <c r="L53" s="190">
        <v>413.08</v>
      </c>
      <c r="M53" s="201">
        <f t="shared" si="3"/>
        <v>1.0686839577329492</v>
      </c>
      <c r="N53" s="190">
        <v>236.28176000000039</v>
      </c>
      <c r="O53" s="259">
        <v>0</v>
      </c>
      <c r="P53" s="191">
        <v>0</v>
      </c>
      <c r="Q53" s="250">
        <v>0</v>
      </c>
      <c r="R53" s="259">
        <v>0.57200000000000095</v>
      </c>
      <c r="S53" s="191">
        <v>6.8683957732949205E-2</v>
      </c>
      <c r="T53" s="189" t="s">
        <v>486</v>
      </c>
      <c r="U53" s="189" t="s">
        <v>426</v>
      </c>
      <c r="V53" s="189"/>
      <c r="W53" s="196">
        <v>1</v>
      </c>
      <c r="X53" s="189" t="s">
        <v>548</v>
      </c>
    </row>
    <row r="54" spans="2:24">
      <c r="B54" s="531"/>
      <c r="C54" s="531"/>
      <c r="D54" s="200">
        <v>8</v>
      </c>
      <c r="E54" s="189" t="s">
        <v>418</v>
      </c>
      <c r="F54" s="190">
        <v>233.60748000000063</v>
      </c>
      <c r="G54" s="259">
        <v>99.141999999999996</v>
      </c>
      <c r="H54" s="259">
        <v>99.8</v>
      </c>
      <c r="I54" s="201">
        <f t="shared" si="1"/>
        <v>1.0066369449879971</v>
      </c>
      <c r="J54" s="259">
        <v>0</v>
      </c>
      <c r="K54" s="201">
        <f t="shared" si="2"/>
        <v>0</v>
      </c>
      <c r="L54" s="190">
        <v>510.06</v>
      </c>
      <c r="M54" s="201">
        <f t="shared" si="3"/>
        <v>1.0066369449879971</v>
      </c>
      <c r="N54" s="190">
        <v>335.61948000000064</v>
      </c>
      <c r="O54" s="259">
        <v>0.2</v>
      </c>
      <c r="P54" s="191">
        <v>2.0173085069899741E-3</v>
      </c>
      <c r="Q54" s="250">
        <v>102.012</v>
      </c>
      <c r="R54" s="259">
        <v>0.45800000000000124</v>
      </c>
      <c r="S54" s="191">
        <v>4.6196364810070535E-3</v>
      </c>
      <c r="T54" s="189" t="s">
        <v>486</v>
      </c>
      <c r="U54" s="189" t="s">
        <v>426</v>
      </c>
      <c r="V54" s="189"/>
      <c r="W54" s="196">
        <v>1</v>
      </c>
      <c r="X54" s="189" t="s">
        <v>261</v>
      </c>
    </row>
    <row r="55" spans="2:24">
      <c r="B55" s="531"/>
      <c r="C55" s="531"/>
      <c r="D55" s="200">
        <v>9</v>
      </c>
      <c r="E55" s="189" t="s">
        <v>521</v>
      </c>
      <c r="F55" s="190">
        <v>233.4241199999999</v>
      </c>
      <c r="G55" s="259">
        <v>92.256</v>
      </c>
      <c r="H55" s="259">
        <v>93</v>
      </c>
      <c r="I55" s="201">
        <f t="shared" si="1"/>
        <v>1.0080645161290323</v>
      </c>
      <c r="J55" s="259">
        <v>0</v>
      </c>
      <c r="K55" s="201">
        <f t="shared" si="2"/>
        <v>0</v>
      </c>
      <c r="L55" s="190">
        <v>525.73</v>
      </c>
      <c r="M55" s="201">
        <f t="shared" si="3"/>
        <v>1.0080645161290323</v>
      </c>
      <c r="N55" s="190">
        <v>391.1431199999999</v>
      </c>
      <c r="O55" s="259">
        <v>0.3</v>
      </c>
      <c r="P55" s="191">
        <v>3.2518210197710717E-3</v>
      </c>
      <c r="Q55" s="250">
        <v>157.71899999999999</v>
      </c>
      <c r="R55" s="259">
        <v>0.44399999999999978</v>
      </c>
      <c r="S55" s="191">
        <v>4.8126951092611839E-3</v>
      </c>
      <c r="T55" s="189" t="s">
        <v>486</v>
      </c>
      <c r="U55" s="189" t="s">
        <v>426</v>
      </c>
      <c r="V55" s="189"/>
      <c r="W55" s="196">
        <v>1</v>
      </c>
      <c r="X55" s="189" t="s">
        <v>285</v>
      </c>
    </row>
    <row r="56" spans="2:24">
      <c r="B56" s="531"/>
      <c r="C56" s="531"/>
      <c r="D56" s="200">
        <v>10</v>
      </c>
      <c r="E56" s="189" t="s">
        <v>434</v>
      </c>
      <c r="F56" s="190">
        <v>223.11449999999908</v>
      </c>
      <c r="G56" s="259">
        <v>86.025000000000006</v>
      </c>
      <c r="H56" s="259">
        <v>87.2</v>
      </c>
      <c r="I56" s="201">
        <f t="shared" si="1"/>
        <v>1.0136588201104331</v>
      </c>
      <c r="J56" s="259">
        <v>0</v>
      </c>
      <c r="K56" s="201">
        <f t="shared" si="2"/>
        <v>0</v>
      </c>
      <c r="L56" s="190">
        <v>330.54</v>
      </c>
      <c r="M56" s="201">
        <f t="shared" si="3"/>
        <v>1.0136588201104331</v>
      </c>
      <c r="N56" s="190">
        <v>388.38449999999909</v>
      </c>
      <c r="O56" s="259">
        <v>0.5</v>
      </c>
      <c r="P56" s="191">
        <v>5.8122638767800052E-3</v>
      </c>
      <c r="Q56" s="250">
        <v>165.27</v>
      </c>
      <c r="R56" s="259">
        <v>0.67499999999999716</v>
      </c>
      <c r="S56" s="191">
        <v>7.8465562336529748E-3</v>
      </c>
      <c r="T56" s="189" t="s">
        <v>486</v>
      </c>
      <c r="U56" s="189" t="s">
        <v>426</v>
      </c>
      <c r="V56" s="189"/>
      <c r="W56" s="196">
        <v>1</v>
      </c>
      <c r="X56" s="189" t="s">
        <v>280</v>
      </c>
    </row>
    <row r="57" spans="2:24">
      <c r="B57" s="533">
        <v>45875</v>
      </c>
      <c r="C57" s="531" t="s">
        <v>160</v>
      </c>
      <c r="D57" s="200">
        <v>1</v>
      </c>
      <c r="E57" s="189" t="s">
        <v>537</v>
      </c>
      <c r="F57" s="190">
        <v>360.18000000000023</v>
      </c>
      <c r="G57" s="259">
        <v>1.6758</v>
      </c>
      <c r="H57" s="259">
        <v>1.8</v>
      </c>
      <c r="I57" s="201">
        <f t="shared" si="1"/>
        <v>1.0741138560687433</v>
      </c>
      <c r="J57" s="259">
        <v>0</v>
      </c>
      <c r="K57" s="201">
        <f t="shared" si="2"/>
        <v>0</v>
      </c>
      <c r="L57" s="190">
        <v>2900</v>
      </c>
      <c r="M57" s="201">
        <f t="shared" si="3"/>
        <v>1.0741138560687433</v>
      </c>
      <c r="N57" s="190">
        <v>360.18000000000023</v>
      </c>
      <c r="O57" s="259">
        <v>0</v>
      </c>
      <c r="P57" s="191">
        <v>0</v>
      </c>
      <c r="Q57" s="250">
        <v>0</v>
      </c>
      <c r="R57" s="259">
        <v>0.12420000000000009</v>
      </c>
      <c r="S57" s="191">
        <v>7.4113856068743336E-2</v>
      </c>
      <c r="T57" s="189" t="s">
        <v>486</v>
      </c>
      <c r="U57" s="189" t="s">
        <v>490</v>
      </c>
      <c r="V57" s="189"/>
      <c r="W57" s="196">
        <v>1</v>
      </c>
      <c r="X57" s="189" t="s">
        <v>533</v>
      </c>
    </row>
    <row r="58" spans="2:24">
      <c r="B58" s="531"/>
      <c r="C58" s="531"/>
      <c r="D58" s="200">
        <v>2</v>
      </c>
      <c r="E58" s="189" t="s">
        <v>504</v>
      </c>
      <c r="F58" s="190">
        <v>335.85996000000029</v>
      </c>
      <c r="G58" s="259">
        <v>11.539</v>
      </c>
      <c r="H58" s="259">
        <v>12</v>
      </c>
      <c r="I58" s="201">
        <f t="shared" si="1"/>
        <v>1.03995146893145</v>
      </c>
      <c r="J58" s="259">
        <v>0</v>
      </c>
      <c r="K58" s="201">
        <f t="shared" si="2"/>
        <v>0</v>
      </c>
      <c r="L58" s="190">
        <v>930.36</v>
      </c>
      <c r="M58" s="201">
        <f t="shared" si="3"/>
        <v>1.03995146893145</v>
      </c>
      <c r="N58" s="190">
        <v>428.89596000000029</v>
      </c>
      <c r="O58" s="259">
        <v>0.1</v>
      </c>
      <c r="P58" s="191">
        <v>8.6662622410954154E-3</v>
      </c>
      <c r="Q58" s="250">
        <v>93.036000000000001</v>
      </c>
      <c r="R58" s="259">
        <v>0.36100000000000032</v>
      </c>
      <c r="S58" s="191">
        <v>3.1285206690354478E-2</v>
      </c>
      <c r="T58" s="189" t="s">
        <v>486</v>
      </c>
      <c r="U58" s="189" t="s">
        <v>490</v>
      </c>
      <c r="V58" s="189"/>
      <c r="W58" s="196">
        <v>1</v>
      </c>
      <c r="X58" s="189" t="s">
        <v>271</v>
      </c>
    </row>
    <row r="59" spans="2:24">
      <c r="B59" s="531"/>
      <c r="C59" s="531"/>
      <c r="D59" s="200">
        <v>3</v>
      </c>
      <c r="E59" s="189" t="s">
        <v>590</v>
      </c>
      <c r="F59" s="190">
        <v>304.42632000000043</v>
      </c>
      <c r="G59" s="259">
        <v>19.431999999999999</v>
      </c>
      <c r="H59" s="259">
        <v>20.5</v>
      </c>
      <c r="I59" s="201">
        <f t="shared" si="1"/>
        <v>1.0549608892548374</v>
      </c>
      <c r="J59" s="259">
        <v>0</v>
      </c>
      <c r="K59" s="201">
        <f t="shared" si="2"/>
        <v>0</v>
      </c>
      <c r="L59" s="190">
        <v>314.49</v>
      </c>
      <c r="M59" s="201">
        <f t="shared" si="3"/>
        <v>1.0549608892548374</v>
      </c>
      <c r="N59" s="190">
        <v>335.87532000000044</v>
      </c>
      <c r="O59" s="259">
        <v>0.1</v>
      </c>
      <c r="P59" s="191">
        <v>5.1461506792918905E-3</v>
      </c>
      <c r="Q59" s="250">
        <v>31.449000000000002</v>
      </c>
      <c r="R59" s="259">
        <v>0.96800000000000141</v>
      </c>
      <c r="S59" s="191">
        <v>4.9814738575545567E-2</v>
      </c>
      <c r="T59" s="189" t="s">
        <v>514</v>
      </c>
      <c r="U59" s="189" t="s">
        <v>400</v>
      </c>
      <c r="V59" s="189"/>
      <c r="W59" s="196">
        <v>1</v>
      </c>
      <c r="X59" s="189" t="s">
        <v>591</v>
      </c>
    </row>
    <row r="60" spans="2:24">
      <c r="B60" s="531"/>
      <c r="C60" s="531"/>
      <c r="D60" s="200">
        <v>4</v>
      </c>
      <c r="E60" s="189" t="s">
        <v>559</v>
      </c>
      <c r="F60" s="190">
        <v>296.43199999999979</v>
      </c>
      <c r="G60" s="259">
        <v>7.992</v>
      </c>
      <c r="H60" s="259">
        <v>8.8919999999999995</v>
      </c>
      <c r="I60" s="201">
        <f t="shared" si="1"/>
        <v>1.1126126126126126</v>
      </c>
      <c r="J60" s="259">
        <v>0</v>
      </c>
      <c r="K60" s="201">
        <f t="shared" si="2"/>
        <v>0</v>
      </c>
      <c r="L60" s="190">
        <v>370.54</v>
      </c>
      <c r="M60" s="201">
        <f t="shared" si="3"/>
        <v>1.1126126126126126</v>
      </c>
      <c r="N60" s="190">
        <v>333.48599999999982</v>
      </c>
      <c r="O60" s="259">
        <v>0.1</v>
      </c>
      <c r="P60" s="191">
        <v>1.2512512512512513E-2</v>
      </c>
      <c r="Q60" s="250">
        <v>37.054000000000002</v>
      </c>
      <c r="R60" s="259">
        <v>0.79999999999999949</v>
      </c>
      <c r="S60" s="191">
        <v>0.10010010010010004</v>
      </c>
      <c r="T60" s="189" t="s">
        <v>494</v>
      </c>
      <c r="U60" s="189" t="s">
        <v>495</v>
      </c>
      <c r="V60" s="189"/>
      <c r="W60" s="196">
        <v>1</v>
      </c>
      <c r="X60" s="189" t="s">
        <v>228</v>
      </c>
    </row>
    <row r="61" spans="2:24">
      <c r="B61" s="531"/>
      <c r="C61" s="531"/>
      <c r="D61" s="200">
        <v>5</v>
      </c>
      <c r="E61" s="189" t="s">
        <v>438</v>
      </c>
      <c r="F61" s="190">
        <v>284.27400000000273</v>
      </c>
      <c r="G61" s="259">
        <v>110.239</v>
      </c>
      <c r="H61" s="259">
        <v>111.13900000000001</v>
      </c>
      <c r="I61" s="201">
        <f t="shared" si="1"/>
        <v>1.0081640798628435</v>
      </c>
      <c r="J61" s="259">
        <v>0</v>
      </c>
      <c r="K61" s="201">
        <f t="shared" si="2"/>
        <v>0</v>
      </c>
      <c r="L61" s="190">
        <v>473.79</v>
      </c>
      <c r="M61" s="201">
        <f t="shared" si="3"/>
        <v>1.0081640798628435</v>
      </c>
      <c r="N61" s="190">
        <v>426.41100000000273</v>
      </c>
      <c r="O61" s="259">
        <v>0.3</v>
      </c>
      <c r="P61" s="191">
        <v>2.7213599542811524E-3</v>
      </c>
      <c r="Q61" s="250">
        <v>142.137</v>
      </c>
      <c r="R61" s="259">
        <v>0.60000000000000564</v>
      </c>
      <c r="S61" s="191">
        <v>5.4427199085623568E-3</v>
      </c>
      <c r="T61" s="189" t="s">
        <v>486</v>
      </c>
      <c r="U61" s="189" t="s">
        <v>426</v>
      </c>
      <c r="V61" s="189"/>
      <c r="W61" s="196">
        <v>1</v>
      </c>
      <c r="X61" s="189" t="s">
        <v>417</v>
      </c>
    </row>
    <row r="62" spans="2:24">
      <c r="B62" s="531"/>
      <c r="C62" s="531"/>
      <c r="D62" s="200">
        <v>6</v>
      </c>
      <c r="E62" s="189" t="s">
        <v>499</v>
      </c>
      <c r="F62" s="190">
        <v>278.87999999999948</v>
      </c>
      <c r="G62" s="259">
        <v>18.204000000000001</v>
      </c>
      <c r="H62" s="259">
        <v>19.103999999999999</v>
      </c>
      <c r="I62" s="201">
        <f t="shared" si="1"/>
        <v>1.0494396835860249</v>
      </c>
      <c r="J62" s="259">
        <v>0</v>
      </c>
      <c r="K62" s="201">
        <f t="shared" si="2"/>
        <v>0</v>
      </c>
      <c r="L62" s="190">
        <v>348.6</v>
      </c>
      <c r="M62" s="201">
        <f t="shared" si="3"/>
        <v>1.0494396835860249</v>
      </c>
      <c r="N62" s="190">
        <v>313.7399999999995</v>
      </c>
      <c r="O62" s="259">
        <v>0.1</v>
      </c>
      <c r="P62" s="191">
        <v>5.4932981762250057E-3</v>
      </c>
      <c r="Q62" s="250">
        <v>34.860000000000007</v>
      </c>
      <c r="R62" s="259">
        <v>0.7999999999999986</v>
      </c>
      <c r="S62" s="191">
        <v>4.3946385409799962E-2</v>
      </c>
      <c r="T62" s="189" t="s">
        <v>494</v>
      </c>
      <c r="U62" s="189" t="s">
        <v>500</v>
      </c>
      <c r="V62" s="189"/>
      <c r="W62" s="196">
        <v>1</v>
      </c>
      <c r="X62" s="189" t="s">
        <v>266</v>
      </c>
    </row>
    <row r="63" spans="2:24">
      <c r="B63" s="531"/>
      <c r="C63" s="531"/>
      <c r="D63" s="200">
        <v>7</v>
      </c>
      <c r="E63" s="189" t="s">
        <v>541</v>
      </c>
      <c r="F63" s="190">
        <v>259.79099999999949</v>
      </c>
      <c r="G63" s="259">
        <v>53.886000000000003</v>
      </c>
      <c r="H63" s="259">
        <v>54.786000000000001</v>
      </c>
      <c r="I63" s="201">
        <f t="shared" si="1"/>
        <v>1.0167019262888319</v>
      </c>
      <c r="J63" s="259">
        <v>0</v>
      </c>
      <c r="K63" s="201">
        <f t="shared" si="2"/>
        <v>0</v>
      </c>
      <c r="L63" s="190">
        <v>371.13</v>
      </c>
      <c r="M63" s="201">
        <f t="shared" si="3"/>
        <v>1.0167019262888319</v>
      </c>
      <c r="N63" s="190">
        <v>334.01699999999948</v>
      </c>
      <c r="O63" s="259">
        <v>0.2</v>
      </c>
      <c r="P63" s="191">
        <v>3.7115391752959954E-3</v>
      </c>
      <c r="Q63" s="250">
        <v>74.225999999999999</v>
      </c>
      <c r="R63" s="259">
        <v>0.69999999999999862</v>
      </c>
      <c r="S63" s="191">
        <v>1.2990387113535957E-2</v>
      </c>
      <c r="T63" s="189" t="s">
        <v>483</v>
      </c>
      <c r="U63" s="189" t="s">
        <v>416</v>
      </c>
      <c r="V63" s="189"/>
      <c r="W63" s="196">
        <v>1</v>
      </c>
      <c r="X63" s="189" t="s">
        <v>314</v>
      </c>
    </row>
    <row r="64" spans="2:24">
      <c r="B64" s="531"/>
      <c r="C64" s="531"/>
      <c r="D64" s="200">
        <v>8</v>
      </c>
      <c r="E64" s="189" t="s">
        <v>561</v>
      </c>
      <c r="F64" s="190">
        <v>257.27999999999992</v>
      </c>
      <c r="G64" s="259">
        <v>3.8340000000000001</v>
      </c>
      <c r="H64" s="259">
        <v>4.5339999999999998</v>
      </c>
      <c r="I64" s="201">
        <f t="shared" si="1"/>
        <v>1.1825769431403232</v>
      </c>
      <c r="J64" s="259">
        <v>0</v>
      </c>
      <c r="K64" s="201">
        <f t="shared" si="2"/>
        <v>0</v>
      </c>
      <c r="L64" s="190">
        <v>428.8</v>
      </c>
      <c r="M64" s="201">
        <f t="shared" si="3"/>
        <v>1.1825769431403232</v>
      </c>
      <c r="N64" s="190">
        <v>300.15999999999991</v>
      </c>
      <c r="O64" s="259">
        <v>0.1</v>
      </c>
      <c r="P64" s="191">
        <v>2.6082420448617631E-2</v>
      </c>
      <c r="Q64" s="250">
        <v>42.88</v>
      </c>
      <c r="R64" s="259">
        <v>0.59999999999999976</v>
      </c>
      <c r="S64" s="191">
        <v>0.15649452269170572</v>
      </c>
      <c r="T64" s="189" t="s">
        <v>514</v>
      </c>
      <c r="U64" s="189" t="s">
        <v>400</v>
      </c>
      <c r="V64" s="189"/>
      <c r="W64" s="196">
        <v>1</v>
      </c>
      <c r="X64" s="189" t="s">
        <v>245</v>
      </c>
    </row>
    <row r="65" spans="2:24">
      <c r="B65" s="531"/>
      <c r="C65" s="531"/>
      <c r="D65" s="200">
        <v>9</v>
      </c>
      <c r="E65" s="189" t="s">
        <v>422</v>
      </c>
      <c r="F65" s="190">
        <v>250.16399999999939</v>
      </c>
      <c r="G65" s="259">
        <v>107.59</v>
      </c>
      <c r="H65" s="259">
        <v>108.89</v>
      </c>
      <c r="I65" s="201">
        <f t="shared" si="1"/>
        <v>1.0120829073333952</v>
      </c>
      <c r="J65" s="259">
        <v>0</v>
      </c>
      <c r="K65" s="201">
        <f t="shared" si="2"/>
        <v>0</v>
      </c>
      <c r="L65" s="190">
        <v>208.47</v>
      </c>
      <c r="M65" s="201">
        <f t="shared" si="3"/>
        <v>1.0120829073333952</v>
      </c>
      <c r="N65" s="190">
        <v>271.0109999999994</v>
      </c>
      <c r="O65" s="259">
        <v>0.1</v>
      </c>
      <c r="P65" s="191">
        <v>9.2945441026117672E-4</v>
      </c>
      <c r="Q65" s="250">
        <v>20.847000000000001</v>
      </c>
      <c r="R65" s="259">
        <v>1.1999999999999971</v>
      </c>
      <c r="S65" s="191">
        <v>1.1153452923134093E-2</v>
      </c>
      <c r="T65" s="189" t="s">
        <v>483</v>
      </c>
      <c r="U65" s="189" t="s">
        <v>416</v>
      </c>
      <c r="V65" s="189"/>
      <c r="W65" s="196">
        <v>1</v>
      </c>
      <c r="X65" s="189" t="s">
        <v>305</v>
      </c>
    </row>
    <row r="66" spans="2:24">
      <c r="B66" s="531"/>
      <c r="C66" s="531"/>
      <c r="D66" s="200">
        <v>10</v>
      </c>
      <c r="E66" s="189" t="s">
        <v>592</v>
      </c>
      <c r="F66" s="190">
        <v>249.9</v>
      </c>
      <c r="G66" s="259">
        <v>165.64</v>
      </c>
      <c r="H66" s="259">
        <v>167.14</v>
      </c>
      <c r="I66" s="201">
        <f t="shared" si="1"/>
        <v>1.0090557836271432</v>
      </c>
      <c r="J66" s="259">
        <v>0</v>
      </c>
      <c r="K66" s="201">
        <f t="shared" si="2"/>
        <v>0</v>
      </c>
      <c r="L66" s="190">
        <v>178.5</v>
      </c>
      <c r="M66" s="201">
        <f t="shared" si="3"/>
        <v>1.0090557836271432</v>
      </c>
      <c r="N66" s="190">
        <v>267.75</v>
      </c>
      <c r="O66" s="259">
        <v>0.1</v>
      </c>
      <c r="P66" s="191">
        <v>6.0371890847621358E-4</v>
      </c>
      <c r="Q66" s="250">
        <v>17.850000000000001</v>
      </c>
      <c r="R66" s="259">
        <v>1.4</v>
      </c>
      <c r="S66" s="191">
        <v>8.4520647186669892E-3</v>
      </c>
      <c r="T66" s="189" t="s">
        <v>483</v>
      </c>
      <c r="U66" s="189" t="s">
        <v>416</v>
      </c>
      <c r="V66" s="189"/>
      <c r="W66" s="196">
        <v>1</v>
      </c>
      <c r="X66" s="189" t="s">
        <v>593</v>
      </c>
    </row>
    <row r="67" spans="2:24">
      <c r="B67" s="533">
        <v>45876</v>
      </c>
      <c r="C67" s="531" t="s">
        <v>161</v>
      </c>
      <c r="D67" s="200">
        <v>1</v>
      </c>
      <c r="E67" s="189" t="s">
        <v>521</v>
      </c>
      <c r="F67" s="190">
        <v>368.01100000000002</v>
      </c>
      <c r="G67" s="259">
        <v>55.008000000000003</v>
      </c>
      <c r="H67" s="259">
        <v>56.008000000000003</v>
      </c>
      <c r="I67" s="201">
        <f t="shared" si="1"/>
        <v>1.0181791739383363</v>
      </c>
      <c r="J67" s="259">
        <v>0</v>
      </c>
      <c r="K67" s="201">
        <f t="shared" si="2"/>
        <v>0</v>
      </c>
      <c r="L67" s="190">
        <v>525.73</v>
      </c>
      <c r="M67" s="201">
        <f t="shared" si="3"/>
        <v>1.0181791739383363</v>
      </c>
      <c r="N67" s="190">
        <v>525.73</v>
      </c>
      <c r="O67" s="259">
        <v>0.3</v>
      </c>
      <c r="P67" s="191">
        <v>5.4537521815008717E-3</v>
      </c>
      <c r="Q67" s="250">
        <v>157.71899999999999</v>
      </c>
      <c r="R67" s="259">
        <v>0.7</v>
      </c>
      <c r="S67" s="191">
        <v>1.2725421756835368E-2</v>
      </c>
      <c r="T67" s="189" t="s">
        <v>486</v>
      </c>
      <c r="U67" s="189" t="s">
        <v>426</v>
      </c>
      <c r="V67" s="189"/>
      <c r="W67" s="196">
        <v>1</v>
      </c>
      <c r="X67" s="189" t="s">
        <v>285</v>
      </c>
    </row>
    <row r="68" spans="2:24">
      <c r="B68" s="531"/>
      <c r="C68" s="531"/>
      <c r="D68" s="200">
        <v>2</v>
      </c>
      <c r="E68" s="189" t="s">
        <v>438</v>
      </c>
      <c r="F68" s="190">
        <v>331.65300000000275</v>
      </c>
      <c r="G68" s="259">
        <v>104.765</v>
      </c>
      <c r="H68" s="259">
        <v>105.66500000000001</v>
      </c>
      <c r="I68" s="201">
        <f t="shared" si="1"/>
        <v>1.0085906552760942</v>
      </c>
      <c r="J68" s="259">
        <v>0</v>
      </c>
      <c r="K68" s="201">
        <f t="shared" si="2"/>
        <v>0</v>
      </c>
      <c r="L68" s="190">
        <v>473.79</v>
      </c>
      <c r="M68" s="201">
        <f t="shared" si="3"/>
        <v>1.0085906552760942</v>
      </c>
      <c r="N68" s="190">
        <v>426.41100000000273</v>
      </c>
      <c r="O68" s="259">
        <v>0.2</v>
      </c>
      <c r="P68" s="191">
        <v>1.9090345057986924E-3</v>
      </c>
      <c r="Q68" s="250">
        <v>94.75800000000001</v>
      </c>
      <c r="R68" s="259">
        <v>0.70000000000000573</v>
      </c>
      <c r="S68" s="191">
        <v>6.6816207702954777E-3</v>
      </c>
      <c r="T68" s="189" t="s">
        <v>486</v>
      </c>
      <c r="U68" s="189" t="s">
        <v>426</v>
      </c>
      <c r="V68" s="189"/>
      <c r="W68" s="196">
        <v>1</v>
      </c>
      <c r="X68" s="189" t="s">
        <v>417</v>
      </c>
    </row>
    <row r="69" spans="2:24">
      <c r="B69" s="531"/>
      <c r="C69" s="531"/>
      <c r="D69" s="200">
        <v>3</v>
      </c>
      <c r="E69" s="189" t="s">
        <v>557</v>
      </c>
      <c r="F69" s="190">
        <v>310.43000000000046</v>
      </c>
      <c r="G69" s="259">
        <v>18.472999999999999</v>
      </c>
      <c r="H69" s="259">
        <v>19.573</v>
      </c>
      <c r="I69" s="201">
        <f t="shared" si="1"/>
        <v>1.0595463649650843</v>
      </c>
      <c r="J69" s="259">
        <v>0</v>
      </c>
      <c r="K69" s="201">
        <f t="shared" si="2"/>
        <v>0</v>
      </c>
      <c r="L69" s="190">
        <v>310.43</v>
      </c>
      <c r="M69" s="201">
        <f t="shared" si="3"/>
        <v>1.0595463649650843</v>
      </c>
      <c r="N69" s="190">
        <v>341.47300000000047</v>
      </c>
      <c r="O69" s="259">
        <v>0.1</v>
      </c>
      <c r="P69" s="191">
        <v>5.4133059059167437E-3</v>
      </c>
      <c r="Q69" s="250">
        <v>31.043000000000003</v>
      </c>
      <c r="R69" s="259">
        <v>1.0000000000000013</v>
      </c>
      <c r="S69" s="191">
        <v>5.4133059059167508E-2</v>
      </c>
      <c r="T69" s="189" t="s">
        <v>486</v>
      </c>
      <c r="U69" s="189" t="s">
        <v>426</v>
      </c>
      <c r="V69" s="189"/>
      <c r="W69" s="196">
        <v>1</v>
      </c>
      <c r="X69" s="189" t="s">
        <v>270</v>
      </c>
    </row>
    <row r="70" spans="2:24">
      <c r="B70" s="531"/>
      <c r="C70" s="531"/>
      <c r="D70" s="200">
        <v>4</v>
      </c>
      <c r="E70" s="189" t="s">
        <v>594</v>
      </c>
      <c r="F70" s="190">
        <v>279.15259999999995</v>
      </c>
      <c r="G70" s="259">
        <v>9.08</v>
      </c>
      <c r="H70" s="259">
        <v>9.08</v>
      </c>
      <c r="I70" s="201">
        <f t="shared" si="1"/>
        <v>1</v>
      </c>
      <c r="J70" s="259">
        <v>0.91999999999999993</v>
      </c>
      <c r="K70" s="201">
        <f t="shared" si="2"/>
        <v>0.1013215859030837</v>
      </c>
      <c r="L70" s="190">
        <v>340.43</v>
      </c>
      <c r="M70" s="201">
        <f t="shared" si="3"/>
        <v>1.1013215859030836</v>
      </c>
      <c r="N70" s="190">
        <v>313.19559999999996</v>
      </c>
      <c r="O70" s="259">
        <v>0.1</v>
      </c>
      <c r="P70" s="191">
        <v>1.1013215859030838E-2</v>
      </c>
      <c r="Q70" s="250">
        <v>34.042999999999999</v>
      </c>
      <c r="R70" s="259">
        <v>0.82</v>
      </c>
      <c r="S70" s="191">
        <v>9.0308370044052858E-2</v>
      </c>
      <c r="T70" s="189" t="s">
        <v>494</v>
      </c>
      <c r="U70" s="189" t="s">
        <v>495</v>
      </c>
      <c r="V70" s="189"/>
      <c r="W70" s="196">
        <v>1</v>
      </c>
      <c r="X70" s="189" t="s">
        <v>302</v>
      </c>
    </row>
    <row r="71" spans="2:24">
      <c r="B71" s="531"/>
      <c r="C71" s="531"/>
      <c r="D71" s="200">
        <v>5</v>
      </c>
      <c r="E71" s="189" t="s">
        <v>491</v>
      </c>
      <c r="F71" s="190">
        <v>246.48800000000173</v>
      </c>
      <c r="G71" s="259">
        <v>99.664943894389495</v>
      </c>
      <c r="H71" s="259">
        <v>100.5649438943895</v>
      </c>
      <c r="I71" s="201">
        <f t="shared" si="1"/>
        <v>1.009030256425506</v>
      </c>
      <c r="J71" s="259">
        <v>0</v>
      </c>
      <c r="K71" s="201">
        <f t="shared" si="2"/>
        <v>0</v>
      </c>
      <c r="L71" s="190">
        <v>308.11</v>
      </c>
      <c r="M71" s="201">
        <f t="shared" si="3"/>
        <v>1.009030256425506</v>
      </c>
      <c r="N71" s="190">
        <v>277.29900000000174</v>
      </c>
      <c r="O71" s="259">
        <v>0.1</v>
      </c>
      <c r="P71" s="191">
        <v>1.003361825056216E-3</v>
      </c>
      <c r="Q71" s="250">
        <v>30.811000000000003</v>
      </c>
      <c r="R71" s="259">
        <v>0.80000000000000571</v>
      </c>
      <c r="S71" s="191">
        <v>8.0268946004497833E-3</v>
      </c>
      <c r="T71" s="189" t="s">
        <v>483</v>
      </c>
      <c r="U71" s="189" t="s">
        <v>416</v>
      </c>
      <c r="V71" s="189"/>
      <c r="W71" s="196">
        <v>1</v>
      </c>
      <c r="X71" s="189" t="s">
        <v>320</v>
      </c>
    </row>
    <row r="72" spans="2:24">
      <c r="B72" s="531"/>
      <c r="C72" s="531"/>
      <c r="D72" s="200">
        <v>6</v>
      </c>
      <c r="E72" s="189" t="s">
        <v>502</v>
      </c>
      <c r="F72" s="190">
        <v>238.48306999999969</v>
      </c>
      <c r="G72" s="259">
        <v>11.319000000000001</v>
      </c>
      <c r="H72" s="259">
        <v>11.319000000000001</v>
      </c>
      <c r="I72" s="201">
        <f t="shared" ref="I72:I135" si="15">H72/G72</f>
        <v>1</v>
      </c>
      <c r="J72" s="259">
        <v>0.68099999999999916</v>
      </c>
      <c r="K72" s="201">
        <f t="shared" ref="K72:K135" si="16">J72/G72</f>
        <v>6.0164325470447838E-2</v>
      </c>
      <c r="L72" s="190">
        <v>410.47</v>
      </c>
      <c r="M72" s="201">
        <f t="shared" ref="M72:M135" si="17">(H72+J72)/G72</f>
        <v>1.0601643254704478</v>
      </c>
      <c r="N72" s="190">
        <v>279.53006999999968</v>
      </c>
      <c r="O72" s="259">
        <v>0.1</v>
      </c>
      <c r="P72" s="191">
        <v>8.8347027122537333E-3</v>
      </c>
      <c r="Q72" s="250">
        <v>41.047000000000004</v>
      </c>
      <c r="R72" s="259">
        <v>0.58099999999999918</v>
      </c>
      <c r="S72" s="191">
        <v>5.132962275819411E-2</v>
      </c>
      <c r="T72" s="189" t="s">
        <v>483</v>
      </c>
      <c r="U72" s="189" t="s">
        <v>416</v>
      </c>
      <c r="V72" s="189"/>
      <c r="W72" s="196">
        <v>1</v>
      </c>
      <c r="X72" s="189" t="s">
        <v>230</v>
      </c>
    </row>
    <row r="73" spans="2:24">
      <c r="B73" s="531"/>
      <c r="C73" s="531"/>
      <c r="D73" s="200">
        <v>7</v>
      </c>
      <c r="E73" s="189" t="s">
        <v>586</v>
      </c>
      <c r="F73" s="190">
        <v>233.79199999999975</v>
      </c>
      <c r="G73" s="259">
        <v>56.813375661375701</v>
      </c>
      <c r="H73" s="259">
        <v>58.2133756613757</v>
      </c>
      <c r="I73" s="201">
        <f t="shared" si="15"/>
        <v>1.024642084433504</v>
      </c>
      <c r="J73" s="259">
        <v>0</v>
      </c>
      <c r="K73" s="201">
        <f t="shared" si="16"/>
        <v>0</v>
      </c>
      <c r="L73" s="190">
        <v>179.84</v>
      </c>
      <c r="M73" s="201">
        <f t="shared" si="17"/>
        <v>1.024642084433504</v>
      </c>
      <c r="N73" s="190">
        <v>251.77599999999975</v>
      </c>
      <c r="O73" s="259">
        <v>0.1</v>
      </c>
      <c r="P73" s="191">
        <v>1.7601488881074272E-3</v>
      </c>
      <c r="Q73" s="250">
        <v>17.984000000000002</v>
      </c>
      <c r="R73" s="259">
        <v>1.2999999999999985</v>
      </c>
      <c r="S73" s="191">
        <v>2.2881935545396526E-2</v>
      </c>
      <c r="T73" s="189" t="s">
        <v>483</v>
      </c>
      <c r="U73" s="189" t="s">
        <v>416</v>
      </c>
      <c r="V73" s="189"/>
      <c r="W73" s="196">
        <v>1</v>
      </c>
      <c r="X73" s="189" t="s">
        <v>282</v>
      </c>
    </row>
    <row r="74" spans="2:24">
      <c r="B74" s="531"/>
      <c r="C74" s="531"/>
      <c r="D74" s="200">
        <v>8</v>
      </c>
      <c r="E74" s="189" t="s">
        <v>540</v>
      </c>
      <c r="F74" s="190">
        <v>212.62199999999973</v>
      </c>
      <c r="G74" s="259">
        <v>18.7</v>
      </c>
      <c r="H74" s="259">
        <v>19.399999999999999</v>
      </c>
      <c r="I74" s="201">
        <f t="shared" si="15"/>
        <v>1.0374331550802138</v>
      </c>
      <c r="J74" s="259">
        <v>0</v>
      </c>
      <c r="K74" s="201">
        <f t="shared" si="16"/>
        <v>0</v>
      </c>
      <c r="L74" s="190">
        <v>354.37</v>
      </c>
      <c r="M74" s="201">
        <f t="shared" si="17"/>
        <v>1.0374331550802138</v>
      </c>
      <c r="N74" s="190">
        <v>248.05899999999974</v>
      </c>
      <c r="O74" s="259">
        <v>0.1</v>
      </c>
      <c r="P74" s="191">
        <v>5.3475935828877011E-3</v>
      </c>
      <c r="Q74" s="250">
        <v>35.437000000000005</v>
      </c>
      <c r="R74" s="259">
        <v>0.59999999999999931</v>
      </c>
      <c r="S74" s="191">
        <v>3.2085561497326165E-2</v>
      </c>
      <c r="T74" s="189" t="s">
        <v>483</v>
      </c>
      <c r="U74" s="189" t="s">
        <v>416</v>
      </c>
      <c r="V74" s="189"/>
      <c r="W74" s="196">
        <v>1</v>
      </c>
      <c r="X74" s="189" t="s">
        <v>267</v>
      </c>
    </row>
    <row r="75" spans="2:24">
      <c r="B75" s="531"/>
      <c r="C75" s="531"/>
      <c r="D75" s="200">
        <v>9</v>
      </c>
      <c r="E75" s="189" t="s">
        <v>537</v>
      </c>
      <c r="F75" s="190">
        <v>207.93000000000029</v>
      </c>
      <c r="G75" s="259">
        <v>1.7282999999999999</v>
      </c>
      <c r="H75" s="259">
        <v>1.8</v>
      </c>
      <c r="I75" s="201">
        <f t="shared" si="15"/>
        <v>1.0414858531504947</v>
      </c>
      <c r="J75" s="259">
        <v>0</v>
      </c>
      <c r="K75" s="201">
        <f t="shared" si="16"/>
        <v>0</v>
      </c>
      <c r="L75" s="190">
        <v>2900</v>
      </c>
      <c r="M75" s="201">
        <f t="shared" si="17"/>
        <v>1.0414858531504947</v>
      </c>
      <c r="N75" s="190">
        <v>207.93000000000029</v>
      </c>
      <c r="O75" s="259">
        <v>0</v>
      </c>
      <c r="P75" s="191">
        <v>0</v>
      </c>
      <c r="Q75" s="250">
        <v>0</v>
      </c>
      <c r="R75" s="259">
        <v>7.1700000000000097E-2</v>
      </c>
      <c r="S75" s="191">
        <v>4.1485853150494766E-2</v>
      </c>
      <c r="T75" s="189" t="s">
        <v>486</v>
      </c>
      <c r="U75" s="189" t="s">
        <v>490</v>
      </c>
      <c r="V75" s="189"/>
      <c r="W75" s="196">
        <v>1</v>
      </c>
      <c r="X75" s="189" t="s">
        <v>533</v>
      </c>
    </row>
    <row r="76" spans="2:24">
      <c r="B76" s="531"/>
      <c r="C76" s="531"/>
      <c r="D76" s="200">
        <v>10</v>
      </c>
      <c r="E76" s="189" t="s">
        <v>434</v>
      </c>
      <c r="F76" s="190">
        <v>198.32400000000001</v>
      </c>
      <c r="G76" s="259">
        <v>66.650000000000006</v>
      </c>
      <c r="H76" s="259">
        <v>67.650000000000006</v>
      </c>
      <c r="I76" s="201">
        <f t="shared" si="15"/>
        <v>1.0150037509377345</v>
      </c>
      <c r="J76" s="259">
        <v>0</v>
      </c>
      <c r="K76" s="201">
        <f t="shared" si="16"/>
        <v>0</v>
      </c>
      <c r="L76" s="190">
        <v>330.54</v>
      </c>
      <c r="M76" s="201">
        <f t="shared" si="17"/>
        <v>1.0150037509377345</v>
      </c>
      <c r="N76" s="190">
        <v>330.54</v>
      </c>
      <c r="O76" s="259">
        <v>0.4</v>
      </c>
      <c r="P76" s="191">
        <v>6.0015003750937736E-3</v>
      </c>
      <c r="Q76" s="250">
        <v>132.21600000000001</v>
      </c>
      <c r="R76" s="259">
        <v>0.6</v>
      </c>
      <c r="S76" s="191">
        <v>9.0022505626406596E-3</v>
      </c>
      <c r="T76" s="189" t="s">
        <v>486</v>
      </c>
      <c r="U76" s="189" t="s">
        <v>426</v>
      </c>
      <c r="V76" s="189"/>
      <c r="W76" s="196">
        <v>1</v>
      </c>
      <c r="X76" s="189" t="s">
        <v>280</v>
      </c>
    </row>
    <row r="77" spans="2:24">
      <c r="B77" s="533">
        <v>45877</v>
      </c>
      <c r="C77" s="531" t="s">
        <v>156</v>
      </c>
      <c r="D77" s="200">
        <v>1</v>
      </c>
      <c r="E77" s="189" t="s">
        <v>590</v>
      </c>
      <c r="F77" s="190">
        <v>248.44709999999975</v>
      </c>
      <c r="G77" s="259">
        <v>17.71</v>
      </c>
      <c r="H77" s="259">
        <v>18.5</v>
      </c>
      <c r="I77" s="201">
        <f t="shared" si="15"/>
        <v>1.0446075663466967</v>
      </c>
      <c r="J77" s="259">
        <v>0</v>
      </c>
      <c r="K77" s="201">
        <f t="shared" si="16"/>
        <v>0</v>
      </c>
      <c r="L77" s="190">
        <v>314.49</v>
      </c>
      <c r="M77" s="201">
        <f t="shared" si="17"/>
        <v>1.0446075663466967</v>
      </c>
      <c r="N77" s="190">
        <v>248.44709999999975</v>
      </c>
      <c r="O77" s="259">
        <v>0</v>
      </c>
      <c r="P77" s="191">
        <v>0</v>
      </c>
      <c r="Q77" s="250">
        <v>0</v>
      </c>
      <c r="R77" s="259">
        <v>0.78999999999999915</v>
      </c>
      <c r="S77" s="191">
        <v>4.4607566346696728E-2</v>
      </c>
      <c r="T77" s="189" t="s">
        <v>483</v>
      </c>
      <c r="U77" s="189" t="s">
        <v>416</v>
      </c>
      <c r="V77" s="189"/>
      <c r="W77" s="196">
        <v>1</v>
      </c>
      <c r="X77" s="189" t="s">
        <v>591</v>
      </c>
    </row>
    <row r="78" spans="2:24">
      <c r="B78" s="531"/>
      <c r="C78" s="531"/>
      <c r="D78" s="200">
        <v>2</v>
      </c>
      <c r="E78" s="189" t="s">
        <v>487</v>
      </c>
      <c r="F78" s="190">
        <v>241.04999999999987</v>
      </c>
      <c r="G78" s="259">
        <v>15.231999999999999</v>
      </c>
      <c r="H78" s="259">
        <v>15.831999999999999</v>
      </c>
      <c r="I78" s="201">
        <f t="shared" si="15"/>
        <v>1.0393907563025211</v>
      </c>
      <c r="J78" s="259">
        <v>0</v>
      </c>
      <c r="K78" s="201">
        <f t="shared" si="16"/>
        <v>0</v>
      </c>
      <c r="L78" s="190">
        <v>401.75</v>
      </c>
      <c r="M78" s="201">
        <f t="shared" si="17"/>
        <v>1.0393907563025211</v>
      </c>
      <c r="N78" s="190">
        <v>241.04999999999987</v>
      </c>
      <c r="O78" s="259">
        <v>0</v>
      </c>
      <c r="P78" s="191">
        <v>0</v>
      </c>
      <c r="Q78" s="250">
        <v>0</v>
      </c>
      <c r="R78" s="259">
        <v>0.59999999999999964</v>
      </c>
      <c r="S78" s="191">
        <v>3.9390756302520986E-2</v>
      </c>
      <c r="T78" s="189" t="s">
        <v>483</v>
      </c>
      <c r="U78" s="189" t="s">
        <v>416</v>
      </c>
      <c r="V78" s="189"/>
      <c r="W78" s="196">
        <v>1</v>
      </c>
      <c r="X78" s="189" t="s">
        <v>213</v>
      </c>
    </row>
    <row r="79" spans="2:24">
      <c r="B79" s="531"/>
      <c r="C79" s="531"/>
      <c r="D79" s="200">
        <v>3</v>
      </c>
      <c r="E79" s="189" t="s">
        <v>586</v>
      </c>
      <c r="F79" s="190">
        <v>233.79199999999949</v>
      </c>
      <c r="G79" s="259">
        <v>57.008507936507939</v>
      </c>
      <c r="H79" s="259">
        <v>58.308507936507937</v>
      </c>
      <c r="I79" s="201">
        <f t="shared" si="15"/>
        <v>1.0228036138298489</v>
      </c>
      <c r="J79" s="259">
        <v>0</v>
      </c>
      <c r="K79" s="201">
        <f t="shared" si="16"/>
        <v>0</v>
      </c>
      <c r="L79" s="190">
        <v>179.84</v>
      </c>
      <c r="M79" s="201">
        <f t="shared" si="17"/>
        <v>1.0228036138298489</v>
      </c>
      <c r="N79" s="190">
        <v>233.79199999999949</v>
      </c>
      <c r="O79" s="259">
        <v>0</v>
      </c>
      <c r="P79" s="191">
        <v>0</v>
      </c>
      <c r="Q79" s="250">
        <v>0</v>
      </c>
      <c r="R79" s="259">
        <v>1.2999999999999972</v>
      </c>
      <c r="S79" s="191">
        <v>2.2803613829848794E-2</v>
      </c>
      <c r="T79" s="189" t="s">
        <v>483</v>
      </c>
      <c r="U79" s="189" t="s">
        <v>416</v>
      </c>
      <c r="V79" s="189"/>
      <c r="W79" s="196">
        <v>1</v>
      </c>
      <c r="X79" s="189" t="s">
        <v>282</v>
      </c>
    </row>
    <row r="80" spans="2:24">
      <c r="B80" s="531"/>
      <c r="C80" s="531"/>
      <c r="D80" s="200">
        <v>4</v>
      </c>
      <c r="E80" s="189" t="s">
        <v>427</v>
      </c>
      <c r="F80" s="190">
        <v>233.52251999999959</v>
      </c>
      <c r="G80" s="259">
        <v>14.592000000000001</v>
      </c>
      <c r="H80" s="259">
        <v>15</v>
      </c>
      <c r="I80" s="201">
        <f t="shared" si="15"/>
        <v>1.0279605263157894</v>
      </c>
      <c r="J80" s="259">
        <v>0</v>
      </c>
      <c r="K80" s="201">
        <f t="shared" si="16"/>
        <v>0</v>
      </c>
      <c r="L80" s="190">
        <v>758.19</v>
      </c>
      <c r="M80" s="201">
        <f t="shared" si="17"/>
        <v>1.0279605263157894</v>
      </c>
      <c r="N80" s="190">
        <v>309.3415199999996</v>
      </c>
      <c r="O80" s="259">
        <v>0.1</v>
      </c>
      <c r="P80" s="191">
        <v>6.853070175438597E-3</v>
      </c>
      <c r="Q80" s="250">
        <v>75.819000000000003</v>
      </c>
      <c r="R80" s="259">
        <v>0.3079999999999995</v>
      </c>
      <c r="S80" s="191">
        <v>2.1107456140350842E-2</v>
      </c>
      <c r="T80" s="189" t="s">
        <v>483</v>
      </c>
      <c r="U80" s="189" t="s">
        <v>416</v>
      </c>
      <c r="V80" s="189"/>
      <c r="W80" s="196">
        <v>1</v>
      </c>
      <c r="X80" s="189" t="s">
        <v>323</v>
      </c>
    </row>
    <row r="81" spans="2:24">
      <c r="B81" s="531"/>
      <c r="C81" s="531"/>
      <c r="D81" s="200">
        <v>5</v>
      </c>
      <c r="E81" s="189" t="s">
        <v>506</v>
      </c>
      <c r="F81" s="190">
        <v>213.465</v>
      </c>
      <c r="G81" s="259">
        <v>9.99</v>
      </c>
      <c r="H81" s="259">
        <v>13.09</v>
      </c>
      <c r="I81" s="201">
        <f t="shared" si="15"/>
        <v>1.3103103103103102</v>
      </c>
      <c r="J81" s="259">
        <v>0</v>
      </c>
      <c r="K81" s="201">
        <f t="shared" si="16"/>
        <v>0</v>
      </c>
      <c r="L81" s="190">
        <v>101.65</v>
      </c>
      <c r="M81" s="201">
        <f t="shared" si="17"/>
        <v>1.3103103103103102</v>
      </c>
      <c r="N81" s="190">
        <v>315.11500000000001</v>
      </c>
      <c r="O81" s="259">
        <v>1</v>
      </c>
      <c r="P81" s="191">
        <v>0.10010010010010009</v>
      </c>
      <c r="Q81" s="250">
        <v>101.65</v>
      </c>
      <c r="R81" s="259">
        <v>2.0999999999999996</v>
      </c>
      <c r="S81" s="191">
        <v>0.21021021021021016</v>
      </c>
      <c r="T81" s="189" t="s">
        <v>494</v>
      </c>
      <c r="U81" s="189" t="s">
        <v>495</v>
      </c>
      <c r="V81" s="189"/>
      <c r="W81" s="196">
        <v>1</v>
      </c>
      <c r="X81" s="189" t="s">
        <v>276</v>
      </c>
    </row>
    <row r="82" spans="2:24">
      <c r="B82" s="531"/>
      <c r="C82" s="531"/>
      <c r="D82" s="200">
        <v>6</v>
      </c>
      <c r="E82" s="189" t="s">
        <v>594</v>
      </c>
      <c r="F82" s="190">
        <v>204.2579999999999</v>
      </c>
      <c r="G82" s="259">
        <v>6.242</v>
      </c>
      <c r="H82" s="259">
        <v>6.8419999999999996</v>
      </c>
      <c r="I82" s="201">
        <f t="shared" si="15"/>
        <v>1.0961230374879845</v>
      </c>
      <c r="J82" s="259">
        <v>0</v>
      </c>
      <c r="K82" s="201">
        <f t="shared" si="16"/>
        <v>0</v>
      </c>
      <c r="L82" s="190">
        <v>340.43</v>
      </c>
      <c r="M82" s="201">
        <f t="shared" si="17"/>
        <v>1.0961230374879845</v>
      </c>
      <c r="N82" s="190">
        <v>204.2579999999999</v>
      </c>
      <c r="O82" s="259">
        <v>0</v>
      </c>
      <c r="P82" s="191">
        <v>0</v>
      </c>
      <c r="Q82" s="250">
        <v>0</v>
      </c>
      <c r="R82" s="259">
        <v>0.59999999999999964</v>
      </c>
      <c r="S82" s="191">
        <v>9.6123037487984564E-2</v>
      </c>
      <c r="T82" s="189" t="s">
        <v>494</v>
      </c>
      <c r="U82" s="189" t="s">
        <v>500</v>
      </c>
      <c r="V82" s="189"/>
      <c r="W82" s="196">
        <v>1</v>
      </c>
      <c r="X82" s="189" t="s">
        <v>302</v>
      </c>
    </row>
    <row r="83" spans="2:24">
      <c r="B83" s="531"/>
      <c r="C83" s="531"/>
      <c r="D83" s="200">
        <v>7</v>
      </c>
      <c r="E83" s="189" t="s">
        <v>521</v>
      </c>
      <c r="F83" s="190">
        <v>201.88031999999794</v>
      </c>
      <c r="G83" s="259">
        <v>33.216000000000001</v>
      </c>
      <c r="H83" s="259">
        <v>33.799999999999997</v>
      </c>
      <c r="I83" s="201">
        <f t="shared" si="15"/>
        <v>1.0175818882466281</v>
      </c>
      <c r="J83" s="259">
        <v>0</v>
      </c>
      <c r="K83" s="201">
        <f t="shared" si="16"/>
        <v>0</v>
      </c>
      <c r="L83" s="190">
        <v>525.73</v>
      </c>
      <c r="M83" s="201">
        <f t="shared" si="17"/>
        <v>1.0175818882466281</v>
      </c>
      <c r="N83" s="190">
        <v>307.02631999999795</v>
      </c>
      <c r="O83" s="259">
        <v>0.2</v>
      </c>
      <c r="P83" s="191">
        <v>6.0211946050096341E-3</v>
      </c>
      <c r="Q83" s="250">
        <v>105.14600000000002</v>
      </c>
      <c r="R83" s="259">
        <v>0.38399999999999607</v>
      </c>
      <c r="S83" s="191">
        <v>1.1560693641618379E-2</v>
      </c>
      <c r="T83" s="189" t="s">
        <v>486</v>
      </c>
      <c r="U83" s="189" t="s">
        <v>426</v>
      </c>
      <c r="V83" s="189"/>
      <c r="W83" s="196">
        <v>1</v>
      </c>
      <c r="X83" s="189" t="s">
        <v>285</v>
      </c>
    </row>
    <row r="84" spans="2:24">
      <c r="B84" s="531"/>
      <c r="C84" s="531"/>
      <c r="D84" s="200">
        <v>8</v>
      </c>
      <c r="E84" s="189" t="s">
        <v>532</v>
      </c>
      <c r="F84" s="190">
        <v>200.68355999999943</v>
      </c>
      <c r="G84" s="259">
        <v>29.891999999999999</v>
      </c>
      <c r="H84" s="259">
        <v>30.4</v>
      </c>
      <c r="I84" s="201">
        <f t="shared" si="15"/>
        <v>1.0169945135822294</v>
      </c>
      <c r="J84" s="259">
        <v>0</v>
      </c>
      <c r="K84" s="201">
        <f t="shared" si="16"/>
        <v>0</v>
      </c>
      <c r="L84" s="190">
        <v>651.57000000000005</v>
      </c>
      <c r="M84" s="201">
        <f t="shared" si="17"/>
        <v>1.0169945135822294</v>
      </c>
      <c r="N84" s="190">
        <v>330.99755999999945</v>
      </c>
      <c r="O84" s="259">
        <v>0.2</v>
      </c>
      <c r="P84" s="191">
        <v>6.6907533788304564E-3</v>
      </c>
      <c r="Q84" s="250">
        <v>130.31400000000002</v>
      </c>
      <c r="R84" s="259">
        <v>0.30799999999999911</v>
      </c>
      <c r="S84" s="191">
        <v>1.0303760203398873E-2</v>
      </c>
      <c r="T84" s="189" t="s">
        <v>483</v>
      </c>
      <c r="U84" s="189" t="s">
        <v>416</v>
      </c>
      <c r="V84" s="189"/>
      <c r="W84" s="196">
        <v>1</v>
      </c>
      <c r="X84" s="189" t="s">
        <v>533</v>
      </c>
    </row>
    <row r="85" spans="2:24">
      <c r="B85" s="531"/>
      <c r="C85" s="531"/>
      <c r="D85" s="200">
        <v>9</v>
      </c>
      <c r="E85" s="189" t="s">
        <v>595</v>
      </c>
      <c r="F85" s="190">
        <v>197.8240000000001</v>
      </c>
      <c r="G85" s="259">
        <v>6.0685714285714303</v>
      </c>
      <c r="H85" s="259">
        <v>7.1685714285714308</v>
      </c>
      <c r="I85" s="201">
        <f t="shared" si="15"/>
        <v>1.1812617702448212</v>
      </c>
      <c r="J85" s="259">
        <v>0</v>
      </c>
      <c r="K85" s="201">
        <f t="shared" si="16"/>
        <v>0</v>
      </c>
      <c r="L85" s="190">
        <v>179.84</v>
      </c>
      <c r="M85" s="201">
        <f t="shared" si="17"/>
        <v>1.1812617702448212</v>
      </c>
      <c r="N85" s="190">
        <v>197.8240000000001</v>
      </c>
      <c r="O85" s="259">
        <v>0</v>
      </c>
      <c r="P85" s="191">
        <v>0</v>
      </c>
      <c r="Q85" s="250">
        <v>0</v>
      </c>
      <c r="R85" s="259">
        <v>1.1000000000000005</v>
      </c>
      <c r="S85" s="191">
        <v>0.18126177024482112</v>
      </c>
      <c r="T85" s="189" t="s">
        <v>494</v>
      </c>
      <c r="U85" s="189" t="s">
        <v>495</v>
      </c>
      <c r="V85" s="189"/>
      <c r="W85" s="196">
        <v>1</v>
      </c>
      <c r="X85" s="189" t="s">
        <v>320</v>
      </c>
    </row>
    <row r="86" spans="2:24">
      <c r="B86" s="531"/>
      <c r="C86" s="531"/>
      <c r="D86" s="200">
        <v>10</v>
      </c>
      <c r="E86" s="189" t="s">
        <v>579</v>
      </c>
      <c r="F86" s="190">
        <v>194.63639999999964</v>
      </c>
      <c r="G86" s="259">
        <v>4.6710000000000003</v>
      </c>
      <c r="H86" s="259">
        <v>5.0999999999999996</v>
      </c>
      <c r="I86" s="201">
        <f t="shared" si="15"/>
        <v>1.0918432883750802</v>
      </c>
      <c r="J86" s="259">
        <v>0</v>
      </c>
      <c r="K86" s="201">
        <f t="shared" si="16"/>
        <v>0</v>
      </c>
      <c r="L86" s="190">
        <v>591.6</v>
      </c>
      <c r="M86" s="201">
        <f t="shared" si="17"/>
        <v>1.0918432883750802</v>
      </c>
      <c r="N86" s="190">
        <v>253.79639999999964</v>
      </c>
      <c r="O86" s="259">
        <v>0.1</v>
      </c>
      <c r="P86" s="191">
        <v>2.1408691928923144E-2</v>
      </c>
      <c r="Q86" s="250">
        <v>59.160000000000004</v>
      </c>
      <c r="R86" s="259">
        <v>0.3289999999999994</v>
      </c>
      <c r="S86" s="191">
        <v>7.0434596446157002E-2</v>
      </c>
      <c r="T86" s="189" t="s">
        <v>483</v>
      </c>
      <c r="U86" s="189" t="s">
        <v>416</v>
      </c>
      <c r="V86" s="189"/>
      <c r="W86" s="196">
        <v>1</v>
      </c>
      <c r="X86" s="189" t="s">
        <v>245</v>
      </c>
    </row>
    <row r="87" spans="2:24">
      <c r="B87" s="533">
        <v>45878</v>
      </c>
      <c r="C87" s="531" t="s">
        <v>157</v>
      </c>
      <c r="D87" s="200">
        <v>1</v>
      </c>
      <c r="E87" s="189" t="s">
        <v>521</v>
      </c>
      <c r="F87" s="190">
        <v>195.57155999999844</v>
      </c>
      <c r="G87" s="259">
        <v>38.328000000000003</v>
      </c>
      <c r="H87" s="259">
        <v>39</v>
      </c>
      <c r="I87" s="201">
        <f t="shared" si="15"/>
        <v>1.0175328741390106</v>
      </c>
      <c r="J87" s="259">
        <v>0</v>
      </c>
      <c r="K87" s="201">
        <f t="shared" si="16"/>
        <v>0</v>
      </c>
      <c r="L87" s="190">
        <v>525.73</v>
      </c>
      <c r="M87" s="201">
        <f t="shared" si="17"/>
        <v>1.0175328741390106</v>
      </c>
      <c r="N87" s="190">
        <v>353.29055999999844</v>
      </c>
      <c r="O87" s="259">
        <v>0.3</v>
      </c>
      <c r="P87" s="191">
        <v>7.8271759549154649E-3</v>
      </c>
      <c r="Q87" s="250">
        <v>157.71899999999999</v>
      </c>
      <c r="R87" s="259">
        <v>0.37199999999999706</v>
      </c>
      <c r="S87" s="191">
        <v>9.7056981840951007E-3</v>
      </c>
      <c r="T87" s="189" t="s">
        <v>486</v>
      </c>
      <c r="U87" s="189" t="s">
        <v>426</v>
      </c>
      <c r="V87" s="189"/>
      <c r="W87" s="196">
        <v>1</v>
      </c>
      <c r="X87" s="189" t="s">
        <v>285</v>
      </c>
    </row>
    <row r="88" spans="2:24">
      <c r="B88" s="531"/>
      <c r="C88" s="531"/>
      <c r="D88" s="200">
        <v>2</v>
      </c>
      <c r="E88" s="189" t="s">
        <v>438</v>
      </c>
      <c r="F88" s="190">
        <v>186.67326000000392</v>
      </c>
      <c r="G88" s="259">
        <v>71.805999999999997</v>
      </c>
      <c r="H88" s="259">
        <v>72.400000000000006</v>
      </c>
      <c r="I88" s="201">
        <f t="shared" si="15"/>
        <v>1.0082722892237419</v>
      </c>
      <c r="J88" s="259">
        <v>0</v>
      </c>
      <c r="K88" s="201">
        <f t="shared" si="16"/>
        <v>0</v>
      </c>
      <c r="L88" s="190">
        <v>473.79</v>
      </c>
      <c r="M88" s="201">
        <f t="shared" si="17"/>
        <v>1.0082722892237419</v>
      </c>
      <c r="N88" s="190">
        <v>281.43126000000393</v>
      </c>
      <c r="O88" s="259">
        <v>0.2</v>
      </c>
      <c r="P88" s="191">
        <v>2.785282566916414E-3</v>
      </c>
      <c r="Q88" s="250">
        <v>94.75800000000001</v>
      </c>
      <c r="R88" s="259">
        <v>0.39400000000000829</v>
      </c>
      <c r="S88" s="191">
        <v>5.4870066568254508E-3</v>
      </c>
      <c r="T88" s="189" t="s">
        <v>486</v>
      </c>
      <c r="U88" s="189" t="s">
        <v>426</v>
      </c>
      <c r="V88" s="189"/>
      <c r="W88" s="196">
        <v>1</v>
      </c>
      <c r="X88" s="189" t="s">
        <v>417</v>
      </c>
    </row>
    <row r="89" spans="2:24">
      <c r="B89" s="531"/>
      <c r="C89" s="531"/>
      <c r="D89" s="200">
        <v>3</v>
      </c>
      <c r="E89" s="189" t="s">
        <v>427</v>
      </c>
      <c r="F89" s="190">
        <v>175.90008000000032</v>
      </c>
      <c r="G89" s="259">
        <v>14.568</v>
      </c>
      <c r="H89" s="259">
        <v>15</v>
      </c>
      <c r="I89" s="201">
        <f t="shared" si="15"/>
        <v>1.029654036243822</v>
      </c>
      <c r="J89" s="259">
        <v>0</v>
      </c>
      <c r="K89" s="201">
        <f t="shared" si="16"/>
        <v>0</v>
      </c>
      <c r="L89" s="190">
        <v>758.19</v>
      </c>
      <c r="M89" s="201">
        <f t="shared" si="17"/>
        <v>1.029654036243822</v>
      </c>
      <c r="N89" s="190">
        <v>327.53808000000032</v>
      </c>
      <c r="O89" s="259">
        <v>0.2</v>
      </c>
      <c r="P89" s="191">
        <v>1.3728720483250962E-2</v>
      </c>
      <c r="Q89" s="250">
        <v>151.63800000000001</v>
      </c>
      <c r="R89" s="259">
        <v>0.23200000000000037</v>
      </c>
      <c r="S89" s="191">
        <v>1.592531576057114E-2</v>
      </c>
      <c r="T89" s="189" t="s">
        <v>486</v>
      </c>
      <c r="U89" s="189" t="s">
        <v>426</v>
      </c>
      <c r="V89" s="189"/>
      <c r="W89" s="196">
        <v>1</v>
      </c>
      <c r="X89" s="189" t="s">
        <v>323</v>
      </c>
    </row>
    <row r="90" spans="2:24">
      <c r="B90" s="531"/>
      <c r="C90" s="531"/>
      <c r="D90" s="200">
        <v>4</v>
      </c>
      <c r="E90" s="189" t="s">
        <v>589</v>
      </c>
      <c r="F90" s="190">
        <v>172.95999999999975</v>
      </c>
      <c r="G90" s="259">
        <v>3.9060000000000001</v>
      </c>
      <c r="H90" s="259">
        <v>4</v>
      </c>
      <c r="I90" s="201">
        <f t="shared" si="15"/>
        <v>1.0240655401945724</v>
      </c>
      <c r="J90" s="259">
        <v>0</v>
      </c>
      <c r="K90" s="201">
        <f t="shared" si="16"/>
        <v>0</v>
      </c>
      <c r="L90" s="190">
        <v>1840</v>
      </c>
      <c r="M90" s="201">
        <f t="shared" si="17"/>
        <v>1.0240655401945724</v>
      </c>
      <c r="N90" s="190">
        <v>172.95999999999975</v>
      </c>
      <c r="O90" s="259">
        <v>0</v>
      </c>
      <c r="P90" s="191">
        <v>0</v>
      </c>
      <c r="Q90" s="250">
        <v>0</v>
      </c>
      <c r="R90" s="259">
        <v>9.3999999999999861E-2</v>
      </c>
      <c r="S90" s="191">
        <v>2.4065540194572417E-2</v>
      </c>
      <c r="T90" s="189" t="s">
        <v>486</v>
      </c>
      <c r="U90" s="189" t="s">
        <v>426</v>
      </c>
      <c r="V90" s="189"/>
      <c r="W90" s="196">
        <v>1</v>
      </c>
      <c r="X90" s="189" t="s">
        <v>419</v>
      </c>
    </row>
    <row r="91" spans="2:24">
      <c r="B91" s="531"/>
      <c r="C91" s="531"/>
      <c r="D91" s="200">
        <v>5</v>
      </c>
      <c r="E91" s="189" t="s">
        <v>433</v>
      </c>
      <c r="F91" s="190">
        <v>167.24499999999952</v>
      </c>
      <c r="G91" s="259">
        <v>42.692</v>
      </c>
      <c r="H91" s="259">
        <v>43.591999999999999</v>
      </c>
      <c r="I91" s="201">
        <f t="shared" si="15"/>
        <v>1.0210812330178956</v>
      </c>
      <c r="J91" s="259">
        <v>0</v>
      </c>
      <c r="K91" s="201">
        <f t="shared" si="16"/>
        <v>0</v>
      </c>
      <c r="L91" s="190">
        <v>334.49</v>
      </c>
      <c r="M91" s="201">
        <f t="shared" si="17"/>
        <v>1.0210812330178956</v>
      </c>
      <c r="N91" s="190">
        <v>301.04099999999954</v>
      </c>
      <c r="O91" s="259">
        <v>0.4</v>
      </c>
      <c r="P91" s="191">
        <v>9.3694368968424997E-3</v>
      </c>
      <c r="Q91" s="250">
        <v>133.79600000000002</v>
      </c>
      <c r="R91" s="259">
        <v>0.49999999999999856</v>
      </c>
      <c r="S91" s="191">
        <v>1.1711796121053091E-2</v>
      </c>
      <c r="T91" s="189" t="s">
        <v>483</v>
      </c>
      <c r="U91" s="189" t="s">
        <v>416</v>
      </c>
      <c r="V91" s="189"/>
      <c r="W91" s="196">
        <v>1</v>
      </c>
      <c r="X91" s="189" t="s">
        <v>278</v>
      </c>
    </row>
    <row r="92" spans="2:24">
      <c r="B92" s="531"/>
      <c r="C92" s="531"/>
      <c r="D92" s="200">
        <v>6</v>
      </c>
      <c r="E92" s="189" t="s">
        <v>532</v>
      </c>
      <c r="F92" s="190">
        <v>153.77051999999998</v>
      </c>
      <c r="G92" s="259">
        <v>35.963999999999999</v>
      </c>
      <c r="H92" s="259">
        <v>36.4</v>
      </c>
      <c r="I92" s="201">
        <f t="shared" si="15"/>
        <v>1.0121232343454565</v>
      </c>
      <c r="J92" s="259">
        <v>0</v>
      </c>
      <c r="K92" s="201">
        <f t="shared" si="16"/>
        <v>0</v>
      </c>
      <c r="L92" s="190">
        <v>651.57000000000005</v>
      </c>
      <c r="M92" s="201">
        <f t="shared" si="17"/>
        <v>1.0121232343454565</v>
      </c>
      <c r="N92" s="190">
        <v>284.08452</v>
      </c>
      <c r="O92" s="259">
        <v>0.2</v>
      </c>
      <c r="P92" s="191">
        <v>5.5611166722277835E-3</v>
      </c>
      <c r="Q92" s="250">
        <v>130.31400000000002</v>
      </c>
      <c r="R92" s="259">
        <v>0.23599999999999993</v>
      </c>
      <c r="S92" s="191">
        <v>6.5621176732287827E-3</v>
      </c>
      <c r="T92" s="189" t="s">
        <v>483</v>
      </c>
      <c r="U92" s="189" t="s">
        <v>416</v>
      </c>
      <c r="V92" s="189"/>
      <c r="W92" s="196">
        <v>1</v>
      </c>
      <c r="X92" s="189" t="s">
        <v>533</v>
      </c>
    </row>
    <row r="93" spans="2:24">
      <c r="B93" s="531"/>
      <c r="C93" s="531"/>
      <c r="D93" s="200">
        <v>7</v>
      </c>
      <c r="E93" s="189" t="s">
        <v>489</v>
      </c>
      <c r="F93" s="190">
        <v>150.11960000000019</v>
      </c>
      <c r="G93" s="259">
        <v>31.327999999999999</v>
      </c>
      <c r="H93" s="259">
        <v>32.5</v>
      </c>
      <c r="I93" s="201">
        <f t="shared" si="15"/>
        <v>1.0374106230847804</v>
      </c>
      <c r="J93" s="259">
        <v>0</v>
      </c>
      <c r="K93" s="201">
        <f t="shared" si="16"/>
        <v>0</v>
      </c>
      <c r="L93" s="190">
        <v>318.05</v>
      </c>
      <c r="M93" s="201">
        <f t="shared" si="17"/>
        <v>1.0374106230847804</v>
      </c>
      <c r="N93" s="190">
        <v>372.75460000000021</v>
      </c>
      <c r="O93" s="259">
        <v>0.70000000000000007</v>
      </c>
      <c r="P93" s="191">
        <v>2.2344228804902964E-2</v>
      </c>
      <c r="Q93" s="250">
        <v>222.63500000000002</v>
      </c>
      <c r="R93" s="259">
        <v>0.47200000000000053</v>
      </c>
      <c r="S93" s="191">
        <v>1.5066394279877443E-2</v>
      </c>
      <c r="T93" s="189" t="s">
        <v>486</v>
      </c>
      <c r="U93" s="189" t="s">
        <v>426</v>
      </c>
      <c r="V93" s="189"/>
      <c r="W93" s="196">
        <v>1</v>
      </c>
      <c r="X93" s="189" t="s">
        <v>303</v>
      </c>
    </row>
    <row r="94" spans="2:24">
      <c r="B94" s="531"/>
      <c r="C94" s="531"/>
      <c r="D94" s="200">
        <v>8</v>
      </c>
      <c r="E94" s="189" t="s">
        <v>434</v>
      </c>
      <c r="F94" s="190">
        <v>132.21599999999859</v>
      </c>
      <c r="G94" s="259">
        <v>63.457000000000001</v>
      </c>
      <c r="H94" s="259">
        <v>64.156999999999996</v>
      </c>
      <c r="I94" s="201">
        <f t="shared" si="15"/>
        <v>1.011031091920513</v>
      </c>
      <c r="J94" s="259">
        <v>0</v>
      </c>
      <c r="K94" s="201">
        <f t="shared" si="16"/>
        <v>0</v>
      </c>
      <c r="L94" s="190">
        <v>330.54</v>
      </c>
      <c r="M94" s="201">
        <f t="shared" si="17"/>
        <v>1.011031091920513</v>
      </c>
      <c r="N94" s="190">
        <v>231.37799999999859</v>
      </c>
      <c r="O94" s="259">
        <v>0.3</v>
      </c>
      <c r="P94" s="191">
        <v>4.7276108230770442E-3</v>
      </c>
      <c r="Q94" s="250">
        <v>99.162000000000006</v>
      </c>
      <c r="R94" s="259">
        <v>0.39999999999999575</v>
      </c>
      <c r="S94" s="191">
        <v>6.3034810974359921E-3</v>
      </c>
      <c r="T94" s="189" t="s">
        <v>486</v>
      </c>
      <c r="U94" s="189" t="s">
        <v>426</v>
      </c>
      <c r="V94" s="189"/>
      <c r="W94" s="196">
        <v>1</v>
      </c>
      <c r="X94" s="189" t="s">
        <v>280</v>
      </c>
    </row>
    <row r="95" spans="2:24">
      <c r="B95" s="531"/>
      <c r="C95" s="531"/>
      <c r="D95" s="200">
        <v>9</v>
      </c>
      <c r="E95" s="189" t="s">
        <v>507</v>
      </c>
      <c r="F95" s="190">
        <v>130.30229999999733</v>
      </c>
      <c r="G95" s="259">
        <v>72.59</v>
      </c>
      <c r="H95" s="259">
        <v>73.3</v>
      </c>
      <c r="I95" s="201">
        <f t="shared" si="15"/>
        <v>1.0097809615649538</v>
      </c>
      <c r="J95" s="259">
        <v>0</v>
      </c>
      <c r="K95" s="201">
        <f t="shared" si="16"/>
        <v>0</v>
      </c>
      <c r="L95" s="190">
        <v>420.33</v>
      </c>
      <c r="M95" s="201">
        <f t="shared" si="17"/>
        <v>1.0097809615649538</v>
      </c>
      <c r="N95" s="190">
        <v>298.43429999999734</v>
      </c>
      <c r="O95" s="259">
        <v>0.4</v>
      </c>
      <c r="P95" s="191">
        <v>5.5104008816641414E-3</v>
      </c>
      <c r="Q95" s="250">
        <v>168.13200000000001</v>
      </c>
      <c r="R95" s="259">
        <v>0.30999999999999373</v>
      </c>
      <c r="S95" s="191">
        <v>4.2705606832896224E-3</v>
      </c>
      <c r="T95" s="189" t="s">
        <v>483</v>
      </c>
      <c r="U95" s="189" t="s">
        <v>416</v>
      </c>
      <c r="V95" s="189"/>
      <c r="W95" s="196">
        <v>1</v>
      </c>
      <c r="X95" s="189" t="s">
        <v>297</v>
      </c>
    </row>
    <row r="96" spans="2:24">
      <c r="B96" s="531"/>
      <c r="C96" s="531"/>
      <c r="D96" s="200">
        <v>10</v>
      </c>
      <c r="E96" s="189" t="s">
        <v>561</v>
      </c>
      <c r="F96" s="190">
        <v>128.64000000000004</v>
      </c>
      <c r="G96" s="259">
        <v>3.09</v>
      </c>
      <c r="H96" s="259">
        <v>3.69</v>
      </c>
      <c r="I96" s="201">
        <f t="shared" si="15"/>
        <v>1.1941747572815535</v>
      </c>
      <c r="J96" s="259">
        <v>0</v>
      </c>
      <c r="K96" s="201">
        <f t="shared" si="16"/>
        <v>0</v>
      </c>
      <c r="L96" s="190">
        <v>428.8</v>
      </c>
      <c r="M96" s="201">
        <f t="shared" si="17"/>
        <v>1.1941747572815535</v>
      </c>
      <c r="N96" s="190">
        <v>257.28000000000003</v>
      </c>
      <c r="O96" s="259">
        <v>0.3</v>
      </c>
      <c r="P96" s="191">
        <v>9.7087378640776698E-2</v>
      </c>
      <c r="Q96" s="250">
        <v>128.63999999999999</v>
      </c>
      <c r="R96" s="259">
        <v>0.3000000000000001</v>
      </c>
      <c r="S96" s="191">
        <v>9.7087378640776739E-2</v>
      </c>
      <c r="T96" s="189" t="s">
        <v>494</v>
      </c>
      <c r="U96" s="189" t="s">
        <v>495</v>
      </c>
      <c r="V96" s="189"/>
      <c r="W96" s="196">
        <v>1</v>
      </c>
      <c r="X96" s="189" t="s">
        <v>245</v>
      </c>
    </row>
    <row r="97" spans="2:24">
      <c r="B97" s="533">
        <v>45879</v>
      </c>
      <c r="C97" s="531" t="s">
        <v>152</v>
      </c>
      <c r="D97" s="200">
        <v>1</v>
      </c>
      <c r="E97" s="189" t="s">
        <v>504</v>
      </c>
      <c r="F97" s="190">
        <v>274.45619999999928</v>
      </c>
      <c r="G97" s="259">
        <v>10.505000000000001</v>
      </c>
      <c r="H97" s="259">
        <v>11</v>
      </c>
      <c r="I97" s="201">
        <f t="shared" si="15"/>
        <v>1.0471204188481675</v>
      </c>
      <c r="J97" s="259">
        <v>0</v>
      </c>
      <c r="K97" s="201">
        <f t="shared" si="16"/>
        <v>0</v>
      </c>
      <c r="L97" s="190">
        <v>930.36</v>
      </c>
      <c r="M97" s="201">
        <f t="shared" si="17"/>
        <v>1.0471204188481675</v>
      </c>
      <c r="N97" s="190">
        <v>460.52819999999929</v>
      </c>
      <c r="O97" s="259">
        <v>0.2</v>
      </c>
      <c r="P97" s="191">
        <v>1.9038553069966681E-2</v>
      </c>
      <c r="Q97" s="250">
        <v>186.072</v>
      </c>
      <c r="R97" s="259">
        <v>0.29499999999999921</v>
      </c>
      <c r="S97" s="191">
        <v>2.8081865778200779E-2</v>
      </c>
      <c r="T97" s="189" t="s">
        <v>486</v>
      </c>
      <c r="U97" s="189" t="s">
        <v>426</v>
      </c>
      <c r="V97" s="189"/>
      <c r="W97" s="196">
        <v>1</v>
      </c>
      <c r="X97" s="189" t="s">
        <v>271</v>
      </c>
    </row>
    <row r="98" spans="2:24">
      <c r="B98" s="531"/>
      <c r="C98" s="531"/>
      <c r="D98" s="200">
        <v>2</v>
      </c>
      <c r="E98" s="189" t="s">
        <v>537</v>
      </c>
      <c r="F98" s="190">
        <v>231.71000000000024</v>
      </c>
      <c r="G98" s="259">
        <v>1.9200999999999999</v>
      </c>
      <c r="H98" s="259">
        <v>2</v>
      </c>
      <c r="I98" s="201">
        <f t="shared" si="15"/>
        <v>1.0416124160199991</v>
      </c>
      <c r="J98" s="259">
        <v>0</v>
      </c>
      <c r="K98" s="201">
        <f t="shared" si="16"/>
        <v>0</v>
      </c>
      <c r="L98" s="190">
        <v>2900</v>
      </c>
      <c r="M98" s="201">
        <f t="shared" si="17"/>
        <v>1.0416124160199991</v>
      </c>
      <c r="N98" s="190">
        <v>231.71000000000024</v>
      </c>
      <c r="O98" s="259">
        <v>0</v>
      </c>
      <c r="P98" s="191">
        <v>0</v>
      </c>
      <c r="Q98" s="250">
        <v>0</v>
      </c>
      <c r="R98" s="259">
        <v>7.9900000000000082E-2</v>
      </c>
      <c r="S98" s="191">
        <v>4.1612416019999002E-2</v>
      </c>
      <c r="T98" s="189" t="s">
        <v>486</v>
      </c>
      <c r="U98" s="189" t="s">
        <v>426</v>
      </c>
      <c r="V98" s="189"/>
      <c r="W98" s="196">
        <v>1</v>
      </c>
      <c r="X98" s="189" t="s">
        <v>533</v>
      </c>
    </row>
    <row r="99" spans="2:24">
      <c r="B99" s="531"/>
      <c r="C99" s="531"/>
      <c r="D99" s="200">
        <v>3</v>
      </c>
      <c r="E99" s="189" t="s">
        <v>507</v>
      </c>
      <c r="F99" s="190">
        <v>193.35180000000094</v>
      </c>
      <c r="G99" s="259">
        <v>90.44</v>
      </c>
      <c r="H99" s="259">
        <v>90.6</v>
      </c>
      <c r="I99" s="201">
        <f t="shared" si="15"/>
        <v>1.0017691287041133</v>
      </c>
      <c r="J99" s="259">
        <v>0.4</v>
      </c>
      <c r="K99" s="201">
        <f t="shared" si="16"/>
        <v>4.4228217602830609E-3</v>
      </c>
      <c r="L99" s="190">
        <v>420.33</v>
      </c>
      <c r="M99" s="201">
        <f t="shared" si="17"/>
        <v>1.0061919504643964</v>
      </c>
      <c r="N99" s="190">
        <v>235.38480000000095</v>
      </c>
      <c r="O99" s="259">
        <v>0.1</v>
      </c>
      <c r="P99" s="191">
        <v>1.1057054400707652E-3</v>
      </c>
      <c r="Q99" s="250">
        <v>42.033000000000001</v>
      </c>
      <c r="R99" s="259">
        <v>0.4600000000000023</v>
      </c>
      <c r="S99" s="191">
        <v>5.0862450243255456E-3</v>
      </c>
      <c r="T99" s="189" t="s">
        <v>483</v>
      </c>
      <c r="U99" s="189" t="s">
        <v>416</v>
      </c>
      <c r="V99" s="189"/>
      <c r="W99" s="196">
        <v>1</v>
      </c>
      <c r="X99" s="189" t="s">
        <v>297</v>
      </c>
    </row>
    <row r="100" spans="2:24">
      <c r="B100" s="531"/>
      <c r="C100" s="531"/>
      <c r="D100" s="200">
        <v>4</v>
      </c>
      <c r="E100" s="189" t="s">
        <v>438</v>
      </c>
      <c r="F100" s="190">
        <v>189.51600000000138</v>
      </c>
      <c r="G100" s="259">
        <v>62.168999999999997</v>
      </c>
      <c r="H100" s="259">
        <v>62.869</v>
      </c>
      <c r="I100" s="201">
        <f t="shared" si="15"/>
        <v>1.0112596310058068</v>
      </c>
      <c r="J100" s="259">
        <v>0</v>
      </c>
      <c r="K100" s="201">
        <f t="shared" si="16"/>
        <v>0</v>
      </c>
      <c r="L100" s="190">
        <v>473.79</v>
      </c>
      <c r="M100" s="201">
        <f t="shared" si="17"/>
        <v>1.0112596310058068</v>
      </c>
      <c r="N100" s="190">
        <v>331.65300000000138</v>
      </c>
      <c r="O100" s="259">
        <v>0.3</v>
      </c>
      <c r="P100" s="191">
        <v>4.825556145345751E-3</v>
      </c>
      <c r="Q100" s="250">
        <v>142.137</v>
      </c>
      <c r="R100" s="259">
        <v>0.40000000000000285</v>
      </c>
      <c r="S100" s="191">
        <v>6.4340748604610476E-3</v>
      </c>
      <c r="T100" s="189" t="s">
        <v>483</v>
      </c>
      <c r="U100" s="189" t="s">
        <v>416</v>
      </c>
      <c r="V100" s="189"/>
      <c r="W100" s="196">
        <v>1</v>
      </c>
      <c r="X100" s="189" t="s">
        <v>417</v>
      </c>
    </row>
    <row r="101" spans="2:24">
      <c r="B101" s="531"/>
      <c r="C101" s="531"/>
      <c r="D101" s="200">
        <v>5</v>
      </c>
      <c r="E101" s="189" t="s">
        <v>409</v>
      </c>
      <c r="F101" s="190">
        <v>174.57600000000122</v>
      </c>
      <c r="G101" s="259">
        <v>24.206</v>
      </c>
      <c r="H101" s="259">
        <v>24.006</v>
      </c>
      <c r="I101" s="201">
        <f t="shared" si="15"/>
        <v>0.99173758572254811</v>
      </c>
      <c r="J101" s="259">
        <v>0.6</v>
      </c>
      <c r="K101" s="201">
        <f t="shared" si="16"/>
        <v>2.4787242832355613E-2</v>
      </c>
      <c r="L101" s="190">
        <v>581.91999999999996</v>
      </c>
      <c r="M101" s="201">
        <f t="shared" si="17"/>
        <v>1.0165248285549038</v>
      </c>
      <c r="N101" s="190">
        <v>232.76800000000122</v>
      </c>
      <c r="O101" s="259">
        <v>0.1</v>
      </c>
      <c r="P101" s="191">
        <v>4.1312071387259357E-3</v>
      </c>
      <c r="Q101" s="250">
        <v>58.192</v>
      </c>
      <c r="R101" s="259">
        <v>0.30000000000000215</v>
      </c>
      <c r="S101" s="191">
        <v>1.2393621416177896E-2</v>
      </c>
      <c r="T101" s="189" t="s">
        <v>483</v>
      </c>
      <c r="U101" s="189" t="s">
        <v>416</v>
      </c>
      <c r="V101" s="189"/>
      <c r="W101" s="196">
        <v>1</v>
      </c>
      <c r="X101" s="189" t="s">
        <v>277</v>
      </c>
    </row>
    <row r="102" spans="2:24">
      <c r="B102" s="531"/>
      <c r="C102" s="531"/>
      <c r="D102" s="200">
        <v>6</v>
      </c>
      <c r="E102" s="189" t="s">
        <v>521</v>
      </c>
      <c r="F102" s="190">
        <v>159.82191999999958</v>
      </c>
      <c r="G102" s="259">
        <v>34.295999999999999</v>
      </c>
      <c r="H102" s="259">
        <v>34.9</v>
      </c>
      <c r="I102" s="201">
        <f t="shared" si="15"/>
        <v>1.0176113832516911</v>
      </c>
      <c r="J102" s="259">
        <v>0</v>
      </c>
      <c r="K102" s="201">
        <f t="shared" si="16"/>
        <v>0</v>
      </c>
      <c r="L102" s="190">
        <v>525.73</v>
      </c>
      <c r="M102" s="201">
        <f t="shared" si="17"/>
        <v>1.0176113832516911</v>
      </c>
      <c r="N102" s="190">
        <v>317.54091999999957</v>
      </c>
      <c r="O102" s="259">
        <v>0.3</v>
      </c>
      <c r="P102" s="191">
        <v>8.74737578726382E-3</v>
      </c>
      <c r="Q102" s="250">
        <v>157.71899999999999</v>
      </c>
      <c r="R102" s="259">
        <v>0.30399999999999922</v>
      </c>
      <c r="S102" s="191">
        <v>8.8640074644273162E-3</v>
      </c>
      <c r="T102" s="189" t="s">
        <v>486</v>
      </c>
      <c r="U102" s="189" t="s">
        <v>426</v>
      </c>
      <c r="V102" s="189"/>
      <c r="W102" s="196">
        <v>1</v>
      </c>
      <c r="X102" s="189" t="s">
        <v>285</v>
      </c>
    </row>
    <row r="103" spans="2:24">
      <c r="B103" s="531"/>
      <c r="C103" s="531"/>
      <c r="D103" s="200">
        <v>7</v>
      </c>
      <c r="E103" s="189" t="s">
        <v>427</v>
      </c>
      <c r="F103" s="190">
        <v>157.70351999999991</v>
      </c>
      <c r="G103" s="259">
        <v>18.192</v>
      </c>
      <c r="H103" s="259">
        <v>18.5</v>
      </c>
      <c r="I103" s="201">
        <f t="shared" si="15"/>
        <v>1.0169305189094107</v>
      </c>
      <c r="J103" s="259">
        <v>0</v>
      </c>
      <c r="K103" s="201">
        <f t="shared" si="16"/>
        <v>0</v>
      </c>
      <c r="L103" s="190">
        <v>758.19</v>
      </c>
      <c r="M103" s="201">
        <f t="shared" si="17"/>
        <v>1.0169305189094107</v>
      </c>
      <c r="N103" s="190">
        <v>233.5225199999999</v>
      </c>
      <c r="O103" s="259">
        <v>0.1</v>
      </c>
      <c r="P103" s="191">
        <v>5.4969217238346529E-3</v>
      </c>
      <c r="Q103" s="250">
        <v>75.819000000000003</v>
      </c>
      <c r="R103" s="259">
        <v>0.20799999999999982</v>
      </c>
      <c r="S103" s="191">
        <v>1.1433597185576067E-2</v>
      </c>
      <c r="T103" s="189" t="s">
        <v>486</v>
      </c>
      <c r="U103" s="189" t="s">
        <v>426</v>
      </c>
      <c r="V103" s="189"/>
      <c r="W103" s="196">
        <v>1</v>
      </c>
      <c r="X103" s="189" t="s">
        <v>323</v>
      </c>
    </row>
    <row r="104" spans="2:24">
      <c r="B104" s="531"/>
      <c r="C104" s="531"/>
      <c r="D104" s="200">
        <v>8</v>
      </c>
      <c r="E104" s="189" t="s">
        <v>541</v>
      </c>
      <c r="F104" s="190">
        <v>148.45199999999892</v>
      </c>
      <c r="G104" s="259">
        <v>56.405999999999999</v>
      </c>
      <c r="H104" s="259">
        <v>57.205999999999996</v>
      </c>
      <c r="I104" s="201">
        <f t="shared" si="15"/>
        <v>1.0141828883452115</v>
      </c>
      <c r="J104" s="259">
        <v>0</v>
      </c>
      <c r="K104" s="201">
        <f t="shared" si="16"/>
        <v>0</v>
      </c>
      <c r="L104" s="190">
        <v>371.13</v>
      </c>
      <c r="M104" s="201">
        <f t="shared" si="17"/>
        <v>1.0141828883452115</v>
      </c>
      <c r="N104" s="190">
        <v>296.90399999999892</v>
      </c>
      <c r="O104" s="259">
        <v>0.4</v>
      </c>
      <c r="P104" s="191">
        <v>7.0914441726057514E-3</v>
      </c>
      <c r="Q104" s="250">
        <v>148.452</v>
      </c>
      <c r="R104" s="259">
        <v>0.39999999999999714</v>
      </c>
      <c r="S104" s="191">
        <v>7.0914441726057003E-3</v>
      </c>
      <c r="T104" s="189" t="s">
        <v>483</v>
      </c>
      <c r="U104" s="189" t="s">
        <v>416</v>
      </c>
      <c r="V104" s="189"/>
      <c r="W104" s="196">
        <v>1</v>
      </c>
      <c r="X104" s="189" t="s">
        <v>314</v>
      </c>
    </row>
    <row r="105" spans="2:24">
      <c r="B105" s="531"/>
      <c r="C105" s="531"/>
      <c r="D105" s="200">
        <v>9</v>
      </c>
      <c r="E105" s="189" t="s">
        <v>516</v>
      </c>
      <c r="F105" s="190">
        <v>143.76799999999974</v>
      </c>
      <c r="G105" s="259">
        <v>42</v>
      </c>
      <c r="H105" s="259">
        <v>43.4</v>
      </c>
      <c r="I105" s="201">
        <f t="shared" si="15"/>
        <v>1.0333333333333332</v>
      </c>
      <c r="J105" s="259">
        <v>0</v>
      </c>
      <c r="K105" s="201">
        <f t="shared" si="16"/>
        <v>0</v>
      </c>
      <c r="L105" s="190">
        <v>179.71</v>
      </c>
      <c r="M105" s="201">
        <f t="shared" si="17"/>
        <v>1.0333333333333332</v>
      </c>
      <c r="N105" s="190">
        <v>251.59399999999977</v>
      </c>
      <c r="O105" s="259">
        <v>0.60000000000000009</v>
      </c>
      <c r="P105" s="191">
        <v>1.4285714285714287E-2</v>
      </c>
      <c r="Q105" s="250">
        <v>107.82600000000002</v>
      </c>
      <c r="R105" s="259">
        <v>0.79999999999999849</v>
      </c>
      <c r="S105" s="191">
        <v>1.9047619047619011E-2</v>
      </c>
      <c r="T105" s="189" t="s">
        <v>483</v>
      </c>
      <c r="U105" s="189" t="s">
        <v>416</v>
      </c>
      <c r="V105" s="189"/>
      <c r="W105" s="196">
        <v>1</v>
      </c>
      <c r="X105" s="189" t="s">
        <v>212</v>
      </c>
    </row>
    <row r="106" spans="2:24">
      <c r="B106" s="531"/>
      <c r="C106" s="531"/>
      <c r="D106" s="200">
        <v>10</v>
      </c>
      <c r="E106" s="189" t="s">
        <v>585</v>
      </c>
      <c r="F106" s="190">
        <v>132.60329999999948</v>
      </c>
      <c r="G106" s="259">
        <v>6.8490000000000002</v>
      </c>
      <c r="H106" s="259">
        <v>7.1999999999999993</v>
      </c>
      <c r="I106" s="201">
        <f t="shared" si="15"/>
        <v>1.0512483574244413</v>
      </c>
      <c r="J106" s="259">
        <v>0</v>
      </c>
      <c r="K106" s="201">
        <f t="shared" si="16"/>
        <v>0</v>
      </c>
      <c r="L106" s="190">
        <v>528.29999999999995</v>
      </c>
      <c r="M106" s="201">
        <f t="shared" si="17"/>
        <v>1.0512483574244413</v>
      </c>
      <c r="N106" s="190">
        <v>185.43329999999949</v>
      </c>
      <c r="O106" s="259">
        <v>0.1</v>
      </c>
      <c r="P106" s="191">
        <v>1.4600671630895021E-2</v>
      </c>
      <c r="Q106" s="250">
        <v>52.83</v>
      </c>
      <c r="R106" s="259">
        <v>0.25099999999999911</v>
      </c>
      <c r="S106" s="191">
        <v>3.6647685793546374E-2</v>
      </c>
      <c r="T106" s="189" t="s">
        <v>486</v>
      </c>
      <c r="U106" s="189" t="s">
        <v>426</v>
      </c>
      <c r="V106" s="189"/>
      <c r="W106" s="196">
        <v>1</v>
      </c>
      <c r="X106" s="189" t="s">
        <v>417</v>
      </c>
    </row>
    <row r="107" spans="2:24">
      <c r="B107" s="533">
        <v>45880</v>
      </c>
      <c r="C107" s="531" t="s">
        <v>158</v>
      </c>
      <c r="D107" s="200">
        <v>1</v>
      </c>
      <c r="E107" s="189" t="s">
        <v>504</v>
      </c>
      <c r="F107" s="190">
        <v>265.15259999999978</v>
      </c>
      <c r="G107" s="259">
        <v>10.615</v>
      </c>
      <c r="H107" s="259">
        <v>11</v>
      </c>
      <c r="I107" s="201">
        <f t="shared" si="15"/>
        <v>1.0362694300518134</v>
      </c>
      <c r="J107" s="259">
        <v>0</v>
      </c>
      <c r="K107" s="201">
        <f t="shared" si="16"/>
        <v>0</v>
      </c>
      <c r="L107" s="190">
        <v>930.36</v>
      </c>
      <c r="M107" s="201">
        <f t="shared" si="17"/>
        <v>1.0362694300518134</v>
      </c>
      <c r="N107" s="190">
        <v>358.18859999999978</v>
      </c>
      <c r="O107" s="259">
        <v>0.1</v>
      </c>
      <c r="P107" s="191">
        <v>9.4206311822892137E-3</v>
      </c>
      <c r="Q107" s="250">
        <v>93.036000000000001</v>
      </c>
      <c r="R107" s="259">
        <v>0.28499999999999981</v>
      </c>
      <c r="S107" s="191">
        <v>2.6848798869524241E-2</v>
      </c>
      <c r="T107" s="189" t="s">
        <v>486</v>
      </c>
      <c r="U107" s="189" t="s">
        <v>426</v>
      </c>
      <c r="V107" s="189"/>
      <c r="W107" s="196">
        <v>1</v>
      </c>
      <c r="X107" s="189" t="s">
        <v>271</v>
      </c>
    </row>
    <row r="108" spans="2:24">
      <c r="B108" s="531"/>
      <c r="C108" s="531"/>
      <c r="D108" s="200">
        <v>2</v>
      </c>
      <c r="E108" s="189" t="s">
        <v>585</v>
      </c>
      <c r="F108" s="190">
        <v>195.99929999999986</v>
      </c>
      <c r="G108" s="259">
        <v>6.6289999999999996</v>
      </c>
      <c r="H108" s="259">
        <v>7.1999999999999993</v>
      </c>
      <c r="I108" s="201">
        <f t="shared" si="15"/>
        <v>1.0861366721979182</v>
      </c>
      <c r="J108" s="259">
        <v>0</v>
      </c>
      <c r="K108" s="201">
        <f t="shared" si="16"/>
        <v>0</v>
      </c>
      <c r="L108" s="190">
        <v>528.29999999999995</v>
      </c>
      <c r="M108" s="201">
        <f t="shared" si="17"/>
        <v>1.0861366721979182</v>
      </c>
      <c r="N108" s="190">
        <v>301.65929999999986</v>
      </c>
      <c r="O108" s="259">
        <v>0.2</v>
      </c>
      <c r="P108" s="191">
        <v>3.0170463116608842E-2</v>
      </c>
      <c r="Q108" s="250">
        <v>105.66</v>
      </c>
      <c r="R108" s="259">
        <v>0.37099999999999972</v>
      </c>
      <c r="S108" s="191">
        <v>5.5966209081309358E-2</v>
      </c>
      <c r="T108" s="189" t="s">
        <v>486</v>
      </c>
      <c r="U108" s="189" t="s">
        <v>426</v>
      </c>
      <c r="V108" s="189"/>
      <c r="W108" s="196">
        <v>1</v>
      </c>
      <c r="X108" s="189" t="s">
        <v>417</v>
      </c>
    </row>
    <row r="109" spans="2:24">
      <c r="B109" s="531"/>
      <c r="C109" s="531"/>
      <c r="D109" s="200">
        <v>3</v>
      </c>
      <c r="E109" s="189" t="s">
        <v>510</v>
      </c>
      <c r="F109" s="190">
        <v>178.41000000000042</v>
      </c>
      <c r="G109" s="259">
        <v>35.704999999999998</v>
      </c>
      <c r="H109" s="259">
        <v>36.805</v>
      </c>
      <c r="I109" s="201">
        <f t="shared" si="15"/>
        <v>1.0308080100826216</v>
      </c>
      <c r="J109" s="259">
        <v>0</v>
      </c>
      <c r="K109" s="201">
        <f t="shared" si="16"/>
        <v>0</v>
      </c>
      <c r="L109" s="190">
        <v>297.35000000000002</v>
      </c>
      <c r="M109" s="201">
        <f t="shared" si="17"/>
        <v>1.0308080100826216</v>
      </c>
      <c r="N109" s="190">
        <v>327.08500000000043</v>
      </c>
      <c r="O109" s="259">
        <v>0.5</v>
      </c>
      <c r="P109" s="191">
        <v>1.4003640946646129E-2</v>
      </c>
      <c r="Q109" s="250">
        <v>148.67500000000001</v>
      </c>
      <c r="R109" s="259">
        <v>0.60000000000000142</v>
      </c>
      <c r="S109" s="191">
        <v>1.6804369135975394E-2</v>
      </c>
      <c r="T109" s="189" t="s">
        <v>486</v>
      </c>
      <c r="U109" s="189" t="s">
        <v>426</v>
      </c>
      <c r="V109" s="189"/>
      <c r="W109" s="196">
        <v>1</v>
      </c>
      <c r="X109" s="189" t="s">
        <v>271</v>
      </c>
    </row>
    <row r="110" spans="2:24">
      <c r="B110" s="531"/>
      <c r="C110" s="531"/>
      <c r="D110" s="200">
        <v>4</v>
      </c>
      <c r="E110" s="189" t="s">
        <v>438</v>
      </c>
      <c r="F110" s="190">
        <v>175.30230000000216</v>
      </c>
      <c r="G110" s="259">
        <v>62.33</v>
      </c>
      <c r="H110" s="259">
        <v>62.6</v>
      </c>
      <c r="I110" s="201">
        <f t="shared" si="15"/>
        <v>1.0043317824482594</v>
      </c>
      <c r="J110" s="259">
        <v>0.1</v>
      </c>
      <c r="K110" s="201">
        <f t="shared" si="16"/>
        <v>1.6043638697256538E-3</v>
      </c>
      <c r="L110" s="190">
        <v>473.79</v>
      </c>
      <c r="M110" s="201">
        <f t="shared" si="17"/>
        <v>1.005936146317985</v>
      </c>
      <c r="N110" s="190">
        <v>175.30230000000216</v>
      </c>
      <c r="O110" s="259">
        <v>0</v>
      </c>
      <c r="P110" s="191">
        <v>0</v>
      </c>
      <c r="Q110" s="250">
        <v>0</v>
      </c>
      <c r="R110" s="259">
        <v>0.37000000000000455</v>
      </c>
      <c r="S110" s="191">
        <v>5.9361463179849923E-3</v>
      </c>
      <c r="T110" s="189" t="s">
        <v>486</v>
      </c>
      <c r="U110" s="189" t="s">
        <v>426</v>
      </c>
      <c r="V110" s="189"/>
      <c r="W110" s="196">
        <v>1</v>
      </c>
      <c r="X110" s="189" t="s">
        <v>417</v>
      </c>
    </row>
    <row r="111" spans="2:24">
      <c r="B111" s="531"/>
      <c r="C111" s="531"/>
      <c r="D111" s="200">
        <v>5</v>
      </c>
      <c r="E111" s="189" t="s">
        <v>546</v>
      </c>
      <c r="F111" s="190">
        <v>161.51399999999845</v>
      </c>
      <c r="G111" s="259">
        <v>99.05</v>
      </c>
      <c r="H111" s="259">
        <v>100.14999999999999</v>
      </c>
      <c r="I111" s="201">
        <f t="shared" si="15"/>
        <v>1.01110550227158</v>
      </c>
      <c r="J111" s="259">
        <v>0</v>
      </c>
      <c r="K111" s="201">
        <f t="shared" si="16"/>
        <v>0</v>
      </c>
      <c r="L111" s="190">
        <v>269.19</v>
      </c>
      <c r="M111" s="201">
        <f t="shared" si="17"/>
        <v>1.01110550227158</v>
      </c>
      <c r="N111" s="190">
        <v>296.10899999999845</v>
      </c>
      <c r="O111" s="259">
        <v>0.5</v>
      </c>
      <c r="P111" s="191">
        <v>5.0479555779909136E-3</v>
      </c>
      <c r="Q111" s="250">
        <v>134.595</v>
      </c>
      <c r="R111" s="259">
        <v>0.59999999999999432</v>
      </c>
      <c r="S111" s="191">
        <v>6.0575466935890391E-3</v>
      </c>
      <c r="T111" s="189" t="s">
        <v>483</v>
      </c>
      <c r="U111" s="189" t="s">
        <v>416</v>
      </c>
      <c r="V111" s="189"/>
      <c r="W111" s="196">
        <v>1</v>
      </c>
      <c r="X111" s="189" t="s">
        <v>287</v>
      </c>
    </row>
    <row r="112" spans="2:24">
      <c r="B112" s="531"/>
      <c r="C112" s="531"/>
      <c r="D112" s="200">
        <v>6</v>
      </c>
      <c r="E112" s="189" t="s">
        <v>521</v>
      </c>
      <c r="F112" s="190">
        <v>157.71899999999999</v>
      </c>
      <c r="G112" s="259">
        <v>33.936</v>
      </c>
      <c r="H112" s="259">
        <v>34.436</v>
      </c>
      <c r="I112" s="201">
        <f t="shared" si="15"/>
        <v>1.0147336162187648</v>
      </c>
      <c r="J112" s="259">
        <v>0</v>
      </c>
      <c r="K112" s="201">
        <f t="shared" si="16"/>
        <v>0</v>
      </c>
      <c r="L112" s="190">
        <v>525.73</v>
      </c>
      <c r="M112" s="201">
        <f t="shared" si="17"/>
        <v>1.0147336162187648</v>
      </c>
      <c r="N112" s="190">
        <v>262.86500000000001</v>
      </c>
      <c r="O112" s="259">
        <v>0.2</v>
      </c>
      <c r="P112" s="191">
        <v>5.8934464875058934E-3</v>
      </c>
      <c r="Q112" s="250">
        <v>105.14600000000002</v>
      </c>
      <c r="R112" s="259">
        <v>0.3</v>
      </c>
      <c r="S112" s="191">
        <v>8.8401697312588401E-3</v>
      </c>
      <c r="T112" s="189" t="s">
        <v>486</v>
      </c>
      <c r="U112" s="189" t="s">
        <v>426</v>
      </c>
      <c r="V112" s="189"/>
      <c r="W112" s="196">
        <v>1</v>
      </c>
      <c r="X112" s="189" t="s">
        <v>285</v>
      </c>
    </row>
    <row r="113" spans="2:25">
      <c r="B113" s="531"/>
      <c r="C113" s="531"/>
      <c r="D113" s="200">
        <v>7</v>
      </c>
      <c r="E113" s="189" t="s">
        <v>589</v>
      </c>
      <c r="F113" s="190">
        <v>154.55999999999932</v>
      </c>
      <c r="G113" s="259">
        <v>4.2160000000000002</v>
      </c>
      <c r="H113" s="259">
        <v>4.3</v>
      </c>
      <c r="I113" s="201">
        <f t="shared" si="15"/>
        <v>1.0199240986717266</v>
      </c>
      <c r="J113" s="259">
        <v>0</v>
      </c>
      <c r="K113" s="201">
        <f t="shared" si="16"/>
        <v>0</v>
      </c>
      <c r="L113" s="190">
        <v>1840</v>
      </c>
      <c r="M113" s="201">
        <f t="shared" si="17"/>
        <v>1.0199240986717266</v>
      </c>
      <c r="N113" s="190">
        <v>154.55999999999932</v>
      </c>
      <c r="O113" s="259">
        <v>0</v>
      </c>
      <c r="P113" s="191">
        <v>0</v>
      </c>
      <c r="Q113" s="250">
        <v>0</v>
      </c>
      <c r="R113" s="259">
        <v>8.3999999999999631E-2</v>
      </c>
      <c r="S113" s="191">
        <v>1.9924098671726665E-2</v>
      </c>
      <c r="T113" s="189" t="s">
        <v>486</v>
      </c>
      <c r="U113" s="189" t="s">
        <v>426</v>
      </c>
      <c r="V113" s="189"/>
      <c r="W113" s="196">
        <v>1</v>
      </c>
      <c r="X113" s="189" t="s">
        <v>419</v>
      </c>
    </row>
    <row r="114" spans="2:25">
      <c r="B114" s="531"/>
      <c r="C114" s="531"/>
      <c r="D114" s="200">
        <v>8</v>
      </c>
      <c r="E114" s="189" t="s">
        <v>588</v>
      </c>
      <c r="F114" s="190">
        <v>147.20000000000013</v>
      </c>
      <c r="G114" s="259">
        <v>2.62</v>
      </c>
      <c r="H114" s="259">
        <v>2.7</v>
      </c>
      <c r="I114" s="201">
        <f t="shared" si="15"/>
        <v>1.0305343511450382</v>
      </c>
      <c r="J114" s="259">
        <v>0</v>
      </c>
      <c r="K114" s="201">
        <f t="shared" si="16"/>
        <v>0</v>
      </c>
      <c r="L114" s="190">
        <v>1840</v>
      </c>
      <c r="M114" s="201">
        <f t="shared" si="17"/>
        <v>1.0305343511450382</v>
      </c>
      <c r="N114" s="190">
        <v>147.20000000000013</v>
      </c>
      <c r="O114" s="259">
        <v>0</v>
      </c>
      <c r="P114" s="191">
        <v>0</v>
      </c>
      <c r="Q114" s="250">
        <v>0</v>
      </c>
      <c r="R114" s="259">
        <v>8.0000000000000071E-2</v>
      </c>
      <c r="S114" s="191">
        <v>3.0534351145038195E-2</v>
      </c>
      <c r="T114" s="189" t="s">
        <v>486</v>
      </c>
      <c r="U114" s="189" t="s">
        <v>426</v>
      </c>
      <c r="V114" s="189"/>
      <c r="W114" s="196">
        <v>1</v>
      </c>
      <c r="X114" s="189" t="s">
        <v>213</v>
      </c>
    </row>
    <row r="115" spans="2:25">
      <c r="B115" s="531"/>
      <c r="C115" s="531"/>
      <c r="D115" s="200">
        <v>9</v>
      </c>
      <c r="E115" s="189" t="s">
        <v>418</v>
      </c>
      <c r="F115" s="190">
        <v>145.87715999999853</v>
      </c>
      <c r="G115" s="259">
        <v>59.014000000000003</v>
      </c>
      <c r="H115" s="259">
        <v>59.5</v>
      </c>
      <c r="I115" s="201">
        <f t="shared" si="15"/>
        <v>1.008235333988545</v>
      </c>
      <c r="J115" s="259">
        <v>0</v>
      </c>
      <c r="K115" s="201">
        <f t="shared" si="16"/>
        <v>0</v>
      </c>
      <c r="L115" s="190">
        <v>510.06</v>
      </c>
      <c r="M115" s="201">
        <f t="shared" si="17"/>
        <v>1.008235333988545</v>
      </c>
      <c r="N115" s="190">
        <v>247.88915999999853</v>
      </c>
      <c r="O115" s="259">
        <v>0.2</v>
      </c>
      <c r="P115" s="191">
        <v>3.3890263327346053E-3</v>
      </c>
      <c r="Q115" s="250">
        <v>102.012</v>
      </c>
      <c r="R115" s="259">
        <v>0.28599999999999709</v>
      </c>
      <c r="S115" s="191">
        <v>4.8463076558104357E-3</v>
      </c>
      <c r="T115" s="189" t="s">
        <v>486</v>
      </c>
      <c r="U115" s="189" t="s">
        <v>416</v>
      </c>
      <c r="V115" s="189"/>
      <c r="W115" s="196">
        <v>1</v>
      </c>
      <c r="X115" s="189" t="s">
        <v>261</v>
      </c>
    </row>
    <row r="116" spans="2:25">
      <c r="B116" s="531"/>
      <c r="C116" s="531"/>
      <c r="D116" s="200">
        <v>10</v>
      </c>
      <c r="E116" s="189" t="s">
        <v>532</v>
      </c>
      <c r="F116" s="190">
        <v>138.13284000000169</v>
      </c>
      <c r="G116" s="259">
        <v>23.687999999999999</v>
      </c>
      <c r="H116" s="259">
        <v>24.1</v>
      </c>
      <c r="I116" s="201">
        <f t="shared" si="15"/>
        <v>1.0173927727119219</v>
      </c>
      <c r="J116" s="259">
        <v>0</v>
      </c>
      <c r="K116" s="201">
        <f t="shared" si="16"/>
        <v>0</v>
      </c>
      <c r="L116" s="190">
        <v>651.57000000000005</v>
      </c>
      <c r="M116" s="201">
        <f t="shared" si="17"/>
        <v>1.0173927727119219</v>
      </c>
      <c r="N116" s="190">
        <v>268.44684000000171</v>
      </c>
      <c r="O116" s="259">
        <v>0.2</v>
      </c>
      <c r="P116" s="191">
        <v>8.443093549476529E-3</v>
      </c>
      <c r="Q116" s="250">
        <v>130.31400000000002</v>
      </c>
      <c r="R116" s="259">
        <v>0.21200000000000258</v>
      </c>
      <c r="S116" s="191">
        <v>8.9496791624452295E-3</v>
      </c>
      <c r="T116" s="189" t="s">
        <v>486</v>
      </c>
      <c r="U116" s="189" t="s">
        <v>416</v>
      </c>
      <c r="V116" s="189"/>
      <c r="W116" s="196">
        <v>1</v>
      </c>
      <c r="X116" s="189" t="s">
        <v>533</v>
      </c>
    </row>
    <row r="117" spans="2:25">
      <c r="B117" s="533">
        <v>45881</v>
      </c>
      <c r="C117" s="531" t="s">
        <v>159</v>
      </c>
      <c r="D117" s="200">
        <v>11</v>
      </c>
      <c r="E117" s="189" t="s">
        <v>521</v>
      </c>
      <c r="F117" s="190">
        <v>508.90663999999731</v>
      </c>
      <c r="G117" s="189">
        <v>42.432000000000002</v>
      </c>
      <c r="H117" s="189">
        <v>43.8</v>
      </c>
      <c r="I117" s="201">
        <f t="shared" si="15"/>
        <v>1.0322398190045248</v>
      </c>
      <c r="J117" s="189">
        <v>0</v>
      </c>
      <c r="K117" s="201">
        <f t="shared" si="16"/>
        <v>0</v>
      </c>
      <c r="L117" s="190">
        <v>525.73</v>
      </c>
      <c r="M117" s="201">
        <f t="shared" si="17"/>
        <v>1.0322398190045248</v>
      </c>
      <c r="N117" s="190">
        <v>719.19863999999734</v>
      </c>
      <c r="O117" s="189">
        <v>0.4</v>
      </c>
      <c r="P117" s="191">
        <v>9.4268476621417793E-3</v>
      </c>
      <c r="Q117" s="250">
        <v>210.29200000000003</v>
      </c>
      <c r="R117" s="189">
        <v>0.96799999999999498</v>
      </c>
      <c r="S117" s="191">
        <v>2.2812971342382988E-2</v>
      </c>
      <c r="T117" s="189" t="s">
        <v>486</v>
      </c>
      <c r="U117" s="189" t="s">
        <v>490</v>
      </c>
      <c r="V117" s="189"/>
      <c r="W117" s="196">
        <v>1</v>
      </c>
      <c r="X117" s="189" t="s">
        <v>285</v>
      </c>
    </row>
    <row r="118" spans="2:25">
      <c r="B118" s="531"/>
      <c r="C118" s="531"/>
      <c r="D118" s="200">
        <v>12</v>
      </c>
      <c r="E118" s="189" t="s">
        <v>418</v>
      </c>
      <c r="F118" s="190">
        <v>323.37804000001324</v>
      </c>
      <c r="G118" s="189">
        <v>289.166</v>
      </c>
      <c r="H118" s="189">
        <v>290.10000000000002</v>
      </c>
      <c r="I118" s="201">
        <f t="shared" si="15"/>
        <v>1.0032299786281929</v>
      </c>
      <c r="J118" s="189">
        <v>0</v>
      </c>
      <c r="K118" s="201">
        <f t="shared" si="16"/>
        <v>0</v>
      </c>
      <c r="L118" s="190">
        <v>510.06</v>
      </c>
      <c r="M118" s="201">
        <f t="shared" si="17"/>
        <v>1.0032299786281929</v>
      </c>
      <c r="N118" s="190">
        <v>476.39604000001322</v>
      </c>
      <c r="O118" s="189">
        <v>0.3</v>
      </c>
      <c r="P118" s="191">
        <v>1.0374663687985448E-3</v>
      </c>
      <c r="Q118" s="250">
        <v>153.018</v>
      </c>
      <c r="R118" s="189">
        <v>0.63400000000002588</v>
      </c>
      <c r="S118" s="191">
        <v>2.1925122593943473E-3</v>
      </c>
      <c r="T118" s="189" t="s">
        <v>486</v>
      </c>
      <c r="U118" s="189" t="s">
        <v>490</v>
      </c>
      <c r="V118" s="189"/>
      <c r="W118" s="196">
        <v>1</v>
      </c>
      <c r="X118" s="189" t="s">
        <v>417</v>
      </c>
    </row>
    <row r="119" spans="2:25">
      <c r="B119" s="531"/>
      <c r="C119" s="531"/>
      <c r="D119" s="200">
        <v>13</v>
      </c>
      <c r="E119" s="189" t="s">
        <v>438</v>
      </c>
      <c r="F119" s="190">
        <v>262.47965999999963</v>
      </c>
      <c r="G119" s="189">
        <v>75.945999999999998</v>
      </c>
      <c r="H119" s="189">
        <v>76.8</v>
      </c>
      <c r="I119" s="201">
        <f t="shared" si="15"/>
        <v>1.0112448318542122</v>
      </c>
      <c r="J119" s="189">
        <v>0</v>
      </c>
      <c r="K119" s="201">
        <f t="shared" si="16"/>
        <v>0</v>
      </c>
      <c r="L119" s="190">
        <v>473.79</v>
      </c>
      <c r="M119" s="201">
        <f t="shared" si="17"/>
        <v>1.0112448318542122</v>
      </c>
      <c r="N119" s="190">
        <v>404.61665999999963</v>
      </c>
      <c r="O119" s="189">
        <v>0.3</v>
      </c>
      <c r="P119" s="191">
        <v>3.9501751244305165E-3</v>
      </c>
      <c r="Q119" s="250">
        <v>142.137</v>
      </c>
      <c r="R119" s="189">
        <v>0.55399999999999916</v>
      </c>
      <c r="S119" s="191">
        <v>7.2946567297816761E-3</v>
      </c>
      <c r="T119" s="189" t="s">
        <v>486</v>
      </c>
      <c r="U119" s="189" t="s">
        <v>490</v>
      </c>
      <c r="V119" s="189"/>
      <c r="W119" s="196">
        <v>1</v>
      </c>
      <c r="X119" s="189" t="s">
        <v>417</v>
      </c>
    </row>
    <row r="120" spans="2:25">
      <c r="B120" s="531"/>
      <c r="C120" s="531"/>
      <c r="D120" s="200">
        <v>14</v>
      </c>
      <c r="E120" s="189" t="s">
        <v>440</v>
      </c>
      <c r="F120" s="190">
        <v>222.44</v>
      </c>
      <c r="G120" s="189">
        <v>67.733999999999995</v>
      </c>
      <c r="H120" s="189">
        <v>68.733999999999995</v>
      </c>
      <c r="I120" s="201">
        <f t="shared" si="15"/>
        <v>1.0147636342161988</v>
      </c>
      <c r="J120" s="189">
        <v>0</v>
      </c>
      <c r="K120" s="201">
        <f t="shared" si="16"/>
        <v>0</v>
      </c>
      <c r="L120" s="190">
        <v>444.88</v>
      </c>
      <c r="M120" s="201">
        <f t="shared" si="17"/>
        <v>1.0147636342161988</v>
      </c>
      <c r="N120" s="190">
        <v>444.88</v>
      </c>
      <c r="O120" s="189">
        <v>0.5</v>
      </c>
      <c r="P120" s="191">
        <v>7.3818171080993304E-3</v>
      </c>
      <c r="Q120" s="250">
        <v>222.44</v>
      </c>
      <c r="R120" s="189">
        <v>0.5</v>
      </c>
      <c r="S120" s="191">
        <v>7.3818171080993304E-3</v>
      </c>
      <c r="T120" s="189" t="s">
        <v>486</v>
      </c>
      <c r="U120" s="189" t="s">
        <v>490</v>
      </c>
      <c r="V120" s="189"/>
      <c r="W120" s="196">
        <v>1</v>
      </c>
      <c r="X120" s="189" t="s">
        <v>286</v>
      </c>
    </row>
    <row r="121" spans="2:25">
      <c r="B121" s="531"/>
      <c r="C121" s="531"/>
      <c r="D121" s="200">
        <v>15</v>
      </c>
      <c r="E121" s="189" t="s">
        <v>532</v>
      </c>
      <c r="F121" s="190">
        <v>195.47099999999955</v>
      </c>
      <c r="G121" s="189">
        <v>21.864000000000001</v>
      </c>
      <c r="H121" s="189">
        <v>22.564</v>
      </c>
      <c r="I121" s="201">
        <f t="shared" si="15"/>
        <v>1.0320160995243322</v>
      </c>
      <c r="J121" s="189">
        <v>0</v>
      </c>
      <c r="K121" s="201">
        <f t="shared" si="16"/>
        <v>0</v>
      </c>
      <c r="L121" s="190">
        <v>651.57000000000005</v>
      </c>
      <c r="M121" s="201">
        <f t="shared" si="17"/>
        <v>1.0320160995243322</v>
      </c>
      <c r="N121" s="190">
        <v>456.09899999999959</v>
      </c>
      <c r="O121" s="189">
        <v>0.4</v>
      </c>
      <c r="P121" s="191">
        <v>1.8294914013904134E-2</v>
      </c>
      <c r="Q121" s="250">
        <v>260.62800000000004</v>
      </c>
      <c r="R121" s="189">
        <v>0.29999999999999927</v>
      </c>
      <c r="S121" s="191">
        <v>1.3721185510428066E-2</v>
      </c>
      <c r="T121" s="189" t="s">
        <v>483</v>
      </c>
      <c r="U121" s="189" t="s">
        <v>416</v>
      </c>
      <c r="V121" s="189"/>
      <c r="W121" s="196">
        <v>1</v>
      </c>
      <c r="X121" s="189" t="s">
        <v>533</v>
      </c>
    </row>
    <row r="122" spans="2:25">
      <c r="B122" s="531"/>
      <c r="C122" s="531"/>
      <c r="D122" s="200">
        <v>16</v>
      </c>
      <c r="E122" s="189" t="s">
        <v>507</v>
      </c>
      <c r="F122" s="190">
        <v>191.25015000000045</v>
      </c>
      <c r="G122" s="189">
        <v>91.944999999999993</v>
      </c>
      <c r="H122" s="189">
        <v>92.6</v>
      </c>
      <c r="I122" s="201">
        <f t="shared" si="15"/>
        <v>1.0071238240252325</v>
      </c>
      <c r="J122" s="189">
        <v>0</v>
      </c>
      <c r="K122" s="201">
        <f t="shared" si="16"/>
        <v>0</v>
      </c>
      <c r="L122" s="190">
        <v>420.33</v>
      </c>
      <c r="M122" s="201">
        <f t="shared" si="17"/>
        <v>1.0071238240252325</v>
      </c>
      <c r="N122" s="190">
        <v>275.31615000000045</v>
      </c>
      <c r="O122" s="189">
        <v>0.2</v>
      </c>
      <c r="P122" s="191">
        <v>2.175213442819077E-3</v>
      </c>
      <c r="Q122" s="250">
        <v>84.066000000000003</v>
      </c>
      <c r="R122" s="189">
        <v>0.45500000000000113</v>
      </c>
      <c r="S122" s="191">
        <v>4.9486105824134118E-3</v>
      </c>
      <c r="T122" s="189" t="s">
        <v>486</v>
      </c>
      <c r="U122" s="189" t="s">
        <v>426</v>
      </c>
      <c r="V122" s="189"/>
      <c r="W122" s="196">
        <v>1</v>
      </c>
      <c r="X122" s="189" t="s">
        <v>297</v>
      </c>
    </row>
    <row r="123" spans="2:25">
      <c r="B123" s="531"/>
      <c r="C123" s="531"/>
      <c r="D123" s="200">
        <v>17</v>
      </c>
      <c r="E123" s="189" t="s">
        <v>510</v>
      </c>
      <c r="F123" s="190">
        <v>178.41000000000079</v>
      </c>
      <c r="G123" s="189">
        <v>41.255000000000003</v>
      </c>
      <c r="H123" s="189">
        <v>42.455000000000005</v>
      </c>
      <c r="I123" s="201">
        <f t="shared" si="15"/>
        <v>1.0290873833474732</v>
      </c>
      <c r="J123" s="189">
        <v>0</v>
      </c>
      <c r="K123" s="201">
        <f t="shared" si="16"/>
        <v>0</v>
      </c>
      <c r="L123" s="190">
        <v>297.35000000000002</v>
      </c>
      <c r="M123" s="201">
        <f t="shared" si="17"/>
        <v>1.0290873833474732</v>
      </c>
      <c r="N123" s="190">
        <v>356.82000000000085</v>
      </c>
      <c r="O123" s="189">
        <v>0.60000000000000009</v>
      </c>
      <c r="P123" s="191">
        <v>1.4543691673736517E-2</v>
      </c>
      <c r="Q123" s="250">
        <v>178.41000000000005</v>
      </c>
      <c r="R123" s="189">
        <v>0.60000000000000275</v>
      </c>
      <c r="S123" s="191">
        <v>1.4543691673736583E-2</v>
      </c>
      <c r="T123" s="189" t="s">
        <v>486</v>
      </c>
      <c r="U123" s="189" t="s">
        <v>426</v>
      </c>
      <c r="V123" s="189"/>
      <c r="W123" s="196">
        <v>1</v>
      </c>
      <c r="X123" s="189" t="s">
        <v>271</v>
      </c>
    </row>
    <row r="124" spans="2:25">
      <c r="B124" s="531"/>
      <c r="C124" s="531"/>
      <c r="D124" s="200">
        <v>18</v>
      </c>
      <c r="E124" s="189" t="s">
        <v>429</v>
      </c>
      <c r="F124" s="190">
        <v>177.95700000000153</v>
      </c>
      <c r="G124" s="189">
        <v>252.43199999999999</v>
      </c>
      <c r="H124" s="189">
        <v>255.232</v>
      </c>
      <c r="I124" s="201">
        <f t="shared" si="15"/>
        <v>1.0110920960892438</v>
      </c>
      <c r="J124" s="189">
        <v>0</v>
      </c>
      <c r="K124" s="201">
        <f t="shared" si="16"/>
        <v>0</v>
      </c>
      <c r="L124" s="190">
        <v>136.88999999999999</v>
      </c>
      <c r="M124" s="201">
        <f t="shared" si="17"/>
        <v>1.0110920960892438</v>
      </c>
      <c r="N124" s="190">
        <v>383.29200000000151</v>
      </c>
      <c r="O124" s="189">
        <v>1.5</v>
      </c>
      <c r="P124" s="191">
        <v>5.9421943335234836E-3</v>
      </c>
      <c r="Q124" s="250">
        <v>205.33499999999998</v>
      </c>
      <c r="R124" s="189">
        <v>1.3000000000000114</v>
      </c>
      <c r="S124" s="191">
        <v>5.1499017557203979E-3</v>
      </c>
      <c r="T124" s="189" t="s">
        <v>486</v>
      </c>
      <c r="U124" s="189" t="s">
        <v>426</v>
      </c>
      <c r="V124" s="189"/>
      <c r="W124" s="196">
        <v>1</v>
      </c>
      <c r="X124" s="189" t="s">
        <v>417</v>
      </c>
    </row>
    <row r="125" spans="2:25">
      <c r="B125" s="531"/>
      <c r="C125" s="531"/>
      <c r="D125" s="200">
        <v>19</v>
      </c>
      <c r="E125" s="189" t="s">
        <v>579</v>
      </c>
      <c r="F125" s="190">
        <v>172.15560000000002</v>
      </c>
      <c r="G125" s="189">
        <v>5.4089999999999998</v>
      </c>
      <c r="H125" s="189">
        <v>5.8</v>
      </c>
      <c r="I125" s="201">
        <f t="shared" si="15"/>
        <v>1.0722869291920873</v>
      </c>
      <c r="J125" s="189">
        <v>0</v>
      </c>
      <c r="K125" s="201">
        <f t="shared" si="16"/>
        <v>0</v>
      </c>
      <c r="L125" s="190">
        <v>591.6</v>
      </c>
      <c r="M125" s="201">
        <f t="shared" si="17"/>
        <v>1.0722869291920873</v>
      </c>
      <c r="N125" s="190">
        <v>231.31560000000002</v>
      </c>
      <c r="O125" s="189">
        <v>0.1</v>
      </c>
      <c r="P125" s="191">
        <v>1.8487705675725646E-2</v>
      </c>
      <c r="Q125" s="250">
        <v>59.160000000000004</v>
      </c>
      <c r="R125" s="189">
        <v>0.29100000000000004</v>
      </c>
      <c r="S125" s="191">
        <v>5.3799223516361627E-2</v>
      </c>
      <c r="T125" s="189" t="s">
        <v>514</v>
      </c>
      <c r="U125" s="189" t="s">
        <v>596</v>
      </c>
      <c r="V125" s="189"/>
      <c r="W125" s="196">
        <v>1</v>
      </c>
      <c r="X125" s="189" t="s">
        <v>245</v>
      </c>
    </row>
    <row r="126" spans="2:25">
      <c r="B126" s="531"/>
      <c r="C126" s="531"/>
      <c r="D126" s="200">
        <v>20</v>
      </c>
      <c r="E126" s="189" t="s">
        <v>485</v>
      </c>
      <c r="F126" s="190">
        <v>165.15010000000015</v>
      </c>
      <c r="G126" s="189">
        <v>17.402000000000001</v>
      </c>
      <c r="H126" s="189">
        <v>18.100000000000001</v>
      </c>
      <c r="I126" s="201">
        <f t="shared" si="15"/>
        <v>1.0401103321457303</v>
      </c>
      <c r="J126" s="189">
        <v>0</v>
      </c>
      <c r="K126" s="201">
        <f t="shared" si="16"/>
        <v>0</v>
      </c>
      <c r="L126" s="190">
        <v>414.95</v>
      </c>
      <c r="M126" s="201">
        <f t="shared" si="17"/>
        <v>1.0401103321457303</v>
      </c>
      <c r="N126" s="190">
        <v>289.63510000000014</v>
      </c>
      <c r="O126" s="189">
        <v>0.3</v>
      </c>
      <c r="P126" s="191">
        <v>1.7239397770371222E-2</v>
      </c>
      <c r="Q126" s="250">
        <v>124.48499999999999</v>
      </c>
      <c r="R126" s="189">
        <v>0.39800000000000041</v>
      </c>
      <c r="S126" s="191">
        <v>2.2870934375359177E-2</v>
      </c>
      <c r="T126" s="189" t="s">
        <v>494</v>
      </c>
      <c r="U126" s="189" t="s">
        <v>495</v>
      </c>
      <c r="V126" s="189"/>
      <c r="W126" s="196">
        <v>1</v>
      </c>
      <c r="X126" s="189" t="s">
        <v>304</v>
      </c>
    </row>
    <row r="127" spans="2:25">
      <c r="B127" s="533">
        <v>45882</v>
      </c>
      <c r="C127" s="531" t="s">
        <v>160</v>
      </c>
      <c r="D127" s="200">
        <v>21</v>
      </c>
      <c r="E127" s="189" t="s">
        <v>438</v>
      </c>
      <c r="F127" s="190">
        <v>602.66087999999729</v>
      </c>
      <c r="G127" s="189">
        <v>83.628</v>
      </c>
      <c r="H127" s="189">
        <v>85.1</v>
      </c>
      <c r="I127" s="201">
        <f t="shared" si="15"/>
        <v>1.0176017601760174</v>
      </c>
      <c r="J127" s="189">
        <v>0</v>
      </c>
      <c r="K127" s="201">
        <f t="shared" si="16"/>
        <v>0</v>
      </c>
      <c r="L127" s="190">
        <v>473.79</v>
      </c>
      <c r="M127" s="201">
        <f t="shared" si="17"/>
        <v>1.0176017601760174</v>
      </c>
      <c r="N127" s="190">
        <v>697.41887999999733</v>
      </c>
      <c r="O127" s="189">
        <v>0.2</v>
      </c>
      <c r="P127" s="191">
        <v>2.3915435021763048E-3</v>
      </c>
      <c r="Q127" s="250">
        <v>94.75800000000001</v>
      </c>
      <c r="R127" s="189">
        <v>1.2719999999999942</v>
      </c>
      <c r="S127" s="191">
        <v>1.5210216673841228E-2</v>
      </c>
      <c r="T127" s="189" t="s">
        <v>486</v>
      </c>
      <c r="U127" s="189" t="s">
        <v>426</v>
      </c>
      <c r="V127" s="189"/>
      <c r="W127" s="196">
        <v>1</v>
      </c>
      <c r="X127" s="189" t="s">
        <v>417</v>
      </c>
      <c r="Y127" s="192" t="s">
        <v>550</v>
      </c>
    </row>
    <row r="128" spans="2:25">
      <c r="B128" s="531"/>
      <c r="C128" s="531"/>
      <c r="D128" s="200">
        <v>22</v>
      </c>
      <c r="E128" s="189" t="s">
        <v>418</v>
      </c>
      <c r="F128" s="190">
        <v>473.84573999999236</v>
      </c>
      <c r="G128" s="189">
        <v>209.471</v>
      </c>
      <c r="H128" s="189">
        <v>210.7</v>
      </c>
      <c r="I128" s="201">
        <f t="shared" si="15"/>
        <v>1.0058671606093443</v>
      </c>
      <c r="J128" s="189">
        <v>0</v>
      </c>
      <c r="K128" s="201">
        <f t="shared" si="16"/>
        <v>0</v>
      </c>
      <c r="L128" s="190">
        <v>510.06</v>
      </c>
      <c r="M128" s="201">
        <f t="shared" si="17"/>
        <v>1.0058671606093443</v>
      </c>
      <c r="N128" s="190">
        <v>626.86373999999239</v>
      </c>
      <c r="O128" s="189">
        <v>0.3</v>
      </c>
      <c r="P128" s="191">
        <v>1.4321791560645625E-3</v>
      </c>
      <c r="Q128" s="250">
        <v>153.018</v>
      </c>
      <c r="R128" s="189">
        <v>0.92899999999998495</v>
      </c>
      <c r="S128" s="191">
        <v>4.4349814532798574E-3</v>
      </c>
      <c r="T128" s="189" t="s">
        <v>486</v>
      </c>
      <c r="U128" s="189" t="s">
        <v>426</v>
      </c>
      <c r="V128" s="189"/>
      <c r="W128" s="196">
        <v>1</v>
      </c>
      <c r="X128" s="189" t="s">
        <v>417</v>
      </c>
      <c r="Y128" s="194" t="s">
        <v>552</v>
      </c>
    </row>
    <row r="129" spans="2:24">
      <c r="B129" s="531"/>
      <c r="C129" s="531"/>
      <c r="D129" s="200">
        <v>23</v>
      </c>
      <c r="E129" s="189" t="s">
        <v>521</v>
      </c>
      <c r="F129" s="190">
        <v>414.27523999999903</v>
      </c>
      <c r="G129" s="189">
        <v>45.911999999999999</v>
      </c>
      <c r="H129" s="189">
        <v>46.8</v>
      </c>
      <c r="I129" s="201">
        <f t="shared" si="15"/>
        <v>1.0193413486670151</v>
      </c>
      <c r="J129" s="189">
        <v>0</v>
      </c>
      <c r="K129" s="201">
        <f t="shared" si="16"/>
        <v>0</v>
      </c>
      <c r="L129" s="190">
        <v>525.73</v>
      </c>
      <c r="M129" s="201">
        <f t="shared" si="17"/>
        <v>1.0193413486670151</v>
      </c>
      <c r="N129" s="190">
        <v>466.84823999999901</v>
      </c>
      <c r="O129" s="189">
        <v>0.1</v>
      </c>
      <c r="P129" s="191">
        <v>2.1780798048440498E-3</v>
      </c>
      <c r="Q129" s="250">
        <v>52.573000000000008</v>
      </c>
      <c r="R129" s="189">
        <v>0.78799999999999815</v>
      </c>
      <c r="S129" s="191">
        <v>1.716326886217107E-2</v>
      </c>
      <c r="T129" s="189" t="s">
        <v>486</v>
      </c>
      <c r="U129" s="189" t="s">
        <v>426</v>
      </c>
      <c r="V129" s="189"/>
      <c r="W129" s="196">
        <v>1</v>
      </c>
      <c r="X129" s="189" t="s">
        <v>285</v>
      </c>
    </row>
    <row r="130" spans="2:24">
      <c r="B130" s="531"/>
      <c r="C130" s="531"/>
      <c r="D130" s="200">
        <v>24</v>
      </c>
      <c r="E130" s="189" t="s">
        <v>440</v>
      </c>
      <c r="F130" s="190">
        <v>366.5811199999979</v>
      </c>
      <c r="G130" s="189">
        <v>43.776000000000003</v>
      </c>
      <c r="H130" s="189">
        <v>44.9</v>
      </c>
      <c r="I130" s="201">
        <f t="shared" si="15"/>
        <v>1.0256761695906431</v>
      </c>
      <c r="J130" s="189">
        <v>0</v>
      </c>
      <c r="K130" s="201">
        <f t="shared" si="16"/>
        <v>0</v>
      </c>
      <c r="L130" s="190">
        <v>444.88</v>
      </c>
      <c r="M130" s="201">
        <f t="shared" si="17"/>
        <v>1.0256761695906431</v>
      </c>
      <c r="N130" s="190">
        <v>500.04511999999789</v>
      </c>
      <c r="O130" s="189">
        <v>0.3</v>
      </c>
      <c r="P130" s="191">
        <v>6.8530701754385961E-3</v>
      </c>
      <c r="Q130" s="250">
        <v>133.464</v>
      </c>
      <c r="R130" s="189">
        <v>0.82399999999999518</v>
      </c>
      <c r="S130" s="191">
        <v>1.8823099415204568E-2</v>
      </c>
      <c r="T130" s="189" t="s">
        <v>486</v>
      </c>
      <c r="U130" s="189" t="s">
        <v>426</v>
      </c>
      <c r="V130" s="189"/>
      <c r="W130" s="196">
        <v>1</v>
      </c>
      <c r="X130" s="189" t="s">
        <v>286</v>
      </c>
    </row>
    <row r="131" spans="2:24">
      <c r="B131" s="531"/>
      <c r="C131" s="531"/>
      <c r="D131" s="200">
        <v>25</v>
      </c>
      <c r="E131" s="189" t="s">
        <v>532</v>
      </c>
      <c r="F131" s="190">
        <v>297.11591999999922</v>
      </c>
      <c r="G131" s="189">
        <v>26.244</v>
      </c>
      <c r="H131" s="189">
        <v>26.9</v>
      </c>
      <c r="I131" s="201">
        <f t="shared" si="15"/>
        <v>1.0249961896052431</v>
      </c>
      <c r="J131" s="189">
        <v>0</v>
      </c>
      <c r="K131" s="201">
        <f t="shared" si="16"/>
        <v>0</v>
      </c>
      <c r="L131" s="190">
        <v>651.57000000000005</v>
      </c>
      <c r="M131" s="201">
        <f t="shared" si="17"/>
        <v>1.0249961896052431</v>
      </c>
      <c r="N131" s="190">
        <v>427.42991999999924</v>
      </c>
      <c r="O131" s="189">
        <v>0.2</v>
      </c>
      <c r="P131" s="191">
        <v>7.6207895137936294E-3</v>
      </c>
      <c r="Q131" s="250">
        <v>130.31400000000002</v>
      </c>
      <c r="R131" s="189">
        <v>0.4559999999999988</v>
      </c>
      <c r="S131" s="191">
        <v>1.7375400091449427E-2</v>
      </c>
      <c r="T131" s="189" t="s">
        <v>483</v>
      </c>
      <c r="U131" s="189" t="s">
        <v>416</v>
      </c>
      <c r="V131" s="189"/>
      <c r="W131" s="196">
        <v>1</v>
      </c>
      <c r="X131" s="189" t="s">
        <v>533</v>
      </c>
    </row>
    <row r="132" spans="2:24">
      <c r="B132" s="531"/>
      <c r="C132" s="531"/>
      <c r="D132" s="200">
        <v>26</v>
      </c>
      <c r="E132" s="189" t="s">
        <v>485</v>
      </c>
      <c r="F132" s="190">
        <v>289.63510000000042</v>
      </c>
      <c r="G132" s="189">
        <v>18.102</v>
      </c>
      <c r="H132" s="189">
        <v>19.100000000000001</v>
      </c>
      <c r="I132" s="201">
        <f t="shared" si="15"/>
        <v>1.055132029609988</v>
      </c>
      <c r="J132" s="189">
        <v>0</v>
      </c>
      <c r="K132" s="201">
        <f t="shared" si="16"/>
        <v>0</v>
      </c>
      <c r="L132" s="190">
        <v>414.95</v>
      </c>
      <c r="M132" s="201">
        <f t="shared" si="17"/>
        <v>1.055132029609988</v>
      </c>
      <c r="N132" s="190">
        <v>414.12010000000043</v>
      </c>
      <c r="O132" s="189">
        <v>0.3</v>
      </c>
      <c r="P132" s="191">
        <v>1.6572754391779913E-2</v>
      </c>
      <c r="Q132" s="250">
        <v>124.48499999999999</v>
      </c>
      <c r="R132" s="189">
        <v>0.69800000000000106</v>
      </c>
      <c r="S132" s="191">
        <v>3.855927521820799E-2</v>
      </c>
      <c r="T132" s="189" t="s">
        <v>494</v>
      </c>
      <c r="U132" s="189" t="s">
        <v>500</v>
      </c>
      <c r="V132" s="189"/>
      <c r="W132" s="196">
        <v>1</v>
      </c>
      <c r="X132" s="189" t="s">
        <v>304</v>
      </c>
    </row>
    <row r="133" spans="2:24">
      <c r="B133" s="531"/>
      <c r="C133" s="531"/>
      <c r="D133" s="200">
        <v>27</v>
      </c>
      <c r="E133" s="189" t="s">
        <v>504</v>
      </c>
      <c r="F133" s="190">
        <v>284.69016000000056</v>
      </c>
      <c r="G133" s="189">
        <v>11.593999999999999</v>
      </c>
      <c r="H133" s="189">
        <v>12</v>
      </c>
      <c r="I133" s="201">
        <f t="shared" si="15"/>
        <v>1.0350181128169744</v>
      </c>
      <c r="J133" s="189">
        <v>0</v>
      </c>
      <c r="K133" s="201">
        <f t="shared" si="16"/>
        <v>0</v>
      </c>
      <c r="L133" s="190">
        <v>930.36</v>
      </c>
      <c r="M133" s="201">
        <f t="shared" si="17"/>
        <v>1.0350181128169744</v>
      </c>
      <c r="N133" s="190">
        <v>377.72616000000056</v>
      </c>
      <c r="O133" s="189">
        <v>0.1</v>
      </c>
      <c r="P133" s="191">
        <v>8.6251509401414541E-3</v>
      </c>
      <c r="Q133" s="250">
        <v>93.036000000000001</v>
      </c>
      <c r="R133" s="189">
        <v>0.3060000000000006</v>
      </c>
      <c r="S133" s="191">
        <v>2.6392961876832897E-2</v>
      </c>
      <c r="T133" s="189" t="s">
        <v>486</v>
      </c>
      <c r="U133" s="189" t="s">
        <v>426</v>
      </c>
      <c r="V133" s="189"/>
      <c r="W133" s="196">
        <v>1</v>
      </c>
      <c r="X133" s="189" t="s">
        <v>271</v>
      </c>
    </row>
    <row r="134" spans="2:24">
      <c r="B134" s="531"/>
      <c r="C134" s="531"/>
      <c r="D134" s="200">
        <v>28</v>
      </c>
      <c r="E134" s="189" t="s">
        <v>489</v>
      </c>
      <c r="F134" s="190">
        <v>283.70059999999825</v>
      </c>
      <c r="G134" s="189">
        <v>43.008000000000003</v>
      </c>
      <c r="H134" s="189">
        <v>44.3</v>
      </c>
      <c r="I134" s="201">
        <f t="shared" si="15"/>
        <v>1.0300409226190474</v>
      </c>
      <c r="J134" s="189">
        <v>0</v>
      </c>
      <c r="K134" s="201">
        <f t="shared" si="16"/>
        <v>0</v>
      </c>
      <c r="L134" s="190">
        <v>318.05</v>
      </c>
      <c r="M134" s="201">
        <f t="shared" si="17"/>
        <v>1.0300409226190474</v>
      </c>
      <c r="N134" s="190">
        <v>410.92059999999827</v>
      </c>
      <c r="O134" s="189">
        <v>0.4</v>
      </c>
      <c r="P134" s="191">
        <v>9.300595238095238E-3</v>
      </c>
      <c r="Q134" s="250">
        <v>127.22000000000001</v>
      </c>
      <c r="R134" s="189">
        <v>0.89199999999999446</v>
      </c>
      <c r="S134" s="191">
        <v>2.0740327380952252E-2</v>
      </c>
      <c r="T134" s="189" t="s">
        <v>486</v>
      </c>
      <c r="U134" s="189" t="s">
        <v>426</v>
      </c>
      <c r="V134" s="189"/>
      <c r="W134" s="196">
        <v>1</v>
      </c>
      <c r="X134" s="189" t="s">
        <v>303</v>
      </c>
    </row>
    <row r="135" spans="2:24">
      <c r="B135" s="531"/>
      <c r="C135" s="531"/>
      <c r="D135" s="200">
        <v>29</v>
      </c>
      <c r="E135" s="189" t="s">
        <v>429</v>
      </c>
      <c r="F135" s="190">
        <v>279.52938000000097</v>
      </c>
      <c r="G135" s="189">
        <v>256.358</v>
      </c>
      <c r="H135" s="189">
        <v>259.3</v>
      </c>
      <c r="I135" s="201">
        <f t="shared" si="15"/>
        <v>1.011476138837095</v>
      </c>
      <c r="J135" s="189">
        <v>0</v>
      </c>
      <c r="K135" s="201">
        <f t="shared" si="16"/>
        <v>0</v>
      </c>
      <c r="L135" s="190">
        <v>136.88999999999999</v>
      </c>
      <c r="M135" s="201">
        <f t="shared" si="17"/>
        <v>1.011476138837095</v>
      </c>
      <c r="N135" s="190">
        <v>402.73038000000093</v>
      </c>
      <c r="O135" s="189">
        <v>0.9</v>
      </c>
      <c r="P135" s="191">
        <v>3.5107154838156015E-3</v>
      </c>
      <c r="Q135" s="250">
        <v>123.20099999999999</v>
      </c>
      <c r="R135" s="189">
        <v>2.0420000000000074</v>
      </c>
      <c r="S135" s="191">
        <v>7.9654233532794275E-3</v>
      </c>
      <c r="T135" s="189" t="s">
        <v>483</v>
      </c>
      <c r="U135" s="189" t="s">
        <v>416</v>
      </c>
      <c r="V135" s="189"/>
      <c r="W135" s="196">
        <v>1</v>
      </c>
      <c r="X135" s="189" t="s">
        <v>417</v>
      </c>
    </row>
    <row r="136" spans="2:24">
      <c r="B136" s="531"/>
      <c r="C136" s="531"/>
      <c r="D136" s="200">
        <v>30</v>
      </c>
      <c r="E136" s="189" t="s">
        <v>597</v>
      </c>
      <c r="F136" s="190">
        <v>248.94799999999958</v>
      </c>
      <c r="G136" s="189">
        <v>7.9050000000000002</v>
      </c>
      <c r="H136" s="189">
        <v>8.6999999999999993</v>
      </c>
      <c r="I136" s="201">
        <f t="shared" ref="I136:I199" si="18">H136/G136</f>
        <v>1.1005692599620491</v>
      </c>
      <c r="J136" s="189">
        <v>0</v>
      </c>
      <c r="K136" s="201">
        <f t="shared" ref="K136:K199" si="19">J136/G136</f>
        <v>0</v>
      </c>
      <c r="L136" s="190">
        <v>418.4</v>
      </c>
      <c r="M136" s="201">
        <f t="shared" ref="M136:M199" si="20">(H136+J136)/G136</f>
        <v>1.1005692599620491</v>
      </c>
      <c r="N136" s="190">
        <v>332.62799999999959</v>
      </c>
      <c r="O136" s="189">
        <v>0.2</v>
      </c>
      <c r="P136" s="191">
        <v>2.5300442757748263E-2</v>
      </c>
      <c r="Q136" s="250">
        <v>83.68</v>
      </c>
      <c r="R136" s="189">
        <v>0.59499999999999909</v>
      </c>
      <c r="S136" s="191">
        <v>7.5268817204300953E-2</v>
      </c>
      <c r="T136" s="189" t="s">
        <v>494</v>
      </c>
      <c r="U136" s="189" t="s">
        <v>495</v>
      </c>
      <c r="V136" s="189"/>
      <c r="W136" s="196">
        <v>1</v>
      </c>
      <c r="X136" s="189" t="s">
        <v>598</v>
      </c>
    </row>
    <row r="137" spans="2:24">
      <c r="B137" s="533">
        <v>45883</v>
      </c>
      <c r="C137" s="531" t="s">
        <v>161</v>
      </c>
      <c r="D137" s="200">
        <v>31</v>
      </c>
      <c r="E137" s="189" t="s">
        <v>418</v>
      </c>
      <c r="F137" s="190">
        <v>658.48746000001006</v>
      </c>
      <c r="G137" s="189">
        <v>190.00899999999999</v>
      </c>
      <c r="H137" s="189">
        <v>191.4</v>
      </c>
      <c r="I137" s="201">
        <f t="shared" si="18"/>
        <v>1.0073207058613014</v>
      </c>
      <c r="J137" s="189">
        <v>0</v>
      </c>
      <c r="K137" s="201">
        <f t="shared" si="19"/>
        <v>0</v>
      </c>
      <c r="L137" s="190">
        <v>510.06</v>
      </c>
      <c r="M137" s="201">
        <f t="shared" si="20"/>
        <v>1.0073207058613014</v>
      </c>
      <c r="N137" s="190">
        <v>709.49346000001003</v>
      </c>
      <c r="O137" s="189">
        <v>0.1</v>
      </c>
      <c r="P137" s="191">
        <v>5.2629085990663603E-4</v>
      </c>
      <c r="Q137" s="250">
        <v>51.006</v>
      </c>
      <c r="R137" s="189">
        <v>1.2910000000000195</v>
      </c>
      <c r="S137" s="191">
        <v>6.7944150013947739E-3</v>
      </c>
      <c r="T137" s="189" t="s">
        <v>486</v>
      </c>
      <c r="U137" s="189" t="s">
        <v>426</v>
      </c>
      <c r="V137" s="189"/>
      <c r="W137" s="196">
        <v>1</v>
      </c>
      <c r="X137" s="189" t="s">
        <v>417</v>
      </c>
    </row>
    <row r="138" spans="2:24">
      <c r="B138" s="531"/>
      <c r="C138" s="531"/>
      <c r="D138" s="200">
        <v>32</v>
      </c>
      <c r="E138" s="189" t="s">
        <v>521</v>
      </c>
      <c r="F138" s="190">
        <v>395.34895999999759</v>
      </c>
      <c r="G138" s="189">
        <v>40.847999999999999</v>
      </c>
      <c r="H138" s="189">
        <v>41.3</v>
      </c>
      <c r="I138" s="201">
        <f t="shared" si="18"/>
        <v>1.0110654132393262</v>
      </c>
      <c r="J138" s="189">
        <v>0.3</v>
      </c>
      <c r="K138" s="201">
        <f t="shared" si="19"/>
        <v>7.3443008225616922E-3</v>
      </c>
      <c r="L138" s="190">
        <v>525.73</v>
      </c>
      <c r="M138" s="201">
        <f t="shared" si="20"/>
        <v>1.018409714061888</v>
      </c>
      <c r="N138" s="190">
        <v>395.34895999999759</v>
      </c>
      <c r="O138" s="189">
        <v>0</v>
      </c>
      <c r="P138" s="191">
        <v>0</v>
      </c>
      <c r="Q138" s="250">
        <v>0</v>
      </c>
      <c r="R138" s="189">
        <v>0.75199999999999534</v>
      </c>
      <c r="S138" s="191">
        <v>1.840971406188786E-2</v>
      </c>
      <c r="T138" s="189" t="s">
        <v>486</v>
      </c>
      <c r="U138" s="189" t="s">
        <v>426</v>
      </c>
      <c r="V138" s="189"/>
      <c r="W138" s="196">
        <v>1</v>
      </c>
      <c r="X138" s="189" t="s">
        <v>285</v>
      </c>
    </row>
    <row r="139" spans="2:24">
      <c r="B139" s="531"/>
      <c r="C139" s="531"/>
      <c r="D139" s="200">
        <v>33</v>
      </c>
      <c r="E139" s="189" t="s">
        <v>438</v>
      </c>
      <c r="F139" s="190">
        <v>275.74578000000099</v>
      </c>
      <c r="G139" s="189">
        <v>75.117999999999995</v>
      </c>
      <c r="H139" s="189">
        <v>75.8</v>
      </c>
      <c r="I139" s="201">
        <f t="shared" si="18"/>
        <v>1.0090790489629651</v>
      </c>
      <c r="J139" s="189">
        <v>0</v>
      </c>
      <c r="K139" s="201">
        <f t="shared" si="19"/>
        <v>0</v>
      </c>
      <c r="L139" s="190">
        <v>473.79</v>
      </c>
      <c r="M139" s="201">
        <f t="shared" si="20"/>
        <v>1.0090790489629651</v>
      </c>
      <c r="N139" s="190">
        <v>323.12478000000101</v>
      </c>
      <c r="O139" s="189">
        <v>0.1</v>
      </c>
      <c r="P139" s="191">
        <v>1.331238850874624E-3</v>
      </c>
      <c r="Q139" s="250">
        <v>47.379000000000005</v>
      </c>
      <c r="R139" s="189">
        <v>0.58200000000000218</v>
      </c>
      <c r="S139" s="191">
        <v>7.7478101120903404E-3</v>
      </c>
      <c r="T139" s="189" t="s">
        <v>486</v>
      </c>
      <c r="U139" s="189" t="s">
        <v>426</v>
      </c>
      <c r="V139" s="189"/>
      <c r="W139" s="196">
        <v>1</v>
      </c>
      <c r="X139" s="189" t="s">
        <v>417</v>
      </c>
    </row>
    <row r="140" spans="2:24">
      <c r="B140" s="531"/>
      <c r="C140" s="531"/>
      <c r="D140" s="200">
        <v>34</v>
      </c>
      <c r="E140" s="189" t="s">
        <v>440</v>
      </c>
      <c r="F140" s="190">
        <v>242.90447999999844</v>
      </c>
      <c r="G140" s="189">
        <v>39.654000000000003</v>
      </c>
      <c r="H140" s="189">
        <v>40.5</v>
      </c>
      <c r="I140" s="201">
        <f t="shared" si="18"/>
        <v>1.0213345438039036</v>
      </c>
      <c r="J140" s="189">
        <v>0</v>
      </c>
      <c r="K140" s="201">
        <f t="shared" si="19"/>
        <v>0</v>
      </c>
      <c r="L140" s="190">
        <v>444.88</v>
      </c>
      <c r="M140" s="201">
        <f t="shared" si="20"/>
        <v>1.0213345438039036</v>
      </c>
      <c r="N140" s="190">
        <v>376.36847999999844</v>
      </c>
      <c r="O140" s="189">
        <v>0.3</v>
      </c>
      <c r="P140" s="191">
        <v>7.5654410652141006E-3</v>
      </c>
      <c r="Q140" s="250">
        <v>133.464</v>
      </c>
      <c r="R140" s="189">
        <v>0.54599999999999649</v>
      </c>
      <c r="S140" s="191">
        <v>1.3769102738689577E-2</v>
      </c>
      <c r="T140" s="189" t="s">
        <v>486</v>
      </c>
      <c r="U140" s="189" t="s">
        <v>426</v>
      </c>
      <c r="V140" s="189"/>
      <c r="W140" s="196">
        <v>1</v>
      </c>
      <c r="X140" s="189" t="s">
        <v>286</v>
      </c>
    </row>
    <row r="141" spans="2:24">
      <c r="B141" s="531"/>
      <c r="C141" s="531"/>
      <c r="D141" s="200">
        <v>35</v>
      </c>
      <c r="E141" s="189" t="s">
        <v>557</v>
      </c>
      <c r="F141" s="190">
        <v>232.20163999999923</v>
      </c>
      <c r="G141" s="189">
        <v>19.952000000000002</v>
      </c>
      <c r="H141" s="189">
        <v>21.2</v>
      </c>
      <c r="I141" s="201">
        <f t="shared" si="18"/>
        <v>1.0625501202886927</v>
      </c>
      <c r="J141" s="189">
        <v>0</v>
      </c>
      <c r="K141" s="201">
        <f t="shared" si="19"/>
        <v>0</v>
      </c>
      <c r="L141" s="190">
        <v>310.43</v>
      </c>
      <c r="M141" s="201">
        <f t="shared" si="20"/>
        <v>1.0625501202886927</v>
      </c>
      <c r="N141" s="190">
        <v>387.41663999999923</v>
      </c>
      <c r="O141" s="189">
        <v>0.5</v>
      </c>
      <c r="P141" s="191">
        <v>2.5060144346431432E-2</v>
      </c>
      <c r="Q141" s="250">
        <v>155.215</v>
      </c>
      <c r="R141" s="189">
        <v>0.74799999999999756</v>
      </c>
      <c r="S141" s="191">
        <v>3.7489975942261299E-2</v>
      </c>
      <c r="T141" s="189" t="s">
        <v>486</v>
      </c>
      <c r="U141" s="189" t="s">
        <v>426</v>
      </c>
      <c r="V141" s="189"/>
      <c r="W141" s="196">
        <v>1</v>
      </c>
      <c r="X141" s="189" t="s">
        <v>270</v>
      </c>
    </row>
    <row r="142" spans="2:24">
      <c r="B142" s="531"/>
      <c r="C142" s="531"/>
      <c r="D142" s="200">
        <v>36</v>
      </c>
      <c r="E142" s="189" t="s">
        <v>510</v>
      </c>
      <c r="F142" s="190">
        <v>219.14695000000057</v>
      </c>
      <c r="G142" s="189">
        <v>36.963000000000001</v>
      </c>
      <c r="H142" s="189">
        <v>38.200000000000003</v>
      </c>
      <c r="I142" s="201">
        <f t="shared" si="18"/>
        <v>1.0334658983307632</v>
      </c>
      <c r="J142" s="189">
        <v>0</v>
      </c>
      <c r="K142" s="201">
        <f t="shared" si="19"/>
        <v>0</v>
      </c>
      <c r="L142" s="190">
        <v>297.35000000000002</v>
      </c>
      <c r="M142" s="201">
        <f t="shared" si="20"/>
        <v>1.0334658983307632</v>
      </c>
      <c r="N142" s="190">
        <v>367.82195000000058</v>
      </c>
      <c r="O142" s="189">
        <v>0.5</v>
      </c>
      <c r="P142" s="191">
        <v>1.3527040554067581E-2</v>
      </c>
      <c r="Q142" s="250">
        <v>148.67500000000001</v>
      </c>
      <c r="R142" s="189">
        <v>0.73700000000000188</v>
      </c>
      <c r="S142" s="191">
        <v>1.9938857776695663E-2</v>
      </c>
      <c r="T142" s="189" t="s">
        <v>486</v>
      </c>
      <c r="U142" s="189" t="s">
        <v>426</v>
      </c>
      <c r="V142" s="189"/>
      <c r="W142" s="196">
        <v>1</v>
      </c>
      <c r="X142" s="189" t="s">
        <v>271</v>
      </c>
    </row>
    <row r="143" spans="2:24">
      <c r="B143" s="531"/>
      <c r="C143" s="531"/>
      <c r="D143" s="200">
        <v>37</v>
      </c>
      <c r="E143" s="189" t="s">
        <v>441</v>
      </c>
      <c r="F143" s="190">
        <v>210.65919999999988</v>
      </c>
      <c r="G143" s="189">
        <v>6.78</v>
      </c>
      <c r="H143" s="189">
        <v>7.2</v>
      </c>
      <c r="I143" s="201">
        <f t="shared" si="18"/>
        <v>1.0619469026548674</v>
      </c>
      <c r="J143" s="189">
        <v>0</v>
      </c>
      <c r="K143" s="201">
        <f t="shared" si="19"/>
        <v>0</v>
      </c>
      <c r="L143" s="190">
        <v>658.31</v>
      </c>
      <c r="M143" s="201">
        <f t="shared" si="20"/>
        <v>1.0619469026548674</v>
      </c>
      <c r="N143" s="190">
        <v>276.4901999999999</v>
      </c>
      <c r="O143" s="189">
        <v>0.1</v>
      </c>
      <c r="P143" s="191">
        <v>1.4749262536873156E-2</v>
      </c>
      <c r="Q143" s="250">
        <v>65.831000000000003</v>
      </c>
      <c r="R143" s="189">
        <v>0.31999999999999995</v>
      </c>
      <c r="S143" s="191">
        <v>4.7197640117994093E-2</v>
      </c>
      <c r="T143" s="189" t="s">
        <v>486</v>
      </c>
      <c r="U143" s="189" t="s">
        <v>426</v>
      </c>
      <c r="V143" s="189"/>
      <c r="W143" s="196">
        <v>1</v>
      </c>
      <c r="X143" s="189" t="s">
        <v>293</v>
      </c>
    </row>
    <row r="144" spans="2:24">
      <c r="B144" s="531"/>
      <c r="C144" s="531"/>
      <c r="D144" s="200">
        <v>38</v>
      </c>
      <c r="E144" s="189" t="s">
        <v>491</v>
      </c>
      <c r="F144" s="190">
        <v>193.40766336633106</v>
      </c>
      <c r="G144" s="189">
        <v>72.772277227722796</v>
      </c>
      <c r="H144" s="189">
        <v>73.900000000000006</v>
      </c>
      <c r="I144" s="201">
        <f t="shared" si="18"/>
        <v>1.0154965986394555</v>
      </c>
      <c r="J144" s="189">
        <v>0</v>
      </c>
      <c r="K144" s="201">
        <f t="shared" si="19"/>
        <v>0</v>
      </c>
      <c r="L144" s="190">
        <v>308.11</v>
      </c>
      <c r="M144" s="201">
        <f t="shared" si="20"/>
        <v>1.0154965986394555</v>
      </c>
      <c r="N144" s="190">
        <v>347.46266336633107</v>
      </c>
      <c r="O144" s="189">
        <v>0.5</v>
      </c>
      <c r="P144" s="191">
        <v>6.8707482993197256E-3</v>
      </c>
      <c r="Q144" s="250">
        <v>154.05500000000001</v>
      </c>
      <c r="R144" s="189">
        <v>0.62772277227720963</v>
      </c>
      <c r="S144" s="191">
        <v>8.6258503401358023E-3</v>
      </c>
      <c r="T144" s="189" t="s">
        <v>483</v>
      </c>
      <c r="U144" s="189" t="s">
        <v>416</v>
      </c>
      <c r="V144" s="189"/>
      <c r="W144" s="196">
        <v>1</v>
      </c>
      <c r="X144" s="189" t="s">
        <v>320</v>
      </c>
    </row>
    <row r="145" spans="2:24">
      <c r="B145" s="531"/>
      <c r="C145" s="531"/>
      <c r="D145" s="200">
        <v>39</v>
      </c>
      <c r="E145" s="189" t="s">
        <v>508</v>
      </c>
      <c r="F145" s="190">
        <v>185.86583999999979</v>
      </c>
      <c r="G145" s="189">
        <v>140.34200000000001</v>
      </c>
      <c r="H145" s="189">
        <v>143.30000000000001</v>
      </c>
      <c r="I145" s="201">
        <f t="shared" si="18"/>
        <v>1.0210770831255076</v>
      </c>
      <c r="J145" s="189">
        <v>0</v>
      </c>
      <c r="K145" s="201">
        <f t="shared" si="19"/>
        <v>0</v>
      </c>
      <c r="L145" s="190">
        <v>127.48</v>
      </c>
      <c r="M145" s="201">
        <f t="shared" si="20"/>
        <v>1.0210770831255076</v>
      </c>
      <c r="N145" s="190">
        <v>377.08583999999979</v>
      </c>
      <c r="O145" s="189">
        <v>1.5</v>
      </c>
      <c r="P145" s="191">
        <v>1.0688176027133716E-2</v>
      </c>
      <c r="Q145" s="250">
        <v>191.22</v>
      </c>
      <c r="R145" s="189">
        <v>1.4579999999999984</v>
      </c>
      <c r="S145" s="191">
        <v>1.0388907098373959E-2</v>
      </c>
      <c r="T145" s="189" t="s">
        <v>494</v>
      </c>
      <c r="U145" s="189" t="s">
        <v>500</v>
      </c>
      <c r="V145" s="189"/>
      <c r="W145" s="196">
        <v>1</v>
      </c>
      <c r="X145" s="189" t="s">
        <v>323</v>
      </c>
    </row>
    <row r="146" spans="2:24">
      <c r="B146" s="531"/>
      <c r="C146" s="531"/>
      <c r="D146" s="200">
        <v>40</v>
      </c>
      <c r="E146" s="189" t="s">
        <v>434</v>
      </c>
      <c r="F146" s="190">
        <v>183.11915999999786</v>
      </c>
      <c r="G146" s="189">
        <v>82.646000000000001</v>
      </c>
      <c r="H146" s="189">
        <v>83.6</v>
      </c>
      <c r="I146" s="201">
        <f t="shared" si="18"/>
        <v>1.0115432083827407</v>
      </c>
      <c r="J146" s="189">
        <v>0</v>
      </c>
      <c r="K146" s="201">
        <f t="shared" si="19"/>
        <v>0</v>
      </c>
      <c r="L146" s="190">
        <v>330.54</v>
      </c>
      <c r="M146" s="201">
        <f t="shared" si="20"/>
        <v>1.0115432083827407</v>
      </c>
      <c r="N146" s="190">
        <v>315.33515999999787</v>
      </c>
      <c r="O146" s="189">
        <v>0.4</v>
      </c>
      <c r="P146" s="191">
        <v>4.8399196573336882E-3</v>
      </c>
      <c r="Q146" s="250">
        <v>132.21600000000001</v>
      </c>
      <c r="R146" s="189">
        <v>0.5539999999999935</v>
      </c>
      <c r="S146" s="191">
        <v>6.7032887254070798E-3</v>
      </c>
      <c r="T146" s="189" t="s">
        <v>486</v>
      </c>
      <c r="U146" s="189" t="s">
        <v>426</v>
      </c>
      <c r="V146" s="189"/>
      <c r="W146" s="196">
        <v>1</v>
      </c>
      <c r="X146" s="189" t="s">
        <v>280</v>
      </c>
    </row>
    <row r="147" spans="2:24">
      <c r="B147" s="533">
        <v>45884</v>
      </c>
      <c r="C147" s="531" t="s">
        <v>156</v>
      </c>
      <c r="D147" s="200">
        <v>41</v>
      </c>
      <c r="E147" s="189" t="s">
        <v>537</v>
      </c>
      <c r="F147" s="190">
        <v>428.32999999999981</v>
      </c>
      <c r="G147" s="189">
        <v>1.2523</v>
      </c>
      <c r="H147" s="189">
        <v>1.4</v>
      </c>
      <c r="I147" s="201">
        <f t="shared" si="18"/>
        <v>1.1179429849077696</v>
      </c>
      <c r="J147" s="189">
        <v>0</v>
      </c>
      <c r="K147" s="201">
        <f t="shared" si="19"/>
        <v>0</v>
      </c>
      <c r="L147" s="190">
        <v>2900</v>
      </c>
      <c r="M147" s="201">
        <f t="shared" si="20"/>
        <v>1.1179429849077696</v>
      </c>
      <c r="N147" s="190">
        <v>428.32999999999981</v>
      </c>
      <c r="O147" s="189">
        <v>0</v>
      </c>
      <c r="P147" s="191">
        <v>0</v>
      </c>
      <c r="Q147" s="250">
        <v>0</v>
      </c>
      <c r="R147" s="189">
        <v>0.14769999999999994</v>
      </c>
      <c r="S147" s="191">
        <v>0.11794298490776967</v>
      </c>
      <c r="T147" s="189" t="s">
        <v>486</v>
      </c>
      <c r="U147" s="189" t="s">
        <v>426</v>
      </c>
      <c r="V147" s="189"/>
      <c r="W147" s="196">
        <v>1</v>
      </c>
      <c r="X147" s="189" t="s">
        <v>533</v>
      </c>
    </row>
    <row r="148" spans="2:24">
      <c r="B148" s="531"/>
      <c r="C148" s="531"/>
      <c r="D148" s="200">
        <v>42</v>
      </c>
      <c r="E148" s="189" t="s">
        <v>521</v>
      </c>
      <c r="F148" s="190">
        <v>389.04020000000327</v>
      </c>
      <c r="G148" s="189">
        <v>41.16</v>
      </c>
      <c r="H148" s="189">
        <v>42.2</v>
      </c>
      <c r="I148" s="201">
        <f t="shared" si="18"/>
        <v>1.0252672497570459</v>
      </c>
      <c r="J148" s="189">
        <v>0</v>
      </c>
      <c r="K148" s="201">
        <f t="shared" si="19"/>
        <v>0</v>
      </c>
      <c r="L148" s="190">
        <v>525.73</v>
      </c>
      <c r="M148" s="201">
        <f t="shared" si="20"/>
        <v>1.0252672497570459</v>
      </c>
      <c r="N148" s="190">
        <v>546.75920000000326</v>
      </c>
      <c r="O148" s="189">
        <v>0.3</v>
      </c>
      <c r="P148" s="191">
        <v>7.28862973760933E-3</v>
      </c>
      <c r="Q148" s="250">
        <v>157.71899999999999</v>
      </c>
      <c r="R148" s="189">
        <v>0.74000000000000621</v>
      </c>
      <c r="S148" s="191">
        <v>1.7978620019436498E-2</v>
      </c>
      <c r="T148" s="189" t="s">
        <v>486</v>
      </c>
      <c r="U148" s="189" t="s">
        <v>426</v>
      </c>
      <c r="V148" s="189"/>
      <c r="W148" s="196">
        <v>1</v>
      </c>
      <c r="X148" s="189" t="s">
        <v>285</v>
      </c>
    </row>
    <row r="149" spans="2:24">
      <c r="B149" s="531"/>
      <c r="C149" s="531"/>
      <c r="D149" s="200">
        <v>43</v>
      </c>
      <c r="E149" s="189" t="s">
        <v>418</v>
      </c>
      <c r="F149" s="190">
        <v>364.69289999999296</v>
      </c>
      <c r="G149" s="189">
        <v>170.58500000000001</v>
      </c>
      <c r="H149" s="189">
        <v>171.6</v>
      </c>
      <c r="I149" s="201">
        <f t="shared" si="18"/>
        <v>1.0059501128469677</v>
      </c>
      <c r="J149" s="189">
        <v>0</v>
      </c>
      <c r="K149" s="201">
        <f t="shared" si="19"/>
        <v>0</v>
      </c>
      <c r="L149" s="190">
        <v>510.06</v>
      </c>
      <c r="M149" s="201">
        <f t="shared" si="20"/>
        <v>1.0059501128469677</v>
      </c>
      <c r="N149" s="190">
        <v>517.71089999999299</v>
      </c>
      <c r="O149" s="189">
        <v>0.3</v>
      </c>
      <c r="P149" s="191">
        <v>1.7586540434387547E-3</v>
      </c>
      <c r="Q149" s="250">
        <v>153.018</v>
      </c>
      <c r="R149" s="189">
        <v>0.71499999999998631</v>
      </c>
      <c r="S149" s="191">
        <v>4.191458803528952E-3</v>
      </c>
      <c r="T149" s="189" t="s">
        <v>486</v>
      </c>
      <c r="U149" s="189" t="s">
        <v>426</v>
      </c>
      <c r="V149" s="189"/>
      <c r="W149" s="196">
        <v>1</v>
      </c>
      <c r="X149" s="189" t="s">
        <v>417</v>
      </c>
    </row>
    <row r="150" spans="2:24">
      <c r="B150" s="531"/>
      <c r="C150" s="531"/>
      <c r="D150" s="200">
        <v>44</v>
      </c>
      <c r="E150" s="189" t="s">
        <v>441</v>
      </c>
      <c r="F150" s="190">
        <v>227.11695000000014</v>
      </c>
      <c r="G150" s="189">
        <v>7.4550000000000001</v>
      </c>
      <c r="H150" s="189">
        <v>7.9</v>
      </c>
      <c r="I150" s="201">
        <f t="shared" si="18"/>
        <v>1.0596914822266936</v>
      </c>
      <c r="J150" s="189">
        <v>0</v>
      </c>
      <c r="K150" s="201">
        <f t="shared" si="19"/>
        <v>0</v>
      </c>
      <c r="L150" s="190">
        <v>658.31</v>
      </c>
      <c r="M150" s="201">
        <f t="shared" si="20"/>
        <v>1.0596914822266936</v>
      </c>
      <c r="N150" s="190">
        <v>292.94795000000016</v>
      </c>
      <c r="O150" s="189">
        <v>0.1</v>
      </c>
      <c r="P150" s="191">
        <v>1.341381623071764E-2</v>
      </c>
      <c r="Q150" s="250">
        <v>65.831000000000003</v>
      </c>
      <c r="R150" s="189">
        <v>0.34500000000000031</v>
      </c>
      <c r="S150" s="191">
        <v>4.6277665995975895E-2</v>
      </c>
      <c r="T150" s="189" t="s">
        <v>486</v>
      </c>
      <c r="U150" s="189" t="s">
        <v>426</v>
      </c>
      <c r="V150" s="189"/>
      <c r="W150" s="196">
        <v>1</v>
      </c>
      <c r="X150" s="189" t="s">
        <v>293</v>
      </c>
    </row>
    <row r="151" spans="2:24">
      <c r="B151" s="531"/>
      <c r="C151" s="531"/>
      <c r="D151" s="200">
        <v>45</v>
      </c>
      <c r="E151" s="189" t="s">
        <v>440</v>
      </c>
      <c r="F151" s="190">
        <v>223.32975999999854</v>
      </c>
      <c r="G151" s="189">
        <v>35.298000000000002</v>
      </c>
      <c r="H151" s="189">
        <v>35.9</v>
      </c>
      <c r="I151" s="201">
        <f t="shared" si="18"/>
        <v>1.0170547906396963</v>
      </c>
      <c r="J151" s="189">
        <v>0</v>
      </c>
      <c r="K151" s="201">
        <f t="shared" si="19"/>
        <v>0</v>
      </c>
      <c r="L151" s="190">
        <v>444.88</v>
      </c>
      <c r="M151" s="201">
        <f t="shared" si="20"/>
        <v>1.0170547906396963</v>
      </c>
      <c r="N151" s="190">
        <v>267.81775999999854</v>
      </c>
      <c r="O151" s="189">
        <v>0.1</v>
      </c>
      <c r="P151" s="191">
        <v>2.8330217009462292E-3</v>
      </c>
      <c r="Q151" s="250">
        <v>44.488</v>
      </c>
      <c r="R151" s="189">
        <v>0.50199999999999678</v>
      </c>
      <c r="S151" s="191">
        <v>1.422176893874998E-2</v>
      </c>
      <c r="T151" s="189" t="s">
        <v>486</v>
      </c>
      <c r="U151" s="189" t="s">
        <v>426</v>
      </c>
      <c r="V151" s="189"/>
      <c r="W151" s="196">
        <v>1</v>
      </c>
      <c r="X151" s="189" t="s">
        <v>286</v>
      </c>
    </row>
    <row r="152" spans="2:24">
      <c r="B152" s="531"/>
      <c r="C152" s="531"/>
      <c r="D152" s="200">
        <v>46</v>
      </c>
      <c r="E152" s="189" t="s">
        <v>532</v>
      </c>
      <c r="F152" s="190">
        <v>216.32124000000005</v>
      </c>
      <c r="G152" s="189">
        <v>21.468</v>
      </c>
      <c r="H152" s="189">
        <v>22</v>
      </c>
      <c r="I152" s="201">
        <f t="shared" si="18"/>
        <v>1.0247810694987889</v>
      </c>
      <c r="J152" s="189">
        <v>0</v>
      </c>
      <c r="K152" s="201">
        <f t="shared" si="19"/>
        <v>0</v>
      </c>
      <c r="L152" s="190">
        <v>651.57000000000005</v>
      </c>
      <c r="M152" s="201">
        <f t="shared" si="20"/>
        <v>1.0247810694987889</v>
      </c>
      <c r="N152" s="190">
        <v>346.63524000000007</v>
      </c>
      <c r="O152" s="189">
        <v>0.2</v>
      </c>
      <c r="P152" s="191">
        <v>9.3161915408980812E-3</v>
      </c>
      <c r="Q152" s="250">
        <v>130.31400000000002</v>
      </c>
      <c r="R152" s="189">
        <v>0.33200000000000002</v>
      </c>
      <c r="S152" s="191">
        <v>1.5464877957890815E-2</v>
      </c>
      <c r="T152" s="189" t="s">
        <v>483</v>
      </c>
      <c r="U152" s="189" t="s">
        <v>416</v>
      </c>
      <c r="V152" s="189"/>
      <c r="W152" s="196">
        <v>1</v>
      </c>
      <c r="X152" s="189" t="s">
        <v>533</v>
      </c>
    </row>
    <row r="153" spans="2:24">
      <c r="B153" s="531"/>
      <c r="C153" s="531"/>
      <c r="D153" s="200">
        <v>47</v>
      </c>
      <c r="E153" s="189" t="s">
        <v>409</v>
      </c>
      <c r="F153" s="190">
        <v>212.98271999999977</v>
      </c>
      <c r="G153" s="189">
        <v>26.334</v>
      </c>
      <c r="H153" s="189">
        <v>26</v>
      </c>
      <c r="I153" s="201">
        <f t="shared" si="18"/>
        <v>0.98731677679046104</v>
      </c>
      <c r="J153" s="189">
        <v>0.7</v>
      </c>
      <c r="K153" s="201">
        <f t="shared" si="19"/>
        <v>2.6581605528973949E-2</v>
      </c>
      <c r="L153" s="190">
        <v>581.91999999999996</v>
      </c>
      <c r="M153" s="201">
        <f t="shared" si="20"/>
        <v>1.013898382319435</v>
      </c>
      <c r="N153" s="190">
        <v>212.98271999999977</v>
      </c>
      <c r="O153" s="189">
        <v>0</v>
      </c>
      <c r="P153" s="191">
        <v>0</v>
      </c>
      <c r="Q153" s="250">
        <v>0</v>
      </c>
      <c r="R153" s="189">
        <v>0.36599999999999966</v>
      </c>
      <c r="S153" s="191">
        <v>1.3898382319434938E-2</v>
      </c>
      <c r="T153" s="189" t="s">
        <v>486</v>
      </c>
      <c r="U153" s="189" t="s">
        <v>426</v>
      </c>
      <c r="V153" s="189"/>
      <c r="W153" s="196">
        <v>1</v>
      </c>
      <c r="X153" s="189" t="s">
        <v>277</v>
      </c>
    </row>
    <row r="154" spans="2:24">
      <c r="B154" s="531"/>
      <c r="C154" s="531"/>
      <c r="D154" s="200">
        <v>48</v>
      </c>
      <c r="E154" s="189" t="s">
        <v>566</v>
      </c>
      <c r="F154" s="190">
        <v>211.0680000000003</v>
      </c>
      <c r="G154" s="189">
        <v>33.131999999999998</v>
      </c>
      <c r="H154" s="189">
        <v>33.9</v>
      </c>
      <c r="I154" s="201">
        <f t="shared" si="18"/>
        <v>1.0231800072437522</v>
      </c>
      <c r="J154" s="189">
        <v>0</v>
      </c>
      <c r="K154" s="201">
        <f t="shared" si="19"/>
        <v>0</v>
      </c>
      <c r="L154" s="190">
        <v>451</v>
      </c>
      <c r="M154" s="201">
        <f t="shared" si="20"/>
        <v>1.0231800072437522</v>
      </c>
      <c r="N154" s="190">
        <v>346.36800000000028</v>
      </c>
      <c r="O154" s="189">
        <v>0.3</v>
      </c>
      <c r="P154" s="191">
        <v>9.0546903295907286E-3</v>
      </c>
      <c r="Q154" s="250">
        <v>135.29999999999998</v>
      </c>
      <c r="R154" s="189">
        <v>0.46800000000000069</v>
      </c>
      <c r="S154" s="191">
        <v>1.4125316914161558E-2</v>
      </c>
      <c r="T154" s="189" t="s">
        <v>483</v>
      </c>
      <c r="U154" s="189" t="s">
        <v>416</v>
      </c>
      <c r="V154" s="189"/>
      <c r="W154" s="196">
        <v>1</v>
      </c>
      <c r="X154" s="189" t="s">
        <v>284</v>
      </c>
    </row>
    <row r="155" spans="2:24">
      <c r="B155" s="531"/>
      <c r="C155" s="531"/>
      <c r="D155" s="200">
        <v>49</v>
      </c>
      <c r="E155" s="189" t="s">
        <v>438</v>
      </c>
      <c r="F155" s="190">
        <v>197.57042999999942</v>
      </c>
      <c r="G155" s="189">
        <v>74.082999999999998</v>
      </c>
      <c r="H155" s="189">
        <v>74.8</v>
      </c>
      <c r="I155" s="201">
        <f t="shared" si="18"/>
        <v>1.0096783337607818</v>
      </c>
      <c r="J155" s="189">
        <v>0</v>
      </c>
      <c r="K155" s="201">
        <f t="shared" si="19"/>
        <v>0</v>
      </c>
      <c r="L155" s="190">
        <v>473.79</v>
      </c>
      <c r="M155" s="201">
        <f t="shared" si="20"/>
        <v>1.0096783337607818</v>
      </c>
      <c r="N155" s="190">
        <v>339.70742999999942</v>
      </c>
      <c r="O155" s="189">
        <v>0.3</v>
      </c>
      <c r="P155" s="191">
        <v>4.0495120337999272E-3</v>
      </c>
      <c r="Q155" s="250">
        <v>142.137</v>
      </c>
      <c r="R155" s="189">
        <v>0.41699999999999876</v>
      </c>
      <c r="S155" s="191">
        <v>5.6288217269818818E-3</v>
      </c>
      <c r="T155" s="189" t="s">
        <v>486</v>
      </c>
      <c r="U155" s="189" t="s">
        <v>426</v>
      </c>
      <c r="V155" s="189"/>
      <c r="W155" s="196">
        <v>1</v>
      </c>
      <c r="X155" s="189" t="s">
        <v>417</v>
      </c>
    </row>
    <row r="156" spans="2:24">
      <c r="B156" s="531"/>
      <c r="C156" s="531"/>
      <c r="D156" s="200">
        <v>50</v>
      </c>
      <c r="E156" s="189" t="s">
        <v>491</v>
      </c>
      <c r="F156" s="190">
        <v>194.62790099008851</v>
      </c>
      <c r="G156" s="189">
        <v>65.6683168316832</v>
      </c>
      <c r="H156" s="189">
        <v>66.8</v>
      </c>
      <c r="I156" s="201">
        <f t="shared" si="18"/>
        <v>1.0172333207689404</v>
      </c>
      <c r="J156" s="189">
        <v>0</v>
      </c>
      <c r="K156" s="201">
        <f t="shared" si="19"/>
        <v>0</v>
      </c>
      <c r="L156" s="190">
        <v>308.11</v>
      </c>
      <c r="M156" s="201">
        <f t="shared" si="20"/>
        <v>1.0172333207689404</v>
      </c>
      <c r="N156" s="190">
        <v>348.68290099008851</v>
      </c>
      <c r="O156" s="189">
        <v>0.5</v>
      </c>
      <c r="P156" s="191">
        <v>7.6140218620429669E-3</v>
      </c>
      <c r="Q156" s="250">
        <v>154.05500000000001</v>
      </c>
      <c r="R156" s="189">
        <v>0.63168316831679761</v>
      </c>
      <c r="S156" s="191">
        <v>9.6192989068973282E-3</v>
      </c>
      <c r="T156" s="189" t="s">
        <v>483</v>
      </c>
      <c r="U156" s="189" t="s">
        <v>416</v>
      </c>
      <c r="V156" s="189"/>
      <c r="W156" s="196">
        <v>1</v>
      </c>
      <c r="X156" s="189" t="s">
        <v>320</v>
      </c>
    </row>
    <row r="157" spans="2:24">
      <c r="B157" s="533">
        <v>45885</v>
      </c>
      <c r="C157" s="531" t="s">
        <v>157</v>
      </c>
      <c r="D157" s="200">
        <v>51</v>
      </c>
      <c r="E157" s="189" t="s">
        <v>438</v>
      </c>
      <c r="F157" s="190">
        <v>488.47749000000152</v>
      </c>
      <c r="G157" s="189">
        <v>71.369</v>
      </c>
      <c r="H157" s="189">
        <v>72.7</v>
      </c>
      <c r="I157" s="201">
        <f t="shared" si="18"/>
        <v>1.0186495537278091</v>
      </c>
      <c r="J157" s="189">
        <v>0</v>
      </c>
      <c r="K157" s="201">
        <f t="shared" si="19"/>
        <v>0</v>
      </c>
      <c r="L157" s="190">
        <v>473.79</v>
      </c>
      <c r="M157" s="201">
        <f t="shared" si="20"/>
        <v>1.0186495537278091</v>
      </c>
      <c r="N157" s="190">
        <v>630.61449000000152</v>
      </c>
      <c r="O157" s="189">
        <v>0.3</v>
      </c>
      <c r="P157" s="191">
        <v>4.2035057237736267E-3</v>
      </c>
      <c r="Q157" s="250">
        <v>142.137</v>
      </c>
      <c r="R157" s="189">
        <v>1.031000000000003</v>
      </c>
      <c r="S157" s="191">
        <v>1.4446048004035409E-2</v>
      </c>
      <c r="T157" s="189" t="s">
        <v>486</v>
      </c>
      <c r="U157" s="189" t="s">
        <v>426</v>
      </c>
      <c r="V157" s="189"/>
      <c r="W157" s="196">
        <v>1</v>
      </c>
      <c r="X157" s="189" t="s">
        <v>417</v>
      </c>
    </row>
    <row r="158" spans="2:24">
      <c r="B158" s="531"/>
      <c r="C158" s="531"/>
      <c r="D158" s="200">
        <v>52</v>
      </c>
      <c r="E158" s="189" t="s">
        <v>418</v>
      </c>
      <c r="F158" s="190">
        <v>335.61948000000211</v>
      </c>
      <c r="G158" s="189">
        <v>172.44200000000001</v>
      </c>
      <c r="H158" s="189">
        <v>173.3</v>
      </c>
      <c r="I158" s="201">
        <f t="shared" si="18"/>
        <v>1.0049755859941314</v>
      </c>
      <c r="J158" s="189">
        <v>0</v>
      </c>
      <c r="K158" s="201">
        <f t="shared" si="19"/>
        <v>0</v>
      </c>
      <c r="L158" s="190">
        <v>510.06</v>
      </c>
      <c r="M158" s="201">
        <f t="shared" si="20"/>
        <v>1.0049755859941314</v>
      </c>
      <c r="N158" s="190">
        <v>437.63148000000211</v>
      </c>
      <c r="O158" s="189">
        <v>0.2</v>
      </c>
      <c r="P158" s="191">
        <v>1.1598102550422751E-3</v>
      </c>
      <c r="Q158" s="250">
        <v>102.012</v>
      </c>
      <c r="R158" s="189">
        <v>0.65800000000000414</v>
      </c>
      <c r="S158" s="191">
        <v>3.8157757390891089E-3</v>
      </c>
      <c r="T158" s="189" t="s">
        <v>486</v>
      </c>
      <c r="U158" s="189" t="s">
        <v>426</v>
      </c>
      <c r="V158" s="189"/>
      <c r="W158" s="196">
        <v>1</v>
      </c>
      <c r="X158" s="189" t="s">
        <v>417</v>
      </c>
    </row>
    <row r="159" spans="2:24">
      <c r="B159" s="531"/>
      <c r="C159" s="531"/>
      <c r="D159" s="200">
        <v>53</v>
      </c>
      <c r="E159" s="189" t="s">
        <v>504</v>
      </c>
      <c r="F159" s="190">
        <v>259.57043999999962</v>
      </c>
      <c r="G159" s="189">
        <v>11.121</v>
      </c>
      <c r="H159" s="189">
        <v>11.5</v>
      </c>
      <c r="I159" s="201">
        <f t="shared" si="18"/>
        <v>1.0340796690945058</v>
      </c>
      <c r="J159" s="189">
        <v>0</v>
      </c>
      <c r="K159" s="201">
        <f t="shared" si="19"/>
        <v>0</v>
      </c>
      <c r="L159" s="190">
        <v>930.36</v>
      </c>
      <c r="M159" s="201">
        <f t="shared" si="20"/>
        <v>1.0340796690945058</v>
      </c>
      <c r="N159" s="190">
        <v>352.60643999999962</v>
      </c>
      <c r="O159" s="189">
        <v>0.1</v>
      </c>
      <c r="P159" s="191">
        <v>8.9919971225609213E-3</v>
      </c>
      <c r="Q159" s="250">
        <v>93.036000000000001</v>
      </c>
      <c r="R159" s="189">
        <v>0.27899999999999958</v>
      </c>
      <c r="S159" s="191">
        <v>2.508767197194493E-2</v>
      </c>
      <c r="T159" s="189" t="s">
        <v>486</v>
      </c>
      <c r="U159" s="189" t="s">
        <v>426</v>
      </c>
      <c r="V159" s="189"/>
      <c r="W159" s="196">
        <v>1</v>
      </c>
      <c r="X159" s="189" t="s">
        <v>271</v>
      </c>
    </row>
    <row r="160" spans="2:24">
      <c r="B160" s="531"/>
      <c r="C160" s="531"/>
      <c r="D160" s="200">
        <v>54</v>
      </c>
      <c r="E160" s="189" t="s">
        <v>597</v>
      </c>
      <c r="F160" s="190">
        <v>230.11999999999995</v>
      </c>
      <c r="G160" s="189">
        <v>7.65</v>
      </c>
      <c r="H160" s="189">
        <v>8.4</v>
      </c>
      <c r="I160" s="201">
        <f t="shared" si="18"/>
        <v>1.0980392156862746</v>
      </c>
      <c r="J160" s="189">
        <v>0</v>
      </c>
      <c r="K160" s="201">
        <f t="shared" si="19"/>
        <v>0</v>
      </c>
      <c r="L160" s="190">
        <v>418.4</v>
      </c>
      <c r="M160" s="201">
        <f t="shared" si="20"/>
        <v>1.0980392156862746</v>
      </c>
      <c r="N160" s="190">
        <v>313.79999999999995</v>
      </c>
      <c r="O160" s="189">
        <v>0.2</v>
      </c>
      <c r="P160" s="191">
        <v>2.6143790849673203E-2</v>
      </c>
      <c r="Q160" s="250">
        <v>83.68</v>
      </c>
      <c r="R160" s="189">
        <v>0.55000000000000004</v>
      </c>
      <c r="S160" s="191">
        <v>7.1895424836601315E-2</v>
      </c>
      <c r="T160" s="189" t="s">
        <v>494</v>
      </c>
      <c r="U160" s="189" t="s">
        <v>495</v>
      </c>
      <c r="V160" s="189"/>
      <c r="W160" s="196">
        <v>1</v>
      </c>
      <c r="X160" s="189" t="s">
        <v>598</v>
      </c>
    </row>
    <row r="161" spans="2:24">
      <c r="B161" s="531"/>
      <c r="C161" s="531"/>
      <c r="D161" s="200">
        <v>55</v>
      </c>
      <c r="E161" s="189" t="s">
        <v>441</v>
      </c>
      <c r="F161" s="190">
        <v>227.11694999999989</v>
      </c>
      <c r="G161" s="189">
        <v>6.2549999999999999</v>
      </c>
      <c r="H161" s="189">
        <v>6.8</v>
      </c>
      <c r="I161" s="201">
        <f t="shared" si="18"/>
        <v>1.0871302957633893</v>
      </c>
      <c r="J161" s="189">
        <v>0</v>
      </c>
      <c r="K161" s="201">
        <f t="shared" si="19"/>
        <v>0</v>
      </c>
      <c r="L161" s="190">
        <v>658.31</v>
      </c>
      <c r="M161" s="201">
        <f t="shared" si="20"/>
        <v>1.0871302957633893</v>
      </c>
      <c r="N161" s="190">
        <v>358.7789499999999</v>
      </c>
      <c r="O161" s="189">
        <v>0.2</v>
      </c>
      <c r="P161" s="191">
        <v>3.1974420463629097E-2</v>
      </c>
      <c r="Q161" s="250">
        <v>131.66200000000001</v>
      </c>
      <c r="R161" s="189">
        <v>0.34499999999999992</v>
      </c>
      <c r="S161" s="191">
        <v>5.5155875299760182E-2</v>
      </c>
      <c r="T161" s="189" t="s">
        <v>486</v>
      </c>
      <c r="U161" s="189" t="s">
        <v>426</v>
      </c>
      <c r="V161" s="189"/>
      <c r="W161" s="196">
        <v>1</v>
      </c>
      <c r="X161" s="189" t="s">
        <v>293</v>
      </c>
    </row>
    <row r="162" spans="2:24">
      <c r="B162" s="531"/>
      <c r="C162" s="531"/>
      <c r="D162" s="200">
        <v>56</v>
      </c>
      <c r="E162" s="189" t="s">
        <v>440</v>
      </c>
      <c r="F162" s="190">
        <v>215.32192000000077</v>
      </c>
      <c r="G162" s="189">
        <v>36.216000000000001</v>
      </c>
      <c r="H162" s="189">
        <v>36.700000000000003</v>
      </c>
      <c r="I162" s="201">
        <f t="shared" si="18"/>
        <v>1.0133642588910978</v>
      </c>
      <c r="J162" s="189">
        <v>0</v>
      </c>
      <c r="K162" s="201">
        <f t="shared" si="19"/>
        <v>0</v>
      </c>
      <c r="L162" s="190">
        <v>444.88</v>
      </c>
      <c r="M162" s="201">
        <f t="shared" si="20"/>
        <v>1.0133642588910978</v>
      </c>
      <c r="N162" s="190">
        <v>215.32192000000077</v>
      </c>
      <c r="O162" s="189">
        <v>0</v>
      </c>
      <c r="P162" s="191">
        <v>0</v>
      </c>
      <c r="Q162" s="250">
        <v>0</v>
      </c>
      <c r="R162" s="189">
        <v>0.48400000000000176</v>
      </c>
      <c r="S162" s="191">
        <v>1.3364258891097906E-2</v>
      </c>
      <c r="T162" s="189" t="s">
        <v>486</v>
      </c>
      <c r="U162" s="189" t="s">
        <v>426</v>
      </c>
      <c r="V162" s="189"/>
      <c r="W162" s="196">
        <v>1</v>
      </c>
      <c r="X162" s="189" t="s">
        <v>286</v>
      </c>
    </row>
    <row r="163" spans="2:24">
      <c r="B163" s="531"/>
      <c r="C163" s="531"/>
      <c r="D163" s="200">
        <v>57</v>
      </c>
      <c r="E163" s="189" t="s">
        <v>503</v>
      </c>
      <c r="F163" s="190">
        <v>198.89920000000006</v>
      </c>
      <c r="G163" s="189">
        <v>45.887999999999998</v>
      </c>
      <c r="H163" s="189">
        <v>47.9</v>
      </c>
      <c r="I163" s="201">
        <f t="shared" si="18"/>
        <v>1.0438458856345885</v>
      </c>
      <c r="J163" s="189">
        <v>0</v>
      </c>
      <c r="K163" s="201">
        <f t="shared" si="19"/>
        <v>0</v>
      </c>
      <c r="L163" s="190">
        <v>151.6</v>
      </c>
      <c r="M163" s="201">
        <f t="shared" si="20"/>
        <v>1.0438458856345885</v>
      </c>
      <c r="N163" s="190">
        <v>305.01920000000007</v>
      </c>
      <c r="O163" s="189">
        <v>0.70000000000000007</v>
      </c>
      <c r="P163" s="191">
        <v>1.5254532775453279E-2</v>
      </c>
      <c r="Q163" s="250">
        <v>106.12</v>
      </c>
      <c r="R163" s="189">
        <v>1.3120000000000003</v>
      </c>
      <c r="S163" s="191">
        <v>2.8591352859135295E-2</v>
      </c>
      <c r="T163" s="189" t="s">
        <v>494</v>
      </c>
      <c r="U163" s="189" t="s">
        <v>500</v>
      </c>
      <c r="V163" s="189"/>
      <c r="W163" s="196">
        <v>1</v>
      </c>
      <c r="X163" s="189" t="s">
        <v>306</v>
      </c>
    </row>
    <row r="164" spans="2:24">
      <c r="B164" s="531"/>
      <c r="C164" s="531"/>
      <c r="D164" s="200">
        <v>58</v>
      </c>
      <c r="E164" s="189" t="s">
        <v>491</v>
      </c>
      <c r="F164" s="190">
        <v>184.4084108910734</v>
      </c>
      <c r="G164" s="189">
        <v>66.101485148514897</v>
      </c>
      <c r="H164" s="189">
        <v>67.099999999999994</v>
      </c>
      <c r="I164" s="201">
        <f t="shared" si="18"/>
        <v>1.0151057854334387</v>
      </c>
      <c r="J164" s="189">
        <v>0</v>
      </c>
      <c r="K164" s="201">
        <f t="shared" si="19"/>
        <v>0</v>
      </c>
      <c r="L164" s="190">
        <v>308.11</v>
      </c>
      <c r="M164" s="201">
        <f t="shared" si="20"/>
        <v>1.0151057854334387</v>
      </c>
      <c r="N164" s="190">
        <v>307.65241089107343</v>
      </c>
      <c r="O164" s="189">
        <v>0.4</v>
      </c>
      <c r="P164" s="191">
        <v>6.0513012544467287E-3</v>
      </c>
      <c r="Q164" s="250">
        <v>123.24400000000001</v>
      </c>
      <c r="R164" s="189">
        <v>0.59851485148509764</v>
      </c>
      <c r="S164" s="191">
        <v>9.0544841789919218E-3</v>
      </c>
      <c r="T164" s="189" t="s">
        <v>483</v>
      </c>
      <c r="U164" s="189" t="s">
        <v>416</v>
      </c>
      <c r="V164" s="189"/>
      <c r="W164" s="196">
        <v>1</v>
      </c>
      <c r="X164" s="189" t="s">
        <v>320</v>
      </c>
    </row>
    <row r="165" spans="2:24">
      <c r="B165" s="531"/>
      <c r="C165" s="531"/>
      <c r="D165" s="200">
        <v>59</v>
      </c>
      <c r="E165" s="189" t="s">
        <v>546</v>
      </c>
      <c r="F165" s="190">
        <v>184.39515000000216</v>
      </c>
      <c r="G165" s="189">
        <v>80.114999999999995</v>
      </c>
      <c r="H165" s="189">
        <v>81.2</v>
      </c>
      <c r="I165" s="201">
        <f t="shared" si="18"/>
        <v>1.0135430318916558</v>
      </c>
      <c r="J165" s="189">
        <v>0</v>
      </c>
      <c r="K165" s="201">
        <f t="shared" si="19"/>
        <v>0</v>
      </c>
      <c r="L165" s="190">
        <v>269.19</v>
      </c>
      <c r="M165" s="201">
        <f t="shared" si="20"/>
        <v>1.0135430318916558</v>
      </c>
      <c r="N165" s="190">
        <v>292.07115000000215</v>
      </c>
      <c r="O165" s="189">
        <v>0.4</v>
      </c>
      <c r="P165" s="191">
        <v>4.9928228172002754E-3</v>
      </c>
      <c r="Q165" s="250">
        <v>107.676</v>
      </c>
      <c r="R165" s="189">
        <v>0.68500000000000794</v>
      </c>
      <c r="S165" s="191">
        <v>8.5502090744555698E-3</v>
      </c>
      <c r="T165" s="189" t="s">
        <v>483</v>
      </c>
      <c r="U165" s="189" t="s">
        <v>416</v>
      </c>
      <c r="V165" s="189"/>
      <c r="W165" s="196">
        <v>1</v>
      </c>
      <c r="X165" s="189" t="s">
        <v>287</v>
      </c>
    </row>
    <row r="166" spans="2:24">
      <c r="B166" s="531"/>
      <c r="C166" s="531"/>
      <c r="D166" s="200">
        <v>60</v>
      </c>
      <c r="E166" s="189" t="s">
        <v>566</v>
      </c>
      <c r="F166" s="190">
        <v>180.40000000000066</v>
      </c>
      <c r="G166" s="189">
        <v>31.9</v>
      </c>
      <c r="H166" s="189">
        <v>32.5</v>
      </c>
      <c r="I166" s="201">
        <f t="shared" si="18"/>
        <v>1.0188087774294672</v>
      </c>
      <c r="J166" s="189">
        <v>0</v>
      </c>
      <c r="K166" s="201">
        <f t="shared" si="19"/>
        <v>0</v>
      </c>
      <c r="L166" s="190">
        <v>451</v>
      </c>
      <c r="M166" s="201">
        <f t="shared" si="20"/>
        <v>1.0188087774294672</v>
      </c>
      <c r="N166" s="190">
        <v>270.60000000000065</v>
      </c>
      <c r="O166" s="189">
        <v>0.2</v>
      </c>
      <c r="P166" s="191">
        <v>6.2695924764890288E-3</v>
      </c>
      <c r="Q166" s="250">
        <v>90.2</v>
      </c>
      <c r="R166" s="189">
        <v>0.40000000000000141</v>
      </c>
      <c r="S166" s="191">
        <v>1.2539184952978101E-2</v>
      </c>
      <c r="T166" s="189" t="s">
        <v>483</v>
      </c>
      <c r="U166" s="189" t="s">
        <v>416</v>
      </c>
      <c r="V166" s="189"/>
      <c r="W166" s="196">
        <v>1</v>
      </c>
      <c r="X166" s="189" t="s">
        <v>284</v>
      </c>
    </row>
    <row r="167" spans="2:24">
      <c r="B167" s="533">
        <v>45886</v>
      </c>
      <c r="C167" s="531" t="s">
        <v>152</v>
      </c>
      <c r="D167" s="200">
        <v>61</v>
      </c>
      <c r="E167" s="189" t="s">
        <v>418</v>
      </c>
      <c r="F167" s="190">
        <v>455.99363999999991</v>
      </c>
      <c r="G167" s="189">
        <v>177.60599999999999</v>
      </c>
      <c r="H167" s="189">
        <v>178</v>
      </c>
      <c r="I167" s="201">
        <f t="shared" si="18"/>
        <v>1.0022183935227413</v>
      </c>
      <c r="J167" s="189">
        <v>0.6</v>
      </c>
      <c r="K167" s="201">
        <f t="shared" si="19"/>
        <v>3.378264247829465E-3</v>
      </c>
      <c r="L167" s="190">
        <v>510.06</v>
      </c>
      <c r="M167" s="201">
        <f t="shared" si="20"/>
        <v>1.0055966577705708</v>
      </c>
      <c r="N167" s="190">
        <v>506.99963999999989</v>
      </c>
      <c r="O167" s="189">
        <v>0.1</v>
      </c>
      <c r="P167" s="191">
        <v>5.6304404130491095E-4</v>
      </c>
      <c r="Q167" s="250">
        <v>51.006</v>
      </c>
      <c r="R167" s="189">
        <v>0.89399999999999979</v>
      </c>
      <c r="S167" s="191">
        <v>5.0336137292659022E-3</v>
      </c>
      <c r="T167" s="189" t="s">
        <v>486</v>
      </c>
      <c r="U167" s="189" t="s">
        <v>435</v>
      </c>
      <c r="V167" s="189"/>
      <c r="W167" s="196">
        <v>1</v>
      </c>
      <c r="X167" s="189" t="s">
        <v>417</v>
      </c>
    </row>
    <row r="168" spans="2:24">
      <c r="B168" s="531"/>
      <c r="C168" s="531"/>
      <c r="D168" s="200">
        <v>62</v>
      </c>
      <c r="E168" s="189" t="s">
        <v>521</v>
      </c>
      <c r="F168" s="190">
        <v>395.34895999999986</v>
      </c>
      <c r="G168" s="189">
        <v>37.247999999999998</v>
      </c>
      <c r="H168" s="189">
        <v>38.299999999999997</v>
      </c>
      <c r="I168" s="201">
        <f t="shared" si="18"/>
        <v>1.0282431271477663</v>
      </c>
      <c r="J168" s="189">
        <v>0</v>
      </c>
      <c r="K168" s="201">
        <f t="shared" si="19"/>
        <v>0</v>
      </c>
      <c r="L168" s="190">
        <v>525.73</v>
      </c>
      <c r="M168" s="201">
        <f t="shared" si="20"/>
        <v>1.0282431271477663</v>
      </c>
      <c r="N168" s="190">
        <v>553.06795999999986</v>
      </c>
      <c r="O168" s="189">
        <v>0.3</v>
      </c>
      <c r="P168" s="191">
        <v>8.0541237113402071E-3</v>
      </c>
      <c r="Q168" s="250">
        <v>157.71899999999999</v>
      </c>
      <c r="R168" s="189">
        <v>0.75199999999999956</v>
      </c>
      <c r="S168" s="191">
        <v>2.0189003436426108E-2</v>
      </c>
      <c r="T168" s="189" t="s">
        <v>486</v>
      </c>
      <c r="U168" s="189" t="s">
        <v>435</v>
      </c>
      <c r="V168" s="189"/>
      <c r="W168" s="196">
        <v>1</v>
      </c>
      <c r="X168" s="189" t="s">
        <v>285</v>
      </c>
    </row>
    <row r="169" spans="2:24">
      <c r="B169" s="531"/>
      <c r="C169" s="531"/>
      <c r="D169" s="200">
        <v>63</v>
      </c>
      <c r="E169" s="189" t="s">
        <v>438</v>
      </c>
      <c r="F169" s="190">
        <v>370.02999000000153</v>
      </c>
      <c r="G169" s="189">
        <v>65.619</v>
      </c>
      <c r="H169" s="189">
        <v>66.7</v>
      </c>
      <c r="I169" s="201">
        <f t="shared" si="18"/>
        <v>1.0164738871363477</v>
      </c>
      <c r="J169" s="189">
        <v>0</v>
      </c>
      <c r="K169" s="201">
        <f t="shared" si="19"/>
        <v>0</v>
      </c>
      <c r="L169" s="190">
        <v>473.79</v>
      </c>
      <c r="M169" s="201">
        <f t="shared" si="20"/>
        <v>1.0164738871363477</v>
      </c>
      <c r="N169" s="190">
        <v>512.16699000000153</v>
      </c>
      <c r="O169" s="189">
        <v>0.3</v>
      </c>
      <c r="P169" s="191">
        <v>4.5718465688291497E-3</v>
      </c>
      <c r="Q169" s="250">
        <v>142.137</v>
      </c>
      <c r="R169" s="189">
        <v>0.78100000000000303</v>
      </c>
      <c r="S169" s="191">
        <v>1.1902040567518601E-2</v>
      </c>
      <c r="T169" s="189" t="s">
        <v>486</v>
      </c>
      <c r="U169" s="189" t="s">
        <v>435</v>
      </c>
      <c r="V169" s="189"/>
      <c r="W169" s="196">
        <v>1</v>
      </c>
      <c r="X169" s="189" t="s">
        <v>417</v>
      </c>
    </row>
    <row r="170" spans="2:24">
      <c r="B170" s="531"/>
      <c r="C170" s="531"/>
      <c r="D170" s="200">
        <v>64</v>
      </c>
      <c r="E170" s="189" t="s">
        <v>440</v>
      </c>
      <c r="F170" s="190">
        <v>224.2195200000009</v>
      </c>
      <c r="G170" s="189">
        <v>30.995999999999999</v>
      </c>
      <c r="H170" s="189">
        <v>31.8</v>
      </c>
      <c r="I170" s="201">
        <f t="shared" si="18"/>
        <v>1.0259388308168798</v>
      </c>
      <c r="J170" s="189">
        <v>0</v>
      </c>
      <c r="K170" s="201">
        <f t="shared" si="19"/>
        <v>0</v>
      </c>
      <c r="L170" s="190">
        <v>444.88</v>
      </c>
      <c r="M170" s="201">
        <f t="shared" si="20"/>
        <v>1.0259388308168798</v>
      </c>
      <c r="N170" s="190">
        <v>357.6835200000009</v>
      </c>
      <c r="O170" s="189">
        <v>0.3</v>
      </c>
      <c r="P170" s="191">
        <v>9.678668215253582E-3</v>
      </c>
      <c r="Q170" s="250">
        <v>133.464</v>
      </c>
      <c r="R170" s="189">
        <v>0.504000000000002</v>
      </c>
      <c r="S170" s="191">
        <v>1.626016260162608E-2</v>
      </c>
      <c r="T170" s="189" t="s">
        <v>486</v>
      </c>
      <c r="U170" s="189" t="s">
        <v>435</v>
      </c>
      <c r="V170" s="189"/>
      <c r="W170" s="196">
        <v>1</v>
      </c>
      <c r="X170" s="189" t="s">
        <v>286</v>
      </c>
    </row>
    <row r="171" spans="2:24">
      <c r="B171" s="531"/>
      <c r="C171" s="531"/>
      <c r="D171" s="200">
        <v>65</v>
      </c>
      <c r="E171" s="189" t="s">
        <v>507</v>
      </c>
      <c r="F171" s="190">
        <v>210.16500000000354</v>
      </c>
      <c r="G171" s="189">
        <v>90.3</v>
      </c>
      <c r="H171" s="189">
        <v>90.5</v>
      </c>
      <c r="I171" s="201">
        <f t="shared" si="18"/>
        <v>1.0022148394241417</v>
      </c>
      <c r="J171" s="189">
        <v>0.4</v>
      </c>
      <c r="K171" s="201">
        <f t="shared" si="19"/>
        <v>4.4296788482835001E-3</v>
      </c>
      <c r="L171" s="190">
        <v>420.33</v>
      </c>
      <c r="M171" s="201">
        <f t="shared" si="20"/>
        <v>1.0066445182724253</v>
      </c>
      <c r="N171" s="190">
        <v>252.19800000000356</v>
      </c>
      <c r="O171" s="189">
        <v>0.1</v>
      </c>
      <c r="P171" s="191">
        <v>1.107419712070875E-3</v>
      </c>
      <c r="Q171" s="250">
        <v>42.033000000000001</v>
      </c>
      <c r="R171" s="189">
        <v>0.50000000000000855</v>
      </c>
      <c r="S171" s="191">
        <v>5.5370985603544693E-3</v>
      </c>
      <c r="T171" s="189" t="s">
        <v>486</v>
      </c>
      <c r="U171" s="189" t="s">
        <v>426</v>
      </c>
      <c r="V171" s="189"/>
      <c r="W171" s="196">
        <v>1</v>
      </c>
      <c r="X171" s="189" t="s">
        <v>297</v>
      </c>
    </row>
    <row r="172" spans="2:24">
      <c r="B172" s="531"/>
      <c r="C172" s="531"/>
      <c r="D172" s="200">
        <v>66</v>
      </c>
      <c r="E172" s="189" t="s">
        <v>482</v>
      </c>
      <c r="F172" s="190">
        <v>206.53136000000029</v>
      </c>
      <c r="G172" s="189">
        <v>6.1559999999999997</v>
      </c>
      <c r="H172" s="189">
        <v>6.5</v>
      </c>
      <c r="I172" s="201">
        <f t="shared" si="18"/>
        <v>1.0558804418453542</v>
      </c>
      <c r="J172" s="189">
        <v>0</v>
      </c>
      <c r="K172" s="201">
        <f t="shared" si="19"/>
        <v>0</v>
      </c>
      <c r="L172" s="190">
        <v>846.44</v>
      </c>
      <c r="M172" s="201">
        <f t="shared" si="20"/>
        <v>1.0558804418453542</v>
      </c>
      <c r="N172" s="190">
        <v>291.1753600000003</v>
      </c>
      <c r="O172" s="189">
        <v>0.1</v>
      </c>
      <c r="P172" s="191">
        <v>1.6244314489928528E-2</v>
      </c>
      <c r="Q172" s="250">
        <v>84.644000000000005</v>
      </c>
      <c r="R172" s="189">
        <v>0.2440000000000003</v>
      </c>
      <c r="S172" s="191">
        <v>3.9636127355425654E-2</v>
      </c>
      <c r="T172" s="189" t="s">
        <v>486</v>
      </c>
      <c r="U172" s="189" t="s">
        <v>490</v>
      </c>
      <c r="V172" s="189"/>
      <c r="W172" s="196">
        <v>1</v>
      </c>
      <c r="X172" s="189" t="s">
        <v>270</v>
      </c>
    </row>
    <row r="173" spans="2:24">
      <c r="B173" s="531"/>
      <c r="C173" s="531"/>
      <c r="D173" s="200">
        <v>67</v>
      </c>
      <c r="E173" s="189" t="s">
        <v>508</v>
      </c>
      <c r="F173" s="190">
        <v>200.01611999999855</v>
      </c>
      <c r="G173" s="189">
        <v>144.43100000000001</v>
      </c>
      <c r="H173" s="189">
        <v>147.5</v>
      </c>
      <c r="I173" s="201">
        <f t="shared" si="18"/>
        <v>1.0212489008592338</v>
      </c>
      <c r="J173" s="189">
        <v>0</v>
      </c>
      <c r="K173" s="201">
        <f t="shared" si="19"/>
        <v>0</v>
      </c>
      <c r="L173" s="190">
        <v>127.48</v>
      </c>
      <c r="M173" s="201">
        <f t="shared" si="20"/>
        <v>1.0212489008592338</v>
      </c>
      <c r="N173" s="190">
        <v>391.23611999999855</v>
      </c>
      <c r="O173" s="189">
        <v>1.5</v>
      </c>
      <c r="P173" s="191">
        <v>1.0385582042636276E-2</v>
      </c>
      <c r="Q173" s="250">
        <v>191.22</v>
      </c>
      <c r="R173" s="189">
        <v>1.5689999999999884</v>
      </c>
      <c r="S173" s="191">
        <v>1.0863318816597464E-2</v>
      </c>
      <c r="T173" s="189" t="s">
        <v>494</v>
      </c>
      <c r="U173" s="189" t="s">
        <v>500</v>
      </c>
      <c r="V173" s="189"/>
      <c r="W173" s="196">
        <v>1</v>
      </c>
      <c r="X173" s="189" t="s">
        <v>323</v>
      </c>
    </row>
    <row r="174" spans="2:24">
      <c r="B174" s="531"/>
      <c r="C174" s="531"/>
      <c r="D174" s="200">
        <v>68</v>
      </c>
      <c r="E174" s="189" t="s">
        <v>532</v>
      </c>
      <c r="F174" s="190">
        <v>169.40819999999871</v>
      </c>
      <c r="G174" s="189">
        <v>20.34</v>
      </c>
      <c r="H174" s="189">
        <v>20.399999999999999</v>
      </c>
      <c r="I174" s="201">
        <f t="shared" si="18"/>
        <v>1.0029498525073746</v>
      </c>
      <c r="J174" s="189">
        <v>0.2</v>
      </c>
      <c r="K174" s="201">
        <f t="shared" si="19"/>
        <v>9.8328416912487719E-3</v>
      </c>
      <c r="L174" s="190">
        <v>651.57000000000005</v>
      </c>
      <c r="M174" s="201">
        <f t="shared" si="20"/>
        <v>1.0127826941986233</v>
      </c>
      <c r="N174" s="190">
        <v>169.40819999999871</v>
      </c>
      <c r="O174" s="189">
        <v>0</v>
      </c>
      <c r="P174" s="191">
        <v>0</v>
      </c>
      <c r="Q174" s="250">
        <v>0</v>
      </c>
      <c r="R174" s="189">
        <v>0.25999999999999801</v>
      </c>
      <c r="S174" s="191">
        <v>1.2782694198623304E-2</v>
      </c>
      <c r="T174" s="189" t="s">
        <v>483</v>
      </c>
      <c r="U174" s="189" t="s">
        <v>416</v>
      </c>
      <c r="V174" s="189"/>
      <c r="W174" s="196">
        <v>1</v>
      </c>
      <c r="X174" s="189" t="s">
        <v>533</v>
      </c>
    </row>
    <row r="175" spans="2:24">
      <c r="B175" s="531"/>
      <c r="C175" s="531"/>
      <c r="D175" s="200">
        <v>69</v>
      </c>
      <c r="E175" s="189" t="s">
        <v>589</v>
      </c>
      <c r="F175" s="190">
        <v>165.59999999999974</v>
      </c>
      <c r="G175" s="189">
        <v>4.21</v>
      </c>
      <c r="H175" s="189">
        <v>4.3</v>
      </c>
      <c r="I175" s="201">
        <f t="shared" si="18"/>
        <v>1.0213776722090262</v>
      </c>
      <c r="J175" s="189">
        <v>0</v>
      </c>
      <c r="K175" s="201">
        <f t="shared" si="19"/>
        <v>0</v>
      </c>
      <c r="L175" s="190">
        <v>1840</v>
      </c>
      <c r="M175" s="201">
        <f t="shared" si="20"/>
        <v>1.0213776722090262</v>
      </c>
      <c r="N175" s="190">
        <v>165.59999999999974</v>
      </c>
      <c r="O175" s="189">
        <v>0</v>
      </c>
      <c r="P175" s="191">
        <v>0</v>
      </c>
      <c r="Q175" s="250">
        <v>0</v>
      </c>
      <c r="R175" s="189">
        <v>8.9999999999999858E-2</v>
      </c>
      <c r="S175" s="191">
        <v>2.1377672209026095E-2</v>
      </c>
      <c r="T175" s="189" t="s">
        <v>486</v>
      </c>
      <c r="U175" s="189" t="s">
        <v>490</v>
      </c>
      <c r="V175" s="189"/>
      <c r="W175" s="196">
        <v>1</v>
      </c>
      <c r="X175" s="189" t="s">
        <v>419</v>
      </c>
    </row>
    <row r="176" spans="2:24">
      <c r="B176" s="531"/>
      <c r="C176" s="531"/>
      <c r="D176" s="200">
        <v>70</v>
      </c>
      <c r="E176" s="189" t="s">
        <v>546</v>
      </c>
      <c r="F176" s="190">
        <v>161.51400000000154</v>
      </c>
      <c r="G176" s="189">
        <v>100.8</v>
      </c>
      <c r="H176" s="189">
        <v>101.7</v>
      </c>
      <c r="I176" s="201">
        <f t="shared" si="18"/>
        <v>1.0089285714285714</v>
      </c>
      <c r="J176" s="189">
        <v>0</v>
      </c>
      <c r="K176" s="201">
        <f t="shared" si="19"/>
        <v>0</v>
      </c>
      <c r="L176" s="190">
        <v>269.19</v>
      </c>
      <c r="M176" s="201">
        <f t="shared" si="20"/>
        <v>1.0089285714285714</v>
      </c>
      <c r="N176" s="190">
        <v>242.27100000000152</v>
      </c>
      <c r="O176" s="189">
        <v>0.3</v>
      </c>
      <c r="P176" s="191">
        <v>2.976190476190476E-3</v>
      </c>
      <c r="Q176" s="250">
        <v>80.756999999999991</v>
      </c>
      <c r="R176" s="189">
        <v>0.60000000000000564</v>
      </c>
      <c r="S176" s="191">
        <v>5.9523809523810084E-3</v>
      </c>
      <c r="T176" s="189" t="s">
        <v>486</v>
      </c>
      <c r="U176" s="189" t="s">
        <v>416</v>
      </c>
      <c r="V176" s="189"/>
      <c r="W176" s="196">
        <v>1</v>
      </c>
      <c r="X176" s="189" t="s">
        <v>287</v>
      </c>
    </row>
    <row r="177" spans="2:24">
      <c r="B177" s="533">
        <v>45887</v>
      </c>
      <c r="C177" s="531" t="s">
        <v>158</v>
      </c>
      <c r="D177" s="200">
        <v>71</v>
      </c>
      <c r="E177" s="189" t="s">
        <v>504</v>
      </c>
      <c r="F177" s="190">
        <v>295.85447999999934</v>
      </c>
      <c r="G177" s="189">
        <v>10.582000000000001</v>
      </c>
      <c r="H177" s="189">
        <v>11</v>
      </c>
      <c r="I177" s="201">
        <f t="shared" si="18"/>
        <v>1.0395010395010393</v>
      </c>
      <c r="J177" s="189">
        <v>0</v>
      </c>
      <c r="K177" s="201">
        <f t="shared" si="19"/>
        <v>0</v>
      </c>
      <c r="L177" s="190">
        <v>930.36</v>
      </c>
      <c r="M177" s="201">
        <f t="shared" si="20"/>
        <v>1.0395010395010393</v>
      </c>
      <c r="N177" s="190">
        <v>388.89047999999934</v>
      </c>
      <c r="O177" s="189">
        <v>0.1</v>
      </c>
      <c r="P177" s="191">
        <v>9.4500094500094504E-3</v>
      </c>
      <c r="Q177" s="250">
        <v>93.036000000000001</v>
      </c>
      <c r="R177" s="189">
        <v>0.31799999999999928</v>
      </c>
      <c r="S177" s="191">
        <v>3.0051030051029982E-2</v>
      </c>
      <c r="T177" s="189" t="s">
        <v>486</v>
      </c>
      <c r="U177" s="189" t="s">
        <v>426</v>
      </c>
      <c r="V177" s="189"/>
      <c r="W177" s="196">
        <v>1</v>
      </c>
      <c r="X177" s="189" t="s">
        <v>271</v>
      </c>
    </row>
    <row r="178" spans="2:24">
      <c r="B178" s="531"/>
      <c r="C178" s="531"/>
      <c r="D178" s="200">
        <v>72</v>
      </c>
      <c r="E178" s="189" t="s">
        <v>521</v>
      </c>
      <c r="F178" s="190">
        <v>269.1737599999995</v>
      </c>
      <c r="G178" s="189">
        <v>33.887999999999998</v>
      </c>
      <c r="H178" s="189">
        <v>34.799999999999997</v>
      </c>
      <c r="I178" s="201">
        <f t="shared" si="18"/>
        <v>1.0269121813031161</v>
      </c>
      <c r="J178" s="189">
        <v>0</v>
      </c>
      <c r="K178" s="201">
        <f t="shared" si="19"/>
        <v>0</v>
      </c>
      <c r="L178" s="190">
        <v>525.73</v>
      </c>
      <c r="M178" s="201">
        <f t="shared" si="20"/>
        <v>1.0269121813031161</v>
      </c>
      <c r="N178" s="190">
        <v>479.46575999999953</v>
      </c>
      <c r="O178" s="189">
        <v>0.4</v>
      </c>
      <c r="P178" s="191">
        <v>1.1803588290840416E-2</v>
      </c>
      <c r="Q178" s="250">
        <v>210.29200000000003</v>
      </c>
      <c r="R178" s="189">
        <v>0.51199999999999901</v>
      </c>
      <c r="S178" s="191">
        <v>1.5108593012275703E-2</v>
      </c>
      <c r="T178" s="189" t="s">
        <v>486</v>
      </c>
      <c r="U178" s="189" t="s">
        <v>480</v>
      </c>
      <c r="V178" s="189"/>
      <c r="W178" s="196">
        <v>1</v>
      </c>
      <c r="X178" s="189" t="s">
        <v>285</v>
      </c>
    </row>
    <row r="179" spans="2:24">
      <c r="B179" s="531"/>
      <c r="C179" s="531"/>
      <c r="D179" s="200">
        <v>73</v>
      </c>
      <c r="E179" s="189" t="s">
        <v>440</v>
      </c>
      <c r="F179" s="190">
        <v>248.24304000000024</v>
      </c>
      <c r="G179" s="189">
        <v>27.341999999999999</v>
      </c>
      <c r="H179" s="189">
        <v>28.2</v>
      </c>
      <c r="I179" s="201">
        <f t="shared" si="18"/>
        <v>1.0313802940531052</v>
      </c>
      <c r="J179" s="189">
        <v>0</v>
      </c>
      <c r="K179" s="201">
        <f t="shared" si="19"/>
        <v>0</v>
      </c>
      <c r="L179" s="190">
        <v>444.88</v>
      </c>
      <c r="M179" s="201">
        <f t="shared" si="20"/>
        <v>1.0313802940531052</v>
      </c>
      <c r="N179" s="190">
        <v>381.70704000000023</v>
      </c>
      <c r="O179" s="189">
        <v>0.3</v>
      </c>
      <c r="P179" s="191">
        <v>1.0972130787798991E-2</v>
      </c>
      <c r="Q179" s="250">
        <v>133.464</v>
      </c>
      <c r="R179" s="189">
        <v>0.5580000000000005</v>
      </c>
      <c r="S179" s="191">
        <v>2.0408163265306142E-2</v>
      </c>
      <c r="T179" s="189" t="s">
        <v>486</v>
      </c>
      <c r="U179" s="189" t="s">
        <v>435</v>
      </c>
      <c r="V179" s="189"/>
      <c r="W179" s="196">
        <v>1</v>
      </c>
      <c r="X179" s="189" t="s">
        <v>286</v>
      </c>
    </row>
    <row r="180" spans="2:24">
      <c r="B180" s="531"/>
      <c r="C180" s="531"/>
      <c r="D180" s="200">
        <v>74</v>
      </c>
      <c r="E180" s="189" t="s">
        <v>438</v>
      </c>
      <c r="F180" s="190">
        <v>227.41920000000056</v>
      </c>
      <c r="G180" s="189">
        <v>60.72</v>
      </c>
      <c r="H180" s="189">
        <v>61.5</v>
      </c>
      <c r="I180" s="201">
        <f t="shared" si="18"/>
        <v>1.0128458498023716</v>
      </c>
      <c r="J180" s="189">
        <v>0</v>
      </c>
      <c r="K180" s="201">
        <f t="shared" si="19"/>
        <v>0</v>
      </c>
      <c r="L180" s="190">
        <v>473.79</v>
      </c>
      <c r="M180" s="201">
        <f t="shared" si="20"/>
        <v>1.0128458498023716</v>
      </c>
      <c r="N180" s="190">
        <v>369.55620000000056</v>
      </c>
      <c r="O180" s="189">
        <v>0.3</v>
      </c>
      <c r="P180" s="191">
        <v>4.940711462450593E-3</v>
      </c>
      <c r="Q180" s="250">
        <v>142.137</v>
      </c>
      <c r="R180" s="189">
        <v>0.48000000000000115</v>
      </c>
      <c r="S180" s="191">
        <v>7.9051383399209672E-3</v>
      </c>
      <c r="T180" s="189" t="s">
        <v>486</v>
      </c>
      <c r="U180" s="189" t="s">
        <v>435</v>
      </c>
      <c r="V180" s="189"/>
      <c r="W180" s="196">
        <v>1</v>
      </c>
      <c r="X180" s="189" t="s">
        <v>417</v>
      </c>
    </row>
    <row r="181" spans="2:24">
      <c r="B181" s="531"/>
      <c r="C181" s="531"/>
      <c r="D181" s="200">
        <v>75</v>
      </c>
      <c r="E181" s="189" t="s">
        <v>532</v>
      </c>
      <c r="F181" s="190">
        <v>218.92752000000087</v>
      </c>
      <c r="G181" s="189">
        <v>20.064</v>
      </c>
      <c r="H181" s="189">
        <v>20.6</v>
      </c>
      <c r="I181" s="201">
        <f t="shared" si="18"/>
        <v>1.0267145135566189</v>
      </c>
      <c r="J181" s="189">
        <v>0</v>
      </c>
      <c r="K181" s="201">
        <f t="shared" si="19"/>
        <v>0</v>
      </c>
      <c r="L181" s="190">
        <v>651.57000000000005</v>
      </c>
      <c r="M181" s="201">
        <f t="shared" si="20"/>
        <v>1.0267145135566189</v>
      </c>
      <c r="N181" s="190">
        <v>349.24152000000089</v>
      </c>
      <c r="O181" s="189">
        <v>0.2</v>
      </c>
      <c r="P181" s="191">
        <v>9.9681020733652318E-3</v>
      </c>
      <c r="Q181" s="250">
        <v>130.31400000000002</v>
      </c>
      <c r="R181" s="189">
        <v>0.33600000000000135</v>
      </c>
      <c r="S181" s="191">
        <v>1.6746411483253655E-2</v>
      </c>
      <c r="T181" s="189" t="s">
        <v>483</v>
      </c>
      <c r="U181" s="189" t="s">
        <v>416</v>
      </c>
      <c r="V181" s="189"/>
      <c r="W181" s="196">
        <v>1</v>
      </c>
      <c r="X181" s="189" t="s">
        <v>533</v>
      </c>
    </row>
    <row r="182" spans="2:24">
      <c r="B182" s="531"/>
      <c r="C182" s="531"/>
      <c r="D182" s="200">
        <v>76</v>
      </c>
      <c r="E182" s="189" t="s">
        <v>409</v>
      </c>
      <c r="F182" s="190">
        <v>211.23695999999927</v>
      </c>
      <c r="G182" s="189">
        <v>25.137</v>
      </c>
      <c r="H182" s="189">
        <v>25.7</v>
      </c>
      <c r="I182" s="201">
        <f t="shared" si="18"/>
        <v>1.0223972629987668</v>
      </c>
      <c r="J182" s="189">
        <v>0</v>
      </c>
      <c r="K182" s="201">
        <f t="shared" si="19"/>
        <v>0</v>
      </c>
      <c r="L182" s="190">
        <v>581.91999999999996</v>
      </c>
      <c r="M182" s="201">
        <f t="shared" si="20"/>
        <v>1.0223972629987668</v>
      </c>
      <c r="N182" s="190">
        <v>327.62095999999929</v>
      </c>
      <c r="O182" s="189">
        <v>0.2</v>
      </c>
      <c r="P182" s="191">
        <v>7.9563989338425432E-3</v>
      </c>
      <c r="Q182" s="250">
        <v>116.384</v>
      </c>
      <c r="R182" s="189">
        <v>0.36299999999999882</v>
      </c>
      <c r="S182" s="191">
        <v>1.4440864064924168E-2</v>
      </c>
      <c r="T182" s="189" t="s">
        <v>486</v>
      </c>
      <c r="U182" s="189" t="s">
        <v>426</v>
      </c>
      <c r="V182" s="189"/>
      <c r="W182" s="196">
        <v>1</v>
      </c>
      <c r="X182" s="189" t="s">
        <v>277</v>
      </c>
    </row>
    <row r="183" spans="2:24">
      <c r="B183" s="531"/>
      <c r="C183" s="531"/>
      <c r="D183" s="200">
        <v>77</v>
      </c>
      <c r="E183" s="189" t="s">
        <v>427</v>
      </c>
      <c r="F183" s="190">
        <v>194.09663999999967</v>
      </c>
      <c r="G183" s="189">
        <v>19.044</v>
      </c>
      <c r="H183" s="189">
        <v>19.5</v>
      </c>
      <c r="I183" s="201">
        <f t="shared" si="18"/>
        <v>1.0239445494643982</v>
      </c>
      <c r="J183" s="189">
        <v>0</v>
      </c>
      <c r="K183" s="201">
        <f t="shared" si="19"/>
        <v>0</v>
      </c>
      <c r="L183" s="190">
        <v>758.19</v>
      </c>
      <c r="M183" s="201">
        <f t="shared" si="20"/>
        <v>1.0239445494643982</v>
      </c>
      <c r="N183" s="190">
        <v>345.73463999999967</v>
      </c>
      <c r="O183" s="189">
        <v>0.2</v>
      </c>
      <c r="P183" s="191">
        <v>1.0501995379122034E-2</v>
      </c>
      <c r="Q183" s="250">
        <v>151.63800000000001</v>
      </c>
      <c r="R183" s="189">
        <v>0.25599999999999951</v>
      </c>
      <c r="S183" s="191">
        <v>1.3442554085276176E-2</v>
      </c>
      <c r="T183" s="189" t="s">
        <v>486</v>
      </c>
      <c r="U183" s="189" t="s">
        <v>426</v>
      </c>
      <c r="V183" s="189"/>
      <c r="W183" s="196">
        <v>1</v>
      </c>
      <c r="X183" s="189" t="s">
        <v>323</v>
      </c>
    </row>
    <row r="184" spans="2:24">
      <c r="B184" s="531"/>
      <c r="C184" s="531"/>
      <c r="D184" s="200">
        <v>78</v>
      </c>
      <c r="E184" s="189" t="s">
        <v>541</v>
      </c>
      <c r="F184" s="190">
        <v>191.87421000000006</v>
      </c>
      <c r="G184" s="189">
        <v>61.383000000000003</v>
      </c>
      <c r="H184" s="189">
        <v>62.2</v>
      </c>
      <c r="I184" s="201">
        <f t="shared" si="18"/>
        <v>1.0133098740693678</v>
      </c>
      <c r="J184" s="189">
        <v>0</v>
      </c>
      <c r="K184" s="201">
        <f t="shared" si="19"/>
        <v>0</v>
      </c>
      <c r="L184" s="190">
        <v>371.13</v>
      </c>
      <c r="M184" s="201">
        <f t="shared" si="20"/>
        <v>1.0133098740693678</v>
      </c>
      <c r="N184" s="190">
        <v>303.21321000000006</v>
      </c>
      <c r="O184" s="189">
        <v>0.3</v>
      </c>
      <c r="P184" s="191">
        <v>4.8873466594985581E-3</v>
      </c>
      <c r="Q184" s="250">
        <v>111.339</v>
      </c>
      <c r="R184" s="189">
        <v>0.51700000000000013</v>
      </c>
      <c r="S184" s="191">
        <v>8.4225274098691846E-3</v>
      </c>
      <c r="T184" s="189" t="s">
        <v>483</v>
      </c>
      <c r="U184" s="189" t="s">
        <v>416</v>
      </c>
      <c r="V184" s="189"/>
      <c r="W184" s="196">
        <v>1</v>
      </c>
      <c r="X184" s="189" t="s">
        <v>314</v>
      </c>
    </row>
    <row r="185" spans="2:24">
      <c r="B185" s="531"/>
      <c r="C185" s="531"/>
      <c r="D185" s="200">
        <v>79</v>
      </c>
      <c r="E185" s="189" t="s">
        <v>508</v>
      </c>
      <c r="F185" s="190">
        <v>181.27656000000107</v>
      </c>
      <c r="G185" s="189">
        <v>149.178</v>
      </c>
      <c r="H185" s="189">
        <v>151.4</v>
      </c>
      <c r="I185" s="201">
        <f t="shared" si="18"/>
        <v>1.0148949577015378</v>
      </c>
      <c r="J185" s="189">
        <v>0</v>
      </c>
      <c r="K185" s="201">
        <f t="shared" si="19"/>
        <v>0</v>
      </c>
      <c r="L185" s="190">
        <v>127.48</v>
      </c>
      <c r="M185" s="201">
        <f t="shared" si="20"/>
        <v>1.0148949577015378</v>
      </c>
      <c r="N185" s="190">
        <v>283.26056000000108</v>
      </c>
      <c r="O185" s="189">
        <v>0.8</v>
      </c>
      <c r="P185" s="191">
        <v>5.3627210446580602E-3</v>
      </c>
      <c r="Q185" s="250">
        <v>101.98400000000001</v>
      </c>
      <c r="R185" s="189">
        <v>1.4220000000000084</v>
      </c>
      <c r="S185" s="191">
        <v>9.5322366568797567E-3</v>
      </c>
      <c r="T185" s="189" t="s">
        <v>483</v>
      </c>
      <c r="U185" s="189" t="s">
        <v>416</v>
      </c>
      <c r="V185" s="189"/>
      <c r="W185" s="196">
        <v>1</v>
      </c>
      <c r="X185" s="189" t="s">
        <v>323</v>
      </c>
    </row>
    <row r="186" spans="2:24">
      <c r="B186" s="531"/>
      <c r="C186" s="531"/>
      <c r="D186" s="200">
        <v>80</v>
      </c>
      <c r="E186" s="189" t="s">
        <v>507</v>
      </c>
      <c r="F186" s="190">
        <v>178.64025000000237</v>
      </c>
      <c r="G186" s="189">
        <v>91.875</v>
      </c>
      <c r="H186" s="189">
        <v>92.4</v>
      </c>
      <c r="I186" s="201">
        <f t="shared" si="18"/>
        <v>1.0057142857142858</v>
      </c>
      <c r="J186" s="189">
        <v>0</v>
      </c>
      <c r="K186" s="201">
        <f t="shared" si="19"/>
        <v>0</v>
      </c>
      <c r="L186" s="190">
        <v>420.33</v>
      </c>
      <c r="M186" s="201">
        <f t="shared" si="20"/>
        <v>1.0057142857142858</v>
      </c>
      <c r="N186" s="190">
        <v>220.67325000000238</v>
      </c>
      <c r="O186" s="189">
        <v>0.1</v>
      </c>
      <c r="P186" s="191">
        <v>1.0884353741496598E-3</v>
      </c>
      <c r="Q186" s="250">
        <v>42.033000000000001</v>
      </c>
      <c r="R186" s="189">
        <v>0.42500000000000571</v>
      </c>
      <c r="S186" s="191">
        <v>4.6258503401361162E-3</v>
      </c>
      <c r="T186" s="189" t="s">
        <v>486</v>
      </c>
      <c r="U186" s="189" t="s">
        <v>426</v>
      </c>
      <c r="V186" s="189"/>
      <c r="W186" s="196">
        <v>1</v>
      </c>
      <c r="X186" s="189" t="s">
        <v>297</v>
      </c>
    </row>
    <row r="187" spans="2:24">
      <c r="B187" s="533">
        <v>45888</v>
      </c>
      <c r="C187" s="531" t="s">
        <v>159</v>
      </c>
      <c r="D187" s="200">
        <v>81</v>
      </c>
      <c r="E187" s="189" t="s">
        <v>563</v>
      </c>
      <c r="F187" s="190">
        <v>310.680160000005</v>
      </c>
      <c r="G187" s="189">
        <v>296.096</v>
      </c>
      <c r="H187" s="189">
        <v>297.60000000000002</v>
      </c>
      <c r="I187" s="201">
        <f t="shared" si="18"/>
        <v>1.0050794336971793</v>
      </c>
      <c r="J187" s="189">
        <v>0</v>
      </c>
      <c r="K187" s="201">
        <f t="shared" si="19"/>
        <v>0</v>
      </c>
      <c r="L187" s="190">
        <v>258.04000000000002</v>
      </c>
      <c r="M187" s="201">
        <f t="shared" si="20"/>
        <v>1.0050794336971793</v>
      </c>
      <c r="N187" s="190">
        <v>388.09216000000498</v>
      </c>
      <c r="O187" s="189">
        <v>0.3</v>
      </c>
      <c r="P187" s="191">
        <v>1.0131849130011888E-3</v>
      </c>
      <c r="Q187" s="250">
        <v>77.412000000000006</v>
      </c>
      <c r="R187" s="189">
        <v>1.2040000000000191</v>
      </c>
      <c r="S187" s="191">
        <v>4.0662487841781683E-3</v>
      </c>
      <c r="T187" s="189" t="s">
        <v>486</v>
      </c>
      <c r="U187" s="189" t="s">
        <v>426</v>
      </c>
      <c r="V187" s="189"/>
      <c r="W187" s="196">
        <v>1</v>
      </c>
      <c r="X187" s="189" t="s">
        <v>309</v>
      </c>
    </row>
    <row r="188" spans="2:24">
      <c r="B188" s="531"/>
      <c r="C188" s="531"/>
      <c r="D188" s="200">
        <v>82</v>
      </c>
      <c r="E188" s="189" t="s">
        <v>418</v>
      </c>
      <c r="F188" s="190">
        <v>272.88210000000117</v>
      </c>
      <c r="G188" s="189">
        <v>156.16499999999999</v>
      </c>
      <c r="H188" s="189">
        <v>157.1</v>
      </c>
      <c r="I188" s="201">
        <f t="shared" si="18"/>
        <v>1.005987257067845</v>
      </c>
      <c r="J188" s="189">
        <v>0</v>
      </c>
      <c r="K188" s="201">
        <f t="shared" si="19"/>
        <v>0</v>
      </c>
      <c r="L188" s="190">
        <v>510.06</v>
      </c>
      <c r="M188" s="201">
        <f t="shared" si="20"/>
        <v>1.005987257067845</v>
      </c>
      <c r="N188" s="190">
        <v>476.90610000000117</v>
      </c>
      <c r="O188" s="189">
        <v>0.4</v>
      </c>
      <c r="P188" s="191">
        <v>2.5613933980085171E-3</v>
      </c>
      <c r="Q188" s="250">
        <v>204.024</v>
      </c>
      <c r="R188" s="189">
        <v>0.53500000000000225</v>
      </c>
      <c r="S188" s="191">
        <v>3.4258636698364054E-3</v>
      </c>
      <c r="T188" s="189" t="s">
        <v>486</v>
      </c>
      <c r="U188" s="189" t="s">
        <v>435</v>
      </c>
      <c r="V188" s="189"/>
      <c r="W188" s="196">
        <v>1</v>
      </c>
      <c r="X188" s="189" t="s">
        <v>417</v>
      </c>
    </row>
    <row r="189" spans="2:24">
      <c r="B189" s="531"/>
      <c r="C189" s="531"/>
      <c r="D189" s="200">
        <v>83</v>
      </c>
      <c r="E189" s="189" t="s">
        <v>438</v>
      </c>
      <c r="F189" s="190">
        <v>227.89299000000148</v>
      </c>
      <c r="G189" s="189">
        <v>65.619</v>
      </c>
      <c r="H189" s="189">
        <v>66.2</v>
      </c>
      <c r="I189" s="201">
        <f t="shared" si="18"/>
        <v>1.0088541428549658</v>
      </c>
      <c r="J189" s="189">
        <v>0</v>
      </c>
      <c r="K189" s="201">
        <f t="shared" si="19"/>
        <v>0</v>
      </c>
      <c r="L189" s="190">
        <v>473.79</v>
      </c>
      <c r="M189" s="201">
        <f t="shared" si="20"/>
        <v>1.0088541428549658</v>
      </c>
      <c r="N189" s="190">
        <v>275.27199000000149</v>
      </c>
      <c r="O189" s="189">
        <v>0.1</v>
      </c>
      <c r="P189" s="191">
        <v>1.5239488562763834E-3</v>
      </c>
      <c r="Q189" s="250">
        <v>47.379000000000005</v>
      </c>
      <c r="R189" s="189">
        <v>0.48100000000000309</v>
      </c>
      <c r="S189" s="191">
        <v>7.3301939986894511E-3</v>
      </c>
      <c r="T189" s="189" t="s">
        <v>486</v>
      </c>
      <c r="U189" s="189" t="s">
        <v>435</v>
      </c>
      <c r="V189" s="189"/>
      <c r="W189" s="196">
        <v>1</v>
      </c>
      <c r="X189" s="189" t="s">
        <v>417</v>
      </c>
    </row>
    <row r="190" spans="2:24">
      <c r="B190" s="531"/>
      <c r="C190" s="531"/>
      <c r="D190" s="200">
        <v>84</v>
      </c>
      <c r="E190" s="189" t="s">
        <v>599</v>
      </c>
      <c r="F190" s="190">
        <v>216.62999999999997</v>
      </c>
      <c r="G190" s="189">
        <v>0.92530000000000001</v>
      </c>
      <c r="H190" s="189">
        <v>1</v>
      </c>
      <c r="I190" s="201">
        <f t="shared" si="18"/>
        <v>1.0807305738679347</v>
      </c>
      <c r="J190" s="189">
        <v>0</v>
      </c>
      <c r="K190" s="201">
        <f t="shared" si="19"/>
        <v>0</v>
      </c>
      <c r="L190" s="190">
        <v>2900</v>
      </c>
      <c r="M190" s="201">
        <f t="shared" si="20"/>
        <v>1.0807305738679347</v>
      </c>
      <c r="N190" s="190">
        <v>216.62999999999997</v>
      </c>
      <c r="O190" s="189">
        <v>0</v>
      </c>
      <c r="P190" s="191">
        <v>0</v>
      </c>
      <c r="Q190" s="250">
        <v>0</v>
      </c>
      <c r="R190" s="189">
        <v>7.4699999999999989E-2</v>
      </c>
      <c r="S190" s="191">
        <v>8.073057386793471E-2</v>
      </c>
      <c r="T190" s="189" t="s">
        <v>486</v>
      </c>
      <c r="U190" s="189" t="s">
        <v>426</v>
      </c>
      <c r="V190" s="189"/>
      <c r="W190" s="196">
        <v>1</v>
      </c>
      <c r="X190" s="189" t="s">
        <v>309</v>
      </c>
    </row>
    <row r="191" spans="2:24">
      <c r="B191" s="531"/>
      <c r="C191" s="531"/>
      <c r="D191" s="200">
        <v>85</v>
      </c>
      <c r="E191" s="189" t="s">
        <v>440</v>
      </c>
      <c r="F191" s="190">
        <v>215.32192000000049</v>
      </c>
      <c r="G191" s="189">
        <v>29.015999999999998</v>
      </c>
      <c r="H191" s="189">
        <v>29.7</v>
      </c>
      <c r="I191" s="201">
        <f t="shared" si="18"/>
        <v>1.0235732009925558</v>
      </c>
      <c r="J191" s="189">
        <v>0</v>
      </c>
      <c r="K191" s="201">
        <f t="shared" si="19"/>
        <v>0</v>
      </c>
      <c r="L191" s="190">
        <v>444.88</v>
      </c>
      <c r="M191" s="201">
        <f t="shared" si="20"/>
        <v>1.0235732009925558</v>
      </c>
      <c r="N191" s="190">
        <v>304.29792000000049</v>
      </c>
      <c r="O191" s="189">
        <v>0.2</v>
      </c>
      <c r="P191" s="191">
        <v>6.8927488282327001E-3</v>
      </c>
      <c r="Q191" s="250">
        <v>88.975999999999999</v>
      </c>
      <c r="R191" s="189">
        <v>0.48400000000000104</v>
      </c>
      <c r="S191" s="191">
        <v>1.6680452164323168E-2</v>
      </c>
      <c r="T191" s="189" t="s">
        <v>486</v>
      </c>
      <c r="U191" s="189" t="s">
        <v>435</v>
      </c>
      <c r="V191" s="189"/>
      <c r="W191" s="196">
        <v>1</v>
      </c>
      <c r="X191" s="189" t="s">
        <v>286</v>
      </c>
    </row>
    <row r="192" spans="2:24">
      <c r="B192" s="531"/>
      <c r="C192" s="531"/>
      <c r="D192" s="200">
        <v>86</v>
      </c>
      <c r="E192" s="189" t="s">
        <v>557</v>
      </c>
      <c r="F192" s="190">
        <v>201.77950000000021</v>
      </c>
      <c r="G192" s="189">
        <v>21.75</v>
      </c>
      <c r="H192" s="189">
        <v>22.8</v>
      </c>
      <c r="I192" s="201">
        <f t="shared" si="18"/>
        <v>1.0482758620689656</v>
      </c>
      <c r="J192" s="189">
        <v>0</v>
      </c>
      <c r="K192" s="201">
        <f t="shared" si="19"/>
        <v>0</v>
      </c>
      <c r="L192" s="190">
        <v>310.43</v>
      </c>
      <c r="M192" s="201">
        <f t="shared" si="20"/>
        <v>1.0482758620689656</v>
      </c>
      <c r="N192" s="190">
        <v>325.95150000000024</v>
      </c>
      <c r="O192" s="189">
        <v>0.4</v>
      </c>
      <c r="P192" s="191">
        <v>1.8390804597701149E-2</v>
      </c>
      <c r="Q192" s="250">
        <v>124.17200000000001</v>
      </c>
      <c r="R192" s="189">
        <v>0.65000000000000069</v>
      </c>
      <c r="S192" s="191">
        <v>2.9885057471264399E-2</v>
      </c>
      <c r="T192" s="189" t="s">
        <v>486</v>
      </c>
      <c r="U192" s="189" t="s">
        <v>426</v>
      </c>
      <c r="V192" s="189"/>
      <c r="W192" s="196">
        <v>1</v>
      </c>
      <c r="X192" s="189" t="s">
        <v>270</v>
      </c>
    </row>
    <row r="193" spans="2:24">
      <c r="B193" s="531"/>
      <c r="C193" s="531"/>
      <c r="D193" s="200">
        <v>87</v>
      </c>
      <c r="E193" s="189" t="s">
        <v>590</v>
      </c>
      <c r="F193" s="190">
        <v>191.8388999999994</v>
      </c>
      <c r="G193" s="189">
        <v>22.19</v>
      </c>
      <c r="H193" s="189">
        <v>23.2</v>
      </c>
      <c r="I193" s="201">
        <f t="shared" si="18"/>
        <v>1.0455159981973861</v>
      </c>
      <c r="J193" s="189">
        <v>0</v>
      </c>
      <c r="K193" s="201">
        <f t="shared" si="19"/>
        <v>0</v>
      </c>
      <c r="L193" s="190">
        <v>314.49</v>
      </c>
      <c r="M193" s="201">
        <f t="shared" si="20"/>
        <v>1.0455159981973861</v>
      </c>
      <c r="N193" s="190">
        <v>317.63489999999939</v>
      </c>
      <c r="O193" s="189">
        <v>0.4</v>
      </c>
      <c r="P193" s="191">
        <v>1.8026137899954935E-2</v>
      </c>
      <c r="Q193" s="250">
        <v>125.79600000000001</v>
      </c>
      <c r="R193" s="189">
        <v>0.60999999999999799</v>
      </c>
      <c r="S193" s="191">
        <v>2.7489860297431182E-2</v>
      </c>
      <c r="T193" s="189" t="s">
        <v>483</v>
      </c>
      <c r="U193" s="189" t="s">
        <v>416</v>
      </c>
      <c r="V193" s="189"/>
      <c r="W193" s="196">
        <v>1</v>
      </c>
      <c r="X193" s="189" t="s">
        <v>591</v>
      </c>
    </row>
    <row r="194" spans="2:24">
      <c r="B194" s="531"/>
      <c r="C194" s="531"/>
      <c r="D194" s="200">
        <v>88</v>
      </c>
      <c r="E194" s="189" t="s">
        <v>441</v>
      </c>
      <c r="F194" s="190">
        <v>187.61834999999948</v>
      </c>
      <c r="G194" s="189">
        <v>6.3150000000000004</v>
      </c>
      <c r="H194" s="189">
        <v>6.6</v>
      </c>
      <c r="I194" s="201">
        <f t="shared" si="18"/>
        <v>1.0451306413301662</v>
      </c>
      <c r="J194" s="189">
        <v>0</v>
      </c>
      <c r="K194" s="201">
        <f t="shared" si="19"/>
        <v>0</v>
      </c>
      <c r="L194" s="190">
        <v>658.31</v>
      </c>
      <c r="M194" s="201">
        <f t="shared" si="20"/>
        <v>1.0451306413301662</v>
      </c>
      <c r="N194" s="190">
        <v>187.61834999999948</v>
      </c>
      <c r="O194" s="189">
        <v>0</v>
      </c>
      <c r="P194" s="191">
        <v>0</v>
      </c>
      <c r="Q194" s="250">
        <v>0</v>
      </c>
      <c r="R194" s="189">
        <v>0.28499999999999925</v>
      </c>
      <c r="S194" s="191">
        <v>4.513064133016615E-2</v>
      </c>
      <c r="T194" s="189" t="s">
        <v>486</v>
      </c>
      <c r="U194" s="189" t="s">
        <v>426</v>
      </c>
      <c r="V194" s="189"/>
      <c r="W194" s="196">
        <v>1</v>
      </c>
      <c r="X194" s="189" t="s">
        <v>293</v>
      </c>
    </row>
    <row r="195" spans="2:24">
      <c r="B195" s="531"/>
      <c r="C195" s="531"/>
      <c r="D195" s="200">
        <v>89</v>
      </c>
      <c r="E195" s="189" t="s">
        <v>434</v>
      </c>
      <c r="F195" s="190">
        <v>187.4161799999996</v>
      </c>
      <c r="G195" s="189">
        <v>75.733000000000004</v>
      </c>
      <c r="H195" s="189">
        <v>76.7</v>
      </c>
      <c r="I195" s="201">
        <f t="shared" si="18"/>
        <v>1.0127685421150621</v>
      </c>
      <c r="J195" s="189">
        <v>0</v>
      </c>
      <c r="K195" s="201">
        <f t="shared" si="19"/>
        <v>0</v>
      </c>
      <c r="L195" s="190">
        <v>330.54</v>
      </c>
      <c r="M195" s="201">
        <f t="shared" si="20"/>
        <v>1.0127685421150621</v>
      </c>
      <c r="N195" s="190">
        <v>319.63217999999961</v>
      </c>
      <c r="O195" s="189">
        <v>0.4</v>
      </c>
      <c r="P195" s="191">
        <v>5.2817133878230102E-3</v>
      </c>
      <c r="Q195" s="250">
        <v>132.21600000000001</v>
      </c>
      <c r="R195" s="189">
        <v>0.56699999999999873</v>
      </c>
      <c r="S195" s="191">
        <v>7.4868287272390989E-3</v>
      </c>
      <c r="T195" s="189" t="s">
        <v>486</v>
      </c>
      <c r="U195" s="189" t="s">
        <v>426</v>
      </c>
      <c r="V195" s="189"/>
      <c r="W195" s="196">
        <v>1</v>
      </c>
      <c r="X195" s="189" t="s">
        <v>280</v>
      </c>
    </row>
    <row r="196" spans="2:24">
      <c r="B196" s="531"/>
      <c r="C196" s="531"/>
      <c r="D196" s="200">
        <v>90</v>
      </c>
      <c r="E196" s="189" t="s">
        <v>508</v>
      </c>
      <c r="F196" s="190">
        <v>181.53152000000085</v>
      </c>
      <c r="G196" s="189">
        <v>146.07599999999999</v>
      </c>
      <c r="H196" s="189">
        <v>148.5</v>
      </c>
      <c r="I196" s="201">
        <f t="shared" si="18"/>
        <v>1.0165941017004847</v>
      </c>
      <c r="J196" s="189">
        <v>0</v>
      </c>
      <c r="K196" s="201">
        <f t="shared" si="19"/>
        <v>0</v>
      </c>
      <c r="L196" s="190">
        <v>127.48</v>
      </c>
      <c r="M196" s="201">
        <f t="shared" si="20"/>
        <v>1.0165941017004847</v>
      </c>
      <c r="N196" s="190">
        <v>309.01152000000087</v>
      </c>
      <c r="O196" s="189">
        <v>1</v>
      </c>
      <c r="P196" s="191">
        <v>6.8457515266025911E-3</v>
      </c>
      <c r="Q196" s="250">
        <v>127.48</v>
      </c>
      <c r="R196" s="189">
        <v>1.4240000000000066</v>
      </c>
      <c r="S196" s="191">
        <v>9.7483501738821338E-3</v>
      </c>
      <c r="T196" s="189" t="s">
        <v>483</v>
      </c>
      <c r="U196" s="189" t="s">
        <v>416</v>
      </c>
      <c r="V196" s="189"/>
      <c r="W196" s="196">
        <v>1</v>
      </c>
      <c r="X196" s="189" t="s">
        <v>323</v>
      </c>
    </row>
    <row r="197" spans="2:24">
      <c r="B197" s="533">
        <v>45889</v>
      </c>
      <c r="C197" s="531" t="s">
        <v>160</v>
      </c>
      <c r="D197" s="200">
        <v>91</v>
      </c>
      <c r="E197" s="189" t="s">
        <v>438</v>
      </c>
      <c r="F197" s="190">
        <v>307.01592000000358</v>
      </c>
      <c r="G197" s="189">
        <v>67.251999999999995</v>
      </c>
      <c r="H197" s="189">
        <v>68.2</v>
      </c>
      <c r="I197" s="201">
        <f t="shared" si="18"/>
        <v>1.0140962350562066</v>
      </c>
      <c r="J197" s="189">
        <v>0</v>
      </c>
      <c r="K197" s="201">
        <f t="shared" si="19"/>
        <v>0</v>
      </c>
      <c r="L197" s="190">
        <v>473.79</v>
      </c>
      <c r="M197" s="201">
        <f t="shared" si="20"/>
        <v>1.0140962350562066</v>
      </c>
      <c r="N197" s="190">
        <v>449.15292000000358</v>
      </c>
      <c r="O197" s="189">
        <v>0.3</v>
      </c>
      <c r="P197" s="191">
        <v>4.4608338785463632E-3</v>
      </c>
      <c r="Q197" s="250">
        <v>142.137</v>
      </c>
      <c r="R197" s="189">
        <v>0.64800000000000746</v>
      </c>
      <c r="S197" s="191">
        <v>9.6354011776602563E-3</v>
      </c>
      <c r="T197" s="189" t="s">
        <v>486</v>
      </c>
      <c r="U197" s="189" t="s">
        <v>435</v>
      </c>
      <c r="V197" s="189"/>
      <c r="W197" s="196">
        <v>1</v>
      </c>
      <c r="X197" s="189" t="s">
        <v>417</v>
      </c>
    </row>
    <row r="198" spans="2:24">
      <c r="B198" s="531"/>
      <c r="C198" s="531"/>
      <c r="D198" s="200">
        <v>92</v>
      </c>
      <c r="E198" s="189" t="s">
        <v>418</v>
      </c>
      <c r="F198" s="190">
        <v>292.77444000000628</v>
      </c>
      <c r="G198" s="189">
        <v>160.126</v>
      </c>
      <c r="H198" s="189">
        <v>160.4</v>
      </c>
      <c r="I198" s="201">
        <f t="shared" si="18"/>
        <v>1.0017111524674318</v>
      </c>
      <c r="J198" s="189">
        <v>0.3</v>
      </c>
      <c r="K198" s="201">
        <f t="shared" si="19"/>
        <v>1.8735245993779896E-3</v>
      </c>
      <c r="L198" s="190">
        <v>510.06</v>
      </c>
      <c r="M198" s="201">
        <f t="shared" si="20"/>
        <v>1.00358467706681</v>
      </c>
      <c r="N198" s="190">
        <v>292.77444000000628</v>
      </c>
      <c r="O198" s="189">
        <v>0</v>
      </c>
      <c r="P198" s="191">
        <v>0</v>
      </c>
      <c r="Q198" s="250">
        <v>0</v>
      </c>
      <c r="R198" s="189">
        <v>0.57400000000001228</v>
      </c>
      <c r="S198" s="191">
        <v>3.5846770668099639E-3</v>
      </c>
      <c r="T198" s="189" t="s">
        <v>486</v>
      </c>
      <c r="U198" s="189" t="s">
        <v>435</v>
      </c>
      <c r="V198" s="189"/>
      <c r="W198" s="196">
        <v>1</v>
      </c>
      <c r="X198" s="189" t="s">
        <v>417</v>
      </c>
    </row>
    <row r="199" spans="2:24">
      <c r="B199" s="531"/>
      <c r="C199" s="531"/>
      <c r="D199" s="200">
        <v>93</v>
      </c>
      <c r="E199" s="189" t="s">
        <v>440</v>
      </c>
      <c r="F199" s="190">
        <v>278.49487999999928</v>
      </c>
      <c r="G199" s="189">
        <v>31.373999999999999</v>
      </c>
      <c r="H199" s="189">
        <v>32.299999999999997</v>
      </c>
      <c r="I199" s="201">
        <f t="shared" si="18"/>
        <v>1.0295148849365716</v>
      </c>
      <c r="J199" s="189">
        <v>0</v>
      </c>
      <c r="K199" s="201">
        <f t="shared" si="19"/>
        <v>0</v>
      </c>
      <c r="L199" s="190">
        <v>444.88</v>
      </c>
      <c r="M199" s="201">
        <f t="shared" si="20"/>
        <v>1.0295148849365716</v>
      </c>
      <c r="N199" s="190">
        <v>411.95887999999928</v>
      </c>
      <c r="O199" s="189">
        <v>0.3</v>
      </c>
      <c r="P199" s="191">
        <v>9.5620577548288389E-3</v>
      </c>
      <c r="Q199" s="250">
        <v>133.464</v>
      </c>
      <c r="R199" s="189">
        <v>0.62599999999999834</v>
      </c>
      <c r="S199" s="191">
        <v>1.9952827181742794E-2</v>
      </c>
      <c r="T199" s="189" t="s">
        <v>486</v>
      </c>
      <c r="U199" s="189" t="s">
        <v>435</v>
      </c>
      <c r="V199" s="189"/>
      <c r="W199" s="196">
        <v>1</v>
      </c>
      <c r="X199" s="189" t="s">
        <v>286</v>
      </c>
    </row>
    <row r="200" spans="2:24">
      <c r="B200" s="531"/>
      <c r="C200" s="531"/>
      <c r="D200" s="200">
        <v>94</v>
      </c>
      <c r="E200" s="189" t="s">
        <v>532</v>
      </c>
      <c r="F200" s="190">
        <v>265.84056000000038</v>
      </c>
      <c r="G200" s="189">
        <v>17.891999999999999</v>
      </c>
      <c r="H200" s="189">
        <v>18.5</v>
      </c>
      <c r="I200" s="201">
        <f t="shared" ref="I200:I263" si="21">H200/G200</f>
        <v>1.0339816677844846</v>
      </c>
      <c r="J200" s="189">
        <v>0</v>
      </c>
      <c r="K200" s="201">
        <f t="shared" ref="K200:K263" si="22">J200/G200</f>
        <v>0</v>
      </c>
      <c r="L200" s="190">
        <v>651.57000000000005</v>
      </c>
      <c r="M200" s="201">
        <f t="shared" ref="M200:M263" si="23">(H200+J200)/G200</f>
        <v>1.0339816677844846</v>
      </c>
      <c r="N200" s="190">
        <v>396.1545600000004</v>
      </c>
      <c r="O200" s="189">
        <v>0.2</v>
      </c>
      <c r="P200" s="191">
        <v>1.11781801922647E-2</v>
      </c>
      <c r="Q200" s="250">
        <v>130.31400000000002</v>
      </c>
      <c r="R200" s="189">
        <v>0.40800000000000053</v>
      </c>
      <c r="S200" s="191">
        <v>2.2803487592220017E-2</v>
      </c>
      <c r="T200" s="189" t="s">
        <v>483</v>
      </c>
      <c r="U200" s="189" t="s">
        <v>416</v>
      </c>
      <c r="V200" s="189"/>
      <c r="W200" s="196">
        <v>1</v>
      </c>
      <c r="X200" s="189" t="s">
        <v>533</v>
      </c>
    </row>
    <row r="201" spans="2:24">
      <c r="B201" s="531"/>
      <c r="C201" s="531"/>
      <c r="D201" s="200">
        <v>95</v>
      </c>
      <c r="E201" s="189" t="s">
        <v>504</v>
      </c>
      <c r="F201" s="190">
        <v>252.12756000000041</v>
      </c>
      <c r="G201" s="189">
        <v>13.629</v>
      </c>
      <c r="H201" s="189">
        <v>14</v>
      </c>
      <c r="I201" s="201">
        <f t="shared" si="21"/>
        <v>1.0272213662044172</v>
      </c>
      <c r="J201" s="189">
        <v>0</v>
      </c>
      <c r="K201" s="201">
        <f t="shared" si="22"/>
        <v>0</v>
      </c>
      <c r="L201" s="190">
        <v>930.36</v>
      </c>
      <c r="M201" s="201">
        <f t="shared" si="23"/>
        <v>1.0272213662044172</v>
      </c>
      <c r="N201" s="190">
        <v>345.16356000000042</v>
      </c>
      <c r="O201" s="189">
        <v>0.1</v>
      </c>
      <c r="P201" s="191">
        <v>7.3372954728886941E-3</v>
      </c>
      <c r="Q201" s="250">
        <v>93.036000000000001</v>
      </c>
      <c r="R201" s="189">
        <v>0.27100000000000046</v>
      </c>
      <c r="S201" s="191">
        <v>1.9884070731528394E-2</v>
      </c>
      <c r="T201" s="189" t="s">
        <v>486</v>
      </c>
      <c r="U201" s="189" t="s">
        <v>426</v>
      </c>
      <c r="V201" s="189"/>
      <c r="W201" s="196">
        <v>1</v>
      </c>
      <c r="X201" s="189" t="s">
        <v>271</v>
      </c>
    </row>
    <row r="202" spans="2:24">
      <c r="B202" s="531"/>
      <c r="C202" s="531"/>
      <c r="D202" s="200">
        <v>96</v>
      </c>
      <c r="E202" s="189" t="s">
        <v>521</v>
      </c>
      <c r="F202" s="190">
        <v>220.80659999999943</v>
      </c>
      <c r="G202" s="189">
        <v>37.68</v>
      </c>
      <c r="H202" s="189">
        <v>38.4</v>
      </c>
      <c r="I202" s="201">
        <f t="shared" si="21"/>
        <v>1.0191082802547771</v>
      </c>
      <c r="J202" s="189">
        <v>0</v>
      </c>
      <c r="K202" s="201">
        <f t="shared" si="22"/>
        <v>0</v>
      </c>
      <c r="L202" s="190">
        <v>525.73</v>
      </c>
      <c r="M202" s="201">
        <f t="shared" si="23"/>
        <v>1.0191082802547771</v>
      </c>
      <c r="N202" s="190">
        <v>378.52559999999943</v>
      </c>
      <c r="O202" s="189">
        <v>0.3</v>
      </c>
      <c r="P202" s="191">
        <v>7.9617834394904458E-3</v>
      </c>
      <c r="Q202" s="250">
        <v>157.71899999999999</v>
      </c>
      <c r="R202" s="189">
        <v>0.41999999999999887</v>
      </c>
      <c r="S202" s="191">
        <v>1.1146496815286594E-2</v>
      </c>
      <c r="T202" s="189" t="s">
        <v>486</v>
      </c>
      <c r="U202" s="189" t="s">
        <v>435</v>
      </c>
      <c r="V202" s="189"/>
      <c r="W202" s="196">
        <v>1</v>
      </c>
      <c r="X202" s="189" t="s">
        <v>285</v>
      </c>
    </row>
    <row r="203" spans="2:24">
      <c r="B203" s="531"/>
      <c r="C203" s="531"/>
      <c r="D203" s="200">
        <v>97</v>
      </c>
      <c r="E203" s="189" t="s">
        <v>409</v>
      </c>
      <c r="F203" s="190">
        <v>212.98272000000185</v>
      </c>
      <c r="G203" s="189">
        <v>22.533999999999999</v>
      </c>
      <c r="H203" s="189">
        <v>22.1</v>
      </c>
      <c r="I203" s="201">
        <f t="shared" si="21"/>
        <v>0.98074021478654494</v>
      </c>
      <c r="J203" s="189">
        <v>0.8</v>
      </c>
      <c r="K203" s="201">
        <f t="shared" si="22"/>
        <v>3.5501908227567235E-2</v>
      </c>
      <c r="L203" s="190">
        <v>581.91999999999996</v>
      </c>
      <c r="M203" s="201">
        <f t="shared" si="23"/>
        <v>1.0162421230141121</v>
      </c>
      <c r="N203" s="190">
        <v>212.98272000000185</v>
      </c>
      <c r="O203" s="189">
        <v>0</v>
      </c>
      <c r="P203" s="191">
        <v>0</v>
      </c>
      <c r="Q203" s="250">
        <v>0</v>
      </c>
      <c r="R203" s="189">
        <v>0.36600000000000321</v>
      </c>
      <c r="S203" s="191">
        <v>1.6242123014112153E-2</v>
      </c>
      <c r="T203" s="189" t="s">
        <v>486</v>
      </c>
      <c r="U203" s="189" t="s">
        <v>426</v>
      </c>
      <c r="V203" s="189"/>
      <c r="W203" s="196">
        <v>1</v>
      </c>
      <c r="X203" s="189" t="s">
        <v>277</v>
      </c>
    </row>
    <row r="204" spans="2:24">
      <c r="B204" s="531"/>
      <c r="C204" s="531"/>
      <c r="D204" s="200">
        <v>98</v>
      </c>
      <c r="E204" s="189" t="s">
        <v>563</v>
      </c>
      <c r="F204" s="190">
        <v>191.98175999999702</v>
      </c>
      <c r="G204" s="189">
        <v>181.05600000000001</v>
      </c>
      <c r="H204" s="189">
        <v>182.5</v>
      </c>
      <c r="I204" s="201">
        <f t="shared" si="21"/>
        <v>1.0079754330151998</v>
      </c>
      <c r="J204" s="189">
        <v>0</v>
      </c>
      <c r="K204" s="201">
        <f t="shared" si="22"/>
        <v>0</v>
      </c>
      <c r="L204" s="190">
        <v>258.04000000000002</v>
      </c>
      <c r="M204" s="201">
        <f t="shared" si="23"/>
        <v>1.0079754330151998</v>
      </c>
      <c r="N204" s="190">
        <v>372.60975999999704</v>
      </c>
      <c r="O204" s="189">
        <v>0.7</v>
      </c>
      <c r="P204" s="191">
        <v>3.8662071403322723E-3</v>
      </c>
      <c r="Q204" s="250">
        <v>180.62800000000001</v>
      </c>
      <c r="R204" s="189">
        <v>0.74399999999998845</v>
      </c>
      <c r="S204" s="191">
        <v>4.1092258748673801E-3</v>
      </c>
      <c r="T204" s="189" t="s">
        <v>486</v>
      </c>
      <c r="U204" s="189" t="s">
        <v>426</v>
      </c>
      <c r="V204" s="189"/>
      <c r="W204" s="196">
        <v>1</v>
      </c>
      <c r="X204" s="189" t="s">
        <v>309</v>
      </c>
    </row>
    <row r="205" spans="2:24">
      <c r="B205" s="531"/>
      <c r="C205" s="531"/>
      <c r="D205" s="200">
        <v>99</v>
      </c>
      <c r="E205" s="189" t="s">
        <v>434</v>
      </c>
      <c r="F205" s="190">
        <v>178.49160000000111</v>
      </c>
      <c r="G205" s="189">
        <v>73.16</v>
      </c>
      <c r="H205" s="189">
        <v>74</v>
      </c>
      <c r="I205" s="201">
        <f t="shared" si="21"/>
        <v>1.0114816839803171</v>
      </c>
      <c r="J205" s="189">
        <v>0</v>
      </c>
      <c r="K205" s="201">
        <f t="shared" si="22"/>
        <v>0</v>
      </c>
      <c r="L205" s="190">
        <v>330.54</v>
      </c>
      <c r="M205" s="201">
        <f t="shared" si="23"/>
        <v>1.0114816839803171</v>
      </c>
      <c r="N205" s="190">
        <v>277.65360000000112</v>
      </c>
      <c r="O205" s="189">
        <v>0.3</v>
      </c>
      <c r="P205" s="191">
        <v>4.1006014215418263E-3</v>
      </c>
      <c r="Q205" s="250">
        <v>99.162000000000006</v>
      </c>
      <c r="R205" s="189">
        <v>0.54000000000000337</v>
      </c>
      <c r="S205" s="191">
        <v>7.381082558775333E-3</v>
      </c>
      <c r="T205" s="189" t="s">
        <v>486</v>
      </c>
      <c r="U205" s="189" t="s">
        <v>426</v>
      </c>
      <c r="V205" s="189"/>
      <c r="W205" s="196">
        <v>1</v>
      </c>
      <c r="X205" s="189" t="s">
        <v>280</v>
      </c>
    </row>
    <row r="206" spans="2:24">
      <c r="B206" s="531"/>
      <c r="C206" s="531"/>
      <c r="D206" s="200">
        <v>100</v>
      </c>
      <c r="E206" s="189" t="s">
        <v>482</v>
      </c>
      <c r="F206" s="190">
        <v>176.90595999999971</v>
      </c>
      <c r="G206" s="189">
        <v>6.2910000000000004</v>
      </c>
      <c r="H206" s="189">
        <v>6.5</v>
      </c>
      <c r="I206" s="201">
        <f t="shared" si="21"/>
        <v>1.0332220632649816</v>
      </c>
      <c r="J206" s="189">
        <v>0</v>
      </c>
      <c r="K206" s="201">
        <f t="shared" si="22"/>
        <v>0</v>
      </c>
      <c r="L206" s="190">
        <v>846.44</v>
      </c>
      <c r="M206" s="201">
        <f t="shared" si="23"/>
        <v>1.0332220632649816</v>
      </c>
      <c r="N206" s="190">
        <v>176.90595999999971</v>
      </c>
      <c r="O206" s="189">
        <v>0</v>
      </c>
      <c r="P206" s="191">
        <v>0</v>
      </c>
      <c r="Q206" s="250">
        <v>0</v>
      </c>
      <c r="R206" s="189">
        <v>0.20899999999999963</v>
      </c>
      <c r="S206" s="191">
        <v>3.3222063264981658E-2</v>
      </c>
      <c r="T206" s="189" t="s">
        <v>494</v>
      </c>
      <c r="U206" s="189" t="s">
        <v>500</v>
      </c>
      <c r="V206" s="189"/>
      <c r="W206" s="196">
        <v>1</v>
      </c>
      <c r="X206" s="189" t="s">
        <v>270</v>
      </c>
    </row>
    <row r="207" spans="2:24">
      <c r="B207" s="533">
        <v>45890</v>
      </c>
      <c r="C207" s="531" t="s">
        <v>161</v>
      </c>
      <c r="D207" s="200">
        <v>101</v>
      </c>
      <c r="E207" s="189" t="s">
        <v>441</v>
      </c>
      <c r="F207" s="190">
        <v>269.90710000000013</v>
      </c>
      <c r="G207" s="189">
        <v>5.79</v>
      </c>
      <c r="H207" s="189">
        <v>6.4</v>
      </c>
      <c r="I207" s="201">
        <f t="shared" si="21"/>
        <v>1.1053540587219344</v>
      </c>
      <c r="J207" s="189">
        <v>0</v>
      </c>
      <c r="K207" s="201">
        <f t="shared" si="22"/>
        <v>0</v>
      </c>
      <c r="L207" s="190">
        <v>658.31</v>
      </c>
      <c r="M207" s="201">
        <f t="shared" si="23"/>
        <v>1.1053540587219344</v>
      </c>
      <c r="N207" s="190">
        <v>401.56910000000016</v>
      </c>
      <c r="O207" s="189">
        <v>0.2</v>
      </c>
      <c r="P207" s="191">
        <v>3.4542314335060449E-2</v>
      </c>
      <c r="Q207" s="250">
        <v>131.66200000000001</v>
      </c>
      <c r="R207" s="189">
        <v>0.41000000000000031</v>
      </c>
      <c r="S207" s="191">
        <v>7.0811744386873973E-2</v>
      </c>
      <c r="T207" s="189" t="s">
        <v>486</v>
      </c>
      <c r="U207" s="189" t="s">
        <v>426</v>
      </c>
      <c r="V207" s="189"/>
      <c r="W207" s="196">
        <v>1</v>
      </c>
      <c r="X207" s="189" t="s">
        <v>293</v>
      </c>
    </row>
    <row r="208" spans="2:24">
      <c r="B208" s="531"/>
      <c r="C208" s="531"/>
      <c r="D208" s="200">
        <v>102</v>
      </c>
      <c r="E208" s="189" t="s">
        <v>438</v>
      </c>
      <c r="F208" s="190">
        <v>261.53208000000183</v>
      </c>
      <c r="G208" s="189">
        <v>59.247999999999998</v>
      </c>
      <c r="H208" s="189">
        <v>60.1</v>
      </c>
      <c r="I208" s="201">
        <f t="shared" si="21"/>
        <v>1.0143802322441264</v>
      </c>
      <c r="J208" s="189">
        <v>0</v>
      </c>
      <c r="K208" s="201">
        <f t="shared" si="22"/>
        <v>0</v>
      </c>
      <c r="L208" s="190">
        <v>473.79</v>
      </c>
      <c r="M208" s="201">
        <f t="shared" si="23"/>
        <v>1.0143802322441264</v>
      </c>
      <c r="N208" s="190">
        <v>403.66908000000183</v>
      </c>
      <c r="O208" s="189">
        <v>0.3</v>
      </c>
      <c r="P208" s="191">
        <v>5.0634620577909807E-3</v>
      </c>
      <c r="Q208" s="250">
        <v>142.137</v>
      </c>
      <c r="R208" s="189">
        <v>0.55200000000000382</v>
      </c>
      <c r="S208" s="191">
        <v>9.3167701863354681E-3</v>
      </c>
      <c r="T208" s="189" t="s">
        <v>486</v>
      </c>
      <c r="U208" s="189" t="s">
        <v>435</v>
      </c>
      <c r="V208" s="189"/>
      <c r="W208" s="196">
        <v>1</v>
      </c>
      <c r="X208" s="189" t="s">
        <v>417</v>
      </c>
    </row>
    <row r="209" spans="2:24">
      <c r="B209" s="531"/>
      <c r="C209" s="531"/>
      <c r="D209" s="200">
        <v>103</v>
      </c>
      <c r="E209" s="189" t="s">
        <v>440</v>
      </c>
      <c r="F209" s="190">
        <v>236.67616000000032</v>
      </c>
      <c r="G209" s="189">
        <v>32.868000000000002</v>
      </c>
      <c r="H209" s="189">
        <v>33.700000000000003</v>
      </c>
      <c r="I209" s="201">
        <f t="shared" si="21"/>
        <v>1.0253133747109651</v>
      </c>
      <c r="J209" s="189">
        <v>0</v>
      </c>
      <c r="K209" s="201">
        <f t="shared" si="22"/>
        <v>0</v>
      </c>
      <c r="L209" s="190">
        <v>444.88</v>
      </c>
      <c r="M209" s="201">
        <f t="shared" si="23"/>
        <v>1.0253133747109651</v>
      </c>
      <c r="N209" s="190">
        <v>370.14016000000032</v>
      </c>
      <c r="O209" s="189">
        <v>0.3</v>
      </c>
      <c r="P209" s="191">
        <v>9.1274187659729812E-3</v>
      </c>
      <c r="Q209" s="250">
        <v>133.464</v>
      </c>
      <c r="R209" s="189">
        <v>0.53200000000000069</v>
      </c>
      <c r="S209" s="191">
        <v>1.6185955944992111E-2</v>
      </c>
      <c r="T209" s="189" t="s">
        <v>486</v>
      </c>
      <c r="U209" s="189" t="s">
        <v>435</v>
      </c>
      <c r="V209" s="189"/>
      <c r="W209" s="196">
        <v>1</v>
      </c>
      <c r="X209" s="189" t="s">
        <v>286</v>
      </c>
    </row>
    <row r="210" spans="2:24">
      <c r="B210" s="531"/>
      <c r="C210" s="531"/>
      <c r="D210" s="200">
        <v>104</v>
      </c>
      <c r="E210" s="189" t="s">
        <v>566</v>
      </c>
      <c r="F210" s="190">
        <v>211.97000000000142</v>
      </c>
      <c r="G210" s="189">
        <v>27.83</v>
      </c>
      <c r="H210" s="189">
        <v>28.6</v>
      </c>
      <c r="I210" s="201">
        <f t="shared" si="21"/>
        <v>1.0276679841897234</v>
      </c>
      <c r="J210" s="189">
        <v>0</v>
      </c>
      <c r="K210" s="201">
        <f t="shared" si="22"/>
        <v>0</v>
      </c>
      <c r="L210" s="190">
        <v>451</v>
      </c>
      <c r="M210" s="201">
        <f t="shared" si="23"/>
        <v>1.0276679841897234</v>
      </c>
      <c r="N210" s="190">
        <v>347.2700000000014</v>
      </c>
      <c r="O210" s="189">
        <v>0.3</v>
      </c>
      <c r="P210" s="191">
        <v>1.0779734099892203E-2</v>
      </c>
      <c r="Q210" s="250">
        <v>135.29999999999998</v>
      </c>
      <c r="R210" s="189">
        <v>0.47000000000000314</v>
      </c>
      <c r="S210" s="191">
        <v>1.688825008983123E-2</v>
      </c>
      <c r="T210" s="189" t="s">
        <v>483</v>
      </c>
      <c r="U210" s="189" t="s">
        <v>416</v>
      </c>
      <c r="V210" s="189"/>
      <c r="W210" s="196">
        <v>1</v>
      </c>
      <c r="X210" s="189" t="s">
        <v>284</v>
      </c>
    </row>
    <row r="211" spans="2:24">
      <c r="B211" s="531"/>
      <c r="C211" s="531"/>
      <c r="D211" s="200">
        <v>105</v>
      </c>
      <c r="E211" s="189" t="s">
        <v>499</v>
      </c>
      <c r="F211" s="190">
        <v>200.44500000000048</v>
      </c>
      <c r="G211" s="189">
        <v>13.324999999999999</v>
      </c>
      <c r="H211" s="189">
        <v>14.3</v>
      </c>
      <c r="I211" s="201">
        <f t="shared" si="21"/>
        <v>1.0731707317073171</v>
      </c>
      <c r="J211" s="189">
        <v>0</v>
      </c>
      <c r="K211" s="201">
        <f t="shared" si="22"/>
        <v>0</v>
      </c>
      <c r="L211" s="190">
        <v>348.6</v>
      </c>
      <c r="M211" s="201">
        <f t="shared" si="23"/>
        <v>1.0731707317073171</v>
      </c>
      <c r="N211" s="190">
        <v>339.8850000000005</v>
      </c>
      <c r="O211" s="189">
        <v>0.4</v>
      </c>
      <c r="P211" s="191">
        <v>3.0018761726078803E-2</v>
      </c>
      <c r="Q211" s="250">
        <v>139.44000000000003</v>
      </c>
      <c r="R211" s="189">
        <v>0.5750000000000014</v>
      </c>
      <c r="S211" s="191">
        <v>4.3151969981238381E-2</v>
      </c>
      <c r="T211" s="189" t="s">
        <v>494</v>
      </c>
      <c r="U211" s="189" t="s">
        <v>500</v>
      </c>
      <c r="V211" s="189"/>
      <c r="W211" s="196">
        <v>1</v>
      </c>
      <c r="X211" s="189" t="s">
        <v>266</v>
      </c>
    </row>
    <row r="212" spans="2:24">
      <c r="B212" s="531"/>
      <c r="C212" s="531"/>
      <c r="D212" s="200">
        <v>106</v>
      </c>
      <c r="E212" s="189" t="s">
        <v>599</v>
      </c>
      <c r="F212" s="190">
        <v>185.59999999999985</v>
      </c>
      <c r="G212" s="189">
        <v>0.53600000000000003</v>
      </c>
      <c r="H212" s="189">
        <v>0.6</v>
      </c>
      <c r="I212" s="201">
        <f t="shared" si="21"/>
        <v>1.1194029850746268</v>
      </c>
      <c r="J212" s="189">
        <v>0</v>
      </c>
      <c r="K212" s="201">
        <f t="shared" si="22"/>
        <v>0</v>
      </c>
      <c r="L212" s="190">
        <v>2900</v>
      </c>
      <c r="M212" s="201">
        <f t="shared" si="23"/>
        <v>1.1194029850746268</v>
      </c>
      <c r="N212" s="190">
        <v>185.59999999999985</v>
      </c>
      <c r="O212" s="189">
        <v>0</v>
      </c>
      <c r="P212" s="191">
        <v>0</v>
      </c>
      <c r="Q212" s="250">
        <v>0</v>
      </c>
      <c r="R212" s="189">
        <v>6.3999999999999946E-2</v>
      </c>
      <c r="S212" s="191">
        <v>0.11940298507462675</v>
      </c>
      <c r="T212" s="189" t="s">
        <v>486</v>
      </c>
      <c r="U212" s="189" t="s">
        <v>490</v>
      </c>
      <c r="V212" s="189"/>
      <c r="W212" s="196">
        <v>1</v>
      </c>
      <c r="X212" s="189" t="s">
        <v>309</v>
      </c>
    </row>
    <row r="213" spans="2:24">
      <c r="B213" s="531"/>
      <c r="C213" s="531"/>
      <c r="D213" s="200">
        <v>107</v>
      </c>
      <c r="E213" s="189" t="s">
        <v>532</v>
      </c>
      <c r="F213" s="190">
        <v>182.43960000000027</v>
      </c>
      <c r="G213" s="189">
        <v>16.62</v>
      </c>
      <c r="H213" s="189">
        <v>17.100000000000001</v>
      </c>
      <c r="I213" s="201">
        <f t="shared" si="21"/>
        <v>1.0288808664259927</v>
      </c>
      <c r="J213" s="189">
        <v>0</v>
      </c>
      <c r="K213" s="201">
        <f t="shared" si="22"/>
        <v>0</v>
      </c>
      <c r="L213" s="190">
        <v>651.57000000000005</v>
      </c>
      <c r="M213" s="201">
        <f t="shared" si="23"/>
        <v>1.0288808664259927</v>
      </c>
      <c r="N213" s="190">
        <v>312.75360000000029</v>
      </c>
      <c r="O213" s="189">
        <v>0.2</v>
      </c>
      <c r="P213" s="191">
        <v>1.2033694344163659E-2</v>
      </c>
      <c r="Q213" s="250">
        <v>130.31400000000002</v>
      </c>
      <c r="R213" s="189">
        <v>0.28000000000000042</v>
      </c>
      <c r="S213" s="191">
        <v>1.6847172081829145E-2</v>
      </c>
      <c r="T213" s="189" t="s">
        <v>483</v>
      </c>
      <c r="U213" s="189" t="s">
        <v>416</v>
      </c>
      <c r="V213" s="189"/>
      <c r="W213" s="196">
        <v>1</v>
      </c>
      <c r="X213" s="189" t="s">
        <v>533</v>
      </c>
    </row>
    <row r="214" spans="2:24">
      <c r="B214" s="531"/>
      <c r="C214" s="531"/>
      <c r="D214" s="200">
        <v>108</v>
      </c>
      <c r="E214" s="189" t="s">
        <v>433</v>
      </c>
      <c r="F214" s="190">
        <v>177.94867999999792</v>
      </c>
      <c r="G214" s="189">
        <v>45.968000000000004</v>
      </c>
      <c r="H214" s="189">
        <v>46.8</v>
      </c>
      <c r="I214" s="201">
        <f t="shared" si="21"/>
        <v>1.0180995475113122</v>
      </c>
      <c r="J214" s="189">
        <v>0</v>
      </c>
      <c r="K214" s="201">
        <f t="shared" si="22"/>
        <v>0</v>
      </c>
      <c r="L214" s="190">
        <v>334.49</v>
      </c>
      <c r="M214" s="201">
        <f t="shared" si="23"/>
        <v>1.0180995475113122</v>
      </c>
      <c r="N214" s="190">
        <v>278.2956799999979</v>
      </c>
      <c r="O214" s="189">
        <v>0.3</v>
      </c>
      <c r="P214" s="191">
        <v>6.5262791507135392E-3</v>
      </c>
      <c r="Q214" s="250">
        <v>100.34699999999999</v>
      </c>
      <c r="R214" s="189">
        <v>0.53199999999999359</v>
      </c>
      <c r="S214" s="191">
        <v>1.1573268360598537E-2</v>
      </c>
      <c r="T214" s="189" t="s">
        <v>483</v>
      </c>
      <c r="U214" s="189" t="s">
        <v>416</v>
      </c>
      <c r="V214" s="189"/>
      <c r="W214" s="196">
        <v>1</v>
      </c>
      <c r="X214" s="189" t="s">
        <v>278</v>
      </c>
    </row>
    <row r="215" spans="2:24">
      <c r="B215" s="531"/>
      <c r="C215" s="531"/>
      <c r="D215" s="200">
        <v>109</v>
      </c>
      <c r="E215" s="189" t="s">
        <v>559</v>
      </c>
      <c r="F215" s="190">
        <v>177.85919999999999</v>
      </c>
      <c r="G215" s="189">
        <v>6.72</v>
      </c>
      <c r="H215" s="189">
        <v>7.6</v>
      </c>
      <c r="I215" s="201">
        <f t="shared" si="21"/>
        <v>1.1309523809523809</v>
      </c>
      <c r="J215" s="189">
        <v>0</v>
      </c>
      <c r="K215" s="201">
        <f t="shared" si="22"/>
        <v>0</v>
      </c>
      <c r="L215" s="190">
        <v>370.54</v>
      </c>
      <c r="M215" s="201">
        <f t="shared" si="23"/>
        <v>1.1309523809523809</v>
      </c>
      <c r="N215" s="190">
        <v>326.0752</v>
      </c>
      <c r="O215" s="189">
        <v>0.4</v>
      </c>
      <c r="P215" s="191">
        <v>5.9523809523809527E-2</v>
      </c>
      <c r="Q215" s="250">
        <v>148.21600000000001</v>
      </c>
      <c r="R215" s="189">
        <v>0.47999999999999987</v>
      </c>
      <c r="S215" s="191">
        <v>7.1428571428571411E-2</v>
      </c>
      <c r="T215" s="189" t="s">
        <v>494</v>
      </c>
      <c r="U215" s="189" t="s">
        <v>495</v>
      </c>
      <c r="V215" s="189"/>
      <c r="W215" s="196">
        <v>1</v>
      </c>
      <c r="X215" s="189" t="s">
        <v>228</v>
      </c>
    </row>
    <row r="216" spans="2:24">
      <c r="B216" s="531"/>
      <c r="C216" s="531"/>
      <c r="D216" s="200">
        <v>110</v>
      </c>
      <c r="E216" s="189" t="s">
        <v>521</v>
      </c>
      <c r="F216" s="190">
        <v>176.64527999999996</v>
      </c>
      <c r="G216" s="189">
        <v>31.463999999999999</v>
      </c>
      <c r="H216" s="189">
        <v>31.9</v>
      </c>
      <c r="I216" s="201">
        <f t="shared" si="21"/>
        <v>1.0138571065344522</v>
      </c>
      <c r="J216" s="189">
        <v>0</v>
      </c>
      <c r="K216" s="201">
        <f t="shared" si="22"/>
        <v>0</v>
      </c>
      <c r="L216" s="190">
        <v>525.73</v>
      </c>
      <c r="M216" s="201">
        <f t="shared" si="23"/>
        <v>1.0138571065344522</v>
      </c>
      <c r="N216" s="190">
        <v>229.21827999999996</v>
      </c>
      <c r="O216" s="189">
        <v>0.1</v>
      </c>
      <c r="P216" s="191">
        <v>3.1782354436816684E-3</v>
      </c>
      <c r="Q216" s="250">
        <v>52.573000000000008</v>
      </c>
      <c r="R216" s="189">
        <v>0.33599999999999997</v>
      </c>
      <c r="S216" s="191">
        <v>1.0678871090770403E-2</v>
      </c>
      <c r="T216" s="189" t="s">
        <v>486</v>
      </c>
      <c r="U216" s="189" t="s">
        <v>435</v>
      </c>
      <c r="V216" s="189"/>
      <c r="W216" s="196">
        <v>1</v>
      </c>
      <c r="X216" s="189" t="s">
        <v>285</v>
      </c>
    </row>
    <row r="217" spans="2:24">
      <c r="B217" s="533">
        <v>45891</v>
      </c>
      <c r="C217" s="531" t="s">
        <v>156</v>
      </c>
      <c r="D217" s="200">
        <v>111</v>
      </c>
      <c r="E217" s="189" t="s">
        <v>429</v>
      </c>
      <c r="F217" s="190">
        <v>293.21838000000093</v>
      </c>
      <c r="G217" s="189">
        <v>237.858</v>
      </c>
      <c r="H217" s="189">
        <v>240.8</v>
      </c>
      <c r="I217" s="201">
        <f t="shared" si="21"/>
        <v>1.0123687241967898</v>
      </c>
      <c r="J217" s="189">
        <v>0</v>
      </c>
      <c r="K217" s="201">
        <f t="shared" si="22"/>
        <v>0</v>
      </c>
      <c r="L217" s="190">
        <v>136.88999999999999</v>
      </c>
      <c r="M217" s="201">
        <f t="shared" si="23"/>
        <v>1.0123687241967898</v>
      </c>
      <c r="N217" s="190">
        <v>402.73038000000093</v>
      </c>
      <c r="O217" s="189">
        <v>0.8</v>
      </c>
      <c r="P217" s="191">
        <v>3.3633512431787034E-3</v>
      </c>
      <c r="Q217" s="250">
        <v>109.512</v>
      </c>
      <c r="R217" s="189">
        <v>2.1420000000000075</v>
      </c>
      <c r="S217" s="191">
        <v>9.0053729536110089E-3</v>
      </c>
      <c r="T217" s="189" t="s">
        <v>486</v>
      </c>
      <c r="U217" s="189" t="s">
        <v>426</v>
      </c>
      <c r="V217" s="189"/>
      <c r="W217" s="196">
        <v>1</v>
      </c>
      <c r="X217" s="189" t="s">
        <v>417</v>
      </c>
    </row>
    <row r="218" spans="2:24">
      <c r="B218" s="531"/>
      <c r="C218" s="531"/>
      <c r="D218" s="200">
        <v>112</v>
      </c>
      <c r="E218" s="189" t="s">
        <v>599</v>
      </c>
      <c r="F218" s="190">
        <v>231.41999999999996</v>
      </c>
      <c r="G218" s="189">
        <v>0.42020000000000002</v>
      </c>
      <c r="H218" s="189">
        <v>0.5</v>
      </c>
      <c r="I218" s="201">
        <f t="shared" si="21"/>
        <v>1.1899095668729176</v>
      </c>
      <c r="J218" s="189">
        <v>0</v>
      </c>
      <c r="K218" s="201">
        <f t="shared" si="22"/>
        <v>0</v>
      </c>
      <c r="L218" s="190">
        <v>2900</v>
      </c>
      <c r="M218" s="201">
        <f t="shared" si="23"/>
        <v>1.1899095668729176</v>
      </c>
      <c r="N218" s="190">
        <v>231.41999999999996</v>
      </c>
      <c r="O218" s="189">
        <v>0</v>
      </c>
      <c r="P218" s="191">
        <v>0</v>
      </c>
      <c r="Q218" s="250">
        <v>0</v>
      </c>
      <c r="R218" s="189">
        <v>7.9799999999999982E-2</v>
      </c>
      <c r="S218" s="191">
        <v>0.1899095668729176</v>
      </c>
      <c r="T218" s="189" t="s">
        <v>486</v>
      </c>
      <c r="U218" s="189" t="s">
        <v>490</v>
      </c>
      <c r="V218" s="189"/>
      <c r="W218" s="196">
        <v>1</v>
      </c>
      <c r="X218" s="189" t="s">
        <v>309</v>
      </c>
    </row>
    <row r="219" spans="2:24">
      <c r="B219" s="531"/>
      <c r="C219" s="531"/>
      <c r="D219" s="200">
        <v>113</v>
      </c>
      <c r="E219" s="189" t="s">
        <v>418</v>
      </c>
      <c r="F219" s="190">
        <v>231.05717999999283</v>
      </c>
      <c r="G219" s="189">
        <v>139.84700000000001</v>
      </c>
      <c r="H219" s="189">
        <v>140.6</v>
      </c>
      <c r="I219" s="201">
        <f t="shared" si="21"/>
        <v>1.0053844558696288</v>
      </c>
      <c r="J219" s="189">
        <v>0</v>
      </c>
      <c r="K219" s="201">
        <f t="shared" si="22"/>
        <v>0</v>
      </c>
      <c r="L219" s="190">
        <v>510.06</v>
      </c>
      <c r="M219" s="201">
        <f t="shared" si="23"/>
        <v>1.0053844558696288</v>
      </c>
      <c r="N219" s="190">
        <v>384.07517999999283</v>
      </c>
      <c r="O219" s="189">
        <v>0.3</v>
      </c>
      <c r="P219" s="191">
        <v>2.1452015416848409E-3</v>
      </c>
      <c r="Q219" s="250">
        <v>153.018</v>
      </c>
      <c r="R219" s="189">
        <v>0.45299999999998591</v>
      </c>
      <c r="S219" s="191">
        <v>3.2392543279440096E-3</v>
      </c>
      <c r="T219" s="189" t="s">
        <v>486</v>
      </c>
      <c r="U219" s="189" t="s">
        <v>435</v>
      </c>
      <c r="V219" s="189"/>
      <c r="W219" s="196">
        <v>1</v>
      </c>
      <c r="X219" s="189" t="s">
        <v>417</v>
      </c>
    </row>
    <row r="220" spans="2:24">
      <c r="B220" s="531"/>
      <c r="C220" s="531"/>
      <c r="D220" s="200">
        <v>114</v>
      </c>
      <c r="E220" s="189" t="s">
        <v>521</v>
      </c>
      <c r="F220" s="190">
        <v>227.11535999999967</v>
      </c>
      <c r="G220" s="189">
        <v>29.568000000000001</v>
      </c>
      <c r="H220" s="189">
        <v>30.3</v>
      </c>
      <c r="I220" s="201">
        <f t="shared" si="21"/>
        <v>1.0247564935064934</v>
      </c>
      <c r="J220" s="189">
        <v>0</v>
      </c>
      <c r="K220" s="201">
        <f t="shared" si="22"/>
        <v>0</v>
      </c>
      <c r="L220" s="190">
        <v>525.73</v>
      </c>
      <c r="M220" s="201">
        <f t="shared" si="23"/>
        <v>1.0247564935064934</v>
      </c>
      <c r="N220" s="190">
        <v>384.83435999999966</v>
      </c>
      <c r="O220" s="189">
        <v>0.3</v>
      </c>
      <c r="P220" s="191">
        <v>1.0146103896103896E-2</v>
      </c>
      <c r="Q220" s="250">
        <v>157.71899999999999</v>
      </c>
      <c r="R220" s="189">
        <v>0.43199999999999933</v>
      </c>
      <c r="S220" s="191">
        <v>1.4610389610389588E-2</v>
      </c>
      <c r="T220" s="189" t="s">
        <v>486</v>
      </c>
      <c r="U220" s="189" t="s">
        <v>435</v>
      </c>
      <c r="V220" s="189"/>
      <c r="W220" s="196">
        <v>1</v>
      </c>
      <c r="X220" s="189" t="s">
        <v>285</v>
      </c>
    </row>
    <row r="221" spans="2:24">
      <c r="B221" s="531"/>
      <c r="C221" s="531"/>
      <c r="D221" s="200">
        <v>115</v>
      </c>
      <c r="E221" s="189" t="s">
        <v>440</v>
      </c>
      <c r="F221" s="190">
        <v>209.9833599999987</v>
      </c>
      <c r="G221" s="189">
        <v>28.728000000000002</v>
      </c>
      <c r="H221" s="189">
        <v>29.4</v>
      </c>
      <c r="I221" s="201">
        <f t="shared" si="21"/>
        <v>1.0233918128654971</v>
      </c>
      <c r="J221" s="189">
        <v>0</v>
      </c>
      <c r="K221" s="201">
        <f t="shared" si="22"/>
        <v>0</v>
      </c>
      <c r="L221" s="190">
        <v>444.88</v>
      </c>
      <c r="M221" s="201">
        <f t="shared" si="23"/>
        <v>1.0233918128654971</v>
      </c>
      <c r="N221" s="190">
        <v>298.9593599999987</v>
      </c>
      <c r="O221" s="189">
        <v>0.2</v>
      </c>
      <c r="P221" s="191">
        <v>6.9618490671122246E-3</v>
      </c>
      <c r="Q221" s="250">
        <v>88.975999999999999</v>
      </c>
      <c r="R221" s="189">
        <v>0.47199999999999703</v>
      </c>
      <c r="S221" s="191">
        <v>1.6429963798384746E-2</v>
      </c>
      <c r="T221" s="189" t="s">
        <v>486</v>
      </c>
      <c r="U221" s="189" t="s">
        <v>435</v>
      </c>
      <c r="V221" s="189"/>
      <c r="W221" s="196">
        <v>1</v>
      </c>
      <c r="X221" s="189" t="s">
        <v>286</v>
      </c>
    </row>
    <row r="222" spans="2:24">
      <c r="B222" s="531"/>
      <c r="C222" s="531"/>
      <c r="D222" s="200">
        <v>116</v>
      </c>
      <c r="E222" s="189" t="s">
        <v>557</v>
      </c>
      <c r="F222" s="190">
        <v>204.2629399999999</v>
      </c>
      <c r="G222" s="189">
        <v>17.341999999999999</v>
      </c>
      <c r="H222" s="189">
        <v>18.399999999999999</v>
      </c>
      <c r="I222" s="201">
        <f t="shared" si="21"/>
        <v>1.0610079575596818</v>
      </c>
      <c r="J222" s="189">
        <v>0</v>
      </c>
      <c r="K222" s="201">
        <f t="shared" si="22"/>
        <v>0</v>
      </c>
      <c r="L222" s="190">
        <v>310.43</v>
      </c>
      <c r="M222" s="201">
        <f t="shared" si="23"/>
        <v>1.0610079575596818</v>
      </c>
      <c r="N222" s="190">
        <v>328.43493999999993</v>
      </c>
      <c r="O222" s="189">
        <v>0.4</v>
      </c>
      <c r="P222" s="191">
        <v>2.3065390381732213E-2</v>
      </c>
      <c r="Q222" s="250">
        <v>124.17200000000001</v>
      </c>
      <c r="R222" s="189">
        <v>0.65799999999999981</v>
      </c>
      <c r="S222" s="191">
        <v>3.7942567177949478E-2</v>
      </c>
      <c r="T222" s="189" t="s">
        <v>486</v>
      </c>
      <c r="U222" s="189" t="s">
        <v>426</v>
      </c>
      <c r="V222" s="189"/>
      <c r="W222" s="196">
        <v>1</v>
      </c>
      <c r="X222" s="189" t="s">
        <v>270</v>
      </c>
    </row>
    <row r="223" spans="2:24">
      <c r="B223" s="531"/>
      <c r="C223" s="531"/>
      <c r="D223" s="200">
        <v>117</v>
      </c>
      <c r="E223" s="189" t="s">
        <v>438</v>
      </c>
      <c r="F223" s="190">
        <v>194.25389999999973</v>
      </c>
      <c r="G223" s="189">
        <v>53.59</v>
      </c>
      <c r="H223" s="189">
        <v>54.2</v>
      </c>
      <c r="I223" s="201">
        <f t="shared" si="21"/>
        <v>1.0113827206568389</v>
      </c>
      <c r="J223" s="189">
        <v>0</v>
      </c>
      <c r="K223" s="201">
        <f t="shared" si="22"/>
        <v>0</v>
      </c>
      <c r="L223" s="190">
        <v>473.79</v>
      </c>
      <c r="M223" s="201">
        <f t="shared" si="23"/>
        <v>1.0113827206568389</v>
      </c>
      <c r="N223" s="190">
        <v>289.01189999999974</v>
      </c>
      <c r="O223" s="189">
        <v>0.2</v>
      </c>
      <c r="P223" s="191">
        <v>3.7320395596193321E-3</v>
      </c>
      <c r="Q223" s="250">
        <v>94.75800000000001</v>
      </c>
      <c r="R223" s="189">
        <v>0.40999999999999942</v>
      </c>
      <c r="S223" s="191">
        <v>7.650681097219619E-3</v>
      </c>
      <c r="T223" s="189" t="s">
        <v>486</v>
      </c>
      <c r="U223" s="189" t="s">
        <v>435</v>
      </c>
      <c r="V223" s="189"/>
      <c r="W223" s="196">
        <v>1</v>
      </c>
      <c r="X223" s="189" t="s">
        <v>417</v>
      </c>
    </row>
    <row r="224" spans="2:24">
      <c r="B224" s="531"/>
      <c r="C224" s="531"/>
      <c r="D224" s="200">
        <v>118</v>
      </c>
      <c r="E224" s="189" t="s">
        <v>600</v>
      </c>
      <c r="F224" s="190">
        <v>184.50269999999995</v>
      </c>
      <c r="G224" s="189">
        <v>22.77</v>
      </c>
      <c r="H224" s="189">
        <v>24.2</v>
      </c>
      <c r="I224" s="201">
        <f t="shared" si="21"/>
        <v>1.0628019323671498</v>
      </c>
      <c r="J224" s="189">
        <v>0</v>
      </c>
      <c r="K224" s="201">
        <f t="shared" si="22"/>
        <v>0</v>
      </c>
      <c r="L224" s="190">
        <v>198.39</v>
      </c>
      <c r="M224" s="201">
        <f t="shared" si="23"/>
        <v>1.0628019323671498</v>
      </c>
      <c r="N224" s="190">
        <v>283.69769999999994</v>
      </c>
      <c r="O224" s="189">
        <v>0.5</v>
      </c>
      <c r="P224" s="191">
        <v>2.1958717610891524E-2</v>
      </c>
      <c r="Q224" s="250">
        <v>99.194999999999993</v>
      </c>
      <c r="R224" s="189">
        <v>0.92999999999999972</v>
      </c>
      <c r="S224" s="191">
        <v>4.0843214756258225E-2</v>
      </c>
      <c r="T224" s="189" t="s">
        <v>514</v>
      </c>
      <c r="U224" s="189" t="s">
        <v>400</v>
      </c>
      <c r="V224" s="189"/>
      <c r="W224" s="196">
        <v>1</v>
      </c>
      <c r="X224" s="189" t="s">
        <v>231</v>
      </c>
    </row>
    <row r="225" spans="2:24">
      <c r="B225" s="531"/>
      <c r="C225" s="531"/>
      <c r="D225" s="200">
        <v>119</v>
      </c>
      <c r="E225" s="189" t="s">
        <v>554</v>
      </c>
      <c r="F225" s="190">
        <v>179.07235000000026</v>
      </c>
      <c r="G225" s="189">
        <v>104.295</v>
      </c>
      <c r="H225" s="189">
        <v>105.7</v>
      </c>
      <c r="I225" s="201">
        <f t="shared" si="21"/>
        <v>1.0134714032312191</v>
      </c>
      <c r="J225" s="189">
        <v>0</v>
      </c>
      <c r="K225" s="201">
        <f t="shared" si="22"/>
        <v>0</v>
      </c>
      <c r="L225" s="190">
        <v>197.87</v>
      </c>
      <c r="M225" s="201">
        <f t="shared" si="23"/>
        <v>1.0134714032312191</v>
      </c>
      <c r="N225" s="190">
        <v>278.00735000000026</v>
      </c>
      <c r="O225" s="189">
        <v>0.5</v>
      </c>
      <c r="P225" s="191">
        <v>4.7940936765904409E-3</v>
      </c>
      <c r="Q225" s="250">
        <v>98.935000000000002</v>
      </c>
      <c r="R225" s="189">
        <v>0.90500000000000114</v>
      </c>
      <c r="S225" s="191">
        <v>8.6773095546287086E-3</v>
      </c>
      <c r="T225" s="189" t="s">
        <v>494</v>
      </c>
      <c r="U225" s="189" t="s">
        <v>495</v>
      </c>
      <c r="V225" s="189"/>
      <c r="W225" s="196">
        <v>1</v>
      </c>
      <c r="X225" s="189" t="s">
        <v>555</v>
      </c>
    </row>
    <row r="226" spans="2:24">
      <c r="B226" s="531"/>
      <c r="C226" s="531"/>
      <c r="D226" s="200">
        <v>120</v>
      </c>
      <c r="E226" s="189" t="s">
        <v>489</v>
      </c>
      <c r="F226" s="190">
        <v>176.83579999999984</v>
      </c>
      <c r="G226" s="189">
        <v>27.943999999999999</v>
      </c>
      <c r="H226" s="189">
        <v>28.9</v>
      </c>
      <c r="I226" s="201">
        <f t="shared" si="21"/>
        <v>1.0342112797022616</v>
      </c>
      <c r="J226" s="189">
        <v>0</v>
      </c>
      <c r="K226" s="201">
        <f t="shared" si="22"/>
        <v>0</v>
      </c>
      <c r="L226" s="190">
        <v>318.05</v>
      </c>
      <c r="M226" s="201">
        <f t="shared" si="23"/>
        <v>1.0342112797022616</v>
      </c>
      <c r="N226" s="190">
        <v>304.05579999999986</v>
      </c>
      <c r="O226" s="189">
        <v>0.4</v>
      </c>
      <c r="P226" s="191">
        <v>1.4314342971657602E-2</v>
      </c>
      <c r="Q226" s="250">
        <v>127.22000000000001</v>
      </c>
      <c r="R226" s="189">
        <v>0.55599999999999949</v>
      </c>
      <c r="S226" s="191">
        <v>1.9896936730604046E-2</v>
      </c>
      <c r="T226" s="189" t="s">
        <v>486</v>
      </c>
      <c r="U226" s="189" t="s">
        <v>426</v>
      </c>
      <c r="V226" s="189"/>
      <c r="W226" s="196">
        <v>1</v>
      </c>
      <c r="X226" s="189" t="s">
        <v>303</v>
      </c>
    </row>
    <row r="227" spans="2:24">
      <c r="B227" s="533">
        <v>45892</v>
      </c>
      <c r="C227" s="531" t="s">
        <v>157</v>
      </c>
      <c r="D227" s="200">
        <v>121</v>
      </c>
      <c r="E227" s="189" t="s">
        <v>504</v>
      </c>
      <c r="F227" s="190">
        <v>293.06339999999921</v>
      </c>
      <c r="G227" s="189">
        <v>13.585000000000001</v>
      </c>
      <c r="H227" s="189">
        <v>14</v>
      </c>
      <c r="I227" s="201">
        <f t="shared" si="21"/>
        <v>1.0305483989694515</v>
      </c>
      <c r="J227" s="189">
        <v>0</v>
      </c>
      <c r="K227" s="201">
        <f t="shared" si="22"/>
        <v>0</v>
      </c>
      <c r="L227" s="190">
        <v>930.36</v>
      </c>
      <c r="M227" s="201">
        <f t="shared" si="23"/>
        <v>1.0305483989694515</v>
      </c>
      <c r="N227" s="190">
        <v>386.09939999999921</v>
      </c>
      <c r="O227" s="189">
        <v>0.1</v>
      </c>
      <c r="P227" s="191">
        <v>7.3610599926389403E-3</v>
      </c>
      <c r="Q227" s="250">
        <v>93.036000000000001</v>
      </c>
      <c r="R227" s="189">
        <v>0.31499999999999917</v>
      </c>
      <c r="S227" s="191">
        <v>2.3187338976812598E-2</v>
      </c>
      <c r="T227" s="189" t="s">
        <v>486</v>
      </c>
      <c r="U227" s="189" t="s">
        <v>426</v>
      </c>
      <c r="V227" s="189"/>
      <c r="W227" s="196">
        <v>1</v>
      </c>
      <c r="X227" s="189" t="s">
        <v>271</v>
      </c>
    </row>
    <row r="228" spans="2:24">
      <c r="B228" s="531"/>
      <c r="C228" s="531"/>
      <c r="D228" s="200">
        <v>122</v>
      </c>
      <c r="E228" s="189" t="s">
        <v>597</v>
      </c>
      <c r="F228" s="190">
        <v>257.31600000000014</v>
      </c>
      <c r="G228" s="189">
        <v>6.585</v>
      </c>
      <c r="H228" s="189">
        <v>7.4</v>
      </c>
      <c r="I228" s="201">
        <f t="shared" si="21"/>
        <v>1.1237661351556569</v>
      </c>
      <c r="J228" s="189">
        <v>0</v>
      </c>
      <c r="K228" s="201">
        <f t="shared" si="22"/>
        <v>0</v>
      </c>
      <c r="L228" s="190">
        <v>418.4</v>
      </c>
      <c r="M228" s="201">
        <f t="shared" si="23"/>
        <v>1.1237661351556569</v>
      </c>
      <c r="N228" s="190">
        <v>340.99600000000015</v>
      </c>
      <c r="O228" s="189">
        <v>0.2</v>
      </c>
      <c r="P228" s="191">
        <v>3.0372057706909646E-2</v>
      </c>
      <c r="Q228" s="250">
        <v>83.68</v>
      </c>
      <c r="R228" s="189">
        <v>0.61500000000000044</v>
      </c>
      <c r="S228" s="191">
        <v>9.3394077448747226E-2</v>
      </c>
      <c r="T228" s="189" t="s">
        <v>494</v>
      </c>
      <c r="U228" s="189" t="s">
        <v>495</v>
      </c>
      <c r="V228" s="189"/>
      <c r="W228" s="196">
        <v>1</v>
      </c>
      <c r="X228" s="189" t="s">
        <v>598</v>
      </c>
    </row>
    <row r="229" spans="2:24">
      <c r="B229" s="531"/>
      <c r="C229" s="531"/>
      <c r="D229" s="200">
        <v>123</v>
      </c>
      <c r="E229" s="189" t="s">
        <v>582</v>
      </c>
      <c r="F229" s="190">
        <v>242.07360000000455</v>
      </c>
      <c r="G229" s="189">
        <v>64.959999999999994</v>
      </c>
      <c r="H229" s="189">
        <v>65.900000000000006</v>
      </c>
      <c r="I229" s="201">
        <f t="shared" si="21"/>
        <v>1.0144704433497538</v>
      </c>
      <c r="J229" s="189">
        <v>0</v>
      </c>
      <c r="K229" s="201">
        <f t="shared" si="22"/>
        <v>0</v>
      </c>
      <c r="L229" s="190">
        <v>378.24</v>
      </c>
      <c r="M229" s="201">
        <f t="shared" si="23"/>
        <v>1.0144704433497538</v>
      </c>
      <c r="N229" s="190">
        <v>355.54560000000453</v>
      </c>
      <c r="O229" s="189">
        <v>0.3</v>
      </c>
      <c r="P229" s="191">
        <v>4.6182266009852221E-3</v>
      </c>
      <c r="Q229" s="250">
        <v>113.47199999999999</v>
      </c>
      <c r="R229" s="189">
        <v>0.64000000000001189</v>
      </c>
      <c r="S229" s="191">
        <v>9.8522167487686569E-3</v>
      </c>
      <c r="T229" s="189" t="s">
        <v>483</v>
      </c>
      <c r="U229" s="189" t="s">
        <v>416</v>
      </c>
      <c r="V229" s="189"/>
      <c r="W229" s="196">
        <v>1</v>
      </c>
      <c r="X229" s="189" t="s">
        <v>232</v>
      </c>
    </row>
    <row r="230" spans="2:24">
      <c r="B230" s="531"/>
      <c r="C230" s="531"/>
      <c r="D230" s="200">
        <v>124</v>
      </c>
      <c r="E230" s="189" t="s">
        <v>418</v>
      </c>
      <c r="F230" s="190">
        <v>239.21814000000276</v>
      </c>
      <c r="G230" s="189">
        <v>131.23099999999999</v>
      </c>
      <c r="H230" s="189">
        <v>132</v>
      </c>
      <c r="I230" s="201">
        <f t="shared" si="21"/>
        <v>1.005859895908741</v>
      </c>
      <c r="J230" s="189">
        <v>0</v>
      </c>
      <c r="K230" s="201">
        <f t="shared" si="22"/>
        <v>0</v>
      </c>
      <c r="L230" s="190">
        <v>510.06</v>
      </c>
      <c r="M230" s="201">
        <f t="shared" si="23"/>
        <v>1.005859895908741</v>
      </c>
      <c r="N230" s="190">
        <v>392.23614000000276</v>
      </c>
      <c r="O230" s="189">
        <v>0.3</v>
      </c>
      <c r="P230" s="191">
        <v>2.2860452179744115E-3</v>
      </c>
      <c r="Q230" s="250">
        <v>153.018</v>
      </c>
      <c r="R230" s="189">
        <v>0.46900000000000547</v>
      </c>
      <c r="S230" s="191">
        <v>3.5738506907667051E-3</v>
      </c>
      <c r="T230" s="189" t="s">
        <v>486</v>
      </c>
      <c r="U230" s="189" t="s">
        <v>435</v>
      </c>
      <c r="V230" s="189"/>
      <c r="W230" s="196">
        <v>1</v>
      </c>
      <c r="X230" s="189" t="s">
        <v>417</v>
      </c>
    </row>
    <row r="231" spans="2:24">
      <c r="B231" s="531"/>
      <c r="C231" s="531"/>
      <c r="D231" s="200">
        <v>125</v>
      </c>
      <c r="E231" s="189" t="s">
        <v>429</v>
      </c>
      <c r="F231" s="190">
        <v>230.24897999999598</v>
      </c>
      <c r="G231" s="189">
        <v>258.71800000000002</v>
      </c>
      <c r="H231" s="189">
        <v>261.2</v>
      </c>
      <c r="I231" s="201">
        <f t="shared" si="21"/>
        <v>1.0095934569685912</v>
      </c>
      <c r="J231" s="189">
        <v>0</v>
      </c>
      <c r="K231" s="201">
        <f t="shared" si="22"/>
        <v>0</v>
      </c>
      <c r="L231" s="190">
        <v>136.88999999999999</v>
      </c>
      <c r="M231" s="201">
        <f t="shared" si="23"/>
        <v>1.0095934569685912</v>
      </c>
      <c r="N231" s="190">
        <v>339.76097999999598</v>
      </c>
      <c r="O231" s="189">
        <v>0.8</v>
      </c>
      <c r="P231" s="191">
        <v>3.0921698528900191E-3</v>
      </c>
      <c r="Q231" s="250">
        <v>109.512</v>
      </c>
      <c r="R231" s="189">
        <v>1.6819999999999709</v>
      </c>
      <c r="S231" s="191">
        <v>6.5012871157011523E-3</v>
      </c>
      <c r="T231" s="189" t="s">
        <v>486</v>
      </c>
      <c r="U231" s="189" t="s">
        <v>426</v>
      </c>
      <c r="V231" s="189"/>
      <c r="W231" s="196">
        <v>1</v>
      </c>
      <c r="X231" s="189" t="s">
        <v>417</v>
      </c>
    </row>
    <row r="232" spans="2:24">
      <c r="B232" s="531"/>
      <c r="C232" s="531"/>
      <c r="D232" s="200">
        <v>126</v>
      </c>
      <c r="E232" s="189" t="s">
        <v>557</v>
      </c>
      <c r="F232" s="190">
        <v>219.47400999999979</v>
      </c>
      <c r="G232" s="189">
        <v>20.792999999999999</v>
      </c>
      <c r="H232" s="189">
        <v>21.9</v>
      </c>
      <c r="I232" s="201">
        <f t="shared" si="21"/>
        <v>1.0532390708411485</v>
      </c>
      <c r="J232" s="189">
        <v>0</v>
      </c>
      <c r="K232" s="201">
        <f t="shared" si="22"/>
        <v>0</v>
      </c>
      <c r="L232" s="190">
        <v>310.43</v>
      </c>
      <c r="M232" s="201">
        <f t="shared" si="23"/>
        <v>1.0532390708411485</v>
      </c>
      <c r="N232" s="190">
        <v>343.64600999999982</v>
      </c>
      <c r="O232" s="189">
        <v>0.4</v>
      </c>
      <c r="P232" s="191">
        <v>1.9237243303034678E-2</v>
      </c>
      <c r="Q232" s="250">
        <v>124.17200000000001</v>
      </c>
      <c r="R232" s="189">
        <v>0.7069999999999993</v>
      </c>
      <c r="S232" s="191">
        <v>3.4001827538113753E-2</v>
      </c>
      <c r="T232" s="189" t="s">
        <v>486</v>
      </c>
      <c r="U232" s="189" t="s">
        <v>426</v>
      </c>
      <c r="V232" s="189"/>
      <c r="W232" s="196">
        <v>1</v>
      </c>
      <c r="X232" s="189" t="s">
        <v>270</v>
      </c>
    </row>
    <row r="233" spans="2:24">
      <c r="B233" s="531"/>
      <c r="C233" s="531"/>
      <c r="D233" s="200">
        <v>127</v>
      </c>
      <c r="E233" s="189" t="s">
        <v>521</v>
      </c>
      <c r="F233" s="190">
        <v>216.60076000000137</v>
      </c>
      <c r="G233" s="189">
        <v>29.687999999999999</v>
      </c>
      <c r="H233" s="189">
        <v>30</v>
      </c>
      <c r="I233" s="201">
        <f t="shared" si="21"/>
        <v>1.0105092966855296</v>
      </c>
      <c r="J233" s="189">
        <v>0.1</v>
      </c>
      <c r="K233" s="201">
        <f t="shared" si="22"/>
        <v>3.3683643222850988E-3</v>
      </c>
      <c r="L233" s="190">
        <v>525.73</v>
      </c>
      <c r="M233" s="201">
        <f t="shared" si="23"/>
        <v>1.0138776610078146</v>
      </c>
      <c r="N233" s="190">
        <v>216.60076000000137</v>
      </c>
      <c r="O233" s="189">
        <v>0</v>
      </c>
      <c r="P233" s="191">
        <v>0</v>
      </c>
      <c r="Q233" s="250">
        <v>0</v>
      </c>
      <c r="R233" s="189">
        <v>0.41200000000000259</v>
      </c>
      <c r="S233" s="191">
        <v>1.3877661007814693E-2</v>
      </c>
      <c r="T233" s="189" t="s">
        <v>486</v>
      </c>
      <c r="U233" s="189" t="s">
        <v>435</v>
      </c>
      <c r="V233" s="189"/>
      <c r="W233" s="196">
        <v>1</v>
      </c>
      <c r="X233" s="189" t="s">
        <v>285</v>
      </c>
    </row>
    <row r="234" spans="2:24">
      <c r="B234" s="531"/>
      <c r="C234" s="531"/>
      <c r="D234" s="200">
        <v>128</v>
      </c>
      <c r="E234" s="189" t="s">
        <v>427</v>
      </c>
      <c r="F234" s="190">
        <v>180.4492199999994</v>
      </c>
      <c r="G234" s="189">
        <v>15.162000000000001</v>
      </c>
      <c r="H234" s="189">
        <v>15.5</v>
      </c>
      <c r="I234" s="201">
        <f t="shared" si="21"/>
        <v>1.0222925735391108</v>
      </c>
      <c r="J234" s="189">
        <v>0</v>
      </c>
      <c r="K234" s="201">
        <f t="shared" si="22"/>
        <v>0</v>
      </c>
      <c r="L234" s="190">
        <v>758.19</v>
      </c>
      <c r="M234" s="201">
        <f t="shared" si="23"/>
        <v>1.0222925735391108</v>
      </c>
      <c r="N234" s="190">
        <v>256.26821999999942</v>
      </c>
      <c r="O234" s="189">
        <v>0.1</v>
      </c>
      <c r="P234" s="191">
        <v>6.5954359583168445E-3</v>
      </c>
      <c r="Q234" s="250">
        <v>75.819000000000003</v>
      </c>
      <c r="R234" s="189">
        <v>0.23799999999999918</v>
      </c>
      <c r="S234" s="191">
        <v>1.5697137580794034E-2</v>
      </c>
      <c r="T234" s="189" t="s">
        <v>486</v>
      </c>
      <c r="U234" s="189" t="s">
        <v>426</v>
      </c>
      <c r="V234" s="189"/>
      <c r="W234" s="196">
        <v>1</v>
      </c>
      <c r="X234" s="189" t="s">
        <v>323</v>
      </c>
    </row>
    <row r="235" spans="2:24">
      <c r="B235" s="531"/>
      <c r="C235" s="531"/>
      <c r="D235" s="200">
        <v>129</v>
      </c>
      <c r="E235" s="189" t="s">
        <v>441</v>
      </c>
      <c r="F235" s="190">
        <v>174.45215000000013</v>
      </c>
      <c r="G235" s="189">
        <v>5.5350000000000001</v>
      </c>
      <c r="H235" s="189">
        <v>5.9</v>
      </c>
      <c r="I235" s="201">
        <f t="shared" si="21"/>
        <v>1.065943992773261</v>
      </c>
      <c r="J235" s="189">
        <v>0</v>
      </c>
      <c r="K235" s="201">
        <f t="shared" si="22"/>
        <v>0</v>
      </c>
      <c r="L235" s="190">
        <v>658.31</v>
      </c>
      <c r="M235" s="201">
        <f t="shared" si="23"/>
        <v>1.065943992773261</v>
      </c>
      <c r="N235" s="190">
        <v>240.28315000000012</v>
      </c>
      <c r="O235" s="189">
        <v>0.1</v>
      </c>
      <c r="P235" s="191">
        <v>1.8066847335140017E-2</v>
      </c>
      <c r="Q235" s="250">
        <v>65.831000000000003</v>
      </c>
      <c r="R235" s="189">
        <v>0.26500000000000024</v>
      </c>
      <c r="S235" s="191">
        <v>4.7877145438121091E-2</v>
      </c>
      <c r="T235" s="189" t="s">
        <v>486</v>
      </c>
      <c r="U235" s="189" t="s">
        <v>426</v>
      </c>
      <c r="V235" s="189"/>
      <c r="W235" s="196">
        <v>1</v>
      </c>
      <c r="X235" s="189" t="s">
        <v>293</v>
      </c>
    </row>
    <row r="236" spans="2:24">
      <c r="B236" s="531"/>
      <c r="C236" s="531"/>
      <c r="D236" s="200">
        <v>130</v>
      </c>
      <c r="E236" s="189" t="s">
        <v>438</v>
      </c>
      <c r="F236" s="190">
        <v>172.93334999999891</v>
      </c>
      <c r="G236" s="189">
        <v>53.935000000000002</v>
      </c>
      <c r="H236" s="189">
        <v>54.5</v>
      </c>
      <c r="I236" s="201">
        <f t="shared" si="21"/>
        <v>1.0104755724483174</v>
      </c>
      <c r="J236" s="189">
        <v>0</v>
      </c>
      <c r="K236" s="201">
        <f t="shared" si="22"/>
        <v>0</v>
      </c>
      <c r="L236" s="190">
        <v>473.79</v>
      </c>
      <c r="M236" s="201">
        <f t="shared" si="23"/>
        <v>1.0104755724483174</v>
      </c>
      <c r="N236" s="190">
        <v>267.69134999999892</v>
      </c>
      <c r="O236" s="189">
        <v>0.2</v>
      </c>
      <c r="P236" s="191">
        <v>3.7081672383424491E-3</v>
      </c>
      <c r="Q236" s="250">
        <v>94.75800000000001</v>
      </c>
      <c r="R236" s="189">
        <v>0.36499999999999772</v>
      </c>
      <c r="S236" s="191">
        <v>6.767405209974927E-3</v>
      </c>
      <c r="T236" s="189" t="s">
        <v>486</v>
      </c>
      <c r="U236" s="189" t="s">
        <v>435</v>
      </c>
      <c r="V236" s="189"/>
      <c r="W236" s="196">
        <v>1</v>
      </c>
      <c r="X236" s="189" t="s">
        <v>417</v>
      </c>
    </row>
    <row r="237" spans="2:24">
      <c r="B237" s="533">
        <v>45893</v>
      </c>
      <c r="C237" s="531" t="s">
        <v>152</v>
      </c>
      <c r="D237" s="200">
        <v>131</v>
      </c>
      <c r="E237" s="189" t="s">
        <v>418</v>
      </c>
      <c r="F237" s="190">
        <v>335.61948000000211</v>
      </c>
      <c r="G237" s="189">
        <v>151.642</v>
      </c>
      <c r="H237" s="189">
        <v>152.5</v>
      </c>
      <c r="I237" s="201">
        <f t="shared" si="21"/>
        <v>1.0056580630695982</v>
      </c>
      <c r="J237" s="189">
        <v>0</v>
      </c>
      <c r="K237" s="201">
        <f t="shared" si="22"/>
        <v>0</v>
      </c>
      <c r="L237" s="190">
        <v>510.06</v>
      </c>
      <c r="M237" s="201">
        <f t="shared" si="23"/>
        <v>1.0056580630695982</v>
      </c>
      <c r="N237" s="190">
        <v>437.63148000000211</v>
      </c>
      <c r="O237" s="189">
        <v>0.2</v>
      </c>
      <c r="P237" s="191">
        <v>1.3188958204191452E-3</v>
      </c>
      <c r="Q237" s="250">
        <v>102.012</v>
      </c>
      <c r="R237" s="189">
        <v>0.65800000000000414</v>
      </c>
      <c r="S237" s="191">
        <v>4.3391672491790148E-3</v>
      </c>
      <c r="T237" s="189" t="s">
        <v>486</v>
      </c>
      <c r="U237" s="189" t="s">
        <v>435</v>
      </c>
      <c r="V237" s="189"/>
      <c r="W237" s="196">
        <v>1</v>
      </c>
      <c r="X237" s="189" t="s">
        <v>417</v>
      </c>
    </row>
    <row r="238" spans="2:24">
      <c r="B238" s="531"/>
      <c r="C238" s="531"/>
      <c r="D238" s="200">
        <v>132</v>
      </c>
      <c r="E238" s="189" t="s">
        <v>521</v>
      </c>
      <c r="F238" s="190">
        <v>277.58544000000308</v>
      </c>
      <c r="G238" s="189">
        <v>31.872</v>
      </c>
      <c r="H238" s="189">
        <v>32.200000000000003</v>
      </c>
      <c r="I238" s="201">
        <f t="shared" si="21"/>
        <v>1.0102911646586346</v>
      </c>
      <c r="J238" s="189">
        <v>0.2</v>
      </c>
      <c r="K238" s="201">
        <f t="shared" si="22"/>
        <v>6.2751004016064257E-3</v>
      </c>
      <c r="L238" s="190">
        <v>525.73</v>
      </c>
      <c r="M238" s="201">
        <f t="shared" si="23"/>
        <v>1.0165662650602412</v>
      </c>
      <c r="N238" s="190">
        <v>277.58544000000308</v>
      </c>
      <c r="O238" s="189">
        <v>0</v>
      </c>
      <c r="P238" s="191">
        <v>0</v>
      </c>
      <c r="Q238" s="250">
        <v>0</v>
      </c>
      <c r="R238" s="189">
        <v>0.5280000000000058</v>
      </c>
      <c r="S238" s="191">
        <v>1.6566265060241146E-2</v>
      </c>
      <c r="T238" s="189" t="s">
        <v>486</v>
      </c>
      <c r="U238" s="189" t="s">
        <v>435</v>
      </c>
      <c r="V238" s="189"/>
      <c r="W238" s="196">
        <v>1</v>
      </c>
      <c r="X238" s="189" t="s">
        <v>285</v>
      </c>
    </row>
    <row r="239" spans="2:24">
      <c r="B239" s="531"/>
      <c r="C239" s="531"/>
      <c r="D239" s="200">
        <v>133</v>
      </c>
      <c r="E239" s="189" t="s">
        <v>438</v>
      </c>
      <c r="F239" s="190">
        <v>272.42924999999934</v>
      </c>
      <c r="G239" s="189">
        <v>59.225000000000001</v>
      </c>
      <c r="H239" s="189">
        <v>60</v>
      </c>
      <c r="I239" s="201">
        <f t="shared" si="21"/>
        <v>1.0130856901646264</v>
      </c>
      <c r="J239" s="189">
        <v>0</v>
      </c>
      <c r="K239" s="201">
        <f t="shared" si="22"/>
        <v>0</v>
      </c>
      <c r="L239" s="190">
        <v>473.79</v>
      </c>
      <c r="M239" s="201">
        <f t="shared" si="23"/>
        <v>1.0130856901646264</v>
      </c>
      <c r="N239" s="190">
        <v>367.18724999999932</v>
      </c>
      <c r="O239" s="189">
        <v>0.2</v>
      </c>
      <c r="P239" s="191">
        <v>3.3769523005487551E-3</v>
      </c>
      <c r="Q239" s="250">
        <v>94.75800000000001</v>
      </c>
      <c r="R239" s="189">
        <v>0.57499999999999862</v>
      </c>
      <c r="S239" s="191">
        <v>9.7087378640776465E-3</v>
      </c>
      <c r="T239" s="189" t="s">
        <v>486</v>
      </c>
      <c r="U239" s="189" t="s">
        <v>435</v>
      </c>
      <c r="V239" s="189"/>
      <c r="W239" s="196">
        <v>1</v>
      </c>
      <c r="X239" s="189" t="s">
        <v>417</v>
      </c>
    </row>
    <row r="240" spans="2:24">
      <c r="B240" s="531"/>
      <c r="C240" s="531"/>
      <c r="D240" s="200">
        <v>134</v>
      </c>
      <c r="E240" s="189" t="s">
        <v>504</v>
      </c>
      <c r="F240" s="190">
        <v>257.70972000000063</v>
      </c>
      <c r="G240" s="189">
        <v>13.122999999999999</v>
      </c>
      <c r="H240" s="189">
        <v>13.5</v>
      </c>
      <c r="I240" s="201">
        <f t="shared" si="21"/>
        <v>1.0287281871523279</v>
      </c>
      <c r="J240" s="189">
        <v>0</v>
      </c>
      <c r="K240" s="201">
        <f t="shared" si="22"/>
        <v>0</v>
      </c>
      <c r="L240" s="190">
        <v>930.36</v>
      </c>
      <c r="M240" s="201">
        <f t="shared" si="23"/>
        <v>1.0287281871523279</v>
      </c>
      <c r="N240" s="190">
        <v>350.74572000000063</v>
      </c>
      <c r="O240" s="189">
        <v>0.1</v>
      </c>
      <c r="P240" s="191">
        <v>7.6202087937209491E-3</v>
      </c>
      <c r="Q240" s="250">
        <v>93.036000000000001</v>
      </c>
      <c r="R240" s="189">
        <v>0.27700000000000069</v>
      </c>
      <c r="S240" s="191">
        <v>2.1107978358607081E-2</v>
      </c>
      <c r="T240" s="189" t="s">
        <v>486</v>
      </c>
      <c r="U240" s="189" t="s">
        <v>426</v>
      </c>
      <c r="V240" s="189"/>
      <c r="W240" s="196">
        <v>1</v>
      </c>
      <c r="X240" s="189" t="s">
        <v>271</v>
      </c>
    </row>
    <row r="241" spans="2:24">
      <c r="B241" s="531"/>
      <c r="C241" s="531"/>
      <c r="D241" s="200">
        <v>135</v>
      </c>
      <c r="E241" s="189" t="s">
        <v>537</v>
      </c>
      <c r="F241" s="190">
        <v>227.94</v>
      </c>
      <c r="G241" s="189">
        <v>1.1214</v>
      </c>
      <c r="H241" s="189">
        <v>1.2</v>
      </c>
      <c r="I241" s="201">
        <f t="shared" si="21"/>
        <v>1.0700909577314073</v>
      </c>
      <c r="J241" s="189">
        <v>0</v>
      </c>
      <c r="K241" s="201">
        <f t="shared" si="22"/>
        <v>0</v>
      </c>
      <c r="L241" s="190">
        <v>2900</v>
      </c>
      <c r="M241" s="201">
        <f t="shared" si="23"/>
        <v>1.0700909577314073</v>
      </c>
      <c r="N241" s="190">
        <v>227.94</v>
      </c>
      <c r="O241" s="189">
        <v>0</v>
      </c>
      <c r="P241" s="191">
        <v>0</v>
      </c>
      <c r="Q241" s="250">
        <v>0</v>
      </c>
      <c r="R241" s="189">
        <v>7.8600000000000003E-2</v>
      </c>
      <c r="S241" s="191">
        <v>7.009095773140718E-2</v>
      </c>
      <c r="T241" s="189" t="s">
        <v>486</v>
      </c>
      <c r="U241" s="189" t="s">
        <v>426</v>
      </c>
      <c r="V241" s="189"/>
      <c r="W241" s="196">
        <v>1</v>
      </c>
      <c r="X241" s="189" t="s">
        <v>533</v>
      </c>
    </row>
    <row r="242" spans="2:24">
      <c r="B242" s="531"/>
      <c r="C242" s="531"/>
      <c r="D242" s="200">
        <v>136</v>
      </c>
      <c r="E242" s="189" t="s">
        <v>599</v>
      </c>
      <c r="F242" s="190">
        <v>211.70000000000002</v>
      </c>
      <c r="G242" s="189">
        <v>0.42699999999999999</v>
      </c>
      <c r="H242" s="189">
        <v>0.5</v>
      </c>
      <c r="I242" s="201">
        <f t="shared" si="21"/>
        <v>1.1709601873536299</v>
      </c>
      <c r="J242" s="189">
        <v>0</v>
      </c>
      <c r="K242" s="201">
        <f t="shared" si="22"/>
        <v>0</v>
      </c>
      <c r="L242" s="190">
        <v>2900</v>
      </c>
      <c r="M242" s="201">
        <f t="shared" si="23"/>
        <v>1.1709601873536299</v>
      </c>
      <c r="N242" s="190">
        <v>211.70000000000002</v>
      </c>
      <c r="O242" s="189">
        <v>0</v>
      </c>
      <c r="P242" s="191">
        <v>0</v>
      </c>
      <c r="Q242" s="250">
        <v>0</v>
      </c>
      <c r="R242" s="189">
        <v>7.3000000000000009E-2</v>
      </c>
      <c r="S242" s="191">
        <v>0.17096018735363</v>
      </c>
      <c r="T242" s="189" t="s">
        <v>486</v>
      </c>
      <c r="U242" s="189" t="s">
        <v>426</v>
      </c>
      <c r="V242" s="189"/>
      <c r="W242" s="196">
        <v>1</v>
      </c>
      <c r="X242" s="189" t="s">
        <v>309</v>
      </c>
    </row>
    <row r="243" spans="2:24">
      <c r="B243" s="531"/>
      <c r="C243" s="531"/>
      <c r="D243" s="200">
        <v>137</v>
      </c>
      <c r="E243" s="189" t="s">
        <v>507</v>
      </c>
      <c r="F243" s="190">
        <v>201.75839999999926</v>
      </c>
      <c r="G243" s="189">
        <v>97.72</v>
      </c>
      <c r="H243" s="189">
        <v>98.3</v>
      </c>
      <c r="I243" s="201">
        <f t="shared" si="21"/>
        <v>1.005935325419566</v>
      </c>
      <c r="J243" s="189">
        <v>0</v>
      </c>
      <c r="K243" s="201">
        <f t="shared" si="22"/>
        <v>0</v>
      </c>
      <c r="L243" s="190">
        <v>420.33</v>
      </c>
      <c r="M243" s="201">
        <f t="shared" si="23"/>
        <v>1.005935325419566</v>
      </c>
      <c r="N243" s="190">
        <v>243.79139999999927</v>
      </c>
      <c r="O243" s="189">
        <v>0.1</v>
      </c>
      <c r="P243" s="191">
        <v>1.0233319688907083E-3</v>
      </c>
      <c r="Q243" s="250">
        <v>42.033000000000001</v>
      </c>
      <c r="R243" s="189">
        <v>0.47999999999999832</v>
      </c>
      <c r="S243" s="191">
        <v>4.9119934506753823E-3</v>
      </c>
      <c r="T243" s="189" t="s">
        <v>486</v>
      </c>
      <c r="U243" s="189" t="s">
        <v>426</v>
      </c>
      <c r="V243" s="189"/>
      <c r="W243" s="196">
        <v>1</v>
      </c>
      <c r="X243" s="189" t="s">
        <v>297</v>
      </c>
    </row>
    <row r="244" spans="2:24">
      <c r="B244" s="531"/>
      <c r="C244" s="531"/>
      <c r="D244" s="200">
        <v>138</v>
      </c>
      <c r="E244" s="189" t="s">
        <v>427</v>
      </c>
      <c r="F244" s="190">
        <v>200.1621600000006</v>
      </c>
      <c r="G244" s="189">
        <v>18.635999999999999</v>
      </c>
      <c r="H244" s="189">
        <v>19</v>
      </c>
      <c r="I244" s="201">
        <f t="shared" si="21"/>
        <v>1.0195320884309937</v>
      </c>
      <c r="J244" s="189">
        <v>0</v>
      </c>
      <c r="K244" s="201">
        <f t="shared" si="22"/>
        <v>0</v>
      </c>
      <c r="L244" s="190">
        <v>758.19</v>
      </c>
      <c r="M244" s="201">
        <f t="shared" si="23"/>
        <v>1.0195320884309937</v>
      </c>
      <c r="N244" s="190">
        <v>275.98116000000061</v>
      </c>
      <c r="O244" s="189">
        <v>0.1</v>
      </c>
      <c r="P244" s="191">
        <v>5.3659583601631256E-3</v>
      </c>
      <c r="Q244" s="250">
        <v>75.819000000000003</v>
      </c>
      <c r="R244" s="189">
        <v>0.26400000000000079</v>
      </c>
      <c r="S244" s="191">
        <v>1.4166130070830693E-2</v>
      </c>
      <c r="T244" s="189" t="s">
        <v>486</v>
      </c>
      <c r="U244" s="189" t="s">
        <v>426</v>
      </c>
      <c r="V244" s="189"/>
      <c r="W244" s="196">
        <v>1</v>
      </c>
      <c r="X244" s="189" t="s">
        <v>323</v>
      </c>
    </row>
    <row r="245" spans="2:24">
      <c r="B245" s="531"/>
      <c r="C245" s="531"/>
      <c r="D245" s="200">
        <v>139</v>
      </c>
      <c r="E245" s="189" t="s">
        <v>440</v>
      </c>
      <c r="F245" s="190">
        <v>173.50319999999994</v>
      </c>
      <c r="G245" s="189">
        <v>27.81</v>
      </c>
      <c r="H245" s="189">
        <v>28.4</v>
      </c>
      <c r="I245" s="201">
        <f t="shared" si="21"/>
        <v>1.021215390147429</v>
      </c>
      <c r="J245" s="189">
        <v>0</v>
      </c>
      <c r="K245" s="201">
        <f t="shared" si="22"/>
        <v>0</v>
      </c>
      <c r="L245" s="190">
        <v>444.88</v>
      </c>
      <c r="M245" s="201">
        <f t="shared" si="23"/>
        <v>1.021215390147429</v>
      </c>
      <c r="N245" s="190">
        <v>262.47919999999993</v>
      </c>
      <c r="O245" s="189">
        <v>0.2</v>
      </c>
      <c r="P245" s="191">
        <v>7.1916576770945711E-3</v>
      </c>
      <c r="Q245" s="250">
        <v>88.975999999999999</v>
      </c>
      <c r="R245" s="189">
        <v>0.38999999999999985</v>
      </c>
      <c r="S245" s="191">
        <v>1.4023732470334407E-2</v>
      </c>
      <c r="T245" s="189" t="s">
        <v>486</v>
      </c>
      <c r="U245" s="189" t="s">
        <v>435</v>
      </c>
      <c r="V245" s="189"/>
      <c r="W245" s="196">
        <v>1</v>
      </c>
      <c r="X245" s="189" t="s">
        <v>286</v>
      </c>
    </row>
    <row r="246" spans="2:24">
      <c r="B246" s="531"/>
      <c r="C246" s="531"/>
      <c r="D246" s="200">
        <v>140</v>
      </c>
      <c r="E246" s="189" t="s">
        <v>429</v>
      </c>
      <c r="F246" s="190">
        <v>166.18446000000446</v>
      </c>
      <c r="G246" s="189">
        <v>300.98599999999999</v>
      </c>
      <c r="H246" s="189">
        <v>303.10000000000002</v>
      </c>
      <c r="I246" s="201">
        <f t="shared" si="21"/>
        <v>1.0070235824922091</v>
      </c>
      <c r="J246" s="189">
        <v>0</v>
      </c>
      <c r="K246" s="201">
        <f t="shared" si="22"/>
        <v>0</v>
      </c>
      <c r="L246" s="190">
        <v>136.88999999999999</v>
      </c>
      <c r="M246" s="201">
        <f t="shared" si="23"/>
        <v>1.0070235824922091</v>
      </c>
      <c r="N246" s="190">
        <v>289.38546000000446</v>
      </c>
      <c r="O246" s="189">
        <v>0.9</v>
      </c>
      <c r="P246" s="191">
        <v>2.990172300372775E-3</v>
      </c>
      <c r="Q246" s="250">
        <v>123.20099999999999</v>
      </c>
      <c r="R246" s="189">
        <v>1.2140000000000328</v>
      </c>
      <c r="S246" s="191">
        <v>4.0334101918362746E-3</v>
      </c>
      <c r="T246" s="189" t="s">
        <v>486</v>
      </c>
      <c r="U246" s="189" t="s">
        <v>426</v>
      </c>
      <c r="V246" s="189"/>
      <c r="W246" s="196">
        <v>1</v>
      </c>
      <c r="X246" s="189" t="s">
        <v>417</v>
      </c>
    </row>
    <row r="247" spans="2:24">
      <c r="B247" s="533">
        <v>45894</v>
      </c>
      <c r="C247" s="531" t="s">
        <v>158</v>
      </c>
      <c r="D247" s="200">
        <v>141</v>
      </c>
      <c r="E247" s="189" t="s">
        <v>441</v>
      </c>
      <c r="F247" s="190">
        <v>467.40010000000007</v>
      </c>
      <c r="G247" s="189">
        <v>6.99</v>
      </c>
      <c r="H247" s="189">
        <v>7.9</v>
      </c>
      <c r="I247" s="201">
        <f t="shared" si="21"/>
        <v>1.1301859799713878</v>
      </c>
      <c r="J247" s="189">
        <v>0</v>
      </c>
      <c r="K247" s="201">
        <f t="shared" si="22"/>
        <v>0</v>
      </c>
      <c r="L247" s="190">
        <v>658.31</v>
      </c>
      <c r="M247" s="201">
        <f t="shared" si="23"/>
        <v>1.1301859799713878</v>
      </c>
      <c r="N247" s="190">
        <v>599.0621000000001</v>
      </c>
      <c r="O247" s="189">
        <v>0.2</v>
      </c>
      <c r="P247" s="191">
        <v>2.8612303290414878E-2</v>
      </c>
      <c r="Q247" s="250">
        <v>131.66200000000001</v>
      </c>
      <c r="R247" s="189">
        <v>0.71000000000000019</v>
      </c>
      <c r="S247" s="191">
        <v>0.10157367668097284</v>
      </c>
      <c r="T247" s="189" t="s">
        <v>486</v>
      </c>
      <c r="U247" s="189" t="s">
        <v>426</v>
      </c>
      <c r="V247" s="189"/>
      <c r="W247" s="196">
        <v>1</v>
      </c>
      <c r="X247" s="189" t="s">
        <v>293</v>
      </c>
    </row>
    <row r="248" spans="2:24">
      <c r="B248" s="531"/>
      <c r="C248" s="531"/>
      <c r="D248" s="200">
        <v>142</v>
      </c>
      <c r="E248" s="189" t="s">
        <v>418</v>
      </c>
      <c r="F248" s="190">
        <v>324.90822000000026</v>
      </c>
      <c r="G248" s="189">
        <v>147.363</v>
      </c>
      <c r="H248" s="189">
        <v>147.69999999999999</v>
      </c>
      <c r="I248" s="201">
        <f t="shared" si="21"/>
        <v>1.0022868698384262</v>
      </c>
      <c r="J248" s="189">
        <v>0.3</v>
      </c>
      <c r="K248" s="201">
        <f t="shared" si="22"/>
        <v>2.0357891736731745E-3</v>
      </c>
      <c r="L248" s="190">
        <v>510.06</v>
      </c>
      <c r="M248" s="201">
        <f t="shared" si="23"/>
        <v>1.0043226590120993</v>
      </c>
      <c r="N248" s="190">
        <v>324.90822000000026</v>
      </c>
      <c r="O248" s="189">
        <v>0</v>
      </c>
      <c r="P248" s="191">
        <v>0</v>
      </c>
      <c r="Q248" s="250">
        <v>0</v>
      </c>
      <c r="R248" s="189">
        <v>0.63700000000000045</v>
      </c>
      <c r="S248" s="191">
        <v>4.3226590120993766E-3</v>
      </c>
      <c r="T248" s="189" t="s">
        <v>486</v>
      </c>
      <c r="U248" s="189" t="s">
        <v>435</v>
      </c>
      <c r="V248" s="189"/>
      <c r="W248" s="196">
        <v>1</v>
      </c>
      <c r="X248" s="189" t="s">
        <v>417</v>
      </c>
    </row>
    <row r="249" spans="2:24">
      <c r="B249" s="531"/>
      <c r="C249" s="531"/>
      <c r="D249" s="200">
        <v>143</v>
      </c>
      <c r="E249" s="189" t="s">
        <v>532</v>
      </c>
      <c r="F249" s="190">
        <v>289.29708000000124</v>
      </c>
      <c r="G249" s="189">
        <v>18.456</v>
      </c>
      <c r="H249" s="189">
        <v>19.100000000000001</v>
      </c>
      <c r="I249" s="201">
        <f t="shared" si="21"/>
        <v>1.0348938014737756</v>
      </c>
      <c r="J249" s="189">
        <v>0</v>
      </c>
      <c r="K249" s="201">
        <f t="shared" si="22"/>
        <v>0</v>
      </c>
      <c r="L249" s="190">
        <v>651.57000000000005</v>
      </c>
      <c r="M249" s="201">
        <f t="shared" si="23"/>
        <v>1.0348938014737756</v>
      </c>
      <c r="N249" s="190">
        <v>419.61108000000127</v>
      </c>
      <c r="O249" s="189">
        <v>0.2</v>
      </c>
      <c r="P249" s="191">
        <v>1.0836584308625921E-2</v>
      </c>
      <c r="Q249" s="250">
        <v>130.31400000000002</v>
      </c>
      <c r="R249" s="189">
        <v>0.44400000000000189</v>
      </c>
      <c r="S249" s="191">
        <v>2.405721716514965E-2</v>
      </c>
      <c r="T249" s="189" t="s">
        <v>494</v>
      </c>
      <c r="U249" s="189" t="s">
        <v>500</v>
      </c>
      <c r="V249" s="189"/>
      <c r="W249" s="196">
        <v>1</v>
      </c>
      <c r="X249" s="189" t="s">
        <v>533</v>
      </c>
    </row>
    <row r="250" spans="2:24">
      <c r="B250" s="531"/>
      <c r="C250" s="531"/>
      <c r="D250" s="200">
        <v>144</v>
      </c>
      <c r="E250" s="189" t="s">
        <v>429</v>
      </c>
      <c r="F250" s="190">
        <v>262.28123999999639</v>
      </c>
      <c r="G250" s="189">
        <v>280.18400000000003</v>
      </c>
      <c r="H250" s="189">
        <v>283</v>
      </c>
      <c r="I250" s="201">
        <f t="shared" si="21"/>
        <v>1.0100505382177425</v>
      </c>
      <c r="J250" s="189">
        <v>0</v>
      </c>
      <c r="K250" s="201">
        <f t="shared" si="22"/>
        <v>0</v>
      </c>
      <c r="L250" s="190">
        <v>136.88999999999999</v>
      </c>
      <c r="M250" s="201">
        <f t="shared" si="23"/>
        <v>1.0100505382177425</v>
      </c>
      <c r="N250" s="190">
        <v>385.48223999999641</v>
      </c>
      <c r="O250" s="189">
        <v>0.9</v>
      </c>
      <c r="P250" s="191">
        <v>3.212174856522856E-3</v>
      </c>
      <c r="Q250" s="250">
        <v>123.20099999999999</v>
      </c>
      <c r="R250" s="189">
        <v>1.9159999999999742</v>
      </c>
      <c r="S250" s="191">
        <v>6.8383633612196766E-3</v>
      </c>
      <c r="T250" s="189" t="s">
        <v>486</v>
      </c>
      <c r="U250" s="189" t="s">
        <v>426</v>
      </c>
      <c r="V250" s="189"/>
      <c r="W250" s="196">
        <v>1</v>
      </c>
      <c r="X250" s="189" t="s">
        <v>417</v>
      </c>
    </row>
    <row r="251" spans="2:24">
      <c r="B251" s="531"/>
      <c r="C251" s="531"/>
      <c r="D251" s="200">
        <v>145</v>
      </c>
      <c r="E251" s="189" t="s">
        <v>579</v>
      </c>
      <c r="F251" s="190">
        <v>262.0788000000004</v>
      </c>
      <c r="G251" s="189">
        <v>4.2569999999999997</v>
      </c>
      <c r="H251" s="189">
        <v>4.9000000000000004</v>
      </c>
      <c r="I251" s="201">
        <f t="shared" si="21"/>
        <v>1.151045337091849</v>
      </c>
      <c r="J251" s="189">
        <v>0</v>
      </c>
      <c r="K251" s="201">
        <f t="shared" si="22"/>
        <v>0</v>
      </c>
      <c r="L251" s="190">
        <v>591.6</v>
      </c>
      <c r="M251" s="201">
        <f t="shared" si="23"/>
        <v>1.151045337091849</v>
      </c>
      <c r="N251" s="190">
        <v>380.39880000000039</v>
      </c>
      <c r="O251" s="189">
        <v>0.2</v>
      </c>
      <c r="P251" s="191">
        <v>4.6981442330279545E-2</v>
      </c>
      <c r="Q251" s="250">
        <v>118.32000000000001</v>
      </c>
      <c r="R251" s="189">
        <v>0.44300000000000067</v>
      </c>
      <c r="S251" s="191">
        <v>0.10406389476156934</v>
      </c>
      <c r="T251" s="189" t="s">
        <v>514</v>
      </c>
      <c r="U251" s="189" t="s">
        <v>400</v>
      </c>
      <c r="V251" s="189"/>
      <c r="W251" s="196">
        <v>1</v>
      </c>
      <c r="X251" s="189" t="s">
        <v>245</v>
      </c>
    </row>
    <row r="252" spans="2:24">
      <c r="B252" s="531"/>
      <c r="C252" s="531"/>
      <c r="D252" s="200">
        <v>146</v>
      </c>
      <c r="E252" s="189" t="s">
        <v>507</v>
      </c>
      <c r="F252" s="190">
        <v>237.48645000000025</v>
      </c>
      <c r="G252" s="189">
        <v>91.734999999999999</v>
      </c>
      <c r="H252" s="189">
        <v>92.5</v>
      </c>
      <c r="I252" s="201">
        <f t="shared" si="21"/>
        <v>1.0083392380225651</v>
      </c>
      <c r="J252" s="189">
        <v>0</v>
      </c>
      <c r="K252" s="201">
        <f t="shared" si="22"/>
        <v>0</v>
      </c>
      <c r="L252" s="190">
        <v>420.33</v>
      </c>
      <c r="M252" s="201">
        <f t="shared" si="23"/>
        <v>1.0083392380225651</v>
      </c>
      <c r="N252" s="190">
        <v>321.55245000000025</v>
      </c>
      <c r="O252" s="189">
        <v>0.2</v>
      </c>
      <c r="P252" s="191">
        <v>2.1801929470758163E-3</v>
      </c>
      <c r="Q252" s="250">
        <v>84.066000000000003</v>
      </c>
      <c r="R252" s="189">
        <v>0.56500000000000061</v>
      </c>
      <c r="S252" s="191">
        <v>6.1590450754891871E-3</v>
      </c>
      <c r="T252" s="189" t="s">
        <v>486</v>
      </c>
      <c r="U252" s="189" t="s">
        <v>426</v>
      </c>
      <c r="V252" s="189"/>
      <c r="W252" s="196">
        <v>1</v>
      </c>
      <c r="X252" s="189" t="s">
        <v>297</v>
      </c>
    </row>
    <row r="253" spans="2:24">
      <c r="B253" s="531"/>
      <c r="C253" s="531"/>
      <c r="D253" s="200">
        <v>147</v>
      </c>
      <c r="E253" s="189" t="s">
        <v>568</v>
      </c>
      <c r="F253" s="190">
        <v>183.483</v>
      </c>
      <c r="G253" s="189">
        <v>55.174999999999997</v>
      </c>
      <c r="H253" s="189">
        <v>56.3</v>
      </c>
      <c r="I253" s="201">
        <f t="shared" si="21"/>
        <v>1.0203896692342547</v>
      </c>
      <c r="J253" s="189">
        <v>0</v>
      </c>
      <c r="K253" s="201">
        <f t="shared" si="22"/>
        <v>0</v>
      </c>
      <c r="L253" s="190">
        <v>253.08</v>
      </c>
      <c r="M253" s="201">
        <f t="shared" si="23"/>
        <v>1.0203896692342547</v>
      </c>
      <c r="N253" s="190">
        <v>284.71500000000003</v>
      </c>
      <c r="O253" s="189">
        <v>0.4</v>
      </c>
      <c r="P253" s="191">
        <v>7.2496601721794302E-3</v>
      </c>
      <c r="Q253" s="250">
        <v>101.23200000000001</v>
      </c>
      <c r="R253" s="189">
        <v>0.72499999999999998</v>
      </c>
      <c r="S253" s="191">
        <v>1.3140009062075216E-2</v>
      </c>
      <c r="T253" s="189" t="s">
        <v>486</v>
      </c>
      <c r="U253" s="189" t="s">
        <v>416</v>
      </c>
      <c r="V253" s="189"/>
      <c r="W253" s="196">
        <v>1</v>
      </c>
      <c r="X253" s="189" t="s">
        <v>300</v>
      </c>
    </row>
    <row r="254" spans="2:24">
      <c r="B254" s="531"/>
      <c r="C254" s="531"/>
      <c r="D254" s="200">
        <v>148</v>
      </c>
      <c r="E254" s="189" t="s">
        <v>553</v>
      </c>
      <c r="F254" s="190">
        <v>180.58251999999911</v>
      </c>
      <c r="G254" s="189">
        <v>40.959000000000003</v>
      </c>
      <c r="H254" s="189">
        <v>42</v>
      </c>
      <c r="I254" s="201">
        <f t="shared" si="21"/>
        <v>1.025415659562001</v>
      </c>
      <c r="J254" s="189">
        <v>0</v>
      </c>
      <c r="K254" s="201">
        <f t="shared" si="22"/>
        <v>0</v>
      </c>
      <c r="L254" s="190">
        <v>281.72000000000003</v>
      </c>
      <c r="M254" s="201">
        <f t="shared" si="23"/>
        <v>1.025415659562001</v>
      </c>
      <c r="N254" s="190">
        <v>293.27051999999912</v>
      </c>
      <c r="O254" s="189">
        <v>0.4</v>
      </c>
      <c r="P254" s="191">
        <v>9.7658634244000096E-3</v>
      </c>
      <c r="Q254" s="250">
        <v>112.68800000000002</v>
      </c>
      <c r="R254" s="189">
        <v>0.64099999999999679</v>
      </c>
      <c r="S254" s="191">
        <v>1.5649796137600935E-2</v>
      </c>
      <c r="T254" s="189" t="s">
        <v>486</v>
      </c>
      <c r="U254" s="189" t="s">
        <v>426</v>
      </c>
      <c r="V254" s="189"/>
      <c r="W254" s="196">
        <v>1</v>
      </c>
      <c r="X254" s="189" t="s">
        <v>296</v>
      </c>
    </row>
    <row r="255" spans="2:24">
      <c r="B255" s="531"/>
      <c r="C255" s="531"/>
      <c r="D255" s="200">
        <v>149</v>
      </c>
      <c r="E255" s="189" t="s">
        <v>482</v>
      </c>
      <c r="F255" s="190">
        <v>179.4452799999998</v>
      </c>
      <c r="G255" s="189">
        <v>6.5880000000000001</v>
      </c>
      <c r="H255" s="189">
        <v>6.8</v>
      </c>
      <c r="I255" s="201">
        <f t="shared" si="21"/>
        <v>1.0321797207043109</v>
      </c>
      <c r="J255" s="189">
        <v>0</v>
      </c>
      <c r="K255" s="201">
        <f t="shared" si="22"/>
        <v>0</v>
      </c>
      <c r="L255" s="190">
        <v>846.44</v>
      </c>
      <c r="M255" s="201">
        <f t="shared" si="23"/>
        <v>1.0321797207043109</v>
      </c>
      <c r="N255" s="190">
        <v>179.4452799999998</v>
      </c>
      <c r="O255" s="189">
        <v>0</v>
      </c>
      <c r="P255" s="191">
        <v>0</v>
      </c>
      <c r="Q255" s="250">
        <v>0</v>
      </c>
      <c r="R255" s="189">
        <v>0.21199999999999974</v>
      </c>
      <c r="S255" s="191">
        <v>3.2179720704310827E-2</v>
      </c>
      <c r="T255" s="189" t="s">
        <v>486</v>
      </c>
      <c r="U255" s="189" t="s">
        <v>495</v>
      </c>
      <c r="V255" s="189"/>
      <c r="W255" s="196">
        <v>1</v>
      </c>
      <c r="X255" s="189" t="s">
        <v>270</v>
      </c>
    </row>
    <row r="256" spans="2:24">
      <c r="B256" s="531"/>
      <c r="C256" s="531"/>
      <c r="D256" s="200">
        <v>150</v>
      </c>
      <c r="E256" s="189" t="s">
        <v>440</v>
      </c>
      <c r="F256" s="190">
        <v>175.28271999999959</v>
      </c>
      <c r="G256" s="189">
        <v>27.306000000000001</v>
      </c>
      <c r="H256" s="189">
        <v>28</v>
      </c>
      <c r="I256" s="201">
        <f t="shared" si="21"/>
        <v>1.025415659562001</v>
      </c>
      <c r="J256" s="189">
        <v>0</v>
      </c>
      <c r="K256" s="201">
        <f t="shared" si="22"/>
        <v>0</v>
      </c>
      <c r="L256" s="190">
        <v>444.88</v>
      </c>
      <c r="M256" s="201">
        <f t="shared" si="23"/>
        <v>1.025415659562001</v>
      </c>
      <c r="N256" s="190">
        <v>308.74671999999958</v>
      </c>
      <c r="O256" s="189">
        <v>0.3</v>
      </c>
      <c r="P256" s="191">
        <v>1.098659635245001E-2</v>
      </c>
      <c r="Q256" s="250">
        <v>133.464</v>
      </c>
      <c r="R256" s="189">
        <v>0.39399999999999907</v>
      </c>
      <c r="S256" s="191">
        <v>1.442906320955098E-2</v>
      </c>
      <c r="T256" s="189" t="s">
        <v>486</v>
      </c>
      <c r="U256" s="189" t="s">
        <v>435</v>
      </c>
      <c r="V256" s="189"/>
      <c r="W256" s="196">
        <v>1</v>
      </c>
      <c r="X256" s="189" t="s">
        <v>286</v>
      </c>
    </row>
    <row r="257" spans="2:24">
      <c r="B257" s="533">
        <v>45895</v>
      </c>
      <c r="C257" s="531" t="s">
        <v>159</v>
      </c>
      <c r="D257" s="200">
        <v>151</v>
      </c>
      <c r="E257" s="189" t="s">
        <v>440</v>
      </c>
      <c r="F257" s="190">
        <v>434.20287999999988</v>
      </c>
      <c r="G257" s="189">
        <v>27.324000000000002</v>
      </c>
      <c r="H257" s="189">
        <v>28.6</v>
      </c>
      <c r="I257" s="201">
        <f t="shared" si="21"/>
        <v>1.0466988727858293</v>
      </c>
      <c r="J257" s="189">
        <v>0</v>
      </c>
      <c r="K257" s="201">
        <f t="shared" si="22"/>
        <v>0</v>
      </c>
      <c r="L257" s="190">
        <v>444.88</v>
      </c>
      <c r="M257" s="201">
        <f t="shared" si="23"/>
        <v>1.0466988727858293</v>
      </c>
      <c r="N257" s="190">
        <v>567.66687999999988</v>
      </c>
      <c r="O257" s="189">
        <v>0.3</v>
      </c>
      <c r="P257" s="191">
        <v>1.097935880544576E-2</v>
      </c>
      <c r="Q257" s="250">
        <v>133.464</v>
      </c>
      <c r="R257" s="189">
        <v>0.97599999999999976</v>
      </c>
      <c r="S257" s="191">
        <v>3.5719513980383533E-2</v>
      </c>
      <c r="T257" s="189" t="s">
        <v>486</v>
      </c>
      <c r="U257" s="189" t="s">
        <v>435</v>
      </c>
      <c r="V257" s="189"/>
      <c r="W257" s="196">
        <v>1</v>
      </c>
      <c r="X257" s="189" t="s">
        <v>286</v>
      </c>
    </row>
    <row r="258" spans="2:24">
      <c r="B258" s="531"/>
      <c r="C258" s="531"/>
      <c r="D258" s="200">
        <v>152</v>
      </c>
      <c r="E258" s="189" t="s">
        <v>504</v>
      </c>
      <c r="F258" s="190">
        <v>278.1776399999992</v>
      </c>
      <c r="G258" s="189">
        <v>13.101000000000001</v>
      </c>
      <c r="H258" s="189">
        <v>13.5</v>
      </c>
      <c r="I258" s="201">
        <f t="shared" si="21"/>
        <v>1.0304556904053126</v>
      </c>
      <c r="J258" s="189">
        <v>0</v>
      </c>
      <c r="K258" s="201">
        <f t="shared" si="22"/>
        <v>0</v>
      </c>
      <c r="L258" s="190">
        <v>930.36</v>
      </c>
      <c r="M258" s="201">
        <f t="shared" si="23"/>
        <v>1.0304556904053126</v>
      </c>
      <c r="N258" s="190">
        <v>371.2136399999992</v>
      </c>
      <c r="O258" s="189">
        <v>0.1</v>
      </c>
      <c r="P258" s="191">
        <v>7.6330051141134262E-3</v>
      </c>
      <c r="Q258" s="250">
        <v>93.036000000000001</v>
      </c>
      <c r="R258" s="189">
        <v>0.29899999999999916</v>
      </c>
      <c r="S258" s="191">
        <v>2.2822685291199078E-2</v>
      </c>
      <c r="T258" s="189" t="s">
        <v>486</v>
      </c>
      <c r="U258" s="189" t="s">
        <v>426</v>
      </c>
      <c r="V258" s="189"/>
      <c r="W258" s="196">
        <v>1</v>
      </c>
      <c r="X258" s="189" t="s">
        <v>271</v>
      </c>
    </row>
    <row r="259" spans="2:24">
      <c r="B259" s="531"/>
      <c r="C259" s="531"/>
      <c r="D259" s="200">
        <v>153</v>
      </c>
      <c r="E259" s="189" t="s">
        <v>532</v>
      </c>
      <c r="F259" s="190">
        <v>273.65939999999949</v>
      </c>
      <c r="G259" s="189">
        <v>14.58</v>
      </c>
      <c r="H259" s="189">
        <v>15.2</v>
      </c>
      <c r="I259" s="201">
        <f t="shared" si="21"/>
        <v>1.0425240054869684</v>
      </c>
      <c r="J259" s="189">
        <v>0</v>
      </c>
      <c r="K259" s="201">
        <f t="shared" si="22"/>
        <v>0</v>
      </c>
      <c r="L259" s="190">
        <v>651.57000000000005</v>
      </c>
      <c r="M259" s="201">
        <f t="shared" si="23"/>
        <v>1.0425240054869684</v>
      </c>
      <c r="N259" s="190">
        <v>403.97339999999951</v>
      </c>
      <c r="O259" s="189">
        <v>0.2</v>
      </c>
      <c r="P259" s="191">
        <v>1.3717421124828533E-2</v>
      </c>
      <c r="Q259" s="250">
        <v>130.31400000000002</v>
      </c>
      <c r="R259" s="189">
        <v>0.41999999999999921</v>
      </c>
      <c r="S259" s="191">
        <v>2.8806584362139863E-2</v>
      </c>
      <c r="T259" s="189" t="s">
        <v>483</v>
      </c>
      <c r="U259" s="189" t="s">
        <v>416</v>
      </c>
      <c r="V259" s="189"/>
      <c r="W259" s="196">
        <v>1</v>
      </c>
      <c r="X259" s="189" t="s">
        <v>533</v>
      </c>
    </row>
    <row r="260" spans="2:24">
      <c r="B260" s="531"/>
      <c r="C260" s="531"/>
      <c r="D260" s="200">
        <v>154</v>
      </c>
      <c r="E260" s="189" t="s">
        <v>563</v>
      </c>
      <c r="F260" s="190">
        <v>264.23296000000028</v>
      </c>
      <c r="G260" s="189">
        <v>120.57599999999999</v>
      </c>
      <c r="H260" s="189">
        <v>122.1</v>
      </c>
      <c r="I260" s="201">
        <f t="shared" si="21"/>
        <v>1.0126393312101911</v>
      </c>
      <c r="J260" s="189">
        <v>0</v>
      </c>
      <c r="K260" s="201">
        <f t="shared" si="22"/>
        <v>0</v>
      </c>
      <c r="L260" s="190">
        <v>258.04000000000002</v>
      </c>
      <c r="M260" s="201">
        <f t="shared" si="23"/>
        <v>1.0126393312101911</v>
      </c>
      <c r="N260" s="190">
        <v>393.25296000000026</v>
      </c>
      <c r="O260" s="189">
        <v>0.5</v>
      </c>
      <c r="P260" s="191">
        <v>4.1467622080679405E-3</v>
      </c>
      <c r="Q260" s="250">
        <v>129.02000000000001</v>
      </c>
      <c r="R260" s="189">
        <v>1.0240000000000009</v>
      </c>
      <c r="S260" s="191">
        <v>8.4925690021231508E-3</v>
      </c>
      <c r="T260" s="189" t="s">
        <v>486</v>
      </c>
      <c r="U260" s="189" t="s">
        <v>426</v>
      </c>
      <c r="V260" s="189"/>
      <c r="W260" s="196">
        <v>1</v>
      </c>
      <c r="X260" s="189" t="s">
        <v>309</v>
      </c>
    </row>
    <row r="261" spans="2:24">
      <c r="B261" s="531"/>
      <c r="C261" s="531"/>
      <c r="D261" s="200">
        <v>155</v>
      </c>
      <c r="E261" s="189" t="s">
        <v>521</v>
      </c>
      <c r="F261" s="190">
        <v>248.1445600000003</v>
      </c>
      <c r="G261" s="189">
        <v>28.128</v>
      </c>
      <c r="H261" s="189">
        <v>28.8</v>
      </c>
      <c r="I261" s="201">
        <f t="shared" si="21"/>
        <v>1.0238907849829351</v>
      </c>
      <c r="J261" s="189">
        <v>0</v>
      </c>
      <c r="K261" s="201">
        <f t="shared" si="22"/>
        <v>0</v>
      </c>
      <c r="L261" s="190">
        <v>525.73</v>
      </c>
      <c r="M261" s="201">
        <f t="shared" si="23"/>
        <v>1.0238907849829351</v>
      </c>
      <c r="N261" s="190">
        <v>353.29056000000031</v>
      </c>
      <c r="O261" s="189">
        <v>0.2</v>
      </c>
      <c r="P261" s="191">
        <v>7.1103526734926058E-3</v>
      </c>
      <c r="Q261" s="250">
        <v>105.14600000000002</v>
      </c>
      <c r="R261" s="189">
        <v>0.47200000000000059</v>
      </c>
      <c r="S261" s="191">
        <v>1.678043230944257E-2</v>
      </c>
      <c r="T261" s="189" t="s">
        <v>486</v>
      </c>
      <c r="U261" s="189" t="s">
        <v>435</v>
      </c>
      <c r="V261" s="189"/>
      <c r="W261" s="196">
        <v>1</v>
      </c>
      <c r="X261" s="189" t="s">
        <v>285</v>
      </c>
    </row>
    <row r="262" spans="2:24">
      <c r="B262" s="531"/>
      <c r="C262" s="531"/>
      <c r="D262" s="200">
        <v>156</v>
      </c>
      <c r="E262" s="189" t="s">
        <v>409</v>
      </c>
      <c r="F262" s="190">
        <v>245.57023999999947</v>
      </c>
      <c r="G262" s="189">
        <v>23.978000000000002</v>
      </c>
      <c r="H262" s="189">
        <v>24.8</v>
      </c>
      <c r="I262" s="201">
        <f t="shared" si="21"/>
        <v>1.0342814246392527</v>
      </c>
      <c r="J262" s="189">
        <v>0</v>
      </c>
      <c r="K262" s="201">
        <f t="shared" si="22"/>
        <v>0</v>
      </c>
      <c r="L262" s="190">
        <v>581.91999999999996</v>
      </c>
      <c r="M262" s="201">
        <f t="shared" si="23"/>
        <v>1.0342814246392527</v>
      </c>
      <c r="N262" s="190">
        <v>478.33823999999947</v>
      </c>
      <c r="O262" s="189">
        <v>0.4</v>
      </c>
      <c r="P262" s="191">
        <v>1.668195846192343E-2</v>
      </c>
      <c r="Q262" s="250">
        <v>232.768</v>
      </c>
      <c r="R262" s="189">
        <v>0.42199999999999915</v>
      </c>
      <c r="S262" s="191">
        <v>1.7599466177329184E-2</v>
      </c>
      <c r="T262" s="189" t="s">
        <v>494</v>
      </c>
      <c r="U262" s="189" t="s">
        <v>500</v>
      </c>
      <c r="V262" s="189"/>
      <c r="W262" s="196">
        <v>1</v>
      </c>
      <c r="X262" s="189" t="s">
        <v>277</v>
      </c>
    </row>
    <row r="263" spans="2:24">
      <c r="B263" s="531"/>
      <c r="C263" s="531"/>
      <c r="D263" s="200">
        <v>157</v>
      </c>
      <c r="E263" s="189" t="s">
        <v>508</v>
      </c>
      <c r="F263" s="190">
        <v>225.51212000000066</v>
      </c>
      <c r="G263" s="189">
        <v>149.131</v>
      </c>
      <c r="H263" s="189">
        <v>151.9</v>
      </c>
      <c r="I263" s="201">
        <f t="shared" si="21"/>
        <v>1.0185675681112578</v>
      </c>
      <c r="J263" s="189">
        <v>0</v>
      </c>
      <c r="K263" s="201">
        <f t="shared" si="22"/>
        <v>0</v>
      </c>
      <c r="L263" s="190">
        <v>127.48</v>
      </c>
      <c r="M263" s="201">
        <f t="shared" si="23"/>
        <v>1.0185675681112578</v>
      </c>
      <c r="N263" s="190">
        <v>352.99212000000068</v>
      </c>
      <c r="O263" s="189">
        <v>1</v>
      </c>
      <c r="P263" s="191">
        <v>6.7055139441162467E-3</v>
      </c>
      <c r="Q263" s="250">
        <v>127.48</v>
      </c>
      <c r="R263" s="189">
        <v>1.7690000000000055</v>
      </c>
      <c r="S263" s="191">
        <v>1.1862054167141678E-2</v>
      </c>
      <c r="T263" s="189" t="s">
        <v>483</v>
      </c>
      <c r="U263" s="189" t="s">
        <v>416</v>
      </c>
      <c r="V263" s="189"/>
      <c r="W263" s="196">
        <v>1</v>
      </c>
      <c r="X263" s="189" t="s">
        <v>323</v>
      </c>
    </row>
    <row r="264" spans="2:24">
      <c r="B264" s="531"/>
      <c r="C264" s="531"/>
      <c r="D264" s="200">
        <v>158</v>
      </c>
      <c r="E264" s="189" t="s">
        <v>422</v>
      </c>
      <c r="F264" s="190">
        <v>207.42764999999972</v>
      </c>
      <c r="G264" s="189">
        <v>75.004999999999995</v>
      </c>
      <c r="H264" s="189">
        <v>76.599999999999994</v>
      </c>
      <c r="I264" s="201">
        <f t="shared" ref="I264:I316" si="24">H264/G264</f>
        <v>1.0212652489834011</v>
      </c>
      <c r="J264" s="189">
        <v>0</v>
      </c>
      <c r="K264" s="201">
        <f t="shared" ref="K264:K316" si="25">J264/G264</f>
        <v>0</v>
      </c>
      <c r="L264" s="190">
        <v>208.47</v>
      </c>
      <c r="M264" s="201">
        <f t="shared" ref="M264:M316" si="26">(H264+J264)/G264</f>
        <v>1.0212652489834011</v>
      </c>
      <c r="N264" s="190">
        <v>332.50964999999974</v>
      </c>
      <c r="O264" s="189">
        <v>0.60000000000000009</v>
      </c>
      <c r="P264" s="191">
        <v>7.9994667022198537E-3</v>
      </c>
      <c r="Q264" s="250">
        <v>125.08200000000002</v>
      </c>
      <c r="R264" s="189">
        <v>0.99499999999999877</v>
      </c>
      <c r="S264" s="191">
        <v>1.3265782281181238E-2</v>
      </c>
      <c r="T264" s="189" t="s">
        <v>494</v>
      </c>
      <c r="U264" s="189" t="s">
        <v>500</v>
      </c>
      <c r="V264" s="189"/>
      <c r="W264" s="196">
        <v>1</v>
      </c>
      <c r="X264" s="189" t="s">
        <v>305</v>
      </c>
    </row>
    <row r="265" spans="2:24">
      <c r="B265" s="531"/>
      <c r="C265" s="531"/>
      <c r="D265" s="200">
        <v>159</v>
      </c>
      <c r="E265" s="189" t="s">
        <v>427</v>
      </c>
      <c r="F265" s="190">
        <v>198.6457799999998</v>
      </c>
      <c r="G265" s="189">
        <v>19.038</v>
      </c>
      <c r="H265" s="189">
        <v>19.5</v>
      </c>
      <c r="I265" s="201">
        <f t="shared" si="24"/>
        <v>1.0242672549637566</v>
      </c>
      <c r="J265" s="189">
        <v>0</v>
      </c>
      <c r="K265" s="201">
        <f t="shared" si="25"/>
        <v>0</v>
      </c>
      <c r="L265" s="190">
        <v>758.19</v>
      </c>
      <c r="M265" s="201">
        <f t="shared" si="26"/>
        <v>1.0242672549637566</v>
      </c>
      <c r="N265" s="190">
        <v>350.28377999999981</v>
      </c>
      <c r="O265" s="189">
        <v>0.2</v>
      </c>
      <c r="P265" s="191">
        <v>1.0505305179115455E-2</v>
      </c>
      <c r="Q265" s="250">
        <v>151.63800000000001</v>
      </c>
      <c r="R265" s="189">
        <v>0.26199999999999973</v>
      </c>
      <c r="S265" s="191">
        <v>1.3761949784641229E-2</v>
      </c>
      <c r="T265" s="189" t="s">
        <v>486</v>
      </c>
      <c r="U265" s="189" t="s">
        <v>426</v>
      </c>
      <c r="V265" s="189"/>
      <c r="W265" s="196">
        <v>1</v>
      </c>
      <c r="X265" s="189" t="s">
        <v>323</v>
      </c>
    </row>
    <row r="266" spans="2:24">
      <c r="B266" s="531"/>
      <c r="C266" s="531"/>
      <c r="D266" s="200">
        <v>160</v>
      </c>
      <c r="E266" s="189" t="s">
        <v>434</v>
      </c>
      <c r="F266" s="190">
        <v>194.02698000000203</v>
      </c>
      <c r="G266" s="189">
        <v>75.113</v>
      </c>
      <c r="H266" s="189">
        <v>75</v>
      </c>
      <c r="I266" s="201">
        <f t="shared" si="24"/>
        <v>0.99849559996272286</v>
      </c>
      <c r="J266" s="189">
        <v>0.9</v>
      </c>
      <c r="K266" s="201">
        <f t="shared" si="25"/>
        <v>1.1981947199552674E-2</v>
      </c>
      <c r="L266" s="190">
        <v>330.54</v>
      </c>
      <c r="M266" s="201">
        <f t="shared" si="26"/>
        <v>1.0104775471622756</v>
      </c>
      <c r="N266" s="190">
        <v>260.13498000000203</v>
      </c>
      <c r="O266" s="189">
        <v>0.2</v>
      </c>
      <c r="P266" s="191">
        <v>2.6626549332339276E-3</v>
      </c>
      <c r="Q266" s="250">
        <v>66.108000000000004</v>
      </c>
      <c r="R266" s="189">
        <v>0.58700000000000618</v>
      </c>
      <c r="S266" s="191">
        <v>7.8148922290416593E-3</v>
      </c>
      <c r="T266" s="189" t="s">
        <v>486</v>
      </c>
      <c r="U266" s="189" t="s">
        <v>426</v>
      </c>
      <c r="V266" s="189"/>
      <c r="W266" s="196">
        <v>1</v>
      </c>
      <c r="X266" s="189" t="s">
        <v>280</v>
      </c>
    </row>
    <row r="267" spans="2:24">
      <c r="B267" s="533">
        <v>45896</v>
      </c>
      <c r="C267" s="531" t="s">
        <v>160</v>
      </c>
      <c r="D267" s="200">
        <v>161</v>
      </c>
      <c r="E267" s="189" t="s">
        <v>418</v>
      </c>
      <c r="F267" s="190">
        <v>309.09636000000592</v>
      </c>
      <c r="G267" s="189">
        <v>142.19399999999999</v>
      </c>
      <c r="H267" s="189">
        <v>143</v>
      </c>
      <c r="I267" s="201">
        <f t="shared" si="24"/>
        <v>1.0056683123057233</v>
      </c>
      <c r="J267" s="189">
        <v>0</v>
      </c>
      <c r="K267" s="201">
        <f t="shared" si="25"/>
        <v>0</v>
      </c>
      <c r="L267" s="190">
        <v>510.06</v>
      </c>
      <c r="M267" s="201">
        <f t="shared" si="26"/>
        <v>1.0056683123057233</v>
      </c>
      <c r="N267" s="190">
        <v>411.10836000000592</v>
      </c>
      <c r="O267" s="189">
        <v>0.2</v>
      </c>
      <c r="P267" s="191">
        <v>1.4065291081198927E-3</v>
      </c>
      <c r="Q267" s="250">
        <v>102.012</v>
      </c>
      <c r="R267" s="189">
        <v>0.60600000000001164</v>
      </c>
      <c r="S267" s="191">
        <v>4.2617831976033563E-3</v>
      </c>
      <c r="T267" s="189" t="s">
        <v>486</v>
      </c>
      <c r="U267" s="189" t="s">
        <v>435</v>
      </c>
      <c r="V267" s="189"/>
      <c r="W267" s="196">
        <v>1</v>
      </c>
      <c r="X267" s="189" t="s">
        <v>417</v>
      </c>
    </row>
    <row r="268" spans="2:24">
      <c r="B268" s="531"/>
      <c r="C268" s="531"/>
      <c r="D268" s="200">
        <v>162</v>
      </c>
      <c r="E268" s="189" t="s">
        <v>434</v>
      </c>
      <c r="F268" s="190">
        <v>294.51113999999899</v>
      </c>
      <c r="G268" s="189">
        <v>72.509</v>
      </c>
      <c r="H268" s="189">
        <v>73.8</v>
      </c>
      <c r="I268" s="201">
        <f t="shared" si="24"/>
        <v>1.0178046863148023</v>
      </c>
      <c r="J268" s="189">
        <v>0</v>
      </c>
      <c r="K268" s="201">
        <f t="shared" si="25"/>
        <v>0</v>
      </c>
      <c r="L268" s="190">
        <v>330.54</v>
      </c>
      <c r="M268" s="201">
        <f t="shared" si="26"/>
        <v>1.0178046863148023</v>
      </c>
      <c r="N268" s="190">
        <v>426.727139999999</v>
      </c>
      <c r="O268" s="189">
        <v>0.4</v>
      </c>
      <c r="P268" s="191">
        <v>5.5165565653918823E-3</v>
      </c>
      <c r="Q268" s="250">
        <v>132.21600000000001</v>
      </c>
      <c r="R268" s="189">
        <v>0.89099999999999679</v>
      </c>
      <c r="S268" s="191">
        <v>1.2288129749410374E-2</v>
      </c>
      <c r="T268" s="189" t="s">
        <v>486</v>
      </c>
      <c r="U268" s="189" t="s">
        <v>426</v>
      </c>
      <c r="V268" s="189"/>
      <c r="W268" s="196">
        <v>1</v>
      </c>
      <c r="X268" s="189" t="s">
        <v>280</v>
      </c>
    </row>
    <row r="269" spans="2:24">
      <c r="B269" s="531"/>
      <c r="C269" s="531"/>
      <c r="D269" s="200">
        <v>163</v>
      </c>
      <c r="E269" s="189" t="s">
        <v>438</v>
      </c>
      <c r="F269" s="190">
        <v>267.217559999998</v>
      </c>
      <c r="G269" s="189">
        <v>49.036000000000001</v>
      </c>
      <c r="H269" s="189">
        <v>49.8</v>
      </c>
      <c r="I269" s="201">
        <f t="shared" si="24"/>
        <v>1.0155803899176115</v>
      </c>
      <c r="J269" s="189">
        <v>0</v>
      </c>
      <c r="K269" s="201">
        <f t="shared" si="25"/>
        <v>0</v>
      </c>
      <c r="L269" s="190">
        <v>473.79</v>
      </c>
      <c r="M269" s="201">
        <f t="shared" si="26"/>
        <v>1.0155803899176115</v>
      </c>
      <c r="N269" s="190">
        <v>361.97555999999804</v>
      </c>
      <c r="O269" s="189">
        <v>0.2</v>
      </c>
      <c r="P269" s="191">
        <v>4.0786361040867931E-3</v>
      </c>
      <c r="Q269" s="250">
        <v>94.75800000000001</v>
      </c>
      <c r="R269" s="189">
        <v>0.56399999999999584</v>
      </c>
      <c r="S269" s="191">
        <v>1.1501753813524673E-2</v>
      </c>
      <c r="T269" s="189" t="s">
        <v>486</v>
      </c>
      <c r="U269" s="189" t="s">
        <v>435</v>
      </c>
      <c r="V269" s="189"/>
      <c r="W269" s="196">
        <v>1</v>
      </c>
      <c r="X269" s="189" t="s">
        <v>417</v>
      </c>
    </row>
    <row r="270" spans="2:24">
      <c r="B270" s="531"/>
      <c r="C270" s="531"/>
      <c r="D270" s="200">
        <v>164</v>
      </c>
      <c r="E270" s="189" t="s">
        <v>537</v>
      </c>
      <c r="F270" s="190">
        <v>259.2600000000001</v>
      </c>
      <c r="G270" s="189">
        <v>0.81059999999999999</v>
      </c>
      <c r="H270" s="189">
        <v>0.9</v>
      </c>
      <c r="I270" s="201">
        <f t="shared" si="24"/>
        <v>1.1102886750555145</v>
      </c>
      <c r="J270" s="189">
        <v>0</v>
      </c>
      <c r="K270" s="201">
        <f t="shared" si="25"/>
        <v>0</v>
      </c>
      <c r="L270" s="190">
        <v>2900</v>
      </c>
      <c r="M270" s="201">
        <f t="shared" si="26"/>
        <v>1.1102886750555145</v>
      </c>
      <c r="N270" s="190">
        <v>259.2600000000001</v>
      </c>
      <c r="O270" s="189">
        <v>0</v>
      </c>
      <c r="P270" s="191">
        <v>0</v>
      </c>
      <c r="Q270" s="250">
        <v>0</v>
      </c>
      <c r="R270" s="189">
        <v>8.9400000000000035E-2</v>
      </c>
      <c r="S270" s="191">
        <v>0.11028867505551448</v>
      </c>
      <c r="T270" s="189" t="s">
        <v>486</v>
      </c>
      <c r="U270" s="189" t="s">
        <v>426</v>
      </c>
      <c r="V270" s="189"/>
      <c r="W270" s="196">
        <v>1</v>
      </c>
      <c r="X270" s="189" t="s">
        <v>533</v>
      </c>
    </row>
    <row r="271" spans="2:24">
      <c r="B271" s="531"/>
      <c r="C271" s="531"/>
      <c r="D271" s="200">
        <v>165</v>
      </c>
      <c r="E271" s="189" t="s">
        <v>504</v>
      </c>
      <c r="F271" s="190">
        <v>224.21675999999968</v>
      </c>
      <c r="G271" s="189">
        <v>11.759</v>
      </c>
      <c r="H271" s="189">
        <v>12</v>
      </c>
      <c r="I271" s="201">
        <f t="shared" si="24"/>
        <v>1.0204949400459222</v>
      </c>
      <c r="J271" s="189">
        <v>0</v>
      </c>
      <c r="K271" s="201">
        <f t="shared" si="25"/>
        <v>0</v>
      </c>
      <c r="L271" s="190">
        <v>930.36</v>
      </c>
      <c r="M271" s="201">
        <f t="shared" si="26"/>
        <v>1.0204949400459222</v>
      </c>
      <c r="N271" s="190">
        <v>224.21675999999968</v>
      </c>
      <c r="O271" s="189">
        <v>0</v>
      </c>
      <c r="P271" s="191">
        <v>0</v>
      </c>
      <c r="Q271" s="250">
        <v>0</v>
      </c>
      <c r="R271" s="189">
        <v>0.24099999999999966</v>
      </c>
      <c r="S271" s="191">
        <v>2.0494940045922241E-2</v>
      </c>
      <c r="T271" s="189" t="s">
        <v>486</v>
      </c>
      <c r="U271" s="189" t="s">
        <v>426</v>
      </c>
      <c r="V271" s="189"/>
      <c r="W271" s="196">
        <v>1</v>
      </c>
      <c r="X271" s="189" t="s">
        <v>271</v>
      </c>
    </row>
    <row r="272" spans="2:24">
      <c r="B272" s="531"/>
      <c r="C272" s="531"/>
      <c r="D272" s="200">
        <v>166</v>
      </c>
      <c r="E272" s="189" t="s">
        <v>441</v>
      </c>
      <c r="F272" s="190">
        <v>217.24229999999977</v>
      </c>
      <c r="G272" s="189">
        <v>5.37</v>
      </c>
      <c r="H272" s="189">
        <v>5.6</v>
      </c>
      <c r="I272" s="201">
        <f t="shared" si="24"/>
        <v>1.042830540037244</v>
      </c>
      <c r="J272" s="189">
        <v>0.2</v>
      </c>
      <c r="K272" s="201">
        <f t="shared" si="25"/>
        <v>3.7243947858473E-2</v>
      </c>
      <c r="L272" s="190">
        <v>658.31</v>
      </c>
      <c r="M272" s="201">
        <f t="shared" si="26"/>
        <v>1.0800744878957169</v>
      </c>
      <c r="N272" s="190">
        <v>283.07329999999979</v>
      </c>
      <c r="O272" s="189">
        <v>0.1</v>
      </c>
      <c r="P272" s="191">
        <v>1.86219739292365E-2</v>
      </c>
      <c r="Q272" s="250">
        <v>65.831000000000003</v>
      </c>
      <c r="R272" s="189">
        <v>0.32999999999999974</v>
      </c>
      <c r="S272" s="191">
        <v>6.1452513966480396E-2</v>
      </c>
      <c r="T272" s="189" t="s">
        <v>486</v>
      </c>
      <c r="U272" s="189" t="s">
        <v>426</v>
      </c>
      <c r="V272" s="189"/>
      <c r="W272" s="196">
        <v>1</v>
      </c>
      <c r="X272" s="189" t="s">
        <v>293</v>
      </c>
    </row>
    <row r="273" spans="2:24">
      <c r="B273" s="531"/>
      <c r="C273" s="531"/>
      <c r="D273" s="200">
        <v>167</v>
      </c>
      <c r="E273" s="189" t="s">
        <v>433</v>
      </c>
      <c r="F273" s="190">
        <v>216.08053999999979</v>
      </c>
      <c r="G273" s="189">
        <v>46.253999999999998</v>
      </c>
      <c r="H273" s="189">
        <v>47.3</v>
      </c>
      <c r="I273" s="201">
        <f t="shared" si="24"/>
        <v>1.0226142603882908</v>
      </c>
      <c r="J273" s="189">
        <v>0</v>
      </c>
      <c r="K273" s="201">
        <f t="shared" si="25"/>
        <v>0</v>
      </c>
      <c r="L273" s="190">
        <v>334.49</v>
      </c>
      <c r="M273" s="201">
        <f t="shared" si="26"/>
        <v>1.0226142603882908</v>
      </c>
      <c r="N273" s="190">
        <v>349.87653999999981</v>
      </c>
      <c r="O273" s="189">
        <v>0.4</v>
      </c>
      <c r="P273" s="191">
        <v>8.6479007220997117E-3</v>
      </c>
      <c r="Q273" s="250">
        <v>133.79600000000002</v>
      </c>
      <c r="R273" s="189">
        <v>0.64599999999999935</v>
      </c>
      <c r="S273" s="191">
        <v>1.3966359666191018E-2</v>
      </c>
      <c r="T273" s="189" t="s">
        <v>483</v>
      </c>
      <c r="U273" s="189" t="s">
        <v>416</v>
      </c>
      <c r="V273" s="189"/>
      <c r="W273" s="196">
        <v>1</v>
      </c>
      <c r="X273" s="189" t="s">
        <v>278</v>
      </c>
    </row>
    <row r="274" spans="2:24">
      <c r="B274" s="531"/>
      <c r="C274" s="531"/>
      <c r="D274" s="200">
        <v>168</v>
      </c>
      <c r="E274" s="189" t="s">
        <v>409</v>
      </c>
      <c r="F274" s="190">
        <v>207.74544000000122</v>
      </c>
      <c r="G274" s="189">
        <v>22.742999999999999</v>
      </c>
      <c r="H274" s="189">
        <v>23.3</v>
      </c>
      <c r="I274" s="201">
        <f t="shared" si="24"/>
        <v>1.0244910521918833</v>
      </c>
      <c r="J274" s="189">
        <v>0</v>
      </c>
      <c r="K274" s="201">
        <f t="shared" si="25"/>
        <v>0</v>
      </c>
      <c r="L274" s="190">
        <v>581.91999999999996</v>
      </c>
      <c r="M274" s="201">
        <f t="shared" si="26"/>
        <v>1.0244910521918833</v>
      </c>
      <c r="N274" s="190">
        <v>324.12944000000124</v>
      </c>
      <c r="O274" s="189">
        <v>0.2</v>
      </c>
      <c r="P274" s="191">
        <v>8.7939146110891271E-3</v>
      </c>
      <c r="Q274" s="250">
        <v>116.384</v>
      </c>
      <c r="R274" s="189">
        <v>0.35700000000000215</v>
      </c>
      <c r="S274" s="191">
        <v>1.5697137580794187E-2</v>
      </c>
      <c r="T274" s="189" t="s">
        <v>483</v>
      </c>
      <c r="U274" s="189" t="s">
        <v>416</v>
      </c>
      <c r="V274" s="189"/>
      <c r="W274" s="196">
        <v>1</v>
      </c>
      <c r="X274" s="189" t="s">
        <v>277</v>
      </c>
    </row>
    <row r="275" spans="2:24">
      <c r="B275" s="531"/>
      <c r="C275" s="531"/>
      <c r="D275" s="200">
        <v>169</v>
      </c>
      <c r="E275" s="189" t="s">
        <v>582</v>
      </c>
      <c r="F275" s="190">
        <v>181.55520000000047</v>
      </c>
      <c r="G275" s="189">
        <v>66.92</v>
      </c>
      <c r="H275" s="189">
        <v>67.7</v>
      </c>
      <c r="I275" s="201">
        <f t="shared" si="24"/>
        <v>1.0116557083084279</v>
      </c>
      <c r="J275" s="189">
        <v>0</v>
      </c>
      <c r="K275" s="201">
        <f t="shared" si="25"/>
        <v>0</v>
      </c>
      <c r="L275" s="190">
        <v>378.24</v>
      </c>
      <c r="M275" s="201">
        <f t="shared" si="26"/>
        <v>1.0116557083084279</v>
      </c>
      <c r="N275" s="190">
        <v>295.02720000000045</v>
      </c>
      <c r="O275" s="189">
        <v>0.3</v>
      </c>
      <c r="P275" s="191">
        <v>4.4829647340107592E-3</v>
      </c>
      <c r="Q275" s="250">
        <v>113.47199999999999</v>
      </c>
      <c r="R275" s="189">
        <v>0.48000000000000115</v>
      </c>
      <c r="S275" s="191">
        <v>7.1727435744172313E-3</v>
      </c>
      <c r="T275" s="189" t="s">
        <v>483</v>
      </c>
      <c r="U275" s="189" t="s">
        <v>416</v>
      </c>
      <c r="V275" s="189"/>
      <c r="W275" s="196">
        <v>1</v>
      </c>
      <c r="X275" s="189" t="s">
        <v>232</v>
      </c>
    </row>
    <row r="276" spans="2:24">
      <c r="B276" s="531"/>
      <c r="C276" s="531"/>
      <c r="D276" s="200">
        <v>170</v>
      </c>
      <c r="E276" s="189" t="s">
        <v>507</v>
      </c>
      <c r="F276" s="190">
        <v>172.33529999999379</v>
      </c>
      <c r="G276" s="189">
        <v>83.79</v>
      </c>
      <c r="H276" s="189">
        <v>83.6</v>
      </c>
      <c r="I276" s="201">
        <f t="shared" si="24"/>
        <v>0.99773242630385472</v>
      </c>
      <c r="J276" s="189">
        <v>0.8</v>
      </c>
      <c r="K276" s="201">
        <f t="shared" si="25"/>
        <v>9.5476787206110504E-3</v>
      </c>
      <c r="L276" s="190">
        <v>420.33</v>
      </c>
      <c r="M276" s="201">
        <f t="shared" si="26"/>
        <v>1.0072801050244657</v>
      </c>
      <c r="N276" s="190">
        <v>256.4012999999938</v>
      </c>
      <c r="O276" s="189">
        <v>0.2</v>
      </c>
      <c r="P276" s="191">
        <v>2.3869196801527626E-3</v>
      </c>
      <c r="Q276" s="250">
        <v>84.066000000000003</v>
      </c>
      <c r="R276" s="189">
        <v>0.40999999999998521</v>
      </c>
      <c r="S276" s="191">
        <v>4.8931853443129874E-3</v>
      </c>
      <c r="T276" s="189" t="s">
        <v>486</v>
      </c>
      <c r="U276" s="189" t="s">
        <v>426</v>
      </c>
      <c r="V276" s="189"/>
      <c r="W276" s="196">
        <v>1</v>
      </c>
      <c r="X276" s="189" t="s">
        <v>297</v>
      </c>
    </row>
    <row r="277" spans="2:24">
      <c r="B277" s="533">
        <v>45897</v>
      </c>
      <c r="C277" s="531" t="s">
        <v>161</v>
      </c>
      <c r="D277" s="200">
        <v>171</v>
      </c>
      <c r="E277" s="189" t="s">
        <v>418</v>
      </c>
      <c r="F277" s="190">
        <v>313.17684000000219</v>
      </c>
      <c r="G277" s="189">
        <v>133.886</v>
      </c>
      <c r="H277" s="189">
        <v>134.19999999999999</v>
      </c>
      <c r="I277" s="201">
        <f t="shared" si="24"/>
        <v>1.0023452788192939</v>
      </c>
      <c r="J277" s="189">
        <v>0.3</v>
      </c>
      <c r="K277" s="201">
        <f t="shared" si="25"/>
        <v>2.2407122477331462E-3</v>
      </c>
      <c r="L277" s="190">
        <v>510.06</v>
      </c>
      <c r="M277" s="201">
        <f t="shared" si="26"/>
        <v>1.0045859910670272</v>
      </c>
      <c r="N277" s="190">
        <v>313.17684000000219</v>
      </c>
      <c r="O277" s="189">
        <v>0</v>
      </c>
      <c r="P277" s="191">
        <v>0</v>
      </c>
      <c r="Q277" s="250">
        <v>0</v>
      </c>
      <c r="R277" s="189">
        <v>0.61400000000000432</v>
      </c>
      <c r="S277" s="191">
        <v>4.5859910670272052E-3</v>
      </c>
      <c r="T277" s="189" t="s">
        <v>486</v>
      </c>
      <c r="U277" s="189" t="s">
        <v>435</v>
      </c>
      <c r="V277" s="189"/>
      <c r="W277" s="196">
        <v>1</v>
      </c>
      <c r="X277" s="189" t="s">
        <v>417</v>
      </c>
    </row>
    <row r="278" spans="2:24">
      <c r="B278" s="531"/>
      <c r="C278" s="531"/>
      <c r="D278" s="200">
        <v>172</v>
      </c>
      <c r="E278" s="189" t="s">
        <v>599</v>
      </c>
      <c r="F278" s="190">
        <v>278.10999999999996</v>
      </c>
      <c r="G278" s="189">
        <v>0.40410000000000001</v>
      </c>
      <c r="H278" s="189">
        <v>0.5</v>
      </c>
      <c r="I278" s="201">
        <f t="shared" si="24"/>
        <v>1.2373174956693886</v>
      </c>
      <c r="J278" s="189">
        <v>0</v>
      </c>
      <c r="K278" s="201">
        <f t="shared" si="25"/>
        <v>0</v>
      </c>
      <c r="L278" s="190">
        <v>2900</v>
      </c>
      <c r="M278" s="201">
        <f t="shared" si="26"/>
        <v>1.2373174956693886</v>
      </c>
      <c r="N278" s="190">
        <v>278.10999999999996</v>
      </c>
      <c r="O278" s="189">
        <v>0</v>
      </c>
      <c r="P278" s="191">
        <v>0</v>
      </c>
      <c r="Q278" s="250">
        <v>0</v>
      </c>
      <c r="R278" s="189">
        <v>9.5899999999999985E-2</v>
      </c>
      <c r="S278" s="191">
        <v>0.23731749566938873</v>
      </c>
      <c r="T278" s="189" t="s">
        <v>486</v>
      </c>
      <c r="U278" s="189" t="s">
        <v>426</v>
      </c>
      <c r="V278" s="189"/>
      <c r="W278" s="196">
        <v>1</v>
      </c>
      <c r="X278" s="189" t="s">
        <v>309</v>
      </c>
    </row>
    <row r="279" spans="2:24">
      <c r="B279" s="531"/>
      <c r="C279" s="531"/>
      <c r="D279" s="200">
        <v>173</v>
      </c>
      <c r="E279" s="189" t="s">
        <v>537</v>
      </c>
      <c r="F279" s="190">
        <v>236.92999999999998</v>
      </c>
      <c r="G279" s="189">
        <v>0.81830000000000003</v>
      </c>
      <c r="H279" s="189">
        <v>0.9</v>
      </c>
      <c r="I279" s="201">
        <f t="shared" si="24"/>
        <v>1.0998411340584138</v>
      </c>
      <c r="J279" s="189">
        <v>0</v>
      </c>
      <c r="K279" s="201">
        <f t="shared" si="25"/>
        <v>0</v>
      </c>
      <c r="L279" s="190">
        <v>2900</v>
      </c>
      <c r="M279" s="201">
        <f t="shared" si="26"/>
        <v>1.0998411340584138</v>
      </c>
      <c r="N279" s="190">
        <v>236.92999999999998</v>
      </c>
      <c r="O279" s="189">
        <v>0</v>
      </c>
      <c r="P279" s="191">
        <v>0</v>
      </c>
      <c r="Q279" s="250">
        <v>0</v>
      </c>
      <c r="R279" s="189">
        <v>8.1699999999999995E-2</v>
      </c>
      <c r="S279" s="191">
        <v>9.9841134058413772E-2</v>
      </c>
      <c r="T279" s="189" t="s">
        <v>486</v>
      </c>
      <c r="U279" s="189" t="s">
        <v>426</v>
      </c>
      <c r="V279" s="189"/>
      <c r="W279" s="196">
        <v>1</v>
      </c>
      <c r="X279" s="189" t="s">
        <v>533</v>
      </c>
    </row>
    <row r="280" spans="2:24">
      <c r="B280" s="531"/>
      <c r="C280" s="531"/>
      <c r="D280" s="200">
        <v>174</v>
      </c>
      <c r="E280" s="189" t="s">
        <v>566</v>
      </c>
      <c r="F280" s="190">
        <v>218.2840000000005</v>
      </c>
      <c r="G280" s="189">
        <v>22.616</v>
      </c>
      <c r="H280" s="189">
        <v>23.3</v>
      </c>
      <c r="I280" s="201">
        <f t="shared" si="24"/>
        <v>1.0302440749911568</v>
      </c>
      <c r="J280" s="189">
        <v>0</v>
      </c>
      <c r="K280" s="201">
        <f t="shared" si="25"/>
        <v>0</v>
      </c>
      <c r="L280" s="190">
        <v>451</v>
      </c>
      <c r="M280" s="201">
        <f t="shared" si="26"/>
        <v>1.0302440749911568</v>
      </c>
      <c r="N280" s="190">
        <v>308.48400000000049</v>
      </c>
      <c r="O280" s="189">
        <v>0.2</v>
      </c>
      <c r="P280" s="191">
        <v>8.8432967810399728E-3</v>
      </c>
      <c r="Q280" s="250">
        <v>90.2</v>
      </c>
      <c r="R280" s="189">
        <v>0.48400000000000104</v>
      </c>
      <c r="S280" s="191">
        <v>2.1400778210116777E-2</v>
      </c>
      <c r="T280" s="189" t="s">
        <v>483</v>
      </c>
      <c r="U280" s="189" t="s">
        <v>416</v>
      </c>
      <c r="V280" s="189"/>
      <c r="W280" s="196">
        <v>1</v>
      </c>
      <c r="X280" s="189" t="s">
        <v>284</v>
      </c>
    </row>
    <row r="281" spans="2:24">
      <c r="B281" s="531"/>
      <c r="C281" s="531"/>
      <c r="D281" s="200">
        <v>175</v>
      </c>
      <c r="E281" s="189" t="s">
        <v>521</v>
      </c>
      <c r="F281" s="190">
        <v>206.08616000000049</v>
      </c>
      <c r="G281" s="189">
        <v>28.007999999999999</v>
      </c>
      <c r="H281" s="189">
        <v>28.5</v>
      </c>
      <c r="I281" s="201">
        <f t="shared" si="24"/>
        <v>1.0175664095972579</v>
      </c>
      <c r="J281" s="189">
        <v>0</v>
      </c>
      <c r="K281" s="201">
        <f t="shared" si="25"/>
        <v>0</v>
      </c>
      <c r="L281" s="190">
        <v>525.73</v>
      </c>
      <c r="M281" s="201">
        <f t="shared" si="26"/>
        <v>1.0175664095972579</v>
      </c>
      <c r="N281" s="190">
        <v>258.6591600000005</v>
      </c>
      <c r="O281" s="189">
        <v>0.1</v>
      </c>
      <c r="P281" s="191">
        <v>3.5704084547272209E-3</v>
      </c>
      <c r="Q281" s="250">
        <v>52.573000000000008</v>
      </c>
      <c r="R281" s="189">
        <v>0.3920000000000009</v>
      </c>
      <c r="S281" s="191">
        <v>1.3996001142530738E-2</v>
      </c>
      <c r="T281" s="189" t="s">
        <v>486</v>
      </c>
      <c r="U281" s="189" t="s">
        <v>435</v>
      </c>
      <c r="V281" s="189"/>
      <c r="W281" s="196">
        <v>1</v>
      </c>
      <c r="X281" s="189" t="s">
        <v>285</v>
      </c>
    </row>
    <row r="282" spans="2:24">
      <c r="B282" s="531"/>
      <c r="C282" s="531"/>
      <c r="D282" s="200">
        <v>176</v>
      </c>
      <c r="E282" s="189" t="s">
        <v>440</v>
      </c>
      <c r="F282" s="190">
        <v>201.08576000000045</v>
      </c>
      <c r="G282" s="189">
        <v>25.847999999999999</v>
      </c>
      <c r="H282" s="189">
        <v>26.5</v>
      </c>
      <c r="I282" s="201">
        <f t="shared" si="24"/>
        <v>1.0252243887341381</v>
      </c>
      <c r="J282" s="189">
        <v>0</v>
      </c>
      <c r="K282" s="201">
        <f t="shared" si="25"/>
        <v>0</v>
      </c>
      <c r="L282" s="190">
        <v>444.88</v>
      </c>
      <c r="M282" s="201">
        <f t="shared" si="26"/>
        <v>1.0252243887341381</v>
      </c>
      <c r="N282" s="190">
        <v>290.06176000000045</v>
      </c>
      <c r="O282" s="189">
        <v>0.2</v>
      </c>
      <c r="P282" s="191">
        <v>7.7375425564840611E-3</v>
      </c>
      <c r="Q282" s="250">
        <v>88.975999999999999</v>
      </c>
      <c r="R282" s="189">
        <v>0.45200000000000101</v>
      </c>
      <c r="S282" s="191">
        <v>1.7486846177654017E-2</v>
      </c>
      <c r="T282" s="189" t="s">
        <v>486</v>
      </c>
      <c r="U282" s="189" t="s">
        <v>435</v>
      </c>
      <c r="V282" s="189"/>
      <c r="W282" s="196">
        <v>1</v>
      </c>
      <c r="X282" s="189" t="s">
        <v>286</v>
      </c>
    </row>
    <row r="283" spans="2:24">
      <c r="B283" s="531"/>
      <c r="C283" s="531"/>
      <c r="D283" s="200">
        <v>177</v>
      </c>
      <c r="E283" s="189" t="s">
        <v>441</v>
      </c>
      <c r="F283" s="190">
        <v>190.90990000000002</v>
      </c>
      <c r="G283" s="189">
        <v>5.01</v>
      </c>
      <c r="H283" s="189">
        <v>5.3</v>
      </c>
      <c r="I283" s="201">
        <f t="shared" si="24"/>
        <v>1.0578842315369261</v>
      </c>
      <c r="J283" s="189">
        <v>0</v>
      </c>
      <c r="K283" s="201">
        <f t="shared" si="25"/>
        <v>0</v>
      </c>
      <c r="L283" s="190">
        <v>658.31</v>
      </c>
      <c r="M283" s="201">
        <f t="shared" si="26"/>
        <v>1.0578842315369261</v>
      </c>
      <c r="N283" s="190">
        <v>190.90990000000002</v>
      </c>
      <c r="O283" s="189">
        <v>0</v>
      </c>
      <c r="P283" s="191">
        <v>0</v>
      </c>
      <c r="Q283" s="250">
        <v>0</v>
      </c>
      <c r="R283" s="189">
        <v>0.29000000000000004</v>
      </c>
      <c r="S283" s="191">
        <v>5.7884231536926158E-2</v>
      </c>
      <c r="T283" s="189" t="s">
        <v>486</v>
      </c>
      <c r="U283" s="189" t="s">
        <v>435</v>
      </c>
      <c r="V283" s="189"/>
      <c r="W283" s="196">
        <v>1</v>
      </c>
      <c r="X283" s="189" t="s">
        <v>293</v>
      </c>
    </row>
    <row r="284" spans="2:24">
      <c r="B284" s="531"/>
      <c r="C284" s="531"/>
      <c r="D284" s="200">
        <v>178</v>
      </c>
      <c r="E284" s="189" t="s">
        <v>427</v>
      </c>
      <c r="F284" s="190">
        <v>183.48197999999906</v>
      </c>
      <c r="G284" s="189">
        <v>17.658000000000001</v>
      </c>
      <c r="H284" s="189">
        <v>18</v>
      </c>
      <c r="I284" s="201">
        <f t="shared" si="24"/>
        <v>1.019367991845056</v>
      </c>
      <c r="J284" s="189">
        <v>0</v>
      </c>
      <c r="K284" s="201">
        <f t="shared" si="25"/>
        <v>0</v>
      </c>
      <c r="L284" s="190">
        <v>758.19</v>
      </c>
      <c r="M284" s="201">
        <f t="shared" si="26"/>
        <v>1.019367991845056</v>
      </c>
      <c r="N284" s="190">
        <v>259.30097999999907</v>
      </c>
      <c r="O284" s="189">
        <v>0.1</v>
      </c>
      <c r="P284" s="191">
        <v>5.6631555102503112E-3</v>
      </c>
      <c r="Q284" s="250">
        <v>75.819000000000003</v>
      </c>
      <c r="R284" s="189">
        <v>0.24199999999999874</v>
      </c>
      <c r="S284" s="191">
        <v>1.3704836334805681E-2</v>
      </c>
      <c r="T284" s="189" t="s">
        <v>486</v>
      </c>
      <c r="U284" s="189" t="s">
        <v>426</v>
      </c>
      <c r="V284" s="189"/>
      <c r="W284" s="196">
        <v>1</v>
      </c>
      <c r="X284" s="189" t="s">
        <v>323</v>
      </c>
    </row>
    <row r="285" spans="2:24">
      <c r="B285" s="531"/>
      <c r="C285" s="531"/>
      <c r="D285" s="200">
        <v>179</v>
      </c>
      <c r="E285" s="189" t="s">
        <v>532</v>
      </c>
      <c r="F285" s="190">
        <v>177.22703999999993</v>
      </c>
      <c r="G285" s="189">
        <v>14.028</v>
      </c>
      <c r="H285" s="189">
        <v>14.4</v>
      </c>
      <c r="I285" s="201">
        <f t="shared" si="24"/>
        <v>1.0265183917878529</v>
      </c>
      <c r="J285" s="189">
        <v>0</v>
      </c>
      <c r="K285" s="201">
        <f t="shared" si="25"/>
        <v>0</v>
      </c>
      <c r="L285" s="190">
        <v>651.57000000000005</v>
      </c>
      <c r="M285" s="201">
        <f t="shared" si="26"/>
        <v>1.0265183917878529</v>
      </c>
      <c r="N285" s="190">
        <v>242.38403999999994</v>
      </c>
      <c r="O285" s="189">
        <v>0.1</v>
      </c>
      <c r="P285" s="191">
        <v>7.1285999429712005E-3</v>
      </c>
      <c r="Q285" s="250">
        <v>65.157000000000011</v>
      </c>
      <c r="R285" s="189">
        <v>0.27199999999999991</v>
      </c>
      <c r="S285" s="191">
        <v>1.9389791844881658E-2</v>
      </c>
      <c r="T285" s="189" t="s">
        <v>483</v>
      </c>
      <c r="U285" s="189" t="s">
        <v>416</v>
      </c>
      <c r="V285" s="189"/>
      <c r="W285" s="196">
        <v>1</v>
      </c>
      <c r="X285" s="189" t="s">
        <v>533</v>
      </c>
    </row>
    <row r="286" spans="2:24">
      <c r="B286" s="531"/>
      <c r="C286" s="531"/>
      <c r="D286" s="200">
        <v>180</v>
      </c>
      <c r="E286" s="189" t="s">
        <v>507</v>
      </c>
      <c r="F286" s="190">
        <v>174.43695000000261</v>
      </c>
      <c r="G286" s="189">
        <v>81.584999999999994</v>
      </c>
      <c r="H286" s="189">
        <v>82</v>
      </c>
      <c r="I286" s="201">
        <f t="shared" si="24"/>
        <v>1.0050867193724338</v>
      </c>
      <c r="J286" s="189">
        <v>0</v>
      </c>
      <c r="K286" s="201">
        <f t="shared" si="25"/>
        <v>0</v>
      </c>
      <c r="L286" s="190">
        <v>420.33</v>
      </c>
      <c r="M286" s="201">
        <f t="shared" si="26"/>
        <v>1.0050867193724338</v>
      </c>
      <c r="N286" s="190">
        <v>174.43695000000261</v>
      </c>
      <c r="O286" s="189">
        <v>0</v>
      </c>
      <c r="P286" s="191">
        <v>0</v>
      </c>
      <c r="Q286" s="250">
        <v>0</v>
      </c>
      <c r="R286" s="189">
        <v>0.41500000000000625</v>
      </c>
      <c r="S286" s="191">
        <v>5.0867193724337349E-3</v>
      </c>
      <c r="T286" s="189" t="s">
        <v>486</v>
      </c>
      <c r="U286" s="189" t="s">
        <v>435</v>
      </c>
      <c r="V286" s="189"/>
      <c r="W286" s="196">
        <v>1</v>
      </c>
      <c r="X286" s="189" t="s">
        <v>297</v>
      </c>
    </row>
    <row r="287" spans="2:24">
      <c r="B287" s="533">
        <v>45898</v>
      </c>
      <c r="C287" s="531" t="s">
        <v>156</v>
      </c>
      <c r="D287" s="200">
        <v>181</v>
      </c>
      <c r="E287" s="189" t="s">
        <v>521</v>
      </c>
      <c r="F287" s="190">
        <v>237.62996000000055</v>
      </c>
      <c r="G287" s="189">
        <v>24.648</v>
      </c>
      <c r="H287" s="189">
        <v>25.3</v>
      </c>
      <c r="I287" s="201">
        <f t="shared" si="24"/>
        <v>1.0264524505030834</v>
      </c>
      <c r="J287" s="189">
        <v>0</v>
      </c>
      <c r="K287" s="201">
        <f t="shared" si="25"/>
        <v>0</v>
      </c>
      <c r="L287" s="190">
        <v>525.73</v>
      </c>
      <c r="M287" s="201">
        <f t="shared" si="26"/>
        <v>1.0264524505030834</v>
      </c>
      <c r="N287" s="190">
        <v>342.77596000000057</v>
      </c>
      <c r="O287" s="189">
        <v>0.2</v>
      </c>
      <c r="P287" s="191">
        <v>8.1142486205777343E-3</v>
      </c>
      <c r="Q287" s="250">
        <v>105.14600000000002</v>
      </c>
      <c r="R287" s="189">
        <v>0.45200000000000101</v>
      </c>
      <c r="S287" s="191">
        <v>1.833820188250572E-2</v>
      </c>
      <c r="T287" s="189" t="s">
        <v>486</v>
      </c>
      <c r="U287" s="189" t="s">
        <v>435</v>
      </c>
      <c r="V287" s="189"/>
      <c r="W287" s="196">
        <v>1</v>
      </c>
      <c r="X287" s="189" t="s">
        <v>285</v>
      </c>
    </row>
    <row r="288" spans="2:24">
      <c r="B288" s="531"/>
      <c r="C288" s="531"/>
      <c r="D288" s="200">
        <v>182</v>
      </c>
      <c r="E288" s="189" t="s">
        <v>440</v>
      </c>
      <c r="F288" s="190">
        <v>236.67616000000001</v>
      </c>
      <c r="G288" s="189">
        <v>23.867999999999999</v>
      </c>
      <c r="H288" s="189">
        <v>24.2</v>
      </c>
      <c r="I288" s="201">
        <f t="shared" si="24"/>
        <v>1.0139098374392492</v>
      </c>
      <c r="J288" s="189">
        <v>0.2</v>
      </c>
      <c r="K288" s="201">
        <f t="shared" si="25"/>
        <v>8.3794201441260274E-3</v>
      </c>
      <c r="L288" s="190">
        <v>444.88</v>
      </c>
      <c r="M288" s="201">
        <f t="shared" si="26"/>
        <v>1.0222892575833753</v>
      </c>
      <c r="N288" s="190">
        <v>236.67616000000001</v>
      </c>
      <c r="O288" s="189">
        <v>0</v>
      </c>
      <c r="P288" s="191">
        <v>0</v>
      </c>
      <c r="Q288" s="250">
        <v>0</v>
      </c>
      <c r="R288" s="189">
        <v>0.53200000000000003</v>
      </c>
      <c r="S288" s="191">
        <v>2.2289257583375233E-2</v>
      </c>
      <c r="T288" s="189" t="s">
        <v>435</v>
      </c>
      <c r="U288" s="189" t="s">
        <v>435</v>
      </c>
      <c r="V288" s="189"/>
      <c r="W288" s="196">
        <v>1</v>
      </c>
      <c r="X288" s="189" t="s">
        <v>286</v>
      </c>
    </row>
    <row r="289" spans="2:24">
      <c r="B289" s="531"/>
      <c r="C289" s="531"/>
      <c r="D289" s="200">
        <v>183</v>
      </c>
      <c r="E289" s="189" t="s">
        <v>418</v>
      </c>
      <c r="F289" s="190">
        <v>236.15778000000412</v>
      </c>
      <c r="G289" s="189">
        <v>123.937</v>
      </c>
      <c r="H289" s="189">
        <v>124.2</v>
      </c>
      <c r="I289" s="201">
        <f t="shared" si="24"/>
        <v>1.0021220458781479</v>
      </c>
      <c r="J289" s="189">
        <v>0.2</v>
      </c>
      <c r="K289" s="201">
        <f t="shared" si="25"/>
        <v>1.6137231012530561E-3</v>
      </c>
      <c r="L289" s="190">
        <v>510.06</v>
      </c>
      <c r="M289" s="201">
        <f t="shared" si="26"/>
        <v>1.0037357689794009</v>
      </c>
      <c r="N289" s="190">
        <v>236.15778000000412</v>
      </c>
      <c r="O289" s="189">
        <v>0</v>
      </c>
      <c r="P289" s="191">
        <v>0</v>
      </c>
      <c r="Q289" s="250">
        <v>0</v>
      </c>
      <c r="R289" s="189">
        <v>0.46300000000000807</v>
      </c>
      <c r="S289" s="191">
        <v>3.7357689794008898E-3</v>
      </c>
      <c r="T289" s="189" t="s">
        <v>435</v>
      </c>
      <c r="U289" s="189" t="s">
        <v>435</v>
      </c>
      <c r="V289" s="189"/>
      <c r="W289" s="196">
        <v>1</v>
      </c>
      <c r="X289" s="189" t="s">
        <v>417</v>
      </c>
    </row>
    <row r="290" spans="2:24">
      <c r="B290" s="531"/>
      <c r="C290" s="531"/>
      <c r="D290" s="200">
        <v>184</v>
      </c>
      <c r="E290" s="189" t="s">
        <v>489</v>
      </c>
      <c r="F290" s="190">
        <v>188.2856000000005</v>
      </c>
      <c r="G290" s="189">
        <v>29.207999999999998</v>
      </c>
      <c r="H290" s="189">
        <v>30</v>
      </c>
      <c r="I290" s="201">
        <f t="shared" si="24"/>
        <v>1.0271158586688578</v>
      </c>
      <c r="J290" s="189">
        <v>0</v>
      </c>
      <c r="K290" s="201">
        <f t="shared" si="25"/>
        <v>0</v>
      </c>
      <c r="L290" s="190">
        <v>318.05</v>
      </c>
      <c r="M290" s="201">
        <f t="shared" si="26"/>
        <v>1.0271158586688578</v>
      </c>
      <c r="N290" s="190">
        <v>251.89560000000051</v>
      </c>
      <c r="O290" s="189">
        <v>0.2</v>
      </c>
      <c r="P290" s="191">
        <v>6.8474390577923866E-3</v>
      </c>
      <c r="Q290" s="250">
        <v>63.610000000000007</v>
      </c>
      <c r="R290" s="189">
        <v>0.59200000000000164</v>
      </c>
      <c r="S290" s="191">
        <v>2.0268419611065517E-2</v>
      </c>
      <c r="T290" s="189" t="s">
        <v>435</v>
      </c>
      <c r="U290" s="189" t="s">
        <v>435</v>
      </c>
      <c r="V290" s="189"/>
      <c r="W290" s="196">
        <v>1</v>
      </c>
      <c r="X290" s="189" t="s">
        <v>303</v>
      </c>
    </row>
    <row r="291" spans="2:24">
      <c r="B291" s="531"/>
      <c r="C291" s="531"/>
      <c r="D291" s="200">
        <v>185</v>
      </c>
      <c r="E291" s="189" t="s">
        <v>588</v>
      </c>
      <c r="F291" s="190">
        <v>184.00000000000017</v>
      </c>
      <c r="G291" s="189">
        <v>2.1</v>
      </c>
      <c r="H291" s="189">
        <v>2.2000000000000002</v>
      </c>
      <c r="I291" s="201">
        <f t="shared" si="24"/>
        <v>1.0476190476190477</v>
      </c>
      <c r="J291" s="189">
        <v>0</v>
      </c>
      <c r="K291" s="201">
        <f t="shared" si="25"/>
        <v>0</v>
      </c>
      <c r="L291" s="190">
        <v>1840</v>
      </c>
      <c r="M291" s="201">
        <f t="shared" si="26"/>
        <v>1.0476190476190477</v>
      </c>
      <c r="N291" s="190">
        <v>184.00000000000017</v>
      </c>
      <c r="O291" s="189">
        <v>0</v>
      </c>
      <c r="P291" s="191">
        <v>0</v>
      </c>
      <c r="Q291" s="250">
        <v>0</v>
      </c>
      <c r="R291" s="189">
        <v>0.10000000000000009</v>
      </c>
      <c r="S291" s="191">
        <v>4.7619047619047658E-2</v>
      </c>
      <c r="T291" s="189" t="s">
        <v>435</v>
      </c>
      <c r="U291" s="189" t="s">
        <v>426</v>
      </c>
      <c r="V291" s="189"/>
      <c r="W291" s="196">
        <v>1</v>
      </c>
      <c r="X291" s="189" t="s">
        <v>213</v>
      </c>
    </row>
    <row r="292" spans="2:24">
      <c r="B292" s="531"/>
      <c r="C292" s="531"/>
      <c r="D292" s="200">
        <v>186</v>
      </c>
      <c r="E292" s="189" t="s">
        <v>507</v>
      </c>
      <c r="F292" s="190">
        <v>178.64025000000001</v>
      </c>
      <c r="G292" s="189">
        <v>70.174999999999997</v>
      </c>
      <c r="H292" s="189">
        <v>70.8</v>
      </c>
      <c r="I292" s="201">
        <f t="shared" si="24"/>
        <v>1.0089063056644103</v>
      </c>
      <c r="J292" s="189">
        <v>0</v>
      </c>
      <c r="K292" s="201">
        <f t="shared" si="25"/>
        <v>0</v>
      </c>
      <c r="L292" s="190">
        <v>420.33</v>
      </c>
      <c r="M292" s="201">
        <f t="shared" si="26"/>
        <v>1.0089063056644103</v>
      </c>
      <c r="N292" s="190">
        <v>262.70625000000001</v>
      </c>
      <c r="O292" s="189">
        <v>0.2</v>
      </c>
      <c r="P292" s="191">
        <v>2.8500178126113292E-3</v>
      </c>
      <c r="Q292" s="250">
        <v>84.066000000000003</v>
      </c>
      <c r="R292" s="189">
        <v>0.42499999999999999</v>
      </c>
      <c r="S292" s="191">
        <v>6.0562878517990736E-3</v>
      </c>
      <c r="T292" s="189" t="s">
        <v>435</v>
      </c>
      <c r="U292" s="189" t="s">
        <v>426</v>
      </c>
      <c r="V292" s="189"/>
      <c r="W292" s="196">
        <v>1</v>
      </c>
      <c r="X292" s="189" t="s">
        <v>297</v>
      </c>
    </row>
    <row r="293" spans="2:24">
      <c r="B293" s="531"/>
      <c r="C293" s="531"/>
      <c r="D293" s="200">
        <v>187</v>
      </c>
      <c r="E293" s="189" t="s">
        <v>438</v>
      </c>
      <c r="F293" s="190">
        <v>160.14101999999843</v>
      </c>
      <c r="G293" s="189">
        <v>45.862000000000002</v>
      </c>
      <c r="H293" s="189">
        <v>46.4</v>
      </c>
      <c r="I293" s="201">
        <f t="shared" si="24"/>
        <v>1.0117308447080371</v>
      </c>
      <c r="J293" s="189">
        <v>0</v>
      </c>
      <c r="K293" s="201">
        <f t="shared" si="25"/>
        <v>0</v>
      </c>
      <c r="L293" s="190">
        <v>473.79</v>
      </c>
      <c r="M293" s="201">
        <f t="shared" si="26"/>
        <v>1.0117308447080371</v>
      </c>
      <c r="N293" s="190">
        <v>254.89901999999844</v>
      </c>
      <c r="O293" s="189">
        <v>0.2</v>
      </c>
      <c r="P293" s="191">
        <v>4.3609088133967121E-3</v>
      </c>
      <c r="Q293" s="250">
        <v>94.75800000000001</v>
      </c>
      <c r="R293" s="189">
        <v>0.33799999999999669</v>
      </c>
      <c r="S293" s="191">
        <v>7.3699358946403707E-3</v>
      </c>
      <c r="T293" s="189" t="s">
        <v>435</v>
      </c>
      <c r="U293" s="189" t="s">
        <v>435</v>
      </c>
      <c r="V293" s="189"/>
      <c r="W293" s="196">
        <v>1</v>
      </c>
      <c r="X293" s="189" t="s">
        <v>417</v>
      </c>
    </row>
    <row r="294" spans="2:24">
      <c r="B294" s="531"/>
      <c r="C294" s="531"/>
      <c r="D294" s="200">
        <v>188</v>
      </c>
      <c r="E294" s="189" t="s">
        <v>563</v>
      </c>
      <c r="F294" s="190">
        <v>156.88831999999888</v>
      </c>
      <c r="G294" s="189">
        <v>113.792</v>
      </c>
      <c r="H294" s="189">
        <v>114.8</v>
      </c>
      <c r="I294" s="201">
        <f t="shared" si="24"/>
        <v>1.0088582677165354</v>
      </c>
      <c r="J294" s="189">
        <v>0</v>
      </c>
      <c r="K294" s="201">
        <f t="shared" si="25"/>
        <v>0</v>
      </c>
      <c r="L294" s="190">
        <v>258.04000000000002</v>
      </c>
      <c r="M294" s="201">
        <f t="shared" si="26"/>
        <v>1.0088582677165354</v>
      </c>
      <c r="N294" s="190">
        <v>260.10431999999889</v>
      </c>
      <c r="O294" s="189">
        <v>0.4</v>
      </c>
      <c r="P294" s="191">
        <v>3.515185601799775E-3</v>
      </c>
      <c r="Q294" s="250">
        <v>103.21600000000001</v>
      </c>
      <c r="R294" s="189">
        <v>0.60799999999999554</v>
      </c>
      <c r="S294" s="191">
        <v>5.3430821147356184E-3</v>
      </c>
      <c r="T294" s="189" t="s">
        <v>435</v>
      </c>
      <c r="U294" s="189" t="s">
        <v>426</v>
      </c>
      <c r="V294" s="189"/>
      <c r="W294" s="196">
        <v>1</v>
      </c>
      <c r="X294" s="189" t="s">
        <v>309</v>
      </c>
    </row>
    <row r="295" spans="2:24">
      <c r="B295" s="531"/>
      <c r="C295" s="531"/>
      <c r="D295" s="200">
        <v>189</v>
      </c>
      <c r="E295" s="189" t="s">
        <v>561</v>
      </c>
      <c r="F295" s="190">
        <v>155.22559999999993</v>
      </c>
      <c r="G295" s="189">
        <v>2.8380000000000001</v>
      </c>
      <c r="H295" s="189">
        <v>3.4</v>
      </c>
      <c r="I295" s="201">
        <f t="shared" si="24"/>
        <v>1.1980267794221282</v>
      </c>
      <c r="J295" s="189">
        <v>0</v>
      </c>
      <c r="K295" s="201">
        <f t="shared" si="25"/>
        <v>0</v>
      </c>
      <c r="L295" s="190">
        <v>428.8</v>
      </c>
      <c r="M295" s="201">
        <f t="shared" si="26"/>
        <v>1.1980267794221282</v>
      </c>
      <c r="N295" s="190">
        <v>240.98559999999995</v>
      </c>
      <c r="O295" s="189">
        <v>0.2</v>
      </c>
      <c r="P295" s="191">
        <v>7.0472163495419307E-2</v>
      </c>
      <c r="Q295" s="250">
        <v>85.76</v>
      </c>
      <c r="R295" s="189">
        <v>0.36199999999999982</v>
      </c>
      <c r="S295" s="191">
        <v>0.12755461592670889</v>
      </c>
      <c r="T295" s="189" t="s">
        <v>514</v>
      </c>
      <c r="U295" s="189" t="s">
        <v>500</v>
      </c>
      <c r="V295" s="189"/>
      <c r="W295" s="196">
        <v>1</v>
      </c>
      <c r="X295" s="189" t="s">
        <v>245</v>
      </c>
    </row>
    <row r="296" spans="2:24">
      <c r="B296" s="531"/>
      <c r="C296" s="531"/>
      <c r="D296" s="200">
        <v>190</v>
      </c>
      <c r="E296" s="189" t="s">
        <v>441</v>
      </c>
      <c r="F296" s="190">
        <v>154.70285000000021</v>
      </c>
      <c r="G296" s="189">
        <v>4.9649999999999999</v>
      </c>
      <c r="H296" s="189">
        <v>5.2</v>
      </c>
      <c r="I296" s="201">
        <f t="shared" si="24"/>
        <v>1.0473313192346425</v>
      </c>
      <c r="J296" s="189">
        <v>0</v>
      </c>
      <c r="K296" s="201">
        <f t="shared" si="25"/>
        <v>0</v>
      </c>
      <c r="L296" s="190">
        <v>658.31</v>
      </c>
      <c r="M296" s="201">
        <f t="shared" si="26"/>
        <v>1.0473313192346425</v>
      </c>
      <c r="N296" s="190">
        <v>154.70285000000021</v>
      </c>
      <c r="O296" s="189">
        <v>0</v>
      </c>
      <c r="P296" s="191">
        <v>0</v>
      </c>
      <c r="Q296" s="250">
        <v>0</v>
      </c>
      <c r="R296" s="189">
        <v>0.23500000000000032</v>
      </c>
      <c r="S296" s="191">
        <v>4.7331319234642566E-2</v>
      </c>
      <c r="T296" s="189" t="s">
        <v>435</v>
      </c>
      <c r="U296" s="189" t="s">
        <v>426</v>
      </c>
      <c r="V296" s="189"/>
      <c r="W296" s="196">
        <v>1</v>
      </c>
      <c r="X296" s="189" t="s">
        <v>293</v>
      </c>
    </row>
    <row r="297" spans="2:24">
      <c r="B297" s="533">
        <v>45899</v>
      </c>
      <c r="C297" s="531" t="s">
        <v>157</v>
      </c>
      <c r="D297" s="200">
        <v>191</v>
      </c>
      <c r="E297" s="189" t="s">
        <v>418</v>
      </c>
      <c r="F297" s="190">
        <v>299.40522000000891</v>
      </c>
      <c r="G297" s="189">
        <v>128.31299999999999</v>
      </c>
      <c r="H297" s="189">
        <v>128.6</v>
      </c>
      <c r="I297" s="201">
        <f t="shared" si="24"/>
        <v>1.0022367180254534</v>
      </c>
      <c r="J297" s="189">
        <v>0.3</v>
      </c>
      <c r="K297" s="201">
        <f t="shared" si="25"/>
        <v>2.3380327792195646E-3</v>
      </c>
      <c r="L297" s="190">
        <v>510.06</v>
      </c>
      <c r="M297" s="201">
        <f t="shared" si="26"/>
        <v>1.0045747508046732</v>
      </c>
      <c r="N297" s="190">
        <v>299.40522000000891</v>
      </c>
      <c r="O297" s="189">
        <v>0</v>
      </c>
      <c r="P297" s="191">
        <v>0</v>
      </c>
      <c r="Q297" s="250">
        <v>0</v>
      </c>
      <c r="R297" s="189">
        <v>0.58700000000001751</v>
      </c>
      <c r="S297" s="191">
        <v>4.5747508046730849E-3</v>
      </c>
      <c r="T297" s="189" t="s">
        <v>486</v>
      </c>
      <c r="U297" s="189" t="s">
        <v>435</v>
      </c>
      <c r="V297" s="189"/>
      <c r="W297" s="196">
        <v>1</v>
      </c>
      <c r="X297" s="189" t="s">
        <v>417</v>
      </c>
    </row>
    <row r="298" spans="2:24">
      <c r="B298" s="531"/>
      <c r="C298" s="531"/>
      <c r="D298" s="200">
        <v>192</v>
      </c>
      <c r="E298" s="189" t="s">
        <v>507</v>
      </c>
      <c r="F298" s="190">
        <v>205.96169999999901</v>
      </c>
      <c r="G298" s="189">
        <v>79.31</v>
      </c>
      <c r="H298" s="189">
        <v>80</v>
      </c>
      <c r="I298" s="201">
        <f t="shared" si="24"/>
        <v>1.0087000378262514</v>
      </c>
      <c r="J298" s="189">
        <v>0</v>
      </c>
      <c r="K298" s="201">
        <f t="shared" si="25"/>
        <v>0</v>
      </c>
      <c r="L298" s="190">
        <v>420.33</v>
      </c>
      <c r="M298" s="201">
        <f t="shared" si="26"/>
        <v>1.0087000378262514</v>
      </c>
      <c r="N298" s="190">
        <v>290.02769999999902</v>
      </c>
      <c r="O298" s="189">
        <v>0.2</v>
      </c>
      <c r="P298" s="191">
        <v>2.5217500945656285E-3</v>
      </c>
      <c r="Q298" s="250">
        <v>84.066000000000003</v>
      </c>
      <c r="R298" s="189">
        <v>0.48999999999999772</v>
      </c>
      <c r="S298" s="191">
        <v>6.1782877316857608E-3</v>
      </c>
      <c r="T298" s="189" t="s">
        <v>486</v>
      </c>
      <c r="U298" s="189" t="s">
        <v>426</v>
      </c>
      <c r="V298" s="189"/>
      <c r="W298" s="196">
        <v>1</v>
      </c>
      <c r="X298" s="189" t="s">
        <v>297</v>
      </c>
    </row>
    <row r="299" spans="2:24">
      <c r="B299" s="531"/>
      <c r="C299" s="531"/>
      <c r="D299" s="200">
        <v>193</v>
      </c>
      <c r="E299" s="189" t="s">
        <v>409</v>
      </c>
      <c r="F299" s="190">
        <v>201.92623999999824</v>
      </c>
      <c r="G299" s="189">
        <v>26.353000000000002</v>
      </c>
      <c r="H299" s="189">
        <v>26.9</v>
      </c>
      <c r="I299" s="201">
        <f t="shared" si="24"/>
        <v>1.0207566500967631</v>
      </c>
      <c r="J299" s="189">
        <v>0</v>
      </c>
      <c r="K299" s="201">
        <f t="shared" si="25"/>
        <v>0</v>
      </c>
      <c r="L299" s="190">
        <v>581.91999999999996</v>
      </c>
      <c r="M299" s="201">
        <f t="shared" si="26"/>
        <v>1.0207566500967631</v>
      </c>
      <c r="N299" s="190">
        <v>318.31023999999826</v>
      </c>
      <c r="O299" s="189">
        <v>0.2</v>
      </c>
      <c r="P299" s="191">
        <v>7.5892687739536292E-3</v>
      </c>
      <c r="Q299" s="250">
        <v>116.384</v>
      </c>
      <c r="R299" s="189">
        <v>0.34699999999999703</v>
      </c>
      <c r="S299" s="191">
        <v>1.3167381322809434E-2</v>
      </c>
      <c r="T299" s="189" t="s">
        <v>483</v>
      </c>
      <c r="U299" s="189" t="s">
        <v>416</v>
      </c>
      <c r="V299" s="189"/>
      <c r="W299" s="196">
        <v>1</v>
      </c>
      <c r="X299" s="189" t="s">
        <v>277</v>
      </c>
    </row>
    <row r="300" spans="2:24">
      <c r="B300" s="531"/>
      <c r="C300" s="531"/>
      <c r="D300" s="200">
        <v>194</v>
      </c>
      <c r="E300" s="189" t="s">
        <v>504</v>
      </c>
      <c r="F300" s="190">
        <v>200.95776000000069</v>
      </c>
      <c r="G300" s="189">
        <v>12.584</v>
      </c>
      <c r="H300" s="189">
        <v>12.9</v>
      </c>
      <c r="I300" s="201">
        <f t="shared" si="24"/>
        <v>1.0251112523839798</v>
      </c>
      <c r="J300" s="189">
        <v>0</v>
      </c>
      <c r="K300" s="201">
        <f t="shared" si="25"/>
        <v>0</v>
      </c>
      <c r="L300" s="190">
        <v>930.36</v>
      </c>
      <c r="M300" s="201">
        <f t="shared" si="26"/>
        <v>1.0251112523839798</v>
      </c>
      <c r="N300" s="190">
        <v>293.99376000000069</v>
      </c>
      <c r="O300" s="189">
        <v>0.1</v>
      </c>
      <c r="P300" s="191">
        <v>7.9465988556897647E-3</v>
      </c>
      <c r="Q300" s="250">
        <v>93.036000000000001</v>
      </c>
      <c r="R300" s="189">
        <v>0.21600000000000072</v>
      </c>
      <c r="S300" s="191">
        <v>1.7164653528289948E-2</v>
      </c>
      <c r="T300" s="189" t="s">
        <v>486</v>
      </c>
      <c r="U300" s="189" t="s">
        <v>426</v>
      </c>
      <c r="V300" s="189"/>
      <c r="W300" s="196">
        <v>1</v>
      </c>
      <c r="X300" s="189" t="s">
        <v>271</v>
      </c>
    </row>
    <row r="301" spans="2:24">
      <c r="B301" s="531"/>
      <c r="C301" s="531"/>
      <c r="D301" s="200">
        <v>195</v>
      </c>
      <c r="E301" s="189" t="s">
        <v>599</v>
      </c>
      <c r="F301" s="190">
        <v>184.7300000000001</v>
      </c>
      <c r="G301" s="189">
        <v>0.33629999999999999</v>
      </c>
      <c r="H301" s="189">
        <v>0.4</v>
      </c>
      <c r="I301" s="201">
        <f t="shared" si="24"/>
        <v>1.1894142134998513</v>
      </c>
      <c r="J301" s="189">
        <v>0</v>
      </c>
      <c r="K301" s="201">
        <f t="shared" si="25"/>
        <v>0</v>
      </c>
      <c r="L301" s="190">
        <v>2900</v>
      </c>
      <c r="M301" s="201">
        <f t="shared" si="26"/>
        <v>1.1894142134998513</v>
      </c>
      <c r="N301" s="190">
        <v>184.7300000000001</v>
      </c>
      <c r="O301" s="189">
        <v>0</v>
      </c>
      <c r="P301" s="191">
        <v>0</v>
      </c>
      <c r="Q301" s="250">
        <v>0</v>
      </c>
      <c r="R301" s="189">
        <v>6.3700000000000034E-2</v>
      </c>
      <c r="S301" s="191">
        <v>0.18941421349985144</v>
      </c>
      <c r="T301" s="189" t="s">
        <v>486</v>
      </c>
      <c r="U301" s="189" t="s">
        <v>426</v>
      </c>
      <c r="V301" s="189"/>
      <c r="W301" s="196">
        <v>1</v>
      </c>
      <c r="X301" s="189" t="s">
        <v>309</v>
      </c>
    </row>
    <row r="302" spans="2:24">
      <c r="B302" s="531"/>
      <c r="C302" s="531"/>
      <c r="D302" s="200">
        <v>196</v>
      </c>
      <c r="E302" s="189" t="s">
        <v>541</v>
      </c>
      <c r="F302" s="190">
        <v>166.63737000000035</v>
      </c>
      <c r="G302" s="189">
        <v>57.350999999999999</v>
      </c>
      <c r="H302" s="189">
        <v>58</v>
      </c>
      <c r="I302" s="201">
        <f t="shared" si="24"/>
        <v>1.0113162804484666</v>
      </c>
      <c r="J302" s="189">
        <v>0</v>
      </c>
      <c r="K302" s="201">
        <f t="shared" si="25"/>
        <v>0</v>
      </c>
      <c r="L302" s="190">
        <v>371.13</v>
      </c>
      <c r="M302" s="201">
        <f t="shared" si="26"/>
        <v>1.0113162804484666</v>
      </c>
      <c r="N302" s="190">
        <v>240.86337000000034</v>
      </c>
      <c r="O302" s="189">
        <v>0.2</v>
      </c>
      <c r="P302" s="191">
        <v>3.4872975187878155E-3</v>
      </c>
      <c r="Q302" s="250">
        <v>74.225999999999999</v>
      </c>
      <c r="R302" s="189">
        <v>0.4490000000000009</v>
      </c>
      <c r="S302" s="191">
        <v>7.8289829296786621E-3</v>
      </c>
      <c r="T302" s="189" t="s">
        <v>483</v>
      </c>
      <c r="U302" s="189" t="s">
        <v>416</v>
      </c>
      <c r="V302" s="189"/>
      <c r="W302" s="196">
        <v>1</v>
      </c>
      <c r="X302" s="189" t="s">
        <v>314</v>
      </c>
    </row>
    <row r="303" spans="2:24">
      <c r="B303" s="531"/>
      <c r="C303" s="531"/>
      <c r="D303" s="200">
        <v>197</v>
      </c>
      <c r="E303" s="189" t="s">
        <v>589</v>
      </c>
      <c r="F303" s="190">
        <v>165.59999999999974</v>
      </c>
      <c r="G303" s="189">
        <v>3.81</v>
      </c>
      <c r="H303" s="189">
        <v>3.9</v>
      </c>
      <c r="I303" s="201">
        <f t="shared" si="24"/>
        <v>1.0236220472440944</v>
      </c>
      <c r="J303" s="189">
        <v>0</v>
      </c>
      <c r="K303" s="201">
        <f t="shared" si="25"/>
        <v>0</v>
      </c>
      <c r="L303" s="190">
        <v>1840</v>
      </c>
      <c r="M303" s="201">
        <f t="shared" si="26"/>
        <v>1.0236220472440944</v>
      </c>
      <c r="N303" s="190">
        <v>165.59999999999974</v>
      </c>
      <c r="O303" s="189">
        <v>0</v>
      </c>
      <c r="P303" s="191">
        <v>0</v>
      </c>
      <c r="Q303" s="250">
        <v>0</v>
      </c>
      <c r="R303" s="189">
        <v>8.9999999999999858E-2</v>
      </c>
      <c r="S303" s="191">
        <v>2.362204724409445E-2</v>
      </c>
      <c r="T303" s="189" t="s">
        <v>486</v>
      </c>
      <c r="U303" s="189" t="s">
        <v>426</v>
      </c>
      <c r="V303" s="189"/>
      <c r="W303" s="196">
        <v>1</v>
      </c>
      <c r="X303" s="189" t="s">
        <v>419</v>
      </c>
    </row>
    <row r="304" spans="2:24">
      <c r="B304" s="531"/>
      <c r="C304" s="531"/>
      <c r="D304" s="200">
        <v>198</v>
      </c>
      <c r="E304" s="189" t="s">
        <v>521</v>
      </c>
      <c r="F304" s="190">
        <v>164.02776000000023</v>
      </c>
      <c r="G304" s="189">
        <v>27.288</v>
      </c>
      <c r="H304" s="189">
        <v>27.8</v>
      </c>
      <c r="I304" s="201">
        <f t="shared" si="24"/>
        <v>1.0187628261506889</v>
      </c>
      <c r="J304" s="189">
        <v>0</v>
      </c>
      <c r="K304" s="201">
        <f t="shared" si="25"/>
        <v>0</v>
      </c>
      <c r="L304" s="190">
        <v>525.73</v>
      </c>
      <c r="M304" s="201">
        <f t="shared" si="26"/>
        <v>1.0187628261506889</v>
      </c>
      <c r="N304" s="190">
        <v>269.17376000000024</v>
      </c>
      <c r="O304" s="189">
        <v>0.2</v>
      </c>
      <c r="P304" s="191">
        <v>7.3292289651128708E-3</v>
      </c>
      <c r="Q304" s="250">
        <v>105.14600000000002</v>
      </c>
      <c r="R304" s="189">
        <v>0.31200000000000044</v>
      </c>
      <c r="S304" s="191">
        <v>1.1433597185576093E-2</v>
      </c>
      <c r="T304" s="189" t="s">
        <v>486</v>
      </c>
      <c r="U304" s="189" t="s">
        <v>435</v>
      </c>
      <c r="V304" s="189"/>
      <c r="W304" s="196">
        <v>1</v>
      </c>
      <c r="X304" s="189" t="s">
        <v>285</v>
      </c>
    </row>
    <row r="305" spans="2:24">
      <c r="B305" s="531"/>
      <c r="C305" s="531"/>
      <c r="D305" s="200">
        <v>199</v>
      </c>
      <c r="E305" s="189" t="s">
        <v>440</v>
      </c>
      <c r="F305" s="190">
        <v>160.15680000000037</v>
      </c>
      <c r="G305" s="189">
        <v>25.74</v>
      </c>
      <c r="H305" s="189">
        <v>26.2</v>
      </c>
      <c r="I305" s="201">
        <f t="shared" si="24"/>
        <v>1.017871017871018</v>
      </c>
      <c r="J305" s="189">
        <v>0</v>
      </c>
      <c r="K305" s="201">
        <f t="shared" si="25"/>
        <v>0</v>
      </c>
      <c r="L305" s="190">
        <v>444.88</v>
      </c>
      <c r="M305" s="201">
        <f t="shared" si="26"/>
        <v>1.017871017871018</v>
      </c>
      <c r="N305" s="190">
        <v>204.64480000000037</v>
      </c>
      <c r="O305" s="189">
        <v>0.1</v>
      </c>
      <c r="P305" s="191">
        <v>3.8850038850038854E-3</v>
      </c>
      <c r="Q305" s="250">
        <v>44.488</v>
      </c>
      <c r="R305" s="189">
        <v>0.36000000000000087</v>
      </c>
      <c r="S305" s="191">
        <v>1.3986013986014021E-2</v>
      </c>
      <c r="T305" s="189" t="s">
        <v>486</v>
      </c>
      <c r="U305" s="189" t="s">
        <v>435</v>
      </c>
      <c r="V305" s="189"/>
      <c r="W305" s="196">
        <v>1</v>
      </c>
      <c r="X305" s="189" t="s">
        <v>286</v>
      </c>
    </row>
    <row r="306" spans="2:24">
      <c r="B306" s="531"/>
      <c r="C306" s="531"/>
      <c r="D306" s="200">
        <v>200</v>
      </c>
      <c r="E306" s="189" t="s">
        <v>543</v>
      </c>
      <c r="F306" s="190">
        <v>159.9078000000016</v>
      </c>
      <c r="G306" s="189">
        <v>446.77199999999999</v>
      </c>
      <c r="H306" s="189">
        <v>450.3</v>
      </c>
      <c r="I306" s="201">
        <f t="shared" si="24"/>
        <v>1.0078966452687277</v>
      </c>
      <c r="J306" s="189">
        <v>0</v>
      </c>
      <c r="K306" s="201">
        <f t="shared" si="25"/>
        <v>0</v>
      </c>
      <c r="L306" s="190">
        <v>78.849999999999994</v>
      </c>
      <c r="M306" s="201">
        <f t="shared" si="26"/>
        <v>1.0078966452687277</v>
      </c>
      <c r="N306" s="190">
        <v>278.18280000000158</v>
      </c>
      <c r="O306" s="189">
        <v>1.5</v>
      </c>
      <c r="P306" s="191">
        <v>3.3574172060916977E-3</v>
      </c>
      <c r="Q306" s="250">
        <v>118.27499999999999</v>
      </c>
      <c r="R306" s="189">
        <v>2.02800000000002</v>
      </c>
      <c r="S306" s="191">
        <v>4.5392280626360207E-3</v>
      </c>
      <c r="T306" s="189" t="s">
        <v>483</v>
      </c>
      <c r="U306" s="189" t="s">
        <v>416</v>
      </c>
      <c r="V306" s="189"/>
      <c r="W306" s="196">
        <v>1</v>
      </c>
      <c r="X306" s="189" t="s">
        <v>280</v>
      </c>
    </row>
    <row r="307" spans="2:24">
      <c r="B307" s="534">
        <v>45900</v>
      </c>
      <c r="C307" s="531" t="s">
        <v>152</v>
      </c>
      <c r="D307" s="200">
        <v>201</v>
      </c>
      <c r="E307" s="189" t="s">
        <v>541</v>
      </c>
      <c r="F307" s="190">
        <v>223.42026000000038</v>
      </c>
      <c r="G307" s="189">
        <v>61.698</v>
      </c>
      <c r="H307" s="189">
        <v>62.6</v>
      </c>
      <c r="I307" s="201">
        <f t="shared" si="24"/>
        <v>1.0146195986903952</v>
      </c>
      <c r="J307" s="189">
        <v>0</v>
      </c>
      <c r="K307" s="201">
        <f t="shared" si="25"/>
        <v>0</v>
      </c>
      <c r="L307" s="190">
        <v>371.13</v>
      </c>
      <c r="M307" s="201">
        <f t="shared" si="26"/>
        <v>1.0146195986903952</v>
      </c>
      <c r="N307" s="190">
        <v>334.75926000000038</v>
      </c>
      <c r="O307" s="189">
        <v>0.3</v>
      </c>
      <c r="P307" s="191">
        <v>4.8623942429252163E-3</v>
      </c>
      <c r="Q307" s="250">
        <v>111.339</v>
      </c>
      <c r="R307" s="189">
        <v>0.60200000000000098</v>
      </c>
      <c r="S307" s="191">
        <v>9.7572044474699502E-3</v>
      </c>
      <c r="T307" s="189" t="s">
        <v>483</v>
      </c>
      <c r="U307" s="189" t="s">
        <v>416</v>
      </c>
      <c r="V307" s="189"/>
      <c r="W307" s="196">
        <v>1</v>
      </c>
      <c r="X307" s="189" t="s">
        <v>314</v>
      </c>
    </row>
    <row r="308" spans="2:24">
      <c r="B308" s="535"/>
      <c r="C308" s="531"/>
      <c r="D308" s="200">
        <v>202</v>
      </c>
      <c r="E308" s="189" t="s">
        <v>418</v>
      </c>
      <c r="F308" s="190">
        <v>200.45358000000323</v>
      </c>
      <c r="G308" s="189">
        <v>153.107</v>
      </c>
      <c r="H308" s="189">
        <v>153.9</v>
      </c>
      <c r="I308" s="201">
        <f t="shared" si="24"/>
        <v>1.0051793843521197</v>
      </c>
      <c r="J308" s="189">
        <v>0</v>
      </c>
      <c r="K308" s="201">
        <f t="shared" si="25"/>
        <v>0</v>
      </c>
      <c r="L308" s="190">
        <v>510.06</v>
      </c>
      <c r="M308" s="201">
        <f t="shared" si="26"/>
        <v>1.0051793843521197</v>
      </c>
      <c r="N308" s="190">
        <v>404.47758000000323</v>
      </c>
      <c r="O308" s="189">
        <v>0.4</v>
      </c>
      <c r="P308" s="191">
        <v>2.6125520061133717E-3</v>
      </c>
      <c r="Q308" s="250">
        <v>204.024</v>
      </c>
      <c r="R308" s="189">
        <v>0.39300000000000634</v>
      </c>
      <c r="S308" s="191">
        <v>2.566832346006429E-3</v>
      </c>
      <c r="T308" s="189" t="s">
        <v>486</v>
      </c>
      <c r="U308" s="189" t="s">
        <v>435</v>
      </c>
      <c r="V308" s="189"/>
      <c r="W308" s="196">
        <v>1</v>
      </c>
      <c r="X308" s="189" t="s">
        <v>417</v>
      </c>
    </row>
    <row r="309" spans="2:24">
      <c r="B309" s="535"/>
      <c r="C309" s="531"/>
      <c r="D309" s="200">
        <v>203</v>
      </c>
      <c r="E309" s="189" t="s">
        <v>427</v>
      </c>
      <c r="F309" s="190">
        <v>186.51473999999899</v>
      </c>
      <c r="G309" s="189">
        <v>19.254000000000001</v>
      </c>
      <c r="H309" s="189">
        <v>19.5</v>
      </c>
      <c r="I309" s="201">
        <f t="shared" si="24"/>
        <v>1.0127765659083825</v>
      </c>
      <c r="J309" s="189">
        <v>0</v>
      </c>
      <c r="K309" s="201">
        <f t="shared" si="25"/>
        <v>0</v>
      </c>
      <c r="L309" s="190">
        <v>758.19</v>
      </c>
      <c r="M309" s="201">
        <f t="shared" si="26"/>
        <v>1.0127765659083825</v>
      </c>
      <c r="N309" s="190">
        <v>186.51473999999899</v>
      </c>
      <c r="O309" s="189">
        <v>0</v>
      </c>
      <c r="P309" s="191">
        <v>0</v>
      </c>
      <c r="Q309" s="250">
        <v>0</v>
      </c>
      <c r="R309" s="189">
        <v>0.24599999999999866</v>
      </c>
      <c r="S309" s="191">
        <v>1.2776565908382604E-2</v>
      </c>
      <c r="T309" s="189" t="s">
        <v>486</v>
      </c>
      <c r="U309" s="189" t="s">
        <v>426</v>
      </c>
      <c r="V309" s="189"/>
      <c r="W309" s="196">
        <v>1</v>
      </c>
      <c r="X309" s="189" t="s">
        <v>323</v>
      </c>
    </row>
    <row r="310" spans="2:24">
      <c r="B310" s="535"/>
      <c r="C310" s="531"/>
      <c r="D310" s="200">
        <v>204</v>
      </c>
      <c r="E310" s="189" t="s">
        <v>521</v>
      </c>
      <c r="F310" s="190">
        <v>170.33652000000046</v>
      </c>
      <c r="G310" s="189">
        <v>28.776</v>
      </c>
      <c r="H310" s="189">
        <v>29.3</v>
      </c>
      <c r="I310" s="201">
        <f t="shared" si="24"/>
        <v>1.0182096191270504</v>
      </c>
      <c r="J310" s="189">
        <v>0</v>
      </c>
      <c r="K310" s="201">
        <f t="shared" si="25"/>
        <v>0</v>
      </c>
      <c r="L310" s="190">
        <v>525.73</v>
      </c>
      <c r="M310" s="201">
        <f t="shared" si="26"/>
        <v>1.0182096191270504</v>
      </c>
      <c r="N310" s="190">
        <v>275.48252000000048</v>
      </c>
      <c r="O310" s="189">
        <v>0.2</v>
      </c>
      <c r="P310" s="191">
        <v>6.9502363080344732E-3</v>
      </c>
      <c r="Q310" s="250">
        <v>105.14600000000002</v>
      </c>
      <c r="R310" s="189">
        <v>0.3240000000000009</v>
      </c>
      <c r="S310" s="191">
        <v>1.1259382819015878E-2</v>
      </c>
      <c r="T310" s="189" t="s">
        <v>486</v>
      </c>
      <c r="U310" s="189" t="s">
        <v>435</v>
      </c>
      <c r="V310" s="189"/>
      <c r="W310" s="196">
        <v>1</v>
      </c>
      <c r="X310" s="189" t="s">
        <v>285</v>
      </c>
    </row>
    <row r="311" spans="2:24">
      <c r="B311" s="535"/>
      <c r="C311" s="531"/>
      <c r="D311" s="200">
        <v>205</v>
      </c>
      <c r="E311" s="189" t="s">
        <v>588</v>
      </c>
      <c r="F311" s="190">
        <v>165.60000000000056</v>
      </c>
      <c r="G311" s="189">
        <v>2.5099999999999998</v>
      </c>
      <c r="H311" s="189">
        <v>2.6</v>
      </c>
      <c r="I311" s="201">
        <f t="shared" si="24"/>
        <v>1.0358565737051795</v>
      </c>
      <c r="J311" s="189">
        <v>0</v>
      </c>
      <c r="K311" s="201">
        <f t="shared" si="25"/>
        <v>0</v>
      </c>
      <c r="L311" s="190">
        <v>1840</v>
      </c>
      <c r="M311" s="201">
        <f t="shared" si="26"/>
        <v>1.0358565737051795</v>
      </c>
      <c r="N311" s="190">
        <v>165.60000000000056</v>
      </c>
      <c r="O311" s="189">
        <v>0</v>
      </c>
      <c r="P311" s="191">
        <v>0</v>
      </c>
      <c r="Q311" s="250">
        <v>0</v>
      </c>
      <c r="R311" s="189">
        <v>9.0000000000000302E-2</v>
      </c>
      <c r="S311" s="191">
        <v>3.5856573705179404E-2</v>
      </c>
      <c r="T311" s="189" t="s">
        <v>486</v>
      </c>
      <c r="U311" s="189" t="s">
        <v>426</v>
      </c>
      <c r="V311" s="189"/>
      <c r="W311" s="196">
        <v>1</v>
      </c>
      <c r="X311" s="189" t="s">
        <v>213</v>
      </c>
    </row>
    <row r="312" spans="2:24">
      <c r="B312" s="535"/>
      <c r="C312" s="531"/>
      <c r="D312" s="200">
        <v>206</v>
      </c>
      <c r="E312" s="189" t="s">
        <v>538</v>
      </c>
      <c r="F312" s="190">
        <v>162.45824000000118</v>
      </c>
      <c r="G312" s="189">
        <v>47.951999999999998</v>
      </c>
      <c r="H312" s="189">
        <v>48.6</v>
      </c>
      <c r="I312" s="201">
        <f t="shared" si="24"/>
        <v>1.0135135135135136</v>
      </c>
      <c r="J312" s="189">
        <v>0</v>
      </c>
      <c r="K312" s="201">
        <f t="shared" si="25"/>
        <v>0</v>
      </c>
      <c r="L312" s="190">
        <v>362.63</v>
      </c>
      <c r="M312" s="201">
        <f t="shared" si="26"/>
        <v>1.0135135135135136</v>
      </c>
      <c r="N312" s="190">
        <v>234.98424000000117</v>
      </c>
      <c r="O312" s="189">
        <v>0.2</v>
      </c>
      <c r="P312" s="191">
        <v>4.170837504170838E-3</v>
      </c>
      <c r="Q312" s="250">
        <v>72.525999999999996</v>
      </c>
      <c r="R312" s="189">
        <v>0.44800000000000323</v>
      </c>
      <c r="S312" s="191">
        <v>9.342676009342743E-3</v>
      </c>
      <c r="T312" s="189" t="s">
        <v>483</v>
      </c>
      <c r="U312" s="189" t="s">
        <v>416</v>
      </c>
      <c r="V312" s="189"/>
      <c r="W312" s="196">
        <v>1</v>
      </c>
      <c r="X312" s="189" t="s">
        <v>539</v>
      </c>
    </row>
    <row r="313" spans="2:24">
      <c r="B313" s="535"/>
      <c r="C313" s="531"/>
      <c r="D313" s="200">
        <v>207</v>
      </c>
      <c r="E313" s="189" t="s">
        <v>438</v>
      </c>
      <c r="F313" s="190">
        <v>160.61481000000069</v>
      </c>
      <c r="G313" s="189">
        <v>53.061</v>
      </c>
      <c r="H313" s="189">
        <v>53.6</v>
      </c>
      <c r="I313" s="201">
        <f t="shared" si="24"/>
        <v>1.010158119899738</v>
      </c>
      <c r="J313" s="189">
        <v>0</v>
      </c>
      <c r="K313" s="201">
        <f t="shared" si="25"/>
        <v>0</v>
      </c>
      <c r="L313" s="190">
        <v>473.79</v>
      </c>
      <c r="M313" s="201">
        <f t="shared" si="26"/>
        <v>1.010158119899738</v>
      </c>
      <c r="N313" s="190">
        <v>255.3728100000007</v>
      </c>
      <c r="O313" s="189">
        <v>0.2</v>
      </c>
      <c r="P313" s="191">
        <v>3.7692467160437989E-3</v>
      </c>
      <c r="Q313" s="250">
        <v>94.75800000000001</v>
      </c>
      <c r="R313" s="189">
        <v>0.33900000000000147</v>
      </c>
      <c r="S313" s="191">
        <v>6.3888731836942662E-3</v>
      </c>
      <c r="T313" s="189" t="s">
        <v>486</v>
      </c>
      <c r="U313" s="189" t="s">
        <v>435</v>
      </c>
      <c r="V313" s="189"/>
      <c r="W313" s="196">
        <v>1</v>
      </c>
      <c r="X313" s="189" t="s">
        <v>417</v>
      </c>
    </row>
    <row r="314" spans="2:24">
      <c r="B314" s="535"/>
      <c r="C314" s="531"/>
      <c r="D314" s="200">
        <v>208</v>
      </c>
      <c r="E314" s="189" t="s">
        <v>563</v>
      </c>
      <c r="F314" s="190">
        <v>152.75968000000117</v>
      </c>
      <c r="G314" s="189">
        <v>126.208</v>
      </c>
      <c r="H314" s="189">
        <v>127.2</v>
      </c>
      <c r="I314" s="201">
        <f t="shared" si="24"/>
        <v>1.0078600405679514</v>
      </c>
      <c r="J314" s="189">
        <v>0</v>
      </c>
      <c r="K314" s="201">
        <f t="shared" si="25"/>
        <v>0</v>
      </c>
      <c r="L314" s="190">
        <v>258.04000000000002</v>
      </c>
      <c r="M314" s="201">
        <f t="shared" si="26"/>
        <v>1.0078600405679514</v>
      </c>
      <c r="N314" s="190">
        <v>255.97568000000118</v>
      </c>
      <c r="O314" s="189">
        <v>0.4</v>
      </c>
      <c r="P314" s="191">
        <v>3.1693711967545643E-3</v>
      </c>
      <c r="Q314" s="250">
        <v>103.21600000000001</v>
      </c>
      <c r="R314" s="189">
        <v>0.59200000000000441</v>
      </c>
      <c r="S314" s="191">
        <v>4.6906693711967892E-3</v>
      </c>
      <c r="T314" s="189" t="s">
        <v>486</v>
      </c>
      <c r="U314" s="189" t="s">
        <v>426</v>
      </c>
      <c r="V314" s="189"/>
      <c r="W314" s="196">
        <v>1</v>
      </c>
      <c r="X314" s="189" t="s">
        <v>309</v>
      </c>
    </row>
    <row r="315" spans="2:24">
      <c r="B315" s="535"/>
      <c r="C315" s="531"/>
      <c r="D315" s="200">
        <v>209</v>
      </c>
      <c r="E315" s="189" t="s">
        <v>507</v>
      </c>
      <c r="F315" s="190">
        <v>149.21715000000046</v>
      </c>
      <c r="G315" s="189">
        <v>98.944999999999993</v>
      </c>
      <c r="H315" s="189">
        <v>99.6</v>
      </c>
      <c r="I315" s="201">
        <f t="shared" si="24"/>
        <v>1.0066198393046641</v>
      </c>
      <c r="J315" s="189">
        <v>0</v>
      </c>
      <c r="K315" s="201">
        <f t="shared" si="25"/>
        <v>0</v>
      </c>
      <c r="L315" s="190">
        <v>420.33</v>
      </c>
      <c r="M315" s="201">
        <f t="shared" si="26"/>
        <v>1.0066198393046641</v>
      </c>
      <c r="N315" s="190">
        <v>275.31615000000045</v>
      </c>
      <c r="O315" s="189">
        <v>0.3</v>
      </c>
      <c r="P315" s="191">
        <v>3.0319874677851334E-3</v>
      </c>
      <c r="Q315" s="250">
        <v>126.09899999999999</v>
      </c>
      <c r="R315" s="189">
        <v>0.35500000000000115</v>
      </c>
      <c r="S315" s="191">
        <v>3.587851836879086E-3</v>
      </c>
      <c r="T315" s="189" t="s">
        <v>486</v>
      </c>
      <c r="U315" s="189" t="s">
        <v>426</v>
      </c>
      <c r="V315" s="189"/>
      <c r="W315" s="196">
        <v>1</v>
      </c>
      <c r="X315" s="189" t="s">
        <v>297</v>
      </c>
    </row>
    <row r="316" spans="2:24">
      <c r="B316" s="535"/>
      <c r="C316" s="531"/>
      <c r="D316" s="200">
        <v>210</v>
      </c>
      <c r="E316" s="189" t="s">
        <v>543</v>
      </c>
      <c r="F316" s="190">
        <v>147.76490000000007</v>
      </c>
      <c r="G316" s="189">
        <v>463.32600000000002</v>
      </c>
      <c r="H316" s="189">
        <v>465.6</v>
      </c>
      <c r="I316" s="201">
        <f t="shared" si="24"/>
        <v>1.0049079913495034</v>
      </c>
      <c r="J316" s="189">
        <v>0</v>
      </c>
      <c r="K316" s="201">
        <f t="shared" si="25"/>
        <v>0</v>
      </c>
      <c r="L316" s="190">
        <v>78.849999999999994</v>
      </c>
      <c r="M316" s="201">
        <f t="shared" si="26"/>
        <v>1.0049079913495034</v>
      </c>
      <c r="N316" s="190">
        <v>179.30490000000006</v>
      </c>
      <c r="O316" s="189">
        <v>0.4</v>
      </c>
      <c r="P316" s="191">
        <v>8.6332301662328471E-4</v>
      </c>
      <c r="Q316" s="250">
        <v>31.54</v>
      </c>
      <c r="R316" s="189">
        <v>1.874000000000001</v>
      </c>
      <c r="S316" s="191">
        <v>4.0446683328800911E-3</v>
      </c>
      <c r="T316" s="189" t="s">
        <v>494</v>
      </c>
      <c r="U316" s="189" t="s">
        <v>500</v>
      </c>
      <c r="V316" s="189"/>
      <c r="W316" s="196">
        <v>1</v>
      </c>
      <c r="X316" s="189" t="s">
        <v>280</v>
      </c>
    </row>
    <row r="317" spans="2:24">
      <c r="C317" s="532"/>
    </row>
    <row r="318" spans="2:24">
      <c r="C318" s="532"/>
    </row>
    <row r="319" spans="2:24">
      <c r="C319" s="532"/>
    </row>
    <row r="320" spans="2:24">
      <c r="C320" s="532"/>
    </row>
    <row r="321" spans="3:3">
      <c r="C321" s="532"/>
    </row>
    <row r="322" spans="3:3">
      <c r="C322" s="532"/>
    </row>
    <row r="323" spans="3:3">
      <c r="C323" s="532"/>
    </row>
    <row r="324" spans="3:3">
      <c r="C324" s="532"/>
    </row>
    <row r="325" spans="3:3">
      <c r="C325" s="532"/>
    </row>
    <row r="326" spans="3:3">
      <c r="C326" s="532"/>
    </row>
  </sheetData>
  <mergeCells count="82"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17:B226"/>
    <mergeCell ref="C217:C226"/>
    <mergeCell ref="B227:B236"/>
    <mergeCell ref="C227:C236"/>
    <mergeCell ref="B237:B246"/>
    <mergeCell ref="C237:C246"/>
    <mergeCell ref="B187:B196"/>
    <mergeCell ref="C187:C196"/>
    <mergeCell ref="B197:B206"/>
    <mergeCell ref="C197:C206"/>
    <mergeCell ref="B207:B216"/>
    <mergeCell ref="C207:C216"/>
    <mergeCell ref="B157:B166"/>
    <mergeCell ref="C157:C166"/>
    <mergeCell ref="B167:B176"/>
    <mergeCell ref="C167:C176"/>
    <mergeCell ref="B177:B186"/>
    <mergeCell ref="C177:C18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6"/>
    <col min="3" max="3" width="14" style="206" bestFit="1" customWidth="1"/>
    <col min="4" max="4" width="0.28515625" style="206" customWidth="1"/>
    <col min="5" max="5" width="8.7109375" style="206"/>
    <col min="6" max="6" width="16.28515625" style="206" bestFit="1" customWidth="1"/>
    <col min="7" max="16384" width="8.7109375" style="206"/>
  </cols>
  <sheetData>
    <row r="2" spans="2:7" ht="15.75">
      <c r="B2" s="557" t="s">
        <v>601</v>
      </c>
      <c r="C2" s="557"/>
      <c r="D2" s="557"/>
      <c r="E2" s="557"/>
      <c r="F2" s="557"/>
    </row>
    <row r="3" spans="2:7" ht="15">
      <c r="B3" s="207" t="s">
        <v>602</v>
      </c>
      <c r="C3" s="207" t="s">
        <v>603</v>
      </c>
      <c r="D3" s="208"/>
      <c r="E3" s="207" t="s">
        <v>604</v>
      </c>
      <c r="F3" s="207" t="s">
        <v>605</v>
      </c>
      <c r="G3" s="208"/>
    </row>
    <row r="4" spans="2:7" ht="15">
      <c r="B4" s="209" t="s">
        <v>606</v>
      </c>
      <c r="C4" s="209" t="s">
        <v>607</v>
      </c>
      <c r="D4" s="208"/>
      <c r="E4" s="209" t="s">
        <v>608</v>
      </c>
      <c r="F4" s="209" t="s">
        <v>609</v>
      </c>
      <c r="G4" s="208"/>
    </row>
    <row r="5" spans="2:7" ht="15">
      <c r="B5" s="209" t="s">
        <v>610</v>
      </c>
      <c r="C5" s="209" t="s">
        <v>611</v>
      </c>
      <c r="D5" s="208"/>
      <c r="E5" s="209" t="s">
        <v>612</v>
      </c>
      <c r="F5" s="209" t="s">
        <v>613</v>
      </c>
      <c r="G5" s="208"/>
    </row>
    <row r="6" spans="2:7" ht="15">
      <c r="B6" s="209" t="s">
        <v>614</v>
      </c>
      <c r="C6" s="209" t="s">
        <v>615</v>
      </c>
      <c r="D6" s="208"/>
      <c r="E6" s="210" t="s">
        <v>616</v>
      </c>
      <c r="F6" s="210" t="s">
        <v>377</v>
      </c>
      <c r="G6" s="208"/>
    </row>
    <row r="7" spans="2:7" ht="15">
      <c r="B7" s="210" t="s">
        <v>617</v>
      </c>
      <c r="C7" s="210" t="s">
        <v>618</v>
      </c>
      <c r="D7" s="208"/>
      <c r="E7" s="209" t="s">
        <v>619</v>
      </c>
      <c r="F7" s="209" t="s">
        <v>620</v>
      </c>
      <c r="G7" s="208"/>
    </row>
    <row r="8" spans="2:7" ht="15">
      <c r="B8" s="209" t="s">
        <v>621</v>
      </c>
      <c r="C8" s="209" t="s">
        <v>622</v>
      </c>
      <c r="D8" s="208"/>
      <c r="E8" s="209" t="s">
        <v>623</v>
      </c>
      <c r="F8" s="209" t="s">
        <v>624</v>
      </c>
      <c r="G8" s="208"/>
    </row>
    <row r="9" spans="2:7" ht="15">
      <c r="B9" s="209" t="s">
        <v>625</v>
      </c>
      <c r="C9" s="209" t="s">
        <v>626</v>
      </c>
      <c r="D9" s="208"/>
      <c r="E9" s="210" t="s">
        <v>627</v>
      </c>
      <c r="F9" s="210" t="s">
        <v>372</v>
      </c>
      <c r="G9" s="208"/>
    </row>
    <row r="10" spans="2:7" ht="15">
      <c r="B10" s="209" t="s">
        <v>628</v>
      </c>
      <c r="C10" s="209" t="s">
        <v>629</v>
      </c>
      <c r="D10" s="208"/>
      <c r="E10" s="209" t="s">
        <v>630</v>
      </c>
      <c r="F10" s="209" t="s">
        <v>631</v>
      </c>
      <c r="G10" s="208"/>
    </row>
    <row r="11" spans="2:7" ht="15">
      <c r="B11" s="209" t="s">
        <v>632</v>
      </c>
      <c r="C11" s="209" t="s">
        <v>633</v>
      </c>
      <c r="D11" s="208"/>
      <c r="E11" s="209" t="s">
        <v>634</v>
      </c>
      <c r="F11" s="209" t="s">
        <v>624</v>
      </c>
      <c r="G11" s="208"/>
    </row>
    <row r="12" spans="2:7" ht="15">
      <c r="B12" s="209" t="s">
        <v>635</v>
      </c>
      <c r="C12" s="209" t="s">
        <v>636</v>
      </c>
      <c r="D12" s="208"/>
      <c r="E12" s="209" t="s">
        <v>637</v>
      </c>
      <c r="F12" s="209" t="s">
        <v>638</v>
      </c>
      <c r="G12" s="208"/>
    </row>
    <row r="13" spans="2:7" ht="15">
      <c r="B13" s="210" t="s">
        <v>639</v>
      </c>
      <c r="C13" s="210" t="s">
        <v>334</v>
      </c>
      <c r="D13" s="208"/>
      <c r="E13" s="209" t="s">
        <v>640</v>
      </c>
      <c r="F13" s="209" t="s">
        <v>641</v>
      </c>
      <c r="G13" s="208"/>
    </row>
    <row r="14" spans="2:7" ht="15">
      <c r="B14" s="209" t="s">
        <v>642</v>
      </c>
      <c r="C14" s="209" t="s">
        <v>643</v>
      </c>
      <c r="D14" s="208"/>
      <c r="E14" s="210" t="s">
        <v>644</v>
      </c>
      <c r="F14" s="210" t="s">
        <v>645</v>
      </c>
      <c r="G14" s="208"/>
    </row>
    <row r="15" spans="2:7" ht="15">
      <c r="B15" s="210" t="s">
        <v>646</v>
      </c>
      <c r="C15" s="210" t="s">
        <v>647</v>
      </c>
      <c r="D15" s="208"/>
      <c r="E15" s="209" t="s">
        <v>648</v>
      </c>
      <c r="F15" s="209" t="s">
        <v>645</v>
      </c>
      <c r="G15" s="208"/>
    </row>
    <row r="16" spans="2:7" ht="15">
      <c r="B16" s="209" t="s">
        <v>649</v>
      </c>
      <c r="C16" s="209" t="s">
        <v>650</v>
      </c>
      <c r="D16" s="208"/>
      <c r="E16" s="210" t="s">
        <v>651</v>
      </c>
      <c r="F16" s="210" t="s">
        <v>652</v>
      </c>
      <c r="G16" s="208"/>
    </row>
    <row r="17" spans="2:7" ht="15">
      <c r="B17" s="209" t="s">
        <v>653</v>
      </c>
      <c r="C17" s="209" t="s">
        <v>654</v>
      </c>
      <c r="D17" s="208"/>
      <c r="E17" s="209" t="s">
        <v>655</v>
      </c>
      <c r="F17" s="209" t="s">
        <v>656</v>
      </c>
      <c r="G17" s="208"/>
    </row>
    <row r="18" spans="2:7" ht="15">
      <c r="B18" s="209" t="s">
        <v>657</v>
      </c>
      <c r="C18" s="209" t="s">
        <v>658</v>
      </c>
      <c r="D18" s="208"/>
      <c r="E18" s="209" t="s">
        <v>659</v>
      </c>
      <c r="F18" s="209" t="s">
        <v>660</v>
      </c>
      <c r="G18" s="208"/>
    </row>
    <row r="19" spans="2:7" ht="15">
      <c r="B19" s="209" t="s">
        <v>661</v>
      </c>
      <c r="C19" s="209" t="s">
        <v>662</v>
      </c>
      <c r="D19" s="208"/>
      <c r="E19" s="209" t="s">
        <v>663</v>
      </c>
      <c r="F19" s="209" t="s">
        <v>664</v>
      </c>
      <c r="G19" s="208"/>
    </row>
    <row r="20" spans="2:7" ht="15">
      <c r="B20" s="209" t="s">
        <v>665</v>
      </c>
      <c r="C20" s="209" t="s">
        <v>666</v>
      </c>
      <c r="D20" s="208"/>
      <c r="G20" s="208"/>
    </row>
    <row r="21" spans="2:7" ht="15">
      <c r="D21" s="208"/>
      <c r="G21" s="208"/>
    </row>
    <row r="22" spans="2:7" ht="15">
      <c r="D22" s="208"/>
      <c r="G22" s="208"/>
    </row>
    <row r="23" spans="2:7" ht="15">
      <c r="D23" s="208"/>
      <c r="G23" s="208"/>
    </row>
  </sheetData>
  <mergeCells count="1">
    <mergeCell ref="B2:F2"/>
  </mergeCells>
  <phoneticPr fontId="9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3B8993-1166-41D9-95E3-67F5219A982B}"/>
</file>

<file path=customXml/itemProps2.xml><?xml version="1.0" encoding="utf-8"?>
<ds:datastoreItem xmlns:ds="http://schemas.openxmlformats.org/officeDocument/2006/customXml" ds:itemID="{D3DEAFD8-567D-45C5-A3B9-35136DC39E75}"/>
</file>

<file path=customXml/itemProps3.xml><?xml version="1.0" encoding="utf-8"?>
<ds:datastoreItem xmlns:ds="http://schemas.openxmlformats.org/officeDocument/2006/customXml" ds:itemID="{0DE131A8-66C1-4D27-A920-44E7F2C3B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2025-10-28T05:58:24Z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